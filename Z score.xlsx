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neuedu-my.sharepoint.com/personal/11224137_st_neu_edu_vn/Documents/KLTN/"/>
    </mc:Choice>
  </mc:AlternateContent>
  <xr:revisionPtr revIDLastSave="0" documentId="13_ncr:1_{76F14454-00E5-4CBC-9910-31DD830A524B}" xr6:coauthVersionLast="47" xr6:coauthVersionMax="47" xr10:uidLastSave="{00000000-0000-0000-0000-000000000000}"/>
  <bookViews>
    <workbookView xWindow="10718" yWindow="0" windowWidth="10965" windowHeight="12863" xr2:uid="{00000000-000D-0000-FFFF-FFFF00000000}"/>
  </bookViews>
  <sheets>
    <sheet name="Sheet1" sheetId="1" r:id="rId1"/>
    <sheet name="Sheet2" sheetId="2" r:id="rId2"/>
    <sheet name="Sheet3" sheetId="3" r:id="rId3"/>
  </sheets>
  <calcPr calcId="191029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7" i="1" l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Q7" i="1"/>
  <c r="R7" i="1"/>
  <c r="S7" i="1"/>
  <c r="T7" i="1"/>
  <c r="U7" i="1"/>
  <c r="V7" i="1"/>
  <c r="Q8" i="1"/>
  <c r="R8" i="1"/>
  <c r="S8" i="1"/>
  <c r="T8" i="1"/>
  <c r="U8" i="1"/>
  <c r="V8" i="1"/>
  <c r="Q9" i="1"/>
  <c r="R9" i="1"/>
  <c r="S9" i="1"/>
  <c r="T9" i="1"/>
  <c r="U9" i="1"/>
  <c r="V9" i="1"/>
  <c r="Q10" i="1"/>
  <c r="R10" i="1"/>
  <c r="S10" i="1"/>
  <c r="T10" i="1"/>
  <c r="U10" i="1"/>
  <c r="V10" i="1"/>
  <c r="Q11" i="1"/>
  <c r="R11" i="1"/>
  <c r="S11" i="1"/>
  <c r="T11" i="1"/>
  <c r="U11" i="1"/>
  <c r="V11" i="1"/>
  <c r="Q12" i="1"/>
  <c r="R12" i="1"/>
  <c r="S12" i="1"/>
  <c r="T12" i="1"/>
  <c r="U12" i="1"/>
  <c r="V12" i="1"/>
  <c r="Q13" i="1"/>
  <c r="R13" i="1"/>
  <c r="S13" i="1"/>
  <c r="T13" i="1"/>
  <c r="U13" i="1"/>
  <c r="V13" i="1"/>
  <c r="Q14" i="1"/>
  <c r="R14" i="1"/>
  <c r="S14" i="1"/>
  <c r="T14" i="1"/>
  <c r="U14" i="1"/>
  <c r="V14" i="1"/>
  <c r="Q15" i="1"/>
  <c r="R15" i="1"/>
  <c r="S15" i="1"/>
  <c r="T15" i="1"/>
  <c r="U15" i="1"/>
  <c r="V15" i="1"/>
  <c r="Q16" i="1"/>
  <c r="R16" i="1"/>
  <c r="S16" i="1"/>
  <c r="T16" i="1"/>
  <c r="U16" i="1"/>
  <c r="V16" i="1"/>
  <c r="Q17" i="1"/>
  <c r="R17" i="1"/>
  <c r="S17" i="1"/>
  <c r="T17" i="1"/>
  <c r="U17" i="1"/>
  <c r="V17" i="1"/>
  <c r="Q18" i="1"/>
  <c r="R18" i="1"/>
  <c r="S18" i="1"/>
  <c r="T18" i="1"/>
  <c r="U18" i="1"/>
  <c r="V18" i="1"/>
  <c r="Q19" i="1"/>
  <c r="R19" i="1"/>
  <c r="S19" i="1"/>
  <c r="T19" i="1"/>
  <c r="U19" i="1"/>
  <c r="V19" i="1"/>
  <c r="Q20" i="1"/>
  <c r="R20" i="1"/>
  <c r="S20" i="1"/>
  <c r="T20" i="1"/>
  <c r="U20" i="1"/>
  <c r="V20" i="1"/>
  <c r="Q21" i="1"/>
  <c r="R21" i="1"/>
  <c r="S21" i="1"/>
  <c r="T21" i="1"/>
  <c r="U21" i="1"/>
  <c r="V21" i="1"/>
  <c r="Q22" i="1"/>
  <c r="R22" i="1"/>
  <c r="S22" i="1"/>
  <c r="T22" i="1"/>
  <c r="U22" i="1"/>
  <c r="V22" i="1"/>
  <c r="Q23" i="1"/>
  <c r="R23" i="1"/>
  <c r="S23" i="1"/>
  <c r="T23" i="1"/>
  <c r="U23" i="1"/>
  <c r="V23" i="1"/>
  <c r="Q24" i="1"/>
  <c r="R24" i="1"/>
  <c r="S24" i="1"/>
  <c r="T24" i="1"/>
  <c r="U24" i="1"/>
  <c r="V24" i="1"/>
  <c r="Q25" i="1"/>
  <c r="R25" i="1"/>
  <c r="S25" i="1"/>
  <c r="T25" i="1"/>
  <c r="U25" i="1"/>
  <c r="V25" i="1"/>
  <c r="Q26" i="1"/>
  <c r="R26" i="1"/>
  <c r="S26" i="1"/>
  <c r="T26" i="1"/>
  <c r="U26" i="1"/>
  <c r="V26" i="1"/>
  <c r="Q27" i="1"/>
  <c r="R27" i="1"/>
  <c r="S27" i="1"/>
  <c r="T27" i="1"/>
  <c r="U27" i="1"/>
  <c r="V27" i="1"/>
  <c r="Q28" i="1"/>
  <c r="R28" i="1"/>
  <c r="S28" i="1"/>
  <c r="T28" i="1"/>
  <c r="U28" i="1"/>
  <c r="V28" i="1"/>
  <c r="Q29" i="1"/>
  <c r="R29" i="1"/>
  <c r="S29" i="1"/>
  <c r="T29" i="1"/>
  <c r="U29" i="1"/>
  <c r="V29" i="1"/>
  <c r="Q30" i="1"/>
  <c r="R30" i="1"/>
  <c r="S30" i="1"/>
  <c r="T30" i="1"/>
  <c r="U30" i="1"/>
  <c r="V30" i="1"/>
  <c r="Q31" i="1"/>
  <c r="R31" i="1"/>
  <c r="S31" i="1"/>
  <c r="T31" i="1"/>
  <c r="U31" i="1"/>
  <c r="V31" i="1"/>
  <c r="Q32" i="1"/>
  <c r="R32" i="1"/>
  <c r="S32" i="1"/>
  <c r="T32" i="1"/>
  <c r="U32" i="1"/>
  <c r="V32" i="1"/>
  <c r="Q33" i="1"/>
  <c r="R33" i="1"/>
  <c r="S33" i="1"/>
  <c r="T33" i="1"/>
  <c r="U33" i="1"/>
  <c r="V33" i="1"/>
  <c r="Q34" i="1"/>
  <c r="R34" i="1"/>
  <c r="S34" i="1"/>
  <c r="T34" i="1"/>
  <c r="U34" i="1"/>
  <c r="V34" i="1"/>
  <c r="Q35" i="1"/>
  <c r="R35" i="1"/>
  <c r="S35" i="1"/>
  <c r="T35" i="1"/>
  <c r="U35" i="1"/>
  <c r="V35" i="1"/>
  <c r="Q36" i="1"/>
  <c r="R36" i="1"/>
  <c r="S36" i="1"/>
  <c r="T36" i="1"/>
  <c r="U36" i="1"/>
  <c r="V36" i="1"/>
  <c r="Q37" i="1"/>
  <c r="R37" i="1"/>
  <c r="S37" i="1"/>
  <c r="T37" i="1"/>
  <c r="U37" i="1"/>
  <c r="V37" i="1"/>
  <c r="Q38" i="1"/>
  <c r="R38" i="1"/>
  <c r="S38" i="1"/>
  <c r="T38" i="1"/>
  <c r="U38" i="1"/>
  <c r="V38" i="1"/>
  <c r="Q39" i="1"/>
  <c r="R39" i="1"/>
  <c r="S39" i="1"/>
  <c r="T39" i="1"/>
  <c r="U39" i="1"/>
  <c r="V39" i="1"/>
  <c r="Q40" i="1"/>
  <c r="R40" i="1"/>
  <c r="S40" i="1"/>
  <c r="T40" i="1"/>
  <c r="U40" i="1"/>
  <c r="V40" i="1"/>
  <c r="Q41" i="1"/>
  <c r="R41" i="1"/>
  <c r="S41" i="1"/>
  <c r="T41" i="1"/>
  <c r="U41" i="1"/>
  <c r="V41" i="1"/>
  <c r="Q42" i="1"/>
  <c r="R42" i="1"/>
  <c r="S42" i="1"/>
  <c r="T42" i="1"/>
  <c r="U42" i="1"/>
  <c r="V42" i="1"/>
  <c r="Q43" i="1"/>
  <c r="R43" i="1"/>
  <c r="S43" i="1"/>
  <c r="T43" i="1"/>
  <c r="U43" i="1"/>
  <c r="V43" i="1"/>
  <c r="Q44" i="1"/>
  <c r="R44" i="1"/>
  <c r="S44" i="1"/>
  <c r="T44" i="1"/>
  <c r="U44" i="1"/>
  <c r="V44" i="1"/>
  <c r="Q45" i="1"/>
  <c r="R45" i="1"/>
  <c r="S45" i="1"/>
  <c r="T45" i="1"/>
  <c r="U45" i="1"/>
  <c r="V45" i="1"/>
  <c r="Q46" i="1"/>
  <c r="R46" i="1"/>
  <c r="S46" i="1"/>
  <c r="T46" i="1"/>
  <c r="U46" i="1"/>
  <c r="V46" i="1"/>
  <c r="Q47" i="1"/>
  <c r="R47" i="1"/>
  <c r="S47" i="1"/>
  <c r="T47" i="1"/>
  <c r="U47" i="1"/>
  <c r="V47" i="1"/>
  <c r="Q48" i="1"/>
  <c r="R48" i="1"/>
  <c r="S48" i="1"/>
  <c r="T48" i="1"/>
  <c r="U48" i="1"/>
  <c r="V48" i="1"/>
  <c r="Q49" i="1"/>
  <c r="R49" i="1"/>
  <c r="S49" i="1"/>
  <c r="T49" i="1"/>
  <c r="U49" i="1"/>
  <c r="V49" i="1"/>
  <c r="Q50" i="1"/>
  <c r="R50" i="1"/>
  <c r="S50" i="1"/>
  <c r="T50" i="1"/>
  <c r="U50" i="1"/>
  <c r="V50" i="1"/>
  <c r="Q51" i="1"/>
  <c r="R51" i="1"/>
  <c r="S51" i="1"/>
  <c r="T51" i="1"/>
  <c r="U51" i="1"/>
  <c r="V51" i="1"/>
  <c r="Q52" i="1"/>
  <c r="R52" i="1"/>
  <c r="S52" i="1"/>
  <c r="T52" i="1"/>
  <c r="U52" i="1"/>
  <c r="V52" i="1"/>
  <c r="Q53" i="1"/>
  <c r="R53" i="1"/>
  <c r="S53" i="1"/>
  <c r="T53" i="1"/>
  <c r="U53" i="1"/>
  <c r="V53" i="1"/>
  <c r="Q54" i="1"/>
  <c r="R54" i="1"/>
  <c r="S54" i="1"/>
  <c r="T54" i="1"/>
  <c r="U54" i="1"/>
  <c r="V54" i="1"/>
  <c r="Q55" i="1"/>
  <c r="R55" i="1"/>
  <c r="S55" i="1"/>
  <c r="T55" i="1"/>
  <c r="U55" i="1"/>
  <c r="V55" i="1"/>
  <c r="Q56" i="1"/>
  <c r="R56" i="1"/>
  <c r="S56" i="1"/>
  <c r="T56" i="1"/>
  <c r="U56" i="1"/>
  <c r="V56" i="1"/>
  <c r="Q57" i="1"/>
  <c r="R57" i="1"/>
  <c r="S57" i="1"/>
  <c r="T57" i="1"/>
  <c r="U57" i="1"/>
  <c r="V57" i="1"/>
  <c r="Q58" i="1"/>
  <c r="R58" i="1"/>
  <c r="S58" i="1"/>
  <c r="T58" i="1"/>
  <c r="U58" i="1"/>
  <c r="V58" i="1"/>
  <c r="Q59" i="1"/>
  <c r="R59" i="1"/>
  <c r="S59" i="1"/>
  <c r="T59" i="1"/>
  <c r="U59" i="1"/>
  <c r="V59" i="1"/>
  <c r="Q60" i="1"/>
  <c r="R60" i="1"/>
  <c r="S60" i="1"/>
  <c r="T60" i="1"/>
  <c r="U60" i="1"/>
  <c r="V60" i="1"/>
  <c r="Q61" i="1"/>
  <c r="R61" i="1"/>
  <c r="S61" i="1"/>
  <c r="T61" i="1"/>
  <c r="U61" i="1"/>
  <c r="V61" i="1"/>
  <c r="Q62" i="1"/>
  <c r="R62" i="1"/>
  <c r="S62" i="1"/>
  <c r="T62" i="1"/>
  <c r="U62" i="1"/>
  <c r="V62" i="1"/>
  <c r="Q63" i="1"/>
  <c r="R63" i="1"/>
  <c r="S63" i="1"/>
  <c r="T63" i="1"/>
  <c r="U63" i="1"/>
  <c r="V63" i="1"/>
  <c r="Q64" i="1"/>
  <c r="R64" i="1"/>
  <c r="S64" i="1"/>
  <c r="T64" i="1"/>
  <c r="U64" i="1"/>
  <c r="V64" i="1"/>
  <c r="Q65" i="1"/>
  <c r="R65" i="1"/>
  <c r="S65" i="1"/>
  <c r="T65" i="1"/>
  <c r="U65" i="1"/>
  <c r="V65" i="1"/>
  <c r="Q66" i="1"/>
  <c r="R66" i="1"/>
  <c r="S66" i="1"/>
  <c r="T66" i="1"/>
  <c r="U66" i="1"/>
  <c r="V66" i="1"/>
  <c r="Q67" i="1"/>
  <c r="R67" i="1"/>
  <c r="S67" i="1"/>
  <c r="T67" i="1"/>
  <c r="U67" i="1"/>
  <c r="V67" i="1"/>
  <c r="Q68" i="1"/>
  <c r="R68" i="1"/>
  <c r="S68" i="1"/>
  <c r="T68" i="1"/>
  <c r="U68" i="1"/>
  <c r="V68" i="1"/>
  <c r="Q69" i="1"/>
  <c r="R69" i="1"/>
  <c r="S69" i="1"/>
  <c r="T69" i="1"/>
  <c r="U69" i="1"/>
  <c r="V69" i="1"/>
  <c r="Q70" i="1"/>
  <c r="R70" i="1"/>
  <c r="S70" i="1"/>
  <c r="T70" i="1"/>
  <c r="U70" i="1"/>
  <c r="V70" i="1"/>
  <c r="Q71" i="1"/>
  <c r="R71" i="1"/>
  <c r="S71" i="1"/>
  <c r="T71" i="1"/>
  <c r="U71" i="1"/>
  <c r="V71" i="1"/>
  <c r="Q72" i="1"/>
  <c r="R72" i="1"/>
  <c r="S72" i="1"/>
  <c r="T72" i="1"/>
  <c r="U72" i="1"/>
  <c r="V72" i="1"/>
  <c r="Q73" i="1"/>
  <c r="R73" i="1"/>
  <c r="S73" i="1"/>
  <c r="T73" i="1"/>
  <c r="U73" i="1"/>
  <c r="V73" i="1"/>
  <c r="Q74" i="1"/>
  <c r="R74" i="1"/>
  <c r="S74" i="1"/>
  <c r="T74" i="1"/>
  <c r="U74" i="1"/>
  <c r="V74" i="1"/>
  <c r="Q75" i="1"/>
  <c r="R75" i="1"/>
  <c r="S75" i="1"/>
  <c r="T75" i="1"/>
  <c r="U75" i="1"/>
  <c r="V75" i="1"/>
  <c r="Q76" i="1"/>
  <c r="R76" i="1"/>
  <c r="S76" i="1"/>
  <c r="T76" i="1"/>
  <c r="U76" i="1"/>
  <c r="V76" i="1"/>
  <c r="Q77" i="1"/>
  <c r="R77" i="1"/>
  <c r="S77" i="1"/>
  <c r="T77" i="1"/>
  <c r="U77" i="1"/>
  <c r="V77" i="1"/>
  <c r="Q78" i="1"/>
  <c r="R78" i="1"/>
  <c r="S78" i="1"/>
  <c r="T78" i="1"/>
  <c r="U78" i="1"/>
  <c r="V78" i="1"/>
  <c r="Q79" i="1"/>
  <c r="R79" i="1"/>
  <c r="S79" i="1"/>
  <c r="T79" i="1"/>
  <c r="U79" i="1"/>
  <c r="V79" i="1"/>
  <c r="Q80" i="1"/>
  <c r="R80" i="1"/>
  <c r="S80" i="1"/>
  <c r="T80" i="1"/>
  <c r="U80" i="1"/>
  <c r="V80" i="1"/>
  <c r="Q81" i="1"/>
  <c r="R81" i="1"/>
  <c r="S81" i="1"/>
  <c r="T81" i="1"/>
  <c r="U81" i="1"/>
  <c r="V81" i="1"/>
  <c r="Q82" i="1"/>
  <c r="R82" i="1"/>
  <c r="S82" i="1"/>
  <c r="T82" i="1"/>
  <c r="U82" i="1"/>
  <c r="V82" i="1"/>
  <c r="Q83" i="1"/>
  <c r="R83" i="1"/>
  <c r="S83" i="1"/>
  <c r="T83" i="1"/>
  <c r="U83" i="1"/>
  <c r="V83" i="1"/>
  <c r="Q84" i="1"/>
  <c r="R84" i="1"/>
  <c r="S84" i="1"/>
  <c r="T84" i="1"/>
  <c r="U84" i="1"/>
  <c r="V84" i="1"/>
  <c r="Q85" i="1"/>
  <c r="R85" i="1"/>
  <c r="S85" i="1"/>
  <c r="T85" i="1"/>
  <c r="U85" i="1"/>
  <c r="V85" i="1"/>
  <c r="Q86" i="1"/>
  <c r="R86" i="1"/>
  <c r="S86" i="1"/>
  <c r="T86" i="1"/>
  <c r="U86" i="1"/>
  <c r="V86" i="1"/>
  <c r="Q87" i="1"/>
  <c r="R87" i="1"/>
  <c r="S87" i="1"/>
  <c r="T87" i="1"/>
  <c r="U87" i="1"/>
  <c r="V87" i="1"/>
  <c r="Q88" i="1"/>
  <c r="R88" i="1"/>
  <c r="S88" i="1"/>
  <c r="T88" i="1"/>
  <c r="U88" i="1"/>
  <c r="V88" i="1"/>
  <c r="Q89" i="1"/>
  <c r="R89" i="1"/>
  <c r="S89" i="1"/>
  <c r="T89" i="1"/>
  <c r="U89" i="1"/>
  <c r="V89" i="1"/>
  <c r="Q90" i="1"/>
  <c r="R90" i="1"/>
  <c r="S90" i="1"/>
  <c r="T90" i="1"/>
  <c r="U90" i="1"/>
  <c r="V90" i="1"/>
  <c r="Q91" i="1"/>
  <c r="R91" i="1"/>
  <c r="S91" i="1"/>
  <c r="T91" i="1"/>
  <c r="U91" i="1"/>
  <c r="V91" i="1"/>
  <c r="Q92" i="1"/>
  <c r="R92" i="1"/>
  <c r="S92" i="1"/>
  <c r="T92" i="1"/>
  <c r="U92" i="1"/>
  <c r="V92" i="1"/>
  <c r="Q93" i="1"/>
  <c r="R93" i="1"/>
  <c r="S93" i="1"/>
  <c r="T93" i="1"/>
  <c r="U93" i="1"/>
  <c r="V93" i="1"/>
  <c r="Q94" i="1"/>
  <c r="R94" i="1"/>
  <c r="S94" i="1"/>
  <c r="T94" i="1"/>
  <c r="U94" i="1"/>
  <c r="V94" i="1"/>
  <c r="Q95" i="1"/>
  <c r="R95" i="1"/>
  <c r="S95" i="1"/>
  <c r="T95" i="1"/>
  <c r="U95" i="1"/>
  <c r="V95" i="1"/>
  <c r="Q96" i="1"/>
  <c r="R96" i="1"/>
  <c r="S96" i="1"/>
  <c r="T96" i="1"/>
  <c r="U96" i="1"/>
  <c r="V96" i="1"/>
  <c r="Q97" i="1"/>
  <c r="R97" i="1"/>
  <c r="S97" i="1"/>
  <c r="T97" i="1"/>
  <c r="U97" i="1"/>
  <c r="V97" i="1"/>
  <c r="Q98" i="1"/>
  <c r="R98" i="1"/>
  <c r="S98" i="1"/>
  <c r="T98" i="1"/>
  <c r="U98" i="1"/>
  <c r="V98" i="1"/>
  <c r="Q99" i="1"/>
  <c r="R99" i="1"/>
  <c r="S99" i="1"/>
  <c r="T99" i="1"/>
  <c r="U99" i="1"/>
  <c r="V99" i="1"/>
  <c r="Q100" i="1"/>
  <c r="R100" i="1"/>
  <c r="S100" i="1"/>
  <c r="T100" i="1"/>
  <c r="U100" i="1"/>
  <c r="V100" i="1"/>
  <c r="Q101" i="1"/>
  <c r="R101" i="1"/>
  <c r="S101" i="1"/>
  <c r="T101" i="1"/>
  <c r="U101" i="1"/>
  <c r="V101" i="1"/>
  <c r="Q102" i="1"/>
  <c r="R102" i="1"/>
  <c r="S102" i="1"/>
  <c r="T102" i="1"/>
  <c r="U102" i="1"/>
  <c r="V102" i="1"/>
  <c r="Q103" i="1"/>
  <c r="R103" i="1"/>
  <c r="S103" i="1"/>
  <c r="T103" i="1"/>
  <c r="U103" i="1"/>
  <c r="V103" i="1"/>
  <c r="Q104" i="1"/>
  <c r="R104" i="1"/>
  <c r="S104" i="1"/>
  <c r="T104" i="1"/>
  <c r="U104" i="1"/>
  <c r="V104" i="1"/>
  <c r="Q105" i="1"/>
  <c r="R105" i="1"/>
  <c r="S105" i="1"/>
  <c r="T105" i="1"/>
  <c r="U105" i="1"/>
  <c r="V105" i="1"/>
  <c r="Q106" i="1"/>
  <c r="R106" i="1"/>
  <c r="S106" i="1"/>
  <c r="T106" i="1"/>
  <c r="U106" i="1"/>
  <c r="V106" i="1"/>
  <c r="Q107" i="1"/>
  <c r="R107" i="1"/>
  <c r="S107" i="1"/>
  <c r="T107" i="1"/>
  <c r="U107" i="1"/>
  <c r="V107" i="1"/>
  <c r="Q108" i="1"/>
  <c r="R108" i="1"/>
  <c r="S108" i="1"/>
  <c r="T108" i="1"/>
  <c r="U108" i="1"/>
  <c r="V108" i="1"/>
  <c r="Q109" i="1"/>
  <c r="R109" i="1"/>
  <c r="S109" i="1"/>
  <c r="T109" i="1"/>
  <c r="U109" i="1"/>
  <c r="V109" i="1"/>
  <c r="Q110" i="1"/>
  <c r="R110" i="1"/>
  <c r="S110" i="1"/>
  <c r="T110" i="1"/>
  <c r="U110" i="1"/>
  <c r="V110" i="1"/>
  <c r="Q111" i="1"/>
  <c r="R111" i="1"/>
  <c r="S111" i="1"/>
  <c r="T111" i="1"/>
  <c r="U111" i="1"/>
  <c r="V111" i="1"/>
  <c r="Q112" i="1"/>
  <c r="R112" i="1"/>
  <c r="S112" i="1"/>
  <c r="T112" i="1"/>
  <c r="U112" i="1"/>
  <c r="V112" i="1"/>
  <c r="Q113" i="1"/>
  <c r="R113" i="1"/>
  <c r="S113" i="1"/>
  <c r="T113" i="1"/>
  <c r="U113" i="1"/>
  <c r="V113" i="1"/>
  <c r="Q114" i="1"/>
  <c r="R114" i="1"/>
  <c r="S114" i="1"/>
  <c r="T114" i="1"/>
  <c r="U114" i="1"/>
  <c r="V114" i="1"/>
  <c r="Q115" i="1"/>
  <c r="R115" i="1"/>
  <c r="S115" i="1"/>
  <c r="T115" i="1"/>
  <c r="U115" i="1"/>
  <c r="V115" i="1"/>
  <c r="Q116" i="1"/>
  <c r="R116" i="1"/>
  <c r="S116" i="1"/>
  <c r="T116" i="1"/>
  <c r="U116" i="1"/>
  <c r="V116" i="1"/>
  <c r="Q117" i="1"/>
  <c r="R117" i="1"/>
  <c r="S117" i="1"/>
  <c r="T117" i="1"/>
  <c r="U117" i="1"/>
  <c r="V117" i="1"/>
  <c r="Q118" i="1"/>
  <c r="R118" i="1"/>
  <c r="S118" i="1"/>
  <c r="T118" i="1"/>
  <c r="U118" i="1"/>
  <c r="V118" i="1"/>
  <c r="Q119" i="1"/>
  <c r="R119" i="1"/>
  <c r="S119" i="1"/>
  <c r="T119" i="1"/>
  <c r="U119" i="1"/>
  <c r="V119" i="1"/>
  <c r="Q120" i="1"/>
  <c r="R120" i="1"/>
  <c r="S120" i="1"/>
  <c r="T120" i="1"/>
  <c r="U120" i="1"/>
  <c r="V120" i="1"/>
  <c r="Q121" i="1"/>
  <c r="R121" i="1"/>
  <c r="S121" i="1"/>
  <c r="T121" i="1"/>
  <c r="U121" i="1"/>
  <c r="V121" i="1"/>
  <c r="Q122" i="1"/>
  <c r="R122" i="1"/>
  <c r="S122" i="1"/>
  <c r="T122" i="1"/>
  <c r="U122" i="1"/>
  <c r="V122" i="1"/>
  <c r="Q123" i="1"/>
  <c r="R123" i="1"/>
  <c r="S123" i="1"/>
  <c r="T123" i="1"/>
  <c r="U123" i="1"/>
  <c r="V123" i="1"/>
  <c r="Q124" i="1"/>
  <c r="R124" i="1"/>
  <c r="S124" i="1"/>
  <c r="T124" i="1"/>
  <c r="U124" i="1"/>
  <c r="V124" i="1"/>
  <c r="Q125" i="1"/>
  <c r="R125" i="1"/>
  <c r="S125" i="1"/>
  <c r="T125" i="1"/>
  <c r="U125" i="1"/>
  <c r="V125" i="1"/>
  <c r="Q126" i="1"/>
  <c r="R126" i="1"/>
  <c r="S126" i="1"/>
  <c r="T126" i="1"/>
  <c r="U126" i="1"/>
  <c r="V126" i="1"/>
  <c r="Q127" i="1"/>
  <c r="R127" i="1"/>
  <c r="S127" i="1"/>
  <c r="T127" i="1"/>
  <c r="U127" i="1"/>
  <c r="V127" i="1"/>
  <c r="Q128" i="1"/>
  <c r="R128" i="1"/>
  <c r="S128" i="1"/>
  <c r="T128" i="1"/>
  <c r="U128" i="1"/>
  <c r="V128" i="1"/>
  <c r="Q129" i="1"/>
  <c r="R129" i="1"/>
  <c r="S129" i="1"/>
  <c r="T129" i="1"/>
  <c r="U129" i="1"/>
  <c r="V129" i="1"/>
  <c r="Q130" i="1"/>
  <c r="R130" i="1"/>
  <c r="S130" i="1"/>
  <c r="T130" i="1"/>
  <c r="U130" i="1"/>
  <c r="V130" i="1"/>
  <c r="Q131" i="1"/>
  <c r="R131" i="1"/>
  <c r="S131" i="1"/>
  <c r="T131" i="1"/>
  <c r="U131" i="1"/>
  <c r="V131" i="1"/>
  <c r="Q132" i="1"/>
  <c r="R132" i="1"/>
  <c r="S132" i="1"/>
  <c r="T132" i="1"/>
  <c r="U132" i="1"/>
  <c r="V132" i="1"/>
  <c r="Q133" i="1"/>
  <c r="R133" i="1"/>
  <c r="S133" i="1"/>
  <c r="T133" i="1"/>
  <c r="U133" i="1"/>
  <c r="V133" i="1"/>
  <c r="Q134" i="1"/>
  <c r="R134" i="1"/>
  <c r="S134" i="1"/>
  <c r="T134" i="1"/>
  <c r="U134" i="1"/>
  <c r="V134" i="1"/>
  <c r="Q135" i="1"/>
  <c r="R135" i="1"/>
  <c r="S135" i="1"/>
  <c r="T135" i="1"/>
  <c r="U135" i="1"/>
  <c r="V135" i="1"/>
  <c r="Q136" i="1"/>
  <c r="R136" i="1"/>
  <c r="S136" i="1"/>
  <c r="T136" i="1"/>
  <c r="U136" i="1"/>
  <c r="V136" i="1"/>
  <c r="Q137" i="1"/>
  <c r="R137" i="1"/>
  <c r="S137" i="1"/>
  <c r="T137" i="1"/>
  <c r="U137" i="1"/>
  <c r="V137" i="1"/>
  <c r="Q138" i="1"/>
  <c r="R138" i="1"/>
  <c r="S138" i="1"/>
  <c r="T138" i="1"/>
  <c r="U138" i="1"/>
  <c r="V138" i="1"/>
  <c r="Q139" i="1"/>
  <c r="R139" i="1"/>
  <c r="S139" i="1"/>
  <c r="T139" i="1"/>
  <c r="U139" i="1"/>
  <c r="V139" i="1"/>
  <c r="Q140" i="1"/>
  <c r="R140" i="1"/>
  <c r="S140" i="1"/>
  <c r="T140" i="1"/>
  <c r="U140" i="1"/>
  <c r="V140" i="1"/>
  <c r="Q141" i="1"/>
  <c r="R141" i="1"/>
  <c r="S141" i="1"/>
  <c r="T141" i="1"/>
  <c r="U141" i="1"/>
  <c r="V141" i="1"/>
  <c r="Q142" i="1"/>
  <c r="R142" i="1"/>
  <c r="S142" i="1"/>
  <c r="T142" i="1"/>
  <c r="U142" i="1"/>
  <c r="V142" i="1"/>
  <c r="Q143" i="1"/>
  <c r="R143" i="1"/>
  <c r="S143" i="1"/>
  <c r="T143" i="1"/>
  <c r="U143" i="1"/>
  <c r="V143" i="1"/>
  <c r="Q144" i="1"/>
  <c r="R144" i="1"/>
  <c r="S144" i="1"/>
  <c r="T144" i="1"/>
  <c r="U144" i="1"/>
  <c r="V144" i="1"/>
  <c r="Q145" i="1"/>
  <c r="R145" i="1"/>
  <c r="S145" i="1"/>
  <c r="T145" i="1"/>
  <c r="U145" i="1"/>
  <c r="V145" i="1"/>
  <c r="Q146" i="1"/>
  <c r="R146" i="1"/>
  <c r="S146" i="1"/>
  <c r="T146" i="1"/>
  <c r="U146" i="1"/>
  <c r="V146" i="1"/>
  <c r="Q147" i="1"/>
  <c r="R147" i="1"/>
  <c r="S147" i="1"/>
  <c r="T147" i="1"/>
  <c r="U147" i="1"/>
  <c r="V147" i="1"/>
  <c r="Q148" i="1"/>
  <c r="R148" i="1"/>
  <c r="S148" i="1"/>
  <c r="T148" i="1"/>
  <c r="U148" i="1"/>
  <c r="V148" i="1"/>
  <c r="Q149" i="1"/>
  <c r="R149" i="1"/>
  <c r="S149" i="1"/>
  <c r="T149" i="1"/>
  <c r="U149" i="1"/>
  <c r="V149" i="1"/>
  <c r="Q150" i="1"/>
  <c r="R150" i="1"/>
  <c r="S150" i="1"/>
  <c r="T150" i="1"/>
  <c r="U150" i="1"/>
  <c r="V150" i="1"/>
  <c r="Q151" i="1"/>
  <c r="R151" i="1"/>
  <c r="S151" i="1"/>
  <c r="T151" i="1"/>
  <c r="U151" i="1"/>
  <c r="V151" i="1"/>
  <c r="Q152" i="1"/>
  <c r="R152" i="1"/>
  <c r="S152" i="1"/>
  <c r="T152" i="1"/>
  <c r="U152" i="1"/>
  <c r="V152" i="1"/>
  <c r="Q153" i="1"/>
  <c r="R153" i="1"/>
  <c r="S153" i="1"/>
  <c r="T153" i="1"/>
  <c r="U153" i="1"/>
  <c r="V153" i="1"/>
  <c r="Q154" i="1"/>
  <c r="R154" i="1"/>
  <c r="S154" i="1"/>
  <c r="T154" i="1"/>
  <c r="U154" i="1"/>
  <c r="V154" i="1"/>
  <c r="Q155" i="1"/>
  <c r="R155" i="1"/>
  <c r="S155" i="1"/>
  <c r="T155" i="1"/>
  <c r="U155" i="1"/>
  <c r="V155" i="1"/>
  <c r="Q156" i="1"/>
  <c r="R156" i="1"/>
  <c r="S156" i="1"/>
  <c r="T156" i="1"/>
  <c r="U156" i="1"/>
  <c r="V156" i="1"/>
  <c r="Q157" i="1"/>
  <c r="R157" i="1"/>
  <c r="S157" i="1"/>
  <c r="T157" i="1"/>
  <c r="U157" i="1"/>
  <c r="V157" i="1"/>
  <c r="Q158" i="1"/>
  <c r="R158" i="1"/>
  <c r="S158" i="1"/>
  <c r="T158" i="1"/>
  <c r="U158" i="1"/>
  <c r="V158" i="1"/>
  <c r="Q159" i="1"/>
  <c r="R159" i="1"/>
  <c r="S159" i="1"/>
  <c r="T159" i="1"/>
  <c r="U159" i="1"/>
  <c r="V159" i="1"/>
  <c r="Q160" i="1"/>
  <c r="R160" i="1"/>
  <c r="S160" i="1"/>
  <c r="T160" i="1"/>
  <c r="U160" i="1"/>
  <c r="V160" i="1"/>
  <c r="Q161" i="1"/>
  <c r="R161" i="1"/>
  <c r="S161" i="1"/>
  <c r="T161" i="1"/>
  <c r="U161" i="1"/>
  <c r="V161" i="1"/>
  <c r="Q162" i="1"/>
  <c r="R162" i="1"/>
  <c r="S162" i="1"/>
  <c r="T162" i="1"/>
  <c r="U162" i="1"/>
  <c r="V162" i="1"/>
  <c r="Q163" i="1"/>
  <c r="R163" i="1"/>
  <c r="S163" i="1"/>
  <c r="T163" i="1"/>
  <c r="U163" i="1"/>
  <c r="V163" i="1"/>
  <c r="Q164" i="1"/>
  <c r="R164" i="1"/>
  <c r="S164" i="1"/>
  <c r="T164" i="1"/>
  <c r="U164" i="1"/>
  <c r="V164" i="1"/>
  <c r="Q165" i="1"/>
  <c r="R165" i="1"/>
  <c r="S165" i="1"/>
  <c r="T165" i="1"/>
  <c r="U165" i="1"/>
  <c r="V165" i="1"/>
  <c r="Q166" i="1"/>
  <c r="R166" i="1"/>
  <c r="S166" i="1"/>
  <c r="T166" i="1"/>
  <c r="U166" i="1"/>
  <c r="V166" i="1"/>
  <c r="Q167" i="1"/>
  <c r="R167" i="1"/>
  <c r="S167" i="1"/>
  <c r="T167" i="1"/>
  <c r="U167" i="1"/>
  <c r="V167" i="1"/>
  <c r="Q168" i="1"/>
  <c r="R168" i="1"/>
  <c r="S168" i="1"/>
  <c r="T168" i="1"/>
  <c r="U168" i="1"/>
  <c r="V168" i="1"/>
  <c r="Q169" i="1"/>
  <c r="R169" i="1"/>
  <c r="S169" i="1"/>
  <c r="T169" i="1"/>
  <c r="U169" i="1"/>
  <c r="V169" i="1"/>
  <c r="Q170" i="1"/>
  <c r="R170" i="1"/>
  <c r="S170" i="1"/>
  <c r="T170" i="1"/>
  <c r="U170" i="1"/>
  <c r="V170" i="1"/>
  <c r="Q171" i="1"/>
  <c r="R171" i="1"/>
  <c r="S171" i="1"/>
  <c r="T171" i="1"/>
  <c r="U171" i="1"/>
  <c r="V171" i="1"/>
  <c r="Q172" i="1"/>
  <c r="R172" i="1"/>
  <c r="S172" i="1"/>
  <c r="T172" i="1"/>
  <c r="U172" i="1"/>
  <c r="V172" i="1"/>
  <c r="Q173" i="1"/>
  <c r="R173" i="1"/>
  <c r="S173" i="1"/>
  <c r="T173" i="1"/>
  <c r="U173" i="1"/>
  <c r="V173" i="1"/>
  <c r="Q174" i="1"/>
  <c r="R174" i="1"/>
  <c r="S174" i="1"/>
  <c r="T174" i="1"/>
  <c r="U174" i="1"/>
  <c r="V174" i="1"/>
  <c r="Q175" i="1"/>
  <c r="R175" i="1"/>
  <c r="S175" i="1"/>
  <c r="T175" i="1"/>
  <c r="U175" i="1"/>
  <c r="V175" i="1"/>
  <c r="Q176" i="1"/>
  <c r="R176" i="1"/>
  <c r="S176" i="1"/>
  <c r="T176" i="1"/>
  <c r="U176" i="1"/>
  <c r="V176" i="1"/>
  <c r="Q177" i="1"/>
  <c r="R177" i="1"/>
  <c r="S177" i="1"/>
  <c r="T177" i="1"/>
  <c r="U177" i="1"/>
  <c r="V177" i="1"/>
  <c r="Q178" i="1"/>
  <c r="R178" i="1"/>
  <c r="S178" i="1"/>
  <c r="T178" i="1"/>
  <c r="U178" i="1"/>
  <c r="V178" i="1"/>
  <c r="Q179" i="1"/>
  <c r="R179" i="1"/>
  <c r="S179" i="1"/>
  <c r="T179" i="1"/>
  <c r="U179" i="1"/>
  <c r="V179" i="1"/>
  <c r="Q180" i="1"/>
  <c r="R180" i="1"/>
  <c r="S180" i="1"/>
  <c r="T180" i="1"/>
  <c r="U180" i="1"/>
  <c r="V180" i="1"/>
  <c r="Q181" i="1"/>
  <c r="R181" i="1"/>
  <c r="S181" i="1"/>
  <c r="T181" i="1"/>
  <c r="U181" i="1"/>
  <c r="V181" i="1"/>
  <c r="Q182" i="1"/>
  <c r="R182" i="1"/>
  <c r="S182" i="1"/>
  <c r="T182" i="1"/>
  <c r="U182" i="1"/>
  <c r="V182" i="1"/>
  <c r="Q183" i="1"/>
  <c r="R183" i="1"/>
  <c r="S183" i="1"/>
  <c r="T183" i="1"/>
  <c r="U183" i="1"/>
  <c r="V183" i="1"/>
  <c r="Q184" i="1"/>
  <c r="R184" i="1"/>
  <c r="S184" i="1"/>
  <c r="T184" i="1"/>
  <c r="U184" i="1"/>
  <c r="V184" i="1"/>
  <c r="Q185" i="1"/>
  <c r="R185" i="1"/>
  <c r="S185" i="1"/>
  <c r="T185" i="1"/>
  <c r="U185" i="1"/>
  <c r="V185" i="1"/>
  <c r="Q186" i="1"/>
  <c r="R186" i="1"/>
  <c r="S186" i="1"/>
  <c r="T186" i="1"/>
  <c r="U186" i="1"/>
  <c r="V186" i="1"/>
  <c r="Q187" i="1"/>
  <c r="R187" i="1"/>
  <c r="S187" i="1"/>
  <c r="T187" i="1"/>
  <c r="U187" i="1"/>
  <c r="V187" i="1"/>
  <c r="Q188" i="1"/>
  <c r="R188" i="1"/>
  <c r="S188" i="1"/>
  <c r="T188" i="1"/>
  <c r="U188" i="1"/>
  <c r="V188" i="1"/>
  <c r="Q189" i="1"/>
  <c r="R189" i="1"/>
  <c r="S189" i="1"/>
  <c r="T189" i="1"/>
  <c r="U189" i="1"/>
  <c r="V189" i="1"/>
  <c r="Q190" i="1"/>
  <c r="R190" i="1"/>
  <c r="S190" i="1"/>
  <c r="T190" i="1"/>
  <c r="U190" i="1"/>
  <c r="V190" i="1"/>
  <c r="Q191" i="1"/>
  <c r="R191" i="1"/>
  <c r="S191" i="1"/>
  <c r="T191" i="1"/>
  <c r="U191" i="1"/>
  <c r="V191" i="1"/>
  <c r="Q192" i="1"/>
  <c r="R192" i="1"/>
  <c r="S192" i="1"/>
  <c r="T192" i="1"/>
  <c r="U192" i="1"/>
  <c r="V192" i="1"/>
  <c r="Q193" i="1"/>
  <c r="R193" i="1"/>
  <c r="S193" i="1"/>
  <c r="T193" i="1"/>
  <c r="U193" i="1"/>
  <c r="V193" i="1"/>
  <c r="Q194" i="1"/>
  <c r="R194" i="1"/>
  <c r="S194" i="1"/>
  <c r="T194" i="1"/>
  <c r="U194" i="1"/>
  <c r="V194" i="1"/>
  <c r="Q195" i="1"/>
  <c r="R195" i="1"/>
  <c r="S195" i="1"/>
  <c r="T195" i="1"/>
  <c r="U195" i="1"/>
  <c r="V195" i="1"/>
  <c r="Q196" i="1"/>
  <c r="R196" i="1"/>
  <c r="S196" i="1"/>
  <c r="T196" i="1"/>
  <c r="U196" i="1"/>
  <c r="V196" i="1"/>
  <c r="Q197" i="1"/>
  <c r="R197" i="1"/>
  <c r="S197" i="1"/>
  <c r="T197" i="1"/>
  <c r="U197" i="1"/>
  <c r="V197" i="1"/>
  <c r="Q198" i="1"/>
  <c r="R198" i="1"/>
  <c r="S198" i="1"/>
  <c r="T198" i="1"/>
  <c r="U198" i="1"/>
  <c r="V198" i="1"/>
  <c r="Q199" i="1"/>
  <c r="R199" i="1"/>
  <c r="S199" i="1"/>
  <c r="T199" i="1"/>
  <c r="U199" i="1"/>
  <c r="V199" i="1"/>
  <c r="Q200" i="1"/>
  <c r="R200" i="1"/>
  <c r="S200" i="1"/>
  <c r="T200" i="1"/>
  <c r="U200" i="1"/>
  <c r="V200" i="1"/>
  <c r="Q201" i="1"/>
  <c r="R201" i="1"/>
  <c r="S201" i="1"/>
  <c r="T201" i="1"/>
  <c r="U201" i="1"/>
  <c r="V201" i="1"/>
  <c r="Q202" i="1"/>
  <c r="R202" i="1"/>
  <c r="S202" i="1"/>
  <c r="T202" i="1"/>
  <c r="U202" i="1"/>
  <c r="V202" i="1"/>
  <c r="Q203" i="1"/>
  <c r="R203" i="1"/>
  <c r="S203" i="1"/>
  <c r="T203" i="1"/>
  <c r="U203" i="1"/>
  <c r="V203" i="1"/>
  <c r="Q204" i="1"/>
  <c r="R204" i="1"/>
  <c r="S204" i="1"/>
  <c r="T204" i="1"/>
  <c r="U204" i="1"/>
  <c r="V204" i="1"/>
  <c r="Q205" i="1"/>
  <c r="R205" i="1"/>
  <c r="S205" i="1"/>
  <c r="T205" i="1"/>
  <c r="U205" i="1"/>
  <c r="V205" i="1"/>
  <c r="Q206" i="1"/>
  <c r="R206" i="1"/>
  <c r="S206" i="1"/>
  <c r="T206" i="1"/>
  <c r="U206" i="1"/>
  <c r="V206" i="1"/>
  <c r="Q207" i="1"/>
  <c r="R207" i="1"/>
  <c r="S207" i="1"/>
  <c r="T207" i="1"/>
  <c r="U207" i="1"/>
  <c r="V207" i="1"/>
  <c r="Q208" i="1"/>
  <c r="R208" i="1"/>
  <c r="S208" i="1"/>
  <c r="T208" i="1"/>
  <c r="U208" i="1"/>
  <c r="V208" i="1"/>
  <c r="Q209" i="1"/>
  <c r="R209" i="1"/>
  <c r="S209" i="1"/>
  <c r="T209" i="1"/>
  <c r="U209" i="1"/>
  <c r="V209" i="1"/>
  <c r="Q210" i="1"/>
  <c r="R210" i="1"/>
  <c r="S210" i="1"/>
  <c r="T210" i="1"/>
  <c r="U210" i="1"/>
  <c r="V210" i="1"/>
  <c r="Q211" i="1"/>
  <c r="R211" i="1"/>
  <c r="S211" i="1"/>
  <c r="T211" i="1"/>
  <c r="U211" i="1"/>
  <c r="V211" i="1"/>
  <c r="Q212" i="1"/>
  <c r="R212" i="1"/>
  <c r="S212" i="1"/>
  <c r="T212" i="1"/>
  <c r="U212" i="1"/>
  <c r="V212" i="1"/>
  <c r="Q213" i="1"/>
  <c r="R213" i="1"/>
  <c r="S213" i="1"/>
  <c r="T213" i="1"/>
  <c r="U213" i="1"/>
  <c r="V213" i="1"/>
  <c r="Q214" i="1"/>
  <c r="R214" i="1"/>
  <c r="S214" i="1"/>
  <c r="T214" i="1"/>
  <c r="U214" i="1"/>
  <c r="V214" i="1"/>
  <c r="Q215" i="1"/>
  <c r="R215" i="1"/>
  <c r="S215" i="1"/>
  <c r="T215" i="1"/>
  <c r="U215" i="1"/>
  <c r="V215" i="1"/>
  <c r="Q216" i="1"/>
  <c r="R216" i="1"/>
  <c r="S216" i="1"/>
  <c r="T216" i="1"/>
  <c r="U216" i="1"/>
  <c r="V216" i="1"/>
  <c r="Q217" i="1"/>
  <c r="R217" i="1"/>
  <c r="S217" i="1"/>
  <c r="T217" i="1"/>
  <c r="U217" i="1"/>
  <c r="V217" i="1"/>
  <c r="Q218" i="1"/>
  <c r="R218" i="1"/>
  <c r="S218" i="1"/>
  <c r="T218" i="1"/>
  <c r="U218" i="1"/>
  <c r="V218" i="1"/>
  <c r="Q219" i="1"/>
  <c r="R219" i="1"/>
  <c r="S219" i="1"/>
  <c r="T219" i="1"/>
  <c r="U219" i="1"/>
  <c r="V219" i="1"/>
  <c r="Q220" i="1"/>
  <c r="R220" i="1"/>
  <c r="S220" i="1"/>
  <c r="T220" i="1"/>
  <c r="U220" i="1"/>
  <c r="V220" i="1"/>
  <c r="Q221" i="1"/>
  <c r="R221" i="1"/>
  <c r="S221" i="1"/>
  <c r="T221" i="1"/>
  <c r="U221" i="1"/>
  <c r="V221" i="1"/>
  <c r="Q222" i="1"/>
  <c r="R222" i="1"/>
  <c r="S222" i="1"/>
  <c r="T222" i="1"/>
  <c r="U222" i="1"/>
  <c r="V222" i="1"/>
  <c r="Q223" i="1"/>
  <c r="R223" i="1"/>
  <c r="S223" i="1"/>
  <c r="T223" i="1"/>
  <c r="U223" i="1"/>
  <c r="V223" i="1"/>
  <c r="Q224" i="1"/>
  <c r="R224" i="1"/>
  <c r="S224" i="1"/>
  <c r="T224" i="1"/>
  <c r="U224" i="1"/>
  <c r="V224" i="1"/>
  <c r="Q225" i="1"/>
  <c r="R225" i="1"/>
  <c r="S225" i="1"/>
  <c r="T225" i="1"/>
  <c r="U225" i="1"/>
  <c r="V225" i="1"/>
  <c r="Q226" i="1"/>
  <c r="R226" i="1"/>
  <c r="S226" i="1"/>
  <c r="T226" i="1"/>
  <c r="U226" i="1"/>
  <c r="V226" i="1"/>
  <c r="Q227" i="1"/>
  <c r="R227" i="1"/>
  <c r="S227" i="1"/>
  <c r="T227" i="1"/>
  <c r="U227" i="1"/>
  <c r="V227" i="1"/>
  <c r="Q228" i="1"/>
  <c r="R228" i="1"/>
  <c r="S228" i="1"/>
  <c r="T228" i="1"/>
  <c r="U228" i="1"/>
  <c r="V228" i="1"/>
  <c r="Q229" i="1"/>
  <c r="R229" i="1"/>
  <c r="S229" i="1"/>
  <c r="T229" i="1"/>
  <c r="U229" i="1"/>
  <c r="V229" i="1"/>
  <c r="Q230" i="1"/>
  <c r="R230" i="1"/>
  <c r="S230" i="1"/>
  <c r="T230" i="1"/>
  <c r="U230" i="1"/>
  <c r="V230" i="1"/>
  <c r="Q231" i="1"/>
  <c r="R231" i="1"/>
  <c r="S231" i="1"/>
  <c r="T231" i="1"/>
  <c r="U231" i="1"/>
  <c r="V231" i="1"/>
  <c r="Q232" i="1"/>
  <c r="R232" i="1"/>
  <c r="S232" i="1"/>
  <c r="T232" i="1"/>
  <c r="U232" i="1"/>
  <c r="V232" i="1"/>
  <c r="Q233" i="1"/>
  <c r="R233" i="1"/>
  <c r="S233" i="1"/>
  <c r="T233" i="1"/>
  <c r="U233" i="1"/>
  <c r="V233" i="1"/>
  <c r="Q234" i="1"/>
  <c r="R234" i="1"/>
  <c r="S234" i="1"/>
  <c r="T234" i="1"/>
  <c r="U234" i="1"/>
  <c r="V234" i="1"/>
  <c r="Q235" i="1"/>
  <c r="R235" i="1"/>
  <c r="S235" i="1"/>
  <c r="T235" i="1"/>
  <c r="U235" i="1"/>
  <c r="V235" i="1"/>
  <c r="Q236" i="1"/>
  <c r="R236" i="1"/>
  <c r="S236" i="1"/>
  <c r="T236" i="1"/>
  <c r="U236" i="1"/>
  <c r="V236" i="1"/>
  <c r="Q237" i="1"/>
  <c r="R237" i="1"/>
  <c r="S237" i="1"/>
  <c r="T237" i="1"/>
  <c r="U237" i="1"/>
  <c r="V237" i="1"/>
  <c r="Q238" i="1"/>
  <c r="R238" i="1"/>
  <c r="S238" i="1"/>
  <c r="T238" i="1"/>
  <c r="U238" i="1"/>
  <c r="V238" i="1"/>
  <c r="Q239" i="1"/>
  <c r="R239" i="1"/>
  <c r="S239" i="1"/>
  <c r="T239" i="1"/>
  <c r="U239" i="1"/>
  <c r="V239" i="1"/>
  <c r="Q240" i="1"/>
  <c r="R240" i="1"/>
  <c r="S240" i="1"/>
  <c r="T240" i="1"/>
  <c r="U240" i="1"/>
  <c r="V240" i="1"/>
  <c r="Q241" i="1"/>
  <c r="R241" i="1"/>
  <c r="S241" i="1"/>
  <c r="T241" i="1"/>
  <c r="U241" i="1"/>
  <c r="V241" i="1"/>
  <c r="Q242" i="1"/>
  <c r="R242" i="1"/>
  <c r="S242" i="1"/>
  <c r="T242" i="1"/>
  <c r="U242" i="1"/>
  <c r="V242" i="1"/>
  <c r="Q243" i="1"/>
  <c r="R243" i="1"/>
  <c r="S243" i="1"/>
  <c r="T243" i="1"/>
  <c r="U243" i="1"/>
  <c r="V243" i="1"/>
  <c r="Q244" i="1"/>
  <c r="R244" i="1"/>
  <c r="S244" i="1"/>
  <c r="T244" i="1"/>
  <c r="U244" i="1"/>
  <c r="V244" i="1"/>
  <c r="Q245" i="1"/>
  <c r="R245" i="1"/>
  <c r="S245" i="1"/>
  <c r="T245" i="1"/>
  <c r="U245" i="1"/>
  <c r="V245" i="1"/>
  <c r="Q246" i="1"/>
  <c r="R246" i="1"/>
  <c r="S246" i="1"/>
  <c r="T246" i="1"/>
  <c r="U246" i="1"/>
  <c r="V246" i="1"/>
  <c r="Q247" i="1"/>
  <c r="R247" i="1"/>
  <c r="S247" i="1"/>
  <c r="T247" i="1"/>
  <c r="U247" i="1"/>
  <c r="V247" i="1"/>
  <c r="Q248" i="1"/>
  <c r="R248" i="1"/>
  <c r="S248" i="1"/>
  <c r="T248" i="1"/>
  <c r="U248" i="1"/>
  <c r="V248" i="1"/>
  <c r="Q249" i="1"/>
  <c r="R249" i="1"/>
  <c r="S249" i="1"/>
  <c r="T249" i="1"/>
  <c r="U249" i="1"/>
  <c r="V249" i="1"/>
  <c r="Q250" i="1"/>
  <c r="R250" i="1"/>
  <c r="S250" i="1"/>
  <c r="T250" i="1"/>
  <c r="U250" i="1"/>
  <c r="V250" i="1"/>
  <c r="Q251" i="1"/>
  <c r="R251" i="1"/>
  <c r="S251" i="1"/>
  <c r="T251" i="1"/>
  <c r="U251" i="1"/>
  <c r="V251" i="1"/>
  <c r="Q252" i="1"/>
  <c r="R252" i="1"/>
  <c r="S252" i="1"/>
  <c r="T252" i="1"/>
  <c r="U252" i="1"/>
  <c r="V252" i="1"/>
  <c r="Q253" i="1"/>
  <c r="R253" i="1"/>
  <c r="S253" i="1"/>
  <c r="T253" i="1"/>
  <c r="U253" i="1"/>
  <c r="V253" i="1"/>
  <c r="Q254" i="1"/>
  <c r="R254" i="1"/>
  <c r="S254" i="1"/>
  <c r="T254" i="1"/>
  <c r="U254" i="1"/>
  <c r="V254" i="1"/>
  <c r="Q255" i="1"/>
  <c r="R255" i="1"/>
  <c r="S255" i="1"/>
  <c r="T255" i="1"/>
  <c r="U255" i="1"/>
  <c r="V255" i="1"/>
  <c r="Q256" i="1"/>
  <c r="R256" i="1"/>
  <c r="S256" i="1"/>
  <c r="T256" i="1"/>
  <c r="U256" i="1"/>
  <c r="V256" i="1"/>
  <c r="Q257" i="1"/>
  <c r="R257" i="1"/>
  <c r="S257" i="1"/>
  <c r="T257" i="1"/>
  <c r="U257" i="1"/>
  <c r="V257" i="1"/>
  <c r="Q258" i="1"/>
  <c r="R258" i="1"/>
  <c r="S258" i="1"/>
  <c r="T258" i="1"/>
  <c r="U258" i="1"/>
  <c r="V258" i="1"/>
  <c r="Q259" i="1"/>
  <c r="R259" i="1"/>
  <c r="S259" i="1"/>
  <c r="T259" i="1"/>
  <c r="U259" i="1"/>
  <c r="V259" i="1"/>
  <c r="Q260" i="1"/>
  <c r="R260" i="1"/>
  <c r="S260" i="1"/>
  <c r="T260" i="1"/>
  <c r="U260" i="1"/>
  <c r="V260" i="1"/>
  <c r="Q261" i="1"/>
  <c r="R261" i="1"/>
  <c r="S261" i="1"/>
  <c r="T261" i="1"/>
  <c r="U261" i="1"/>
  <c r="V261" i="1"/>
  <c r="Q262" i="1"/>
  <c r="R262" i="1"/>
  <c r="S262" i="1"/>
  <c r="T262" i="1"/>
  <c r="U262" i="1"/>
  <c r="V262" i="1"/>
  <c r="Q263" i="1"/>
  <c r="R263" i="1"/>
  <c r="S263" i="1"/>
  <c r="T263" i="1"/>
  <c r="U263" i="1"/>
  <c r="V263" i="1"/>
  <c r="Q264" i="1"/>
  <c r="R264" i="1"/>
  <c r="S264" i="1"/>
  <c r="T264" i="1"/>
  <c r="U264" i="1"/>
  <c r="V264" i="1"/>
  <c r="Q265" i="1"/>
  <c r="R265" i="1"/>
  <c r="S265" i="1"/>
  <c r="T265" i="1"/>
  <c r="U265" i="1"/>
  <c r="V265" i="1"/>
  <c r="Q266" i="1"/>
  <c r="R266" i="1"/>
  <c r="S266" i="1"/>
  <c r="T266" i="1"/>
  <c r="U266" i="1"/>
  <c r="V266" i="1"/>
  <c r="Q267" i="1"/>
  <c r="R267" i="1"/>
  <c r="S267" i="1"/>
  <c r="T267" i="1"/>
  <c r="U267" i="1"/>
  <c r="V267" i="1"/>
  <c r="Q268" i="1"/>
  <c r="R268" i="1"/>
  <c r="S268" i="1"/>
  <c r="T268" i="1"/>
  <c r="U268" i="1"/>
  <c r="V268" i="1"/>
  <c r="Q269" i="1"/>
  <c r="R269" i="1"/>
  <c r="S269" i="1"/>
  <c r="T269" i="1"/>
  <c r="U269" i="1"/>
  <c r="V269" i="1"/>
  <c r="Q270" i="1"/>
  <c r="R270" i="1"/>
  <c r="S270" i="1"/>
  <c r="T270" i="1"/>
  <c r="U270" i="1"/>
  <c r="V270" i="1"/>
  <c r="Q271" i="1"/>
  <c r="R271" i="1"/>
  <c r="S271" i="1"/>
  <c r="T271" i="1"/>
  <c r="U271" i="1"/>
  <c r="V271" i="1"/>
  <c r="Q272" i="1"/>
  <c r="R272" i="1"/>
  <c r="S272" i="1"/>
  <c r="T272" i="1"/>
  <c r="U272" i="1"/>
  <c r="V272" i="1"/>
  <c r="Q273" i="1"/>
  <c r="R273" i="1"/>
  <c r="S273" i="1"/>
  <c r="T273" i="1"/>
  <c r="U273" i="1"/>
  <c r="V273" i="1"/>
  <c r="Q274" i="1"/>
  <c r="R274" i="1"/>
  <c r="S274" i="1"/>
  <c r="T274" i="1"/>
  <c r="U274" i="1"/>
  <c r="V274" i="1"/>
  <c r="Q275" i="1"/>
  <c r="R275" i="1"/>
  <c r="S275" i="1"/>
  <c r="T275" i="1"/>
  <c r="U275" i="1"/>
  <c r="V275" i="1"/>
  <c r="Q276" i="1"/>
  <c r="R276" i="1"/>
  <c r="S276" i="1"/>
  <c r="T276" i="1"/>
  <c r="U276" i="1"/>
  <c r="V276" i="1"/>
  <c r="Q277" i="1"/>
  <c r="R277" i="1"/>
  <c r="S277" i="1"/>
  <c r="T277" i="1"/>
  <c r="U277" i="1"/>
  <c r="V277" i="1"/>
  <c r="Q278" i="1"/>
  <c r="R278" i="1"/>
  <c r="S278" i="1"/>
  <c r="T278" i="1"/>
  <c r="U278" i="1"/>
  <c r="V278" i="1"/>
  <c r="Q279" i="1"/>
  <c r="R279" i="1"/>
  <c r="S279" i="1"/>
  <c r="T279" i="1"/>
  <c r="U279" i="1"/>
  <c r="V279" i="1"/>
  <c r="Q280" i="1"/>
  <c r="R280" i="1"/>
  <c r="S280" i="1"/>
  <c r="T280" i="1"/>
  <c r="U280" i="1"/>
  <c r="V280" i="1"/>
  <c r="Q281" i="1"/>
  <c r="R281" i="1"/>
  <c r="S281" i="1"/>
  <c r="T281" i="1"/>
  <c r="U281" i="1"/>
  <c r="V281" i="1"/>
  <c r="Q282" i="1"/>
  <c r="R282" i="1"/>
  <c r="S282" i="1"/>
  <c r="T282" i="1"/>
  <c r="U282" i="1"/>
  <c r="V282" i="1"/>
  <c r="Q283" i="1"/>
  <c r="R283" i="1"/>
  <c r="S283" i="1"/>
  <c r="T283" i="1"/>
  <c r="U283" i="1"/>
  <c r="V283" i="1"/>
  <c r="Q284" i="1"/>
  <c r="R284" i="1"/>
  <c r="S284" i="1"/>
  <c r="T284" i="1"/>
  <c r="U284" i="1"/>
  <c r="V284" i="1"/>
  <c r="Q285" i="1"/>
  <c r="R285" i="1"/>
  <c r="S285" i="1"/>
  <c r="T285" i="1"/>
  <c r="U285" i="1"/>
  <c r="V285" i="1"/>
  <c r="Q286" i="1"/>
  <c r="R286" i="1"/>
  <c r="S286" i="1"/>
  <c r="T286" i="1"/>
  <c r="U286" i="1"/>
  <c r="V286" i="1"/>
  <c r="Q287" i="1"/>
  <c r="R287" i="1"/>
  <c r="S287" i="1"/>
  <c r="T287" i="1"/>
  <c r="U287" i="1"/>
  <c r="V287" i="1"/>
  <c r="Q288" i="1"/>
  <c r="R288" i="1"/>
  <c r="S288" i="1"/>
  <c r="T288" i="1"/>
  <c r="U288" i="1"/>
  <c r="V288" i="1"/>
  <c r="Q289" i="1"/>
  <c r="R289" i="1"/>
  <c r="S289" i="1"/>
  <c r="T289" i="1"/>
  <c r="U289" i="1"/>
  <c r="V289" i="1"/>
  <c r="Q290" i="1"/>
  <c r="R290" i="1"/>
  <c r="S290" i="1"/>
  <c r="T290" i="1"/>
  <c r="U290" i="1"/>
  <c r="V290" i="1"/>
  <c r="Q291" i="1"/>
  <c r="R291" i="1"/>
  <c r="S291" i="1"/>
  <c r="T291" i="1"/>
  <c r="U291" i="1"/>
  <c r="V291" i="1"/>
  <c r="Q292" i="1"/>
  <c r="R292" i="1"/>
  <c r="S292" i="1"/>
  <c r="T292" i="1"/>
  <c r="U292" i="1"/>
  <c r="V292" i="1"/>
  <c r="Q293" i="1"/>
  <c r="R293" i="1"/>
  <c r="S293" i="1"/>
  <c r="T293" i="1"/>
  <c r="U293" i="1"/>
  <c r="V293" i="1"/>
  <c r="Q294" i="1"/>
  <c r="R294" i="1"/>
  <c r="S294" i="1"/>
  <c r="T294" i="1"/>
  <c r="U294" i="1"/>
  <c r="V294" i="1"/>
  <c r="Q295" i="1"/>
  <c r="R295" i="1"/>
  <c r="S295" i="1"/>
  <c r="T295" i="1"/>
  <c r="U295" i="1"/>
  <c r="V295" i="1"/>
  <c r="Q296" i="1"/>
  <c r="R296" i="1"/>
  <c r="S296" i="1"/>
  <c r="T296" i="1"/>
  <c r="U296" i="1"/>
  <c r="V296" i="1"/>
  <c r="Q297" i="1"/>
  <c r="R297" i="1"/>
  <c r="S297" i="1"/>
  <c r="T297" i="1"/>
  <c r="U297" i="1"/>
  <c r="V297" i="1"/>
  <c r="Q298" i="1"/>
  <c r="R298" i="1"/>
  <c r="S298" i="1"/>
  <c r="T298" i="1"/>
  <c r="U298" i="1"/>
  <c r="V298" i="1"/>
  <c r="Q299" i="1"/>
  <c r="R299" i="1"/>
  <c r="S299" i="1"/>
  <c r="T299" i="1"/>
  <c r="U299" i="1"/>
  <c r="V299" i="1"/>
  <c r="Q300" i="1"/>
  <c r="R300" i="1"/>
  <c r="S300" i="1"/>
  <c r="T300" i="1"/>
  <c r="U300" i="1"/>
  <c r="V300" i="1"/>
  <c r="Q301" i="1"/>
  <c r="R301" i="1"/>
  <c r="S301" i="1"/>
  <c r="T301" i="1"/>
  <c r="U301" i="1"/>
  <c r="V301" i="1"/>
  <c r="Q302" i="1"/>
  <c r="R302" i="1"/>
  <c r="S302" i="1"/>
  <c r="T302" i="1"/>
  <c r="U302" i="1"/>
  <c r="V302" i="1"/>
  <c r="Q303" i="1"/>
  <c r="R303" i="1"/>
  <c r="S303" i="1"/>
  <c r="T303" i="1"/>
  <c r="U303" i="1"/>
  <c r="V303" i="1"/>
  <c r="Q304" i="1"/>
  <c r="R304" i="1"/>
  <c r="S304" i="1"/>
  <c r="T304" i="1"/>
  <c r="U304" i="1"/>
  <c r="V304" i="1"/>
  <c r="Q305" i="1"/>
  <c r="R305" i="1"/>
  <c r="S305" i="1"/>
  <c r="T305" i="1"/>
  <c r="U305" i="1"/>
  <c r="V305" i="1"/>
  <c r="Q306" i="1"/>
  <c r="R306" i="1"/>
  <c r="S306" i="1"/>
  <c r="T306" i="1"/>
  <c r="U306" i="1"/>
  <c r="V306" i="1"/>
  <c r="Q307" i="1"/>
  <c r="R307" i="1"/>
  <c r="S307" i="1"/>
  <c r="T307" i="1"/>
  <c r="U307" i="1"/>
  <c r="V307" i="1"/>
  <c r="Q308" i="1"/>
  <c r="R308" i="1"/>
  <c r="S308" i="1"/>
  <c r="T308" i="1"/>
  <c r="U308" i="1"/>
  <c r="V308" i="1"/>
  <c r="Q309" i="1"/>
  <c r="R309" i="1"/>
  <c r="S309" i="1"/>
  <c r="T309" i="1"/>
  <c r="U309" i="1"/>
  <c r="V309" i="1"/>
  <c r="Q310" i="1"/>
  <c r="R310" i="1"/>
  <c r="S310" i="1"/>
  <c r="T310" i="1"/>
  <c r="U310" i="1"/>
  <c r="V310" i="1"/>
  <c r="Q311" i="1"/>
  <c r="R311" i="1"/>
  <c r="S311" i="1"/>
  <c r="T311" i="1"/>
  <c r="U311" i="1"/>
  <c r="V311" i="1"/>
  <c r="Q312" i="1"/>
  <c r="R312" i="1"/>
  <c r="S312" i="1"/>
  <c r="T312" i="1"/>
  <c r="U312" i="1"/>
  <c r="V312" i="1"/>
  <c r="Q313" i="1"/>
  <c r="R313" i="1"/>
  <c r="S313" i="1"/>
  <c r="T313" i="1"/>
  <c r="U313" i="1"/>
  <c r="V313" i="1"/>
  <c r="Q314" i="1"/>
  <c r="R314" i="1"/>
  <c r="S314" i="1"/>
  <c r="T314" i="1"/>
  <c r="U314" i="1"/>
  <c r="V314" i="1"/>
  <c r="Q315" i="1"/>
  <c r="R315" i="1"/>
  <c r="S315" i="1"/>
  <c r="T315" i="1"/>
  <c r="U315" i="1"/>
  <c r="V315" i="1"/>
  <c r="Q316" i="1"/>
  <c r="R316" i="1"/>
  <c r="S316" i="1"/>
  <c r="T316" i="1"/>
  <c r="U316" i="1"/>
  <c r="V316" i="1"/>
  <c r="Q317" i="1"/>
  <c r="R317" i="1"/>
  <c r="S317" i="1"/>
  <c r="T317" i="1"/>
  <c r="U317" i="1"/>
  <c r="V317" i="1"/>
  <c r="Q318" i="1"/>
  <c r="R318" i="1"/>
  <c r="S318" i="1"/>
  <c r="T318" i="1"/>
  <c r="U318" i="1"/>
  <c r="V318" i="1"/>
  <c r="Q319" i="1"/>
  <c r="R319" i="1"/>
  <c r="S319" i="1"/>
  <c r="T319" i="1"/>
  <c r="U319" i="1"/>
  <c r="V319" i="1"/>
  <c r="Q320" i="1"/>
  <c r="R320" i="1"/>
  <c r="S320" i="1"/>
  <c r="T320" i="1"/>
  <c r="U320" i="1"/>
  <c r="V320" i="1"/>
  <c r="Q321" i="1"/>
  <c r="R321" i="1"/>
  <c r="S321" i="1"/>
  <c r="T321" i="1"/>
  <c r="U321" i="1"/>
  <c r="V321" i="1"/>
  <c r="Q322" i="1"/>
  <c r="R322" i="1"/>
  <c r="S322" i="1"/>
  <c r="T322" i="1"/>
  <c r="U322" i="1"/>
  <c r="V322" i="1"/>
  <c r="Q323" i="1"/>
  <c r="R323" i="1"/>
  <c r="S323" i="1"/>
  <c r="T323" i="1"/>
  <c r="U323" i="1"/>
  <c r="V323" i="1"/>
  <c r="Q324" i="1"/>
  <c r="R324" i="1"/>
  <c r="S324" i="1"/>
  <c r="T324" i="1"/>
  <c r="U324" i="1"/>
  <c r="V324" i="1"/>
  <c r="Q325" i="1"/>
  <c r="R325" i="1"/>
  <c r="S325" i="1"/>
  <c r="T325" i="1"/>
  <c r="U325" i="1"/>
  <c r="V325" i="1"/>
  <c r="Q326" i="1"/>
  <c r="R326" i="1"/>
  <c r="S326" i="1"/>
  <c r="T326" i="1"/>
  <c r="U326" i="1"/>
  <c r="V326" i="1"/>
  <c r="Q327" i="1"/>
  <c r="R327" i="1"/>
  <c r="S327" i="1"/>
  <c r="T327" i="1"/>
  <c r="U327" i="1"/>
  <c r="V327" i="1"/>
  <c r="Q328" i="1"/>
  <c r="R328" i="1"/>
  <c r="S328" i="1"/>
  <c r="T328" i="1"/>
  <c r="U328" i="1"/>
  <c r="V328" i="1"/>
  <c r="Q329" i="1"/>
  <c r="R329" i="1"/>
  <c r="S329" i="1"/>
  <c r="T329" i="1"/>
  <c r="U329" i="1"/>
  <c r="V329" i="1"/>
  <c r="Q330" i="1"/>
  <c r="R330" i="1"/>
  <c r="S330" i="1"/>
  <c r="T330" i="1"/>
  <c r="U330" i="1"/>
  <c r="V330" i="1"/>
  <c r="Q331" i="1"/>
  <c r="R331" i="1"/>
  <c r="S331" i="1"/>
  <c r="T331" i="1"/>
  <c r="U331" i="1"/>
  <c r="V331" i="1"/>
  <c r="Q332" i="1"/>
  <c r="R332" i="1"/>
  <c r="S332" i="1"/>
  <c r="T332" i="1"/>
  <c r="U332" i="1"/>
  <c r="V332" i="1"/>
  <c r="Q333" i="1"/>
  <c r="R333" i="1"/>
  <c r="S333" i="1"/>
  <c r="T333" i="1"/>
  <c r="U333" i="1"/>
  <c r="V333" i="1"/>
  <c r="Q334" i="1"/>
  <c r="R334" i="1"/>
  <c r="S334" i="1"/>
  <c r="T334" i="1"/>
  <c r="U334" i="1"/>
  <c r="V334" i="1"/>
  <c r="Q335" i="1"/>
  <c r="R335" i="1"/>
  <c r="S335" i="1"/>
  <c r="T335" i="1"/>
  <c r="U335" i="1"/>
  <c r="V335" i="1"/>
  <c r="Q336" i="1"/>
  <c r="R336" i="1"/>
  <c r="S336" i="1"/>
  <c r="T336" i="1"/>
  <c r="U336" i="1"/>
  <c r="V336" i="1"/>
  <c r="Q337" i="1"/>
  <c r="R337" i="1"/>
  <c r="S337" i="1"/>
  <c r="T337" i="1"/>
  <c r="U337" i="1"/>
  <c r="V337" i="1"/>
  <c r="Q338" i="1"/>
  <c r="R338" i="1"/>
  <c r="S338" i="1"/>
  <c r="T338" i="1"/>
  <c r="U338" i="1"/>
  <c r="V338" i="1"/>
  <c r="Q339" i="1"/>
  <c r="R339" i="1"/>
  <c r="S339" i="1"/>
  <c r="T339" i="1"/>
  <c r="U339" i="1"/>
  <c r="V339" i="1"/>
  <c r="Q340" i="1"/>
  <c r="R340" i="1"/>
  <c r="S340" i="1"/>
  <c r="T340" i="1"/>
  <c r="U340" i="1"/>
  <c r="V340" i="1"/>
  <c r="Q341" i="1"/>
  <c r="R341" i="1"/>
  <c r="S341" i="1"/>
  <c r="T341" i="1"/>
  <c r="U341" i="1"/>
  <c r="V341" i="1"/>
  <c r="Q342" i="1"/>
  <c r="R342" i="1"/>
  <c r="S342" i="1"/>
  <c r="T342" i="1"/>
  <c r="U342" i="1"/>
  <c r="V342" i="1"/>
  <c r="Q343" i="1"/>
  <c r="R343" i="1"/>
  <c r="S343" i="1"/>
  <c r="T343" i="1"/>
  <c r="U343" i="1"/>
  <c r="V343" i="1"/>
  <c r="Q344" i="1"/>
  <c r="R344" i="1"/>
  <c r="S344" i="1"/>
  <c r="T344" i="1"/>
  <c r="U344" i="1"/>
  <c r="V344" i="1"/>
  <c r="Q345" i="1"/>
  <c r="R345" i="1"/>
  <c r="S345" i="1"/>
  <c r="T345" i="1"/>
  <c r="U345" i="1"/>
  <c r="V345" i="1"/>
  <c r="Q346" i="1"/>
  <c r="R346" i="1"/>
  <c r="S346" i="1"/>
  <c r="T346" i="1"/>
  <c r="U346" i="1"/>
  <c r="V346" i="1"/>
  <c r="Q347" i="1"/>
  <c r="R347" i="1"/>
  <c r="S347" i="1"/>
  <c r="T347" i="1"/>
  <c r="U347" i="1"/>
  <c r="V347" i="1"/>
  <c r="Q348" i="1"/>
  <c r="R348" i="1"/>
  <c r="S348" i="1"/>
  <c r="T348" i="1"/>
  <c r="U348" i="1"/>
  <c r="V348" i="1"/>
  <c r="Q349" i="1"/>
  <c r="R349" i="1"/>
  <c r="S349" i="1"/>
  <c r="T349" i="1"/>
  <c r="U349" i="1"/>
  <c r="V349" i="1"/>
  <c r="Q350" i="1"/>
  <c r="R350" i="1"/>
  <c r="S350" i="1"/>
  <c r="T350" i="1"/>
  <c r="U350" i="1"/>
  <c r="V350" i="1"/>
  <c r="Q351" i="1"/>
  <c r="R351" i="1"/>
  <c r="S351" i="1"/>
  <c r="T351" i="1"/>
  <c r="U351" i="1"/>
  <c r="V351" i="1"/>
  <c r="Q352" i="1"/>
  <c r="R352" i="1"/>
  <c r="S352" i="1"/>
  <c r="T352" i="1"/>
  <c r="U352" i="1"/>
  <c r="V352" i="1"/>
  <c r="Q353" i="1"/>
  <c r="R353" i="1"/>
  <c r="S353" i="1"/>
  <c r="T353" i="1"/>
  <c r="U353" i="1"/>
  <c r="V353" i="1"/>
  <c r="Q354" i="1"/>
  <c r="R354" i="1"/>
  <c r="S354" i="1"/>
  <c r="T354" i="1"/>
  <c r="U354" i="1"/>
  <c r="V354" i="1"/>
  <c r="Q355" i="1"/>
  <c r="R355" i="1"/>
  <c r="S355" i="1"/>
  <c r="T355" i="1"/>
  <c r="U355" i="1"/>
  <c r="V355" i="1"/>
  <c r="Q356" i="1"/>
  <c r="R356" i="1"/>
  <c r="S356" i="1"/>
  <c r="T356" i="1"/>
  <c r="U356" i="1"/>
  <c r="V356" i="1"/>
  <c r="Q357" i="1"/>
  <c r="R357" i="1"/>
  <c r="S357" i="1"/>
  <c r="T357" i="1"/>
  <c r="U357" i="1"/>
  <c r="V357" i="1"/>
  <c r="Q358" i="1"/>
  <c r="R358" i="1"/>
  <c r="S358" i="1"/>
  <c r="T358" i="1"/>
  <c r="U358" i="1"/>
  <c r="V358" i="1"/>
  <c r="Q359" i="1"/>
  <c r="R359" i="1"/>
  <c r="S359" i="1"/>
  <c r="T359" i="1"/>
  <c r="U359" i="1"/>
  <c r="V359" i="1"/>
  <c r="Q360" i="1"/>
  <c r="R360" i="1"/>
  <c r="S360" i="1"/>
  <c r="T360" i="1"/>
  <c r="U360" i="1"/>
  <c r="V360" i="1"/>
  <c r="Q361" i="1"/>
  <c r="R361" i="1"/>
  <c r="S361" i="1"/>
  <c r="T361" i="1"/>
  <c r="U361" i="1"/>
  <c r="V361" i="1"/>
  <c r="Q362" i="1"/>
  <c r="R362" i="1"/>
  <c r="S362" i="1"/>
  <c r="T362" i="1"/>
  <c r="U362" i="1"/>
  <c r="V362" i="1"/>
  <c r="Q363" i="1"/>
  <c r="R363" i="1"/>
  <c r="S363" i="1"/>
  <c r="T363" i="1"/>
  <c r="U363" i="1"/>
  <c r="V363" i="1"/>
  <c r="Q364" i="1"/>
  <c r="R364" i="1"/>
  <c r="S364" i="1"/>
  <c r="T364" i="1"/>
  <c r="U364" i="1"/>
  <c r="V364" i="1"/>
  <c r="Q365" i="1"/>
  <c r="R365" i="1"/>
  <c r="S365" i="1"/>
  <c r="T365" i="1"/>
  <c r="U365" i="1"/>
  <c r="V365" i="1"/>
  <c r="Q366" i="1"/>
  <c r="R366" i="1"/>
  <c r="S366" i="1"/>
  <c r="T366" i="1"/>
  <c r="U366" i="1"/>
  <c r="V366" i="1"/>
  <c r="Q367" i="1"/>
  <c r="R367" i="1"/>
  <c r="S367" i="1"/>
  <c r="T367" i="1"/>
  <c r="U367" i="1"/>
  <c r="V367" i="1"/>
  <c r="Q368" i="1"/>
  <c r="R368" i="1"/>
  <c r="S368" i="1"/>
  <c r="T368" i="1"/>
  <c r="U368" i="1"/>
  <c r="V368" i="1"/>
  <c r="Q369" i="1"/>
  <c r="R369" i="1"/>
  <c r="S369" i="1"/>
  <c r="T369" i="1"/>
  <c r="U369" i="1"/>
  <c r="V369" i="1"/>
  <c r="Q370" i="1"/>
  <c r="R370" i="1"/>
  <c r="S370" i="1"/>
  <c r="T370" i="1"/>
  <c r="U370" i="1"/>
  <c r="V370" i="1"/>
  <c r="Q371" i="1"/>
  <c r="R371" i="1"/>
  <c r="S371" i="1"/>
  <c r="T371" i="1"/>
  <c r="U371" i="1"/>
  <c r="V371" i="1"/>
  <c r="Q372" i="1"/>
  <c r="R372" i="1"/>
  <c r="S372" i="1"/>
  <c r="T372" i="1"/>
  <c r="U372" i="1"/>
  <c r="V372" i="1"/>
  <c r="Q373" i="1"/>
  <c r="R373" i="1"/>
  <c r="S373" i="1"/>
  <c r="T373" i="1"/>
  <c r="U373" i="1"/>
  <c r="V373" i="1"/>
  <c r="Q374" i="1"/>
  <c r="R374" i="1"/>
  <c r="S374" i="1"/>
  <c r="T374" i="1"/>
  <c r="U374" i="1"/>
  <c r="V374" i="1"/>
  <c r="Q375" i="1"/>
  <c r="R375" i="1"/>
  <c r="S375" i="1"/>
  <c r="T375" i="1"/>
  <c r="U375" i="1"/>
  <c r="V375" i="1"/>
  <c r="Q376" i="1"/>
  <c r="R376" i="1"/>
  <c r="S376" i="1"/>
  <c r="T376" i="1"/>
  <c r="U376" i="1"/>
  <c r="V376" i="1"/>
  <c r="Q377" i="1"/>
  <c r="R377" i="1"/>
  <c r="S377" i="1"/>
  <c r="T377" i="1"/>
  <c r="U377" i="1"/>
  <c r="V377" i="1"/>
  <c r="Q378" i="1"/>
  <c r="R378" i="1"/>
  <c r="S378" i="1"/>
  <c r="T378" i="1"/>
  <c r="U378" i="1"/>
  <c r="V378" i="1"/>
  <c r="Q379" i="1"/>
  <c r="R379" i="1"/>
  <c r="S379" i="1"/>
  <c r="T379" i="1"/>
  <c r="U379" i="1"/>
  <c r="V379" i="1"/>
  <c r="Q380" i="1"/>
  <c r="R380" i="1"/>
  <c r="S380" i="1"/>
  <c r="T380" i="1"/>
  <c r="U380" i="1"/>
  <c r="V380" i="1"/>
  <c r="Q381" i="1"/>
  <c r="R381" i="1"/>
  <c r="S381" i="1"/>
  <c r="T381" i="1"/>
  <c r="U381" i="1"/>
  <c r="V381" i="1"/>
  <c r="Q382" i="1"/>
  <c r="R382" i="1"/>
  <c r="S382" i="1"/>
  <c r="T382" i="1"/>
  <c r="U382" i="1"/>
  <c r="V382" i="1"/>
  <c r="Q383" i="1"/>
  <c r="R383" i="1"/>
  <c r="S383" i="1"/>
  <c r="T383" i="1"/>
  <c r="U383" i="1"/>
  <c r="V383" i="1"/>
  <c r="Q384" i="1"/>
  <c r="R384" i="1"/>
  <c r="S384" i="1"/>
  <c r="T384" i="1"/>
  <c r="U384" i="1"/>
  <c r="V384" i="1"/>
  <c r="Q385" i="1"/>
  <c r="R385" i="1"/>
  <c r="S385" i="1"/>
  <c r="T385" i="1"/>
  <c r="U385" i="1"/>
  <c r="V385" i="1"/>
  <c r="Q386" i="1"/>
  <c r="R386" i="1"/>
  <c r="S386" i="1"/>
  <c r="T386" i="1"/>
  <c r="U386" i="1"/>
  <c r="V386" i="1"/>
  <c r="Q387" i="1"/>
  <c r="R387" i="1"/>
  <c r="S387" i="1"/>
  <c r="T387" i="1"/>
  <c r="U387" i="1"/>
  <c r="V387" i="1"/>
  <c r="Q388" i="1"/>
  <c r="R388" i="1"/>
  <c r="S388" i="1"/>
  <c r="T388" i="1"/>
  <c r="U388" i="1"/>
  <c r="V388" i="1"/>
  <c r="Q389" i="1"/>
  <c r="R389" i="1"/>
  <c r="S389" i="1"/>
  <c r="T389" i="1"/>
  <c r="U389" i="1"/>
  <c r="V389" i="1"/>
  <c r="Q390" i="1"/>
  <c r="R390" i="1"/>
  <c r="S390" i="1"/>
  <c r="T390" i="1"/>
  <c r="U390" i="1"/>
  <c r="V390" i="1"/>
  <c r="Q391" i="1"/>
  <c r="R391" i="1"/>
  <c r="S391" i="1"/>
  <c r="T391" i="1"/>
  <c r="U391" i="1"/>
  <c r="V391" i="1"/>
  <c r="Q392" i="1"/>
  <c r="R392" i="1"/>
  <c r="S392" i="1"/>
  <c r="T392" i="1"/>
  <c r="U392" i="1"/>
  <c r="V392" i="1"/>
  <c r="Q393" i="1"/>
  <c r="R393" i="1"/>
  <c r="S393" i="1"/>
  <c r="T393" i="1"/>
  <c r="U393" i="1"/>
  <c r="V393" i="1"/>
  <c r="Q394" i="1"/>
  <c r="R394" i="1"/>
  <c r="S394" i="1"/>
  <c r="T394" i="1"/>
  <c r="U394" i="1"/>
  <c r="V394" i="1"/>
  <c r="Q395" i="1"/>
  <c r="R395" i="1"/>
  <c r="S395" i="1"/>
  <c r="T395" i="1"/>
  <c r="U395" i="1"/>
  <c r="V395" i="1"/>
  <c r="Q396" i="1"/>
  <c r="R396" i="1"/>
  <c r="S396" i="1"/>
  <c r="T396" i="1"/>
  <c r="U396" i="1"/>
  <c r="V396" i="1"/>
  <c r="Q397" i="1"/>
  <c r="R397" i="1"/>
  <c r="S397" i="1"/>
  <c r="T397" i="1"/>
  <c r="U397" i="1"/>
  <c r="V397" i="1"/>
  <c r="Q398" i="1"/>
  <c r="R398" i="1"/>
  <c r="S398" i="1"/>
  <c r="T398" i="1"/>
  <c r="U398" i="1"/>
  <c r="V398" i="1"/>
  <c r="Q399" i="1"/>
  <c r="R399" i="1"/>
  <c r="S399" i="1"/>
  <c r="T399" i="1"/>
  <c r="U399" i="1"/>
  <c r="V399" i="1"/>
  <c r="Q400" i="1"/>
  <c r="R400" i="1"/>
  <c r="S400" i="1"/>
  <c r="T400" i="1"/>
  <c r="U400" i="1"/>
  <c r="V400" i="1"/>
  <c r="Q401" i="1"/>
  <c r="R401" i="1"/>
  <c r="S401" i="1"/>
  <c r="T401" i="1"/>
  <c r="U401" i="1"/>
  <c r="V401" i="1"/>
  <c r="Q402" i="1"/>
  <c r="R402" i="1"/>
  <c r="S402" i="1"/>
  <c r="T402" i="1"/>
  <c r="U402" i="1"/>
  <c r="V402" i="1"/>
  <c r="Q403" i="1"/>
  <c r="R403" i="1"/>
  <c r="S403" i="1"/>
  <c r="T403" i="1"/>
  <c r="U403" i="1"/>
  <c r="V403" i="1"/>
  <c r="Q404" i="1"/>
  <c r="R404" i="1"/>
  <c r="S404" i="1"/>
  <c r="T404" i="1"/>
  <c r="U404" i="1"/>
  <c r="V404" i="1"/>
  <c r="Q405" i="1"/>
  <c r="R405" i="1"/>
  <c r="S405" i="1"/>
  <c r="T405" i="1"/>
  <c r="U405" i="1"/>
  <c r="V405" i="1"/>
  <c r="Q406" i="1"/>
  <c r="R406" i="1"/>
  <c r="S406" i="1"/>
  <c r="T406" i="1"/>
  <c r="U406" i="1"/>
  <c r="V406" i="1"/>
  <c r="Q407" i="1"/>
  <c r="R407" i="1"/>
  <c r="S407" i="1"/>
  <c r="T407" i="1"/>
  <c r="U407" i="1"/>
  <c r="V407" i="1"/>
  <c r="Q408" i="1"/>
  <c r="R408" i="1"/>
  <c r="S408" i="1"/>
  <c r="T408" i="1"/>
  <c r="U408" i="1"/>
  <c r="V408" i="1"/>
  <c r="Q409" i="1"/>
  <c r="R409" i="1"/>
  <c r="S409" i="1"/>
  <c r="T409" i="1"/>
  <c r="U409" i="1"/>
  <c r="V409" i="1"/>
  <c r="Q410" i="1"/>
  <c r="R410" i="1"/>
  <c r="S410" i="1"/>
  <c r="T410" i="1"/>
  <c r="U410" i="1"/>
  <c r="V410" i="1"/>
  <c r="Q411" i="1"/>
  <c r="R411" i="1"/>
  <c r="S411" i="1"/>
  <c r="T411" i="1"/>
  <c r="U411" i="1"/>
  <c r="V411" i="1"/>
  <c r="Q412" i="1"/>
  <c r="R412" i="1"/>
  <c r="S412" i="1"/>
  <c r="T412" i="1"/>
  <c r="U412" i="1"/>
  <c r="V412" i="1"/>
  <c r="Q413" i="1"/>
  <c r="R413" i="1"/>
  <c r="S413" i="1"/>
  <c r="T413" i="1"/>
  <c r="U413" i="1"/>
  <c r="V413" i="1"/>
  <c r="Q414" i="1"/>
  <c r="R414" i="1"/>
  <c r="S414" i="1"/>
  <c r="T414" i="1"/>
  <c r="U414" i="1"/>
  <c r="V414" i="1"/>
  <c r="Q415" i="1"/>
  <c r="R415" i="1"/>
  <c r="S415" i="1"/>
  <c r="T415" i="1"/>
  <c r="U415" i="1"/>
  <c r="V415" i="1"/>
  <c r="Q416" i="1"/>
  <c r="R416" i="1"/>
  <c r="S416" i="1"/>
  <c r="T416" i="1"/>
  <c r="U416" i="1"/>
  <c r="V416" i="1"/>
  <c r="Q417" i="1"/>
  <c r="R417" i="1"/>
  <c r="S417" i="1"/>
  <c r="T417" i="1"/>
  <c r="U417" i="1"/>
  <c r="V417" i="1"/>
  <c r="Q418" i="1"/>
  <c r="R418" i="1"/>
  <c r="S418" i="1"/>
  <c r="T418" i="1"/>
  <c r="U418" i="1"/>
  <c r="V418" i="1"/>
  <c r="Q419" i="1"/>
  <c r="R419" i="1"/>
  <c r="S419" i="1"/>
  <c r="T419" i="1"/>
  <c r="U419" i="1"/>
  <c r="V419" i="1"/>
  <c r="Q420" i="1"/>
  <c r="R420" i="1"/>
  <c r="S420" i="1"/>
  <c r="T420" i="1"/>
  <c r="U420" i="1"/>
  <c r="V420" i="1"/>
  <c r="Q421" i="1"/>
  <c r="R421" i="1"/>
  <c r="S421" i="1"/>
  <c r="T421" i="1"/>
  <c r="U421" i="1"/>
  <c r="V421" i="1"/>
  <c r="Q422" i="1"/>
  <c r="R422" i="1"/>
  <c r="S422" i="1"/>
  <c r="T422" i="1"/>
  <c r="U422" i="1"/>
  <c r="V422" i="1"/>
  <c r="Q423" i="1"/>
  <c r="R423" i="1"/>
  <c r="S423" i="1"/>
  <c r="T423" i="1"/>
  <c r="U423" i="1"/>
  <c r="V423" i="1"/>
  <c r="Q424" i="1"/>
  <c r="R424" i="1"/>
  <c r="S424" i="1"/>
  <c r="T424" i="1"/>
  <c r="U424" i="1"/>
  <c r="V424" i="1"/>
  <c r="Q425" i="1"/>
  <c r="R425" i="1"/>
  <c r="S425" i="1"/>
  <c r="T425" i="1"/>
  <c r="U425" i="1"/>
  <c r="V425" i="1"/>
  <c r="Q426" i="1"/>
  <c r="R426" i="1"/>
  <c r="S426" i="1"/>
  <c r="T426" i="1"/>
  <c r="U426" i="1"/>
  <c r="V426" i="1"/>
  <c r="Q427" i="1"/>
  <c r="R427" i="1"/>
  <c r="S427" i="1"/>
  <c r="T427" i="1"/>
  <c r="U427" i="1"/>
  <c r="V427" i="1"/>
  <c r="Q428" i="1"/>
  <c r="R428" i="1"/>
  <c r="S428" i="1"/>
  <c r="T428" i="1"/>
  <c r="U428" i="1"/>
  <c r="V428" i="1"/>
  <c r="Q429" i="1"/>
  <c r="R429" i="1"/>
  <c r="S429" i="1"/>
  <c r="T429" i="1"/>
  <c r="U429" i="1"/>
  <c r="V429" i="1"/>
  <c r="Q430" i="1"/>
  <c r="R430" i="1"/>
  <c r="S430" i="1"/>
  <c r="T430" i="1"/>
  <c r="U430" i="1"/>
  <c r="V430" i="1"/>
  <c r="Q431" i="1"/>
  <c r="R431" i="1"/>
  <c r="S431" i="1"/>
  <c r="T431" i="1"/>
  <c r="U431" i="1"/>
  <c r="V431" i="1"/>
  <c r="Q432" i="1"/>
  <c r="R432" i="1"/>
  <c r="S432" i="1"/>
  <c r="T432" i="1"/>
  <c r="U432" i="1"/>
  <c r="V432" i="1"/>
  <c r="Q433" i="1"/>
  <c r="R433" i="1"/>
  <c r="S433" i="1"/>
  <c r="T433" i="1"/>
  <c r="U433" i="1"/>
  <c r="V433" i="1"/>
  <c r="Q434" i="1"/>
  <c r="R434" i="1"/>
  <c r="S434" i="1"/>
  <c r="T434" i="1"/>
  <c r="U434" i="1"/>
  <c r="V434" i="1"/>
  <c r="Q435" i="1"/>
  <c r="R435" i="1"/>
  <c r="S435" i="1"/>
  <c r="T435" i="1"/>
  <c r="U435" i="1"/>
  <c r="V435" i="1"/>
  <c r="Q436" i="1"/>
  <c r="R436" i="1"/>
  <c r="S436" i="1"/>
  <c r="T436" i="1"/>
  <c r="U436" i="1"/>
  <c r="V436" i="1"/>
  <c r="Q437" i="1"/>
  <c r="R437" i="1"/>
  <c r="S437" i="1"/>
  <c r="T437" i="1"/>
  <c r="U437" i="1"/>
  <c r="V437" i="1"/>
  <c r="Q438" i="1"/>
  <c r="R438" i="1"/>
  <c r="S438" i="1"/>
  <c r="T438" i="1"/>
  <c r="U438" i="1"/>
  <c r="V438" i="1"/>
  <c r="Q439" i="1"/>
  <c r="R439" i="1"/>
  <c r="S439" i="1"/>
  <c r="T439" i="1"/>
  <c r="U439" i="1"/>
  <c r="V439" i="1"/>
  <c r="Q440" i="1"/>
  <c r="R440" i="1"/>
  <c r="S440" i="1"/>
  <c r="T440" i="1"/>
  <c r="U440" i="1"/>
  <c r="V440" i="1"/>
  <c r="Q441" i="1"/>
  <c r="R441" i="1"/>
  <c r="S441" i="1"/>
  <c r="T441" i="1"/>
  <c r="U441" i="1"/>
  <c r="V441" i="1"/>
  <c r="Q442" i="1"/>
  <c r="R442" i="1"/>
  <c r="S442" i="1"/>
  <c r="T442" i="1"/>
  <c r="U442" i="1"/>
  <c r="V442" i="1"/>
  <c r="Q443" i="1"/>
  <c r="R443" i="1"/>
  <c r="S443" i="1"/>
  <c r="T443" i="1"/>
  <c r="U443" i="1"/>
  <c r="V443" i="1"/>
  <c r="Q444" i="1"/>
  <c r="R444" i="1"/>
  <c r="S444" i="1"/>
  <c r="T444" i="1"/>
  <c r="U444" i="1"/>
  <c r="V444" i="1"/>
  <c r="Q445" i="1"/>
  <c r="R445" i="1"/>
  <c r="S445" i="1"/>
  <c r="T445" i="1"/>
  <c r="U445" i="1"/>
  <c r="V445" i="1"/>
  <c r="Q446" i="1"/>
  <c r="R446" i="1"/>
  <c r="S446" i="1"/>
  <c r="T446" i="1"/>
  <c r="U446" i="1"/>
  <c r="V446" i="1"/>
  <c r="Q447" i="1"/>
  <c r="R447" i="1"/>
  <c r="S447" i="1"/>
  <c r="T447" i="1"/>
  <c r="U447" i="1"/>
  <c r="V447" i="1"/>
  <c r="Q448" i="1"/>
  <c r="R448" i="1"/>
  <c r="S448" i="1"/>
  <c r="T448" i="1"/>
  <c r="U448" i="1"/>
  <c r="V448" i="1"/>
  <c r="Q449" i="1"/>
  <c r="R449" i="1"/>
  <c r="S449" i="1"/>
  <c r="T449" i="1"/>
  <c r="U449" i="1"/>
  <c r="V449" i="1"/>
  <c r="Q450" i="1"/>
  <c r="R450" i="1"/>
  <c r="S450" i="1"/>
  <c r="T450" i="1"/>
  <c r="U450" i="1"/>
  <c r="V450" i="1"/>
  <c r="Q451" i="1"/>
  <c r="R451" i="1"/>
  <c r="S451" i="1"/>
  <c r="T451" i="1"/>
  <c r="U451" i="1"/>
  <c r="V451" i="1"/>
  <c r="Q452" i="1"/>
  <c r="R452" i="1"/>
  <c r="S452" i="1"/>
  <c r="T452" i="1"/>
  <c r="U452" i="1"/>
  <c r="V452" i="1"/>
  <c r="Q453" i="1"/>
  <c r="R453" i="1"/>
  <c r="S453" i="1"/>
  <c r="T453" i="1"/>
  <c r="U453" i="1"/>
  <c r="V453" i="1"/>
  <c r="Q454" i="1"/>
  <c r="R454" i="1"/>
  <c r="S454" i="1"/>
  <c r="T454" i="1"/>
  <c r="U454" i="1"/>
  <c r="V454" i="1"/>
  <c r="Q455" i="1"/>
  <c r="R455" i="1"/>
  <c r="S455" i="1"/>
  <c r="T455" i="1"/>
  <c r="U455" i="1"/>
  <c r="V455" i="1"/>
  <c r="Q456" i="1"/>
  <c r="R456" i="1"/>
  <c r="S456" i="1"/>
  <c r="T456" i="1"/>
  <c r="U456" i="1"/>
  <c r="V456" i="1"/>
  <c r="Q457" i="1"/>
  <c r="R457" i="1"/>
  <c r="S457" i="1"/>
  <c r="T457" i="1"/>
  <c r="U457" i="1"/>
  <c r="V457" i="1"/>
  <c r="Q458" i="1"/>
  <c r="R458" i="1"/>
  <c r="S458" i="1"/>
  <c r="T458" i="1"/>
  <c r="U458" i="1"/>
  <c r="V458" i="1"/>
  <c r="Q459" i="1"/>
  <c r="R459" i="1"/>
  <c r="S459" i="1"/>
  <c r="T459" i="1"/>
  <c r="U459" i="1"/>
  <c r="V459" i="1"/>
  <c r="Q460" i="1"/>
  <c r="R460" i="1"/>
  <c r="S460" i="1"/>
  <c r="T460" i="1"/>
  <c r="U460" i="1"/>
  <c r="V460" i="1"/>
  <c r="Q461" i="1"/>
  <c r="R461" i="1"/>
  <c r="S461" i="1"/>
  <c r="T461" i="1"/>
  <c r="U461" i="1"/>
  <c r="V461" i="1"/>
  <c r="Q462" i="1"/>
  <c r="R462" i="1"/>
  <c r="S462" i="1"/>
  <c r="T462" i="1"/>
  <c r="U462" i="1"/>
  <c r="V462" i="1"/>
  <c r="Q463" i="1"/>
  <c r="R463" i="1"/>
  <c r="S463" i="1"/>
  <c r="T463" i="1"/>
  <c r="U463" i="1"/>
  <c r="V463" i="1"/>
  <c r="Q464" i="1"/>
  <c r="R464" i="1"/>
  <c r="S464" i="1"/>
  <c r="T464" i="1"/>
  <c r="U464" i="1"/>
  <c r="V464" i="1"/>
  <c r="Q465" i="1"/>
  <c r="R465" i="1"/>
  <c r="S465" i="1"/>
  <c r="T465" i="1"/>
  <c r="U465" i="1"/>
  <c r="V465" i="1"/>
  <c r="Q466" i="1"/>
  <c r="R466" i="1"/>
  <c r="S466" i="1"/>
  <c r="T466" i="1"/>
  <c r="U466" i="1"/>
  <c r="V466" i="1"/>
  <c r="Q467" i="1"/>
  <c r="R467" i="1"/>
  <c r="S467" i="1"/>
  <c r="T467" i="1"/>
  <c r="U467" i="1"/>
  <c r="V467" i="1"/>
  <c r="Q468" i="1"/>
  <c r="R468" i="1"/>
  <c r="S468" i="1"/>
  <c r="T468" i="1"/>
  <c r="U468" i="1"/>
  <c r="V468" i="1"/>
  <c r="Q469" i="1"/>
  <c r="R469" i="1"/>
  <c r="S469" i="1"/>
  <c r="T469" i="1"/>
  <c r="U469" i="1"/>
  <c r="V469" i="1"/>
  <c r="Q470" i="1"/>
  <c r="R470" i="1"/>
  <c r="S470" i="1"/>
  <c r="T470" i="1"/>
  <c r="U470" i="1"/>
  <c r="V470" i="1"/>
  <c r="Q471" i="1"/>
  <c r="R471" i="1"/>
  <c r="S471" i="1"/>
  <c r="T471" i="1"/>
  <c r="U471" i="1"/>
  <c r="V471" i="1"/>
  <c r="Q472" i="1"/>
  <c r="R472" i="1"/>
  <c r="S472" i="1"/>
  <c r="T472" i="1"/>
  <c r="U472" i="1"/>
  <c r="V472" i="1"/>
  <c r="Q473" i="1"/>
  <c r="R473" i="1"/>
  <c r="S473" i="1"/>
  <c r="T473" i="1"/>
  <c r="U473" i="1"/>
  <c r="V473" i="1"/>
  <c r="Q474" i="1"/>
  <c r="R474" i="1"/>
  <c r="S474" i="1"/>
  <c r="T474" i="1"/>
  <c r="U474" i="1"/>
  <c r="V474" i="1"/>
  <c r="Q475" i="1"/>
  <c r="R475" i="1"/>
  <c r="S475" i="1"/>
  <c r="T475" i="1"/>
  <c r="U475" i="1"/>
  <c r="V475" i="1"/>
  <c r="Q476" i="1"/>
  <c r="R476" i="1"/>
  <c r="S476" i="1"/>
  <c r="T476" i="1"/>
  <c r="U476" i="1"/>
  <c r="V476" i="1"/>
  <c r="Q477" i="1"/>
  <c r="R477" i="1"/>
  <c r="S477" i="1"/>
  <c r="T477" i="1"/>
  <c r="U477" i="1"/>
  <c r="V477" i="1"/>
  <c r="Q478" i="1"/>
  <c r="R478" i="1"/>
  <c r="S478" i="1"/>
  <c r="T478" i="1"/>
  <c r="U478" i="1"/>
  <c r="V478" i="1"/>
  <c r="Q479" i="1"/>
  <c r="R479" i="1"/>
  <c r="S479" i="1"/>
  <c r="T479" i="1"/>
  <c r="U479" i="1"/>
  <c r="V479" i="1"/>
  <c r="Q480" i="1"/>
  <c r="R480" i="1"/>
  <c r="S480" i="1"/>
  <c r="T480" i="1"/>
  <c r="U480" i="1"/>
  <c r="V480" i="1"/>
  <c r="Q481" i="1"/>
  <c r="R481" i="1"/>
  <c r="S481" i="1"/>
  <c r="T481" i="1"/>
  <c r="U481" i="1"/>
  <c r="V481" i="1"/>
  <c r="Q482" i="1"/>
  <c r="R482" i="1"/>
  <c r="S482" i="1"/>
  <c r="T482" i="1"/>
  <c r="U482" i="1"/>
  <c r="V482" i="1"/>
  <c r="Q483" i="1"/>
  <c r="R483" i="1"/>
  <c r="S483" i="1"/>
  <c r="T483" i="1"/>
  <c r="U483" i="1"/>
  <c r="V483" i="1"/>
  <c r="Q484" i="1"/>
  <c r="R484" i="1"/>
  <c r="S484" i="1"/>
  <c r="T484" i="1"/>
  <c r="U484" i="1"/>
  <c r="V484" i="1"/>
  <c r="Q485" i="1"/>
  <c r="R485" i="1"/>
  <c r="S485" i="1"/>
  <c r="T485" i="1"/>
  <c r="U485" i="1"/>
  <c r="V485" i="1"/>
  <c r="Q486" i="1"/>
  <c r="R486" i="1"/>
  <c r="S486" i="1"/>
  <c r="T486" i="1"/>
  <c r="U486" i="1"/>
  <c r="V486" i="1"/>
  <c r="Q487" i="1"/>
  <c r="R487" i="1"/>
  <c r="S487" i="1"/>
  <c r="T487" i="1"/>
  <c r="U487" i="1"/>
  <c r="V487" i="1"/>
  <c r="Q488" i="1"/>
  <c r="R488" i="1"/>
  <c r="S488" i="1"/>
  <c r="T488" i="1"/>
  <c r="U488" i="1"/>
  <c r="V488" i="1"/>
  <c r="Q489" i="1"/>
  <c r="R489" i="1"/>
  <c r="S489" i="1"/>
  <c r="T489" i="1"/>
  <c r="U489" i="1"/>
  <c r="V489" i="1"/>
  <c r="Q490" i="1"/>
  <c r="R490" i="1"/>
  <c r="S490" i="1"/>
  <c r="T490" i="1"/>
  <c r="U490" i="1"/>
  <c r="V490" i="1"/>
  <c r="Q491" i="1"/>
  <c r="R491" i="1"/>
  <c r="S491" i="1"/>
  <c r="T491" i="1"/>
  <c r="U491" i="1"/>
  <c r="V491" i="1"/>
  <c r="Q492" i="1"/>
  <c r="R492" i="1"/>
  <c r="S492" i="1"/>
  <c r="T492" i="1"/>
  <c r="U492" i="1"/>
  <c r="V492" i="1"/>
  <c r="Q493" i="1"/>
  <c r="R493" i="1"/>
  <c r="S493" i="1"/>
  <c r="T493" i="1"/>
  <c r="U493" i="1"/>
  <c r="V493" i="1"/>
  <c r="Q494" i="1"/>
  <c r="R494" i="1"/>
  <c r="S494" i="1"/>
  <c r="T494" i="1"/>
  <c r="U494" i="1"/>
  <c r="V494" i="1"/>
  <c r="Q495" i="1"/>
  <c r="R495" i="1"/>
  <c r="S495" i="1"/>
  <c r="T495" i="1"/>
  <c r="U495" i="1"/>
  <c r="V495" i="1"/>
  <c r="Q496" i="1"/>
  <c r="R496" i="1"/>
  <c r="S496" i="1"/>
  <c r="T496" i="1"/>
  <c r="U496" i="1"/>
  <c r="V496" i="1"/>
  <c r="Q497" i="1"/>
  <c r="R497" i="1"/>
  <c r="S497" i="1"/>
  <c r="T497" i="1"/>
  <c r="U497" i="1"/>
  <c r="V497" i="1"/>
  <c r="Q498" i="1"/>
  <c r="R498" i="1"/>
  <c r="S498" i="1"/>
  <c r="T498" i="1"/>
  <c r="U498" i="1"/>
  <c r="V498" i="1"/>
  <c r="Q499" i="1"/>
  <c r="R499" i="1"/>
  <c r="S499" i="1"/>
  <c r="T499" i="1"/>
  <c r="U499" i="1"/>
  <c r="V499" i="1"/>
  <c r="Q500" i="1"/>
  <c r="R500" i="1"/>
  <c r="S500" i="1"/>
  <c r="T500" i="1"/>
  <c r="U500" i="1"/>
  <c r="V500" i="1"/>
  <c r="Q501" i="1"/>
  <c r="R501" i="1"/>
  <c r="S501" i="1"/>
  <c r="T501" i="1"/>
  <c r="U501" i="1"/>
  <c r="V501" i="1"/>
  <c r="Q502" i="1"/>
  <c r="R502" i="1"/>
  <c r="S502" i="1"/>
  <c r="T502" i="1"/>
  <c r="U502" i="1"/>
  <c r="V502" i="1"/>
  <c r="Q503" i="1"/>
  <c r="R503" i="1"/>
  <c r="S503" i="1"/>
  <c r="T503" i="1"/>
  <c r="U503" i="1"/>
  <c r="V503" i="1"/>
  <c r="Q504" i="1"/>
  <c r="R504" i="1"/>
  <c r="S504" i="1"/>
  <c r="T504" i="1"/>
  <c r="U504" i="1"/>
  <c r="V504" i="1"/>
  <c r="Q505" i="1"/>
  <c r="R505" i="1"/>
  <c r="S505" i="1"/>
  <c r="T505" i="1"/>
  <c r="U505" i="1"/>
  <c r="V505" i="1"/>
  <c r="Q506" i="1"/>
  <c r="R506" i="1"/>
  <c r="S506" i="1"/>
  <c r="T506" i="1"/>
  <c r="U506" i="1"/>
  <c r="V506" i="1"/>
  <c r="Q507" i="1"/>
  <c r="R507" i="1"/>
  <c r="S507" i="1"/>
  <c r="T507" i="1"/>
  <c r="U507" i="1"/>
  <c r="V507" i="1"/>
  <c r="Q508" i="1"/>
  <c r="R508" i="1"/>
  <c r="S508" i="1"/>
  <c r="T508" i="1"/>
  <c r="U508" i="1"/>
  <c r="V508" i="1"/>
  <c r="Q509" i="1"/>
  <c r="R509" i="1"/>
  <c r="S509" i="1"/>
  <c r="T509" i="1"/>
  <c r="U509" i="1"/>
  <c r="V509" i="1"/>
  <c r="Q510" i="1"/>
  <c r="R510" i="1"/>
  <c r="S510" i="1"/>
  <c r="T510" i="1"/>
  <c r="U510" i="1"/>
  <c r="V510" i="1"/>
  <c r="Q511" i="1"/>
  <c r="R511" i="1"/>
  <c r="S511" i="1"/>
  <c r="T511" i="1"/>
  <c r="U511" i="1"/>
  <c r="V511" i="1"/>
  <c r="Q512" i="1"/>
  <c r="R512" i="1"/>
  <c r="S512" i="1"/>
  <c r="T512" i="1"/>
  <c r="U512" i="1"/>
  <c r="V512" i="1"/>
  <c r="Q513" i="1"/>
  <c r="R513" i="1"/>
  <c r="S513" i="1"/>
  <c r="T513" i="1"/>
  <c r="U513" i="1"/>
  <c r="V513" i="1"/>
  <c r="Q514" i="1"/>
  <c r="R514" i="1"/>
  <c r="S514" i="1"/>
  <c r="T514" i="1"/>
  <c r="U514" i="1"/>
  <c r="V514" i="1"/>
  <c r="Q515" i="1"/>
  <c r="R515" i="1"/>
  <c r="S515" i="1"/>
  <c r="T515" i="1"/>
  <c r="U515" i="1"/>
  <c r="V515" i="1"/>
  <c r="Q516" i="1"/>
  <c r="R516" i="1"/>
  <c r="S516" i="1"/>
  <c r="T516" i="1"/>
  <c r="U516" i="1"/>
  <c r="V516" i="1"/>
  <c r="Q517" i="1"/>
  <c r="R517" i="1"/>
  <c r="S517" i="1"/>
  <c r="T517" i="1"/>
  <c r="U517" i="1"/>
  <c r="V517" i="1"/>
  <c r="Q518" i="1"/>
  <c r="R518" i="1"/>
  <c r="S518" i="1"/>
  <c r="T518" i="1"/>
  <c r="U518" i="1"/>
  <c r="V518" i="1"/>
  <c r="Q519" i="1"/>
  <c r="R519" i="1"/>
  <c r="S519" i="1"/>
  <c r="T519" i="1"/>
  <c r="U519" i="1"/>
  <c r="V519" i="1"/>
  <c r="Q520" i="1"/>
  <c r="R520" i="1"/>
  <c r="S520" i="1"/>
  <c r="T520" i="1"/>
  <c r="U520" i="1"/>
  <c r="V520" i="1"/>
  <c r="Q521" i="1"/>
  <c r="R521" i="1"/>
  <c r="S521" i="1"/>
  <c r="T521" i="1"/>
  <c r="U521" i="1"/>
  <c r="V521" i="1"/>
  <c r="Q522" i="1"/>
  <c r="R522" i="1"/>
  <c r="S522" i="1"/>
  <c r="T522" i="1"/>
  <c r="U522" i="1"/>
  <c r="V522" i="1"/>
  <c r="Q523" i="1"/>
  <c r="R523" i="1"/>
  <c r="S523" i="1"/>
  <c r="T523" i="1"/>
  <c r="U523" i="1"/>
  <c r="V523" i="1"/>
  <c r="Q524" i="1"/>
  <c r="R524" i="1"/>
  <c r="S524" i="1"/>
  <c r="T524" i="1"/>
  <c r="U524" i="1"/>
  <c r="V524" i="1"/>
  <c r="Q525" i="1"/>
  <c r="R525" i="1"/>
  <c r="S525" i="1"/>
  <c r="T525" i="1"/>
  <c r="U525" i="1"/>
  <c r="V525" i="1"/>
  <c r="Q526" i="1"/>
  <c r="R526" i="1"/>
  <c r="S526" i="1"/>
  <c r="T526" i="1"/>
  <c r="U526" i="1"/>
  <c r="V526" i="1"/>
  <c r="Q527" i="1"/>
  <c r="R527" i="1"/>
  <c r="S527" i="1"/>
  <c r="T527" i="1"/>
  <c r="U527" i="1"/>
  <c r="V527" i="1"/>
  <c r="Q528" i="1"/>
  <c r="R528" i="1"/>
  <c r="S528" i="1"/>
  <c r="T528" i="1"/>
  <c r="U528" i="1"/>
  <c r="V528" i="1"/>
  <c r="Q529" i="1"/>
  <c r="R529" i="1"/>
  <c r="S529" i="1"/>
  <c r="T529" i="1"/>
  <c r="U529" i="1"/>
  <c r="V529" i="1"/>
  <c r="Q530" i="1"/>
  <c r="R530" i="1"/>
  <c r="S530" i="1"/>
  <c r="T530" i="1"/>
  <c r="U530" i="1"/>
  <c r="V530" i="1"/>
  <c r="Q531" i="1"/>
  <c r="R531" i="1"/>
  <c r="S531" i="1"/>
  <c r="T531" i="1"/>
  <c r="U531" i="1"/>
  <c r="V531" i="1"/>
  <c r="Q532" i="1"/>
  <c r="R532" i="1"/>
  <c r="S532" i="1"/>
  <c r="T532" i="1"/>
  <c r="U532" i="1"/>
  <c r="V532" i="1"/>
  <c r="Q533" i="1"/>
  <c r="R533" i="1"/>
  <c r="S533" i="1"/>
  <c r="T533" i="1"/>
  <c r="U533" i="1"/>
  <c r="V533" i="1"/>
  <c r="Q534" i="1"/>
  <c r="R534" i="1"/>
  <c r="S534" i="1"/>
  <c r="T534" i="1"/>
  <c r="U534" i="1"/>
  <c r="V534" i="1"/>
  <c r="Q535" i="1"/>
  <c r="R535" i="1"/>
  <c r="S535" i="1"/>
  <c r="T535" i="1"/>
  <c r="U535" i="1"/>
  <c r="V535" i="1"/>
  <c r="Q536" i="1"/>
  <c r="R536" i="1"/>
  <c r="S536" i="1"/>
  <c r="T536" i="1"/>
  <c r="U536" i="1"/>
  <c r="V536" i="1"/>
  <c r="Q537" i="1"/>
  <c r="R537" i="1"/>
  <c r="S537" i="1"/>
  <c r="T537" i="1"/>
  <c r="U537" i="1"/>
  <c r="V537" i="1"/>
  <c r="Q538" i="1"/>
  <c r="R538" i="1"/>
  <c r="S538" i="1"/>
  <c r="T538" i="1"/>
  <c r="U538" i="1"/>
  <c r="V538" i="1"/>
  <c r="Q539" i="1"/>
  <c r="R539" i="1"/>
  <c r="S539" i="1"/>
  <c r="T539" i="1"/>
  <c r="U539" i="1"/>
  <c r="V539" i="1"/>
  <c r="Q540" i="1"/>
  <c r="R540" i="1"/>
  <c r="S540" i="1"/>
  <c r="T540" i="1"/>
  <c r="U540" i="1"/>
  <c r="V540" i="1"/>
  <c r="Q541" i="1"/>
  <c r="R541" i="1"/>
  <c r="S541" i="1"/>
  <c r="T541" i="1"/>
  <c r="U541" i="1"/>
  <c r="V541" i="1"/>
  <c r="Q542" i="1"/>
  <c r="R542" i="1"/>
  <c r="S542" i="1"/>
  <c r="T542" i="1"/>
  <c r="U542" i="1"/>
  <c r="V542" i="1"/>
  <c r="Q543" i="1"/>
  <c r="R543" i="1"/>
  <c r="S543" i="1"/>
  <c r="T543" i="1"/>
  <c r="U543" i="1"/>
  <c r="V543" i="1"/>
  <c r="Q544" i="1"/>
  <c r="R544" i="1"/>
  <c r="S544" i="1"/>
  <c r="T544" i="1"/>
  <c r="U544" i="1"/>
  <c r="V544" i="1"/>
  <c r="Q545" i="1"/>
  <c r="R545" i="1"/>
  <c r="S545" i="1"/>
  <c r="T545" i="1"/>
  <c r="U545" i="1"/>
  <c r="V545" i="1"/>
  <c r="Q546" i="1"/>
  <c r="R546" i="1"/>
  <c r="S546" i="1"/>
  <c r="T546" i="1"/>
  <c r="U546" i="1"/>
  <c r="V546" i="1"/>
  <c r="Q547" i="1"/>
  <c r="R547" i="1"/>
  <c r="S547" i="1"/>
  <c r="T547" i="1"/>
  <c r="U547" i="1"/>
  <c r="V547" i="1"/>
  <c r="Q548" i="1"/>
  <c r="R548" i="1"/>
  <c r="S548" i="1"/>
  <c r="T548" i="1"/>
  <c r="U548" i="1"/>
  <c r="V548" i="1"/>
  <c r="Q549" i="1"/>
  <c r="R549" i="1"/>
  <c r="S549" i="1"/>
  <c r="T549" i="1"/>
  <c r="U549" i="1"/>
  <c r="V549" i="1"/>
  <c r="Q550" i="1"/>
  <c r="R550" i="1"/>
  <c r="S550" i="1"/>
  <c r="T550" i="1"/>
  <c r="U550" i="1"/>
  <c r="V550" i="1"/>
  <c r="Q551" i="1"/>
  <c r="R551" i="1"/>
  <c r="S551" i="1"/>
  <c r="T551" i="1"/>
  <c r="U551" i="1"/>
  <c r="V551" i="1"/>
  <c r="Q552" i="1"/>
  <c r="R552" i="1"/>
  <c r="S552" i="1"/>
  <c r="T552" i="1"/>
  <c r="U552" i="1"/>
  <c r="V552" i="1"/>
  <c r="Q553" i="1"/>
  <c r="R553" i="1"/>
  <c r="S553" i="1"/>
  <c r="T553" i="1"/>
  <c r="U553" i="1"/>
  <c r="V553" i="1"/>
  <c r="Q554" i="1"/>
  <c r="R554" i="1"/>
  <c r="S554" i="1"/>
  <c r="T554" i="1"/>
  <c r="U554" i="1"/>
  <c r="V554" i="1"/>
  <c r="Q555" i="1"/>
  <c r="R555" i="1"/>
  <c r="S555" i="1"/>
  <c r="T555" i="1"/>
  <c r="U555" i="1"/>
  <c r="V555" i="1"/>
  <c r="Q556" i="1"/>
  <c r="R556" i="1"/>
  <c r="S556" i="1"/>
  <c r="T556" i="1"/>
  <c r="U556" i="1"/>
  <c r="V556" i="1"/>
  <c r="Q557" i="1"/>
  <c r="R557" i="1"/>
  <c r="S557" i="1"/>
  <c r="T557" i="1"/>
  <c r="U557" i="1"/>
  <c r="V557" i="1"/>
  <c r="Q558" i="1"/>
  <c r="R558" i="1"/>
  <c r="S558" i="1"/>
  <c r="T558" i="1"/>
  <c r="U558" i="1"/>
  <c r="V558" i="1"/>
  <c r="Q559" i="1"/>
  <c r="R559" i="1"/>
  <c r="S559" i="1"/>
  <c r="T559" i="1"/>
  <c r="U559" i="1"/>
  <c r="V559" i="1"/>
  <c r="Q560" i="1"/>
  <c r="R560" i="1"/>
  <c r="S560" i="1"/>
  <c r="T560" i="1"/>
  <c r="U560" i="1"/>
  <c r="V560" i="1"/>
  <c r="Q561" i="1"/>
  <c r="R561" i="1"/>
  <c r="S561" i="1"/>
  <c r="T561" i="1"/>
  <c r="U561" i="1"/>
  <c r="V561" i="1"/>
  <c r="Q562" i="1"/>
  <c r="R562" i="1"/>
  <c r="S562" i="1"/>
  <c r="T562" i="1"/>
  <c r="U562" i="1"/>
  <c r="V562" i="1"/>
  <c r="Q563" i="1"/>
  <c r="R563" i="1"/>
  <c r="S563" i="1"/>
  <c r="T563" i="1"/>
  <c r="U563" i="1"/>
  <c r="V563" i="1"/>
  <c r="Q564" i="1"/>
  <c r="R564" i="1"/>
  <c r="S564" i="1"/>
  <c r="T564" i="1"/>
  <c r="U564" i="1"/>
  <c r="V564" i="1"/>
  <c r="Q565" i="1"/>
  <c r="R565" i="1"/>
  <c r="S565" i="1"/>
  <c r="T565" i="1"/>
  <c r="U565" i="1"/>
  <c r="V565" i="1"/>
  <c r="Q566" i="1"/>
  <c r="R566" i="1"/>
  <c r="S566" i="1"/>
  <c r="T566" i="1"/>
  <c r="U566" i="1"/>
  <c r="V566" i="1"/>
  <c r="Q567" i="1"/>
  <c r="R567" i="1"/>
  <c r="S567" i="1"/>
  <c r="T567" i="1"/>
  <c r="U567" i="1"/>
  <c r="V567" i="1"/>
  <c r="Q568" i="1"/>
  <c r="R568" i="1"/>
  <c r="S568" i="1"/>
  <c r="T568" i="1"/>
  <c r="U568" i="1"/>
  <c r="V568" i="1"/>
  <c r="Q569" i="1"/>
  <c r="R569" i="1"/>
  <c r="S569" i="1"/>
  <c r="T569" i="1"/>
  <c r="U569" i="1"/>
  <c r="V569" i="1"/>
  <c r="Q570" i="1"/>
  <c r="R570" i="1"/>
  <c r="S570" i="1"/>
  <c r="T570" i="1"/>
  <c r="U570" i="1"/>
  <c r="V570" i="1"/>
  <c r="Q571" i="1"/>
  <c r="R571" i="1"/>
  <c r="S571" i="1"/>
  <c r="T571" i="1"/>
  <c r="U571" i="1"/>
  <c r="V571" i="1"/>
  <c r="Q572" i="1"/>
  <c r="R572" i="1"/>
  <c r="S572" i="1"/>
  <c r="T572" i="1"/>
  <c r="U572" i="1"/>
  <c r="V572" i="1"/>
  <c r="Q573" i="1"/>
  <c r="R573" i="1"/>
  <c r="S573" i="1"/>
  <c r="T573" i="1"/>
  <c r="U573" i="1"/>
  <c r="V573" i="1"/>
  <c r="Q574" i="1"/>
  <c r="R574" i="1"/>
  <c r="S574" i="1"/>
  <c r="T574" i="1"/>
  <c r="U574" i="1"/>
  <c r="V574" i="1"/>
  <c r="Q575" i="1"/>
  <c r="R575" i="1"/>
  <c r="S575" i="1"/>
  <c r="T575" i="1"/>
  <c r="U575" i="1"/>
  <c r="V575" i="1"/>
  <c r="Q576" i="1"/>
  <c r="R576" i="1"/>
  <c r="S576" i="1"/>
  <c r="T576" i="1"/>
  <c r="U576" i="1"/>
  <c r="V576" i="1"/>
  <c r="Q577" i="1"/>
  <c r="R577" i="1"/>
  <c r="S577" i="1"/>
  <c r="T577" i="1"/>
  <c r="U577" i="1"/>
  <c r="V577" i="1"/>
  <c r="Q578" i="1"/>
  <c r="R578" i="1"/>
  <c r="S578" i="1"/>
  <c r="T578" i="1"/>
  <c r="U578" i="1"/>
  <c r="V578" i="1"/>
  <c r="Q579" i="1"/>
  <c r="R579" i="1"/>
  <c r="S579" i="1"/>
  <c r="T579" i="1"/>
  <c r="U579" i="1"/>
  <c r="V579" i="1"/>
  <c r="Q580" i="1"/>
  <c r="R580" i="1"/>
  <c r="S580" i="1"/>
  <c r="T580" i="1"/>
  <c r="U580" i="1"/>
  <c r="V580" i="1"/>
  <c r="Q581" i="1"/>
  <c r="R581" i="1"/>
  <c r="S581" i="1"/>
  <c r="T581" i="1"/>
  <c r="U581" i="1"/>
  <c r="V581" i="1"/>
  <c r="Q582" i="1"/>
  <c r="R582" i="1"/>
  <c r="S582" i="1"/>
  <c r="T582" i="1"/>
  <c r="U582" i="1"/>
  <c r="V582" i="1"/>
  <c r="Q583" i="1"/>
  <c r="R583" i="1"/>
  <c r="S583" i="1"/>
  <c r="T583" i="1"/>
  <c r="U583" i="1"/>
  <c r="V583" i="1"/>
  <c r="Q584" i="1"/>
  <c r="R584" i="1"/>
  <c r="S584" i="1"/>
  <c r="T584" i="1"/>
  <c r="U584" i="1"/>
  <c r="V584" i="1"/>
  <c r="Q585" i="1"/>
  <c r="R585" i="1"/>
  <c r="S585" i="1"/>
  <c r="T585" i="1"/>
  <c r="U585" i="1"/>
  <c r="V585" i="1"/>
  <c r="Q586" i="1"/>
  <c r="R586" i="1"/>
  <c r="S586" i="1"/>
  <c r="T586" i="1"/>
  <c r="U586" i="1"/>
  <c r="V586" i="1"/>
  <c r="Q587" i="1"/>
  <c r="R587" i="1"/>
  <c r="S587" i="1"/>
  <c r="T587" i="1"/>
  <c r="U587" i="1"/>
  <c r="V587" i="1"/>
  <c r="Q588" i="1"/>
  <c r="R588" i="1"/>
  <c r="S588" i="1"/>
  <c r="T588" i="1"/>
  <c r="U588" i="1"/>
  <c r="V588" i="1"/>
  <c r="Q589" i="1"/>
  <c r="R589" i="1"/>
  <c r="S589" i="1"/>
  <c r="T589" i="1"/>
  <c r="U589" i="1"/>
  <c r="V589" i="1"/>
  <c r="Q590" i="1"/>
  <c r="R590" i="1"/>
  <c r="S590" i="1"/>
  <c r="T590" i="1"/>
  <c r="U590" i="1"/>
  <c r="V590" i="1"/>
  <c r="Q591" i="1"/>
  <c r="R591" i="1"/>
  <c r="S591" i="1"/>
  <c r="T591" i="1"/>
  <c r="U591" i="1"/>
  <c r="V591" i="1"/>
  <c r="Q592" i="1"/>
  <c r="R592" i="1"/>
  <c r="S592" i="1"/>
  <c r="T592" i="1"/>
  <c r="U592" i="1"/>
  <c r="V592" i="1"/>
  <c r="Q593" i="1"/>
  <c r="R593" i="1"/>
  <c r="S593" i="1"/>
  <c r="T593" i="1"/>
  <c r="U593" i="1"/>
  <c r="V593" i="1"/>
  <c r="Q594" i="1"/>
  <c r="R594" i="1"/>
  <c r="S594" i="1"/>
  <c r="T594" i="1"/>
  <c r="U594" i="1"/>
  <c r="V594" i="1"/>
  <c r="Q595" i="1"/>
  <c r="R595" i="1"/>
  <c r="S595" i="1"/>
  <c r="T595" i="1"/>
  <c r="U595" i="1"/>
  <c r="V595" i="1"/>
  <c r="Q596" i="1"/>
  <c r="R596" i="1"/>
  <c r="S596" i="1"/>
  <c r="T596" i="1"/>
  <c r="U596" i="1"/>
  <c r="V596" i="1"/>
  <c r="Q597" i="1"/>
  <c r="R597" i="1"/>
  <c r="S597" i="1"/>
  <c r="T597" i="1"/>
  <c r="U597" i="1"/>
  <c r="V597" i="1"/>
  <c r="Q598" i="1"/>
  <c r="R598" i="1"/>
  <c r="S598" i="1"/>
  <c r="T598" i="1"/>
  <c r="U598" i="1"/>
  <c r="V598" i="1"/>
  <c r="Q599" i="1"/>
  <c r="R599" i="1"/>
  <c r="S599" i="1"/>
  <c r="T599" i="1"/>
  <c r="U599" i="1"/>
  <c r="V599" i="1"/>
  <c r="Q600" i="1"/>
  <c r="R600" i="1"/>
  <c r="S600" i="1"/>
  <c r="T600" i="1"/>
  <c r="U600" i="1"/>
  <c r="V600" i="1"/>
  <c r="Q601" i="1"/>
  <c r="R601" i="1"/>
  <c r="S601" i="1"/>
  <c r="T601" i="1"/>
  <c r="U601" i="1"/>
  <c r="V601" i="1"/>
  <c r="Q602" i="1"/>
  <c r="R602" i="1"/>
  <c r="S602" i="1"/>
  <c r="T602" i="1"/>
  <c r="U602" i="1"/>
  <c r="V602" i="1"/>
  <c r="Q603" i="1"/>
  <c r="R603" i="1"/>
  <c r="S603" i="1"/>
  <c r="T603" i="1"/>
  <c r="U603" i="1"/>
  <c r="V603" i="1"/>
  <c r="Q604" i="1"/>
  <c r="R604" i="1"/>
  <c r="S604" i="1"/>
  <c r="T604" i="1"/>
  <c r="U604" i="1"/>
  <c r="V604" i="1"/>
  <c r="Q605" i="1"/>
  <c r="R605" i="1"/>
  <c r="S605" i="1"/>
  <c r="T605" i="1"/>
  <c r="U605" i="1"/>
  <c r="V605" i="1"/>
  <c r="Q606" i="1"/>
  <c r="R606" i="1"/>
  <c r="S606" i="1"/>
  <c r="T606" i="1"/>
  <c r="U606" i="1"/>
  <c r="V606" i="1"/>
  <c r="Q607" i="1"/>
  <c r="R607" i="1"/>
  <c r="S607" i="1"/>
  <c r="T607" i="1"/>
  <c r="U607" i="1"/>
  <c r="V607" i="1"/>
  <c r="Q608" i="1"/>
  <c r="R608" i="1"/>
  <c r="S608" i="1"/>
  <c r="T608" i="1"/>
  <c r="U608" i="1"/>
  <c r="V608" i="1"/>
  <c r="Q609" i="1"/>
  <c r="R609" i="1"/>
  <c r="S609" i="1"/>
  <c r="T609" i="1"/>
  <c r="U609" i="1"/>
  <c r="V609" i="1"/>
  <c r="Q610" i="1"/>
  <c r="R610" i="1"/>
  <c r="S610" i="1"/>
  <c r="T610" i="1"/>
  <c r="U610" i="1"/>
  <c r="V610" i="1"/>
  <c r="Q611" i="1"/>
  <c r="R611" i="1"/>
  <c r="S611" i="1"/>
  <c r="T611" i="1"/>
  <c r="U611" i="1"/>
  <c r="V611" i="1"/>
  <c r="Q612" i="1"/>
  <c r="R612" i="1"/>
  <c r="S612" i="1"/>
  <c r="T612" i="1"/>
  <c r="U612" i="1"/>
  <c r="V612" i="1"/>
  <c r="Q613" i="1"/>
  <c r="R613" i="1"/>
  <c r="S613" i="1"/>
  <c r="T613" i="1"/>
  <c r="U613" i="1"/>
  <c r="V613" i="1"/>
  <c r="Q614" i="1"/>
  <c r="R614" i="1"/>
  <c r="S614" i="1"/>
  <c r="T614" i="1"/>
  <c r="U614" i="1"/>
  <c r="V614" i="1"/>
  <c r="Q615" i="1"/>
  <c r="R615" i="1"/>
  <c r="S615" i="1"/>
  <c r="T615" i="1"/>
  <c r="U615" i="1"/>
  <c r="V615" i="1"/>
  <c r="Q616" i="1"/>
  <c r="R616" i="1"/>
  <c r="S616" i="1"/>
  <c r="T616" i="1"/>
  <c r="U616" i="1"/>
  <c r="V616" i="1"/>
  <c r="Q617" i="1"/>
  <c r="R617" i="1"/>
  <c r="S617" i="1"/>
  <c r="T617" i="1"/>
  <c r="U617" i="1"/>
  <c r="V617" i="1"/>
  <c r="Q618" i="1"/>
  <c r="R618" i="1"/>
  <c r="S618" i="1"/>
  <c r="T618" i="1"/>
  <c r="U618" i="1"/>
  <c r="V618" i="1"/>
  <c r="Q619" i="1"/>
  <c r="R619" i="1"/>
  <c r="S619" i="1"/>
  <c r="T619" i="1"/>
  <c r="U619" i="1"/>
  <c r="V619" i="1"/>
  <c r="Q620" i="1"/>
  <c r="R620" i="1"/>
  <c r="S620" i="1"/>
  <c r="T620" i="1"/>
  <c r="U620" i="1"/>
  <c r="V620" i="1"/>
  <c r="Q621" i="1"/>
  <c r="R621" i="1"/>
  <c r="S621" i="1"/>
  <c r="T621" i="1"/>
  <c r="U621" i="1"/>
  <c r="V621" i="1"/>
  <c r="Q622" i="1"/>
  <c r="R622" i="1"/>
  <c r="S622" i="1"/>
  <c r="T622" i="1"/>
  <c r="U622" i="1"/>
  <c r="V622" i="1"/>
  <c r="Q623" i="1"/>
  <c r="R623" i="1"/>
  <c r="S623" i="1"/>
  <c r="T623" i="1"/>
  <c r="U623" i="1"/>
  <c r="V623" i="1"/>
  <c r="Q624" i="1"/>
  <c r="R624" i="1"/>
  <c r="S624" i="1"/>
  <c r="T624" i="1"/>
  <c r="U624" i="1"/>
  <c r="V624" i="1"/>
  <c r="Q625" i="1"/>
  <c r="R625" i="1"/>
  <c r="S625" i="1"/>
  <c r="T625" i="1"/>
  <c r="U625" i="1"/>
  <c r="V625" i="1"/>
  <c r="Q626" i="1"/>
  <c r="R626" i="1"/>
  <c r="S626" i="1"/>
  <c r="T626" i="1"/>
  <c r="U626" i="1"/>
  <c r="V626" i="1"/>
  <c r="Q627" i="1"/>
  <c r="R627" i="1"/>
  <c r="S627" i="1"/>
  <c r="T627" i="1"/>
  <c r="U627" i="1"/>
  <c r="V627" i="1"/>
  <c r="Q628" i="1"/>
  <c r="R628" i="1"/>
  <c r="S628" i="1"/>
  <c r="T628" i="1"/>
  <c r="U628" i="1"/>
  <c r="V628" i="1"/>
  <c r="Q629" i="1"/>
  <c r="R629" i="1"/>
  <c r="S629" i="1"/>
  <c r="T629" i="1"/>
  <c r="U629" i="1"/>
  <c r="V629" i="1"/>
  <c r="Q630" i="1"/>
  <c r="R630" i="1"/>
  <c r="S630" i="1"/>
  <c r="T630" i="1"/>
  <c r="U630" i="1"/>
  <c r="V630" i="1"/>
  <c r="Q631" i="1"/>
  <c r="R631" i="1"/>
  <c r="S631" i="1"/>
  <c r="T631" i="1"/>
  <c r="U631" i="1"/>
  <c r="V631" i="1"/>
  <c r="Q632" i="1"/>
  <c r="R632" i="1"/>
  <c r="S632" i="1"/>
  <c r="T632" i="1"/>
  <c r="U632" i="1"/>
  <c r="V632" i="1"/>
  <c r="Q633" i="1"/>
  <c r="R633" i="1"/>
  <c r="S633" i="1"/>
  <c r="T633" i="1"/>
  <c r="U633" i="1"/>
  <c r="V633" i="1"/>
  <c r="Q634" i="1"/>
  <c r="R634" i="1"/>
  <c r="S634" i="1"/>
  <c r="T634" i="1"/>
  <c r="U634" i="1"/>
  <c r="V634" i="1"/>
  <c r="Q635" i="1"/>
  <c r="R635" i="1"/>
  <c r="S635" i="1"/>
  <c r="T635" i="1"/>
  <c r="U635" i="1"/>
  <c r="V635" i="1"/>
  <c r="Q636" i="1"/>
  <c r="R636" i="1"/>
  <c r="S636" i="1"/>
  <c r="T636" i="1"/>
  <c r="U636" i="1"/>
  <c r="V636" i="1"/>
  <c r="Q637" i="1"/>
  <c r="R637" i="1"/>
  <c r="S637" i="1"/>
  <c r="T637" i="1"/>
  <c r="U637" i="1"/>
  <c r="V637" i="1"/>
  <c r="Q638" i="1"/>
  <c r="R638" i="1"/>
  <c r="S638" i="1"/>
  <c r="T638" i="1"/>
  <c r="U638" i="1"/>
  <c r="V638" i="1"/>
  <c r="Q639" i="1"/>
  <c r="R639" i="1"/>
  <c r="S639" i="1"/>
  <c r="T639" i="1"/>
  <c r="U639" i="1"/>
  <c r="V639" i="1"/>
  <c r="Q640" i="1"/>
  <c r="R640" i="1"/>
  <c r="S640" i="1"/>
  <c r="T640" i="1"/>
  <c r="U640" i="1"/>
  <c r="V640" i="1"/>
  <c r="Q641" i="1"/>
  <c r="R641" i="1"/>
  <c r="S641" i="1"/>
  <c r="T641" i="1"/>
  <c r="U641" i="1"/>
  <c r="V641" i="1"/>
  <c r="Q642" i="1"/>
  <c r="R642" i="1"/>
  <c r="S642" i="1"/>
  <c r="T642" i="1"/>
  <c r="U642" i="1"/>
  <c r="V642" i="1"/>
  <c r="Q643" i="1"/>
  <c r="R643" i="1"/>
  <c r="S643" i="1"/>
  <c r="T643" i="1"/>
  <c r="U643" i="1"/>
  <c r="V643" i="1"/>
  <c r="Q644" i="1"/>
  <c r="R644" i="1"/>
  <c r="S644" i="1"/>
  <c r="T644" i="1"/>
  <c r="U644" i="1"/>
  <c r="V644" i="1"/>
  <c r="Q645" i="1"/>
  <c r="R645" i="1"/>
  <c r="S645" i="1"/>
  <c r="T645" i="1"/>
  <c r="U645" i="1"/>
  <c r="V645" i="1"/>
  <c r="Q646" i="1"/>
  <c r="R646" i="1"/>
  <c r="S646" i="1"/>
  <c r="T646" i="1"/>
  <c r="U646" i="1"/>
  <c r="V646" i="1"/>
  <c r="Q647" i="1"/>
  <c r="R647" i="1"/>
  <c r="S647" i="1"/>
  <c r="T647" i="1"/>
  <c r="U647" i="1"/>
  <c r="V647" i="1"/>
  <c r="Q648" i="1"/>
  <c r="R648" i="1"/>
  <c r="S648" i="1"/>
  <c r="T648" i="1"/>
  <c r="U648" i="1"/>
  <c r="V648" i="1"/>
  <c r="Q649" i="1"/>
  <c r="R649" i="1"/>
  <c r="S649" i="1"/>
  <c r="T649" i="1"/>
  <c r="U649" i="1"/>
  <c r="V649" i="1"/>
  <c r="Q650" i="1"/>
  <c r="R650" i="1"/>
  <c r="S650" i="1"/>
  <c r="T650" i="1"/>
  <c r="U650" i="1"/>
  <c r="V650" i="1"/>
  <c r="Q651" i="1"/>
  <c r="R651" i="1"/>
  <c r="S651" i="1"/>
  <c r="T651" i="1"/>
  <c r="U651" i="1"/>
  <c r="V651" i="1"/>
  <c r="Q652" i="1"/>
  <c r="R652" i="1"/>
  <c r="S652" i="1"/>
  <c r="T652" i="1"/>
  <c r="U652" i="1"/>
  <c r="V652" i="1"/>
  <c r="Q653" i="1"/>
  <c r="R653" i="1"/>
  <c r="S653" i="1"/>
  <c r="T653" i="1"/>
  <c r="U653" i="1"/>
  <c r="V653" i="1"/>
  <c r="Q654" i="1"/>
  <c r="R654" i="1"/>
  <c r="S654" i="1"/>
  <c r="T654" i="1"/>
  <c r="U654" i="1"/>
  <c r="V654" i="1"/>
  <c r="Q655" i="1"/>
  <c r="R655" i="1"/>
  <c r="S655" i="1"/>
  <c r="T655" i="1"/>
  <c r="U655" i="1"/>
  <c r="V655" i="1"/>
  <c r="Q656" i="1"/>
  <c r="R656" i="1"/>
  <c r="S656" i="1"/>
  <c r="T656" i="1"/>
  <c r="U656" i="1"/>
  <c r="V656" i="1"/>
  <c r="Q657" i="1"/>
  <c r="R657" i="1"/>
  <c r="S657" i="1"/>
  <c r="T657" i="1"/>
  <c r="U657" i="1"/>
  <c r="V657" i="1"/>
  <c r="Q658" i="1"/>
  <c r="R658" i="1"/>
  <c r="S658" i="1"/>
  <c r="T658" i="1"/>
  <c r="U658" i="1"/>
  <c r="V658" i="1"/>
  <c r="Q659" i="1"/>
  <c r="R659" i="1"/>
  <c r="S659" i="1"/>
  <c r="T659" i="1"/>
  <c r="U659" i="1"/>
  <c r="V659" i="1"/>
  <c r="Q660" i="1"/>
  <c r="R660" i="1"/>
  <c r="S660" i="1"/>
  <c r="T660" i="1"/>
  <c r="U660" i="1"/>
  <c r="V660" i="1"/>
  <c r="Q661" i="1"/>
  <c r="R661" i="1"/>
  <c r="S661" i="1"/>
  <c r="T661" i="1"/>
  <c r="U661" i="1"/>
  <c r="V661" i="1"/>
  <c r="Q662" i="1"/>
  <c r="R662" i="1"/>
  <c r="S662" i="1"/>
  <c r="T662" i="1"/>
  <c r="U662" i="1"/>
  <c r="V662" i="1"/>
  <c r="Q663" i="1"/>
  <c r="R663" i="1"/>
  <c r="S663" i="1"/>
  <c r="T663" i="1"/>
  <c r="U663" i="1"/>
  <c r="V663" i="1"/>
  <c r="Q664" i="1"/>
  <c r="R664" i="1"/>
  <c r="S664" i="1"/>
  <c r="T664" i="1"/>
  <c r="U664" i="1"/>
  <c r="V664" i="1"/>
  <c r="Q665" i="1"/>
  <c r="R665" i="1"/>
  <c r="S665" i="1"/>
  <c r="T665" i="1"/>
  <c r="U665" i="1"/>
  <c r="V665" i="1"/>
  <c r="Q666" i="1"/>
  <c r="R666" i="1"/>
  <c r="S666" i="1"/>
  <c r="T666" i="1"/>
  <c r="U666" i="1"/>
  <c r="V666" i="1"/>
  <c r="Q667" i="1"/>
  <c r="R667" i="1"/>
  <c r="S667" i="1"/>
  <c r="T667" i="1"/>
  <c r="U667" i="1"/>
  <c r="V667" i="1"/>
  <c r="Q668" i="1"/>
  <c r="R668" i="1"/>
  <c r="S668" i="1"/>
  <c r="T668" i="1"/>
  <c r="U668" i="1"/>
  <c r="V668" i="1"/>
  <c r="Q669" i="1"/>
  <c r="R669" i="1"/>
  <c r="S669" i="1"/>
  <c r="T669" i="1"/>
  <c r="U669" i="1"/>
  <c r="V669" i="1"/>
  <c r="Q670" i="1"/>
  <c r="R670" i="1"/>
  <c r="S670" i="1"/>
  <c r="T670" i="1"/>
  <c r="U670" i="1"/>
  <c r="V670" i="1"/>
  <c r="Q671" i="1"/>
  <c r="R671" i="1"/>
  <c r="S671" i="1"/>
  <c r="T671" i="1"/>
  <c r="U671" i="1"/>
  <c r="V671" i="1"/>
  <c r="Q672" i="1"/>
  <c r="R672" i="1"/>
  <c r="S672" i="1"/>
  <c r="T672" i="1"/>
  <c r="U672" i="1"/>
  <c r="V672" i="1"/>
  <c r="Q673" i="1"/>
  <c r="R673" i="1"/>
  <c r="S673" i="1"/>
  <c r="T673" i="1"/>
  <c r="U673" i="1"/>
  <c r="V673" i="1"/>
  <c r="Q674" i="1"/>
  <c r="R674" i="1"/>
  <c r="S674" i="1"/>
  <c r="T674" i="1"/>
  <c r="U674" i="1"/>
  <c r="V674" i="1"/>
  <c r="Q675" i="1"/>
  <c r="R675" i="1"/>
  <c r="S675" i="1"/>
  <c r="T675" i="1"/>
  <c r="U675" i="1"/>
  <c r="V675" i="1"/>
  <c r="Q676" i="1"/>
  <c r="R676" i="1"/>
  <c r="S676" i="1"/>
  <c r="T676" i="1"/>
  <c r="U676" i="1"/>
  <c r="V676" i="1"/>
  <c r="Q677" i="1"/>
  <c r="R677" i="1"/>
  <c r="S677" i="1"/>
  <c r="T677" i="1"/>
  <c r="U677" i="1"/>
  <c r="V677" i="1"/>
  <c r="Q678" i="1"/>
  <c r="R678" i="1"/>
  <c r="S678" i="1"/>
  <c r="T678" i="1"/>
  <c r="U678" i="1"/>
  <c r="V678" i="1"/>
  <c r="Q679" i="1"/>
  <c r="R679" i="1"/>
  <c r="S679" i="1"/>
  <c r="T679" i="1"/>
  <c r="U679" i="1"/>
  <c r="V679" i="1"/>
  <c r="Q680" i="1"/>
  <c r="R680" i="1"/>
  <c r="S680" i="1"/>
  <c r="T680" i="1"/>
  <c r="U680" i="1"/>
  <c r="V680" i="1"/>
  <c r="Q681" i="1"/>
  <c r="R681" i="1"/>
  <c r="S681" i="1"/>
  <c r="T681" i="1"/>
  <c r="U681" i="1"/>
  <c r="V681" i="1"/>
  <c r="Q682" i="1"/>
  <c r="R682" i="1"/>
  <c r="S682" i="1"/>
  <c r="T682" i="1"/>
  <c r="U682" i="1"/>
  <c r="V682" i="1"/>
  <c r="Q683" i="1"/>
  <c r="R683" i="1"/>
  <c r="S683" i="1"/>
  <c r="T683" i="1"/>
  <c r="U683" i="1"/>
  <c r="V683" i="1"/>
  <c r="Q684" i="1"/>
  <c r="R684" i="1"/>
  <c r="S684" i="1"/>
  <c r="T684" i="1"/>
  <c r="U684" i="1"/>
  <c r="V684" i="1"/>
  <c r="Q685" i="1"/>
  <c r="R685" i="1"/>
  <c r="S685" i="1"/>
  <c r="T685" i="1"/>
  <c r="U685" i="1"/>
  <c r="V685" i="1"/>
  <c r="Q686" i="1"/>
  <c r="R686" i="1"/>
  <c r="S686" i="1"/>
  <c r="T686" i="1"/>
  <c r="U686" i="1"/>
  <c r="V686" i="1"/>
  <c r="Q687" i="1"/>
  <c r="R687" i="1"/>
  <c r="S687" i="1"/>
  <c r="T687" i="1"/>
  <c r="U687" i="1"/>
  <c r="V687" i="1"/>
  <c r="Q688" i="1"/>
  <c r="R688" i="1"/>
  <c r="S688" i="1"/>
  <c r="T688" i="1"/>
  <c r="U688" i="1"/>
  <c r="V688" i="1"/>
  <c r="Q689" i="1"/>
  <c r="R689" i="1"/>
  <c r="S689" i="1"/>
  <c r="T689" i="1"/>
  <c r="U689" i="1"/>
  <c r="V689" i="1"/>
  <c r="Q690" i="1"/>
  <c r="R690" i="1"/>
  <c r="S690" i="1"/>
  <c r="T690" i="1"/>
  <c r="U690" i="1"/>
  <c r="V690" i="1"/>
  <c r="Q691" i="1"/>
  <c r="R691" i="1"/>
  <c r="S691" i="1"/>
  <c r="T691" i="1"/>
  <c r="U691" i="1"/>
  <c r="V691" i="1"/>
  <c r="Q692" i="1"/>
  <c r="R692" i="1"/>
  <c r="S692" i="1"/>
  <c r="T692" i="1"/>
  <c r="U692" i="1"/>
  <c r="V692" i="1"/>
  <c r="Q693" i="1"/>
  <c r="R693" i="1"/>
  <c r="S693" i="1"/>
  <c r="T693" i="1"/>
  <c r="U693" i="1"/>
  <c r="V693" i="1"/>
  <c r="Q694" i="1"/>
  <c r="R694" i="1"/>
  <c r="S694" i="1"/>
  <c r="T694" i="1"/>
  <c r="U694" i="1"/>
  <c r="V694" i="1"/>
  <c r="Q695" i="1"/>
  <c r="R695" i="1"/>
  <c r="S695" i="1"/>
  <c r="T695" i="1"/>
  <c r="U695" i="1"/>
  <c r="V695" i="1"/>
  <c r="Q696" i="1"/>
  <c r="R696" i="1"/>
  <c r="S696" i="1"/>
  <c r="T696" i="1"/>
  <c r="U696" i="1"/>
  <c r="V696" i="1"/>
  <c r="Q697" i="1"/>
  <c r="R697" i="1"/>
  <c r="S697" i="1"/>
  <c r="T697" i="1"/>
  <c r="U697" i="1"/>
  <c r="V697" i="1"/>
  <c r="Q698" i="1"/>
  <c r="R698" i="1"/>
  <c r="S698" i="1"/>
  <c r="T698" i="1"/>
  <c r="U698" i="1"/>
  <c r="V698" i="1"/>
  <c r="Q699" i="1"/>
  <c r="R699" i="1"/>
  <c r="S699" i="1"/>
  <c r="T699" i="1"/>
  <c r="U699" i="1"/>
  <c r="V699" i="1"/>
  <c r="Q700" i="1"/>
  <c r="R700" i="1"/>
  <c r="S700" i="1"/>
  <c r="T700" i="1"/>
  <c r="U700" i="1"/>
  <c r="V700" i="1"/>
  <c r="Q701" i="1"/>
  <c r="R701" i="1"/>
  <c r="S701" i="1"/>
  <c r="T701" i="1"/>
  <c r="U701" i="1"/>
  <c r="V701" i="1"/>
  <c r="Q702" i="1"/>
  <c r="R702" i="1"/>
  <c r="S702" i="1"/>
  <c r="T702" i="1"/>
  <c r="U702" i="1"/>
  <c r="V702" i="1"/>
  <c r="Q703" i="1"/>
  <c r="R703" i="1"/>
  <c r="S703" i="1"/>
  <c r="T703" i="1"/>
  <c r="U703" i="1"/>
  <c r="V703" i="1"/>
  <c r="Q704" i="1"/>
  <c r="R704" i="1"/>
  <c r="S704" i="1"/>
  <c r="T704" i="1"/>
  <c r="U704" i="1"/>
  <c r="V704" i="1"/>
  <c r="Q705" i="1"/>
  <c r="R705" i="1"/>
  <c r="S705" i="1"/>
  <c r="T705" i="1"/>
  <c r="U705" i="1"/>
  <c r="V705" i="1"/>
  <c r="Q706" i="1"/>
  <c r="R706" i="1"/>
  <c r="S706" i="1"/>
  <c r="T706" i="1"/>
  <c r="U706" i="1"/>
  <c r="V706" i="1"/>
  <c r="Q707" i="1"/>
  <c r="R707" i="1"/>
  <c r="S707" i="1"/>
  <c r="T707" i="1"/>
  <c r="U707" i="1"/>
  <c r="V707" i="1"/>
  <c r="Q708" i="1"/>
  <c r="R708" i="1"/>
  <c r="S708" i="1"/>
  <c r="T708" i="1"/>
  <c r="U708" i="1"/>
  <c r="V708" i="1"/>
  <c r="Q709" i="1"/>
  <c r="R709" i="1"/>
  <c r="S709" i="1"/>
  <c r="T709" i="1"/>
  <c r="U709" i="1"/>
  <c r="V709" i="1"/>
  <c r="Q710" i="1"/>
  <c r="R710" i="1"/>
  <c r="S710" i="1"/>
  <c r="T710" i="1"/>
  <c r="U710" i="1"/>
  <c r="V710" i="1"/>
  <c r="Q711" i="1"/>
  <c r="R711" i="1"/>
  <c r="S711" i="1"/>
  <c r="T711" i="1"/>
  <c r="U711" i="1"/>
  <c r="V711" i="1"/>
  <c r="Q712" i="1"/>
  <c r="R712" i="1"/>
  <c r="S712" i="1"/>
  <c r="T712" i="1"/>
  <c r="U712" i="1"/>
  <c r="V712" i="1"/>
  <c r="Q713" i="1"/>
  <c r="R713" i="1"/>
  <c r="S713" i="1"/>
  <c r="T713" i="1"/>
  <c r="U713" i="1"/>
  <c r="V713" i="1"/>
  <c r="Q714" i="1"/>
  <c r="R714" i="1"/>
  <c r="S714" i="1"/>
  <c r="T714" i="1"/>
  <c r="U714" i="1"/>
  <c r="V714" i="1"/>
  <c r="Q715" i="1"/>
  <c r="R715" i="1"/>
  <c r="S715" i="1"/>
  <c r="T715" i="1"/>
  <c r="U715" i="1"/>
  <c r="V715" i="1"/>
  <c r="Q716" i="1"/>
  <c r="R716" i="1"/>
  <c r="S716" i="1"/>
  <c r="T716" i="1"/>
  <c r="U716" i="1"/>
  <c r="V716" i="1"/>
  <c r="Q717" i="1"/>
  <c r="R717" i="1"/>
  <c r="S717" i="1"/>
  <c r="T717" i="1"/>
  <c r="U717" i="1"/>
  <c r="V717" i="1"/>
  <c r="Q718" i="1"/>
  <c r="R718" i="1"/>
  <c r="S718" i="1"/>
  <c r="T718" i="1"/>
  <c r="U718" i="1"/>
  <c r="V718" i="1"/>
  <c r="Q719" i="1"/>
  <c r="R719" i="1"/>
  <c r="S719" i="1"/>
  <c r="T719" i="1"/>
  <c r="U719" i="1"/>
  <c r="V719" i="1"/>
  <c r="Q720" i="1"/>
  <c r="R720" i="1"/>
  <c r="S720" i="1"/>
  <c r="T720" i="1"/>
  <c r="U720" i="1"/>
  <c r="V720" i="1"/>
  <c r="Q721" i="1"/>
  <c r="R721" i="1"/>
  <c r="S721" i="1"/>
  <c r="T721" i="1"/>
  <c r="U721" i="1"/>
  <c r="V721" i="1"/>
  <c r="Q722" i="1"/>
  <c r="R722" i="1"/>
  <c r="S722" i="1"/>
  <c r="T722" i="1"/>
  <c r="U722" i="1"/>
  <c r="V722" i="1"/>
  <c r="Q723" i="1"/>
  <c r="R723" i="1"/>
  <c r="S723" i="1"/>
  <c r="T723" i="1"/>
  <c r="U723" i="1"/>
  <c r="V723" i="1"/>
  <c r="Q724" i="1"/>
  <c r="R724" i="1"/>
  <c r="S724" i="1"/>
  <c r="T724" i="1"/>
  <c r="U724" i="1"/>
  <c r="V724" i="1"/>
  <c r="Q725" i="1"/>
  <c r="R725" i="1"/>
  <c r="S725" i="1"/>
  <c r="T725" i="1"/>
  <c r="U725" i="1"/>
  <c r="V725" i="1"/>
  <c r="Q726" i="1"/>
  <c r="R726" i="1"/>
  <c r="S726" i="1"/>
  <c r="T726" i="1"/>
  <c r="U726" i="1"/>
  <c r="V726" i="1"/>
  <c r="Q727" i="1"/>
  <c r="R727" i="1"/>
  <c r="S727" i="1"/>
  <c r="T727" i="1"/>
  <c r="U727" i="1"/>
  <c r="V727" i="1"/>
  <c r="Q728" i="1"/>
  <c r="R728" i="1"/>
  <c r="S728" i="1"/>
  <c r="T728" i="1"/>
  <c r="U728" i="1"/>
  <c r="V728" i="1"/>
  <c r="Q729" i="1"/>
  <c r="R729" i="1"/>
  <c r="S729" i="1"/>
  <c r="T729" i="1"/>
  <c r="U729" i="1"/>
  <c r="V729" i="1"/>
  <c r="Q730" i="1"/>
  <c r="R730" i="1"/>
  <c r="S730" i="1"/>
  <c r="T730" i="1"/>
  <c r="U730" i="1"/>
  <c r="V730" i="1"/>
  <c r="Q731" i="1"/>
  <c r="R731" i="1"/>
  <c r="S731" i="1"/>
  <c r="T731" i="1"/>
  <c r="U731" i="1"/>
  <c r="V731" i="1"/>
  <c r="Q732" i="1"/>
  <c r="R732" i="1"/>
  <c r="S732" i="1"/>
  <c r="T732" i="1"/>
  <c r="U732" i="1"/>
  <c r="V732" i="1"/>
  <c r="Q733" i="1"/>
  <c r="R733" i="1"/>
  <c r="S733" i="1"/>
  <c r="T733" i="1"/>
  <c r="U733" i="1"/>
  <c r="V733" i="1"/>
  <c r="Q734" i="1"/>
  <c r="R734" i="1"/>
  <c r="S734" i="1"/>
  <c r="T734" i="1"/>
  <c r="U734" i="1"/>
  <c r="V734" i="1"/>
  <c r="Q735" i="1"/>
  <c r="R735" i="1"/>
  <c r="S735" i="1"/>
  <c r="T735" i="1"/>
  <c r="U735" i="1"/>
  <c r="V735" i="1"/>
  <c r="Q736" i="1"/>
  <c r="R736" i="1"/>
  <c r="S736" i="1"/>
  <c r="T736" i="1"/>
  <c r="U736" i="1"/>
  <c r="V736" i="1"/>
  <c r="Q737" i="1"/>
  <c r="R737" i="1"/>
  <c r="S737" i="1"/>
  <c r="T737" i="1"/>
  <c r="U737" i="1"/>
  <c r="V737" i="1"/>
  <c r="Q738" i="1"/>
  <c r="R738" i="1"/>
  <c r="S738" i="1"/>
  <c r="T738" i="1"/>
  <c r="U738" i="1"/>
  <c r="V738" i="1"/>
  <c r="Q739" i="1"/>
  <c r="R739" i="1"/>
  <c r="S739" i="1"/>
  <c r="T739" i="1"/>
  <c r="U739" i="1"/>
  <c r="V739" i="1"/>
  <c r="Q740" i="1"/>
  <c r="R740" i="1"/>
  <c r="S740" i="1"/>
  <c r="T740" i="1"/>
  <c r="U740" i="1"/>
  <c r="V740" i="1"/>
  <c r="Q741" i="1"/>
  <c r="R741" i="1"/>
  <c r="S741" i="1"/>
  <c r="T741" i="1"/>
  <c r="U741" i="1"/>
  <c r="V741" i="1"/>
  <c r="Q742" i="1"/>
  <c r="R742" i="1"/>
  <c r="S742" i="1"/>
  <c r="T742" i="1"/>
  <c r="U742" i="1"/>
  <c r="V742" i="1"/>
  <c r="Q743" i="1"/>
  <c r="R743" i="1"/>
  <c r="S743" i="1"/>
  <c r="T743" i="1"/>
  <c r="U743" i="1"/>
  <c r="V743" i="1"/>
  <c r="Q744" i="1"/>
  <c r="R744" i="1"/>
  <c r="S744" i="1"/>
  <c r="T744" i="1"/>
  <c r="U744" i="1"/>
  <c r="V744" i="1"/>
  <c r="Q745" i="1"/>
  <c r="R745" i="1"/>
  <c r="S745" i="1"/>
  <c r="T745" i="1"/>
  <c r="U745" i="1"/>
  <c r="V745" i="1"/>
  <c r="Q746" i="1"/>
  <c r="R746" i="1"/>
  <c r="S746" i="1"/>
  <c r="T746" i="1"/>
  <c r="U746" i="1"/>
  <c r="V746" i="1"/>
  <c r="Q747" i="1"/>
  <c r="R747" i="1"/>
  <c r="S747" i="1"/>
  <c r="T747" i="1"/>
  <c r="U747" i="1"/>
  <c r="V747" i="1"/>
  <c r="Q748" i="1"/>
  <c r="R748" i="1"/>
  <c r="S748" i="1"/>
  <c r="T748" i="1"/>
  <c r="U748" i="1"/>
  <c r="V748" i="1"/>
  <c r="Q749" i="1"/>
  <c r="R749" i="1"/>
  <c r="S749" i="1"/>
  <c r="T749" i="1"/>
  <c r="U749" i="1"/>
  <c r="V749" i="1"/>
  <c r="Q750" i="1"/>
  <c r="R750" i="1"/>
  <c r="S750" i="1"/>
  <c r="T750" i="1"/>
  <c r="U750" i="1"/>
  <c r="V750" i="1"/>
  <c r="Q751" i="1"/>
  <c r="R751" i="1"/>
  <c r="S751" i="1"/>
  <c r="T751" i="1"/>
  <c r="U751" i="1"/>
  <c r="V751" i="1"/>
  <c r="Q752" i="1"/>
  <c r="R752" i="1"/>
  <c r="S752" i="1"/>
  <c r="T752" i="1"/>
  <c r="U752" i="1"/>
  <c r="V752" i="1"/>
  <c r="Q753" i="1"/>
  <c r="R753" i="1"/>
  <c r="S753" i="1"/>
  <c r="T753" i="1"/>
  <c r="U753" i="1"/>
  <c r="V753" i="1"/>
  <c r="Q754" i="1"/>
  <c r="R754" i="1"/>
  <c r="S754" i="1"/>
  <c r="T754" i="1"/>
  <c r="U754" i="1"/>
  <c r="V754" i="1"/>
  <c r="Q755" i="1"/>
  <c r="R755" i="1"/>
  <c r="S755" i="1"/>
  <c r="T755" i="1"/>
  <c r="U755" i="1"/>
  <c r="V755" i="1"/>
  <c r="Q756" i="1"/>
  <c r="R756" i="1"/>
  <c r="S756" i="1"/>
  <c r="T756" i="1"/>
  <c r="U756" i="1"/>
  <c r="V756" i="1"/>
  <c r="Q757" i="1"/>
  <c r="R757" i="1"/>
  <c r="S757" i="1"/>
  <c r="T757" i="1"/>
  <c r="U757" i="1"/>
  <c r="V757" i="1"/>
  <c r="Q758" i="1"/>
  <c r="R758" i="1"/>
  <c r="S758" i="1"/>
  <c r="T758" i="1"/>
  <c r="U758" i="1"/>
  <c r="V758" i="1"/>
  <c r="Q759" i="1"/>
  <c r="R759" i="1"/>
  <c r="S759" i="1"/>
  <c r="T759" i="1"/>
  <c r="U759" i="1"/>
  <c r="V759" i="1"/>
  <c r="Q760" i="1"/>
  <c r="R760" i="1"/>
  <c r="S760" i="1"/>
  <c r="T760" i="1"/>
  <c r="U760" i="1"/>
  <c r="V760" i="1"/>
  <c r="Q761" i="1"/>
  <c r="R761" i="1"/>
  <c r="S761" i="1"/>
  <c r="T761" i="1"/>
  <c r="U761" i="1"/>
  <c r="V761" i="1"/>
  <c r="Q762" i="1"/>
  <c r="R762" i="1"/>
  <c r="S762" i="1"/>
  <c r="T762" i="1"/>
  <c r="U762" i="1"/>
  <c r="V762" i="1"/>
  <c r="Q763" i="1"/>
  <c r="R763" i="1"/>
  <c r="S763" i="1"/>
  <c r="T763" i="1"/>
  <c r="U763" i="1"/>
  <c r="V763" i="1"/>
  <c r="Q764" i="1"/>
  <c r="R764" i="1"/>
  <c r="S764" i="1"/>
  <c r="T764" i="1"/>
  <c r="U764" i="1"/>
  <c r="V764" i="1"/>
  <c r="Q765" i="1"/>
  <c r="R765" i="1"/>
  <c r="S765" i="1"/>
  <c r="T765" i="1"/>
  <c r="U765" i="1"/>
  <c r="V765" i="1"/>
  <c r="Q766" i="1"/>
  <c r="R766" i="1"/>
  <c r="S766" i="1"/>
  <c r="T766" i="1"/>
  <c r="U766" i="1"/>
  <c r="V766" i="1"/>
  <c r="Q767" i="1"/>
  <c r="R767" i="1"/>
  <c r="S767" i="1"/>
  <c r="T767" i="1"/>
  <c r="U767" i="1"/>
  <c r="V767" i="1"/>
  <c r="Q768" i="1"/>
  <c r="R768" i="1"/>
  <c r="S768" i="1"/>
  <c r="T768" i="1"/>
  <c r="U768" i="1"/>
  <c r="V768" i="1"/>
  <c r="Q769" i="1"/>
  <c r="R769" i="1"/>
  <c r="S769" i="1"/>
  <c r="T769" i="1"/>
  <c r="U769" i="1"/>
  <c r="V769" i="1"/>
  <c r="Q770" i="1"/>
  <c r="R770" i="1"/>
  <c r="S770" i="1"/>
  <c r="T770" i="1"/>
  <c r="U770" i="1"/>
  <c r="V770" i="1"/>
  <c r="Q771" i="1"/>
  <c r="R771" i="1"/>
  <c r="S771" i="1"/>
  <c r="T771" i="1"/>
  <c r="U771" i="1"/>
  <c r="V771" i="1"/>
  <c r="Q772" i="1"/>
  <c r="R772" i="1"/>
  <c r="S772" i="1"/>
  <c r="T772" i="1"/>
  <c r="U772" i="1"/>
  <c r="V772" i="1"/>
  <c r="Q773" i="1"/>
  <c r="R773" i="1"/>
  <c r="S773" i="1"/>
  <c r="T773" i="1"/>
  <c r="U773" i="1"/>
  <c r="V773" i="1"/>
  <c r="Q774" i="1"/>
  <c r="R774" i="1"/>
  <c r="S774" i="1"/>
  <c r="T774" i="1"/>
  <c r="U774" i="1"/>
  <c r="V774" i="1"/>
  <c r="Q775" i="1"/>
  <c r="R775" i="1"/>
  <c r="S775" i="1"/>
  <c r="T775" i="1"/>
  <c r="U775" i="1"/>
  <c r="V775" i="1"/>
  <c r="Q776" i="1"/>
  <c r="R776" i="1"/>
  <c r="S776" i="1"/>
  <c r="T776" i="1"/>
  <c r="U776" i="1"/>
  <c r="V776" i="1"/>
  <c r="Q777" i="1"/>
  <c r="R777" i="1"/>
  <c r="S777" i="1"/>
  <c r="T777" i="1"/>
  <c r="U777" i="1"/>
  <c r="V777" i="1"/>
  <c r="Q778" i="1"/>
  <c r="R778" i="1"/>
  <c r="S778" i="1"/>
  <c r="T778" i="1"/>
  <c r="U778" i="1"/>
  <c r="V778" i="1"/>
  <c r="Q779" i="1"/>
  <c r="R779" i="1"/>
  <c r="S779" i="1"/>
  <c r="T779" i="1"/>
  <c r="U779" i="1"/>
  <c r="V779" i="1"/>
  <c r="Q780" i="1"/>
  <c r="R780" i="1"/>
  <c r="S780" i="1"/>
  <c r="T780" i="1"/>
  <c r="U780" i="1"/>
  <c r="V780" i="1"/>
  <c r="Q781" i="1"/>
  <c r="R781" i="1"/>
  <c r="S781" i="1"/>
  <c r="T781" i="1"/>
  <c r="U781" i="1"/>
  <c r="V781" i="1"/>
  <c r="Q782" i="1"/>
  <c r="R782" i="1"/>
  <c r="S782" i="1"/>
  <c r="T782" i="1"/>
  <c r="U782" i="1"/>
  <c r="V782" i="1"/>
  <c r="Q783" i="1"/>
  <c r="R783" i="1"/>
  <c r="S783" i="1"/>
  <c r="T783" i="1"/>
  <c r="U783" i="1"/>
  <c r="V783" i="1"/>
  <c r="Q784" i="1"/>
  <c r="R784" i="1"/>
  <c r="S784" i="1"/>
  <c r="T784" i="1"/>
  <c r="U784" i="1"/>
  <c r="V784" i="1"/>
  <c r="Q785" i="1"/>
  <c r="R785" i="1"/>
  <c r="S785" i="1"/>
  <c r="T785" i="1"/>
  <c r="U785" i="1"/>
  <c r="V785" i="1"/>
  <c r="Q786" i="1"/>
  <c r="R786" i="1"/>
  <c r="S786" i="1"/>
  <c r="T786" i="1"/>
  <c r="U786" i="1"/>
  <c r="V786" i="1"/>
  <c r="Q787" i="1"/>
  <c r="R787" i="1"/>
  <c r="S787" i="1"/>
  <c r="T787" i="1"/>
  <c r="U787" i="1"/>
  <c r="V787" i="1"/>
  <c r="Q788" i="1"/>
  <c r="R788" i="1"/>
  <c r="S788" i="1"/>
  <c r="T788" i="1"/>
  <c r="U788" i="1"/>
  <c r="V788" i="1"/>
  <c r="Q789" i="1"/>
  <c r="R789" i="1"/>
  <c r="S789" i="1"/>
  <c r="T789" i="1"/>
  <c r="U789" i="1"/>
  <c r="V789" i="1"/>
  <c r="Q790" i="1"/>
  <c r="R790" i="1"/>
  <c r="S790" i="1"/>
  <c r="T790" i="1"/>
  <c r="U790" i="1"/>
  <c r="V790" i="1"/>
  <c r="Q791" i="1"/>
  <c r="R791" i="1"/>
  <c r="S791" i="1"/>
  <c r="T791" i="1"/>
  <c r="U791" i="1"/>
  <c r="V791" i="1"/>
  <c r="Q792" i="1"/>
  <c r="R792" i="1"/>
  <c r="S792" i="1"/>
  <c r="T792" i="1"/>
  <c r="U792" i="1"/>
  <c r="V792" i="1"/>
  <c r="Q793" i="1"/>
  <c r="R793" i="1"/>
  <c r="S793" i="1"/>
  <c r="T793" i="1"/>
  <c r="U793" i="1"/>
  <c r="V793" i="1"/>
  <c r="Q794" i="1"/>
  <c r="R794" i="1"/>
  <c r="S794" i="1"/>
  <c r="T794" i="1"/>
  <c r="U794" i="1"/>
  <c r="V794" i="1"/>
  <c r="Q795" i="1"/>
  <c r="R795" i="1"/>
  <c r="S795" i="1"/>
  <c r="T795" i="1"/>
  <c r="U795" i="1"/>
  <c r="V795" i="1"/>
  <c r="Q796" i="1"/>
  <c r="R796" i="1"/>
  <c r="S796" i="1"/>
  <c r="T796" i="1"/>
  <c r="U796" i="1"/>
  <c r="V796" i="1"/>
  <c r="Q797" i="1"/>
  <c r="R797" i="1"/>
  <c r="S797" i="1"/>
  <c r="T797" i="1"/>
  <c r="U797" i="1"/>
  <c r="V797" i="1"/>
  <c r="Q798" i="1"/>
  <c r="R798" i="1"/>
  <c r="S798" i="1"/>
  <c r="T798" i="1"/>
  <c r="U798" i="1"/>
  <c r="V798" i="1"/>
  <c r="Q799" i="1"/>
  <c r="R799" i="1"/>
  <c r="S799" i="1"/>
  <c r="T799" i="1"/>
  <c r="U799" i="1"/>
  <c r="V799" i="1"/>
  <c r="Q800" i="1"/>
  <c r="R800" i="1"/>
  <c r="S800" i="1"/>
  <c r="T800" i="1"/>
  <c r="U800" i="1"/>
  <c r="V800" i="1"/>
  <c r="Q801" i="1"/>
  <c r="R801" i="1"/>
  <c r="S801" i="1"/>
  <c r="T801" i="1"/>
  <c r="U801" i="1"/>
  <c r="V801" i="1"/>
  <c r="Q802" i="1"/>
  <c r="R802" i="1"/>
  <c r="S802" i="1"/>
  <c r="T802" i="1"/>
  <c r="U802" i="1"/>
  <c r="V802" i="1"/>
  <c r="Q803" i="1"/>
  <c r="R803" i="1"/>
  <c r="S803" i="1"/>
  <c r="T803" i="1"/>
  <c r="U803" i="1"/>
  <c r="V803" i="1"/>
  <c r="Q804" i="1"/>
  <c r="R804" i="1"/>
  <c r="S804" i="1"/>
  <c r="T804" i="1"/>
  <c r="U804" i="1"/>
  <c r="V804" i="1"/>
  <c r="Q805" i="1"/>
  <c r="R805" i="1"/>
  <c r="S805" i="1"/>
  <c r="T805" i="1"/>
  <c r="U805" i="1"/>
  <c r="V805" i="1"/>
  <c r="Q806" i="1"/>
  <c r="R806" i="1"/>
  <c r="S806" i="1"/>
  <c r="T806" i="1"/>
  <c r="U806" i="1"/>
  <c r="V806" i="1"/>
  <c r="Q807" i="1"/>
  <c r="R807" i="1"/>
  <c r="S807" i="1"/>
  <c r="T807" i="1"/>
  <c r="U807" i="1"/>
  <c r="V807" i="1"/>
  <c r="Q808" i="1"/>
  <c r="R808" i="1"/>
  <c r="S808" i="1"/>
  <c r="T808" i="1"/>
  <c r="U808" i="1"/>
  <c r="V808" i="1"/>
  <c r="Q809" i="1"/>
  <c r="R809" i="1"/>
  <c r="S809" i="1"/>
  <c r="T809" i="1"/>
  <c r="U809" i="1"/>
  <c r="V809" i="1"/>
  <c r="Q810" i="1"/>
  <c r="R810" i="1"/>
  <c r="S810" i="1"/>
  <c r="T810" i="1"/>
  <c r="U810" i="1"/>
  <c r="V810" i="1"/>
  <c r="Q811" i="1"/>
  <c r="R811" i="1"/>
  <c r="S811" i="1"/>
  <c r="T811" i="1"/>
  <c r="U811" i="1"/>
  <c r="V811" i="1"/>
  <c r="Q812" i="1"/>
  <c r="R812" i="1"/>
  <c r="S812" i="1"/>
  <c r="T812" i="1"/>
  <c r="U812" i="1"/>
  <c r="V812" i="1"/>
  <c r="Q813" i="1"/>
  <c r="R813" i="1"/>
  <c r="S813" i="1"/>
  <c r="T813" i="1"/>
  <c r="U813" i="1"/>
  <c r="V813" i="1"/>
  <c r="Q814" i="1"/>
  <c r="R814" i="1"/>
  <c r="S814" i="1"/>
  <c r="T814" i="1"/>
  <c r="U814" i="1"/>
  <c r="V814" i="1"/>
  <c r="Q815" i="1"/>
  <c r="R815" i="1"/>
  <c r="S815" i="1"/>
  <c r="T815" i="1"/>
  <c r="U815" i="1"/>
  <c r="V815" i="1"/>
  <c r="Q816" i="1"/>
  <c r="R816" i="1"/>
  <c r="S816" i="1"/>
  <c r="T816" i="1"/>
  <c r="U816" i="1"/>
  <c r="V816" i="1"/>
  <c r="Q817" i="1"/>
  <c r="R817" i="1"/>
  <c r="S817" i="1"/>
  <c r="T817" i="1"/>
  <c r="U817" i="1"/>
  <c r="V817" i="1"/>
  <c r="Q818" i="1"/>
  <c r="R818" i="1"/>
  <c r="S818" i="1"/>
  <c r="T818" i="1"/>
  <c r="U818" i="1"/>
  <c r="V818" i="1"/>
  <c r="Q819" i="1"/>
  <c r="R819" i="1"/>
  <c r="S819" i="1"/>
  <c r="T819" i="1"/>
  <c r="U819" i="1"/>
  <c r="V819" i="1"/>
  <c r="Q820" i="1"/>
  <c r="R820" i="1"/>
  <c r="S820" i="1"/>
  <c r="T820" i="1"/>
  <c r="U820" i="1"/>
  <c r="V820" i="1"/>
  <c r="Q821" i="1"/>
  <c r="R821" i="1"/>
  <c r="S821" i="1"/>
  <c r="T821" i="1"/>
  <c r="U821" i="1"/>
  <c r="V821" i="1"/>
  <c r="Q822" i="1"/>
  <c r="R822" i="1"/>
  <c r="S822" i="1"/>
  <c r="T822" i="1"/>
  <c r="U822" i="1"/>
  <c r="V822" i="1"/>
  <c r="Q823" i="1"/>
  <c r="R823" i="1"/>
  <c r="S823" i="1"/>
  <c r="T823" i="1"/>
  <c r="U823" i="1"/>
  <c r="V823" i="1"/>
  <c r="Q824" i="1"/>
  <c r="R824" i="1"/>
  <c r="S824" i="1"/>
  <c r="T824" i="1"/>
  <c r="U824" i="1"/>
  <c r="V824" i="1"/>
  <c r="Q825" i="1"/>
  <c r="R825" i="1"/>
  <c r="S825" i="1"/>
  <c r="T825" i="1"/>
  <c r="U825" i="1"/>
  <c r="V825" i="1"/>
  <c r="Q826" i="1"/>
  <c r="R826" i="1"/>
  <c r="S826" i="1"/>
  <c r="T826" i="1"/>
  <c r="U826" i="1"/>
  <c r="V826" i="1"/>
  <c r="Q827" i="1"/>
  <c r="R827" i="1"/>
  <c r="S827" i="1"/>
  <c r="T827" i="1"/>
  <c r="U827" i="1"/>
  <c r="V827" i="1"/>
  <c r="Q828" i="1"/>
  <c r="R828" i="1"/>
  <c r="S828" i="1"/>
  <c r="T828" i="1"/>
  <c r="U828" i="1"/>
  <c r="V828" i="1"/>
  <c r="Q829" i="1"/>
  <c r="R829" i="1"/>
  <c r="S829" i="1"/>
  <c r="T829" i="1"/>
  <c r="U829" i="1"/>
  <c r="V829" i="1"/>
  <c r="Q830" i="1"/>
  <c r="R830" i="1"/>
  <c r="S830" i="1"/>
  <c r="T830" i="1"/>
  <c r="U830" i="1"/>
  <c r="V830" i="1"/>
  <c r="Q831" i="1"/>
  <c r="R831" i="1"/>
  <c r="S831" i="1"/>
  <c r="T831" i="1"/>
  <c r="U831" i="1"/>
  <c r="V831" i="1"/>
  <c r="Q832" i="1"/>
  <c r="R832" i="1"/>
  <c r="S832" i="1"/>
  <c r="T832" i="1"/>
  <c r="U832" i="1"/>
  <c r="V832" i="1"/>
  <c r="Q833" i="1"/>
  <c r="R833" i="1"/>
  <c r="S833" i="1"/>
  <c r="T833" i="1"/>
  <c r="U833" i="1"/>
  <c r="V833" i="1"/>
  <c r="Q834" i="1"/>
  <c r="R834" i="1"/>
  <c r="S834" i="1"/>
  <c r="T834" i="1"/>
  <c r="U834" i="1"/>
  <c r="V834" i="1"/>
  <c r="Q835" i="1"/>
  <c r="R835" i="1"/>
  <c r="S835" i="1"/>
  <c r="T835" i="1"/>
  <c r="U835" i="1"/>
  <c r="V835" i="1"/>
  <c r="Q836" i="1"/>
  <c r="R836" i="1"/>
  <c r="S836" i="1"/>
  <c r="T836" i="1"/>
  <c r="U836" i="1"/>
  <c r="V836" i="1"/>
  <c r="Q837" i="1"/>
  <c r="R837" i="1"/>
  <c r="S837" i="1"/>
  <c r="T837" i="1"/>
  <c r="U837" i="1"/>
  <c r="V837" i="1"/>
  <c r="Q838" i="1"/>
  <c r="R838" i="1"/>
  <c r="S838" i="1"/>
  <c r="T838" i="1"/>
  <c r="U838" i="1"/>
  <c r="V838" i="1"/>
  <c r="Q839" i="1"/>
  <c r="R839" i="1"/>
  <c r="S839" i="1"/>
  <c r="T839" i="1"/>
  <c r="U839" i="1"/>
  <c r="V839" i="1"/>
  <c r="Q840" i="1"/>
  <c r="R840" i="1"/>
  <c r="S840" i="1"/>
  <c r="T840" i="1"/>
  <c r="U840" i="1"/>
  <c r="V840" i="1"/>
  <c r="Q841" i="1"/>
  <c r="R841" i="1"/>
  <c r="S841" i="1"/>
  <c r="T841" i="1"/>
  <c r="U841" i="1"/>
  <c r="V841" i="1"/>
  <c r="Q842" i="1"/>
  <c r="R842" i="1"/>
  <c r="S842" i="1"/>
  <c r="T842" i="1"/>
  <c r="U842" i="1"/>
  <c r="V842" i="1"/>
  <c r="Q843" i="1"/>
  <c r="R843" i="1"/>
  <c r="S843" i="1"/>
  <c r="T843" i="1"/>
  <c r="U843" i="1"/>
  <c r="V843" i="1"/>
  <c r="Q844" i="1"/>
  <c r="R844" i="1"/>
  <c r="S844" i="1"/>
  <c r="T844" i="1"/>
  <c r="U844" i="1"/>
  <c r="V844" i="1"/>
  <c r="Q845" i="1"/>
  <c r="R845" i="1"/>
  <c r="S845" i="1"/>
  <c r="T845" i="1"/>
  <c r="U845" i="1"/>
  <c r="V845" i="1"/>
  <c r="Q846" i="1"/>
  <c r="R846" i="1"/>
  <c r="S846" i="1"/>
  <c r="T846" i="1"/>
  <c r="U846" i="1"/>
  <c r="V846" i="1"/>
  <c r="Q847" i="1"/>
  <c r="R847" i="1"/>
  <c r="S847" i="1"/>
  <c r="T847" i="1"/>
  <c r="U847" i="1"/>
  <c r="V847" i="1"/>
  <c r="Q848" i="1"/>
  <c r="R848" i="1"/>
  <c r="S848" i="1"/>
  <c r="T848" i="1"/>
  <c r="U848" i="1"/>
  <c r="V848" i="1"/>
  <c r="Q849" i="1"/>
  <c r="R849" i="1"/>
  <c r="S849" i="1"/>
  <c r="T849" i="1"/>
  <c r="U849" i="1"/>
  <c r="V849" i="1"/>
  <c r="Q850" i="1"/>
  <c r="R850" i="1"/>
  <c r="S850" i="1"/>
  <c r="T850" i="1"/>
  <c r="U850" i="1"/>
  <c r="V850" i="1"/>
  <c r="Q851" i="1"/>
  <c r="R851" i="1"/>
  <c r="S851" i="1"/>
  <c r="T851" i="1"/>
  <c r="U851" i="1"/>
  <c r="V851" i="1"/>
  <c r="Q852" i="1"/>
  <c r="R852" i="1"/>
  <c r="S852" i="1"/>
  <c r="T852" i="1"/>
  <c r="U852" i="1"/>
  <c r="V852" i="1"/>
  <c r="Q853" i="1"/>
  <c r="R853" i="1"/>
  <c r="S853" i="1"/>
  <c r="T853" i="1"/>
  <c r="U853" i="1"/>
  <c r="V853" i="1"/>
  <c r="Q854" i="1"/>
  <c r="R854" i="1"/>
  <c r="S854" i="1"/>
  <c r="T854" i="1"/>
  <c r="U854" i="1"/>
  <c r="V854" i="1"/>
  <c r="Q855" i="1"/>
  <c r="R855" i="1"/>
  <c r="S855" i="1"/>
  <c r="T855" i="1"/>
  <c r="U855" i="1"/>
  <c r="V855" i="1"/>
  <c r="Q856" i="1"/>
  <c r="R856" i="1"/>
  <c r="S856" i="1"/>
  <c r="T856" i="1"/>
  <c r="U856" i="1"/>
  <c r="V856" i="1"/>
  <c r="Q857" i="1"/>
  <c r="R857" i="1"/>
  <c r="S857" i="1"/>
  <c r="T857" i="1"/>
  <c r="U857" i="1"/>
  <c r="V857" i="1"/>
  <c r="Q858" i="1"/>
  <c r="R858" i="1"/>
  <c r="S858" i="1"/>
  <c r="T858" i="1"/>
  <c r="U858" i="1"/>
  <c r="V858" i="1"/>
  <c r="Q859" i="1"/>
  <c r="R859" i="1"/>
  <c r="S859" i="1"/>
  <c r="T859" i="1"/>
  <c r="U859" i="1"/>
  <c r="V859" i="1"/>
  <c r="Q860" i="1"/>
  <c r="R860" i="1"/>
  <c r="S860" i="1"/>
  <c r="T860" i="1"/>
  <c r="U860" i="1"/>
  <c r="V860" i="1"/>
  <c r="Q861" i="1"/>
  <c r="R861" i="1"/>
  <c r="S861" i="1"/>
  <c r="T861" i="1"/>
  <c r="U861" i="1"/>
  <c r="V861" i="1"/>
  <c r="Q862" i="1"/>
  <c r="R862" i="1"/>
  <c r="S862" i="1"/>
  <c r="T862" i="1"/>
  <c r="U862" i="1"/>
  <c r="V862" i="1"/>
  <c r="Q863" i="1"/>
  <c r="R863" i="1"/>
  <c r="S863" i="1"/>
  <c r="T863" i="1"/>
  <c r="U863" i="1"/>
  <c r="V863" i="1"/>
  <c r="Q864" i="1"/>
  <c r="R864" i="1"/>
  <c r="S864" i="1"/>
  <c r="T864" i="1"/>
  <c r="U864" i="1"/>
  <c r="V864" i="1"/>
  <c r="Q865" i="1"/>
  <c r="R865" i="1"/>
  <c r="S865" i="1"/>
  <c r="T865" i="1"/>
  <c r="U865" i="1"/>
  <c r="V865" i="1"/>
  <c r="Q866" i="1"/>
  <c r="R866" i="1"/>
  <c r="S866" i="1"/>
  <c r="T866" i="1"/>
  <c r="U866" i="1"/>
  <c r="V866" i="1"/>
  <c r="Q867" i="1"/>
  <c r="R867" i="1"/>
  <c r="S867" i="1"/>
  <c r="T867" i="1"/>
  <c r="U867" i="1"/>
  <c r="V867" i="1"/>
  <c r="Q868" i="1"/>
  <c r="R868" i="1"/>
  <c r="S868" i="1"/>
  <c r="T868" i="1"/>
  <c r="U868" i="1"/>
  <c r="V868" i="1"/>
  <c r="Q869" i="1"/>
  <c r="R869" i="1"/>
  <c r="S869" i="1"/>
  <c r="T869" i="1"/>
  <c r="U869" i="1"/>
  <c r="V869" i="1"/>
  <c r="Q870" i="1"/>
  <c r="R870" i="1"/>
  <c r="S870" i="1"/>
  <c r="T870" i="1"/>
  <c r="U870" i="1"/>
  <c r="V870" i="1"/>
  <c r="Q871" i="1"/>
  <c r="R871" i="1"/>
  <c r="S871" i="1"/>
  <c r="T871" i="1"/>
  <c r="U871" i="1"/>
  <c r="V871" i="1"/>
  <c r="Q872" i="1"/>
  <c r="R872" i="1"/>
  <c r="S872" i="1"/>
  <c r="T872" i="1"/>
  <c r="U872" i="1"/>
  <c r="V872" i="1"/>
  <c r="Q873" i="1"/>
  <c r="R873" i="1"/>
  <c r="S873" i="1"/>
  <c r="T873" i="1"/>
  <c r="U873" i="1"/>
  <c r="V873" i="1"/>
  <c r="Q874" i="1"/>
  <c r="R874" i="1"/>
  <c r="S874" i="1"/>
  <c r="T874" i="1"/>
  <c r="U874" i="1"/>
  <c r="V874" i="1"/>
  <c r="Q875" i="1"/>
  <c r="R875" i="1"/>
  <c r="S875" i="1"/>
  <c r="T875" i="1"/>
  <c r="U875" i="1"/>
  <c r="V875" i="1"/>
  <c r="Q876" i="1"/>
  <c r="R876" i="1"/>
  <c r="S876" i="1"/>
  <c r="T876" i="1"/>
  <c r="U876" i="1"/>
  <c r="V876" i="1"/>
  <c r="Q877" i="1"/>
  <c r="R877" i="1"/>
  <c r="S877" i="1"/>
  <c r="T877" i="1"/>
  <c r="U877" i="1"/>
  <c r="V877" i="1"/>
  <c r="Q878" i="1"/>
  <c r="R878" i="1"/>
  <c r="S878" i="1"/>
  <c r="T878" i="1"/>
  <c r="U878" i="1"/>
  <c r="V878" i="1"/>
  <c r="Q879" i="1"/>
  <c r="R879" i="1"/>
  <c r="S879" i="1"/>
  <c r="T879" i="1"/>
  <c r="U879" i="1"/>
  <c r="V879" i="1"/>
  <c r="Q880" i="1"/>
  <c r="R880" i="1"/>
  <c r="S880" i="1"/>
  <c r="T880" i="1"/>
  <c r="U880" i="1"/>
  <c r="V880" i="1"/>
  <c r="Q881" i="1"/>
  <c r="R881" i="1"/>
  <c r="S881" i="1"/>
  <c r="T881" i="1"/>
  <c r="U881" i="1"/>
  <c r="V881" i="1"/>
  <c r="Q882" i="1"/>
  <c r="R882" i="1"/>
  <c r="S882" i="1"/>
  <c r="T882" i="1"/>
  <c r="U882" i="1"/>
  <c r="V882" i="1"/>
  <c r="Q883" i="1"/>
  <c r="R883" i="1"/>
  <c r="S883" i="1"/>
  <c r="T883" i="1"/>
  <c r="U883" i="1"/>
  <c r="V883" i="1"/>
  <c r="Q884" i="1"/>
  <c r="R884" i="1"/>
  <c r="S884" i="1"/>
  <c r="T884" i="1"/>
  <c r="U884" i="1"/>
  <c r="V884" i="1"/>
  <c r="Q885" i="1"/>
  <c r="R885" i="1"/>
  <c r="S885" i="1"/>
  <c r="T885" i="1"/>
  <c r="U885" i="1"/>
  <c r="V885" i="1"/>
  <c r="Q886" i="1"/>
  <c r="R886" i="1"/>
  <c r="S886" i="1"/>
  <c r="T886" i="1"/>
  <c r="U886" i="1"/>
  <c r="V886" i="1"/>
  <c r="Q887" i="1"/>
  <c r="R887" i="1"/>
  <c r="S887" i="1"/>
  <c r="T887" i="1"/>
  <c r="U887" i="1"/>
  <c r="V887" i="1"/>
  <c r="Q888" i="1"/>
  <c r="R888" i="1"/>
  <c r="S888" i="1"/>
  <c r="T888" i="1"/>
  <c r="U888" i="1"/>
  <c r="V888" i="1"/>
  <c r="Q889" i="1"/>
  <c r="R889" i="1"/>
  <c r="S889" i="1"/>
  <c r="T889" i="1"/>
  <c r="U889" i="1"/>
  <c r="V889" i="1"/>
  <c r="Q890" i="1"/>
  <c r="R890" i="1"/>
  <c r="S890" i="1"/>
  <c r="T890" i="1"/>
  <c r="U890" i="1"/>
  <c r="V890" i="1"/>
  <c r="Q891" i="1"/>
  <c r="R891" i="1"/>
  <c r="S891" i="1"/>
  <c r="T891" i="1"/>
  <c r="U891" i="1"/>
  <c r="V891" i="1"/>
  <c r="Q892" i="1"/>
  <c r="R892" i="1"/>
  <c r="S892" i="1"/>
  <c r="T892" i="1"/>
  <c r="U892" i="1"/>
  <c r="V892" i="1"/>
  <c r="Q893" i="1"/>
  <c r="R893" i="1"/>
  <c r="S893" i="1"/>
  <c r="T893" i="1"/>
  <c r="U893" i="1"/>
  <c r="V893" i="1"/>
  <c r="Q894" i="1"/>
  <c r="R894" i="1"/>
  <c r="S894" i="1"/>
  <c r="T894" i="1"/>
  <c r="U894" i="1"/>
  <c r="V894" i="1"/>
  <c r="Q895" i="1"/>
  <c r="R895" i="1"/>
  <c r="S895" i="1"/>
  <c r="T895" i="1"/>
  <c r="U895" i="1"/>
  <c r="V895" i="1"/>
  <c r="Q896" i="1"/>
  <c r="R896" i="1"/>
  <c r="S896" i="1"/>
  <c r="T896" i="1"/>
  <c r="U896" i="1"/>
  <c r="V896" i="1"/>
  <c r="Q897" i="1"/>
  <c r="R897" i="1"/>
  <c r="S897" i="1"/>
  <c r="T897" i="1"/>
  <c r="U897" i="1"/>
  <c r="V897" i="1"/>
  <c r="Q898" i="1"/>
  <c r="R898" i="1"/>
  <c r="S898" i="1"/>
  <c r="T898" i="1"/>
  <c r="U898" i="1"/>
  <c r="V898" i="1"/>
  <c r="Q899" i="1"/>
  <c r="R899" i="1"/>
  <c r="S899" i="1"/>
  <c r="T899" i="1"/>
  <c r="U899" i="1"/>
  <c r="V899" i="1"/>
  <c r="Q900" i="1"/>
  <c r="R900" i="1"/>
  <c r="S900" i="1"/>
  <c r="T900" i="1"/>
  <c r="U900" i="1"/>
  <c r="V900" i="1"/>
  <c r="Q901" i="1"/>
  <c r="R901" i="1"/>
  <c r="S901" i="1"/>
  <c r="T901" i="1"/>
  <c r="U901" i="1"/>
  <c r="V901" i="1"/>
  <c r="Q902" i="1"/>
  <c r="R902" i="1"/>
  <c r="S902" i="1"/>
  <c r="T902" i="1"/>
  <c r="U902" i="1"/>
  <c r="V902" i="1"/>
  <c r="Q903" i="1"/>
  <c r="R903" i="1"/>
  <c r="S903" i="1"/>
  <c r="T903" i="1"/>
  <c r="U903" i="1"/>
  <c r="V903" i="1"/>
  <c r="Q904" i="1"/>
  <c r="R904" i="1"/>
  <c r="S904" i="1"/>
  <c r="T904" i="1"/>
  <c r="U904" i="1"/>
  <c r="V904" i="1"/>
  <c r="Q905" i="1"/>
  <c r="R905" i="1"/>
  <c r="S905" i="1"/>
  <c r="T905" i="1"/>
  <c r="U905" i="1"/>
  <c r="V905" i="1"/>
  <c r="Q906" i="1"/>
  <c r="R906" i="1"/>
  <c r="S906" i="1"/>
  <c r="T906" i="1"/>
  <c r="U906" i="1"/>
  <c r="V906" i="1"/>
  <c r="Q907" i="1"/>
  <c r="R907" i="1"/>
  <c r="S907" i="1"/>
  <c r="T907" i="1"/>
  <c r="U907" i="1"/>
  <c r="V907" i="1"/>
  <c r="Q908" i="1"/>
  <c r="R908" i="1"/>
  <c r="S908" i="1"/>
  <c r="T908" i="1"/>
  <c r="U908" i="1"/>
  <c r="V908" i="1"/>
  <c r="Q909" i="1"/>
  <c r="R909" i="1"/>
  <c r="S909" i="1"/>
  <c r="T909" i="1"/>
  <c r="U909" i="1"/>
  <c r="V909" i="1"/>
  <c r="Q910" i="1"/>
  <c r="R910" i="1"/>
  <c r="S910" i="1"/>
  <c r="T910" i="1"/>
  <c r="U910" i="1"/>
  <c r="V910" i="1"/>
  <c r="Q911" i="1"/>
  <c r="R911" i="1"/>
  <c r="S911" i="1"/>
  <c r="T911" i="1"/>
  <c r="U911" i="1"/>
  <c r="V911" i="1"/>
  <c r="Q912" i="1"/>
  <c r="R912" i="1"/>
  <c r="S912" i="1"/>
  <c r="T912" i="1"/>
  <c r="U912" i="1"/>
  <c r="V912" i="1"/>
  <c r="Q913" i="1"/>
  <c r="R913" i="1"/>
  <c r="S913" i="1"/>
  <c r="T913" i="1"/>
  <c r="U913" i="1"/>
  <c r="V913" i="1"/>
  <c r="Q914" i="1"/>
  <c r="R914" i="1"/>
  <c r="S914" i="1"/>
  <c r="T914" i="1"/>
  <c r="U914" i="1"/>
  <c r="V914" i="1"/>
  <c r="Q915" i="1"/>
  <c r="R915" i="1"/>
  <c r="S915" i="1"/>
  <c r="T915" i="1"/>
  <c r="U915" i="1"/>
  <c r="V915" i="1"/>
  <c r="Q916" i="1"/>
  <c r="R916" i="1"/>
  <c r="S916" i="1"/>
  <c r="T916" i="1"/>
  <c r="U916" i="1"/>
  <c r="V916" i="1"/>
  <c r="Q917" i="1"/>
  <c r="R917" i="1"/>
  <c r="S917" i="1"/>
  <c r="T917" i="1"/>
  <c r="U917" i="1"/>
  <c r="V917" i="1"/>
  <c r="Q918" i="1"/>
  <c r="R918" i="1"/>
  <c r="S918" i="1"/>
  <c r="T918" i="1"/>
  <c r="U918" i="1"/>
  <c r="V918" i="1"/>
  <c r="Q919" i="1"/>
  <c r="R919" i="1"/>
  <c r="S919" i="1"/>
  <c r="T919" i="1"/>
  <c r="U919" i="1"/>
  <c r="V919" i="1"/>
  <c r="Q920" i="1"/>
  <c r="R920" i="1"/>
  <c r="S920" i="1"/>
  <c r="T920" i="1"/>
  <c r="U920" i="1"/>
  <c r="V920" i="1"/>
  <c r="Q921" i="1"/>
  <c r="R921" i="1"/>
  <c r="S921" i="1"/>
  <c r="T921" i="1"/>
  <c r="U921" i="1"/>
  <c r="V921" i="1"/>
  <c r="Q922" i="1"/>
  <c r="R922" i="1"/>
  <c r="S922" i="1"/>
  <c r="T922" i="1"/>
  <c r="U922" i="1"/>
  <c r="V922" i="1"/>
  <c r="Q923" i="1"/>
  <c r="R923" i="1"/>
  <c r="S923" i="1"/>
  <c r="T923" i="1"/>
  <c r="U923" i="1"/>
  <c r="V923" i="1"/>
  <c r="Q924" i="1"/>
  <c r="R924" i="1"/>
  <c r="S924" i="1"/>
  <c r="T924" i="1"/>
  <c r="U924" i="1"/>
  <c r="V924" i="1"/>
  <c r="Q925" i="1"/>
  <c r="R925" i="1"/>
  <c r="S925" i="1"/>
  <c r="T925" i="1"/>
  <c r="U925" i="1"/>
  <c r="V925" i="1"/>
  <c r="Q926" i="1"/>
  <c r="R926" i="1"/>
  <c r="S926" i="1"/>
  <c r="T926" i="1"/>
  <c r="U926" i="1"/>
  <c r="V926" i="1"/>
  <c r="Q927" i="1"/>
  <c r="R927" i="1"/>
  <c r="S927" i="1"/>
  <c r="T927" i="1"/>
  <c r="U927" i="1"/>
  <c r="V927" i="1"/>
  <c r="Q928" i="1"/>
  <c r="R928" i="1"/>
  <c r="S928" i="1"/>
  <c r="T928" i="1"/>
  <c r="U928" i="1"/>
  <c r="V928" i="1"/>
  <c r="Q929" i="1"/>
  <c r="R929" i="1"/>
  <c r="S929" i="1"/>
  <c r="T929" i="1"/>
  <c r="U929" i="1"/>
  <c r="V929" i="1"/>
  <c r="Q930" i="1"/>
  <c r="R930" i="1"/>
  <c r="S930" i="1"/>
  <c r="T930" i="1"/>
  <c r="U930" i="1"/>
  <c r="V930" i="1"/>
  <c r="Q931" i="1"/>
  <c r="R931" i="1"/>
  <c r="S931" i="1"/>
  <c r="T931" i="1"/>
  <c r="U931" i="1"/>
  <c r="V931" i="1"/>
  <c r="Q932" i="1"/>
  <c r="R932" i="1"/>
  <c r="S932" i="1"/>
  <c r="T932" i="1"/>
  <c r="U932" i="1"/>
  <c r="V932" i="1"/>
  <c r="Q933" i="1"/>
  <c r="R933" i="1"/>
  <c r="S933" i="1"/>
  <c r="T933" i="1"/>
  <c r="U933" i="1"/>
  <c r="V933" i="1"/>
  <c r="Q934" i="1"/>
  <c r="R934" i="1"/>
  <c r="S934" i="1"/>
  <c r="T934" i="1"/>
  <c r="U934" i="1"/>
  <c r="V934" i="1"/>
  <c r="Q935" i="1"/>
  <c r="R935" i="1"/>
  <c r="S935" i="1"/>
  <c r="T935" i="1"/>
  <c r="U935" i="1"/>
  <c r="V935" i="1"/>
  <c r="Q936" i="1"/>
  <c r="R936" i="1"/>
  <c r="S936" i="1"/>
  <c r="T936" i="1"/>
  <c r="U936" i="1"/>
  <c r="V936" i="1"/>
  <c r="Q937" i="1"/>
  <c r="R937" i="1"/>
  <c r="S937" i="1"/>
  <c r="T937" i="1"/>
  <c r="U937" i="1"/>
  <c r="V937" i="1"/>
  <c r="Q938" i="1"/>
  <c r="R938" i="1"/>
  <c r="S938" i="1"/>
  <c r="T938" i="1"/>
  <c r="U938" i="1"/>
  <c r="V938" i="1"/>
  <c r="Q939" i="1"/>
  <c r="R939" i="1"/>
  <c r="S939" i="1"/>
  <c r="T939" i="1"/>
  <c r="U939" i="1"/>
  <c r="V939" i="1"/>
  <c r="Q940" i="1"/>
  <c r="R940" i="1"/>
  <c r="S940" i="1"/>
  <c r="T940" i="1"/>
  <c r="U940" i="1"/>
  <c r="V940" i="1"/>
  <c r="Q941" i="1"/>
  <c r="R941" i="1"/>
  <c r="S941" i="1"/>
  <c r="T941" i="1"/>
  <c r="U941" i="1"/>
  <c r="V941" i="1"/>
  <c r="Q942" i="1"/>
  <c r="R942" i="1"/>
  <c r="S942" i="1"/>
  <c r="T942" i="1"/>
  <c r="U942" i="1"/>
  <c r="V942" i="1"/>
  <c r="Q943" i="1"/>
  <c r="R943" i="1"/>
  <c r="S943" i="1"/>
  <c r="T943" i="1"/>
  <c r="U943" i="1"/>
  <c r="V943" i="1"/>
  <c r="Q944" i="1"/>
  <c r="R944" i="1"/>
  <c r="S944" i="1"/>
  <c r="T944" i="1"/>
  <c r="U944" i="1"/>
  <c r="V944" i="1"/>
  <c r="Q945" i="1"/>
  <c r="R945" i="1"/>
  <c r="S945" i="1"/>
  <c r="T945" i="1"/>
  <c r="U945" i="1"/>
  <c r="V945" i="1"/>
  <c r="Q946" i="1"/>
  <c r="R946" i="1"/>
  <c r="S946" i="1"/>
  <c r="T946" i="1"/>
  <c r="U946" i="1"/>
  <c r="V946" i="1"/>
  <c r="Q947" i="1"/>
  <c r="R947" i="1"/>
  <c r="S947" i="1"/>
  <c r="T947" i="1"/>
  <c r="U947" i="1"/>
  <c r="V947" i="1"/>
  <c r="Q948" i="1"/>
  <c r="R948" i="1"/>
  <c r="S948" i="1"/>
  <c r="T948" i="1"/>
  <c r="U948" i="1"/>
  <c r="V948" i="1"/>
  <c r="Q949" i="1"/>
  <c r="R949" i="1"/>
  <c r="S949" i="1"/>
  <c r="T949" i="1"/>
  <c r="U949" i="1"/>
  <c r="V949" i="1"/>
  <c r="Q950" i="1"/>
  <c r="R950" i="1"/>
  <c r="S950" i="1"/>
  <c r="T950" i="1"/>
  <c r="U950" i="1"/>
  <c r="V950" i="1"/>
  <c r="Q951" i="1"/>
  <c r="R951" i="1"/>
  <c r="S951" i="1"/>
  <c r="T951" i="1"/>
  <c r="U951" i="1"/>
  <c r="V951" i="1"/>
  <c r="Q952" i="1"/>
  <c r="R952" i="1"/>
  <c r="S952" i="1"/>
  <c r="T952" i="1"/>
  <c r="U952" i="1"/>
  <c r="V952" i="1"/>
  <c r="Q953" i="1"/>
  <c r="R953" i="1"/>
  <c r="S953" i="1"/>
  <c r="T953" i="1"/>
  <c r="U953" i="1"/>
  <c r="V953" i="1"/>
  <c r="Q954" i="1"/>
  <c r="R954" i="1"/>
  <c r="S954" i="1"/>
  <c r="T954" i="1"/>
  <c r="U954" i="1"/>
  <c r="V954" i="1"/>
  <c r="Q955" i="1"/>
  <c r="R955" i="1"/>
  <c r="S955" i="1"/>
  <c r="T955" i="1"/>
  <c r="U955" i="1"/>
  <c r="V955" i="1"/>
  <c r="Q956" i="1"/>
  <c r="R956" i="1"/>
  <c r="S956" i="1"/>
  <c r="T956" i="1"/>
  <c r="U956" i="1"/>
  <c r="V956" i="1"/>
  <c r="Q957" i="1"/>
  <c r="R957" i="1"/>
  <c r="S957" i="1"/>
  <c r="T957" i="1"/>
  <c r="U957" i="1"/>
  <c r="V957" i="1"/>
  <c r="Q958" i="1"/>
  <c r="R958" i="1"/>
  <c r="S958" i="1"/>
  <c r="T958" i="1"/>
  <c r="U958" i="1"/>
  <c r="V958" i="1"/>
  <c r="Q959" i="1"/>
  <c r="R959" i="1"/>
  <c r="S959" i="1"/>
  <c r="T959" i="1"/>
  <c r="U959" i="1"/>
  <c r="V959" i="1"/>
  <c r="Q960" i="1"/>
  <c r="R960" i="1"/>
  <c r="S960" i="1"/>
  <c r="T960" i="1"/>
  <c r="U960" i="1"/>
  <c r="V960" i="1"/>
  <c r="Q961" i="1"/>
  <c r="R961" i="1"/>
  <c r="S961" i="1"/>
  <c r="T961" i="1"/>
  <c r="U961" i="1"/>
  <c r="V961" i="1"/>
  <c r="Q962" i="1"/>
  <c r="R962" i="1"/>
  <c r="S962" i="1"/>
  <c r="T962" i="1"/>
  <c r="U962" i="1"/>
  <c r="V962" i="1"/>
  <c r="Q963" i="1"/>
  <c r="R963" i="1"/>
  <c r="S963" i="1"/>
  <c r="T963" i="1"/>
  <c r="U963" i="1"/>
  <c r="V963" i="1"/>
  <c r="Q964" i="1"/>
  <c r="R964" i="1"/>
  <c r="S964" i="1"/>
  <c r="T964" i="1"/>
  <c r="U964" i="1"/>
  <c r="V964" i="1"/>
  <c r="Q965" i="1"/>
  <c r="R965" i="1"/>
  <c r="S965" i="1"/>
  <c r="T965" i="1"/>
  <c r="U965" i="1"/>
  <c r="V965" i="1"/>
  <c r="Q966" i="1"/>
  <c r="R966" i="1"/>
  <c r="S966" i="1"/>
  <c r="T966" i="1"/>
  <c r="U966" i="1"/>
  <c r="V966" i="1"/>
  <c r="Q967" i="1"/>
  <c r="R967" i="1"/>
  <c r="S967" i="1"/>
  <c r="T967" i="1"/>
  <c r="U967" i="1"/>
  <c r="V967" i="1"/>
  <c r="Q968" i="1"/>
  <c r="R968" i="1"/>
  <c r="S968" i="1"/>
  <c r="T968" i="1"/>
  <c r="U968" i="1"/>
  <c r="V968" i="1"/>
  <c r="Q969" i="1"/>
  <c r="R969" i="1"/>
  <c r="S969" i="1"/>
  <c r="T969" i="1"/>
  <c r="U969" i="1"/>
  <c r="V969" i="1"/>
  <c r="Q970" i="1"/>
  <c r="R970" i="1"/>
  <c r="S970" i="1"/>
  <c r="T970" i="1"/>
  <c r="U970" i="1"/>
  <c r="V970" i="1"/>
  <c r="Q971" i="1"/>
  <c r="R971" i="1"/>
  <c r="S971" i="1"/>
  <c r="T971" i="1"/>
  <c r="U971" i="1"/>
  <c r="V971" i="1"/>
  <c r="Q972" i="1"/>
  <c r="R972" i="1"/>
  <c r="S972" i="1"/>
  <c r="T972" i="1"/>
  <c r="U972" i="1"/>
  <c r="V972" i="1"/>
  <c r="Q973" i="1"/>
  <c r="R973" i="1"/>
  <c r="S973" i="1"/>
  <c r="T973" i="1"/>
  <c r="U973" i="1"/>
  <c r="V973" i="1"/>
  <c r="Q974" i="1"/>
  <c r="R974" i="1"/>
  <c r="S974" i="1"/>
  <c r="T974" i="1"/>
  <c r="U974" i="1"/>
  <c r="V974" i="1"/>
  <c r="Q975" i="1"/>
  <c r="R975" i="1"/>
  <c r="S975" i="1"/>
  <c r="T975" i="1"/>
  <c r="U975" i="1"/>
  <c r="V975" i="1"/>
  <c r="Q976" i="1"/>
  <c r="R976" i="1"/>
  <c r="S976" i="1"/>
  <c r="T976" i="1"/>
  <c r="U976" i="1"/>
  <c r="V976" i="1"/>
  <c r="Q977" i="1"/>
  <c r="R977" i="1"/>
  <c r="S977" i="1"/>
  <c r="T977" i="1"/>
  <c r="U977" i="1"/>
  <c r="V977" i="1"/>
  <c r="Q978" i="1"/>
  <c r="R978" i="1"/>
  <c r="S978" i="1"/>
  <c r="T978" i="1"/>
  <c r="U978" i="1"/>
  <c r="V978" i="1"/>
  <c r="Q979" i="1"/>
  <c r="R979" i="1"/>
  <c r="S979" i="1"/>
  <c r="T979" i="1"/>
  <c r="U979" i="1"/>
  <c r="V979" i="1"/>
  <c r="Q980" i="1"/>
  <c r="R980" i="1"/>
  <c r="S980" i="1"/>
  <c r="T980" i="1"/>
  <c r="U980" i="1"/>
  <c r="V980" i="1"/>
  <c r="Q981" i="1"/>
  <c r="R981" i="1"/>
  <c r="S981" i="1"/>
  <c r="T981" i="1"/>
  <c r="U981" i="1"/>
  <c r="V981" i="1"/>
  <c r="Q982" i="1"/>
  <c r="R982" i="1"/>
  <c r="S982" i="1"/>
  <c r="T982" i="1"/>
  <c r="U982" i="1"/>
  <c r="V982" i="1"/>
  <c r="Q983" i="1"/>
  <c r="R983" i="1"/>
  <c r="S983" i="1"/>
  <c r="T983" i="1"/>
  <c r="U983" i="1"/>
  <c r="V983" i="1"/>
  <c r="Q984" i="1"/>
  <c r="R984" i="1"/>
  <c r="S984" i="1"/>
  <c r="T984" i="1"/>
  <c r="U984" i="1"/>
  <c r="V984" i="1"/>
  <c r="Q985" i="1"/>
  <c r="R985" i="1"/>
  <c r="S985" i="1"/>
  <c r="T985" i="1"/>
  <c r="U985" i="1"/>
  <c r="V985" i="1"/>
  <c r="Q986" i="1"/>
  <c r="R986" i="1"/>
  <c r="S986" i="1"/>
  <c r="T986" i="1"/>
  <c r="U986" i="1"/>
  <c r="V986" i="1"/>
  <c r="Q987" i="1"/>
  <c r="R987" i="1"/>
  <c r="S987" i="1"/>
  <c r="T987" i="1"/>
  <c r="U987" i="1"/>
  <c r="V987" i="1"/>
  <c r="Q988" i="1"/>
  <c r="R988" i="1"/>
  <c r="S988" i="1"/>
  <c r="T988" i="1"/>
  <c r="U988" i="1"/>
  <c r="V988" i="1"/>
  <c r="Q989" i="1"/>
  <c r="R989" i="1"/>
  <c r="S989" i="1"/>
  <c r="T989" i="1"/>
  <c r="U989" i="1"/>
  <c r="V989" i="1"/>
  <c r="Q990" i="1"/>
  <c r="R990" i="1"/>
  <c r="S990" i="1"/>
  <c r="T990" i="1"/>
  <c r="U990" i="1"/>
  <c r="V990" i="1"/>
  <c r="Q991" i="1"/>
  <c r="R991" i="1"/>
  <c r="S991" i="1"/>
  <c r="T991" i="1"/>
  <c r="U991" i="1"/>
  <c r="V991" i="1"/>
  <c r="Q992" i="1"/>
  <c r="R992" i="1"/>
  <c r="S992" i="1"/>
  <c r="T992" i="1"/>
  <c r="U992" i="1"/>
  <c r="V992" i="1"/>
  <c r="Q993" i="1"/>
  <c r="R993" i="1"/>
  <c r="S993" i="1"/>
  <c r="T993" i="1"/>
  <c r="U993" i="1"/>
  <c r="V993" i="1"/>
  <c r="Q994" i="1"/>
  <c r="R994" i="1"/>
  <c r="S994" i="1"/>
  <c r="T994" i="1"/>
  <c r="U994" i="1"/>
  <c r="V994" i="1"/>
  <c r="Q995" i="1"/>
  <c r="R995" i="1"/>
  <c r="S995" i="1"/>
  <c r="T995" i="1"/>
  <c r="U995" i="1"/>
  <c r="V995" i="1"/>
  <c r="Q996" i="1"/>
  <c r="R996" i="1"/>
  <c r="S996" i="1"/>
  <c r="T996" i="1"/>
  <c r="U996" i="1"/>
  <c r="V996" i="1"/>
  <c r="Q997" i="1"/>
  <c r="R997" i="1"/>
  <c r="S997" i="1"/>
  <c r="T997" i="1"/>
  <c r="U997" i="1"/>
  <c r="V997" i="1"/>
  <c r="Q998" i="1"/>
  <c r="R998" i="1"/>
  <c r="S998" i="1"/>
  <c r="T998" i="1"/>
  <c r="U998" i="1"/>
  <c r="V998" i="1"/>
  <c r="Q999" i="1"/>
  <c r="R999" i="1"/>
  <c r="S999" i="1"/>
  <c r="T999" i="1"/>
  <c r="U999" i="1"/>
  <c r="V999" i="1"/>
  <c r="Q1000" i="1"/>
  <c r="R1000" i="1"/>
  <c r="S1000" i="1"/>
  <c r="T1000" i="1"/>
  <c r="U1000" i="1"/>
  <c r="V1000" i="1"/>
  <c r="Q1001" i="1"/>
  <c r="R1001" i="1"/>
  <c r="S1001" i="1"/>
  <c r="T1001" i="1"/>
  <c r="U1001" i="1"/>
  <c r="V1001" i="1"/>
  <c r="Q1002" i="1"/>
  <c r="R1002" i="1"/>
  <c r="S1002" i="1"/>
  <c r="T1002" i="1"/>
  <c r="U1002" i="1"/>
  <c r="V1002" i="1"/>
  <c r="Q1003" i="1"/>
  <c r="R1003" i="1"/>
  <c r="S1003" i="1"/>
  <c r="T1003" i="1"/>
  <c r="U1003" i="1"/>
  <c r="V1003" i="1"/>
  <c r="Q1004" i="1"/>
  <c r="R1004" i="1"/>
  <c r="S1004" i="1"/>
  <c r="T1004" i="1"/>
  <c r="U1004" i="1"/>
  <c r="V1004" i="1"/>
  <c r="Q1005" i="1"/>
  <c r="R1005" i="1"/>
  <c r="S1005" i="1"/>
  <c r="T1005" i="1"/>
  <c r="U1005" i="1"/>
  <c r="V1005" i="1"/>
  <c r="Q1006" i="1"/>
  <c r="R1006" i="1"/>
  <c r="S1006" i="1"/>
  <c r="T1006" i="1"/>
  <c r="U1006" i="1"/>
  <c r="V1006" i="1"/>
  <c r="Q1007" i="1"/>
  <c r="R1007" i="1"/>
  <c r="S1007" i="1"/>
  <c r="T1007" i="1"/>
  <c r="U1007" i="1"/>
  <c r="V1007" i="1"/>
  <c r="Q1008" i="1"/>
  <c r="R1008" i="1"/>
  <c r="S1008" i="1"/>
  <c r="T1008" i="1"/>
  <c r="U1008" i="1"/>
  <c r="V1008" i="1"/>
  <c r="Q1009" i="1"/>
  <c r="R1009" i="1"/>
  <c r="S1009" i="1"/>
  <c r="T1009" i="1"/>
  <c r="U1009" i="1"/>
  <c r="V1009" i="1"/>
  <c r="Q1010" i="1"/>
  <c r="R1010" i="1"/>
  <c r="S1010" i="1"/>
  <c r="T1010" i="1"/>
  <c r="U1010" i="1"/>
  <c r="V1010" i="1"/>
  <c r="Q1011" i="1"/>
  <c r="R1011" i="1"/>
  <c r="S1011" i="1"/>
  <c r="T1011" i="1"/>
  <c r="U1011" i="1"/>
  <c r="V1011" i="1"/>
  <c r="Q1012" i="1"/>
  <c r="R1012" i="1"/>
  <c r="S1012" i="1"/>
  <c r="T1012" i="1"/>
  <c r="U1012" i="1"/>
  <c r="V1012" i="1"/>
  <c r="Q1013" i="1"/>
  <c r="R1013" i="1"/>
  <c r="S1013" i="1"/>
  <c r="T1013" i="1"/>
  <c r="U1013" i="1"/>
  <c r="V1013" i="1"/>
  <c r="Q1014" i="1"/>
  <c r="R1014" i="1"/>
  <c r="S1014" i="1"/>
  <c r="T1014" i="1"/>
  <c r="U1014" i="1"/>
  <c r="V1014" i="1"/>
  <c r="Q1015" i="1"/>
  <c r="R1015" i="1"/>
  <c r="S1015" i="1"/>
  <c r="T1015" i="1"/>
  <c r="U1015" i="1"/>
  <c r="V1015" i="1"/>
  <c r="Q1016" i="1"/>
  <c r="R1016" i="1"/>
  <c r="S1016" i="1"/>
  <c r="T1016" i="1"/>
  <c r="U1016" i="1"/>
  <c r="V1016" i="1"/>
  <c r="Q1017" i="1"/>
  <c r="R1017" i="1"/>
  <c r="S1017" i="1"/>
  <c r="T1017" i="1"/>
  <c r="U1017" i="1"/>
  <c r="V1017" i="1"/>
  <c r="Q1018" i="1"/>
  <c r="R1018" i="1"/>
  <c r="S1018" i="1"/>
  <c r="T1018" i="1"/>
  <c r="U1018" i="1"/>
  <c r="V1018" i="1"/>
  <c r="Q1019" i="1"/>
  <c r="R1019" i="1"/>
  <c r="S1019" i="1"/>
  <c r="T1019" i="1"/>
  <c r="U1019" i="1"/>
  <c r="V1019" i="1"/>
  <c r="Q1020" i="1"/>
  <c r="R1020" i="1"/>
  <c r="S1020" i="1"/>
  <c r="T1020" i="1"/>
  <c r="U1020" i="1"/>
  <c r="V1020" i="1"/>
  <c r="Q1021" i="1"/>
  <c r="R1021" i="1"/>
  <c r="S1021" i="1"/>
  <c r="T1021" i="1"/>
  <c r="U1021" i="1"/>
  <c r="V1021" i="1"/>
  <c r="Q1022" i="1"/>
  <c r="R1022" i="1"/>
  <c r="S1022" i="1"/>
  <c r="T1022" i="1"/>
  <c r="U1022" i="1"/>
  <c r="V1022" i="1"/>
  <c r="Q1023" i="1"/>
  <c r="R1023" i="1"/>
  <c r="S1023" i="1"/>
  <c r="T1023" i="1"/>
  <c r="U1023" i="1"/>
  <c r="V1023" i="1"/>
  <c r="Q1024" i="1"/>
  <c r="R1024" i="1"/>
  <c r="S1024" i="1"/>
  <c r="T1024" i="1"/>
  <c r="U1024" i="1"/>
  <c r="V1024" i="1"/>
  <c r="Q1025" i="1"/>
  <c r="R1025" i="1"/>
  <c r="S1025" i="1"/>
  <c r="T1025" i="1"/>
  <c r="U1025" i="1"/>
  <c r="V1025" i="1"/>
  <c r="Q1026" i="1"/>
  <c r="R1026" i="1"/>
  <c r="S1026" i="1"/>
  <c r="T1026" i="1"/>
  <c r="U1026" i="1"/>
  <c r="V1026" i="1"/>
  <c r="Q1027" i="1"/>
  <c r="R1027" i="1"/>
  <c r="S1027" i="1"/>
  <c r="T1027" i="1"/>
  <c r="U1027" i="1"/>
  <c r="V1027" i="1"/>
  <c r="Q1028" i="1"/>
  <c r="R1028" i="1"/>
  <c r="S1028" i="1"/>
  <c r="T1028" i="1"/>
  <c r="U1028" i="1"/>
  <c r="V1028" i="1"/>
  <c r="Q1029" i="1"/>
  <c r="R1029" i="1"/>
  <c r="S1029" i="1"/>
  <c r="T1029" i="1"/>
  <c r="U1029" i="1"/>
  <c r="V1029" i="1"/>
  <c r="Q1030" i="1"/>
  <c r="R1030" i="1"/>
  <c r="S1030" i="1"/>
  <c r="T1030" i="1"/>
  <c r="U1030" i="1"/>
  <c r="V1030" i="1"/>
  <c r="Q1031" i="1"/>
  <c r="R1031" i="1"/>
  <c r="S1031" i="1"/>
  <c r="T1031" i="1"/>
  <c r="U1031" i="1"/>
  <c r="V1031" i="1"/>
  <c r="Q1032" i="1"/>
  <c r="R1032" i="1"/>
  <c r="S1032" i="1"/>
  <c r="T1032" i="1"/>
  <c r="U1032" i="1"/>
  <c r="V1032" i="1"/>
  <c r="Q1033" i="1"/>
  <c r="R1033" i="1"/>
  <c r="S1033" i="1"/>
  <c r="T1033" i="1"/>
  <c r="U1033" i="1"/>
  <c r="V1033" i="1"/>
  <c r="Q1034" i="1"/>
  <c r="R1034" i="1"/>
  <c r="S1034" i="1"/>
  <c r="T1034" i="1"/>
  <c r="U1034" i="1"/>
  <c r="V1034" i="1"/>
  <c r="Q1035" i="1"/>
  <c r="R1035" i="1"/>
  <c r="S1035" i="1"/>
  <c r="T1035" i="1"/>
  <c r="U1035" i="1"/>
  <c r="V1035" i="1"/>
  <c r="Q1036" i="1"/>
  <c r="R1036" i="1"/>
  <c r="S1036" i="1"/>
  <c r="T1036" i="1"/>
  <c r="U1036" i="1"/>
  <c r="V1036" i="1"/>
  <c r="Q1037" i="1"/>
  <c r="R1037" i="1"/>
  <c r="S1037" i="1"/>
  <c r="T1037" i="1"/>
  <c r="U1037" i="1"/>
  <c r="V1037" i="1"/>
  <c r="Q1038" i="1"/>
  <c r="R1038" i="1"/>
  <c r="S1038" i="1"/>
  <c r="T1038" i="1"/>
  <c r="U1038" i="1"/>
  <c r="V1038" i="1"/>
  <c r="Q1039" i="1"/>
  <c r="R1039" i="1"/>
  <c r="S1039" i="1"/>
  <c r="T1039" i="1"/>
  <c r="U1039" i="1"/>
  <c r="V1039" i="1"/>
  <c r="Q1040" i="1"/>
  <c r="R1040" i="1"/>
  <c r="S1040" i="1"/>
  <c r="T1040" i="1"/>
  <c r="U1040" i="1"/>
  <c r="V1040" i="1"/>
  <c r="Q1041" i="1"/>
  <c r="R1041" i="1"/>
  <c r="S1041" i="1"/>
  <c r="T1041" i="1"/>
  <c r="U1041" i="1"/>
  <c r="V1041" i="1"/>
  <c r="Q1042" i="1"/>
  <c r="R1042" i="1"/>
  <c r="S1042" i="1"/>
  <c r="T1042" i="1"/>
  <c r="U1042" i="1"/>
  <c r="V1042" i="1"/>
  <c r="Q1043" i="1"/>
  <c r="R1043" i="1"/>
  <c r="S1043" i="1"/>
  <c r="T1043" i="1"/>
  <c r="U1043" i="1"/>
  <c r="V1043" i="1"/>
  <c r="Q1044" i="1"/>
  <c r="R1044" i="1"/>
  <c r="S1044" i="1"/>
  <c r="T1044" i="1"/>
  <c r="U1044" i="1"/>
  <c r="V1044" i="1"/>
  <c r="Q1045" i="1"/>
  <c r="R1045" i="1"/>
  <c r="S1045" i="1"/>
  <c r="T1045" i="1"/>
  <c r="U1045" i="1"/>
  <c r="V1045" i="1"/>
  <c r="Q1046" i="1"/>
  <c r="R1046" i="1"/>
  <c r="S1046" i="1"/>
  <c r="T1046" i="1"/>
  <c r="U1046" i="1"/>
  <c r="V1046" i="1"/>
  <c r="Q1047" i="1"/>
  <c r="R1047" i="1"/>
  <c r="S1047" i="1"/>
  <c r="T1047" i="1"/>
  <c r="U1047" i="1"/>
  <c r="V1047" i="1"/>
  <c r="Q1048" i="1"/>
  <c r="R1048" i="1"/>
  <c r="S1048" i="1"/>
  <c r="T1048" i="1"/>
  <c r="U1048" i="1"/>
  <c r="V1048" i="1"/>
  <c r="Q1049" i="1"/>
  <c r="R1049" i="1"/>
  <c r="S1049" i="1"/>
  <c r="T1049" i="1"/>
  <c r="U1049" i="1"/>
  <c r="V1049" i="1"/>
  <c r="Q1050" i="1"/>
  <c r="R1050" i="1"/>
  <c r="S1050" i="1"/>
  <c r="T1050" i="1"/>
  <c r="U1050" i="1"/>
  <c r="V1050" i="1"/>
  <c r="Q1051" i="1"/>
  <c r="R1051" i="1"/>
  <c r="S1051" i="1"/>
  <c r="T1051" i="1"/>
  <c r="U1051" i="1"/>
  <c r="V1051" i="1"/>
  <c r="Q1052" i="1"/>
  <c r="R1052" i="1"/>
  <c r="S1052" i="1"/>
  <c r="T1052" i="1"/>
  <c r="U1052" i="1"/>
  <c r="V1052" i="1"/>
  <c r="Q1053" i="1"/>
  <c r="R1053" i="1"/>
  <c r="S1053" i="1"/>
  <c r="T1053" i="1"/>
  <c r="U1053" i="1"/>
  <c r="V1053" i="1"/>
  <c r="Q1054" i="1"/>
  <c r="R1054" i="1"/>
  <c r="S1054" i="1"/>
  <c r="T1054" i="1"/>
  <c r="U1054" i="1"/>
  <c r="V1054" i="1"/>
  <c r="Q1055" i="1"/>
  <c r="R1055" i="1"/>
  <c r="S1055" i="1"/>
  <c r="T1055" i="1"/>
  <c r="U1055" i="1"/>
  <c r="V1055" i="1"/>
  <c r="Q1056" i="1"/>
  <c r="R1056" i="1"/>
  <c r="S1056" i="1"/>
  <c r="T1056" i="1"/>
  <c r="U1056" i="1"/>
  <c r="V1056" i="1"/>
  <c r="Q1057" i="1"/>
  <c r="R1057" i="1"/>
  <c r="S1057" i="1"/>
  <c r="T1057" i="1"/>
  <c r="U1057" i="1"/>
  <c r="V1057" i="1"/>
  <c r="Q1058" i="1"/>
  <c r="R1058" i="1"/>
  <c r="S1058" i="1"/>
  <c r="T1058" i="1"/>
  <c r="U1058" i="1"/>
  <c r="V1058" i="1"/>
  <c r="Q1059" i="1"/>
  <c r="R1059" i="1"/>
  <c r="S1059" i="1"/>
  <c r="T1059" i="1"/>
  <c r="U1059" i="1"/>
  <c r="V1059" i="1"/>
  <c r="Q1060" i="1"/>
  <c r="R1060" i="1"/>
  <c r="S1060" i="1"/>
  <c r="T1060" i="1"/>
  <c r="U1060" i="1"/>
  <c r="V1060" i="1"/>
  <c r="Q1061" i="1"/>
  <c r="R1061" i="1"/>
  <c r="S1061" i="1"/>
  <c r="T1061" i="1"/>
  <c r="U1061" i="1"/>
  <c r="V1061" i="1"/>
  <c r="Q1062" i="1"/>
  <c r="R1062" i="1"/>
  <c r="S1062" i="1"/>
  <c r="T1062" i="1"/>
  <c r="U1062" i="1"/>
  <c r="V1062" i="1"/>
  <c r="Q1063" i="1"/>
  <c r="R1063" i="1"/>
  <c r="S1063" i="1"/>
  <c r="T1063" i="1"/>
  <c r="U1063" i="1"/>
  <c r="V1063" i="1"/>
  <c r="Q1064" i="1"/>
  <c r="R1064" i="1"/>
  <c r="S1064" i="1"/>
  <c r="T1064" i="1"/>
  <c r="U1064" i="1"/>
  <c r="V1064" i="1"/>
  <c r="Q1065" i="1"/>
  <c r="R1065" i="1"/>
  <c r="S1065" i="1"/>
  <c r="T1065" i="1"/>
  <c r="U1065" i="1"/>
  <c r="V1065" i="1"/>
  <c r="Q1066" i="1"/>
  <c r="R1066" i="1"/>
  <c r="S1066" i="1"/>
  <c r="T1066" i="1"/>
  <c r="U1066" i="1"/>
  <c r="V1066" i="1"/>
  <c r="Q1067" i="1"/>
  <c r="R1067" i="1"/>
  <c r="S1067" i="1"/>
  <c r="T1067" i="1"/>
  <c r="U1067" i="1"/>
  <c r="V1067" i="1"/>
  <c r="Q1068" i="1"/>
  <c r="R1068" i="1"/>
  <c r="S1068" i="1"/>
  <c r="T1068" i="1"/>
  <c r="U1068" i="1"/>
  <c r="V1068" i="1"/>
  <c r="Q1069" i="1"/>
  <c r="R1069" i="1"/>
  <c r="S1069" i="1"/>
  <c r="T1069" i="1"/>
  <c r="U1069" i="1"/>
  <c r="V1069" i="1"/>
  <c r="Q1070" i="1"/>
  <c r="R1070" i="1"/>
  <c r="S1070" i="1"/>
  <c r="T1070" i="1"/>
  <c r="U1070" i="1"/>
  <c r="V1070" i="1"/>
  <c r="Q1071" i="1"/>
  <c r="R1071" i="1"/>
  <c r="S1071" i="1"/>
  <c r="T1071" i="1"/>
  <c r="U1071" i="1"/>
  <c r="V1071" i="1"/>
  <c r="Q1072" i="1"/>
  <c r="R1072" i="1"/>
  <c r="S1072" i="1"/>
  <c r="T1072" i="1"/>
  <c r="U1072" i="1"/>
  <c r="V1072" i="1"/>
  <c r="Q1073" i="1"/>
  <c r="R1073" i="1"/>
  <c r="S1073" i="1"/>
  <c r="T1073" i="1"/>
  <c r="U1073" i="1"/>
  <c r="V1073" i="1"/>
  <c r="Q1074" i="1"/>
  <c r="R1074" i="1"/>
  <c r="S1074" i="1"/>
  <c r="T1074" i="1"/>
  <c r="U1074" i="1"/>
  <c r="V1074" i="1"/>
  <c r="Q1075" i="1"/>
  <c r="R1075" i="1"/>
  <c r="S1075" i="1"/>
  <c r="T1075" i="1"/>
  <c r="U1075" i="1"/>
  <c r="V1075" i="1"/>
  <c r="Q1076" i="1"/>
  <c r="R1076" i="1"/>
  <c r="S1076" i="1"/>
  <c r="T1076" i="1"/>
  <c r="U1076" i="1"/>
  <c r="V1076" i="1"/>
  <c r="Q1077" i="1"/>
  <c r="R1077" i="1"/>
  <c r="S1077" i="1"/>
  <c r="T1077" i="1"/>
  <c r="U1077" i="1"/>
  <c r="V1077" i="1"/>
  <c r="Q1078" i="1"/>
  <c r="R1078" i="1"/>
  <c r="S1078" i="1"/>
  <c r="T1078" i="1"/>
  <c r="U1078" i="1"/>
  <c r="V1078" i="1"/>
  <c r="Q1079" i="1"/>
  <c r="R1079" i="1"/>
  <c r="S1079" i="1"/>
  <c r="T1079" i="1"/>
  <c r="U1079" i="1"/>
  <c r="V1079" i="1"/>
  <c r="Q1080" i="1"/>
  <c r="R1080" i="1"/>
  <c r="S1080" i="1"/>
  <c r="T1080" i="1"/>
  <c r="U1080" i="1"/>
  <c r="V1080" i="1"/>
  <c r="Q1081" i="1"/>
  <c r="R1081" i="1"/>
  <c r="S1081" i="1"/>
  <c r="T1081" i="1"/>
  <c r="U1081" i="1"/>
  <c r="V1081" i="1"/>
  <c r="Q1082" i="1"/>
  <c r="R1082" i="1"/>
  <c r="S1082" i="1"/>
  <c r="T1082" i="1"/>
  <c r="U1082" i="1"/>
  <c r="V1082" i="1"/>
  <c r="Q1083" i="1"/>
  <c r="R1083" i="1"/>
  <c r="S1083" i="1"/>
  <c r="T1083" i="1"/>
  <c r="U1083" i="1"/>
  <c r="V1083" i="1"/>
  <c r="Q1084" i="1"/>
  <c r="R1084" i="1"/>
  <c r="S1084" i="1"/>
  <c r="T1084" i="1"/>
  <c r="U1084" i="1"/>
  <c r="V1084" i="1"/>
  <c r="Q1085" i="1"/>
  <c r="R1085" i="1"/>
  <c r="S1085" i="1"/>
  <c r="T1085" i="1"/>
  <c r="U1085" i="1"/>
  <c r="V1085" i="1"/>
  <c r="Q1086" i="1"/>
  <c r="R1086" i="1"/>
  <c r="S1086" i="1"/>
  <c r="T1086" i="1"/>
  <c r="U1086" i="1"/>
  <c r="V1086" i="1"/>
  <c r="Q1087" i="1"/>
  <c r="R1087" i="1"/>
  <c r="S1087" i="1"/>
  <c r="T1087" i="1"/>
  <c r="U1087" i="1"/>
  <c r="V1087" i="1"/>
  <c r="Q1088" i="1"/>
  <c r="R1088" i="1"/>
  <c r="S1088" i="1"/>
  <c r="T1088" i="1"/>
  <c r="U1088" i="1"/>
  <c r="V1088" i="1"/>
  <c r="Q1089" i="1"/>
  <c r="R1089" i="1"/>
  <c r="S1089" i="1"/>
  <c r="T1089" i="1"/>
  <c r="U1089" i="1"/>
  <c r="V1089" i="1"/>
  <c r="Q1090" i="1"/>
  <c r="R1090" i="1"/>
  <c r="S1090" i="1"/>
  <c r="T1090" i="1"/>
  <c r="U1090" i="1"/>
  <c r="V1090" i="1"/>
  <c r="Q1091" i="1"/>
  <c r="R1091" i="1"/>
  <c r="S1091" i="1"/>
  <c r="T1091" i="1"/>
  <c r="U1091" i="1"/>
  <c r="V1091" i="1"/>
  <c r="Q1092" i="1"/>
  <c r="R1092" i="1"/>
  <c r="S1092" i="1"/>
  <c r="T1092" i="1"/>
  <c r="U1092" i="1"/>
  <c r="V1092" i="1"/>
  <c r="Q1093" i="1"/>
  <c r="R1093" i="1"/>
  <c r="S1093" i="1"/>
  <c r="T1093" i="1"/>
  <c r="U1093" i="1"/>
  <c r="V1093" i="1"/>
  <c r="Q1094" i="1"/>
  <c r="R1094" i="1"/>
  <c r="S1094" i="1"/>
  <c r="T1094" i="1"/>
  <c r="U1094" i="1"/>
  <c r="V1094" i="1"/>
  <c r="Q1095" i="1"/>
  <c r="R1095" i="1"/>
  <c r="S1095" i="1"/>
  <c r="T1095" i="1"/>
  <c r="U1095" i="1"/>
  <c r="V1095" i="1"/>
  <c r="Q1096" i="1"/>
  <c r="R1096" i="1"/>
  <c r="S1096" i="1"/>
  <c r="T1096" i="1"/>
  <c r="U1096" i="1"/>
  <c r="V1096" i="1"/>
  <c r="Q1097" i="1"/>
  <c r="R1097" i="1"/>
  <c r="S1097" i="1"/>
  <c r="T1097" i="1"/>
  <c r="U1097" i="1"/>
  <c r="V1097" i="1"/>
  <c r="Q1098" i="1"/>
  <c r="R1098" i="1"/>
  <c r="S1098" i="1"/>
  <c r="T1098" i="1"/>
  <c r="U1098" i="1"/>
  <c r="V1098" i="1"/>
  <c r="Q1099" i="1"/>
  <c r="R1099" i="1"/>
  <c r="S1099" i="1"/>
  <c r="T1099" i="1"/>
  <c r="U1099" i="1"/>
  <c r="V1099" i="1"/>
  <c r="Q1100" i="1"/>
  <c r="R1100" i="1"/>
  <c r="S1100" i="1"/>
  <c r="T1100" i="1"/>
  <c r="U1100" i="1"/>
  <c r="V1100" i="1"/>
  <c r="Q1101" i="1"/>
  <c r="R1101" i="1"/>
  <c r="S1101" i="1"/>
  <c r="T1101" i="1"/>
  <c r="U1101" i="1"/>
  <c r="V1101" i="1"/>
  <c r="Q1102" i="1"/>
  <c r="R1102" i="1"/>
  <c r="S1102" i="1"/>
  <c r="T1102" i="1"/>
  <c r="U1102" i="1"/>
  <c r="V1102" i="1"/>
  <c r="Q1103" i="1"/>
  <c r="R1103" i="1"/>
  <c r="S1103" i="1"/>
  <c r="T1103" i="1"/>
  <c r="U1103" i="1"/>
  <c r="V1103" i="1"/>
  <c r="Q1104" i="1"/>
  <c r="R1104" i="1"/>
  <c r="S1104" i="1"/>
  <c r="T1104" i="1"/>
  <c r="U1104" i="1"/>
  <c r="V1104" i="1"/>
  <c r="Q1105" i="1"/>
  <c r="R1105" i="1"/>
  <c r="S1105" i="1"/>
  <c r="T1105" i="1"/>
  <c r="U1105" i="1"/>
  <c r="V1105" i="1"/>
  <c r="Q1106" i="1"/>
  <c r="R1106" i="1"/>
  <c r="S1106" i="1"/>
  <c r="T1106" i="1"/>
  <c r="U1106" i="1"/>
  <c r="V1106" i="1"/>
  <c r="Q1107" i="1"/>
  <c r="R1107" i="1"/>
  <c r="S1107" i="1"/>
  <c r="T1107" i="1"/>
  <c r="U1107" i="1"/>
  <c r="V1107" i="1"/>
  <c r="Q1108" i="1"/>
  <c r="R1108" i="1"/>
  <c r="S1108" i="1"/>
  <c r="T1108" i="1"/>
  <c r="U1108" i="1"/>
  <c r="V1108" i="1"/>
  <c r="Q1109" i="1"/>
  <c r="R1109" i="1"/>
  <c r="S1109" i="1"/>
  <c r="T1109" i="1"/>
  <c r="U1109" i="1"/>
  <c r="V1109" i="1"/>
  <c r="Q1110" i="1"/>
  <c r="R1110" i="1"/>
  <c r="S1110" i="1"/>
  <c r="T1110" i="1"/>
  <c r="U1110" i="1"/>
  <c r="V1110" i="1"/>
  <c r="Q1111" i="1"/>
  <c r="R1111" i="1"/>
  <c r="S1111" i="1"/>
  <c r="T1111" i="1"/>
  <c r="U1111" i="1"/>
  <c r="V1111" i="1"/>
  <c r="Q1112" i="1"/>
  <c r="R1112" i="1"/>
  <c r="S1112" i="1"/>
  <c r="T1112" i="1"/>
  <c r="U1112" i="1"/>
  <c r="V1112" i="1"/>
  <c r="Q1113" i="1"/>
  <c r="R1113" i="1"/>
  <c r="S1113" i="1"/>
  <c r="T1113" i="1"/>
  <c r="U1113" i="1"/>
  <c r="V1113" i="1"/>
  <c r="Q1114" i="1"/>
  <c r="R1114" i="1"/>
  <c r="S1114" i="1"/>
  <c r="T1114" i="1"/>
  <c r="U1114" i="1"/>
  <c r="V1114" i="1"/>
  <c r="Q1115" i="1"/>
  <c r="R1115" i="1"/>
  <c r="S1115" i="1"/>
  <c r="T1115" i="1"/>
  <c r="U1115" i="1"/>
  <c r="V1115" i="1"/>
  <c r="Q1116" i="1"/>
  <c r="R1116" i="1"/>
  <c r="S1116" i="1"/>
  <c r="T1116" i="1"/>
  <c r="U1116" i="1"/>
  <c r="V1116" i="1"/>
  <c r="Q1117" i="1"/>
  <c r="R1117" i="1"/>
  <c r="S1117" i="1"/>
  <c r="T1117" i="1"/>
  <c r="U1117" i="1"/>
  <c r="V1117" i="1"/>
  <c r="Q1118" i="1"/>
  <c r="R1118" i="1"/>
  <c r="S1118" i="1"/>
  <c r="T1118" i="1"/>
  <c r="U1118" i="1"/>
  <c r="V1118" i="1"/>
  <c r="Q1119" i="1"/>
  <c r="R1119" i="1"/>
  <c r="S1119" i="1"/>
  <c r="T1119" i="1"/>
  <c r="U1119" i="1"/>
  <c r="V1119" i="1"/>
  <c r="Q1120" i="1"/>
  <c r="R1120" i="1"/>
  <c r="S1120" i="1"/>
  <c r="T1120" i="1"/>
  <c r="U1120" i="1"/>
  <c r="V1120" i="1"/>
  <c r="Q1121" i="1"/>
  <c r="R1121" i="1"/>
  <c r="S1121" i="1"/>
  <c r="T1121" i="1"/>
  <c r="U1121" i="1"/>
  <c r="V1121" i="1"/>
  <c r="Q1122" i="1"/>
  <c r="R1122" i="1"/>
  <c r="S1122" i="1"/>
  <c r="T1122" i="1"/>
  <c r="U1122" i="1"/>
  <c r="V1122" i="1"/>
  <c r="Q1123" i="1"/>
  <c r="R1123" i="1"/>
  <c r="S1123" i="1"/>
  <c r="T1123" i="1"/>
  <c r="U1123" i="1"/>
  <c r="V1123" i="1"/>
  <c r="Q1124" i="1"/>
  <c r="R1124" i="1"/>
  <c r="S1124" i="1"/>
  <c r="T1124" i="1"/>
  <c r="U1124" i="1"/>
  <c r="V1124" i="1"/>
  <c r="Q1125" i="1"/>
  <c r="R1125" i="1"/>
  <c r="S1125" i="1"/>
  <c r="T1125" i="1"/>
  <c r="U1125" i="1"/>
  <c r="V1125" i="1"/>
  <c r="Q1126" i="1"/>
  <c r="R1126" i="1"/>
  <c r="S1126" i="1"/>
  <c r="T1126" i="1"/>
  <c r="U1126" i="1"/>
  <c r="V1126" i="1"/>
  <c r="Q1127" i="1"/>
  <c r="R1127" i="1"/>
  <c r="S1127" i="1"/>
  <c r="T1127" i="1"/>
  <c r="U1127" i="1"/>
  <c r="V1127" i="1"/>
  <c r="Q1128" i="1"/>
  <c r="R1128" i="1"/>
  <c r="S1128" i="1"/>
  <c r="T1128" i="1"/>
  <c r="U1128" i="1"/>
  <c r="V1128" i="1"/>
  <c r="Q1129" i="1"/>
  <c r="R1129" i="1"/>
  <c r="S1129" i="1"/>
  <c r="T1129" i="1"/>
  <c r="U1129" i="1"/>
  <c r="V1129" i="1"/>
  <c r="Q1130" i="1"/>
  <c r="R1130" i="1"/>
  <c r="S1130" i="1"/>
  <c r="T1130" i="1"/>
  <c r="U1130" i="1"/>
  <c r="V1130" i="1"/>
  <c r="Q1131" i="1"/>
  <c r="R1131" i="1"/>
  <c r="S1131" i="1"/>
  <c r="T1131" i="1"/>
  <c r="U1131" i="1"/>
  <c r="V1131" i="1"/>
  <c r="Q1132" i="1"/>
  <c r="R1132" i="1"/>
  <c r="S1132" i="1"/>
  <c r="T1132" i="1"/>
  <c r="U1132" i="1"/>
  <c r="V1132" i="1"/>
  <c r="Q1133" i="1"/>
  <c r="R1133" i="1"/>
  <c r="S1133" i="1"/>
  <c r="T1133" i="1"/>
  <c r="U1133" i="1"/>
  <c r="V1133" i="1"/>
  <c r="Q1134" i="1"/>
  <c r="R1134" i="1"/>
  <c r="S1134" i="1"/>
  <c r="T1134" i="1"/>
  <c r="U1134" i="1"/>
  <c r="V1134" i="1"/>
  <c r="Q1135" i="1"/>
  <c r="R1135" i="1"/>
  <c r="S1135" i="1"/>
  <c r="T1135" i="1"/>
  <c r="U1135" i="1"/>
  <c r="V1135" i="1"/>
  <c r="Q1136" i="1"/>
  <c r="R1136" i="1"/>
  <c r="S1136" i="1"/>
  <c r="T1136" i="1"/>
  <c r="U1136" i="1"/>
  <c r="V1136" i="1"/>
  <c r="Q1137" i="1"/>
  <c r="R1137" i="1"/>
  <c r="S1137" i="1"/>
  <c r="T1137" i="1"/>
  <c r="U1137" i="1"/>
  <c r="V1137" i="1"/>
  <c r="Q1138" i="1"/>
  <c r="R1138" i="1"/>
  <c r="S1138" i="1"/>
  <c r="T1138" i="1"/>
  <c r="U1138" i="1"/>
  <c r="V1138" i="1"/>
  <c r="Q1139" i="1"/>
  <c r="R1139" i="1"/>
  <c r="S1139" i="1"/>
  <c r="T1139" i="1"/>
  <c r="U1139" i="1"/>
  <c r="V1139" i="1"/>
  <c r="Q1140" i="1"/>
  <c r="R1140" i="1"/>
  <c r="S1140" i="1"/>
  <c r="T1140" i="1"/>
  <c r="U1140" i="1"/>
  <c r="V1140" i="1"/>
  <c r="Q1141" i="1"/>
  <c r="R1141" i="1"/>
  <c r="S1141" i="1"/>
  <c r="T1141" i="1"/>
  <c r="U1141" i="1"/>
  <c r="V1141" i="1"/>
  <c r="Q1142" i="1"/>
  <c r="R1142" i="1"/>
  <c r="S1142" i="1"/>
  <c r="T1142" i="1"/>
  <c r="U1142" i="1"/>
  <c r="V1142" i="1"/>
  <c r="Q1143" i="1"/>
  <c r="R1143" i="1"/>
  <c r="S1143" i="1"/>
  <c r="T1143" i="1"/>
  <c r="U1143" i="1"/>
  <c r="V1143" i="1"/>
  <c r="Q1144" i="1"/>
  <c r="R1144" i="1"/>
  <c r="S1144" i="1"/>
  <c r="T1144" i="1"/>
  <c r="U1144" i="1"/>
  <c r="V1144" i="1"/>
  <c r="Q1145" i="1"/>
  <c r="R1145" i="1"/>
  <c r="S1145" i="1"/>
  <c r="T1145" i="1"/>
  <c r="U1145" i="1"/>
  <c r="V1145" i="1"/>
  <c r="Q1146" i="1"/>
  <c r="R1146" i="1"/>
  <c r="S1146" i="1"/>
  <c r="T1146" i="1"/>
  <c r="U1146" i="1"/>
  <c r="V1146" i="1"/>
  <c r="Q1147" i="1"/>
  <c r="R1147" i="1"/>
  <c r="S1147" i="1"/>
  <c r="T1147" i="1"/>
  <c r="U1147" i="1"/>
  <c r="V1147" i="1"/>
  <c r="Q1148" i="1"/>
  <c r="R1148" i="1"/>
  <c r="S1148" i="1"/>
  <c r="T1148" i="1"/>
  <c r="U1148" i="1"/>
  <c r="V1148" i="1"/>
  <c r="Q1149" i="1"/>
  <c r="R1149" i="1"/>
  <c r="S1149" i="1"/>
  <c r="T1149" i="1"/>
  <c r="U1149" i="1"/>
  <c r="V1149" i="1"/>
  <c r="Q1150" i="1"/>
  <c r="R1150" i="1"/>
  <c r="S1150" i="1"/>
  <c r="T1150" i="1"/>
  <c r="U1150" i="1"/>
  <c r="V1150" i="1"/>
  <c r="Q1151" i="1"/>
  <c r="R1151" i="1"/>
  <c r="S1151" i="1"/>
  <c r="T1151" i="1"/>
  <c r="U1151" i="1"/>
  <c r="V1151" i="1"/>
  <c r="Q1152" i="1"/>
  <c r="R1152" i="1"/>
  <c r="S1152" i="1"/>
  <c r="T1152" i="1"/>
  <c r="U1152" i="1"/>
  <c r="V1152" i="1"/>
  <c r="Q1153" i="1"/>
  <c r="R1153" i="1"/>
  <c r="S1153" i="1"/>
  <c r="T1153" i="1"/>
  <c r="U1153" i="1"/>
  <c r="V1153" i="1"/>
  <c r="Q1154" i="1"/>
  <c r="R1154" i="1"/>
  <c r="S1154" i="1"/>
  <c r="T1154" i="1"/>
  <c r="U1154" i="1"/>
  <c r="V1154" i="1"/>
  <c r="Q1155" i="1"/>
  <c r="R1155" i="1"/>
  <c r="S1155" i="1"/>
  <c r="T1155" i="1"/>
  <c r="U1155" i="1"/>
  <c r="V1155" i="1"/>
  <c r="Q1156" i="1"/>
  <c r="R1156" i="1"/>
  <c r="S1156" i="1"/>
  <c r="T1156" i="1"/>
  <c r="U1156" i="1"/>
  <c r="V1156" i="1"/>
  <c r="Q1157" i="1"/>
  <c r="R1157" i="1"/>
  <c r="S1157" i="1"/>
  <c r="T1157" i="1"/>
  <c r="U1157" i="1"/>
  <c r="V1157" i="1"/>
  <c r="Q1158" i="1"/>
  <c r="R1158" i="1"/>
  <c r="S1158" i="1"/>
  <c r="T1158" i="1"/>
  <c r="U1158" i="1"/>
  <c r="V1158" i="1"/>
  <c r="Q1159" i="1"/>
  <c r="R1159" i="1"/>
  <c r="S1159" i="1"/>
  <c r="T1159" i="1"/>
  <c r="U1159" i="1"/>
  <c r="V1159" i="1"/>
  <c r="Q1160" i="1"/>
  <c r="R1160" i="1"/>
  <c r="S1160" i="1"/>
  <c r="T1160" i="1"/>
  <c r="U1160" i="1"/>
  <c r="V1160" i="1"/>
  <c r="Q1161" i="1"/>
  <c r="R1161" i="1"/>
  <c r="S1161" i="1"/>
  <c r="T1161" i="1"/>
  <c r="U1161" i="1"/>
  <c r="V1161" i="1"/>
  <c r="Q1162" i="1"/>
  <c r="R1162" i="1"/>
  <c r="S1162" i="1"/>
  <c r="T1162" i="1"/>
  <c r="U1162" i="1"/>
  <c r="V1162" i="1"/>
  <c r="Q1163" i="1"/>
  <c r="R1163" i="1"/>
  <c r="S1163" i="1"/>
  <c r="T1163" i="1"/>
  <c r="U1163" i="1"/>
  <c r="V1163" i="1"/>
  <c r="Q1164" i="1"/>
  <c r="R1164" i="1"/>
  <c r="S1164" i="1"/>
  <c r="T1164" i="1"/>
  <c r="U1164" i="1"/>
  <c r="V1164" i="1"/>
  <c r="Q1165" i="1"/>
  <c r="R1165" i="1"/>
  <c r="S1165" i="1"/>
  <c r="T1165" i="1"/>
  <c r="U1165" i="1"/>
  <c r="V1165" i="1"/>
  <c r="Q1166" i="1"/>
  <c r="R1166" i="1"/>
  <c r="S1166" i="1"/>
  <c r="T1166" i="1"/>
  <c r="U1166" i="1"/>
  <c r="V1166" i="1"/>
  <c r="Q1167" i="1"/>
  <c r="R1167" i="1"/>
  <c r="S1167" i="1"/>
  <c r="T1167" i="1"/>
  <c r="U1167" i="1"/>
  <c r="V1167" i="1"/>
  <c r="Q1168" i="1"/>
  <c r="R1168" i="1"/>
  <c r="S1168" i="1"/>
  <c r="T1168" i="1"/>
  <c r="U1168" i="1"/>
  <c r="V1168" i="1"/>
  <c r="Q1169" i="1"/>
  <c r="R1169" i="1"/>
  <c r="S1169" i="1"/>
  <c r="T1169" i="1"/>
  <c r="U1169" i="1"/>
  <c r="V1169" i="1"/>
  <c r="Q1170" i="1"/>
  <c r="R1170" i="1"/>
  <c r="S1170" i="1"/>
  <c r="T1170" i="1"/>
  <c r="U1170" i="1"/>
  <c r="V1170" i="1"/>
  <c r="Q1171" i="1"/>
  <c r="R1171" i="1"/>
  <c r="S1171" i="1"/>
  <c r="T1171" i="1"/>
  <c r="U1171" i="1"/>
  <c r="V1171" i="1"/>
  <c r="Q1172" i="1"/>
  <c r="R1172" i="1"/>
  <c r="S1172" i="1"/>
  <c r="T1172" i="1"/>
  <c r="U1172" i="1"/>
  <c r="V1172" i="1"/>
  <c r="Q1173" i="1"/>
  <c r="R1173" i="1"/>
  <c r="S1173" i="1"/>
  <c r="T1173" i="1"/>
  <c r="U1173" i="1"/>
  <c r="V1173" i="1"/>
  <c r="Q1174" i="1"/>
  <c r="R1174" i="1"/>
  <c r="S1174" i="1"/>
  <c r="T1174" i="1"/>
  <c r="U1174" i="1"/>
  <c r="V1174" i="1"/>
  <c r="Q1175" i="1"/>
  <c r="R1175" i="1"/>
  <c r="S1175" i="1"/>
  <c r="T1175" i="1"/>
  <c r="U1175" i="1"/>
  <c r="V1175" i="1"/>
  <c r="Q1176" i="1"/>
  <c r="R1176" i="1"/>
  <c r="S1176" i="1"/>
  <c r="T1176" i="1"/>
  <c r="U1176" i="1"/>
  <c r="V1176" i="1"/>
  <c r="Q1177" i="1"/>
  <c r="R1177" i="1"/>
  <c r="S1177" i="1"/>
  <c r="T1177" i="1"/>
  <c r="U1177" i="1"/>
  <c r="V1177" i="1"/>
  <c r="Q1178" i="1"/>
  <c r="R1178" i="1"/>
  <c r="S1178" i="1"/>
  <c r="T1178" i="1"/>
  <c r="U1178" i="1"/>
  <c r="V1178" i="1"/>
  <c r="Q1179" i="1"/>
  <c r="R1179" i="1"/>
  <c r="S1179" i="1"/>
  <c r="T1179" i="1"/>
  <c r="U1179" i="1"/>
  <c r="V1179" i="1"/>
  <c r="Q1180" i="1"/>
  <c r="R1180" i="1"/>
  <c r="S1180" i="1"/>
  <c r="T1180" i="1"/>
  <c r="U1180" i="1"/>
  <c r="V1180" i="1"/>
  <c r="Q1181" i="1"/>
  <c r="R1181" i="1"/>
  <c r="S1181" i="1"/>
  <c r="T1181" i="1"/>
  <c r="U1181" i="1"/>
  <c r="V1181" i="1"/>
  <c r="Q1182" i="1"/>
  <c r="R1182" i="1"/>
  <c r="S1182" i="1"/>
  <c r="T1182" i="1"/>
  <c r="U1182" i="1"/>
  <c r="V1182" i="1"/>
  <c r="Q1183" i="1"/>
  <c r="R1183" i="1"/>
  <c r="S1183" i="1"/>
  <c r="T1183" i="1"/>
  <c r="U1183" i="1"/>
  <c r="V1183" i="1"/>
  <c r="Q1184" i="1"/>
  <c r="R1184" i="1"/>
  <c r="S1184" i="1"/>
  <c r="T1184" i="1"/>
  <c r="U1184" i="1"/>
  <c r="V1184" i="1"/>
  <c r="Q1185" i="1"/>
  <c r="R1185" i="1"/>
  <c r="S1185" i="1"/>
  <c r="T1185" i="1"/>
  <c r="U1185" i="1"/>
  <c r="V1185" i="1"/>
  <c r="Q1186" i="1"/>
  <c r="R1186" i="1"/>
  <c r="S1186" i="1"/>
  <c r="T1186" i="1"/>
  <c r="U1186" i="1"/>
  <c r="V1186" i="1"/>
  <c r="Q1187" i="1"/>
  <c r="R1187" i="1"/>
  <c r="S1187" i="1"/>
  <c r="T1187" i="1"/>
  <c r="U1187" i="1"/>
  <c r="V1187" i="1"/>
  <c r="Q1188" i="1"/>
  <c r="R1188" i="1"/>
  <c r="S1188" i="1"/>
  <c r="T1188" i="1"/>
  <c r="U1188" i="1"/>
  <c r="V1188" i="1"/>
  <c r="Q1189" i="1"/>
  <c r="R1189" i="1"/>
  <c r="S1189" i="1"/>
  <c r="T1189" i="1"/>
  <c r="U1189" i="1"/>
  <c r="V1189" i="1"/>
  <c r="Q1190" i="1"/>
  <c r="R1190" i="1"/>
  <c r="S1190" i="1"/>
  <c r="T1190" i="1"/>
  <c r="U1190" i="1"/>
  <c r="V1190" i="1"/>
  <c r="Q1191" i="1"/>
  <c r="R1191" i="1"/>
  <c r="S1191" i="1"/>
  <c r="T1191" i="1"/>
  <c r="U1191" i="1"/>
  <c r="V1191" i="1"/>
  <c r="Q1192" i="1"/>
  <c r="R1192" i="1"/>
  <c r="S1192" i="1"/>
  <c r="T1192" i="1"/>
  <c r="U1192" i="1"/>
  <c r="V1192" i="1"/>
  <c r="Q1193" i="1"/>
  <c r="R1193" i="1"/>
  <c r="S1193" i="1"/>
  <c r="T1193" i="1"/>
  <c r="U1193" i="1"/>
  <c r="V1193" i="1"/>
  <c r="Q1194" i="1"/>
  <c r="R1194" i="1"/>
  <c r="S1194" i="1"/>
  <c r="T1194" i="1"/>
  <c r="U1194" i="1"/>
  <c r="V1194" i="1"/>
  <c r="Q1195" i="1"/>
  <c r="R1195" i="1"/>
  <c r="S1195" i="1"/>
  <c r="T1195" i="1"/>
  <c r="U1195" i="1"/>
  <c r="V1195" i="1"/>
  <c r="Q1196" i="1"/>
  <c r="R1196" i="1"/>
  <c r="S1196" i="1"/>
  <c r="T1196" i="1"/>
  <c r="U1196" i="1"/>
  <c r="V1196" i="1"/>
  <c r="Q1197" i="1"/>
  <c r="R1197" i="1"/>
  <c r="S1197" i="1"/>
  <c r="T1197" i="1"/>
  <c r="U1197" i="1"/>
  <c r="V1197" i="1"/>
  <c r="Q1198" i="1"/>
  <c r="R1198" i="1"/>
  <c r="S1198" i="1"/>
  <c r="T1198" i="1"/>
  <c r="U1198" i="1"/>
  <c r="V1198" i="1"/>
  <c r="Q1199" i="1"/>
  <c r="R1199" i="1"/>
  <c r="S1199" i="1"/>
  <c r="T1199" i="1"/>
  <c r="U1199" i="1"/>
  <c r="V1199" i="1"/>
  <c r="Q1200" i="1"/>
  <c r="R1200" i="1"/>
  <c r="S1200" i="1"/>
  <c r="T1200" i="1"/>
  <c r="U1200" i="1"/>
  <c r="V1200" i="1"/>
  <c r="Q1201" i="1"/>
  <c r="R1201" i="1"/>
  <c r="S1201" i="1"/>
  <c r="T1201" i="1"/>
  <c r="U1201" i="1"/>
  <c r="V1201" i="1"/>
  <c r="Q1202" i="1"/>
  <c r="R1202" i="1"/>
  <c r="S1202" i="1"/>
  <c r="T1202" i="1"/>
  <c r="U1202" i="1"/>
  <c r="V1202" i="1"/>
  <c r="Q1203" i="1"/>
  <c r="R1203" i="1"/>
  <c r="S1203" i="1"/>
  <c r="T1203" i="1"/>
  <c r="U1203" i="1"/>
  <c r="V1203" i="1"/>
  <c r="Q1204" i="1"/>
  <c r="R1204" i="1"/>
  <c r="S1204" i="1"/>
  <c r="T1204" i="1"/>
  <c r="U1204" i="1"/>
  <c r="V1204" i="1"/>
  <c r="Q1205" i="1"/>
  <c r="R1205" i="1"/>
  <c r="S1205" i="1"/>
  <c r="T1205" i="1"/>
  <c r="U1205" i="1"/>
  <c r="V1205" i="1"/>
  <c r="Q1206" i="1"/>
  <c r="R1206" i="1"/>
  <c r="S1206" i="1"/>
  <c r="T1206" i="1"/>
  <c r="U1206" i="1"/>
  <c r="V1206" i="1"/>
  <c r="Q1207" i="1"/>
  <c r="R1207" i="1"/>
  <c r="S1207" i="1"/>
  <c r="T1207" i="1"/>
  <c r="U1207" i="1"/>
  <c r="V1207" i="1"/>
  <c r="Q1208" i="1"/>
  <c r="R1208" i="1"/>
  <c r="S1208" i="1"/>
  <c r="T1208" i="1"/>
  <c r="U1208" i="1"/>
  <c r="V1208" i="1"/>
  <c r="Q1209" i="1"/>
  <c r="R1209" i="1"/>
  <c r="S1209" i="1"/>
  <c r="T1209" i="1"/>
  <c r="U1209" i="1"/>
  <c r="V1209" i="1"/>
  <c r="Q1210" i="1"/>
  <c r="R1210" i="1"/>
  <c r="S1210" i="1"/>
  <c r="T1210" i="1"/>
  <c r="U1210" i="1"/>
  <c r="V1210" i="1"/>
  <c r="Q1211" i="1"/>
  <c r="R1211" i="1"/>
  <c r="S1211" i="1"/>
  <c r="T1211" i="1"/>
  <c r="U1211" i="1"/>
  <c r="V1211" i="1"/>
  <c r="Q1212" i="1"/>
  <c r="R1212" i="1"/>
  <c r="S1212" i="1"/>
  <c r="T1212" i="1"/>
  <c r="U1212" i="1"/>
  <c r="V1212" i="1"/>
  <c r="Q1213" i="1"/>
  <c r="R1213" i="1"/>
  <c r="S1213" i="1"/>
  <c r="T1213" i="1"/>
  <c r="U1213" i="1"/>
  <c r="V1213" i="1"/>
  <c r="Q1214" i="1"/>
  <c r="R1214" i="1"/>
  <c r="S1214" i="1"/>
  <c r="T1214" i="1"/>
  <c r="U1214" i="1"/>
  <c r="V1214" i="1"/>
  <c r="Q1215" i="1"/>
  <c r="R1215" i="1"/>
  <c r="S1215" i="1"/>
  <c r="T1215" i="1"/>
  <c r="U1215" i="1"/>
  <c r="V1215" i="1"/>
  <c r="Q1216" i="1"/>
  <c r="R1216" i="1"/>
  <c r="S1216" i="1"/>
  <c r="T1216" i="1"/>
  <c r="U1216" i="1"/>
  <c r="V1216" i="1"/>
  <c r="Q1217" i="1"/>
  <c r="R1217" i="1"/>
  <c r="S1217" i="1"/>
  <c r="T1217" i="1"/>
  <c r="U1217" i="1"/>
  <c r="V1217" i="1"/>
  <c r="Q1218" i="1"/>
  <c r="R1218" i="1"/>
  <c r="S1218" i="1"/>
  <c r="T1218" i="1"/>
  <c r="U1218" i="1"/>
  <c r="V1218" i="1"/>
  <c r="Q1219" i="1"/>
  <c r="R1219" i="1"/>
  <c r="S1219" i="1"/>
  <c r="T1219" i="1"/>
  <c r="U1219" i="1"/>
  <c r="V1219" i="1"/>
  <c r="Q1220" i="1"/>
  <c r="R1220" i="1"/>
  <c r="S1220" i="1"/>
  <c r="T1220" i="1"/>
  <c r="U1220" i="1"/>
  <c r="V1220" i="1"/>
  <c r="Q1221" i="1"/>
  <c r="R1221" i="1"/>
  <c r="S1221" i="1"/>
  <c r="T1221" i="1"/>
  <c r="U1221" i="1"/>
  <c r="V1221" i="1"/>
  <c r="Q1222" i="1"/>
  <c r="R1222" i="1"/>
  <c r="S1222" i="1"/>
  <c r="T1222" i="1"/>
  <c r="U1222" i="1"/>
  <c r="V1222" i="1"/>
  <c r="Q1223" i="1"/>
  <c r="R1223" i="1"/>
  <c r="S1223" i="1"/>
  <c r="T1223" i="1"/>
  <c r="U1223" i="1"/>
  <c r="V1223" i="1"/>
  <c r="Q1224" i="1"/>
  <c r="R1224" i="1"/>
  <c r="S1224" i="1"/>
  <c r="T1224" i="1"/>
  <c r="U1224" i="1"/>
  <c r="V1224" i="1"/>
  <c r="Q1225" i="1"/>
  <c r="R1225" i="1"/>
  <c r="S1225" i="1"/>
  <c r="T1225" i="1"/>
  <c r="U1225" i="1"/>
  <c r="V1225" i="1"/>
  <c r="Q1226" i="1"/>
  <c r="R1226" i="1"/>
  <c r="S1226" i="1"/>
  <c r="T1226" i="1"/>
  <c r="U1226" i="1"/>
  <c r="V1226" i="1"/>
  <c r="Q1227" i="1"/>
  <c r="R1227" i="1"/>
  <c r="S1227" i="1"/>
  <c r="T1227" i="1"/>
  <c r="U1227" i="1"/>
  <c r="V1227" i="1"/>
  <c r="Q1228" i="1"/>
  <c r="R1228" i="1"/>
  <c r="S1228" i="1"/>
  <c r="T1228" i="1"/>
  <c r="U1228" i="1"/>
  <c r="V1228" i="1"/>
  <c r="Q1229" i="1"/>
  <c r="R1229" i="1"/>
  <c r="S1229" i="1"/>
  <c r="T1229" i="1"/>
  <c r="U1229" i="1"/>
  <c r="V1229" i="1"/>
  <c r="Q1230" i="1"/>
  <c r="R1230" i="1"/>
  <c r="S1230" i="1"/>
  <c r="T1230" i="1"/>
  <c r="U1230" i="1"/>
  <c r="V1230" i="1"/>
  <c r="Q1231" i="1"/>
  <c r="R1231" i="1"/>
  <c r="S1231" i="1"/>
  <c r="T1231" i="1"/>
  <c r="U1231" i="1"/>
  <c r="V1231" i="1"/>
  <c r="Q1232" i="1"/>
  <c r="R1232" i="1"/>
  <c r="S1232" i="1"/>
  <c r="T1232" i="1"/>
  <c r="U1232" i="1"/>
  <c r="V1232" i="1"/>
  <c r="Q1233" i="1"/>
  <c r="R1233" i="1"/>
  <c r="S1233" i="1"/>
  <c r="T1233" i="1"/>
  <c r="U1233" i="1"/>
  <c r="V1233" i="1"/>
  <c r="Q1234" i="1"/>
  <c r="R1234" i="1"/>
  <c r="S1234" i="1"/>
  <c r="T1234" i="1"/>
  <c r="U1234" i="1"/>
  <c r="V1234" i="1"/>
  <c r="Q1235" i="1"/>
  <c r="R1235" i="1"/>
  <c r="S1235" i="1"/>
  <c r="T1235" i="1"/>
  <c r="U1235" i="1"/>
  <c r="V1235" i="1"/>
  <c r="Q1236" i="1"/>
  <c r="R1236" i="1"/>
  <c r="S1236" i="1"/>
  <c r="T1236" i="1"/>
  <c r="U1236" i="1"/>
  <c r="V1236" i="1"/>
  <c r="Q1237" i="1"/>
  <c r="R1237" i="1"/>
  <c r="S1237" i="1"/>
  <c r="T1237" i="1"/>
  <c r="U1237" i="1"/>
  <c r="V1237" i="1"/>
  <c r="Q1238" i="1"/>
  <c r="R1238" i="1"/>
  <c r="S1238" i="1"/>
  <c r="T1238" i="1"/>
  <c r="U1238" i="1"/>
  <c r="V1238" i="1"/>
  <c r="Q1239" i="1"/>
  <c r="R1239" i="1"/>
  <c r="S1239" i="1"/>
  <c r="T1239" i="1"/>
  <c r="U1239" i="1"/>
  <c r="V1239" i="1"/>
  <c r="Q1240" i="1"/>
  <c r="R1240" i="1"/>
  <c r="S1240" i="1"/>
  <c r="T1240" i="1"/>
  <c r="U1240" i="1"/>
  <c r="V1240" i="1"/>
  <c r="Q1241" i="1"/>
  <c r="R1241" i="1"/>
  <c r="S1241" i="1"/>
  <c r="T1241" i="1"/>
  <c r="U1241" i="1"/>
  <c r="V1241" i="1"/>
  <c r="Q1242" i="1"/>
  <c r="R1242" i="1"/>
  <c r="S1242" i="1"/>
  <c r="T1242" i="1"/>
  <c r="U1242" i="1"/>
  <c r="V1242" i="1"/>
  <c r="Q1243" i="1"/>
  <c r="R1243" i="1"/>
  <c r="S1243" i="1"/>
  <c r="T1243" i="1"/>
  <c r="U1243" i="1"/>
  <c r="V1243" i="1"/>
  <c r="Q1244" i="1"/>
  <c r="R1244" i="1"/>
  <c r="S1244" i="1"/>
  <c r="T1244" i="1"/>
  <c r="U1244" i="1"/>
  <c r="V1244" i="1"/>
  <c r="Q1245" i="1"/>
  <c r="R1245" i="1"/>
  <c r="S1245" i="1"/>
  <c r="T1245" i="1"/>
  <c r="U1245" i="1"/>
  <c r="V1245" i="1"/>
  <c r="Q1246" i="1"/>
  <c r="R1246" i="1"/>
  <c r="S1246" i="1"/>
  <c r="T1246" i="1"/>
  <c r="U1246" i="1"/>
  <c r="V1246" i="1"/>
  <c r="Q1247" i="1"/>
  <c r="R1247" i="1"/>
  <c r="S1247" i="1"/>
  <c r="T1247" i="1"/>
  <c r="U1247" i="1"/>
  <c r="V1247" i="1"/>
  <c r="Q1248" i="1"/>
  <c r="R1248" i="1"/>
  <c r="S1248" i="1"/>
  <c r="T1248" i="1"/>
  <c r="U1248" i="1"/>
  <c r="V1248" i="1"/>
  <c r="Q1249" i="1"/>
  <c r="R1249" i="1"/>
  <c r="S1249" i="1"/>
  <c r="T1249" i="1"/>
  <c r="U1249" i="1"/>
  <c r="V1249" i="1"/>
  <c r="Q1250" i="1"/>
  <c r="R1250" i="1"/>
  <c r="S1250" i="1"/>
  <c r="T1250" i="1"/>
  <c r="U1250" i="1"/>
  <c r="V1250" i="1"/>
  <c r="Q1251" i="1"/>
  <c r="R1251" i="1"/>
  <c r="S1251" i="1"/>
  <c r="T1251" i="1"/>
  <c r="U1251" i="1"/>
  <c r="V1251" i="1"/>
  <c r="Q1252" i="1"/>
  <c r="R1252" i="1"/>
  <c r="S1252" i="1"/>
  <c r="T1252" i="1"/>
  <c r="U1252" i="1"/>
  <c r="V1252" i="1"/>
  <c r="Q1253" i="1"/>
  <c r="R1253" i="1"/>
  <c r="S1253" i="1"/>
  <c r="T1253" i="1"/>
  <c r="U1253" i="1"/>
  <c r="V1253" i="1"/>
  <c r="Q1254" i="1"/>
  <c r="R1254" i="1"/>
  <c r="S1254" i="1"/>
  <c r="T1254" i="1"/>
  <c r="U1254" i="1"/>
  <c r="V1254" i="1"/>
  <c r="Q1255" i="1"/>
  <c r="R1255" i="1"/>
  <c r="S1255" i="1"/>
  <c r="T1255" i="1"/>
  <c r="U1255" i="1"/>
  <c r="V1255" i="1"/>
  <c r="Q1256" i="1"/>
  <c r="R1256" i="1"/>
  <c r="S1256" i="1"/>
  <c r="T1256" i="1"/>
  <c r="U1256" i="1"/>
  <c r="V1256" i="1"/>
  <c r="Q1257" i="1"/>
  <c r="R1257" i="1"/>
  <c r="S1257" i="1"/>
  <c r="T1257" i="1"/>
  <c r="U1257" i="1"/>
  <c r="V1257" i="1"/>
  <c r="Q1258" i="1"/>
  <c r="R1258" i="1"/>
  <c r="S1258" i="1"/>
  <c r="T1258" i="1"/>
  <c r="U1258" i="1"/>
  <c r="V1258" i="1"/>
  <c r="Q1259" i="1"/>
  <c r="R1259" i="1"/>
  <c r="S1259" i="1"/>
  <c r="T1259" i="1"/>
  <c r="U1259" i="1"/>
  <c r="V1259" i="1"/>
  <c r="Q1260" i="1"/>
  <c r="R1260" i="1"/>
  <c r="S1260" i="1"/>
  <c r="T1260" i="1"/>
  <c r="U1260" i="1"/>
  <c r="V1260" i="1"/>
  <c r="Q1261" i="1"/>
  <c r="R1261" i="1"/>
  <c r="S1261" i="1"/>
  <c r="T1261" i="1"/>
  <c r="U1261" i="1"/>
  <c r="V1261" i="1"/>
  <c r="Q1262" i="1"/>
  <c r="R1262" i="1"/>
  <c r="S1262" i="1"/>
  <c r="T1262" i="1"/>
  <c r="U1262" i="1"/>
  <c r="V1262" i="1"/>
  <c r="Q1263" i="1"/>
  <c r="R1263" i="1"/>
  <c r="S1263" i="1"/>
  <c r="T1263" i="1"/>
  <c r="U1263" i="1"/>
  <c r="V1263" i="1"/>
  <c r="Q1264" i="1"/>
  <c r="R1264" i="1"/>
  <c r="S1264" i="1"/>
  <c r="T1264" i="1"/>
  <c r="U1264" i="1"/>
  <c r="V1264" i="1"/>
  <c r="Q1265" i="1"/>
  <c r="R1265" i="1"/>
  <c r="S1265" i="1"/>
  <c r="T1265" i="1"/>
  <c r="U1265" i="1"/>
  <c r="V1265" i="1"/>
  <c r="Q1266" i="1"/>
  <c r="R1266" i="1"/>
  <c r="S1266" i="1"/>
  <c r="T1266" i="1"/>
  <c r="U1266" i="1"/>
  <c r="V1266" i="1"/>
  <c r="Q1267" i="1"/>
  <c r="R1267" i="1"/>
  <c r="S1267" i="1"/>
  <c r="T1267" i="1"/>
  <c r="U1267" i="1"/>
  <c r="V1267" i="1"/>
  <c r="Q1268" i="1"/>
  <c r="R1268" i="1"/>
  <c r="S1268" i="1"/>
  <c r="T1268" i="1"/>
  <c r="U1268" i="1"/>
  <c r="V1268" i="1"/>
  <c r="Q1269" i="1"/>
  <c r="R1269" i="1"/>
  <c r="S1269" i="1"/>
  <c r="T1269" i="1"/>
  <c r="U1269" i="1"/>
  <c r="V1269" i="1"/>
  <c r="Q1270" i="1"/>
  <c r="R1270" i="1"/>
  <c r="S1270" i="1"/>
  <c r="T1270" i="1"/>
  <c r="U1270" i="1"/>
  <c r="V1270" i="1"/>
  <c r="Q1271" i="1"/>
  <c r="R1271" i="1"/>
  <c r="S1271" i="1"/>
  <c r="T1271" i="1"/>
  <c r="U1271" i="1"/>
  <c r="V1271" i="1"/>
  <c r="Q1272" i="1"/>
  <c r="R1272" i="1"/>
  <c r="S1272" i="1"/>
  <c r="T1272" i="1"/>
  <c r="U1272" i="1"/>
  <c r="V1272" i="1"/>
  <c r="Q1273" i="1"/>
  <c r="R1273" i="1"/>
  <c r="S1273" i="1"/>
  <c r="T1273" i="1"/>
  <c r="U1273" i="1"/>
  <c r="V1273" i="1"/>
  <c r="Q1274" i="1"/>
  <c r="R1274" i="1"/>
  <c r="S1274" i="1"/>
  <c r="T1274" i="1"/>
  <c r="U1274" i="1"/>
  <c r="V1274" i="1"/>
  <c r="Q1275" i="1"/>
  <c r="R1275" i="1"/>
  <c r="S1275" i="1"/>
  <c r="T1275" i="1"/>
  <c r="U1275" i="1"/>
  <c r="V1275" i="1"/>
  <c r="Q1276" i="1"/>
  <c r="R1276" i="1"/>
  <c r="S1276" i="1"/>
  <c r="T1276" i="1"/>
  <c r="U1276" i="1"/>
  <c r="V1276" i="1"/>
  <c r="Q1277" i="1"/>
  <c r="R1277" i="1"/>
  <c r="S1277" i="1"/>
  <c r="T1277" i="1"/>
  <c r="U1277" i="1"/>
  <c r="V1277" i="1"/>
  <c r="Q1278" i="1"/>
  <c r="R1278" i="1"/>
  <c r="S1278" i="1"/>
  <c r="T1278" i="1"/>
  <c r="U1278" i="1"/>
  <c r="V1278" i="1"/>
  <c r="Q1279" i="1"/>
  <c r="R1279" i="1"/>
  <c r="S1279" i="1"/>
  <c r="T1279" i="1"/>
  <c r="U1279" i="1"/>
  <c r="V1279" i="1"/>
  <c r="Q1280" i="1"/>
  <c r="R1280" i="1"/>
  <c r="S1280" i="1"/>
  <c r="T1280" i="1"/>
  <c r="U1280" i="1"/>
  <c r="V1280" i="1"/>
  <c r="Q1281" i="1"/>
  <c r="R1281" i="1"/>
  <c r="S1281" i="1"/>
  <c r="T1281" i="1"/>
  <c r="U1281" i="1"/>
  <c r="V1281" i="1"/>
  <c r="Q1282" i="1"/>
  <c r="R1282" i="1"/>
  <c r="S1282" i="1"/>
  <c r="T1282" i="1"/>
  <c r="U1282" i="1"/>
  <c r="V1282" i="1"/>
  <c r="Q1283" i="1"/>
  <c r="R1283" i="1"/>
  <c r="S1283" i="1"/>
  <c r="T1283" i="1"/>
  <c r="U1283" i="1"/>
  <c r="V1283" i="1"/>
  <c r="Q1284" i="1"/>
  <c r="R1284" i="1"/>
  <c r="S1284" i="1"/>
  <c r="T1284" i="1"/>
  <c r="U1284" i="1"/>
  <c r="V1284" i="1"/>
  <c r="Q1285" i="1"/>
  <c r="R1285" i="1"/>
  <c r="S1285" i="1"/>
  <c r="T1285" i="1"/>
  <c r="U1285" i="1"/>
  <c r="V1285" i="1"/>
  <c r="Q1286" i="1"/>
  <c r="R1286" i="1"/>
  <c r="S1286" i="1"/>
  <c r="T1286" i="1"/>
  <c r="U1286" i="1"/>
  <c r="V1286" i="1"/>
  <c r="Q1287" i="1"/>
  <c r="R1287" i="1"/>
  <c r="S1287" i="1"/>
  <c r="T1287" i="1"/>
  <c r="U1287" i="1"/>
  <c r="V1287" i="1"/>
  <c r="Q1288" i="1"/>
  <c r="R1288" i="1"/>
  <c r="S1288" i="1"/>
  <c r="T1288" i="1"/>
  <c r="U1288" i="1"/>
  <c r="V1288" i="1"/>
  <c r="Q1289" i="1"/>
  <c r="R1289" i="1"/>
  <c r="S1289" i="1"/>
  <c r="T1289" i="1"/>
  <c r="U1289" i="1"/>
  <c r="V1289" i="1"/>
  <c r="Q1290" i="1"/>
  <c r="R1290" i="1"/>
  <c r="S1290" i="1"/>
  <c r="T1290" i="1"/>
  <c r="U1290" i="1"/>
  <c r="V1290" i="1"/>
  <c r="Q1291" i="1"/>
  <c r="R1291" i="1"/>
  <c r="S1291" i="1"/>
  <c r="T1291" i="1"/>
  <c r="U1291" i="1"/>
  <c r="V1291" i="1"/>
  <c r="Q1292" i="1"/>
  <c r="R1292" i="1"/>
  <c r="S1292" i="1"/>
  <c r="T1292" i="1"/>
  <c r="U1292" i="1"/>
  <c r="V1292" i="1"/>
  <c r="Q1293" i="1"/>
  <c r="R1293" i="1"/>
  <c r="S1293" i="1"/>
  <c r="T1293" i="1"/>
  <c r="U1293" i="1"/>
  <c r="V1293" i="1"/>
  <c r="Q1294" i="1"/>
  <c r="R1294" i="1"/>
  <c r="S1294" i="1"/>
  <c r="T1294" i="1"/>
  <c r="U1294" i="1"/>
  <c r="V1294" i="1"/>
  <c r="Q1295" i="1"/>
  <c r="R1295" i="1"/>
  <c r="S1295" i="1"/>
  <c r="T1295" i="1"/>
  <c r="U1295" i="1"/>
  <c r="V1295" i="1"/>
  <c r="Q1296" i="1"/>
  <c r="R1296" i="1"/>
  <c r="S1296" i="1"/>
  <c r="T1296" i="1"/>
  <c r="U1296" i="1"/>
  <c r="V1296" i="1"/>
  <c r="Q1297" i="1"/>
  <c r="R1297" i="1"/>
  <c r="S1297" i="1"/>
  <c r="T1297" i="1"/>
  <c r="U1297" i="1"/>
  <c r="V1297" i="1"/>
  <c r="Q1298" i="1"/>
  <c r="R1298" i="1"/>
  <c r="S1298" i="1"/>
  <c r="T1298" i="1"/>
  <c r="U1298" i="1"/>
  <c r="V1298" i="1"/>
  <c r="Q1299" i="1"/>
  <c r="R1299" i="1"/>
  <c r="S1299" i="1"/>
  <c r="T1299" i="1"/>
  <c r="U1299" i="1"/>
  <c r="V1299" i="1"/>
  <c r="Q1300" i="1"/>
  <c r="R1300" i="1"/>
  <c r="S1300" i="1"/>
  <c r="T1300" i="1"/>
  <c r="U1300" i="1"/>
  <c r="V1300" i="1"/>
  <c r="Q1301" i="1"/>
  <c r="R1301" i="1"/>
  <c r="S1301" i="1"/>
  <c r="T1301" i="1"/>
  <c r="U1301" i="1"/>
  <c r="V1301" i="1"/>
  <c r="Q1302" i="1"/>
  <c r="R1302" i="1"/>
  <c r="S1302" i="1"/>
  <c r="T1302" i="1"/>
  <c r="U1302" i="1"/>
  <c r="V1302" i="1"/>
  <c r="Q1303" i="1"/>
  <c r="R1303" i="1"/>
  <c r="S1303" i="1"/>
  <c r="T1303" i="1"/>
  <c r="U1303" i="1"/>
  <c r="V1303" i="1"/>
  <c r="Q1304" i="1"/>
  <c r="R1304" i="1"/>
  <c r="S1304" i="1"/>
  <c r="T1304" i="1"/>
  <c r="U1304" i="1"/>
  <c r="V1304" i="1"/>
  <c r="Q1305" i="1"/>
  <c r="R1305" i="1"/>
  <c r="S1305" i="1"/>
  <c r="T1305" i="1"/>
  <c r="U1305" i="1"/>
  <c r="V1305" i="1"/>
  <c r="Q1306" i="1"/>
  <c r="R1306" i="1"/>
  <c r="S1306" i="1"/>
  <c r="T1306" i="1"/>
  <c r="U1306" i="1"/>
  <c r="V1306" i="1"/>
  <c r="Q1307" i="1"/>
  <c r="R1307" i="1"/>
  <c r="S1307" i="1"/>
  <c r="T1307" i="1"/>
  <c r="U1307" i="1"/>
  <c r="V1307" i="1"/>
  <c r="Q1308" i="1"/>
  <c r="R1308" i="1"/>
  <c r="S1308" i="1"/>
  <c r="T1308" i="1"/>
  <c r="U1308" i="1"/>
  <c r="V1308" i="1"/>
  <c r="Q1309" i="1"/>
  <c r="R1309" i="1"/>
  <c r="S1309" i="1"/>
  <c r="T1309" i="1"/>
  <c r="U1309" i="1"/>
  <c r="V1309" i="1"/>
  <c r="Q1310" i="1"/>
  <c r="R1310" i="1"/>
  <c r="S1310" i="1"/>
  <c r="T1310" i="1"/>
  <c r="U1310" i="1"/>
  <c r="V1310" i="1"/>
  <c r="Q1311" i="1"/>
  <c r="R1311" i="1"/>
  <c r="S1311" i="1"/>
  <c r="T1311" i="1"/>
  <c r="U1311" i="1"/>
  <c r="V1311" i="1"/>
  <c r="Q1312" i="1"/>
  <c r="R1312" i="1"/>
  <c r="S1312" i="1"/>
  <c r="T1312" i="1"/>
  <c r="U1312" i="1"/>
  <c r="V1312" i="1"/>
  <c r="Q1313" i="1"/>
  <c r="R1313" i="1"/>
  <c r="S1313" i="1"/>
  <c r="T1313" i="1"/>
  <c r="U1313" i="1"/>
  <c r="V1313" i="1"/>
  <c r="Q1314" i="1"/>
  <c r="R1314" i="1"/>
  <c r="S1314" i="1"/>
  <c r="T1314" i="1"/>
  <c r="U1314" i="1"/>
  <c r="V1314" i="1"/>
  <c r="Q1315" i="1"/>
  <c r="R1315" i="1"/>
  <c r="S1315" i="1"/>
  <c r="T1315" i="1"/>
  <c r="U1315" i="1"/>
  <c r="V1315" i="1"/>
  <c r="Q1316" i="1"/>
  <c r="R1316" i="1"/>
  <c r="S1316" i="1"/>
  <c r="T1316" i="1"/>
  <c r="U1316" i="1"/>
  <c r="V1316" i="1"/>
  <c r="Q1317" i="1"/>
  <c r="R1317" i="1"/>
  <c r="S1317" i="1"/>
  <c r="T1317" i="1"/>
  <c r="U1317" i="1"/>
  <c r="V1317" i="1"/>
  <c r="Q1318" i="1"/>
  <c r="R1318" i="1"/>
  <c r="S1318" i="1"/>
  <c r="T1318" i="1"/>
  <c r="U1318" i="1"/>
  <c r="V1318" i="1"/>
  <c r="Q1319" i="1"/>
  <c r="R1319" i="1"/>
  <c r="S1319" i="1"/>
  <c r="T1319" i="1"/>
  <c r="U1319" i="1"/>
  <c r="V1319" i="1"/>
  <c r="Q1320" i="1"/>
  <c r="R1320" i="1"/>
  <c r="S1320" i="1"/>
  <c r="T1320" i="1"/>
  <c r="U1320" i="1"/>
  <c r="V1320" i="1"/>
  <c r="Q1321" i="1"/>
  <c r="R1321" i="1"/>
  <c r="S1321" i="1"/>
  <c r="T1321" i="1"/>
  <c r="U1321" i="1"/>
  <c r="V1321" i="1"/>
  <c r="Q1322" i="1"/>
  <c r="R1322" i="1"/>
  <c r="S1322" i="1"/>
  <c r="T1322" i="1"/>
  <c r="U1322" i="1"/>
  <c r="V1322" i="1"/>
  <c r="Q1323" i="1"/>
  <c r="R1323" i="1"/>
  <c r="S1323" i="1"/>
  <c r="T1323" i="1"/>
  <c r="U1323" i="1"/>
  <c r="V1323" i="1"/>
  <c r="Q1324" i="1"/>
  <c r="R1324" i="1"/>
  <c r="S1324" i="1"/>
  <c r="T1324" i="1"/>
  <c r="U1324" i="1"/>
  <c r="V1324" i="1"/>
  <c r="Q1325" i="1"/>
  <c r="R1325" i="1"/>
  <c r="S1325" i="1"/>
  <c r="T1325" i="1"/>
  <c r="U1325" i="1"/>
  <c r="V1325" i="1"/>
  <c r="Q1326" i="1"/>
  <c r="R1326" i="1"/>
  <c r="S1326" i="1"/>
  <c r="T1326" i="1"/>
  <c r="U1326" i="1"/>
  <c r="V1326" i="1"/>
  <c r="Q1327" i="1"/>
  <c r="R1327" i="1"/>
  <c r="S1327" i="1"/>
  <c r="T1327" i="1"/>
  <c r="U1327" i="1"/>
  <c r="V1327" i="1"/>
  <c r="Q1328" i="1"/>
  <c r="R1328" i="1"/>
  <c r="S1328" i="1"/>
  <c r="T1328" i="1"/>
  <c r="U1328" i="1"/>
  <c r="V1328" i="1"/>
  <c r="Q1329" i="1"/>
  <c r="R1329" i="1"/>
  <c r="S1329" i="1"/>
  <c r="T1329" i="1"/>
  <c r="U1329" i="1"/>
  <c r="V1329" i="1"/>
  <c r="Q1330" i="1"/>
  <c r="R1330" i="1"/>
  <c r="S1330" i="1"/>
  <c r="T1330" i="1"/>
  <c r="U1330" i="1"/>
  <c r="V1330" i="1"/>
  <c r="Q1331" i="1"/>
  <c r="R1331" i="1"/>
  <c r="S1331" i="1"/>
  <c r="T1331" i="1"/>
  <c r="U1331" i="1"/>
  <c r="V1331" i="1"/>
  <c r="Q1332" i="1"/>
  <c r="R1332" i="1"/>
  <c r="S1332" i="1"/>
  <c r="T1332" i="1"/>
  <c r="U1332" i="1"/>
  <c r="V1332" i="1"/>
  <c r="Q1333" i="1"/>
  <c r="R1333" i="1"/>
  <c r="S1333" i="1"/>
  <c r="T1333" i="1"/>
  <c r="U1333" i="1"/>
  <c r="V1333" i="1"/>
  <c r="Q1334" i="1"/>
  <c r="R1334" i="1"/>
  <c r="S1334" i="1"/>
  <c r="T1334" i="1"/>
  <c r="U1334" i="1"/>
  <c r="V1334" i="1"/>
  <c r="Q1335" i="1"/>
  <c r="R1335" i="1"/>
  <c r="S1335" i="1"/>
  <c r="T1335" i="1"/>
  <c r="U1335" i="1"/>
  <c r="V1335" i="1"/>
  <c r="Q1336" i="1"/>
  <c r="R1336" i="1"/>
  <c r="S1336" i="1"/>
  <c r="T1336" i="1"/>
  <c r="U1336" i="1"/>
  <c r="V1336" i="1"/>
  <c r="Q1337" i="1"/>
  <c r="R1337" i="1"/>
  <c r="S1337" i="1"/>
  <c r="T1337" i="1"/>
  <c r="U1337" i="1"/>
  <c r="V1337" i="1"/>
  <c r="Q1338" i="1"/>
  <c r="R1338" i="1"/>
  <c r="S1338" i="1"/>
  <c r="T1338" i="1"/>
  <c r="U1338" i="1"/>
  <c r="V1338" i="1"/>
  <c r="Q1339" i="1"/>
  <c r="R1339" i="1"/>
  <c r="S1339" i="1"/>
  <c r="T1339" i="1"/>
  <c r="U1339" i="1"/>
  <c r="V1339" i="1"/>
  <c r="Q1340" i="1"/>
  <c r="R1340" i="1"/>
  <c r="S1340" i="1"/>
  <c r="T1340" i="1"/>
  <c r="U1340" i="1"/>
  <c r="V1340" i="1"/>
  <c r="Q1341" i="1"/>
  <c r="R1341" i="1"/>
  <c r="S1341" i="1"/>
  <c r="T1341" i="1"/>
  <c r="U1341" i="1"/>
  <c r="V1341" i="1"/>
  <c r="Q1342" i="1"/>
  <c r="R1342" i="1"/>
  <c r="S1342" i="1"/>
  <c r="T1342" i="1"/>
  <c r="U1342" i="1"/>
  <c r="V1342" i="1"/>
  <c r="Q1343" i="1"/>
  <c r="R1343" i="1"/>
  <c r="S1343" i="1"/>
  <c r="T1343" i="1"/>
  <c r="U1343" i="1"/>
  <c r="V1343" i="1"/>
  <c r="Q1344" i="1"/>
  <c r="R1344" i="1"/>
  <c r="S1344" i="1"/>
  <c r="T1344" i="1"/>
  <c r="U1344" i="1"/>
  <c r="V1344" i="1"/>
  <c r="Q1345" i="1"/>
  <c r="R1345" i="1"/>
  <c r="S1345" i="1"/>
  <c r="T1345" i="1"/>
  <c r="U1345" i="1"/>
  <c r="V1345" i="1"/>
  <c r="Q1346" i="1"/>
  <c r="R1346" i="1"/>
  <c r="S1346" i="1"/>
  <c r="T1346" i="1"/>
  <c r="U1346" i="1"/>
  <c r="V1346" i="1"/>
  <c r="Q1347" i="1"/>
  <c r="R1347" i="1"/>
  <c r="S1347" i="1"/>
  <c r="T1347" i="1"/>
  <c r="U1347" i="1"/>
  <c r="V1347" i="1"/>
  <c r="Q1348" i="1"/>
  <c r="R1348" i="1"/>
  <c r="S1348" i="1"/>
  <c r="T1348" i="1"/>
  <c r="U1348" i="1"/>
  <c r="V1348" i="1"/>
  <c r="Q1349" i="1"/>
  <c r="R1349" i="1"/>
  <c r="S1349" i="1"/>
  <c r="T1349" i="1"/>
  <c r="U1349" i="1"/>
  <c r="V1349" i="1"/>
  <c r="Q1350" i="1"/>
  <c r="R1350" i="1"/>
  <c r="S1350" i="1"/>
  <c r="T1350" i="1"/>
  <c r="U1350" i="1"/>
  <c r="V1350" i="1"/>
  <c r="Q1351" i="1"/>
  <c r="R1351" i="1"/>
  <c r="S1351" i="1"/>
  <c r="T1351" i="1"/>
  <c r="U1351" i="1"/>
  <c r="V1351" i="1"/>
  <c r="Q1352" i="1"/>
  <c r="R1352" i="1"/>
  <c r="S1352" i="1"/>
  <c r="T1352" i="1"/>
  <c r="U1352" i="1"/>
  <c r="V1352" i="1"/>
  <c r="Q1353" i="1"/>
  <c r="R1353" i="1"/>
  <c r="S1353" i="1"/>
  <c r="T1353" i="1"/>
  <c r="U1353" i="1"/>
  <c r="V1353" i="1"/>
  <c r="Q1354" i="1"/>
  <c r="R1354" i="1"/>
  <c r="S1354" i="1"/>
  <c r="T1354" i="1"/>
  <c r="U1354" i="1"/>
  <c r="V1354" i="1"/>
  <c r="Q1355" i="1"/>
  <c r="R1355" i="1"/>
  <c r="S1355" i="1"/>
  <c r="T1355" i="1"/>
  <c r="U1355" i="1"/>
  <c r="V1355" i="1"/>
  <c r="Q1356" i="1"/>
  <c r="R1356" i="1"/>
  <c r="S1356" i="1"/>
  <c r="T1356" i="1"/>
  <c r="U1356" i="1"/>
  <c r="V1356" i="1"/>
  <c r="Q1357" i="1"/>
  <c r="R1357" i="1"/>
  <c r="S1357" i="1"/>
  <c r="T1357" i="1"/>
  <c r="U1357" i="1"/>
  <c r="V1357" i="1"/>
  <c r="Q1358" i="1"/>
  <c r="R1358" i="1"/>
  <c r="S1358" i="1"/>
  <c r="T1358" i="1"/>
  <c r="U1358" i="1"/>
  <c r="V1358" i="1"/>
  <c r="Q1359" i="1"/>
  <c r="R1359" i="1"/>
  <c r="S1359" i="1"/>
  <c r="T1359" i="1"/>
  <c r="U1359" i="1"/>
  <c r="V1359" i="1"/>
  <c r="Q1360" i="1"/>
  <c r="R1360" i="1"/>
  <c r="S1360" i="1"/>
  <c r="T1360" i="1"/>
  <c r="U1360" i="1"/>
  <c r="V1360" i="1"/>
  <c r="Q1361" i="1"/>
  <c r="R1361" i="1"/>
  <c r="S1361" i="1"/>
  <c r="T1361" i="1"/>
  <c r="U1361" i="1"/>
  <c r="V1361" i="1"/>
  <c r="Q1362" i="1"/>
  <c r="R1362" i="1"/>
  <c r="S1362" i="1"/>
  <c r="T1362" i="1"/>
  <c r="U1362" i="1"/>
  <c r="V1362" i="1"/>
  <c r="Q1363" i="1"/>
  <c r="R1363" i="1"/>
  <c r="S1363" i="1"/>
  <c r="T1363" i="1"/>
  <c r="U1363" i="1"/>
  <c r="V1363" i="1"/>
  <c r="Q1364" i="1"/>
  <c r="R1364" i="1"/>
  <c r="S1364" i="1"/>
  <c r="T1364" i="1"/>
  <c r="U1364" i="1"/>
  <c r="V1364" i="1"/>
  <c r="Q1365" i="1"/>
  <c r="R1365" i="1"/>
  <c r="S1365" i="1"/>
  <c r="T1365" i="1"/>
  <c r="U1365" i="1"/>
  <c r="V1365" i="1"/>
  <c r="Q1366" i="1"/>
  <c r="R1366" i="1"/>
  <c r="S1366" i="1"/>
  <c r="T1366" i="1"/>
  <c r="U1366" i="1"/>
  <c r="V1366" i="1"/>
  <c r="Q1367" i="1"/>
  <c r="R1367" i="1"/>
  <c r="S1367" i="1"/>
  <c r="T1367" i="1"/>
  <c r="U1367" i="1"/>
  <c r="V1367" i="1"/>
  <c r="Q1368" i="1"/>
  <c r="R1368" i="1"/>
  <c r="S1368" i="1"/>
  <c r="T1368" i="1"/>
  <c r="U1368" i="1"/>
  <c r="V1368" i="1"/>
  <c r="Q1369" i="1"/>
  <c r="R1369" i="1"/>
  <c r="S1369" i="1"/>
  <c r="T1369" i="1"/>
  <c r="U1369" i="1"/>
  <c r="V1369" i="1"/>
  <c r="Q1370" i="1"/>
  <c r="R1370" i="1"/>
  <c r="S1370" i="1"/>
  <c r="T1370" i="1"/>
  <c r="U1370" i="1"/>
  <c r="V1370" i="1"/>
  <c r="Q1371" i="1"/>
  <c r="R1371" i="1"/>
  <c r="S1371" i="1"/>
  <c r="T1371" i="1"/>
  <c r="U1371" i="1"/>
  <c r="V1371" i="1"/>
  <c r="Q1372" i="1"/>
  <c r="R1372" i="1"/>
  <c r="S1372" i="1"/>
  <c r="T1372" i="1"/>
  <c r="U1372" i="1"/>
  <c r="V1372" i="1"/>
  <c r="Q1373" i="1"/>
  <c r="R1373" i="1"/>
  <c r="S1373" i="1"/>
  <c r="T1373" i="1"/>
  <c r="U1373" i="1"/>
  <c r="V1373" i="1"/>
  <c r="Q1374" i="1"/>
  <c r="R1374" i="1"/>
  <c r="S1374" i="1"/>
  <c r="T1374" i="1"/>
  <c r="U1374" i="1"/>
  <c r="V1374" i="1"/>
  <c r="Q1375" i="1"/>
  <c r="R1375" i="1"/>
  <c r="S1375" i="1"/>
  <c r="T1375" i="1"/>
  <c r="U1375" i="1"/>
  <c r="V1375" i="1"/>
  <c r="Q1376" i="1"/>
  <c r="R1376" i="1"/>
  <c r="S1376" i="1"/>
  <c r="T1376" i="1"/>
  <c r="U1376" i="1"/>
  <c r="V1376" i="1"/>
  <c r="Q1377" i="1"/>
  <c r="R1377" i="1"/>
  <c r="S1377" i="1"/>
  <c r="T1377" i="1"/>
  <c r="U1377" i="1"/>
  <c r="V1377" i="1"/>
  <c r="Q1378" i="1"/>
  <c r="R1378" i="1"/>
  <c r="S1378" i="1"/>
  <c r="T1378" i="1"/>
  <c r="U1378" i="1"/>
  <c r="V1378" i="1"/>
  <c r="Q1379" i="1"/>
  <c r="R1379" i="1"/>
  <c r="S1379" i="1"/>
  <c r="T1379" i="1"/>
  <c r="U1379" i="1"/>
  <c r="V1379" i="1"/>
  <c r="Q1380" i="1"/>
  <c r="R1380" i="1"/>
  <c r="S1380" i="1"/>
  <c r="T1380" i="1"/>
  <c r="U1380" i="1"/>
  <c r="V1380" i="1"/>
  <c r="Q1381" i="1"/>
  <c r="R1381" i="1"/>
  <c r="S1381" i="1"/>
  <c r="T1381" i="1"/>
  <c r="U1381" i="1"/>
  <c r="V1381" i="1"/>
  <c r="Q1382" i="1"/>
  <c r="R1382" i="1"/>
  <c r="S1382" i="1"/>
  <c r="T1382" i="1"/>
  <c r="U1382" i="1"/>
  <c r="V1382" i="1"/>
  <c r="Q1383" i="1"/>
  <c r="R1383" i="1"/>
  <c r="S1383" i="1"/>
  <c r="T1383" i="1"/>
  <c r="U1383" i="1"/>
  <c r="V1383" i="1"/>
  <c r="Q1384" i="1"/>
  <c r="R1384" i="1"/>
  <c r="S1384" i="1"/>
  <c r="T1384" i="1"/>
  <c r="U1384" i="1"/>
  <c r="V1384" i="1"/>
  <c r="Q1385" i="1"/>
  <c r="R1385" i="1"/>
  <c r="S1385" i="1"/>
  <c r="T1385" i="1"/>
  <c r="U1385" i="1"/>
  <c r="V1385" i="1"/>
  <c r="Q1386" i="1"/>
  <c r="R1386" i="1"/>
  <c r="S1386" i="1"/>
  <c r="T1386" i="1"/>
  <c r="U1386" i="1"/>
  <c r="V1386" i="1"/>
  <c r="Q1387" i="1"/>
  <c r="R1387" i="1"/>
  <c r="S1387" i="1"/>
  <c r="T1387" i="1"/>
  <c r="U1387" i="1"/>
  <c r="V1387" i="1"/>
  <c r="Q1388" i="1"/>
  <c r="R1388" i="1"/>
  <c r="S1388" i="1"/>
  <c r="T1388" i="1"/>
  <c r="U1388" i="1"/>
  <c r="V1388" i="1"/>
  <c r="Q1389" i="1"/>
  <c r="R1389" i="1"/>
  <c r="S1389" i="1"/>
  <c r="T1389" i="1"/>
  <c r="U1389" i="1"/>
  <c r="V1389" i="1"/>
  <c r="Q1390" i="1"/>
  <c r="R1390" i="1"/>
  <c r="S1390" i="1"/>
  <c r="T1390" i="1"/>
  <c r="U1390" i="1"/>
  <c r="V1390" i="1"/>
  <c r="Q1391" i="1"/>
  <c r="R1391" i="1"/>
  <c r="S1391" i="1"/>
  <c r="T1391" i="1"/>
  <c r="U1391" i="1"/>
  <c r="V1391" i="1"/>
  <c r="Q1392" i="1"/>
  <c r="R1392" i="1"/>
  <c r="S1392" i="1"/>
  <c r="T1392" i="1"/>
  <c r="U1392" i="1"/>
  <c r="V1392" i="1"/>
  <c r="Q1393" i="1"/>
  <c r="R1393" i="1"/>
  <c r="S1393" i="1"/>
  <c r="T1393" i="1"/>
  <c r="U1393" i="1"/>
  <c r="V1393" i="1"/>
  <c r="Q1394" i="1"/>
  <c r="R1394" i="1"/>
  <c r="S1394" i="1"/>
  <c r="T1394" i="1"/>
  <c r="U1394" i="1"/>
  <c r="V1394" i="1"/>
  <c r="Q1395" i="1"/>
  <c r="R1395" i="1"/>
  <c r="S1395" i="1"/>
  <c r="T1395" i="1"/>
  <c r="U1395" i="1"/>
  <c r="V1395" i="1"/>
  <c r="Q1396" i="1"/>
  <c r="R1396" i="1"/>
  <c r="S1396" i="1"/>
  <c r="T1396" i="1"/>
  <c r="U1396" i="1"/>
  <c r="V1396" i="1"/>
  <c r="Q1397" i="1"/>
  <c r="R1397" i="1"/>
  <c r="S1397" i="1"/>
  <c r="T1397" i="1"/>
  <c r="U1397" i="1"/>
  <c r="V1397" i="1"/>
  <c r="Q1398" i="1"/>
  <c r="R1398" i="1"/>
  <c r="S1398" i="1"/>
  <c r="T1398" i="1"/>
  <c r="U1398" i="1"/>
  <c r="V1398" i="1"/>
  <c r="Q1399" i="1"/>
  <c r="R1399" i="1"/>
  <c r="S1399" i="1"/>
  <c r="T1399" i="1"/>
  <c r="U1399" i="1"/>
  <c r="V1399" i="1"/>
  <c r="Q1400" i="1"/>
  <c r="R1400" i="1"/>
  <c r="S1400" i="1"/>
  <c r="T1400" i="1"/>
  <c r="U1400" i="1"/>
  <c r="V1400" i="1"/>
  <c r="Q1401" i="1"/>
  <c r="R1401" i="1"/>
  <c r="S1401" i="1"/>
  <c r="T1401" i="1"/>
  <c r="U1401" i="1"/>
  <c r="V1401" i="1"/>
  <c r="Q1402" i="1"/>
  <c r="R1402" i="1"/>
  <c r="S1402" i="1"/>
  <c r="T1402" i="1"/>
  <c r="U1402" i="1"/>
  <c r="V1402" i="1"/>
  <c r="Q1403" i="1"/>
  <c r="R1403" i="1"/>
  <c r="S1403" i="1"/>
  <c r="T1403" i="1"/>
  <c r="U1403" i="1"/>
  <c r="V1403" i="1"/>
  <c r="Q1404" i="1"/>
  <c r="R1404" i="1"/>
  <c r="S1404" i="1"/>
  <c r="T1404" i="1"/>
  <c r="U1404" i="1"/>
  <c r="V1404" i="1"/>
  <c r="Q1405" i="1"/>
  <c r="R1405" i="1"/>
  <c r="S1405" i="1"/>
  <c r="T1405" i="1"/>
  <c r="U1405" i="1"/>
  <c r="V1405" i="1"/>
  <c r="Q1406" i="1"/>
  <c r="R1406" i="1"/>
  <c r="S1406" i="1"/>
  <c r="T1406" i="1"/>
  <c r="U1406" i="1"/>
  <c r="V1406" i="1"/>
  <c r="Q1407" i="1"/>
  <c r="R1407" i="1"/>
  <c r="S1407" i="1"/>
  <c r="T1407" i="1"/>
  <c r="U1407" i="1"/>
  <c r="V1407" i="1"/>
  <c r="Q1408" i="1"/>
  <c r="R1408" i="1"/>
  <c r="S1408" i="1"/>
  <c r="T1408" i="1"/>
  <c r="U1408" i="1"/>
  <c r="V1408" i="1"/>
  <c r="Q1409" i="1"/>
  <c r="R1409" i="1"/>
  <c r="S1409" i="1"/>
  <c r="T1409" i="1"/>
  <c r="U1409" i="1"/>
  <c r="V1409" i="1"/>
  <c r="Q1410" i="1"/>
  <c r="R1410" i="1"/>
  <c r="S1410" i="1"/>
  <c r="T1410" i="1"/>
  <c r="U1410" i="1"/>
  <c r="V1410" i="1"/>
  <c r="Q1411" i="1"/>
  <c r="R1411" i="1"/>
  <c r="S1411" i="1"/>
  <c r="T1411" i="1"/>
  <c r="U1411" i="1"/>
  <c r="V1411" i="1"/>
  <c r="Q1412" i="1"/>
  <c r="R1412" i="1"/>
  <c r="S1412" i="1"/>
  <c r="T1412" i="1"/>
  <c r="U1412" i="1"/>
  <c r="V1412" i="1"/>
  <c r="Q1413" i="1"/>
  <c r="R1413" i="1"/>
  <c r="S1413" i="1"/>
  <c r="T1413" i="1"/>
  <c r="U1413" i="1"/>
  <c r="V1413" i="1"/>
  <c r="Q1414" i="1"/>
  <c r="R1414" i="1"/>
  <c r="S1414" i="1"/>
  <c r="T1414" i="1"/>
  <c r="U1414" i="1"/>
  <c r="V1414" i="1"/>
  <c r="Q1415" i="1"/>
  <c r="R1415" i="1"/>
  <c r="S1415" i="1"/>
  <c r="T1415" i="1"/>
  <c r="U1415" i="1"/>
  <c r="V1415" i="1"/>
  <c r="Q1416" i="1"/>
  <c r="R1416" i="1"/>
  <c r="S1416" i="1"/>
  <c r="T1416" i="1"/>
  <c r="U1416" i="1"/>
  <c r="V1416" i="1"/>
  <c r="Q1417" i="1"/>
  <c r="R1417" i="1"/>
  <c r="S1417" i="1"/>
  <c r="T1417" i="1"/>
  <c r="U1417" i="1"/>
  <c r="V1417" i="1"/>
  <c r="Q1418" i="1"/>
  <c r="R1418" i="1"/>
  <c r="S1418" i="1"/>
  <c r="T1418" i="1"/>
  <c r="U1418" i="1"/>
  <c r="V1418" i="1"/>
  <c r="Q1419" i="1"/>
  <c r="R1419" i="1"/>
  <c r="S1419" i="1"/>
  <c r="T1419" i="1"/>
  <c r="U1419" i="1"/>
  <c r="V1419" i="1"/>
  <c r="Q1420" i="1"/>
  <c r="R1420" i="1"/>
  <c r="S1420" i="1"/>
  <c r="T1420" i="1"/>
  <c r="U1420" i="1"/>
  <c r="V1420" i="1"/>
  <c r="Q1421" i="1"/>
  <c r="R1421" i="1"/>
  <c r="S1421" i="1"/>
  <c r="T1421" i="1"/>
  <c r="U1421" i="1"/>
  <c r="V1421" i="1"/>
  <c r="Q1422" i="1"/>
  <c r="R1422" i="1"/>
  <c r="S1422" i="1"/>
  <c r="T1422" i="1"/>
  <c r="U1422" i="1"/>
  <c r="V1422" i="1"/>
  <c r="Q1423" i="1"/>
  <c r="R1423" i="1"/>
  <c r="S1423" i="1"/>
  <c r="T1423" i="1"/>
  <c r="U1423" i="1"/>
  <c r="V1423" i="1"/>
  <c r="Q1424" i="1"/>
  <c r="R1424" i="1"/>
  <c r="S1424" i="1"/>
  <c r="T1424" i="1"/>
  <c r="U1424" i="1"/>
  <c r="V1424" i="1"/>
  <c r="Q1425" i="1"/>
  <c r="R1425" i="1"/>
  <c r="S1425" i="1"/>
  <c r="T1425" i="1"/>
  <c r="U1425" i="1"/>
  <c r="V1425" i="1"/>
  <c r="Q1426" i="1"/>
  <c r="R1426" i="1"/>
  <c r="S1426" i="1"/>
  <c r="T1426" i="1"/>
  <c r="U1426" i="1"/>
  <c r="V1426" i="1"/>
  <c r="Q1427" i="1"/>
  <c r="R1427" i="1"/>
  <c r="S1427" i="1"/>
  <c r="T1427" i="1"/>
  <c r="U1427" i="1"/>
  <c r="V1427" i="1"/>
  <c r="Q1428" i="1"/>
  <c r="R1428" i="1"/>
  <c r="S1428" i="1"/>
  <c r="T1428" i="1"/>
  <c r="U1428" i="1"/>
  <c r="V1428" i="1"/>
  <c r="Q1429" i="1"/>
  <c r="R1429" i="1"/>
  <c r="S1429" i="1"/>
  <c r="T1429" i="1"/>
  <c r="U1429" i="1"/>
  <c r="V1429" i="1"/>
  <c r="Q1430" i="1"/>
  <c r="R1430" i="1"/>
  <c r="S1430" i="1"/>
  <c r="T1430" i="1"/>
  <c r="U1430" i="1"/>
  <c r="V1430" i="1"/>
  <c r="Q1431" i="1"/>
  <c r="R1431" i="1"/>
  <c r="S1431" i="1"/>
  <c r="T1431" i="1"/>
  <c r="U1431" i="1"/>
  <c r="V1431" i="1"/>
  <c r="Q1432" i="1"/>
  <c r="R1432" i="1"/>
  <c r="S1432" i="1"/>
  <c r="T1432" i="1"/>
  <c r="U1432" i="1"/>
  <c r="V1432" i="1"/>
  <c r="Q1433" i="1"/>
  <c r="R1433" i="1"/>
  <c r="S1433" i="1"/>
  <c r="T1433" i="1"/>
  <c r="U1433" i="1"/>
  <c r="V1433" i="1"/>
  <c r="Q1434" i="1"/>
  <c r="R1434" i="1"/>
  <c r="S1434" i="1"/>
  <c r="T1434" i="1"/>
  <c r="U1434" i="1"/>
  <c r="V1434" i="1"/>
  <c r="Q1435" i="1"/>
  <c r="R1435" i="1"/>
  <c r="S1435" i="1"/>
  <c r="T1435" i="1"/>
  <c r="U1435" i="1"/>
  <c r="V1435" i="1"/>
  <c r="Q1436" i="1"/>
  <c r="R1436" i="1"/>
  <c r="S1436" i="1"/>
  <c r="T1436" i="1"/>
  <c r="U1436" i="1"/>
  <c r="V1436" i="1"/>
  <c r="Q1437" i="1"/>
  <c r="R1437" i="1"/>
  <c r="S1437" i="1"/>
  <c r="T1437" i="1"/>
  <c r="U1437" i="1"/>
  <c r="V1437" i="1"/>
  <c r="Q1438" i="1"/>
  <c r="R1438" i="1"/>
  <c r="S1438" i="1"/>
  <c r="T1438" i="1"/>
  <c r="U1438" i="1"/>
  <c r="V1438" i="1"/>
  <c r="Q1439" i="1"/>
  <c r="R1439" i="1"/>
  <c r="S1439" i="1"/>
  <c r="T1439" i="1"/>
  <c r="U1439" i="1"/>
  <c r="V1439" i="1"/>
  <c r="Q1440" i="1"/>
  <c r="R1440" i="1"/>
  <c r="S1440" i="1"/>
  <c r="T1440" i="1"/>
  <c r="U1440" i="1"/>
  <c r="V1440" i="1"/>
  <c r="Q1441" i="1"/>
  <c r="R1441" i="1"/>
  <c r="S1441" i="1"/>
  <c r="T1441" i="1"/>
  <c r="U1441" i="1"/>
  <c r="V1441" i="1"/>
  <c r="Q1442" i="1"/>
  <c r="R1442" i="1"/>
  <c r="S1442" i="1"/>
  <c r="T1442" i="1"/>
  <c r="U1442" i="1"/>
  <c r="V1442" i="1"/>
  <c r="Q1443" i="1"/>
  <c r="R1443" i="1"/>
  <c r="S1443" i="1"/>
  <c r="T1443" i="1"/>
  <c r="U1443" i="1"/>
  <c r="V1443" i="1"/>
  <c r="Q1444" i="1"/>
  <c r="R1444" i="1"/>
  <c r="S1444" i="1"/>
  <c r="T1444" i="1"/>
  <c r="U1444" i="1"/>
  <c r="V1444" i="1"/>
  <c r="Q1445" i="1"/>
  <c r="R1445" i="1"/>
  <c r="S1445" i="1"/>
  <c r="T1445" i="1"/>
  <c r="U1445" i="1"/>
  <c r="V1445" i="1"/>
  <c r="Q1446" i="1"/>
  <c r="R1446" i="1"/>
  <c r="S1446" i="1"/>
  <c r="T1446" i="1"/>
  <c r="U1446" i="1"/>
  <c r="V1446" i="1"/>
  <c r="Q1447" i="1"/>
  <c r="R1447" i="1"/>
  <c r="S1447" i="1"/>
  <c r="T1447" i="1"/>
  <c r="U1447" i="1"/>
  <c r="V1447" i="1"/>
  <c r="Q1448" i="1"/>
  <c r="R1448" i="1"/>
  <c r="S1448" i="1"/>
  <c r="T1448" i="1"/>
  <c r="U1448" i="1"/>
  <c r="V1448" i="1"/>
  <c r="Q1449" i="1"/>
  <c r="R1449" i="1"/>
  <c r="S1449" i="1"/>
  <c r="T1449" i="1"/>
  <c r="U1449" i="1"/>
  <c r="V1449" i="1"/>
  <c r="Q1450" i="1"/>
  <c r="R1450" i="1"/>
  <c r="S1450" i="1"/>
  <c r="T1450" i="1"/>
  <c r="U1450" i="1"/>
  <c r="V1450" i="1"/>
  <c r="Q1451" i="1"/>
  <c r="R1451" i="1"/>
  <c r="S1451" i="1"/>
  <c r="T1451" i="1"/>
  <c r="U1451" i="1"/>
  <c r="V1451" i="1"/>
  <c r="Q1452" i="1"/>
  <c r="R1452" i="1"/>
  <c r="S1452" i="1"/>
  <c r="T1452" i="1"/>
  <c r="U1452" i="1"/>
  <c r="V1452" i="1"/>
  <c r="Q1453" i="1"/>
  <c r="R1453" i="1"/>
  <c r="S1453" i="1"/>
  <c r="T1453" i="1"/>
  <c r="U1453" i="1"/>
  <c r="V1453" i="1"/>
  <c r="Q1454" i="1"/>
  <c r="R1454" i="1"/>
  <c r="S1454" i="1"/>
  <c r="T1454" i="1"/>
  <c r="U1454" i="1"/>
  <c r="V1454" i="1"/>
  <c r="Q1455" i="1"/>
  <c r="R1455" i="1"/>
  <c r="S1455" i="1"/>
  <c r="T1455" i="1"/>
  <c r="U1455" i="1"/>
  <c r="V1455" i="1"/>
  <c r="Q1456" i="1"/>
  <c r="R1456" i="1"/>
  <c r="S1456" i="1"/>
  <c r="T1456" i="1"/>
  <c r="U1456" i="1"/>
  <c r="V1456" i="1"/>
  <c r="Q1457" i="1"/>
  <c r="R1457" i="1"/>
  <c r="S1457" i="1"/>
  <c r="T1457" i="1"/>
  <c r="U1457" i="1"/>
  <c r="V1457" i="1"/>
  <c r="Q1458" i="1"/>
  <c r="R1458" i="1"/>
  <c r="S1458" i="1"/>
  <c r="T1458" i="1"/>
  <c r="U1458" i="1"/>
  <c r="V1458" i="1"/>
  <c r="Q1459" i="1"/>
  <c r="R1459" i="1"/>
  <c r="S1459" i="1"/>
  <c r="T1459" i="1"/>
  <c r="U1459" i="1"/>
  <c r="V1459" i="1"/>
  <c r="Q1460" i="1"/>
  <c r="R1460" i="1"/>
  <c r="S1460" i="1"/>
  <c r="T1460" i="1"/>
  <c r="U1460" i="1"/>
  <c r="V1460" i="1"/>
  <c r="Q1461" i="1"/>
  <c r="R1461" i="1"/>
  <c r="S1461" i="1"/>
  <c r="T1461" i="1"/>
  <c r="U1461" i="1"/>
  <c r="V1461" i="1"/>
  <c r="Q1462" i="1"/>
  <c r="R1462" i="1"/>
  <c r="S1462" i="1"/>
  <c r="T1462" i="1"/>
  <c r="U1462" i="1"/>
  <c r="V1462" i="1"/>
  <c r="Q1463" i="1"/>
  <c r="R1463" i="1"/>
  <c r="S1463" i="1"/>
  <c r="T1463" i="1"/>
  <c r="U1463" i="1"/>
  <c r="V1463" i="1"/>
  <c r="Q1464" i="1"/>
  <c r="R1464" i="1"/>
  <c r="S1464" i="1"/>
  <c r="T1464" i="1"/>
  <c r="U1464" i="1"/>
  <c r="V1464" i="1"/>
  <c r="Q1465" i="1"/>
  <c r="R1465" i="1"/>
  <c r="S1465" i="1"/>
  <c r="T1465" i="1"/>
  <c r="U1465" i="1"/>
  <c r="V1465" i="1"/>
  <c r="Q1466" i="1"/>
  <c r="R1466" i="1"/>
  <c r="S1466" i="1"/>
  <c r="T1466" i="1"/>
  <c r="U1466" i="1"/>
  <c r="V1466" i="1"/>
  <c r="Q1467" i="1"/>
  <c r="R1467" i="1"/>
  <c r="S1467" i="1"/>
  <c r="T1467" i="1"/>
  <c r="U1467" i="1"/>
  <c r="V1467" i="1"/>
  <c r="Q1468" i="1"/>
  <c r="R1468" i="1"/>
  <c r="S1468" i="1"/>
  <c r="T1468" i="1"/>
  <c r="U1468" i="1"/>
  <c r="V1468" i="1"/>
  <c r="Q1469" i="1"/>
  <c r="R1469" i="1"/>
  <c r="S1469" i="1"/>
  <c r="T1469" i="1"/>
  <c r="U1469" i="1"/>
  <c r="V1469" i="1"/>
  <c r="Q1470" i="1"/>
  <c r="R1470" i="1"/>
  <c r="S1470" i="1"/>
  <c r="T1470" i="1"/>
  <c r="U1470" i="1"/>
  <c r="V1470" i="1"/>
  <c r="Q1471" i="1"/>
  <c r="R1471" i="1"/>
  <c r="S1471" i="1"/>
  <c r="T1471" i="1"/>
  <c r="U1471" i="1"/>
  <c r="V1471" i="1"/>
  <c r="Q1472" i="1"/>
  <c r="R1472" i="1"/>
  <c r="S1472" i="1"/>
  <c r="T1472" i="1"/>
  <c r="U1472" i="1"/>
  <c r="V1472" i="1"/>
  <c r="Q1473" i="1"/>
  <c r="R1473" i="1"/>
  <c r="S1473" i="1"/>
  <c r="T1473" i="1"/>
  <c r="U1473" i="1"/>
  <c r="V1473" i="1"/>
  <c r="Q1474" i="1"/>
  <c r="R1474" i="1"/>
  <c r="S1474" i="1"/>
  <c r="T1474" i="1"/>
  <c r="U1474" i="1"/>
  <c r="V1474" i="1"/>
  <c r="Q1475" i="1"/>
  <c r="R1475" i="1"/>
  <c r="S1475" i="1"/>
  <c r="T1475" i="1"/>
  <c r="U1475" i="1"/>
  <c r="V1475" i="1"/>
  <c r="Q1476" i="1"/>
  <c r="R1476" i="1"/>
  <c r="S1476" i="1"/>
  <c r="T1476" i="1"/>
  <c r="U1476" i="1"/>
  <c r="V1476" i="1"/>
  <c r="Q1477" i="1"/>
  <c r="R1477" i="1"/>
  <c r="S1477" i="1"/>
  <c r="T1477" i="1"/>
  <c r="U1477" i="1"/>
  <c r="V1477" i="1"/>
  <c r="Q1478" i="1"/>
  <c r="R1478" i="1"/>
  <c r="S1478" i="1"/>
  <c r="T1478" i="1"/>
  <c r="U1478" i="1"/>
  <c r="V1478" i="1"/>
  <c r="Q1479" i="1"/>
  <c r="R1479" i="1"/>
  <c r="S1479" i="1"/>
  <c r="T1479" i="1"/>
  <c r="U1479" i="1"/>
  <c r="V1479" i="1"/>
  <c r="Q1480" i="1"/>
  <c r="R1480" i="1"/>
  <c r="S1480" i="1"/>
  <c r="T1480" i="1"/>
  <c r="U1480" i="1"/>
  <c r="V1480" i="1"/>
  <c r="Q1481" i="1"/>
  <c r="R1481" i="1"/>
  <c r="S1481" i="1"/>
  <c r="T1481" i="1"/>
  <c r="U1481" i="1"/>
  <c r="V1481" i="1"/>
  <c r="Q1482" i="1"/>
  <c r="R1482" i="1"/>
  <c r="S1482" i="1"/>
  <c r="T1482" i="1"/>
  <c r="U1482" i="1"/>
  <c r="V1482" i="1"/>
  <c r="Q1483" i="1"/>
  <c r="R1483" i="1"/>
  <c r="S1483" i="1"/>
  <c r="T1483" i="1"/>
  <c r="U1483" i="1"/>
  <c r="V1483" i="1"/>
  <c r="Q1484" i="1"/>
  <c r="R1484" i="1"/>
  <c r="S1484" i="1"/>
  <c r="T1484" i="1"/>
  <c r="U1484" i="1"/>
  <c r="V1484" i="1"/>
  <c r="Q1485" i="1"/>
  <c r="R1485" i="1"/>
  <c r="S1485" i="1"/>
  <c r="T1485" i="1"/>
  <c r="U1485" i="1"/>
  <c r="V1485" i="1"/>
  <c r="Q1486" i="1"/>
  <c r="R1486" i="1"/>
  <c r="S1486" i="1"/>
  <c r="T1486" i="1"/>
  <c r="U1486" i="1"/>
  <c r="V1486" i="1"/>
  <c r="Q1487" i="1"/>
  <c r="R1487" i="1"/>
  <c r="S1487" i="1"/>
  <c r="T1487" i="1"/>
  <c r="U1487" i="1"/>
  <c r="V1487" i="1"/>
  <c r="Q1488" i="1"/>
  <c r="R1488" i="1"/>
  <c r="S1488" i="1"/>
  <c r="T1488" i="1"/>
  <c r="U1488" i="1"/>
  <c r="V1488" i="1"/>
  <c r="Q1489" i="1"/>
  <c r="R1489" i="1"/>
  <c r="S1489" i="1"/>
  <c r="T1489" i="1"/>
  <c r="U1489" i="1"/>
  <c r="V1489" i="1"/>
  <c r="Q1490" i="1"/>
  <c r="R1490" i="1"/>
  <c r="S1490" i="1"/>
  <c r="T1490" i="1"/>
  <c r="U1490" i="1"/>
  <c r="V1490" i="1"/>
  <c r="Q1491" i="1"/>
  <c r="R1491" i="1"/>
  <c r="S1491" i="1"/>
  <c r="T1491" i="1"/>
  <c r="U1491" i="1"/>
  <c r="V1491" i="1"/>
  <c r="Q1492" i="1"/>
  <c r="R1492" i="1"/>
  <c r="S1492" i="1"/>
  <c r="T1492" i="1"/>
  <c r="U1492" i="1"/>
  <c r="V1492" i="1"/>
  <c r="Q1493" i="1"/>
  <c r="R1493" i="1"/>
  <c r="S1493" i="1"/>
  <c r="T1493" i="1"/>
  <c r="U1493" i="1"/>
  <c r="V1493" i="1"/>
  <c r="Q1494" i="1"/>
  <c r="R1494" i="1"/>
  <c r="S1494" i="1"/>
  <c r="T1494" i="1"/>
  <c r="U1494" i="1"/>
  <c r="V1494" i="1"/>
  <c r="Q1495" i="1"/>
  <c r="R1495" i="1"/>
  <c r="S1495" i="1"/>
  <c r="T1495" i="1"/>
  <c r="U1495" i="1"/>
  <c r="V1495" i="1"/>
  <c r="Q1496" i="1"/>
  <c r="R1496" i="1"/>
  <c r="S1496" i="1"/>
  <c r="T1496" i="1"/>
  <c r="U1496" i="1"/>
  <c r="V1496" i="1"/>
  <c r="Q1497" i="1"/>
  <c r="R1497" i="1"/>
  <c r="S1497" i="1"/>
  <c r="T1497" i="1"/>
  <c r="U1497" i="1"/>
  <c r="V1497" i="1"/>
  <c r="Q1498" i="1"/>
  <c r="R1498" i="1"/>
  <c r="S1498" i="1"/>
  <c r="T1498" i="1"/>
  <c r="U1498" i="1"/>
  <c r="V1498" i="1"/>
  <c r="Q1499" i="1"/>
  <c r="R1499" i="1"/>
  <c r="S1499" i="1"/>
  <c r="T1499" i="1"/>
  <c r="U1499" i="1"/>
  <c r="V1499" i="1"/>
  <c r="Q1500" i="1"/>
  <c r="R1500" i="1"/>
  <c r="S1500" i="1"/>
  <c r="T1500" i="1"/>
  <c r="U1500" i="1"/>
  <c r="V1500" i="1"/>
  <c r="Q1501" i="1"/>
  <c r="R1501" i="1"/>
  <c r="S1501" i="1"/>
  <c r="T1501" i="1"/>
  <c r="U1501" i="1"/>
  <c r="V1501" i="1"/>
  <c r="Q1502" i="1"/>
  <c r="R1502" i="1"/>
  <c r="S1502" i="1"/>
  <c r="T1502" i="1"/>
  <c r="U1502" i="1"/>
  <c r="V1502" i="1"/>
  <c r="Q1503" i="1"/>
  <c r="R1503" i="1"/>
  <c r="S1503" i="1"/>
  <c r="T1503" i="1"/>
  <c r="U1503" i="1"/>
  <c r="V1503" i="1"/>
  <c r="Q1504" i="1"/>
  <c r="R1504" i="1"/>
  <c r="S1504" i="1"/>
  <c r="T1504" i="1"/>
  <c r="U1504" i="1"/>
  <c r="V1504" i="1"/>
  <c r="Q1505" i="1"/>
  <c r="R1505" i="1"/>
  <c r="S1505" i="1"/>
  <c r="T1505" i="1"/>
  <c r="U1505" i="1"/>
  <c r="V1505" i="1"/>
  <c r="Q1506" i="1"/>
  <c r="R1506" i="1"/>
  <c r="S1506" i="1"/>
  <c r="T1506" i="1"/>
  <c r="U1506" i="1"/>
  <c r="V1506" i="1"/>
  <c r="Q1507" i="1"/>
  <c r="R1507" i="1"/>
  <c r="S1507" i="1"/>
  <c r="T1507" i="1"/>
  <c r="U1507" i="1"/>
  <c r="V1507" i="1"/>
  <c r="Q1508" i="1"/>
  <c r="R1508" i="1"/>
  <c r="S1508" i="1"/>
  <c r="T1508" i="1"/>
  <c r="U1508" i="1"/>
  <c r="V1508" i="1"/>
  <c r="Q1509" i="1"/>
  <c r="R1509" i="1"/>
  <c r="S1509" i="1"/>
  <c r="T1509" i="1"/>
  <c r="U1509" i="1"/>
  <c r="V1509" i="1"/>
  <c r="Q1510" i="1"/>
  <c r="R1510" i="1"/>
  <c r="S1510" i="1"/>
  <c r="T1510" i="1"/>
  <c r="U1510" i="1"/>
  <c r="V1510" i="1"/>
  <c r="Q1511" i="1"/>
  <c r="R1511" i="1"/>
  <c r="S1511" i="1"/>
  <c r="T1511" i="1"/>
  <c r="U1511" i="1"/>
  <c r="V1511" i="1"/>
  <c r="Q1512" i="1"/>
  <c r="R1512" i="1"/>
  <c r="S1512" i="1"/>
  <c r="T1512" i="1"/>
  <c r="U1512" i="1"/>
  <c r="V1512" i="1"/>
  <c r="Q1513" i="1"/>
  <c r="R1513" i="1"/>
  <c r="S1513" i="1"/>
  <c r="T1513" i="1"/>
  <c r="U1513" i="1"/>
  <c r="V1513" i="1"/>
  <c r="Q1514" i="1"/>
  <c r="R1514" i="1"/>
  <c r="S1514" i="1"/>
  <c r="T1514" i="1"/>
  <c r="U1514" i="1"/>
  <c r="V1514" i="1"/>
  <c r="Q1515" i="1"/>
  <c r="R1515" i="1"/>
  <c r="S1515" i="1"/>
  <c r="T1515" i="1"/>
  <c r="U1515" i="1"/>
  <c r="V1515" i="1"/>
  <c r="Q1516" i="1"/>
  <c r="R1516" i="1"/>
  <c r="S1516" i="1"/>
  <c r="T1516" i="1"/>
  <c r="U1516" i="1"/>
  <c r="V1516" i="1"/>
  <c r="Q1517" i="1"/>
  <c r="R1517" i="1"/>
  <c r="S1517" i="1"/>
  <c r="T1517" i="1"/>
  <c r="U1517" i="1"/>
  <c r="V1517" i="1"/>
  <c r="Q1518" i="1"/>
  <c r="R1518" i="1"/>
  <c r="S1518" i="1"/>
  <c r="T1518" i="1"/>
  <c r="U1518" i="1"/>
  <c r="V1518" i="1"/>
  <c r="Q1519" i="1"/>
  <c r="R1519" i="1"/>
  <c r="S1519" i="1"/>
  <c r="T1519" i="1"/>
  <c r="U1519" i="1"/>
  <c r="V1519" i="1"/>
  <c r="Q1520" i="1"/>
  <c r="R1520" i="1"/>
  <c r="S1520" i="1"/>
  <c r="T1520" i="1"/>
  <c r="U1520" i="1"/>
  <c r="V1520" i="1"/>
  <c r="Q1521" i="1"/>
  <c r="R1521" i="1"/>
  <c r="S1521" i="1"/>
  <c r="T1521" i="1"/>
  <c r="U1521" i="1"/>
  <c r="V1521" i="1"/>
  <c r="Q1522" i="1"/>
  <c r="R1522" i="1"/>
  <c r="S1522" i="1"/>
  <c r="T1522" i="1"/>
  <c r="U1522" i="1"/>
  <c r="V1522" i="1"/>
  <c r="Q1523" i="1"/>
  <c r="R1523" i="1"/>
  <c r="S1523" i="1"/>
  <c r="T1523" i="1"/>
  <c r="U1523" i="1"/>
  <c r="V1523" i="1"/>
  <c r="Q1524" i="1"/>
  <c r="R1524" i="1"/>
  <c r="S1524" i="1"/>
  <c r="T1524" i="1"/>
  <c r="U1524" i="1"/>
  <c r="V1524" i="1"/>
  <c r="Q1525" i="1"/>
  <c r="R1525" i="1"/>
  <c r="S1525" i="1"/>
  <c r="T1525" i="1"/>
  <c r="U1525" i="1"/>
  <c r="V1525" i="1"/>
  <c r="Q1526" i="1"/>
  <c r="R1526" i="1"/>
  <c r="S1526" i="1"/>
  <c r="T1526" i="1"/>
  <c r="U1526" i="1"/>
  <c r="V1526" i="1"/>
  <c r="Q1527" i="1"/>
  <c r="R1527" i="1"/>
  <c r="S1527" i="1"/>
  <c r="T1527" i="1"/>
  <c r="U1527" i="1"/>
  <c r="V1527" i="1"/>
  <c r="Q1528" i="1"/>
  <c r="R1528" i="1"/>
  <c r="S1528" i="1"/>
  <c r="T1528" i="1"/>
  <c r="U1528" i="1"/>
  <c r="V1528" i="1"/>
  <c r="Q1529" i="1"/>
  <c r="R1529" i="1"/>
  <c r="S1529" i="1"/>
  <c r="T1529" i="1"/>
  <c r="U1529" i="1"/>
  <c r="V1529" i="1"/>
  <c r="Q1530" i="1"/>
  <c r="R1530" i="1"/>
  <c r="S1530" i="1"/>
  <c r="T1530" i="1"/>
  <c r="U1530" i="1"/>
  <c r="V1530" i="1"/>
  <c r="Q1531" i="1"/>
  <c r="R1531" i="1"/>
  <c r="S1531" i="1"/>
  <c r="T1531" i="1"/>
  <c r="U1531" i="1"/>
  <c r="V1531" i="1"/>
  <c r="Q1532" i="1"/>
  <c r="R1532" i="1"/>
  <c r="S1532" i="1"/>
  <c r="T1532" i="1"/>
  <c r="U1532" i="1"/>
  <c r="V1532" i="1"/>
  <c r="Q1533" i="1"/>
  <c r="R1533" i="1"/>
  <c r="S1533" i="1"/>
  <c r="T1533" i="1"/>
  <c r="U1533" i="1"/>
  <c r="V1533" i="1"/>
  <c r="Q1534" i="1"/>
  <c r="R1534" i="1"/>
  <c r="S1534" i="1"/>
  <c r="T1534" i="1"/>
  <c r="U1534" i="1"/>
  <c r="V1534" i="1"/>
  <c r="Q1535" i="1"/>
  <c r="R1535" i="1"/>
  <c r="S1535" i="1"/>
  <c r="T1535" i="1"/>
  <c r="U1535" i="1"/>
  <c r="V1535" i="1"/>
  <c r="Q1536" i="1"/>
  <c r="R1536" i="1"/>
  <c r="S1536" i="1"/>
  <c r="T1536" i="1"/>
  <c r="U1536" i="1"/>
  <c r="V1536" i="1"/>
  <c r="Q1537" i="1"/>
  <c r="R1537" i="1"/>
  <c r="S1537" i="1"/>
  <c r="T1537" i="1"/>
  <c r="U1537" i="1"/>
  <c r="V1537" i="1"/>
  <c r="Q1538" i="1"/>
  <c r="R1538" i="1"/>
  <c r="S1538" i="1"/>
  <c r="T1538" i="1"/>
  <c r="U1538" i="1"/>
  <c r="V1538" i="1"/>
  <c r="Q1539" i="1"/>
  <c r="R1539" i="1"/>
  <c r="S1539" i="1"/>
  <c r="T1539" i="1"/>
  <c r="U1539" i="1"/>
  <c r="V1539" i="1"/>
  <c r="Q1540" i="1"/>
  <c r="R1540" i="1"/>
  <c r="S1540" i="1"/>
  <c r="T1540" i="1"/>
  <c r="U1540" i="1"/>
  <c r="V1540" i="1"/>
  <c r="Q1541" i="1"/>
  <c r="R1541" i="1"/>
  <c r="S1541" i="1"/>
  <c r="T1541" i="1"/>
  <c r="U1541" i="1"/>
  <c r="V1541" i="1"/>
  <c r="Q1542" i="1"/>
  <c r="R1542" i="1"/>
  <c r="S1542" i="1"/>
  <c r="T1542" i="1"/>
  <c r="U1542" i="1"/>
  <c r="V1542" i="1"/>
  <c r="Q1543" i="1"/>
  <c r="R1543" i="1"/>
  <c r="S1543" i="1"/>
  <c r="T1543" i="1"/>
  <c r="U1543" i="1"/>
  <c r="V1543" i="1"/>
  <c r="Q1544" i="1"/>
  <c r="R1544" i="1"/>
  <c r="S1544" i="1"/>
  <c r="T1544" i="1"/>
  <c r="U1544" i="1"/>
  <c r="V1544" i="1"/>
  <c r="Q1545" i="1"/>
  <c r="R1545" i="1"/>
  <c r="S1545" i="1"/>
  <c r="T1545" i="1"/>
  <c r="U1545" i="1"/>
  <c r="V1545" i="1"/>
  <c r="Q1546" i="1"/>
  <c r="R1546" i="1"/>
  <c r="S1546" i="1"/>
  <c r="T1546" i="1"/>
  <c r="U1546" i="1"/>
  <c r="V1546" i="1"/>
  <c r="Q1547" i="1"/>
  <c r="R1547" i="1"/>
  <c r="S1547" i="1"/>
  <c r="T1547" i="1"/>
  <c r="U1547" i="1"/>
  <c r="V1547" i="1"/>
  <c r="Q1548" i="1"/>
  <c r="R1548" i="1"/>
  <c r="S1548" i="1"/>
  <c r="T1548" i="1"/>
  <c r="U1548" i="1"/>
  <c r="V1548" i="1"/>
  <c r="Q1549" i="1"/>
  <c r="R1549" i="1"/>
  <c r="S1549" i="1"/>
  <c r="T1549" i="1"/>
  <c r="U1549" i="1"/>
  <c r="V1549" i="1"/>
  <c r="Q1550" i="1"/>
  <c r="R1550" i="1"/>
  <c r="S1550" i="1"/>
  <c r="T1550" i="1"/>
  <c r="U1550" i="1"/>
  <c r="V1550" i="1"/>
  <c r="Q1551" i="1"/>
  <c r="R1551" i="1"/>
  <c r="S1551" i="1"/>
  <c r="T1551" i="1"/>
  <c r="U1551" i="1"/>
  <c r="V1551" i="1"/>
  <c r="Q1552" i="1"/>
  <c r="R1552" i="1"/>
  <c r="S1552" i="1"/>
  <c r="T1552" i="1"/>
  <c r="U1552" i="1"/>
  <c r="V1552" i="1"/>
  <c r="Q1553" i="1"/>
  <c r="R1553" i="1"/>
  <c r="S1553" i="1"/>
  <c r="T1553" i="1"/>
  <c r="U1553" i="1"/>
  <c r="V1553" i="1"/>
  <c r="Q1554" i="1"/>
  <c r="R1554" i="1"/>
  <c r="S1554" i="1"/>
  <c r="T1554" i="1"/>
  <c r="U1554" i="1"/>
  <c r="V1554" i="1"/>
  <c r="Q1555" i="1"/>
  <c r="R1555" i="1"/>
  <c r="S1555" i="1"/>
  <c r="T1555" i="1"/>
  <c r="U1555" i="1"/>
  <c r="V1555" i="1"/>
  <c r="Q1556" i="1"/>
  <c r="R1556" i="1"/>
  <c r="S1556" i="1"/>
  <c r="T1556" i="1"/>
  <c r="U1556" i="1"/>
  <c r="V1556" i="1"/>
  <c r="Q1557" i="1"/>
  <c r="R1557" i="1"/>
  <c r="S1557" i="1"/>
  <c r="T1557" i="1"/>
  <c r="U1557" i="1"/>
  <c r="V1557" i="1"/>
  <c r="Q1558" i="1"/>
  <c r="R1558" i="1"/>
  <c r="S1558" i="1"/>
  <c r="T1558" i="1"/>
  <c r="U1558" i="1"/>
  <c r="V1558" i="1"/>
  <c r="Q1559" i="1"/>
  <c r="R1559" i="1"/>
  <c r="S1559" i="1"/>
  <c r="T1559" i="1"/>
  <c r="U1559" i="1"/>
  <c r="V1559" i="1"/>
  <c r="Q1560" i="1"/>
  <c r="R1560" i="1"/>
  <c r="S1560" i="1"/>
  <c r="T1560" i="1"/>
  <c r="U1560" i="1"/>
  <c r="V1560" i="1"/>
  <c r="Q1561" i="1"/>
  <c r="R1561" i="1"/>
  <c r="S1561" i="1"/>
  <c r="T1561" i="1"/>
  <c r="U1561" i="1"/>
  <c r="V1561" i="1"/>
  <c r="Q1562" i="1"/>
  <c r="R1562" i="1"/>
  <c r="S1562" i="1"/>
  <c r="T1562" i="1"/>
  <c r="U1562" i="1"/>
  <c r="V1562" i="1"/>
  <c r="Q1563" i="1"/>
  <c r="R1563" i="1"/>
  <c r="S1563" i="1"/>
  <c r="T1563" i="1"/>
  <c r="U1563" i="1"/>
  <c r="V1563" i="1"/>
  <c r="Q1564" i="1"/>
  <c r="R1564" i="1"/>
  <c r="S1564" i="1"/>
  <c r="T1564" i="1"/>
  <c r="U1564" i="1"/>
  <c r="V1564" i="1"/>
  <c r="Q1565" i="1"/>
  <c r="R1565" i="1"/>
  <c r="S1565" i="1"/>
  <c r="T1565" i="1"/>
  <c r="U1565" i="1"/>
  <c r="V1565" i="1"/>
  <c r="Q1566" i="1"/>
  <c r="R1566" i="1"/>
  <c r="S1566" i="1"/>
  <c r="T1566" i="1"/>
  <c r="U1566" i="1"/>
  <c r="V1566" i="1"/>
  <c r="Q1567" i="1"/>
  <c r="R1567" i="1"/>
  <c r="S1567" i="1"/>
  <c r="T1567" i="1"/>
  <c r="U1567" i="1"/>
  <c r="V1567" i="1"/>
  <c r="Q1568" i="1"/>
  <c r="R1568" i="1"/>
  <c r="S1568" i="1"/>
  <c r="T1568" i="1"/>
  <c r="U1568" i="1"/>
  <c r="V1568" i="1"/>
  <c r="Q1569" i="1"/>
  <c r="R1569" i="1"/>
  <c r="S1569" i="1"/>
  <c r="T1569" i="1"/>
  <c r="U1569" i="1"/>
  <c r="V1569" i="1"/>
  <c r="Q1570" i="1"/>
  <c r="R1570" i="1"/>
  <c r="S1570" i="1"/>
  <c r="T1570" i="1"/>
  <c r="U1570" i="1"/>
  <c r="V1570" i="1"/>
  <c r="Q1571" i="1"/>
  <c r="R1571" i="1"/>
  <c r="S1571" i="1"/>
  <c r="T1571" i="1"/>
  <c r="U1571" i="1"/>
  <c r="V1571" i="1"/>
  <c r="Q1572" i="1"/>
  <c r="R1572" i="1"/>
  <c r="S1572" i="1"/>
  <c r="T1572" i="1"/>
  <c r="U1572" i="1"/>
  <c r="V1572" i="1"/>
  <c r="Q1573" i="1"/>
  <c r="R1573" i="1"/>
  <c r="S1573" i="1"/>
  <c r="T1573" i="1"/>
  <c r="U1573" i="1"/>
  <c r="V1573" i="1"/>
  <c r="Q1574" i="1"/>
  <c r="R1574" i="1"/>
  <c r="S1574" i="1"/>
  <c r="T1574" i="1"/>
  <c r="U1574" i="1"/>
  <c r="V1574" i="1"/>
  <c r="Q1575" i="1"/>
  <c r="R1575" i="1"/>
  <c r="S1575" i="1"/>
  <c r="T1575" i="1"/>
  <c r="U1575" i="1"/>
  <c r="V1575" i="1"/>
  <c r="Q1576" i="1"/>
  <c r="R1576" i="1"/>
  <c r="S1576" i="1"/>
  <c r="T1576" i="1"/>
  <c r="U1576" i="1"/>
  <c r="V1576" i="1"/>
  <c r="Q1577" i="1"/>
  <c r="R1577" i="1"/>
  <c r="S1577" i="1"/>
  <c r="T1577" i="1"/>
  <c r="U1577" i="1"/>
  <c r="V1577" i="1"/>
  <c r="Q1578" i="1"/>
  <c r="R1578" i="1"/>
  <c r="S1578" i="1"/>
  <c r="T1578" i="1"/>
  <c r="U1578" i="1"/>
  <c r="V1578" i="1"/>
  <c r="Q1579" i="1"/>
  <c r="R1579" i="1"/>
  <c r="S1579" i="1"/>
  <c r="T1579" i="1"/>
  <c r="U1579" i="1"/>
  <c r="V1579" i="1"/>
  <c r="Q1580" i="1"/>
  <c r="R1580" i="1"/>
  <c r="S1580" i="1"/>
  <c r="T1580" i="1"/>
  <c r="U1580" i="1"/>
  <c r="V1580" i="1"/>
  <c r="Q1581" i="1"/>
  <c r="R1581" i="1"/>
  <c r="S1581" i="1"/>
  <c r="T1581" i="1"/>
  <c r="U1581" i="1"/>
  <c r="V1581" i="1"/>
  <c r="Q1582" i="1"/>
  <c r="R1582" i="1"/>
  <c r="S1582" i="1"/>
  <c r="T1582" i="1"/>
  <c r="U1582" i="1"/>
  <c r="V1582" i="1"/>
  <c r="Q1583" i="1"/>
  <c r="R1583" i="1"/>
  <c r="S1583" i="1"/>
  <c r="T1583" i="1"/>
  <c r="U1583" i="1"/>
  <c r="V1583" i="1"/>
  <c r="Q1584" i="1"/>
  <c r="R1584" i="1"/>
  <c r="S1584" i="1"/>
  <c r="T1584" i="1"/>
  <c r="U1584" i="1"/>
  <c r="V1584" i="1"/>
  <c r="Q1585" i="1"/>
  <c r="R1585" i="1"/>
  <c r="S1585" i="1"/>
  <c r="T1585" i="1"/>
  <c r="U1585" i="1"/>
  <c r="V1585" i="1"/>
  <c r="Q1586" i="1"/>
  <c r="R1586" i="1"/>
  <c r="S1586" i="1"/>
  <c r="T1586" i="1"/>
  <c r="U1586" i="1"/>
  <c r="V1586" i="1"/>
  <c r="Q1587" i="1"/>
  <c r="R1587" i="1"/>
  <c r="S1587" i="1"/>
  <c r="T1587" i="1"/>
  <c r="U1587" i="1"/>
  <c r="V1587" i="1"/>
  <c r="Q1588" i="1"/>
  <c r="R1588" i="1"/>
  <c r="S1588" i="1"/>
  <c r="T1588" i="1"/>
  <c r="U1588" i="1"/>
  <c r="V1588" i="1"/>
  <c r="Q1589" i="1"/>
  <c r="R1589" i="1"/>
  <c r="S1589" i="1"/>
  <c r="T1589" i="1"/>
  <c r="U1589" i="1"/>
  <c r="V1589" i="1"/>
  <c r="Q1590" i="1"/>
  <c r="R1590" i="1"/>
  <c r="S1590" i="1"/>
  <c r="T1590" i="1"/>
  <c r="U1590" i="1"/>
  <c r="V1590" i="1"/>
  <c r="Q1591" i="1"/>
  <c r="R1591" i="1"/>
  <c r="S1591" i="1"/>
  <c r="T1591" i="1"/>
  <c r="U1591" i="1"/>
  <c r="V1591" i="1"/>
  <c r="Q1592" i="1"/>
  <c r="R1592" i="1"/>
  <c r="S1592" i="1"/>
  <c r="T1592" i="1"/>
  <c r="U1592" i="1"/>
  <c r="V1592" i="1"/>
  <c r="Q1593" i="1"/>
  <c r="R1593" i="1"/>
  <c r="S1593" i="1"/>
  <c r="T1593" i="1"/>
  <c r="U1593" i="1"/>
  <c r="V1593" i="1"/>
  <c r="Q1594" i="1"/>
  <c r="R1594" i="1"/>
  <c r="S1594" i="1"/>
  <c r="T1594" i="1"/>
  <c r="U1594" i="1"/>
  <c r="V1594" i="1"/>
  <c r="Q1595" i="1"/>
  <c r="R1595" i="1"/>
  <c r="S1595" i="1"/>
  <c r="T1595" i="1"/>
  <c r="U1595" i="1"/>
  <c r="V1595" i="1"/>
  <c r="Q1596" i="1"/>
  <c r="R1596" i="1"/>
  <c r="S1596" i="1"/>
  <c r="T1596" i="1"/>
  <c r="U1596" i="1"/>
  <c r="V1596" i="1"/>
  <c r="Q1597" i="1"/>
  <c r="R1597" i="1"/>
  <c r="S1597" i="1"/>
  <c r="T1597" i="1"/>
  <c r="U1597" i="1"/>
  <c r="V1597" i="1"/>
  <c r="Q1598" i="1"/>
  <c r="R1598" i="1"/>
  <c r="S1598" i="1"/>
  <c r="T1598" i="1"/>
  <c r="U1598" i="1"/>
  <c r="V1598" i="1"/>
  <c r="Q1599" i="1"/>
  <c r="R1599" i="1"/>
  <c r="S1599" i="1"/>
  <c r="T1599" i="1"/>
  <c r="U1599" i="1"/>
  <c r="V1599" i="1"/>
  <c r="Q1600" i="1"/>
  <c r="R1600" i="1"/>
  <c r="S1600" i="1"/>
  <c r="T1600" i="1"/>
  <c r="U1600" i="1"/>
  <c r="V1600" i="1"/>
  <c r="Q1601" i="1"/>
  <c r="R1601" i="1"/>
  <c r="S1601" i="1"/>
  <c r="T1601" i="1"/>
  <c r="U1601" i="1"/>
  <c r="V1601" i="1"/>
  <c r="Q1602" i="1"/>
  <c r="R1602" i="1"/>
  <c r="S1602" i="1"/>
  <c r="T1602" i="1"/>
  <c r="U1602" i="1"/>
  <c r="V1602" i="1"/>
  <c r="Q1603" i="1"/>
  <c r="R1603" i="1"/>
  <c r="S1603" i="1"/>
  <c r="T1603" i="1"/>
  <c r="U1603" i="1"/>
  <c r="V1603" i="1"/>
  <c r="Q1604" i="1"/>
  <c r="R1604" i="1"/>
  <c r="S1604" i="1"/>
  <c r="T1604" i="1"/>
  <c r="U1604" i="1"/>
  <c r="V1604" i="1"/>
  <c r="Q1605" i="1"/>
  <c r="R1605" i="1"/>
  <c r="S1605" i="1"/>
  <c r="T1605" i="1"/>
  <c r="U1605" i="1"/>
  <c r="V1605" i="1"/>
  <c r="Q1606" i="1"/>
  <c r="R1606" i="1"/>
  <c r="S1606" i="1"/>
  <c r="T1606" i="1"/>
  <c r="U1606" i="1"/>
  <c r="V1606" i="1"/>
  <c r="Q1607" i="1"/>
  <c r="R1607" i="1"/>
  <c r="S1607" i="1"/>
  <c r="T1607" i="1"/>
  <c r="U1607" i="1"/>
  <c r="V1607" i="1"/>
  <c r="Q1608" i="1"/>
  <c r="R1608" i="1"/>
  <c r="S1608" i="1"/>
  <c r="T1608" i="1"/>
  <c r="U1608" i="1"/>
  <c r="V1608" i="1"/>
  <c r="Q1609" i="1"/>
  <c r="R1609" i="1"/>
  <c r="S1609" i="1"/>
  <c r="T1609" i="1"/>
  <c r="U1609" i="1"/>
  <c r="V1609" i="1"/>
  <c r="Q1610" i="1"/>
  <c r="R1610" i="1"/>
  <c r="S1610" i="1"/>
  <c r="T1610" i="1"/>
  <c r="U1610" i="1"/>
  <c r="V1610" i="1"/>
  <c r="Q1611" i="1"/>
  <c r="R1611" i="1"/>
  <c r="S1611" i="1"/>
  <c r="T1611" i="1"/>
  <c r="U1611" i="1"/>
  <c r="V1611" i="1"/>
  <c r="Q1612" i="1"/>
  <c r="R1612" i="1"/>
  <c r="S1612" i="1"/>
  <c r="T1612" i="1"/>
  <c r="U1612" i="1"/>
  <c r="V1612" i="1"/>
  <c r="Q1613" i="1"/>
  <c r="R1613" i="1"/>
  <c r="S1613" i="1"/>
  <c r="T1613" i="1"/>
  <c r="U1613" i="1"/>
  <c r="V1613" i="1"/>
  <c r="Q1614" i="1"/>
  <c r="R1614" i="1"/>
  <c r="S1614" i="1"/>
  <c r="T1614" i="1"/>
  <c r="U1614" i="1"/>
  <c r="V1614" i="1"/>
  <c r="Q1615" i="1"/>
  <c r="R1615" i="1"/>
  <c r="S1615" i="1"/>
  <c r="T1615" i="1"/>
  <c r="U1615" i="1"/>
  <c r="V1615" i="1"/>
  <c r="Q1616" i="1"/>
  <c r="R1616" i="1"/>
  <c r="S1616" i="1"/>
  <c r="T1616" i="1"/>
  <c r="U1616" i="1"/>
  <c r="V1616" i="1"/>
  <c r="Q1617" i="1"/>
  <c r="R1617" i="1"/>
  <c r="S1617" i="1"/>
  <c r="T1617" i="1"/>
  <c r="U1617" i="1"/>
  <c r="V1617" i="1"/>
  <c r="Q1618" i="1"/>
  <c r="R1618" i="1"/>
  <c r="S1618" i="1"/>
  <c r="T1618" i="1"/>
  <c r="U1618" i="1"/>
  <c r="V1618" i="1"/>
  <c r="Q1619" i="1"/>
  <c r="R1619" i="1"/>
  <c r="S1619" i="1"/>
  <c r="T1619" i="1"/>
  <c r="U1619" i="1"/>
  <c r="V1619" i="1"/>
  <c r="Q1620" i="1"/>
  <c r="R1620" i="1"/>
  <c r="S1620" i="1"/>
  <c r="T1620" i="1"/>
  <c r="U1620" i="1"/>
  <c r="V1620" i="1"/>
  <c r="Q1621" i="1"/>
  <c r="R1621" i="1"/>
  <c r="S1621" i="1"/>
  <c r="T1621" i="1"/>
  <c r="U1621" i="1"/>
  <c r="V1621" i="1"/>
  <c r="Q1622" i="1"/>
  <c r="R1622" i="1"/>
  <c r="S1622" i="1"/>
  <c r="T1622" i="1"/>
  <c r="U1622" i="1"/>
  <c r="V1622" i="1"/>
  <c r="Q1623" i="1"/>
  <c r="R1623" i="1"/>
  <c r="S1623" i="1"/>
  <c r="T1623" i="1"/>
  <c r="U1623" i="1"/>
  <c r="V1623" i="1"/>
  <c r="Q1624" i="1"/>
  <c r="R1624" i="1"/>
  <c r="S1624" i="1"/>
  <c r="T1624" i="1"/>
  <c r="U1624" i="1"/>
  <c r="V1624" i="1"/>
  <c r="Q1625" i="1"/>
  <c r="R1625" i="1"/>
  <c r="S1625" i="1"/>
  <c r="T1625" i="1"/>
  <c r="U1625" i="1"/>
  <c r="V1625" i="1"/>
  <c r="Q1626" i="1"/>
  <c r="R1626" i="1"/>
  <c r="S1626" i="1"/>
  <c r="T1626" i="1"/>
  <c r="U1626" i="1"/>
  <c r="V1626" i="1"/>
  <c r="Q1627" i="1"/>
  <c r="R1627" i="1"/>
  <c r="S1627" i="1"/>
  <c r="T1627" i="1"/>
  <c r="U1627" i="1"/>
  <c r="V1627" i="1"/>
  <c r="Q1628" i="1"/>
  <c r="R1628" i="1"/>
  <c r="S1628" i="1"/>
  <c r="T1628" i="1"/>
  <c r="U1628" i="1"/>
  <c r="V1628" i="1"/>
  <c r="Q1629" i="1"/>
  <c r="R1629" i="1"/>
  <c r="S1629" i="1"/>
  <c r="T1629" i="1"/>
  <c r="U1629" i="1"/>
  <c r="V1629" i="1"/>
  <c r="Q1630" i="1"/>
  <c r="R1630" i="1"/>
  <c r="S1630" i="1"/>
  <c r="T1630" i="1"/>
  <c r="U1630" i="1"/>
  <c r="V1630" i="1"/>
  <c r="Q1631" i="1"/>
  <c r="R1631" i="1"/>
  <c r="S1631" i="1"/>
  <c r="T1631" i="1"/>
  <c r="U1631" i="1"/>
  <c r="V1631" i="1"/>
  <c r="Q1632" i="1"/>
  <c r="R1632" i="1"/>
  <c r="S1632" i="1"/>
  <c r="T1632" i="1"/>
  <c r="U1632" i="1"/>
  <c r="V1632" i="1"/>
  <c r="Q1633" i="1"/>
  <c r="R1633" i="1"/>
  <c r="S1633" i="1"/>
  <c r="T1633" i="1"/>
  <c r="U1633" i="1"/>
  <c r="V1633" i="1"/>
  <c r="Q1634" i="1"/>
  <c r="R1634" i="1"/>
  <c r="S1634" i="1"/>
  <c r="T1634" i="1"/>
  <c r="U1634" i="1"/>
  <c r="V1634" i="1"/>
  <c r="Q1635" i="1"/>
  <c r="R1635" i="1"/>
  <c r="S1635" i="1"/>
  <c r="T1635" i="1"/>
  <c r="U1635" i="1"/>
  <c r="V1635" i="1"/>
  <c r="Q1636" i="1"/>
  <c r="R1636" i="1"/>
  <c r="S1636" i="1"/>
  <c r="T1636" i="1"/>
  <c r="U1636" i="1"/>
  <c r="V1636" i="1"/>
  <c r="Q1637" i="1"/>
  <c r="R1637" i="1"/>
  <c r="S1637" i="1"/>
  <c r="T1637" i="1"/>
  <c r="U1637" i="1"/>
  <c r="V1637" i="1"/>
  <c r="Q1638" i="1"/>
  <c r="R1638" i="1"/>
  <c r="S1638" i="1"/>
  <c r="T1638" i="1"/>
  <c r="U1638" i="1"/>
  <c r="V1638" i="1"/>
  <c r="Q1639" i="1"/>
  <c r="R1639" i="1"/>
  <c r="S1639" i="1"/>
  <c r="T1639" i="1"/>
  <c r="U1639" i="1"/>
  <c r="V1639" i="1"/>
  <c r="Q1640" i="1"/>
  <c r="R1640" i="1"/>
  <c r="S1640" i="1"/>
  <c r="T1640" i="1"/>
  <c r="U1640" i="1"/>
  <c r="V1640" i="1"/>
  <c r="Q1641" i="1"/>
  <c r="R1641" i="1"/>
  <c r="S1641" i="1"/>
  <c r="T1641" i="1"/>
  <c r="U1641" i="1"/>
  <c r="V1641" i="1"/>
  <c r="Q1642" i="1"/>
  <c r="R1642" i="1"/>
  <c r="S1642" i="1"/>
  <c r="T1642" i="1"/>
  <c r="U1642" i="1"/>
  <c r="V1642" i="1"/>
  <c r="Q1643" i="1"/>
  <c r="R1643" i="1"/>
  <c r="S1643" i="1"/>
  <c r="T1643" i="1"/>
  <c r="U1643" i="1"/>
  <c r="V1643" i="1"/>
  <c r="Q1644" i="1"/>
  <c r="R1644" i="1"/>
  <c r="S1644" i="1"/>
  <c r="T1644" i="1"/>
  <c r="U1644" i="1"/>
  <c r="V1644" i="1"/>
  <c r="Q1645" i="1"/>
  <c r="R1645" i="1"/>
  <c r="S1645" i="1"/>
  <c r="T1645" i="1"/>
  <c r="U1645" i="1"/>
  <c r="V1645" i="1"/>
  <c r="Q1646" i="1"/>
  <c r="R1646" i="1"/>
  <c r="S1646" i="1"/>
  <c r="T1646" i="1"/>
  <c r="U1646" i="1"/>
  <c r="V1646" i="1"/>
  <c r="Q1647" i="1"/>
  <c r="R1647" i="1"/>
  <c r="S1647" i="1"/>
  <c r="T1647" i="1"/>
  <c r="U1647" i="1"/>
  <c r="V1647" i="1"/>
  <c r="Q1648" i="1"/>
  <c r="R1648" i="1"/>
  <c r="S1648" i="1"/>
  <c r="T1648" i="1"/>
  <c r="U1648" i="1"/>
  <c r="V1648" i="1"/>
  <c r="Q1649" i="1"/>
  <c r="R1649" i="1"/>
  <c r="S1649" i="1"/>
  <c r="T1649" i="1"/>
  <c r="U1649" i="1"/>
  <c r="V1649" i="1"/>
  <c r="Q1650" i="1"/>
  <c r="R1650" i="1"/>
  <c r="S1650" i="1"/>
  <c r="T1650" i="1"/>
  <c r="U1650" i="1"/>
  <c r="V1650" i="1"/>
  <c r="Q1651" i="1"/>
  <c r="R1651" i="1"/>
  <c r="S1651" i="1"/>
  <c r="T1651" i="1"/>
  <c r="U1651" i="1"/>
  <c r="V1651" i="1"/>
  <c r="Q1652" i="1"/>
  <c r="R1652" i="1"/>
  <c r="S1652" i="1"/>
  <c r="T1652" i="1"/>
  <c r="U1652" i="1"/>
  <c r="V1652" i="1"/>
  <c r="Q1653" i="1"/>
  <c r="R1653" i="1"/>
  <c r="S1653" i="1"/>
  <c r="T1653" i="1"/>
  <c r="U1653" i="1"/>
  <c r="V1653" i="1"/>
  <c r="Q1654" i="1"/>
  <c r="R1654" i="1"/>
  <c r="S1654" i="1"/>
  <c r="T1654" i="1"/>
  <c r="U1654" i="1"/>
  <c r="V1654" i="1"/>
  <c r="Q1655" i="1"/>
  <c r="R1655" i="1"/>
  <c r="S1655" i="1"/>
  <c r="T1655" i="1"/>
  <c r="U1655" i="1"/>
  <c r="V1655" i="1"/>
  <c r="Q1656" i="1"/>
  <c r="R1656" i="1"/>
  <c r="S1656" i="1"/>
  <c r="T1656" i="1"/>
  <c r="U1656" i="1"/>
  <c r="V1656" i="1"/>
  <c r="Q1657" i="1"/>
  <c r="R1657" i="1"/>
  <c r="S1657" i="1"/>
  <c r="T1657" i="1"/>
  <c r="U1657" i="1"/>
  <c r="V1657" i="1"/>
  <c r="Q1658" i="1"/>
  <c r="R1658" i="1"/>
  <c r="S1658" i="1"/>
  <c r="T1658" i="1"/>
  <c r="U1658" i="1"/>
  <c r="V1658" i="1"/>
  <c r="Q1659" i="1"/>
  <c r="R1659" i="1"/>
  <c r="S1659" i="1"/>
  <c r="T1659" i="1"/>
  <c r="U1659" i="1"/>
  <c r="V1659" i="1"/>
  <c r="Q1660" i="1"/>
  <c r="R1660" i="1"/>
  <c r="S1660" i="1"/>
  <c r="T1660" i="1"/>
  <c r="U1660" i="1"/>
  <c r="V1660" i="1"/>
  <c r="Q1661" i="1"/>
  <c r="R1661" i="1"/>
  <c r="S1661" i="1"/>
  <c r="T1661" i="1"/>
  <c r="U1661" i="1"/>
  <c r="V1661" i="1"/>
  <c r="Q1662" i="1"/>
  <c r="R1662" i="1"/>
  <c r="S1662" i="1"/>
  <c r="T1662" i="1"/>
  <c r="U1662" i="1"/>
  <c r="V1662" i="1"/>
  <c r="Q1663" i="1"/>
  <c r="R1663" i="1"/>
  <c r="S1663" i="1"/>
  <c r="T1663" i="1"/>
  <c r="U1663" i="1"/>
  <c r="V1663" i="1"/>
  <c r="Q1664" i="1"/>
  <c r="R1664" i="1"/>
  <c r="S1664" i="1"/>
  <c r="T1664" i="1"/>
  <c r="U1664" i="1"/>
  <c r="V1664" i="1"/>
  <c r="Q1665" i="1"/>
  <c r="R1665" i="1"/>
  <c r="S1665" i="1"/>
  <c r="T1665" i="1"/>
  <c r="U1665" i="1"/>
  <c r="V1665" i="1"/>
  <c r="Q1666" i="1"/>
  <c r="R1666" i="1"/>
  <c r="S1666" i="1"/>
  <c r="T1666" i="1"/>
  <c r="U1666" i="1"/>
  <c r="V1666" i="1"/>
  <c r="Q1667" i="1"/>
  <c r="R1667" i="1"/>
  <c r="S1667" i="1"/>
  <c r="T1667" i="1"/>
  <c r="U1667" i="1"/>
  <c r="V1667" i="1"/>
  <c r="Q1668" i="1"/>
  <c r="R1668" i="1"/>
  <c r="S1668" i="1"/>
  <c r="T1668" i="1"/>
  <c r="U1668" i="1"/>
  <c r="V1668" i="1"/>
  <c r="Q1669" i="1"/>
  <c r="R1669" i="1"/>
  <c r="S1669" i="1"/>
  <c r="T1669" i="1"/>
  <c r="U1669" i="1"/>
  <c r="V1669" i="1"/>
  <c r="Q1670" i="1"/>
  <c r="R1670" i="1"/>
  <c r="S1670" i="1"/>
  <c r="T1670" i="1"/>
  <c r="U1670" i="1"/>
  <c r="V1670" i="1"/>
  <c r="Q1671" i="1"/>
  <c r="R1671" i="1"/>
  <c r="S1671" i="1"/>
  <c r="T1671" i="1"/>
  <c r="U1671" i="1"/>
  <c r="V1671" i="1"/>
  <c r="Q1672" i="1"/>
  <c r="R1672" i="1"/>
  <c r="S1672" i="1"/>
  <c r="T1672" i="1"/>
  <c r="U1672" i="1"/>
  <c r="V1672" i="1"/>
  <c r="Q1673" i="1"/>
  <c r="R1673" i="1"/>
  <c r="S1673" i="1"/>
  <c r="T1673" i="1"/>
  <c r="U1673" i="1"/>
  <c r="V1673" i="1"/>
  <c r="Q1674" i="1"/>
  <c r="R1674" i="1"/>
  <c r="S1674" i="1"/>
  <c r="T1674" i="1"/>
  <c r="U1674" i="1"/>
  <c r="V1674" i="1"/>
  <c r="Q1675" i="1"/>
  <c r="R1675" i="1"/>
  <c r="S1675" i="1"/>
  <c r="T1675" i="1"/>
  <c r="U1675" i="1"/>
  <c r="V1675" i="1"/>
  <c r="Q1676" i="1"/>
  <c r="R1676" i="1"/>
  <c r="S1676" i="1"/>
  <c r="T1676" i="1"/>
  <c r="U1676" i="1"/>
  <c r="V1676" i="1"/>
  <c r="Q1677" i="1"/>
  <c r="R1677" i="1"/>
  <c r="S1677" i="1"/>
  <c r="T1677" i="1"/>
  <c r="U1677" i="1"/>
  <c r="V1677" i="1"/>
  <c r="Q1678" i="1"/>
  <c r="R1678" i="1"/>
  <c r="S1678" i="1"/>
  <c r="T1678" i="1"/>
  <c r="U1678" i="1"/>
  <c r="V1678" i="1"/>
  <c r="Q1679" i="1"/>
  <c r="R1679" i="1"/>
  <c r="S1679" i="1"/>
  <c r="T1679" i="1"/>
  <c r="U1679" i="1"/>
  <c r="V1679" i="1"/>
  <c r="Q1680" i="1"/>
  <c r="R1680" i="1"/>
  <c r="S1680" i="1"/>
  <c r="T1680" i="1"/>
  <c r="U1680" i="1"/>
  <c r="V1680" i="1"/>
  <c r="Q1681" i="1"/>
  <c r="R1681" i="1"/>
  <c r="S1681" i="1"/>
  <c r="T1681" i="1"/>
  <c r="U1681" i="1"/>
  <c r="V1681" i="1"/>
  <c r="Q1682" i="1"/>
  <c r="R1682" i="1"/>
  <c r="S1682" i="1"/>
  <c r="T1682" i="1"/>
  <c r="U1682" i="1"/>
  <c r="V1682" i="1"/>
  <c r="Q1683" i="1"/>
  <c r="R1683" i="1"/>
  <c r="S1683" i="1"/>
  <c r="T1683" i="1"/>
  <c r="U1683" i="1"/>
  <c r="V1683" i="1"/>
  <c r="Q1684" i="1"/>
  <c r="R1684" i="1"/>
  <c r="S1684" i="1"/>
  <c r="T1684" i="1"/>
  <c r="U1684" i="1"/>
  <c r="V1684" i="1"/>
  <c r="Q1685" i="1"/>
  <c r="R1685" i="1"/>
  <c r="S1685" i="1"/>
  <c r="T1685" i="1"/>
  <c r="U1685" i="1"/>
  <c r="V1685" i="1"/>
  <c r="Q1686" i="1"/>
  <c r="R1686" i="1"/>
  <c r="S1686" i="1"/>
  <c r="T1686" i="1"/>
  <c r="U1686" i="1"/>
  <c r="V1686" i="1"/>
  <c r="Q1687" i="1"/>
  <c r="R1687" i="1"/>
  <c r="S1687" i="1"/>
  <c r="T1687" i="1"/>
  <c r="U1687" i="1"/>
  <c r="V1687" i="1"/>
  <c r="Q1688" i="1"/>
  <c r="R1688" i="1"/>
  <c r="S1688" i="1"/>
  <c r="T1688" i="1"/>
  <c r="U1688" i="1"/>
  <c r="V1688" i="1"/>
  <c r="Q1689" i="1"/>
  <c r="R1689" i="1"/>
  <c r="S1689" i="1"/>
  <c r="T1689" i="1"/>
  <c r="U1689" i="1"/>
  <c r="V1689" i="1"/>
  <c r="Q1690" i="1"/>
  <c r="R1690" i="1"/>
  <c r="S1690" i="1"/>
  <c r="T1690" i="1"/>
  <c r="U1690" i="1"/>
  <c r="V1690" i="1"/>
  <c r="Q1691" i="1"/>
  <c r="R1691" i="1"/>
  <c r="S1691" i="1"/>
  <c r="T1691" i="1"/>
  <c r="U1691" i="1"/>
  <c r="V1691" i="1"/>
  <c r="Q1692" i="1"/>
  <c r="R1692" i="1"/>
  <c r="S1692" i="1"/>
  <c r="T1692" i="1"/>
  <c r="U1692" i="1"/>
  <c r="V1692" i="1"/>
  <c r="Q1693" i="1"/>
  <c r="R1693" i="1"/>
  <c r="S1693" i="1"/>
  <c r="T1693" i="1"/>
  <c r="U1693" i="1"/>
  <c r="V1693" i="1"/>
  <c r="Q1694" i="1"/>
  <c r="R1694" i="1"/>
  <c r="S1694" i="1"/>
  <c r="T1694" i="1"/>
  <c r="U1694" i="1"/>
  <c r="V1694" i="1"/>
  <c r="Q1695" i="1"/>
  <c r="R1695" i="1"/>
  <c r="S1695" i="1"/>
  <c r="T1695" i="1"/>
  <c r="U1695" i="1"/>
  <c r="V1695" i="1"/>
  <c r="Q1696" i="1"/>
  <c r="R1696" i="1"/>
  <c r="S1696" i="1"/>
  <c r="T1696" i="1"/>
  <c r="U1696" i="1"/>
  <c r="V1696" i="1"/>
  <c r="Q1697" i="1"/>
  <c r="R1697" i="1"/>
  <c r="S1697" i="1"/>
  <c r="T1697" i="1"/>
  <c r="U1697" i="1"/>
  <c r="V1697" i="1"/>
  <c r="Q1698" i="1"/>
  <c r="R1698" i="1"/>
  <c r="S1698" i="1"/>
  <c r="T1698" i="1"/>
  <c r="U1698" i="1"/>
  <c r="V1698" i="1"/>
  <c r="Q1699" i="1"/>
  <c r="R1699" i="1"/>
  <c r="S1699" i="1"/>
  <c r="T1699" i="1"/>
  <c r="U1699" i="1"/>
  <c r="V1699" i="1"/>
  <c r="Q1700" i="1"/>
  <c r="R1700" i="1"/>
  <c r="S1700" i="1"/>
  <c r="T1700" i="1"/>
  <c r="U1700" i="1"/>
  <c r="V1700" i="1"/>
  <c r="Q1701" i="1"/>
  <c r="R1701" i="1"/>
  <c r="S1701" i="1"/>
  <c r="T1701" i="1"/>
  <c r="U1701" i="1"/>
  <c r="V1701" i="1"/>
  <c r="Q1702" i="1"/>
  <c r="R1702" i="1"/>
  <c r="S1702" i="1"/>
  <c r="T1702" i="1"/>
  <c r="U1702" i="1"/>
  <c r="V1702" i="1"/>
  <c r="Q1703" i="1"/>
  <c r="R1703" i="1"/>
  <c r="S1703" i="1"/>
  <c r="T1703" i="1"/>
  <c r="U1703" i="1"/>
  <c r="V1703" i="1"/>
  <c r="Q1704" i="1"/>
  <c r="R1704" i="1"/>
  <c r="S1704" i="1"/>
  <c r="T1704" i="1"/>
  <c r="U1704" i="1"/>
  <c r="V1704" i="1"/>
  <c r="Q1705" i="1"/>
  <c r="R1705" i="1"/>
  <c r="S1705" i="1"/>
  <c r="T1705" i="1"/>
  <c r="U1705" i="1"/>
  <c r="V1705" i="1"/>
  <c r="Q1706" i="1"/>
  <c r="R1706" i="1"/>
  <c r="S1706" i="1"/>
  <c r="T1706" i="1"/>
  <c r="U1706" i="1"/>
  <c r="V1706" i="1"/>
  <c r="Q1707" i="1"/>
  <c r="R1707" i="1"/>
  <c r="S1707" i="1"/>
  <c r="T1707" i="1"/>
  <c r="U1707" i="1"/>
  <c r="V1707" i="1"/>
  <c r="Q1708" i="1"/>
  <c r="R1708" i="1"/>
  <c r="S1708" i="1"/>
  <c r="T1708" i="1"/>
  <c r="U1708" i="1"/>
  <c r="V1708" i="1"/>
  <c r="Q1709" i="1"/>
  <c r="R1709" i="1"/>
  <c r="S1709" i="1"/>
  <c r="T1709" i="1"/>
  <c r="U1709" i="1"/>
  <c r="V1709" i="1"/>
  <c r="Q1710" i="1"/>
  <c r="R1710" i="1"/>
  <c r="S1710" i="1"/>
  <c r="T1710" i="1"/>
  <c r="U1710" i="1"/>
  <c r="V1710" i="1"/>
  <c r="Q1711" i="1"/>
  <c r="R1711" i="1"/>
  <c r="S1711" i="1"/>
  <c r="T1711" i="1"/>
  <c r="U1711" i="1"/>
  <c r="V1711" i="1"/>
  <c r="Q1712" i="1"/>
  <c r="R1712" i="1"/>
  <c r="S1712" i="1"/>
  <c r="T1712" i="1"/>
  <c r="U1712" i="1"/>
  <c r="V1712" i="1"/>
  <c r="Q1713" i="1"/>
  <c r="R1713" i="1"/>
  <c r="S1713" i="1"/>
  <c r="T1713" i="1"/>
  <c r="U1713" i="1"/>
  <c r="V1713" i="1"/>
  <c r="Q1714" i="1"/>
  <c r="R1714" i="1"/>
  <c r="S1714" i="1"/>
  <c r="T1714" i="1"/>
  <c r="U1714" i="1"/>
  <c r="V1714" i="1"/>
  <c r="Q1715" i="1"/>
  <c r="R1715" i="1"/>
  <c r="S1715" i="1"/>
  <c r="T1715" i="1"/>
  <c r="U1715" i="1"/>
  <c r="V1715" i="1"/>
  <c r="Q1716" i="1"/>
  <c r="R1716" i="1"/>
  <c r="S1716" i="1"/>
  <c r="T1716" i="1"/>
  <c r="U1716" i="1"/>
  <c r="V1716" i="1"/>
  <c r="Q1717" i="1"/>
  <c r="R1717" i="1"/>
  <c r="S1717" i="1"/>
  <c r="T1717" i="1"/>
  <c r="U1717" i="1"/>
  <c r="V1717" i="1"/>
  <c r="Q1718" i="1"/>
  <c r="R1718" i="1"/>
  <c r="S1718" i="1"/>
  <c r="T1718" i="1"/>
  <c r="U1718" i="1"/>
  <c r="V1718" i="1"/>
  <c r="Q1719" i="1"/>
  <c r="R1719" i="1"/>
  <c r="S1719" i="1"/>
  <c r="T1719" i="1"/>
  <c r="U1719" i="1"/>
  <c r="V1719" i="1"/>
  <c r="Q1720" i="1"/>
  <c r="R1720" i="1"/>
  <c r="S1720" i="1"/>
  <c r="T1720" i="1"/>
  <c r="U1720" i="1"/>
  <c r="V1720" i="1"/>
  <c r="Q1721" i="1"/>
  <c r="R1721" i="1"/>
  <c r="S1721" i="1"/>
  <c r="T1721" i="1"/>
  <c r="U1721" i="1"/>
  <c r="V1721" i="1"/>
  <c r="Q1722" i="1"/>
  <c r="R1722" i="1"/>
  <c r="S1722" i="1"/>
  <c r="T1722" i="1"/>
  <c r="U1722" i="1"/>
  <c r="V1722" i="1"/>
  <c r="Q1723" i="1"/>
  <c r="R1723" i="1"/>
  <c r="S1723" i="1"/>
  <c r="T1723" i="1"/>
  <c r="U1723" i="1"/>
  <c r="V1723" i="1"/>
  <c r="Q1724" i="1"/>
  <c r="R1724" i="1"/>
  <c r="S1724" i="1"/>
  <c r="T1724" i="1"/>
  <c r="U1724" i="1"/>
  <c r="V1724" i="1"/>
  <c r="Q1725" i="1"/>
  <c r="R1725" i="1"/>
  <c r="S1725" i="1"/>
  <c r="T1725" i="1"/>
  <c r="U1725" i="1"/>
  <c r="V1725" i="1"/>
  <c r="Q1726" i="1"/>
  <c r="R1726" i="1"/>
  <c r="S1726" i="1"/>
  <c r="T1726" i="1"/>
  <c r="U1726" i="1"/>
  <c r="V1726" i="1"/>
  <c r="Q1727" i="1"/>
  <c r="R1727" i="1"/>
  <c r="S1727" i="1"/>
  <c r="T1727" i="1"/>
  <c r="U1727" i="1"/>
  <c r="V1727" i="1"/>
  <c r="Q1728" i="1"/>
  <c r="R1728" i="1"/>
  <c r="S1728" i="1"/>
  <c r="T1728" i="1"/>
  <c r="U1728" i="1"/>
  <c r="V1728" i="1"/>
  <c r="Q1729" i="1"/>
  <c r="R1729" i="1"/>
  <c r="S1729" i="1"/>
  <c r="T1729" i="1"/>
  <c r="U1729" i="1"/>
  <c r="V1729" i="1"/>
  <c r="Q1730" i="1"/>
  <c r="R1730" i="1"/>
  <c r="S1730" i="1"/>
  <c r="T1730" i="1"/>
  <c r="U1730" i="1"/>
  <c r="V1730" i="1"/>
  <c r="Q1731" i="1"/>
  <c r="R1731" i="1"/>
  <c r="S1731" i="1"/>
  <c r="T1731" i="1"/>
  <c r="U1731" i="1"/>
  <c r="V1731" i="1"/>
  <c r="Q1732" i="1"/>
  <c r="R1732" i="1"/>
  <c r="S1732" i="1"/>
  <c r="T1732" i="1"/>
  <c r="U1732" i="1"/>
  <c r="V1732" i="1"/>
  <c r="Q1733" i="1"/>
  <c r="R1733" i="1"/>
  <c r="S1733" i="1"/>
  <c r="T1733" i="1"/>
  <c r="U1733" i="1"/>
  <c r="V1733" i="1"/>
  <c r="Q1734" i="1"/>
  <c r="R1734" i="1"/>
  <c r="S1734" i="1"/>
  <c r="T1734" i="1"/>
  <c r="U1734" i="1"/>
  <c r="V1734" i="1"/>
  <c r="Q1735" i="1"/>
  <c r="R1735" i="1"/>
  <c r="S1735" i="1"/>
  <c r="T1735" i="1"/>
  <c r="U1735" i="1"/>
  <c r="V1735" i="1"/>
  <c r="Q1736" i="1"/>
  <c r="R1736" i="1"/>
  <c r="S1736" i="1"/>
  <c r="T1736" i="1"/>
  <c r="U1736" i="1"/>
  <c r="V1736" i="1"/>
  <c r="Q1737" i="1"/>
  <c r="R1737" i="1"/>
  <c r="S1737" i="1"/>
  <c r="T1737" i="1"/>
  <c r="U1737" i="1"/>
  <c r="V1737" i="1"/>
  <c r="Q1738" i="1"/>
  <c r="R1738" i="1"/>
  <c r="S1738" i="1"/>
  <c r="T1738" i="1"/>
  <c r="U1738" i="1"/>
  <c r="V1738" i="1"/>
  <c r="Q1739" i="1"/>
  <c r="R1739" i="1"/>
  <c r="S1739" i="1"/>
  <c r="T1739" i="1"/>
  <c r="U1739" i="1"/>
  <c r="V1739" i="1"/>
  <c r="Q1740" i="1"/>
  <c r="R1740" i="1"/>
  <c r="S1740" i="1"/>
  <c r="T1740" i="1"/>
  <c r="U1740" i="1"/>
  <c r="V1740" i="1"/>
  <c r="Q1741" i="1"/>
  <c r="R1741" i="1"/>
  <c r="S1741" i="1"/>
  <c r="T1741" i="1"/>
  <c r="U1741" i="1"/>
  <c r="V1741" i="1"/>
  <c r="Q1742" i="1"/>
  <c r="R1742" i="1"/>
  <c r="S1742" i="1"/>
  <c r="T1742" i="1"/>
  <c r="U1742" i="1"/>
  <c r="V1742" i="1"/>
  <c r="Q1743" i="1"/>
  <c r="R1743" i="1"/>
  <c r="S1743" i="1"/>
  <c r="T1743" i="1"/>
  <c r="U1743" i="1"/>
  <c r="V1743" i="1"/>
  <c r="Q1744" i="1"/>
  <c r="R1744" i="1"/>
  <c r="S1744" i="1"/>
  <c r="T1744" i="1"/>
  <c r="U1744" i="1"/>
  <c r="V1744" i="1"/>
  <c r="Q1745" i="1"/>
  <c r="R1745" i="1"/>
  <c r="S1745" i="1"/>
  <c r="T1745" i="1"/>
  <c r="U1745" i="1"/>
  <c r="V1745" i="1"/>
  <c r="Q1746" i="1"/>
  <c r="R1746" i="1"/>
  <c r="S1746" i="1"/>
  <c r="T1746" i="1"/>
  <c r="U1746" i="1"/>
  <c r="V1746" i="1"/>
  <c r="Q1747" i="1"/>
  <c r="R1747" i="1"/>
  <c r="S1747" i="1"/>
  <c r="T1747" i="1"/>
  <c r="U1747" i="1"/>
  <c r="V1747" i="1"/>
  <c r="Q1748" i="1"/>
  <c r="R1748" i="1"/>
  <c r="S1748" i="1"/>
  <c r="T1748" i="1"/>
  <c r="U1748" i="1"/>
  <c r="V1748" i="1"/>
  <c r="Q1749" i="1"/>
  <c r="R1749" i="1"/>
  <c r="S1749" i="1"/>
  <c r="T1749" i="1"/>
  <c r="U1749" i="1"/>
  <c r="V1749" i="1"/>
  <c r="Q1750" i="1"/>
  <c r="R1750" i="1"/>
  <c r="S1750" i="1"/>
  <c r="T1750" i="1"/>
  <c r="U1750" i="1"/>
  <c r="V1750" i="1"/>
  <c r="Q1751" i="1"/>
  <c r="R1751" i="1"/>
  <c r="S1751" i="1"/>
  <c r="T1751" i="1"/>
  <c r="U1751" i="1"/>
  <c r="V1751" i="1"/>
  <c r="Q1752" i="1"/>
  <c r="R1752" i="1"/>
  <c r="S1752" i="1"/>
  <c r="T1752" i="1"/>
  <c r="U1752" i="1"/>
  <c r="V1752" i="1"/>
  <c r="Q1753" i="1"/>
  <c r="R1753" i="1"/>
  <c r="S1753" i="1"/>
  <c r="T1753" i="1"/>
  <c r="U1753" i="1"/>
  <c r="V1753" i="1"/>
  <c r="Q1754" i="1"/>
  <c r="R1754" i="1"/>
  <c r="S1754" i="1"/>
  <c r="T1754" i="1"/>
  <c r="U1754" i="1"/>
  <c r="V1754" i="1"/>
  <c r="Q1755" i="1"/>
  <c r="R1755" i="1"/>
  <c r="S1755" i="1"/>
  <c r="T1755" i="1"/>
  <c r="U1755" i="1"/>
  <c r="V1755" i="1"/>
  <c r="Q1756" i="1"/>
  <c r="R1756" i="1"/>
  <c r="S1756" i="1"/>
  <c r="T1756" i="1"/>
  <c r="U1756" i="1"/>
  <c r="V1756" i="1"/>
  <c r="Q1757" i="1"/>
  <c r="R1757" i="1"/>
  <c r="S1757" i="1"/>
  <c r="T1757" i="1"/>
  <c r="U1757" i="1"/>
  <c r="V1757" i="1"/>
  <c r="Q1758" i="1"/>
  <c r="R1758" i="1"/>
  <c r="S1758" i="1"/>
  <c r="T1758" i="1"/>
  <c r="U1758" i="1"/>
  <c r="V1758" i="1"/>
  <c r="Q1759" i="1"/>
  <c r="R1759" i="1"/>
  <c r="S1759" i="1"/>
  <c r="T1759" i="1"/>
  <c r="U1759" i="1"/>
  <c r="V1759" i="1"/>
  <c r="Q1760" i="1"/>
  <c r="R1760" i="1"/>
  <c r="S1760" i="1"/>
  <c r="T1760" i="1"/>
  <c r="U1760" i="1"/>
  <c r="V1760" i="1"/>
  <c r="Q1761" i="1"/>
  <c r="R1761" i="1"/>
  <c r="S1761" i="1"/>
  <c r="T1761" i="1"/>
  <c r="U1761" i="1"/>
  <c r="V1761" i="1"/>
  <c r="Q1762" i="1"/>
  <c r="R1762" i="1"/>
  <c r="S1762" i="1"/>
  <c r="T1762" i="1"/>
  <c r="U1762" i="1"/>
  <c r="V1762" i="1"/>
  <c r="Q1763" i="1"/>
  <c r="R1763" i="1"/>
  <c r="S1763" i="1"/>
  <c r="T1763" i="1"/>
  <c r="U1763" i="1"/>
  <c r="V1763" i="1"/>
  <c r="Q1764" i="1"/>
  <c r="R1764" i="1"/>
  <c r="S1764" i="1"/>
  <c r="T1764" i="1"/>
  <c r="U1764" i="1"/>
  <c r="V1764" i="1"/>
  <c r="Q1765" i="1"/>
  <c r="R1765" i="1"/>
  <c r="S1765" i="1"/>
  <c r="T1765" i="1"/>
  <c r="U1765" i="1"/>
  <c r="V1765" i="1"/>
  <c r="Q1766" i="1"/>
  <c r="R1766" i="1"/>
  <c r="S1766" i="1"/>
  <c r="T1766" i="1"/>
  <c r="U1766" i="1"/>
  <c r="V1766" i="1"/>
  <c r="Q1767" i="1"/>
  <c r="R1767" i="1"/>
  <c r="S1767" i="1"/>
  <c r="T1767" i="1"/>
  <c r="U1767" i="1"/>
  <c r="V1767" i="1"/>
  <c r="Q1768" i="1"/>
  <c r="R1768" i="1"/>
  <c r="S1768" i="1"/>
  <c r="T1768" i="1"/>
  <c r="U1768" i="1"/>
  <c r="V1768" i="1"/>
  <c r="Q1769" i="1"/>
  <c r="R1769" i="1"/>
  <c r="S1769" i="1"/>
  <c r="T1769" i="1"/>
  <c r="U1769" i="1"/>
  <c r="V1769" i="1"/>
  <c r="Q1770" i="1"/>
  <c r="R1770" i="1"/>
  <c r="S1770" i="1"/>
  <c r="T1770" i="1"/>
  <c r="U1770" i="1"/>
  <c r="V1770" i="1"/>
  <c r="Q1771" i="1"/>
  <c r="R1771" i="1"/>
  <c r="S1771" i="1"/>
  <c r="T1771" i="1"/>
  <c r="U1771" i="1"/>
  <c r="V1771" i="1"/>
  <c r="Q1772" i="1"/>
  <c r="R1772" i="1"/>
  <c r="S1772" i="1"/>
  <c r="T1772" i="1"/>
  <c r="U1772" i="1"/>
  <c r="V1772" i="1"/>
  <c r="Q1773" i="1"/>
  <c r="R1773" i="1"/>
  <c r="S1773" i="1"/>
  <c r="T1773" i="1"/>
  <c r="U1773" i="1"/>
  <c r="V1773" i="1"/>
  <c r="Q1774" i="1"/>
  <c r="R1774" i="1"/>
  <c r="S1774" i="1"/>
  <c r="T1774" i="1"/>
  <c r="U1774" i="1"/>
  <c r="V1774" i="1"/>
  <c r="Q1775" i="1"/>
  <c r="R1775" i="1"/>
  <c r="S1775" i="1"/>
  <c r="T1775" i="1"/>
  <c r="U1775" i="1"/>
  <c r="V1775" i="1"/>
  <c r="Q1776" i="1"/>
  <c r="R1776" i="1"/>
  <c r="S1776" i="1"/>
  <c r="T1776" i="1"/>
  <c r="U1776" i="1"/>
  <c r="V1776" i="1"/>
  <c r="Q1777" i="1"/>
  <c r="R1777" i="1"/>
  <c r="S1777" i="1"/>
  <c r="T1777" i="1"/>
  <c r="U1777" i="1"/>
  <c r="V1777" i="1"/>
  <c r="Q1778" i="1"/>
  <c r="R1778" i="1"/>
  <c r="S1778" i="1"/>
  <c r="T1778" i="1"/>
  <c r="U1778" i="1"/>
  <c r="V1778" i="1"/>
  <c r="Q1779" i="1"/>
  <c r="R1779" i="1"/>
  <c r="S1779" i="1"/>
  <c r="T1779" i="1"/>
  <c r="U1779" i="1"/>
  <c r="V1779" i="1"/>
  <c r="Q1780" i="1"/>
  <c r="R1780" i="1"/>
  <c r="S1780" i="1"/>
  <c r="T1780" i="1"/>
  <c r="U1780" i="1"/>
  <c r="V1780" i="1"/>
  <c r="Q1781" i="1"/>
  <c r="R1781" i="1"/>
  <c r="S1781" i="1"/>
  <c r="T1781" i="1"/>
  <c r="U1781" i="1"/>
  <c r="V1781" i="1"/>
  <c r="Q1782" i="1"/>
  <c r="R1782" i="1"/>
  <c r="S1782" i="1"/>
  <c r="T1782" i="1"/>
  <c r="U1782" i="1"/>
  <c r="V1782" i="1"/>
  <c r="Q1783" i="1"/>
  <c r="R1783" i="1"/>
  <c r="S1783" i="1"/>
  <c r="T1783" i="1"/>
  <c r="U1783" i="1"/>
  <c r="V1783" i="1"/>
  <c r="Q1784" i="1"/>
  <c r="R1784" i="1"/>
  <c r="S1784" i="1"/>
  <c r="T1784" i="1"/>
  <c r="U1784" i="1"/>
  <c r="V1784" i="1"/>
  <c r="Q1785" i="1"/>
  <c r="R1785" i="1"/>
  <c r="S1785" i="1"/>
  <c r="T1785" i="1"/>
  <c r="U1785" i="1"/>
  <c r="V1785" i="1"/>
  <c r="Q1786" i="1"/>
  <c r="R1786" i="1"/>
  <c r="S1786" i="1"/>
  <c r="T1786" i="1"/>
  <c r="U1786" i="1"/>
  <c r="V1786" i="1"/>
  <c r="Q1787" i="1"/>
  <c r="R1787" i="1"/>
  <c r="S1787" i="1"/>
  <c r="T1787" i="1"/>
  <c r="U1787" i="1"/>
  <c r="V1787" i="1"/>
  <c r="Q1788" i="1"/>
  <c r="R1788" i="1"/>
  <c r="S1788" i="1"/>
  <c r="T1788" i="1"/>
  <c r="U1788" i="1"/>
  <c r="V1788" i="1"/>
  <c r="Q1789" i="1"/>
  <c r="R1789" i="1"/>
  <c r="S1789" i="1"/>
  <c r="T1789" i="1"/>
  <c r="U1789" i="1"/>
  <c r="V1789" i="1"/>
  <c r="Q1790" i="1"/>
  <c r="R1790" i="1"/>
  <c r="S1790" i="1"/>
  <c r="T1790" i="1"/>
  <c r="U1790" i="1"/>
  <c r="V1790" i="1"/>
  <c r="Q1791" i="1"/>
  <c r="R1791" i="1"/>
  <c r="S1791" i="1"/>
  <c r="T1791" i="1"/>
  <c r="U1791" i="1"/>
  <c r="V1791" i="1"/>
  <c r="Q1792" i="1"/>
  <c r="R1792" i="1"/>
  <c r="S1792" i="1"/>
  <c r="T1792" i="1"/>
  <c r="U1792" i="1"/>
  <c r="V1792" i="1"/>
  <c r="Q1793" i="1"/>
  <c r="R1793" i="1"/>
  <c r="S1793" i="1"/>
  <c r="T1793" i="1"/>
  <c r="U1793" i="1"/>
  <c r="V1793" i="1"/>
  <c r="Q1794" i="1"/>
  <c r="R1794" i="1"/>
  <c r="S1794" i="1"/>
  <c r="T1794" i="1"/>
  <c r="U1794" i="1"/>
  <c r="V1794" i="1"/>
  <c r="Q1795" i="1"/>
  <c r="R1795" i="1"/>
  <c r="S1795" i="1"/>
  <c r="T1795" i="1"/>
  <c r="U1795" i="1"/>
  <c r="V1795" i="1"/>
  <c r="Q1796" i="1"/>
  <c r="R1796" i="1"/>
  <c r="S1796" i="1"/>
  <c r="T1796" i="1"/>
  <c r="U1796" i="1"/>
  <c r="V1796" i="1"/>
  <c r="Q1797" i="1"/>
  <c r="R1797" i="1"/>
  <c r="S1797" i="1"/>
  <c r="T1797" i="1"/>
  <c r="U1797" i="1"/>
  <c r="V1797" i="1"/>
  <c r="Q1798" i="1"/>
  <c r="R1798" i="1"/>
  <c r="S1798" i="1"/>
  <c r="T1798" i="1"/>
  <c r="U1798" i="1"/>
  <c r="V1798" i="1"/>
  <c r="Q1799" i="1"/>
  <c r="R1799" i="1"/>
  <c r="S1799" i="1"/>
  <c r="T1799" i="1"/>
  <c r="U1799" i="1"/>
  <c r="V1799" i="1"/>
  <c r="Q1800" i="1"/>
  <c r="R1800" i="1"/>
  <c r="S1800" i="1"/>
  <c r="T1800" i="1"/>
  <c r="U1800" i="1"/>
  <c r="V1800" i="1"/>
  <c r="Q1801" i="1"/>
  <c r="R1801" i="1"/>
  <c r="S1801" i="1"/>
  <c r="T1801" i="1"/>
  <c r="U1801" i="1"/>
  <c r="V1801" i="1"/>
  <c r="Q1802" i="1"/>
  <c r="R1802" i="1"/>
  <c r="S1802" i="1"/>
  <c r="T1802" i="1"/>
  <c r="U1802" i="1"/>
  <c r="V1802" i="1"/>
  <c r="Q1803" i="1"/>
  <c r="R1803" i="1"/>
  <c r="S1803" i="1"/>
  <c r="T1803" i="1"/>
  <c r="U1803" i="1"/>
  <c r="V1803" i="1"/>
  <c r="Q1804" i="1"/>
  <c r="R1804" i="1"/>
  <c r="S1804" i="1"/>
  <c r="T1804" i="1"/>
  <c r="U1804" i="1"/>
  <c r="V1804" i="1"/>
  <c r="Q1805" i="1"/>
  <c r="R1805" i="1"/>
  <c r="S1805" i="1"/>
  <c r="T1805" i="1"/>
  <c r="U1805" i="1"/>
  <c r="V1805" i="1"/>
  <c r="Q1806" i="1"/>
  <c r="R1806" i="1"/>
  <c r="S1806" i="1"/>
  <c r="T1806" i="1"/>
  <c r="U1806" i="1"/>
  <c r="V1806" i="1"/>
  <c r="Q1807" i="1"/>
  <c r="R1807" i="1"/>
  <c r="S1807" i="1"/>
  <c r="T1807" i="1"/>
  <c r="U1807" i="1"/>
  <c r="V1807" i="1"/>
  <c r="Q1808" i="1"/>
  <c r="R1808" i="1"/>
  <c r="S1808" i="1"/>
  <c r="T1808" i="1"/>
  <c r="U1808" i="1"/>
  <c r="V1808" i="1"/>
  <c r="Q1809" i="1"/>
  <c r="R1809" i="1"/>
  <c r="S1809" i="1"/>
  <c r="T1809" i="1"/>
  <c r="U1809" i="1"/>
  <c r="V1809" i="1"/>
  <c r="Q1810" i="1"/>
  <c r="R1810" i="1"/>
  <c r="S1810" i="1"/>
  <c r="T1810" i="1"/>
  <c r="U1810" i="1"/>
  <c r="V1810" i="1"/>
  <c r="Q1811" i="1"/>
  <c r="R1811" i="1"/>
  <c r="S1811" i="1"/>
  <c r="T1811" i="1"/>
  <c r="U1811" i="1"/>
  <c r="V1811" i="1"/>
  <c r="Q1812" i="1"/>
  <c r="R1812" i="1"/>
  <c r="S1812" i="1"/>
  <c r="T1812" i="1"/>
  <c r="U1812" i="1"/>
  <c r="V1812" i="1"/>
  <c r="Q1813" i="1"/>
  <c r="R1813" i="1"/>
  <c r="S1813" i="1"/>
  <c r="T1813" i="1"/>
  <c r="U1813" i="1"/>
  <c r="V1813" i="1"/>
  <c r="Q1814" i="1"/>
  <c r="R1814" i="1"/>
  <c r="S1814" i="1"/>
  <c r="T1814" i="1"/>
  <c r="U1814" i="1"/>
  <c r="V1814" i="1"/>
  <c r="Q1815" i="1"/>
  <c r="R1815" i="1"/>
  <c r="S1815" i="1"/>
  <c r="T1815" i="1"/>
  <c r="U1815" i="1"/>
  <c r="V1815" i="1"/>
  <c r="Q1816" i="1"/>
  <c r="R1816" i="1"/>
  <c r="S1816" i="1"/>
  <c r="T1816" i="1"/>
  <c r="U1816" i="1"/>
  <c r="V1816" i="1"/>
  <c r="Q1817" i="1"/>
  <c r="R1817" i="1"/>
  <c r="S1817" i="1"/>
  <c r="T1817" i="1"/>
  <c r="U1817" i="1"/>
  <c r="V1817" i="1"/>
  <c r="Q1818" i="1"/>
  <c r="R1818" i="1"/>
  <c r="S1818" i="1"/>
  <c r="T1818" i="1"/>
  <c r="U1818" i="1"/>
  <c r="V1818" i="1"/>
  <c r="Q1819" i="1"/>
  <c r="R1819" i="1"/>
  <c r="S1819" i="1"/>
  <c r="T1819" i="1"/>
  <c r="U1819" i="1"/>
  <c r="V1819" i="1"/>
  <c r="Q1820" i="1"/>
  <c r="R1820" i="1"/>
  <c r="S1820" i="1"/>
  <c r="T1820" i="1"/>
  <c r="U1820" i="1"/>
  <c r="V1820" i="1"/>
  <c r="Q1821" i="1"/>
  <c r="R1821" i="1"/>
  <c r="S1821" i="1"/>
  <c r="T1821" i="1"/>
  <c r="U1821" i="1"/>
  <c r="V1821" i="1"/>
  <c r="Q1822" i="1"/>
  <c r="R1822" i="1"/>
  <c r="S1822" i="1"/>
  <c r="T1822" i="1"/>
  <c r="U1822" i="1"/>
  <c r="V1822" i="1"/>
  <c r="Q1823" i="1"/>
  <c r="R1823" i="1"/>
  <c r="S1823" i="1"/>
  <c r="T1823" i="1"/>
  <c r="U1823" i="1"/>
  <c r="V1823" i="1"/>
  <c r="Q1824" i="1"/>
  <c r="R1824" i="1"/>
  <c r="S1824" i="1"/>
  <c r="T1824" i="1"/>
  <c r="U1824" i="1"/>
  <c r="V1824" i="1"/>
  <c r="Q1825" i="1"/>
  <c r="R1825" i="1"/>
  <c r="S1825" i="1"/>
  <c r="T1825" i="1"/>
  <c r="U1825" i="1"/>
  <c r="V1825" i="1"/>
  <c r="Q1826" i="1"/>
  <c r="R1826" i="1"/>
  <c r="S1826" i="1"/>
  <c r="T1826" i="1"/>
  <c r="U1826" i="1"/>
  <c r="V1826" i="1"/>
  <c r="Q1827" i="1"/>
  <c r="R1827" i="1"/>
  <c r="S1827" i="1"/>
  <c r="T1827" i="1"/>
  <c r="U1827" i="1"/>
  <c r="V1827" i="1"/>
  <c r="Q1828" i="1"/>
  <c r="R1828" i="1"/>
  <c r="S1828" i="1"/>
  <c r="T1828" i="1"/>
  <c r="U1828" i="1"/>
  <c r="V1828" i="1"/>
  <c r="Q1829" i="1"/>
  <c r="R1829" i="1"/>
  <c r="S1829" i="1"/>
  <c r="T1829" i="1"/>
  <c r="U1829" i="1"/>
  <c r="V1829" i="1"/>
  <c r="Q1830" i="1"/>
  <c r="R1830" i="1"/>
  <c r="S1830" i="1"/>
  <c r="T1830" i="1"/>
  <c r="U1830" i="1"/>
  <c r="V1830" i="1"/>
  <c r="Q1831" i="1"/>
  <c r="R1831" i="1"/>
  <c r="S1831" i="1"/>
  <c r="T1831" i="1"/>
  <c r="U1831" i="1"/>
  <c r="V1831" i="1"/>
  <c r="Q1832" i="1"/>
  <c r="R1832" i="1"/>
  <c r="S1832" i="1"/>
  <c r="T1832" i="1"/>
  <c r="U1832" i="1"/>
  <c r="V1832" i="1"/>
  <c r="Q1833" i="1"/>
  <c r="R1833" i="1"/>
  <c r="S1833" i="1"/>
  <c r="T1833" i="1"/>
  <c r="U1833" i="1"/>
  <c r="V1833" i="1"/>
  <c r="Q1834" i="1"/>
  <c r="R1834" i="1"/>
  <c r="S1834" i="1"/>
  <c r="T1834" i="1"/>
  <c r="U1834" i="1"/>
  <c r="V1834" i="1"/>
  <c r="Q1835" i="1"/>
  <c r="R1835" i="1"/>
  <c r="S1835" i="1"/>
  <c r="T1835" i="1"/>
  <c r="U1835" i="1"/>
  <c r="V1835" i="1"/>
  <c r="Q1836" i="1"/>
  <c r="R1836" i="1"/>
  <c r="S1836" i="1"/>
  <c r="T1836" i="1"/>
  <c r="U1836" i="1"/>
  <c r="V1836" i="1"/>
  <c r="Q1837" i="1"/>
  <c r="R1837" i="1"/>
  <c r="S1837" i="1"/>
  <c r="T1837" i="1"/>
  <c r="U1837" i="1"/>
  <c r="V1837" i="1"/>
  <c r="Q1838" i="1"/>
  <c r="R1838" i="1"/>
  <c r="S1838" i="1"/>
  <c r="T1838" i="1"/>
  <c r="U1838" i="1"/>
  <c r="V1838" i="1"/>
  <c r="Q1839" i="1"/>
  <c r="R1839" i="1"/>
  <c r="S1839" i="1"/>
  <c r="T1839" i="1"/>
  <c r="U1839" i="1"/>
  <c r="V1839" i="1"/>
  <c r="Q1840" i="1"/>
  <c r="R1840" i="1"/>
  <c r="S1840" i="1"/>
  <c r="T1840" i="1"/>
  <c r="U1840" i="1"/>
  <c r="V1840" i="1"/>
  <c r="Q1841" i="1"/>
  <c r="R1841" i="1"/>
  <c r="S1841" i="1"/>
  <c r="T1841" i="1"/>
  <c r="U1841" i="1"/>
  <c r="V1841" i="1"/>
  <c r="Q1842" i="1"/>
  <c r="R1842" i="1"/>
  <c r="S1842" i="1"/>
  <c r="T1842" i="1"/>
  <c r="U1842" i="1"/>
  <c r="V1842" i="1"/>
  <c r="Q1843" i="1"/>
  <c r="R1843" i="1"/>
  <c r="S1843" i="1"/>
  <c r="T1843" i="1"/>
  <c r="U1843" i="1"/>
  <c r="V1843" i="1"/>
  <c r="Q1844" i="1"/>
  <c r="R1844" i="1"/>
  <c r="S1844" i="1"/>
  <c r="T1844" i="1"/>
  <c r="U1844" i="1"/>
  <c r="V1844" i="1"/>
  <c r="Q1845" i="1"/>
  <c r="R1845" i="1"/>
  <c r="S1845" i="1"/>
  <c r="T1845" i="1"/>
  <c r="U1845" i="1"/>
  <c r="V1845" i="1"/>
  <c r="Q1846" i="1"/>
  <c r="R1846" i="1"/>
  <c r="S1846" i="1"/>
  <c r="T1846" i="1"/>
  <c r="U1846" i="1"/>
  <c r="V1846" i="1"/>
  <c r="Q1847" i="1"/>
  <c r="R1847" i="1"/>
  <c r="S1847" i="1"/>
  <c r="T1847" i="1"/>
  <c r="U1847" i="1"/>
  <c r="V1847" i="1"/>
  <c r="Q1848" i="1"/>
  <c r="R1848" i="1"/>
  <c r="S1848" i="1"/>
  <c r="T1848" i="1"/>
  <c r="U1848" i="1"/>
  <c r="V1848" i="1"/>
  <c r="Q1849" i="1"/>
  <c r="R1849" i="1"/>
  <c r="S1849" i="1"/>
  <c r="T1849" i="1"/>
  <c r="U1849" i="1"/>
  <c r="V1849" i="1"/>
  <c r="Q1850" i="1"/>
  <c r="R1850" i="1"/>
  <c r="S1850" i="1"/>
  <c r="T1850" i="1"/>
  <c r="U1850" i="1"/>
  <c r="V1850" i="1"/>
  <c r="Q1851" i="1"/>
  <c r="R1851" i="1"/>
  <c r="S1851" i="1"/>
  <c r="T1851" i="1"/>
  <c r="U1851" i="1"/>
  <c r="V1851" i="1"/>
  <c r="Q1852" i="1"/>
  <c r="R1852" i="1"/>
  <c r="S1852" i="1"/>
  <c r="T1852" i="1"/>
  <c r="U1852" i="1"/>
  <c r="V1852" i="1"/>
  <c r="Q1853" i="1"/>
  <c r="R1853" i="1"/>
  <c r="S1853" i="1"/>
  <c r="T1853" i="1"/>
  <c r="U1853" i="1"/>
  <c r="V1853" i="1"/>
  <c r="Q1854" i="1"/>
  <c r="R1854" i="1"/>
  <c r="S1854" i="1"/>
  <c r="T1854" i="1"/>
  <c r="U1854" i="1"/>
  <c r="V1854" i="1"/>
  <c r="Q1855" i="1"/>
  <c r="R1855" i="1"/>
  <c r="S1855" i="1"/>
  <c r="T1855" i="1"/>
  <c r="U1855" i="1"/>
  <c r="V1855" i="1"/>
  <c r="Q1856" i="1"/>
  <c r="R1856" i="1"/>
  <c r="S1856" i="1"/>
  <c r="T1856" i="1"/>
  <c r="U1856" i="1"/>
  <c r="V1856" i="1"/>
  <c r="Q1857" i="1"/>
  <c r="R1857" i="1"/>
  <c r="S1857" i="1"/>
  <c r="T1857" i="1"/>
  <c r="U1857" i="1"/>
  <c r="V1857" i="1"/>
  <c r="Q1858" i="1"/>
  <c r="R1858" i="1"/>
  <c r="S1858" i="1"/>
  <c r="T1858" i="1"/>
  <c r="U1858" i="1"/>
  <c r="V1858" i="1"/>
  <c r="Q1859" i="1"/>
  <c r="R1859" i="1"/>
  <c r="S1859" i="1"/>
  <c r="T1859" i="1"/>
  <c r="U1859" i="1"/>
  <c r="V1859" i="1"/>
  <c r="Q1860" i="1"/>
  <c r="R1860" i="1"/>
  <c r="S1860" i="1"/>
  <c r="T1860" i="1"/>
  <c r="U1860" i="1"/>
  <c r="V1860" i="1"/>
  <c r="Q1861" i="1"/>
  <c r="R1861" i="1"/>
  <c r="S1861" i="1"/>
  <c r="T1861" i="1"/>
  <c r="U1861" i="1"/>
  <c r="V1861" i="1"/>
  <c r="Q1862" i="1"/>
  <c r="R1862" i="1"/>
  <c r="S1862" i="1"/>
  <c r="T1862" i="1"/>
  <c r="U1862" i="1"/>
  <c r="V1862" i="1"/>
  <c r="Q1863" i="1"/>
  <c r="R1863" i="1"/>
  <c r="S1863" i="1"/>
  <c r="T1863" i="1"/>
  <c r="U1863" i="1"/>
  <c r="V1863" i="1"/>
  <c r="Q1864" i="1"/>
  <c r="R1864" i="1"/>
  <c r="S1864" i="1"/>
  <c r="T1864" i="1"/>
  <c r="U1864" i="1"/>
  <c r="V1864" i="1"/>
  <c r="Q1865" i="1"/>
  <c r="R1865" i="1"/>
  <c r="S1865" i="1"/>
  <c r="T1865" i="1"/>
  <c r="U1865" i="1"/>
  <c r="V1865" i="1"/>
  <c r="Q1866" i="1"/>
  <c r="R1866" i="1"/>
  <c r="S1866" i="1"/>
  <c r="T1866" i="1"/>
  <c r="U1866" i="1"/>
  <c r="V1866" i="1"/>
  <c r="Q1867" i="1"/>
  <c r="R1867" i="1"/>
  <c r="S1867" i="1"/>
  <c r="T1867" i="1"/>
  <c r="U1867" i="1"/>
  <c r="V1867" i="1"/>
  <c r="Q1868" i="1"/>
  <c r="R1868" i="1"/>
  <c r="S1868" i="1"/>
  <c r="T1868" i="1"/>
  <c r="U1868" i="1"/>
  <c r="V1868" i="1"/>
  <c r="Q1869" i="1"/>
  <c r="R1869" i="1"/>
  <c r="S1869" i="1"/>
  <c r="T1869" i="1"/>
  <c r="U1869" i="1"/>
  <c r="V1869" i="1"/>
  <c r="Q1870" i="1"/>
  <c r="R1870" i="1"/>
  <c r="S1870" i="1"/>
  <c r="T1870" i="1"/>
  <c r="U1870" i="1"/>
  <c r="V1870" i="1"/>
  <c r="Q1871" i="1"/>
  <c r="R1871" i="1"/>
  <c r="S1871" i="1"/>
  <c r="T1871" i="1"/>
  <c r="U1871" i="1"/>
  <c r="V1871" i="1"/>
  <c r="Q1872" i="1"/>
  <c r="R1872" i="1"/>
  <c r="S1872" i="1"/>
  <c r="T1872" i="1"/>
  <c r="U1872" i="1"/>
  <c r="V1872" i="1"/>
  <c r="Q1873" i="1"/>
  <c r="R1873" i="1"/>
  <c r="S1873" i="1"/>
  <c r="T1873" i="1"/>
  <c r="U1873" i="1"/>
  <c r="V1873" i="1"/>
  <c r="Q1874" i="1"/>
  <c r="R1874" i="1"/>
  <c r="S1874" i="1"/>
  <c r="T1874" i="1"/>
  <c r="U1874" i="1"/>
  <c r="V1874" i="1"/>
  <c r="Q1875" i="1"/>
  <c r="R1875" i="1"/>
  <c r="S1875" i="1"/>
  <c r="T1875" i="1"/>
  <c r="U1875" i="1"/>
  <c r="V1875" i="1"/>
  <c r="Q1876" i="1"/>
  <c r="R1876" i="1"/>
  <c r="S1876" i="1"/>
  <c r="T1876" i="1"/>
  <c r="U1876" i="1"/>
  <c r="V1876" i="1"/>
  <c r="Q1877" i="1"/>
  <c r="R1877" i="1"/>
  <c r="S1877" i="1"/>
  <c r="T1877" i="1"/>
  <c r="U1877" i="1"/>
  <c r="V1877" i="1"/>
  <c r="Q1878" i="1"/>
  <c r="R1878" i="1"/>
  <c r="S1878" i="1"/>
  <c r="T1878" i="1"/>
  <c r="U1878" i="1"/>
  <c r="V1878" i="1"/>
  <c r="Q1879" i="1"/>
  <c r="R1879" i="1"/>
  <c r="S1879" i="1"/>
  <c r="T1879" i="1"/>
  <c r="U1879" i="1"/>
  <c r="V1879" i="1"/>
  <c r="Q1880" i="1"/>
  <c r="R1880" i="1"/>
  <c r="S1880" i="1"/>
  <c r="T1880" i="1"/>
  <c r="U1880" i="1"/>
  <c r="V1880" i="1"/>
  <c r="Q1881" i="1"/>
  <c r="R1881" i="1"/>
  <c r="S1881" i="1"/>
  <c r="T1881" i="1"/>
  <c r="U1881" i="1"/>
  <c r="V1881" i="1"/>
  <c r="Q1882" i="1"/>
  <c r="R1882" i="1"/>
  <c r="S1882" i="1"/>
  <c r="T1882" i="1"/>
  <c r="U1882" i="1"/>
  <c r="V1882" i="1"/>
  <c r="Q1883" i="1"/>
  <c r="R1883" i="1"/>
  <c r="S1883" i="1"/>
  <c r="T1883" i="1"/>
  <c r="U1883" i="1"/>
  <c r="V1883" i="1"/>
  <c r="Q1884" i="1"/>
  <c r="R1884" i="1"/>
  <c r="S1884" i="1"/>
  <c r="T1884" i="1"/>
  <c r="U1884" i="1"/>
  <c r="V1884" i="1"/>
  <c r="Q1885" i="1"/>
  <c r="R1885" i="1"/>
  <c r="S1885" i="1"/>
  <c r="T1885" i="1"/>
  <c r="U1885" i="1"/>
  <c r="V1885" i="1"/>
  <c r="Q1886" i="1"/>
  <c r="R1886" i="1"/>
  <c r="S1886" i="1"/>
  <c r="T1886" i="1"/>
  <c r="U1886" i="1"/>
  <c r="V1886" i="1"/>
  <c r="Q1887" i="1"/>
  <c r="R1887" i="1"/>
  <c r="S1887" i="1"/>
  <c r="T1887" i="1"/>
  <c r="U1887" i="1"/>
  <c r="V1887" i="1"/>
  <c r="Q1888" i="1"/>
  <c r="R1888" i="1"/>
  <c r="S1888" i="1"/>
  <c r="T1888" i="1"/>
  <c r="U1888" i="1"/>
  <c r="V1888" i="1"/>
  <c r="Q1889" i="1"/>
  <c r="R1889" i="1"/>
  <c r="S1889" i="1"/>
  <c r="T1889" i="1"/>
  <c r="U1889" i="1"/>
  <c r="V1889" i="1"/>
  <c r="Q1890" i="1"/>
  <c r="R1890" i="1"/>
  <c r="S1890" i="1"/>
  <c r="T1890" i="1"/>
  <c r="U1890" i="1"/>
  <c r="V1890" i="1"/>
  <c r="Q1891" i="1"/>
  <c r="R1891" i="1"/>
  <c r="S1891" i="1"/>
  <c r="T1891" i="1"/>
  <c r="U1891" i="1"/>
  <c r="V1891" i="1"/>
  <c r="Q1892" i="1"/>
  <c r="R1892" i="1"/>
  <c r="S1892" i="1"/>
  <c r="T1892" i="1"/>
  <c r="U1892" i="1"/>
  <c r="V1892" i="1"/>
  <c r="Q1893" i="1"/>
  <c r="R1893" i="1"/>
  <c r="S1893" i="1"/>
  <c r="T1893" i="1"/>
  <c r="U1893" i="1"/>
  <c r="V1893" i="1"/>
  <c r="Q1894" i="1"/>
  <c r="R1894" i="1"/>
  <c r="S1894" i="1"/>
  <c r="T1894" i="1"/>
  <c r="U1894" i="1"/>
  <c r="V1894" i="1"/>
  <c r="Q1895" i="1"/>
  <c r="R1895" i="1"/>
  <c r="S1895" i="1"/>
  <c r="T1895" i="1"/>
  <c r="U1895" i="1"/>
  <c r="V1895" i="1"/>
  <c r="Q1896" i="1"/>
  <c r="R1896" i="1"/>
  <c r="S1896" i="1"/>
  <c r="T1896" i="1"/>
  <c r="U1896" i="1"/>
  <c r="V1896" i="1"/>
  <c r="Q1897" i="1"/>
  <c r="R1897" i="1"/>
  <c r="S1897" i="1"/>
  <c r="T1897" i="1"/>
  <c r="U1897" i="1"/>
  <c r="V1897" i="1"/>
  <c r="Q1898" i="1"/>
  <c r="R1898" i="1"/>
  <c r="S1898" i="1"/>
  <c r="T1898" i="1"/>
  <c r="U1898" i="1"/>
  <c r="V1898" i="1"/>
  <c r="Q1899" i="1"/>
  <c r="R1899" i="1"/>
  <c r="S1899" i="1"/>
  <c r="T1899" i="1"/>
  <c r="U1899" i="1"/>
  <c r="V1899" i="1"/>
  <c r="Q1900" i="1"/>
  <c r="R1900" i="1"/>
  <c r="S1900" i="1"/>
  <c r="T1900" i="1"/>
  <c r="U1900" i="1"/>
  <c r="V1900" i="1"/>
  <c r="Q1901" i="1"/>
  <c r="R1901" i="1"/>
  <c r="S1901" i="1"/>
  <c r="T1901" i="1"/>
  <c r="U1901" i="1"/>
  <c r="V1901" i="1"/>
  <c r="Q1902" i="1"/>
  <c r="R1902" i="1"/>
  <c r="S1902" i="1"/>
  <c r="T1902" i="1"/>
  <c r="U1902" i="1"/>
  <c r="V1902" i="1"/>
  <c r="Q1903" i="1"/>
  <c r="R1903" i="1"/>
  <c r="S1903" i="1"/>
  <c r="T1903" i="1"/>
  <c r="U1903" i="1"/>
  <c r="V1903" i="1"/>
  <c r="Q1904" i="1"/>
  <c r="R1904" i="1"/>
  <c r="S1904" i="1"/>
  <c r="T1904" i="1"/>
  <c r="U1904" i="1"/>
  <c r="V1904" i="1"/>
  <c r="Q1905" i="1"/>
  <c r="R1905" i="1"/>
  <c r="S1905" i="1"/>
  <c r="T1905" i="1"/>
  <c r="U1905" i="1"/>
  <c r="V1905" i="1"/>
  <c r="Q1906" i="1"/>
  <c r="R1906" i="1"/>
  <c r="S1906" i="1"/>
  <c r="T1906" i="1"/>
  <c r="U1906" i="1"/>
  <c r="V1906" i="1"/>
  <c r="Q1907" i="1"/>
  <c r="R1907" i="1"/>
  <c r="S1907" i="1"/>
  <c r="T1907" i="1"/>
  <c r="U1907" i="1"/>
  <c r="V1907" i="1"/>
  <c r="Q1908" i="1"/>
  <c r="R1908" i="1"/>
  <c r="S1908" i="1"/>
  <c r="T1908" i="1"/>
  <c r="U1908" i="1"/>
  <c r="V1908" i="1"/>
  <c r="Q1909" i="1"/>
  <c r="R1909" i="1"/>
  <c r="S1909" i="1"/>
  <c r="T1909" i="1"/>
  <c r="U1909" i="1"/>
  <c r="V1909" i="1"/>
  <c r="Q1910" i="1"/>
  <c r="R1910" i="1"/>
  <c r="S1910" i="1"/>
  <c r="T1910" i="1"/>
  <c r="U1910" i="1"/>
  <c r="V1910" i="1"/>
  <c r="Q1911" i="1"/>
  <c r="R1911" i="1"/>
  <c r="S1911" i="1"/>
  <c r="T1911" i="1"/>
  <c r="U1911" i="1"/>
  <c r="V1911" i="1"/>
  <c r="Q1912" i="1"/>
  <c r="R1912" i="1"/>
  <c r="S1912" i="1"/>
  <c r="T1912" i="1"/>
  <c r="U1912" i="1"/>
  <c r="V1912" i="1"/>
  <c r="Q1913" i="1"/>
  <c r="R1913" i="1"/>
  <c r="S1913" i="1"/>
  <c r="T1913" i="1"/>
  <c r="U1913" i="1"/>
  <c r="V1913" i="1"/>
  <c r="Q1914" i="1"/>
  <c r="R1914" i="1"/>
  <c r="S1914" i="1"/>
  <c r="T1914" i="1"/>
  <c r="U1914" i="1"/>
  <c r="V1914" i="1"/>
  <c r="Q1915" i="1"/>
  <c r="R1915" i="1"/>
  <c r="S1915" i="1"/>
  <c r="T1915" i="1"/>
  <c r="U1915" i="1"/>
  <c r="V1915" i="1"/>
  <c r="Q1916" i="1"/>
  <c r="R1916" i="1"/>
  <c r="S1916" i="1"/>
  <c r="T1916" i="1"/>
  <c r="U1916" i="1"/>
  <c r="V1916" i="1"/>
  <c r="Q1917" i="1"/>
  <c r="R1917" i="1"/>
  <c r="S1917" i="1"/>
  <c r="T1917" i="1"/>
  <c r="U1917" i="1"/>
  <c r="V1917" i="1"/>
  <c r="Q1918" i="1"/>
  <c r="R1918" i="1"/>
  <c r="S1918" i="1"/>
  <c r="T1918" i="1"/>
  <c r="U1918" i="1"/>
  <c r="V1918" i="1"/>
  <c r="Q1919" i="1"/>
  <c r="R1919" i="1"/>
  <c r="S1919" i="1"/>
  <c r="T1919" i="1"/>
  <c r="U1919" i="1"/>
  <c r="V1919" i="1"/>
  <c r="Q1920" i="1"/>
  <c r="R1920" i="1"/>
  <c r="S1920" i="1"/>
  <c r="T1920" i="1"/>
  <c r="U1920" i="1"/>
  <c r="V1920" i="1"/>
  <c r="Q1921" i="1"/>
  <c r="R1921" i="1"/>
  <c r="S1921" i="1"/>
  <c r="T1921" i="1"/>
  <c r="U1921" i="1"/>
  <c r="V1921" i="1"/>
  <c r="Q1922" i="1"/>
  <c r="R1922" i="1"/>
  <c r="S1922" i="1"/>
  <c r="T1922" i="1"/>
  <c r="U1922" i="1"/>
  <c r="V1922" i="1"/>
  <c r="Q1923" i="1"/>
  <c r="R1923" i="1"/>
  <c r="S1923" i="1"/>
  <c r="T1923" i="1"/>
  <c r="U1923" i="1"/>
  <c r="V1923" i="1"/>
  <c r="Q1924" i="1"/>
  <c r="R1924" i="1"/>
  <c r="S1924" i="1"/>
  <c r="T1924" i="1"/>
  <c r="U1924" i="1"/>
  <c r="V1924" i="1"/>
  <c r="Q1925" i="1"/>
  <c r="R1925" i="1"/>
  <c r="S1925" i="1"/>
  <c r="T1925" i="1"/>
  <c r="U1925" i="1"/>
  <c r="V1925" i="1"/>
  <c r="Q1926" i="1"/>
  <c r="R1926" i="1"/>
  <c r="S1926" i="1"/>
  <c r="T1926" i="1"/>
  <c r="U1926" i="1"/>
  <c r="V1926" i="1"/>
  <c r="Q1927" i="1"/>
  <c r="R1927" i="1"/>
  <c r="S1927" i="1"/>
  <c r="T1927" i="1"/>
  <c r="U1927" i="1"/>
  <c r="V1927" i="1"/>
  <c r="Q1928" i="1"/>
  <c r="R1928" i="1"/>
  <c r="S1928" i="1"/>
  <c r="T1928" i="1"/>
  <c r="U1928" i="1"/>
  <c r="V1928" i="1"/>
  <c r="Q1929" i="1"/>
  <c r="R1929" i="1"/>
  <c r="S1929" i="1"/>
  <c r="T1929" i="1"/>
  <c r="U1929" i="1"/>
  <c r="V1929" i="1"/>
  <c r="Q1930" i="1"/>
  <c r="R1930" i="1"/>
  <c r="S1930" i="1"/>
  <c r="T1930" i="1"/>
  <c r="U1930" i="1"/>
  <c r="V1930" i="1"/>
  <c r="Q1931" i="1"/>
  <c r="R1931" i="1"/>
  <c r="S1931" i="1"/>
  <c r="T1931" i="1"/>
  <c r="U1931" i="1"/>
  <c r="V1931" i="1"/>
  <c r="Q1932" i="1"/>
  <c r="R1932" i="1"/>
  <c r="S1932" i="1"/>
  <c r="T1932" i="1"/>
  <c r="U1932" i="1"/>
  <c r="V1932" i="1"/>
  <c r="Q1933" i="1"/>
  <c r="R1933" i="1"/>
  <c r="S1933" i="1"/>
  <c r="T1933" i="1"/>
  <c r="U1933" i="1"/>
  <c r="V1933" i="1"/>
  <c r="Q1934" i="1"/>
  <c r="R1934" i="1"/>
  <c r="S1934" i="1"/>
  <c r="T1934" i="1"/>
  <c r="U1934" i="1"/>
  <c r="V1934" i="1"/>
  <c r="Q1935" i="1"/>
  <c r="R1935" i="1"/>
  <c r="S1935" i="1"/>
  <c r="T1935" i="1"/>
  <c r="U1935" i="1"/>
  <c r="V1935" i="1"/>
  <c r="Q1936" i="1"/>
  <c r="R1936" i="1"/>
  <c r="S1936" i="1"/>
  <c r="T1936" i="1"/>
  <c r="U1936" i="1"/>
  <c r="V1936" i="1"/>
  <c r="Q1937" i="1"/>
  <c r="R1937" i="1"/>
  <c r="S1937" i="1"/>
  <c r="T1937" i="1"/>
  <c r="U1937" i="1"/>
  <c r="V1937" i="1"/>
  <c r="Q1938" i="1"/>
  <c r="R1938" i="1"/>
  <c r="S1938" i="1"/>
  <c r="T1938" i="1"/>
  <c r="U1938" i="1"/>
  <c r="V1938" i="1"/>
  <c r="Q1939" i="1"/>
  <c r="R1939" i="1"/>
  <c r="S1939" i="1"/>
  <c r="T1939" i="1"/>
  <c r="U1939" i="1"/>
  <c r="V1939" i="1"/>
  <c r="Q1940" i="1"/>
  <c r="R1940" i="1"/>
  <c r="S1940" i="1"/>
  <c r="T1940" i="1"/>
  <c r="U1940" i="1"/>
  <c r="V1940" i="1"/>
  <c r="Q1941" i="1"/>
  <c r="R1941" i="1"/>
  <c r="S1941" i="1"/>
  <c r="T1941" i="1"/>
  <c r="U1941" i="1"/>
  <c r="V1941" i="1"/>
  <c r="Q1942" i="1"/>
  <c r="R1942" i="1"/>
  <c r="S1942" i="1"/>
  <c r="T1942" i="1"/>
  <c r="U1942" i="1"/>
  <c r="V1942" i="1"/>
  <c r="Q1943" i="1"/>
  <c r="R1943" i="1"/>
  <c r="S1943" i="1"/>
  <c r="T1943" i="1"/>
  <c r="U1943" i="1"/>
  <c r="V1943" i="1"/>
  <c r="Q1944" i="1"/>
  <c r="R1944" i="1"/>
  <c r="S1944" i="1"/>
  <c r="T1944" i="1"/>
  <c r="U1944" i="1"/>
  <c r="V1944" i="1"/>
  <c r="Q1945" i="1"/>
  <c r="R1945" i="1"/>
  <c r="S1945" i="1"/>
  <c r="T1945" i="1"/>
  <c r="U1945" i="1"/>
  <c r="V1945" i="1"/>
  <c r="Q1946" i="1"/>
  <c r="R1946" i="1"/>
  <c r="S1946" i="1"/>
  <c r="T1946" i="1"/>
  <c r="U1946" i="1"/>
  <c r="V1946" i="1"/>
  <c r="Q1947" i="1"/>
  <c r="R1947" i="1"/>
  <c r="S1947" i="1"/>
  <c r="T1947" i="1"/>
  <c r="U1947" i="1"/>
  <c r="V1947" i="1"/>
  <c r="Q1948" i="1"/>
  <c r="R1948" i="1"/>
  <c r="S1948" i="1"/>
  <c r="T1948" i="1"/>
  <c r="U1948" i="1"/>
  <c r="V1948" i="1"/>
  <c r="Q1949" i="1"/>
  <c r="R1949" i="1"/>
  <c r="S1949" i="1"/>
  <c r="T1949" i="1"/>
  <c r="U1949" i="1"/>
  <c r="V1949" i="1"/>
  <c r="Q1950" i="1"/>
  <c r="R1950" i="1"/>
  <c r="S1950" i="1"/>
  <c r="T1950" i="1"/>
  <c r="U1950" i="1"/>
  <c r="V1950" i="1"/>
  <c r="Q1951" i="1"/>
  <c r="R1951" i="1"/>
  <c r="S1951" i="1"/>
  <c r="T1951" i="1"/>
  <c r="U1951" i="1"/>
  <c r="V1951" i="1"/>
  <c r="Q1952" i="1"/>
  <c r="R1952" i="1"/>
  <c r="S1952" i="1"/>
  <c r="T1952" i="1"/>
  <c r="U1952" i="1"/>
  <c r="V1952" i="1"/>
  <c r="Q1953" i="1"/>
  <c r="R1953" i="1"/>
  <c r="S1953" i="1"/>
  <c r="T1953" i="1"/>
  <c r="U1953" i="1"/>
  <c r="V1953" i="1"/>
  <c r="Q1954" i="1"/>
  <c r="R1954" i="1"/>
  <c r="S1954" i="1"/>
  <c r="T1954" i="1"/>
  <c r="U1954" i="1"/>
  <c r="V1954" i="1"/>
  <c r="Q1955" i="1"/>
  <c r="R1955" i="1"/>
  <c r="S1955" i="1"/>
  <c r="T1955" i="1"/>
  <c r="U1955" i="1"/>
  <c r="V1955" i="1"/>
  <c r="Q1956" i="1"/>
  <c r="R1956" i="1"/>
  <c r="S1956" i="1"/>
  <c r="T1956" i="1"/>
  <c r="U1956" i="1"/>
  <c r="V1956" i="1"/>
  <c r="Q1957" i="1"/>
  <c r="R1957" i="1"/>
  <c r="S1957" i="1"/>
  <c r="T1957" i="1"/>
  <c r="U1957" i="1"/>
  <c r="V1957" i="1"/>
  <c r="Q1958" i="1"/>
  <c r="R1958" i="1"/>
  <c r="S1958" i="1"/>
  <c r="T1958" i="1"/>
  <c r="U1958" i="1"/>
  <c r="V1958" i="1"/>
  <c r="Q1959" i="1"/>
  <c r="R1959" i="1"/>
  <c r="S1959" i="1"/>
  <c r="T1959" i="1"/>
  <c r="U1959" i="1"/>
  <c r="V1959" i="1"/>
  <c r="Q1960" i="1"/>
  <c r="R1960" i="1"/>
  <c r="S1960" i="1"/>
  <c r="T1960" i="1"/>
  <c r="U1960" i="1"/>
  <c r="V1960" i="1"/>
  <c r="Q1961" i="1"/>
  <c r="R1961" i="1"/>
  <c r="S1961" i="1"/>
  <c r="T1961" i="1"/>
  <c r="U1961" i="1"/>
  <c r="V1961" i="1"/>
  <c r="Q1962" i="1"/>
  <c r="R1962" i="1"/>
  <c r="S1962" i="1"/>
  <c r="T1962" i="1"/>
  <c r="U1962" i="1"/>
  <c r="V1962" i="1"/>
  <c r="Q1963" i="1"/>
  <c r="R1963" i="1"/>
  <c r="S1963" i="1"/>
  <c r="T1963" i="1"/>
  <c r="U1963" i="1"/>
  <c r="V1963" i="1"/>
  <c r="Q1964" i="1"/>
  <c r="R1964" i="1"/>
  <c r="S1964" i="1"/>
  <c r="T1964" i="1"/>
  <c r="U1964" i="1"/>
  <c r="V1964" i="1"/>
  <c r="Q1965" i="1"/>
  <c r="R1965" i="1"/>
  <c r="S1965" i="1"/>
  <c r="T1965" i="1"/>
  <c r="U1965" i="1"/>
  <c r="V1965" i="1"/>
  <c r="Q1966" i="1"/>
  <c r="R1966" i="1"/>
  <c r="S1966" i="1"/>
  <c r="T1966" i="1"/>
  <c r="U1966" i="1"/>
  <c r="V1966" i="1"/>
  <c r="Q1967" i="1"/>
  <c r="R1967" i="1"/>
  <c r="S1967" i="1"/>
  <c r="T1967" i="1"/>
  <c r="U1967" i="1"/>
  <c r="V1967" i="1"/>
  <c r="Q1968" i="1"/>
  <c r="R1968" i="1"/>
  <c r="S1968" i="1"/>
  <c r="T1968" i="1"/>
  <c r="U1968" i="1"/>
  <c r="V1968" i="1"/>
  <c r="Q1969" i="1"/>
  <c r="R1969" i="1"/>
  <c r="S1969" i="1"/>
  <c r="T1969" i="1"/>
  <c r="U1969" i="1"/>
  <c r="V1969" i="1"/>
  <c r="Q1970" i="1"/>
  <c r="R1970" i="1"/>
  <c r="S1970" i="1"/>
  <c r="T1970" i="1"/>
  <c r="U1970" i="1"/>
  <c r="V1970" i="1"/>
  <c r="Q1971" i="1"/>
  <c r="R1971" i="1"/>
  <c r="S1971" i="1"/>
  <c r="T1971" i="1"/>
  <c r="U1971" i="1"/>
  <c r="V1971" i="1"/>
  <c r="Q1972" i="1"/>
  <c r="R1972" i="1"/>
  <c r="S1972" i="1"/>
  <c r="T1972" i="1"/>
  <c r="U1972" i="1"/>
  <c r="V1972" i="1"/>
  <c r="Q1973" i="1"/>
  <c r="R1973" i="1"/>
  <c r="S1973" i="1"/>
  <c r="T1973" i="1"/>
  <c r="U1973" i="1"/>
  <c r="V1973" i="1"/>
  <c r="Q1974" i="1"/>
  <c r="R1974" i="1"/>
  <c r="S1974" i="1"/>
  <c r="T1974" i="1"/>
  <c r="U1974" i="1"/>
  <c r="V1974" i="1"/>
  <c r="Q1975" i="1"/>
  <c r="R1975" i="1"/>
  <c r="S1975" i="1"/>
  <c r="T1975" i="1"/>
  <c r="U1975" i="1"/>
  <c r="V1975" i="1"/>
  <c r="Q1976" i="1"/>
  <c r="R1976" i="1"/>
  <c r="S1976" i="1"/>
  <c r="T1976" i="1"/>
  <c r="U1976" i="1"/>
  <c r="V1976" i="1"/>
  <c r="Q1977" i="1"/>
  <c r="R1977" i="1"/>
  <c r="S1977" i="1"/>
  <c r="T1977" i="1"/>
  <c r="U1977" i="1"/>
  <c r="V1977" i="1"/>
  <c r="Q1978" i="1"/>
  <c r="R1978" i="1"/>
  <c r="S1978" i="1"/>
  <c r="T1978" i="1"/>
  <c r="U1978" i="1"/>
  <c r="V1978" i="1"/>
  <c r="Q1979" i="1"/>
  <c r="R1979" i="1"/>
  <c r="S1979" i="1"/>
  <c r="T1979" i="1"/>
  <c r="U1979" i="1"/>
  <c r="V1979" i="1"/>
  <c r="Q1980" i="1"/>
  <c r="R1980" i="1"/>
  <c r="S1980" i="1"/>
  <c r="T1980" i="1"/>
  <c r="U1980" i="1"/>
  <c r="V1980" i="1"/>
  <c r="Q1981" i="1"/>
  <c r="R1981" i="1"/>
  <c r="S1981" i="1"/>
  <c r="T1981" i="1"/>
  <c r="U1981" i="1"/>
  <c r="V1981" i="1"/>
  <c r="Q1982" i="1"/>
  <c r="R1982" i="1"/>
  <c r="S1982" i="1"/>
  <c r="T1982" i="1"/>
  <c r="U1982" i="1"/>
  <c r="V1982" i="1"/>
  <c r="Q1983" i="1"/>
  <c r="R1983" i="1"/>
  <c r="S1983" i="1"/>
  <c r="T1983" i="1"/>
  <c r="U1983" i="1"/>
  <c r="V1983" i="1"/>
  <c r="Q1984" i="1"/>
  <c r="R1984" i="1"/>
  <c r="S1984" i="1"/>
  <c r="T1984" i="1"/>
  <c r="U1984" i="1"/>
  <c r="V1984" i="1"/>
  <c r="Q1985" i="1"/>
  <c r="R1985" i="1"/>
  <c r="S1985" i="1"/>
  <c r="T1985" i="1"/>
  <c r="U1985" i="1"/>
  <c r="V1985" i="1"/>
  <c r="Q1986" i="1"/>
  <c r="R1986" i="1"/>
  <c r="S1986" i="1"/>
  <c r="T1986" i="1"/>
  <c r="U1986" i="1"/>
  <c r="V1986" i="1"/>
  <c r="Q1987" i="1"/>
  <c r="R1987" i="1"/>
  <c r="S1987" i="1"/>
  <c r="T1987" i="1"/>
  <c r="U1987" i="1"/>
  <c r="V1987" i="1"/>
  <c r="Q1988" i="1"/>
  <c r="R1988" i="1"/>
  <c r="S1988" i="1"/>
  <c r="T1988" i="1"/>
  <c r="U1988" i="1"/>
  <c r="V1988" i="1"/>
  <c r="Q1989" i="1"/>
  <c r="R1989" i="1"/>
  <c r="S1989" i="1"/>
  <c r="T1989" i="1"/>
  <c r="U1989" i="1"/>
  <c r="V1989" i="1"/>
  <c r="Q1990" i="1"/>
  <c r="R1990" i="1"/>
  <c r="S1990" i="1"/>
  <c r="T1990" i="1"/>
  <c r="U1990" i="1"/>
  <c r="V1990" i="1"/>
  <c r="Q1991" i="1"/>
  <c r="R1991" i="1"/>
  <c r="S1991" i="1"/>
  <c r="T1991" i="1"/>
  <c r="U1991" i="1"/>
  <c r="V1991" i="1"/>
  <c r="Q1992" i="1"/>
  <c r="R1992" i="1"/>
  <c r="S1992" i="1"/>
  <c r="T1992" i="1"/>
  <c r="U1992" i="1"/>
  <c r="V1992" i="1"/>
  <c r="Q1993" i="1"/>
  <c r="R1993" i="1"/>
  <c r="S1993" i="1"/>
  <c r="T1993" i="1"/>
  <c r="U1993" i="1"/>
  <c r="V1993" i="1"/>
  <c r="Q1994" i="1"/>
  <c r="R1994" i="1"/>
  <c r="S1994" i="1"/>
  <c r="T1994" i="1"/>
  <c r="U1994" i="1"/>
  <c r="V1994" i="1"/>
  <c r="Q1995" i="1"/>
  <c r="R1995" i="1"/>
  <c r="S1995" i="1"/>
  <c r="T1995" i="1"/>
  <c r="U1995" i="1"/>
  <c r="V1995" i="1"/>
  <c r="Q1996" i="1"/>
  <c r="R1996" i="1"/>
  <c r="S1996" i="1"/>
  <c r="T1996" i="1"/>
  <c r="U1996" i="1"/>
  <c r="V1996" i="1"/>
  <c r="Q1997" i="1"/>
  <c r="R1997" i="1"/>
  <c r="S1997" i="1"/>
  <c r="T1997" i="1"/>
  <c r="U1997" i="1"/>
  <c r="V1997" i="1"/>
  <c r="Q1998" i="1"/>
  <c r="R1998" i="1"/>
  <c r="S1998" i="1"/>
  <c r="T1998" i="1"/>
  <c r="U1998" i="1"/>
  <c r="V1998" i="1"/>
  <c r="Q1999" i="1"/>
  <c r="R1999" i="1"/>
  <c r="S1999" i="1"/>
  <c r="T1999" i="1"/>
  <c r="U1999" i="1"/>
  <c r="V1999" i="1"/>
  <c r="Q2000" i="1"/>
  <c r="R2000" i="1"/>
  <c r="S2000" i="1"/>
  <c r="T2000" i="1"/>
  <c r="U2000" i="1"/>
  <c r="V2000" i="1"/>
  <c r="Q2001" i="1"/>
  <c r="R2001" i="1"/>
  <c r="S2001" i="1"/>
  <c r="T2001" i="1"/>
  <c r="U2001" i="1"/>
  <c r="V2001" i="1"/>
  <c r="Q2002" i="1"/>
  <c r="R2002" i="1"/>
  <c r="S2002" i="1"/>
  <c r="T2002" i="1"/>
  <c r="U2002" i="1"/>
  <c r="V2002" i="1"/>
  <c r="Q2003" i="1"/>
  <c r="R2003" i="1"/>
  <c r="S2003" i="1"/>
  <c r="T2003" i="1"/>
  <c r="U2003" i="1"/>
  <c r="V2003" i="1"/>
  <c r="Q2004" i="1"/>
  <c r="R2004" i="1"/>
  <c r="S2004" i="1"/>
  <c r="T2004" i="1"/>
  <c r="U2004" i="1"/>
  <c r="V2004" i="1"/>
  <c r="Q2005" i="1"/>
  <c r="R2005" i="1"/>
  <c r="S2005" i="1"/>
  <c r="T2005" i="1"/>
  <c r="U2005" i="1"/>
  <c r="V2005" i="1"/>
  <c r="Q2006" i="1"/>
  <c r="R2006" i="1"/>
  <c r="S2006" i="1"/>
  <c r="T2006" i="1"/>
  <c r="U2006" i="1"/>
  <c r="V2006" i="1"/>
  <c r="Q2007" i="1"/>
  <c r="R2007" i="1"/>
  <c r="S2007" i="1"/>
  <c r="T2007" i="1"/>
  <c r="U2007" i="1"/>
  <c r="V2007" i="1"/>
  <c r="Q2008" i="1"/>
  <c r="R2008" i="1"/>
  <c r="S2008" i="1"/>
  <c r="T2008" i="1"/>
  <c r="U2008" i="1"/>
  <c r="V2008" i="1"/>
  <c r="Q2009" i="1"/>
  <c r="R2009" i="1"/>
  <c r="S2009" i="1"/>
  <c r="T2009" i="1"/>
  <c r="U2009" i="1"/>
  <c r="V2009" i="1"/>
  <c r="Q2010" i="1"/>
  <c r="R2010" i="1"/>
  <c r="S2010" i="1"/>
  <c r="T2010" i="1"/>
  <c r="U2010" i="1"/>
  <c r="V2010" i="1"/>
  <c r="Q2011" i="1"/>
  <c r="R2011" i="1"/>
  <c r="S2011" i="1"/>
  <c r="T2011" i="1"/>
  <c r="U2011" i="1"/>
  <c r="V2011" i="1"/>
  <c r="Q2012" i="1"/>
  <c r="R2012" i="1"/>
  <c r="S2012" i="1"/>
  <c r="T2012" i="1"/>
  <c r="U2012" i="1"/>
  <c r="V2012" i="1"/>
  <c r="Q2013" i="1"/>
  <c r="R2013" i="1"/>
  <c r="S2013" i="1"/>
  <c r="T2013" i="1"/>
  <c r="U2013" i="1"/>
  <c r="V2013" i="1"/>
  <c r="Q2014" i="1"/>
  <c r="R2014" i="1"/>
  <c r="S2014" i="1"/>
  <c r="T2014" i="1"/>
  <c r="U2014" i="1"/>
  <c r="V2014" i="1"/>
  <c r="Q2015" i="1"/>
  <c r="R2015" i="1"/>
  <c r="S2015" i="1"/>
  <c r="T2015" i="1"/>
  <c r="U2015" i="1"/>
  <c r="V2015" i="1"/>
  <c r="Q2016" i="1"/>
  <c r="R2016" i="1"/>
  <c r="S2016" i="1"/>
  <c r="T2016" i="1"/>
  <c r="U2016" i="1"/>
  <c r="V2016" i="1"/>
  <c r="Q2017" i="1"/>
  <c r="R2017" i="1"/>
  <c r="S2017" i="1"/>
  <c r="T2017" i="1"/>
  <c r="U2017" i="1"/>
  <c r="V2017" i="1"/>
  <c r="Q2018" i="1"/>
  <c r="R2018" i="1"/>
  <c r="S2018" i="1"/>
  <c r="T2018" i="1"/>
  <c r="U2018" i="1"/>
  <c r="V2018" i="1"/>
  <c r="Q2019" i="1"/>
  <c r="R2019" i="1"/>
  <c r="S2019" i="1"/>
  <c r="T2019" i="1"/>
  <c r="U2019" i="1"/>
  <c r="V2019" i="1"/>
  <c r="Q2020" i="1"/>
  <c r="R2020" i="1"/>
  <c r="S2020" i="1"/>
  <c r="T2020" i="1"/>
  <c r="U2020" i="1"/>
  <c r="V2020" i="1"/>
  <c r="Q2021" i="1"/>
  <c r="R2021" i="1"/>
  <c r="S2021" i="1"/>
  <c r="T2021" i="1"/>
  <c r="U2021" i="1"/>
  <c r="V2021" i="1"/>
  <c r="Q2022" i="1"/>
  <c r="R2022" i="1"/>
  <c r="S2022" i="1"/>
  <c r="T2022" i="1"/>
  <c r="U2022" i="1"/>
  <c r="V2022" i="1"/>
  <c r="Q2023" i="1"/>
  <c r="R2023" i="1"/>
  <c r="S2023" i="1"/>
  <c r="T2023" i="1"/>
  <c r="U2023" i="1"/>
  <c r="V2023" i="1"/>
  <c r="Q2024" i="1"/>
  <c r="R2024" i="1"/>
  <c r="S2024" i="1"/>
  <c r="T2024" i="1"/>
  <c r="U2024" i="1"/>
  <c r="V2024" i="1"/>
  <c r="Q2025" i="1"/>
  <c r="R2025" i="1"/>
  <c r="S2025" i="1"/>
  <c r="T2025" i="1"/>
  <c r="U2025" i="1"/>
  <c r="V2025" i="1"/>
  <c r="Q2026" i="1"/>
  <c r="R2026" i="1"/>
  <c r="S2026" i="1"/>
  <c r="T2026" i="1"/>
  <c r="U2026" i="1"/>
  <c r="V2026" i="1"/>
  <c r="Q2027" i="1"/>
  <c r="R2027" i="1"/>
  <c r="S2027" i="1"/>
  <c r="T2027" i="1"/>
  <c r="U2027" i="1"/>
  <c r="V2027" i="1"/>
  <c r="Q2028" i="1"/>
  <c r="R2028" i="1"/>
  <c r="S2028" i="1"/>
  <c r="T2028" i="1"/>
  <c r="U2028" i="1"/>
  <c r="V2028" i="1"/>
  <c r="Q2029" i="1"/>
  <c r="R2029" i="1"/>
  <c r="S2029" i="1"/>
  <c r="T2029" i="1"/>
  <c r="U2029" i="1"/>
  <c r="V2029" i="1"/>
  <c r="Q2030" i="1"/>
  <c r="R2030" i="1"/>
  <c r="S2030" i="1"/>
  <c r="T2030" i="1"/>
  <c r="U2030" i="1"/>
  <c r="V2030" i="1"/>
  <c r="Q2031" i="1"/>
  <c r="R2031" i="1"/>
  <c r="S2031" i="1"/>
  <c r="T2031" i="1"/>
  <c r="U2031" i="1"/>
  <c r="V2031" i="1"/>
  <c r="Q2032" i="1"/>
  <c r="R2032" i="1"/>
  <c r="S2032" i="1"/>
  <c r="T2032" i="1"/>
  <c r="U2032" i="1"/>
  <c r="V2032" i="1"/>
  <c r="Q2033" i="1"/>
  <c r="R2033" i="1"/>
  <c r="S2033" i="1"/>
  <c r="T2033" i="1"/>
  <c r="U2033" i="1"/>
  <c r="V2033" i="1"/>
  <c r="Q2034" i="1"/>
  <c r="R2034" i="1"/>
  <c r="S2034" i="1"/>
  <c r="T2034" i="1"/>
  <c r="U2034" i="1"/>
  <c r="V2034" i="1"/>
  <c r="Q2035" i="1"/>
  <c r="R2035" i="1"/>
  <c r="S2035" i="1"/>
  <c r="T2035" i="1"/>
  <c r="U2035" i="1"/>
  <c r="V2035" i="1"/>
  <c r="Q2036" i="1"/>
  <c r="R2036" i="1"/>
  <c r="S2036" i="1"/>
  <c r="T2036" i="1"/>
  <c r="U2036" i="1"/>
  <c r="V2036" i="1"/>
  <c r="Q2037" i="1"/>
  <c r="R2037" i="1"/>
  <c r="S2037" i="1"/>
  <c r="T2037" i="1"/>
  <c r="U2037" i="1"/>
  <c r="V2037" i="1"/>
  <c r="Q2038" i="1"/>
  <c r="R2038" i="1"/>
  <c r="S2038" i="1"/>
  <c r="T2038" i="1"/>
  <c r="U2038" i="1"/>
  <c r="V2038" i="1"/>
  <c r="Q2039" i="1"/>
  <c r="R2039" i="1"/>
  <c r="S2039" i="1"/>
  <c r="T2039" i="1"/>
  <c r="U2039" i="1"/>
  <c r="V2039" i="1"/>
  <c r="Q2040" i="1"/>
  <c r="R2040" i="1"/>
  <c r="S2040" i="1"/>
  <c r="T2040" i="1"/>
  <c r="U2040" i="1"/>
  <c r="V2040" i="1"/>
  <c r="Q2041" i="1"/>
  <c r="R2041" i="1"/>
  <c r="S2041" i="1"/>
  <c r="T2041" i="1"/>
  <c r="U2041" i="1"/>
  <c r="V2041" i="1"/>
  <c r="Q2042" i="1"/>
  <c r="R2042" i="1"/>
  <c r="S2042" i="1"/>
  <c r="T2042" i="1"/>
  <c r="U2042" i="1"/>
  <c r="V2042" i="1"/>
  <c r="Q2043" i="1"/>
  <c r="R2043" i="1"/>
  <c r="S2043" i="1"/>
  <c r="T2043" i="1"/>
  <c r="U2043" i="1"/>
  <c r="V2043" i="1"/>
  <c r="Q2044" i="1"/>
  <c r="R2044" i="1"/>
  <c r="S2044" i="1"/>
  <c r="T2044" i="1"/>
  <c r="U2044" i="1"/>
  <c r="V2044" i="1"/>
  <c r="Q2045" i="1"/>
  <c r="R2045" i="1"/>
  <c r="S2045" i="1"/>
  <c r="T2045" i="1"/>
  <c r="U2045" i="1"/>
  <c r="V2045" i="1"/>
  <c r="Q2046" i="1"/>
  <c r="R2046" i="1"/>
  <c r="S2046" i="1"/>
  <c r="T2046" i="1"/>
  <c r="U2046" i="1"/>
  <c r="V2046" i="1"/>
  <c r="Q2047" i="1"/>
  <c r="R2047" i="1"/>
  <c r="S2047" i="1"/>
  <c r="T2047" i="1"/>
  <c r="U2047" i="1"/>
  <c r="V2047" i="1"/>
  <c r="Q2048" i="1"/>
  <c r="R2048" i="1"/>
  <c r="S2048" i="1"/>
  <c r="T2048" i="1"/>
  <c r="U2048" i="1"/>
  <c r="V2048" i="1"/>
  <c r="Q2049" i="1"/>
  <c r="R2049" i="1"/>
  <c r="S2049" i="1"/>
  <c r="T2049" i="1"/>
  <c r="U2049" i="1"/>
  <c r="V2049" i="1"/>
  <c r="Q2050" i="1"/>
  <c r="R2050" i="1"/>
  <c r="S2050" i="1"/>
  <c r="T2050" i="1"/>
  <c r="U2050" i="1"/>
  <c r="V2050" i="1"/>
  <c r="Q2051" i="1"/>
  <c r="R2051" i="1"/>
  <c r="S2051" i="1"/>
  <c r="T2051" i="1"/>
  <c r="U2051" i="1"/>
  <c r="V2051" i="1"/>
  <c r="Q2052" i="1"/>
  <c r="R2052" i="1"/>
  <c r="S2052" i="1"/>
  <c r="T2052" i="1"/>
  <c r="U2052" i="1"/>
  <c r="V2052" i="1"/>
  <c r="Q2053" i="1"/>
  <c r="R2053" i="1"/>
  <c r="S2053" i="1"/>
  <c r="T2053" i="1"/>
  <c r="U2053" i="1"/>
  <c r="V2053" i="1"/>
  <c r="Q2054" i="1"/>
  <c r="R2054" i="1"/>
  <c r="S2054" i="1"/>
  <c r="T2054" i="1"/>
  <c r="U2054" i="1"/>
  <c r="V2054" i="1"/>
  <c r="Q2055" i="1"/>
  <c r="R2055" i="1"/>
  <c r="S2055" i="1"/>
  <c r="T2055" i="1"/>
  <c r="U2055" i="1"/>
  <c r="V2055" i="1"/>
  <c r="Q2056" i="1"/>
  <c r="R2056" i="1"/>
  <c r="S2056" i="1"/>
  <c r="T2056" i="1"/>
  <c r="U2056" i="1"/>
  <c r="V2056" i="1"/>
  <c r="Q2057" i="1"/>
  <c r="R2057" i="1"/>
  <c r="S2057" i="1"/>
  <c r="T2057" i="1"/>
  <c r="U2057" i="1"/>
  <c r="V2057" i="1"/>
  <c r="Q2058" i="1"/>
  <c r="R2058" i="1"/>
  <c r="S2058" i="1"/>
  <c r="T2058" i="1"/>
  <c r="U2058" i="1"/>
  <c r="V2058" i="1"/>
  <c r="Q2059" i="1"/>
  <c r="R2059" i="1"/>
  <c r="S2059" i="1"/>
  <c r="T2059" i="1"/>
  <c r="U2059" i="1"/>
  <c r="V2059" i="1"/>
  <c r="Q2060" i="1"/>
  <c r="R2060" i="1"/>
  <c r="S2060" i="1"/>
  <c r="T2060" i="1"/>
  <c r="U2060" i="1"/>
  <c r="V2060" i="1"/>
  <c r="Q2061" i="1"/>
  <c r="R2061" i="1"/>
  <c r="S2061" i="1"/>
  <c r="T2061" i="1"/>
  <c r="U2061" i="1"/>
  <c r="V2061" i="1"/>
  <c r="Q2062" i="1"/>
  <c r="R2062" i="1"/>
  <c r="S2062" i="1"/>
  <c r="T2062" i="1"/>
  <c r="U2062" i="1"/>
  <c r="V2062" i="1"/>
  <c r="Q2063" i="1"/>
  <c r="R2063" i="1"/>
  <c r="S2063" i="1"/>
  <c r="T2063" i="1"/>
  <c r="U2063" i="1"/>
  <c r="V2063" i="1"/>
  <c r="Q2064" i="1"/>
  <c r="R2064" i="1"/>
  <c r="S2064" i="1"/>
  <c r="T2064" i="1"/>
  <c r="U2064" i="1"/>
  <c r="V2064" i="1"/>
  <c r="Q2065" i="1"/>
  <c r="R2065" i="1"/>
  <c r="S2065" i="1"/>
  <c r="T2065" i="1"/>
  <c r="U2065" i="1"/>
  <c r="V2065" i="1"/>
  <c r="Q2066" i="1"/>
  <c r="R2066" i="1"/>
  <c r="S2066" i="1"/>
  <c r="T2066" i="1"/>
  <c r="U2066" i="1"/>
  <c r="V2066" i="1"/>
  <c r="Q2067" i="1"/>
  <c r="R2067" i="1"/>
  <c r="S2067" i="1"/>
  <c r="T2067" i="1"/>
  <c r="U2067" i="1"/>
  <c r="V2067" i="1"/>
  <c r="Q2068" i="1"/>
  <c r="R2068" i="1"/>
  <c r="S2068" i="1"/>
  <c r="T2068" i="1"/>
  <c r="U2068" i="1"/>
  <c r="V2068" i="1"/>
  <c r="Q2069" i="1"/>
  <c r="R2069" i="1"/>
  <c r="S2069" i="1"/>
  <c r="T2069" i="1"/>
  <c r="U2069" i="1"/>
  <c r="V2069" i="1"/>
  <c r="Q2070" i="1"/>
  <c r="R2070" i="1"/>
  <c r="S2070" i="1"/>
  <c r="T2070" i="1"/>
  <c r="U2070" i="1"/>
  <c r="V2070" i="1"/>
  <c r="Q2071" i="1"/>
  <c r="R2071" i="1"/>
  <c r="S2071" i="1"/>
  <c r="T2071" i="1"/>
  <c r="U2071" i="1"/>
  <c r="V2071" i="1"/>
  <c r="Q2072" i="1"/>
  <c r="R2072" i="1"/>
  <c r="S2072" i="1"/>
  <c r="T2072" i="1"/>
  <c r="U2072" i="1"/>
  <c r="V2072" i="1"/>
  <c r="Q2073" i="1"/>
  <c r="R2073" i="1"/>
  <c r="S2073" i="1"/>
  <c r="T2073" i="1"/>
  <c r="U2073" i="1"/>
  <c r="V2073" i="1"/>
  <c r="Q2074" i="1"/>
  <c r="R2074" i="1"/>
  <c r="S2074" i="1"/>
  <c r="T2074" i="1"/>
  <c r="U2074" i="1"/>
  <c r="V2074" i="1"/>
  <c r="Q2075" i="1"/>
  <c r="R2075" i="1"/>
  <c r="S2075" i="1"/>
  <c r="T2075" i="1"/>
  <c r="U2075" i="1"/>
  <c r="V2075" i="1"/>
  <c r="Q2076" i="1"/>
  <c r="R2076" i="1"/>
  <c r="S2076" i="1"/>
  <c r="T2076" i="1"/>
  <c r="U2076" i="1"/>
  <c r="V2076" i="1"/>
  <c r="Q2077" i="1"/>
  <c r="R2077" i="1"/>
  <c r="S2077" i="1"/>
  <c r="T2077" i="1"/>
  <c r="U2077" i="1"/>
  <c r="V2077" i="1"/>
  <c r="Q2078" i="1"/>
  <c r="R2078" i="1"/>
  <c r="S2078" i="1"/>
  <c r="T2078" i="1"/>
  <c r="U2078" i="1"/>
  <c r="V2078" i="1"/>
  <c r="Q2079" i="1"/>
  <c r="R2079" i="1"/>
  <c r="S2079" i="1"/>
  <c r="T2079" i="1"/>
  <c r="U2079" i="1"/>
  <c r="V2079" i="1"/>
  <c r="Q2080" i="1"/>
  <c r="R2080" i="1"/>
  <c r="S2080" i="1"/>
  <c r="T2080" i="1"/>
  <c r="U2080" i="1"/>
  <c r="V2080" i="1"/>
  <c r="Q2081" i="1"/>
  <c r="R2081" i="1"/>
  <c r="S2081" i="1"/>
  <c r="T2081" i="1"/>
  <c r="U2081" i="1"/>
  <c r="V2081" i="1"/>
  <c r="Q2082" i="1"/>
  <c r="R2082" i="1"/>
  <c r="S2082" i="1"/>
  <c r="T2082" i="1"/>
  <c r="U2082" i="1"/>
  <c r="V2082" i="1"/>
  <c r="Q2083" i="1"/>
  <c r="R2083" i="1"/>
  <c r="S2083" i="1"/>
  <c r="T2083" i="1"/>
  <c r="U2083" i="1"/>
  <c r="V2083" i="1"/>
  <c r="Q2084" i="1"/>
  <c r="R2084" i="1"/>
  <c r="S2084" i="1"/>
  <c r="T2084" i="1"/>
  <c r="U2084" i="1"/>
  <c r="V2084" i="1"/>
  <c r="Q2085" i="1"/>
  <c r="R2085" i="1"/>
  <c r="S2085" i="1"/>
  <c r="T2085" i="1"/>
  <c r="U2085" i="1"/>
  <c r="V2085" i="1"/>
  <c r="Q2086" i="1"/>
  <c r="R2086" i="1"/>
  <c r="S2086" i="1"/>
  <c r="T2086" i="1"/>
  <c r="U2086" i="1"/>
  <c r="V2086" i="1"/>
  <c r="Q2087" i="1"/>
  <c r="R2087" i="1"/>
  <c r="S2087" i="1"/>
  <c r="T2087" i="1"/>
  <c r="U2087" i="1"/>
  <c r="V2087" i="1"/>
  <c r="Q2088" i="1"/>
  <c r="R2088" i="1"/>
  <c r="S2088" i="1"/>
  <c r="T2088" i="1"/>
  <c r="U2088" i="1"/>
  <c r="V2088" i="1"/>
  <c r="Q2089" i="1"/>
  <c r="R2089" i="1"/>
  <c r="S2089" i="1"/>
  <c r="T2089" i="1"/>
  <c r="U2089" i="1"/>
  <c r="V2089" i="1"/>
  <c r="Q2090" i="1"/>
  <c r="R2090" i="1"/>
  <c r="S2090" i="1"/>
  <c r="T2090" i="1"/>
  <c r="U2090" i="1"/>
  <c r="V2090" i="1"/>
  <c r="Q2091" i="1"/>
  <c r="R2091" i="1"/>
  <c r="S2091" i="1"/>
  <c r="T2091" i="1"/>
  <c r="U2091" i="1"/>
  <c r="V2091" i="1"/>
  <c r="Q2092" i="1"/>
  <c r="R2092" i="1"/>
  <c r="S2092" i="1"/>
  <c r="T2092" i="1"/>
  <c r="U2092" i="1"/>
  <c r="V2092" i="1"/>
  <c r="Q2093" i="1"/>
  <c r="R2093" i="1"/>
  <c r="S2093" i="1"/>
  <c r="T2093" i="1"/>
  <c r="U2093" i="1"/>
  <c r="V2093" i="1"/>
  <c r="Q2094" i="1"/>
  <c r="R2094" i="1"/>
  <c r="S2094" i="1"/>
  <c r="T2094" i="1"/>
  <c r="U2094" i="1"/>
  <c r="V2094" i="1"/>
  <c r="Q2095" i="1"/>
  <c r="R2095" i="1"/>
  <c r="S2095" i="1"/>
  <c r="T2095" i="1"/>
  <c r="U2095" i="1"/>
  <c r="V2095" i="1"/>
  <c r="Q2096" i="1"/>
  <c r="R2096" i="1"/>
  <c r="S2096" i="1"/>
  <c r="T2096" i="1"/>
  <c r="U2096" i="1"/>
  <c r="V2096" i="1"/>
  <c r="Q2097" i="1"/>
  <c r="R2097" i="1"/>
  <c r="S2097" i="1"/>
  <c r="T2097" i="1"/>
  <c r="U2097" i="1"/>
  <c r="V2097" i="1"/>
  <c r="Q2098" i="1"/>
  <c r="R2098" i="1"/>
  <c r="S2098" i="1"/>
  <c r="T2098" i="1"/>
  <c r="U2098" i="1"/>
  <c r="V2098" i="1"/>
  <c r="Q2099" i="1"/>
  <c r="R2099" i="1"/>
  <c r="S2099" i="1"/>
  <c r="T2099" i="1"/>
  <c r="U2099" i="1"/>
  <c r="V2099" i="1"/>
  <c r="Q2100" i="1"/>
  <c r="R2100" i="1"/>
  <c r="S2100" i="1"/>
  <c r="T2100" i="1"/>
  <c r="U2100" i="1"/>
  <c r="V2100" i="1"/>
  <c r="Q2101" i="1"/>
  <c r="R2101" i="1"/>
  <c r="S2101" i="1"/>
  <c r="T2101" i="1"/>
  <c r="U2101" i="1"/>
  <c r="V2101" i="1"/>
  <c r="Q2102" i="1"/>
  <c r="R2102" i="1"/>
  <c r="S2102" i="1"/>
  <c r="T2102" i="1"/>
  <c r="U2102" i="1"/>
  <c r="V2102" i="1"/>
  <c r="Q2103" i="1"/>
  <c r="R2103" i="1"/>
  <c r="S2103" i="1"/>
  <c r="T2103" i="1"/>
  <c r="U2103" i="1"/>
  <c r="V2103" i="1"/>
  <c r="Q2104" i="1"/>
  <c r="R2104" i="1"/>
  <c r="S2104" i="1"/>
  <c r="T2104" i="1"/>
  <c r="U2104" i="1"/>
  <c r="V2104" i="1"/>
  <c r="Q2105" i="1"/>
  <c r="R2105" i="1"/>
  <c r="S2105" i="1"/>
  <c r="T2105" i="1"/>
  <c r="U2105" i="1"/>
  <c r="V2105" i="1"/>
  <c r="Q2106" i="1"/>
  <c r="R2106" i="1"/>
  <c r="S2106" i="1"/>
  <c r="T2106" i="1"/>
  <c r="U2106" i="1"/>
  <c r="V2106" i="1"/>
  <c r="Q2107" i="1"/>
  <c r="R2107" i="1"/>
  <c r="S2107" i="1"/>
  <c r="T2107" i="1"/>
  <c r="U2107" i="1"/>
  <c r="V2107" i="1"/>
  <c r="Q2108" i="1"/>
  <c r="R2108" i="1"/>
  <c r="S2108" i="1"/>
  <c r="T2108" i="1"/>
  <c r="U2108" i="1"/>
  <c r="V2108" i="1"/>
  <c r="Q2109" i="1"/>
  <c r="R2109" i="1"/>
  <c r="S2109" i="1"/>
  <c r="T2109" i="1"/>
  <c r="U2109" i="1"/>
  <c r="V2109" i="1"/>
  <c r="Q2110" i="1"/>
  <c r="R2110" i="1"/>
  <c r="S2110" i="1"/>
  <c r="T2110" i="1"/>
  <c r="U2110" i="1"/>
  <c r="V2110" i="1"/>
  <c r="Q2111" i="1"/>
  <c r="R2111" i="1"/>
  <c r="S2111" i="1"/>
  <c r="T2111" i="1"/>
  <c r="U2111" i="1"/>
  <c r="V2111" i="1"/>
  <c r="Q2112" i="1"/>
  <c r="R2112" i="1"/>
  <c r="S2112" i="1"/>
  <c r="T2112" i="1"/>
  <c r="U2112" i="1"/>
  <c r="V2112" i="1"/>
  <c r="Q2113" i="1"/>
  <c r="R2113" i="1"/>
  <c r="S2113" i="1"/>
  <c r="T2113" i="1"/>
  <c r="U2113" i="1"/>
  <c r="V2113" i="1"/>
  <c r="Q2114" i="1"/>
  <c r="R2114" i="1"/>
  <c r="S2114" i="1"/>
  <c r="T2114" i="1"/>
  <c r="U2114" i="1"/>
  <c r="V2114" i="1"/>
  <c r="Q2115" i="1"/>
  <c r="R2115" i="1"/>
  <c r="S2115" i="1"/>
  <c r="T2115" i="1"/>
  <c r="U2115" i="1"/>
  <c r="V2115" i="1"/>
  <c r="Q2116" i="1"/>
  <c r="R2116" i="1"/>
  <c r="S2116" i="1"/>
  <c r="T2116" i="1"/>
  <c r="U2116" i="1"/>
  <c r="V2116" i="1"/>
  <c r="Q2117" i="1"/>
  <c r="R2117" i="1"/>
  <c r="S2117" i="1"/>
  <c r="T2117" i="1"/>
  <c r="U2117" i="1"/>
  <c r="V2117" i="1"/>
  <c r="Q2118" i="1"/>
  <c r="R2118" i="1"/>
  <c r="S2118" i="1"/>
  <c r="T2118" i="1"/>
  <c r="U2118" i="1"/>
  <c r="V2118" i="1"/>
  <c r="Q2119" i="1"/>
  <c r="R2119" i="1"/>
  <c r="S2119" i="1"/>
  <c r="T2119" i="1"/>
  <c r="U2119" i="1"/>
  <c r="V2119" i="1"/>
  <c r="Q2120" i="1"/>
  <c r="R2120" i="1"/>
  <c r="S2120" i="1"/>
  <c r="T2120" i="1"/>
  <c r="U2120" i="1"/>
  <c r="V2120" i="1"/>
  <c r="Q2121" i="1"/>
  <c r="R2121" i="1"/>
  <c r="S2121" i="1"/>
  <c r="T2121" i="1"/>
  <c r="U2121" i="1"/>
  <c r="V2121" i="1"/>
  <c r="Q2122" i="1"/>
  <c r="R2122" i="1"/>
  <c r="S2122" i="1"/>
  <c r="T2122" i="1"/>
  <c r="U2122" i="1"/>
  <c r="V2122" i="1"/>
  <c r="Q2123" i="1"/>
  <c r="R2123" i="1"/>
  <c r="S2123" i="1"/>
  <c r="T2123" i="1"/>
  <c r="U2123" i="1"/>
  <c r="V2123" i="1"/>
  <c r="Q2124" i="1"/>
  <c r="R2124" i="1"/>
  <c r="S2124" i="1"/>
  <c r="T2124" i="1"/>
  <c r="U2124" i="1"/>
  <c r="V2124" i="1"/>
  <c r="Q2125" i="1"/>
  <c r="R2125" i="1"/>
  <c r="S2125" i="1"/>
  <c r="T2125" i="1"/>
  <c r="U2125" i="1"/>
  <c r="V2125" i="1"/>
  <c r="Q2126" i="1"/>
  <c r="R2126" i="1"/>
  <c r="S2126" i="1"/>
  <c r="T2126" i="1"/>
  <c r="U2126" i="1"/>
  <c r="V2126" i="1"/>
  <c r="Q2127" i="1"/>
  <c r="R2127" i="1"/>
  <c r="S2127" i="1"/>
  <c r="T2127" i="1"/>
  <c r="U2127" i="1"/>
  <c r="V2127" i="1"/>
  <c r="Q2128" i="1"/>
  <c r="R2128" i="1"/>
  <c r="S2128" i="1"/>
  <c r="T2128" i="1"/>
  <c r="U2128" i="1"/>
  <c r="V2128" i="1"/>
  <c r="Q2129" i="1"/>
  <c r="R2129" i="1"/>
  <c r="S2129" i="1"/>
  <c r="T2129" i="1"/>
  <c r="U2129" i="1"/>
  <c r="V2129" i="1"/>
  <c r="Q2130" i="1"/>
  <c r="R2130" i="1"/>
  <c r="S2130" i="1"/>
  <c r="T2130" i="1"/>
  <c r="U2130" i="1"/>
  <c r="V2130" i="1"/>
  <c r="Q2131" i="1"/>
  <c r="R2131" i="1"/>
  <c r="S2131" i="1"/>
  <c r="T2131" i="1"/>
  <c r="U2131" i="1"/>
  <c r="V2131" i="1"/>
  <c r="Q2132" i="1"/>
  <c r="R2132" i="1"/>
  <c r="S2132" i="1"/>
  <c r="T2132" i="1"/>
  <c r="U2132" i="1"/>
  <c r="V2132" i="1"/>
  <c r="Q2133" i="1"/>
  <c r="R2133" i="1"/>
  <c r="S2133" i="1"/>
  <c r="T2133" i="1"/>
  <c r="U2133" i="1"/>
  <c r="V2133" i="1"/>
  <c r="Q2134" i="1"/>
  <c r="R2134" i="1"/>
  <c r="S2134" i="1"/>
  <c r="T2134" i="1"/>
  <c r="U2134" i="1"/>
  <c r="V2134" i="1"/>
  <c r="Q2135" i="1"/>
  <c r="R2135" i="1"/>
  <c r="S2135" i="1"/>
  <c r="T2135" i="1"/>
  <c r="U2135" i="1"/>
  <c r="V2135" i="1"/>
  <c r="Q2136" i="1"/>
  <c r="R2136" i="1"/>
  <c r="S2136" i="1"/>
  <c r="T2136" i="1"/>
  <c r="U2136" i="1"/>
  <c r="V2136" i="1"/>
  <c r="Q2137" i="1"/>
  <c r="R2137" i="1"/>
  <c r="S2137" i="1"/>
  <c r="T2137" i="1"/>
  <c r="U2137" i="1"/>
  <c r="V2137" i="1"/>
  <c r="Q2138" i="1"/>
  <c r="R2138" i="1"/>
  <c r="S2138" i="1"/>
  <c r="T2138" i="1"/>
  <c r="U2138" i="1"/>
  <c r="V2138" i="1"/>
  <c r="Q2139" i="1"/>
  <c r="R2139" i="1"/>
  <c r="S2139" i="1"/>
  <c r="T2139" i="1"/>
  <c r="U2139" i="1"/>
  <c r="V2139" i="1"/>
  <c r="Q2140" i="1"/>
  <c r="R2140" i="1"/>
  <c r="S2140" i="1"/>
  <c r="T2140" i="1"/>
  <c r="U2140" i="1"/>
  <c r="V2140" i="1"/>
  <c r="Q2141" i="1"/>
  <c r="R2141" i="1"/>
  <c r="S2141" i="1"/>
  <c r="T2141" i="1"/>
  <c r="U2141" i="1"/>
  <c r="V2141" i="1"/>
  <c r="Q2142" i="1"/>
  <c r="R2142" i="1"/>
  <c r="S2142" i="1"/>
  <c r="T2142" i="1"/>
  <c r="U2142" i="1"/>
  <c r="V2142" i="1"/>
  <c r="Q2143" i="1"/>
  <c r="R2143" i="1"/>
  <c r="S2143" i="1"/>
  <c r="T2143" i="1"/>
  <c r="U2143" i="1"/>
  <c r="V2143" i="1"/>
  <c r="Q2144" i="1"/>
  <c r="R2144" i="1"/>
  <c r="S2144" i="1"/>
  <c r="T2144" i="1"/>
  <c r="U2144" i="1"/>
  <c r="V2144" i="1"/>
  <c r="Q2145" i="1"/>
  <c r="R2145" i="1"/>
  <c r="S2145" i="1"/>
  <c r="T2145" i="1"/>
  <c r="U2145" i="1"/>
  <c r="V2145" i="1"/>
  <c r="Q2146" i="1"/>
  <c r="R2146" i="1"/>
  <c r="S2146" i="1"/>
  <c r="T2146" i="1"/>
  <c r="U2146" i="1"/>
  <c r="V2146" i="1"/>
  <c r="Q2147" i="1"/>
  <c r="R2147" i="1"/>
  <c r="S2147" i="1"/>
  <c r="T2147" i="1"/>
  <c r="U2147" i="1"/>
  <c r="V2147" i="1"/>
  <c r="Q2148" i="1"/>
  <c r="R2148" i="1"/>
  <c r="S2148" i="1"/>
  <c r="T2148" i="1"/>
  <c r="U2148" i="1"/>
  <c r="V2148" i="1"/>
  <c r="Q2149" i="1"/>
  <c r="R2149" i="1"/>
  <c r="S2149" i="1"/>
  <c r="T2149" i="1"/>
  <c r="U2149" i="1"/>
  <c r="V2149" i="1"/>
  <c r="Q2150" i="1"/>
  <c r="R2150" i="1"/>
  <c r="S2150" i="1"/>
  <c r="T2150" i="1"/>
  <c r="U2150" i="1"/>
  <c r="V2150" i="1"/>
  <c r="Q2151" i="1"/>
  <c r="R2151" i="1"/>
  <c r="S2151" i="1"/>
  <c r="T2151" i="1"/>
  <c r="U2151" i="1"/>
  <c r="V2151" i="1"/>
  <c r="Q2152" i="1"/>
  <c r="R2152" i="1"/>
  <c r="S2152" i="1"/>
  <c r="T2152" i="1"/>
  <c r="U2152" i="1"/>
  <c r="V2152" i="1"/>
  <c r="Q2153" i="1"/>
  <c r="R2153" i="1"/>
  <c r="S2153" i="1"/>
  <c r="T2153" i="1"/>
  <c r="U2153" i="1"/>
  <c r="V2153" i="1"/>
  <c r="Q2154" i="1"/>
  <c r="R2154" i="1"/>
  <c r="S2154" i="1"/>
  <c r="T2154" i="1"/>
  <c r="U2154" i="1"/>
  <c r="V2154" i="1"/>
  <c r="Q2155" i="1"/>
  <c r="R2155" i="1"/>
  <c r="S2155" i="1"/>
  <c r="T2155" i="1"/>
  <c r="U2155" i="1"/>
  <c r="V2155" i="1"/>
  <c r="Q2156" i="1"/>
  <c r="R2156" i="1"/>
  <c r="S2156" i="1"/>
  <c r="T2156" i="1"/>
  <c r="U2156" i="1"/>
  <c r="V2156" i="1"/>
  <c r="Q2157" i="1"/>
  <c r="R2157" i="1"/>
  <c r="S2157" i="1"/>
  <c r="T2157" i="1"/>
  <c r="U2157" i="1"/>
  <c r="V2157" i="1"/>
  <c r="Q2158" i="1"/>
  <c r="R2158" i="1"/>
  <c r="S2158" i="1"/>
  <c r="T2158" i="1"/>
  <c r="U2158" i="1"/>
  <c r="V2158" i="1"/>
  <c r="Q2159" i="1"/>
  <c r="R2159" i="1"/>
  <c r="S2159" i="1"/>
  <c r="T2159" i="1"/>
  <c r="U2159" i="1"/>
  <c r="V2159" i="1"/>
  <c r="Q2160" i="1"/>
  <c r="R2160" i="1"/>
  <c r="S2160" i="1"/>
  <c r="T2160" i="1"/>
  <c r="U2160" i="1"/>
  <c r="V2160" i="1"/>
  <c r="Q2161" i="1"/>
  <c r="R2161" i="1"/>
  <c r="S2161" i="1"/>
  <c r="T2161" i="1"/>
  <c r="U2161" i="1"/>
  <c r="V2161" i="1"/>
  <c r="Q2162" i="1"/>
  <c r="R2162" i="1"/>
  <c r="S2162" i="1"/>
  <c r="T2162" i="1"/>
  <c r="U2162" i="1"/>
  <c r="V2162" i="1"/>
  <c r="Q2163" i="1"/>
  <c r="R2163" i="1"/>
  <c r="S2163" i="1"/>
  <c r="T2163" i="1"/>
  <c r="U2163" i="1"/>
  <c r="V2163" i="1"/>
  <c r="Q2164" i="1"/>
  <c r="R2164" i="1"/>
  <c r="S2164" i="1"/>
  <c r="T2164" i="1"/>
  <c r="U2164" i="1"/>
  <c r="V2164" i="1"/>
  <c r="Q2165" i="1"/>
  <c r="R2165" i="1"/>
  <c r="S2165" i="1"/>
  <c r="T2165" i="1"/>
  <c r="U2165" i="1"/>
  <c r="V2165" i="1"/>
  <c r="Q2166" i="1"/>
  <c r="R2166" i="1"/>
  <c r="S2166" i="1"/>
  <c r="T2166" i="1"/>
  <c r="U2166" i="1"/>
  <c r="V2166" i="1"/>
  <c r="Q2167" i="1"/>
  <c r="R2167" i="1"/>
  <c r="S2167" i="1"/>
  <c r="T2167" i="1"/>
  <c r="U2167" i="1"/>
  <c r="V2167" i="1"/>
  <c r="Q2168" i="1"/>
  <c r="R2168" i="1"/>
  <c r="S2168" i="1"/>
  <c r="T2168" i="1"/>
  <c r="U2168" i="1"/>
  <c r="V2168" i="1"/>
  <c r="Q2169" i="1"/>
  <c r="R2169" i="1"/>
  <c r="S2169" i="1"/>
  <c r="T2169" i="1"/>
  <c r="U2169" i="1"/>
  <c r="V2169" i="1"/>
  <c r="Q2170" i="1"/>
  <c r="R2170" i="1"/>
  <c r="S2170" i="1"/>
  <c r="T2170" i="1"/>
  <c r="U2170" i="1"/>
  <c r="V2170" i="1"/>
  <c r="Q2171" i="1"/>
  <c r="R2171" i="1"/>
  <c r="S2171" i="1"/>
  <c r="T2171" i="1"/>
  <c r="U2171" i="1"/>
  <c r="V2171" i="1"/>
  <c r="Q2172" i="1"/>
  <c r="R2172" i="1"/>
  <c r="S2172" i="1"/>
  <c r="T2172" i="1"/>
  <c r="U2172" i="1"/>
  <c r="V2172" i="1"/>
  <c r="Q2173" i="1"/>
  <c r="R2173" i="1"/>
  <c r="S2173" i="1"/>
  <c r="T2173" i="1"/>
  <c r="U2173" i="1"/>
  <c r="V2173" i="1"/>
  <c r="Q2174" i="1"/>
  <c r="R2174" i="1"/>
  <c r="S2174" i="1"/>
  <c r="T2174" i="1"/>
  <c r="U2174" i="1"/>
  <c r="V2174" i="1"/>
  <c r="Q2175" i="1"/>
  <c r="R2175" i="1"/>
  <c r="S2175" i="1"/>
  <c r="T2175" i="1"/>
  <c r="U2175" i="1"/>
  <c r="V2175" i="1"/>
  <c r="Q2176" i="1"/>
  <c r="R2176" i="1"/>
  <c r="S2176" i="1"/>
  <c r="T2176" i="1"/>
  <c r="U2176" i="1"/>
  <c r="V2176" i="1"/>
  <c r="Q2177" i="1"/>
  <c r="R2177" i="1"/>
  <c r="S2177" i="1"/>
  <c r="T2177" i="1"/>
  <c r="U2177" i="1"/>
  <c r="V2177" i="1"/>
  <c r="Q2178" i="1"/>
  <c r="R2178" i="1"/>
  <c r="S2178" i="1"/>
  <c r="T2178" i="1"/>
  <c r="U2178" i="1"/>
  <c r="V2178" i="1"/>
  <c r="Q2179" i="1"/>
  <c r="R2179" i="1"/>
  <c r="S2179" i="1"/>
  <c r="T2179" i="1"/>
  <c r="U2179" i="1"/>
  <c r="V2179" i="1"/>
  <c r="Q2180" i="1"/>
  <c r="R2180" i="1"/>
  <c r="S2180" i="1"/>
  <c r="T2180" i="1"/>
  <c r="U2180" i="1"/>
  <c r="V2180" i="1"/>
  <c r="Q2181" i="1"/>
  <c r="R2181" i="1"/>
  <c r="S2181" i="1"/>
  <c r="T2181" i="1"/>
  <c r="U2181" i="1"/>
  <c r="V2181" i="1"/>
  <c r="Q2182" i="1"/>
  <c r="R2182" i="1"/>
  <c r="S2182" i="1"/>
  <c r="T2182" i="1"/>
  <c r="U2182" i="1"/>
  <c r="V2182" i="1"/>
  <c r="Q2183" i="1"/>
  <c r="R2183" i="1"/>
  <c r="S2183" i="1"/>
  <c r="T2183" i="1"/>
  <c r="U2183" i="1"/>
  <c r="V2183" i="1"/>
  <c r="Q2184" i="1"/>
  <c r="R2184" i="1"/>
  <c r="S2184" i="1"/>
  <c r="T2184" i="1"/>
  <c r="U2184" i="1"/>
  <c r="V2184" i="1"/>
  <c r="Q2185" i="1"/>
  <c r="R2185" i="1"/>
  <c r="S2185" i="1"/>
  <c r="T2185" i="1"/>
  <c r="U2185" i="1"/>
  <c r="V2185" i="1"/>
  <c r="Q2186" i="1"/>
  <c r="R2186" i="1"/>
  <c r="S2186" i="1"/>
  <c r="T2186" i="1"/>
  <c r="U2186" i="1"/>
  <c r="V2186" i="1"/>
  <c r="Q2187" i="1"/>
  <c r="R2187" i="1"/>
  <c r="S2187" i="1"/>
  <c r="T2187" i="1"/>
  <c r="U2187" i="1"/>
  <c r="V2187" i="1"/>
  <c r="Q2188" i="1"/>
  <c r="R2188" i="1"/>
  <c r="S2188" i="1"/>
  <c r="T2188" i="1"/>
  <c r="U2188" i="1"/>
  <c r="V2188" i="1"/>
  <c r="Q2189" i="1"/>
  <c r="R2189" i="1"/>
  <c r="S2189" i="1"/>
  <c r="T2189" i="1"/>
  <c r="U2189" i="1"/>
  <c r="V2189" i="1"/>
  <c r="Q2190" i="1"/>
  <c r="R2190" i="1"/>
  <c r="S2190" i="1"/>
  <c r="T2190" i="1"/>
  <c r="U2190" i="1"/>
  <c r="V2190" i="1"/>
  <c r="Q2191" i="1"/>
  <c r="R2191" i="1"/>
  <c r="S2191" i="1"/>
  <c r="T2191" i="1"/>
  <c r="U2191" i="1"/>
  <c r="V2191" i="1"/>
  <c r="Q2192" i="1"/>
  <c r="R2192" i="1"/>
  <c r="S2192" i="1"/>
  <c r="T2192" i="1"/>
  <c r="U2192" i="1"/>
  <c r="V2192" i="1"/>
  <c r="Q2193" i="1"/>
  <c r="R2193" i="1"/>
  <c r="S2193" i="1"/>
  <c r="T2193" i="1"/>
  <c r="U2193" i="1"/>
  <c r="V2193" i="1"/>
  <c r="Q2194" i="1"/>
  <c r="R2194" i="1"/>
  <c r="S2194" i="1"/>
  <c r="T2194" i="1"/>
  <c r="U2194" i="1"/>
  <c r="V2194" i="1"/>
  <c r="Q2195" i="1"/>
  <c r="R2195" i="1"/>
  <c r="S2195" i="1"/>
  <c r="T2195" i="1"/>
  <c r="U2195" i="1"/>
  <c r="V2195" i="1"/>
  <c r="Q2196" i="1"/>
  <c r="R2196" i="1"/>
  <c r="S2196" i="1"/>
  <c r="T2196" i="1"/>
  <c r="U2196" i="1"/>
  <c r="V2196" i="1"/>
  <c r="Q2197" i="1"/>
  <c r="R2197" i="1"/>
  <c r="S2197" i="1"/>
  <c r="T2197" i="1"/>
  <c r="U2197" i="1"/>
  <c r="V2197" i="1"/>
  <c r="Q2198" i="1"/>
  <c r="R2198" i="1"/>
  <c r="S2198" i="1"/>
  <c r="T2198" i="1"/>
  <c r="U2198" i="1"/>
  <c r="V2198" i="1"/>
  <c r="Q2199" i="1"/>
  <c r="R2199" i="1"/>
  <c r="S2199" i="1"/>
  <c r="T2199" i="1"/>
  <c r="U2199" i="1"/>
  <c r="V2199" i="1"/>
  <c r="Q2200" i="1"/>
  <c r="R2200" i="1"/>
  <c r="S2200" i="1"/>
  <c r="T2200" i="1"/>
  <c r="U2200" i="1"/>
  <c r="V2200" i="1"/>
  <c r="Q2201" i="1"/>
  <c r="R2201" i="1"/>
  <c r="S2201" i="1"/>
  <c r="T2201" i="1"/>
  <c r="U2201" i="1"/>
  <c r="V2201" i="1"/>
  <c r="Q2202" i="1"/>
  <c r="R2202" i="1"/>
  <c r="S2202" i="1"/>
  <c r="T2202" i="1"/>
  <c r="U2202" i="1"/>
  <c r="V2202" i="1"/>
  <c r="Q2203" i="1"/>
  <c r="R2203" i="1"/>
  <c r="S2203" i="1"/>
  <c r="T2203" i="1"/>
  <c r="U2203" i="1"/>
  <c r="V2203" i="1"/>
  <c r="Q2204" i="1"/>
  <c r="R2204" i="1"/>
  <c r="S2204" i="1"/>
  <c r="T2204" i="1"/>
  <c r="U2204" i="1"/>
  <c r="V2204" i="1"/>
  <c r="Q2205" i="1"/>
  <c r="R2205" i="1"/>
  <c r="S2205" i="1"/>
  <c r="T2205" i="1"/>
  <c r="U2205" i="1"/>
  <c r="V2205" i="1"/>
  <c r="Q2206" i="1"/>
  <c r="R2206" i="1"/>
  <c r="S2206" i="1"/>
  <c r="T2206" i="1"/>
  <c r="U2206" i="1"/>
  <c r="V2206" i="1"/>
  <c r="Q2207" i="1"/>
  <c r="R2207" i="1"/>
  <c r="S2207" i="1"/>
  <c r="T2207" i="1"/>
  <c r="U2207" i="1"/>
  <c r="V2207" i="1"/>
  <c r="Q2208" i="1"/>
  <c r="R2208" i="1"/>
  <c r="S2208" i="1"/>
  <c r="T2208" i="1"/>
  <c r="U2208" i="1"/>
  <c r="V2208" i="1"/>
  <c r="Q2209" i="1"/>
  <c r="R2209" i="1"/>
  <c r="S2209" i="1"/>
  <c r="T2209" i="1"/>
  <c r="U2209" i="1"/>
  <c r="V2209" i="1"/>
  <c r="Q2210" i="1"/>
  <c r="R2210" i="1"/>
  <c r="S2210" i="1"/>
  <c r="T2210" i="1"/>
  <c r="U2210" i="1"/>
  <c r="V2210" i="1"/>
  <c r="Q2211" i="1"/>
  <c r="R2211" i="1"/>
  <c r="S2211" i="1"/>
  <c r="T2211" i="1"/>
  <c r="U2211" i="1"/>
  <c r="V2211" i="1"/>
  <c r="Q2212" i="1"/>
  <c r="R2212" i="1"/>
  <c r="S2212" i="1"/>
  <c r="T2212" i="1"/>
  <c r="U2212" i="1"/>
  <c r="V2212" i="1"/>
  <c r="Q2213" i="1"/>
  <c r="R2213" i="1"/>
  <c r="S2213" i="1"/>
  <c r="T2213" i="1"/>
  <c r="U2213" i="1"/>
  <c r="V2213" i="1"/>
  <c r="Q2214" i="1"/>
  <c r="R2214" i="1"/>
  <c r="S2214" i="1"/>
  <c r="T2214" i="1"/>
  <c r="U2214" i="1"/>
  <c r="V2214" i="1"/>
  <c r="Q2215" i="1"/>
  <c r="R2215" i="1"/>
  <c r="S2215" i="1"/>
  <c r="T2215" i="1"/>
  <c r="U2215" i="1"/>
  <c r="V2215" i="1"/>
  <c r="Q2216" i="1"/>
  <c r="R2216" i="1"/>
  <c r="S2216" i="1"/>
  <c r="T2216" i="1"/>
  <c r="U2216" i="1"/>
  <c r="V2216" i="1"/>
  <c r="Q2217" i="1"/>
  <c r="R2217" i="1"/>
  <c r="S2217" i="1"/>
  <c r="T2217" i="1"/>
  <c r="U2217" i="1"/>
  <c r="V2217" i="1"/>
  <c r="Q2218" i="1"/>
  <c r="R2218" i="1"/>
  <c r="S2218" i="1"/>
  <c r="T2218" i="1"/>
  <c r="U2218" i="1"/>
  <c r="V2218" i="1"/>
  <c r="Q2219" i="1"/>
  <c r="R2219" i="1"/>
  <c r="S2219" i="1"/>
  <c r="T2219" i="1"/>
  <c r="U2219" i="1"/>
  <c r="V2219" i="1"/>
  <c r="Q2220" i="1"/>
  <c r="R2220" i="1"/>
  <c r="S2220" i="1"/>
  <c r="T2220" i="1"/>
  <c r="U2220" i="1"/>
  <c r="V2220" i="1"/>
  <c r="Q2221" i="1"/>
  <c r="R2221" i="1"/>
  <c r="S2221" i="1"/>
  <c r="T2221" i="1"/>
  <c r="U2221" i="1"/>
  <c r="V2221" i="1"/>
  <c r="Q2222" i="1"/>
  <c r="R2222" i="1"/>
  <c r="S2222" i="1"/>
  <c r="T2222" i="1"/>
  <c r="U2222" i="1"/>
  <c r="V2222" i="1"/>
  <c r="Q2223" i="1"/>
  <c r="R2223" i="1"/>
  <c r="S2223" i="1"/>
  <c r="T2223" i="1"/>
  <c r="U2223" i="1"/>
  <c r="V2223" i="1"/>
  <c r="Q2224" i="1"/>
  <c r="R2224" i="1"/>
  <c r="S2224" i="1"/>
  <c r="T2224" i="1"/>
  <c r="U2224" i="1"/>
  <c r="V2224" i="1"/>
  <c r="Q2225" i="1"/>
  <c r="R2225" i="1"/>
  <c r="S2225" i="1"/>
  <c r="T2225" i="1"/>
  <c r="U2225" i="1"/>
  <c r="V2225" i="1"/>
  <c r="Q2226" i="1"/>
  <c r="R2226" i="1"/>
  <c r="S2226" i="1"/>
  <c r="T2226" i="1"/>
  <c r="U2226" i="1"/>
  <c r="V2226" i="1"/>
  <c r="Q2227" i="1"/>
  <c r="R2227" i="1"/>
  <c r="S2227" i="1"/>
  <c r="T2227" i="1"/>
  <c r="U2227" i="1"/>
  <c r="V2227" i="1"/>
  <c r="Q2228" i="1"/>
  <c r="R2228" i="1"/>
  <c r="S2228" i="1"/>
  <c r="T2228" i="1"/>
  <c r="U2228" i="1"/>
  <c r="V2228" i="1"/>
  <c r="Q2229" i="1"/>
  <c r="R2229" i="1"/>
  <c r="S2229" i="1"/>
  <c r="T2229" i="1"/>
  <c r="U2229" i="1"/>
  <c r="V2229" i="1"/>
  <c r="Q2230" i="1"/>
  <c r="R2230" i="1"/>
  <c r="S2230" i="1"/>
  <c r="T2230" i="1"/>
  <c r="U2230" i="1"/>
  <c r="V2230" i="1"/>
  <c r="Q2231" i="1"/>
  <c r="R2231" i="1"/>
  <c r="S2231" i="1"/>
  <c r="T2231" i="1"/>
  <c r="U2231" i="1"/>
  <c r="V2231" i="1"/>
  <c r="Q2232" i="1"/>
  <c r="R2232" i="1"/>
  <c r="S2232" i="1"/>
  <c r="T2232" i="1"/>
  <c r="U2232" i="1"/>
  <c r="V2232" i="1"/>
  <c r="Q2233" i="1"/>
  <c r="R2233" i="1"/>
  <c r="S2233" i="1"/>
  <c r="T2233" i="1"/>
  <c r="U2233" i="1"/>
  <c r="V2233" i="1"/>
  <c r="Q2234" i="1"/>
  <c r="R2234" i="1"/>
  <c r="S2234" i="1"/>
  <c r="T2234" i="1"/>
  <c r="U2234" i="1"/>
  <c r="V2234" i="1"/>
  <c r="Q2235" i="1"/>
  <c r="R2235" i="1"/>
  <c r="S2235" i="1"/>
  <c r="T2235" i="1"/>
  <c r="U2235" i="1"/>
  <c r="V2235" i="1"/>
  <c r="Q2236" i="1"/>
  <c r="R2236" i="1"/>
  <c r="S2236" i="1"/>
  <c r="T2236" i="1"/>
  <c r="U2236" i="1"/>
  <c r="V2236" i="1"/>
  <c r="Q2237" i="1"/>
  <c r="R2237" i="1"/>
  <c r="S2237" i="1"/>
  <c r="T2237" i="1"/>
  <c r="U2237" i="1"/>
  <c r="V2237" i="1"/>
  <c r="Q2238" i="1"/>
  <c r="R2238" i="1"/>
  <c r="S2238" i="1"/>
  <c r="T2238" i="1"/>
  <c r="U2238" i="1"/>
  <c r="V2238" i="1"/>
  <c r="Q2239" i="1"/>
  <c r="R2239" i="1"/>
  <c r="S2239" i="1"/>
  <c r="T2239" i="1"/>
  <c r="U2239" i="1"/>
  <c r="V2239" i="1"/>
  <c r="Q2240" i="1"/>
  <c r="R2240" i="1"/>
  <c r="S2240" i="1"/>
  <c r="T2240" i="1"/>
  <c r="U2240" i="1"/>
  <c r="V2240" i="1"/>
  <c r="Q2241" i="1"/>
  <c r="R2241" i="1"/>
  <c r="S2241" i="1"/>
  <c r="T2241" i="1"/>
  <c r="U2241" i="1"/>
  <c r="V2241" i="1"/>
  <c r="Q2242" i="1"/>
  <c r="R2242" i="1"/>
  <c r="S2242" i="1"/>
  <c r="T2242" i="1"/>
  <c r="U2242" i="1"/>
  <c r="V2242" i="1"/>
  <c r="Q2243" i="1"/>
  <c r="R2243" i="1"/>
  <c r="S2243" i="1"/>
  <c r="T2243" i="1"/>
  <c r="U2243" i="1"/>
  <c r="V2243" i="1"/>
  <c r="Q2244" i="1"/>
  <c r="R2244" i="1"/>
  <c r="S2244" i="1"/>
  <c r="T2244" i="1"/>
  <c r="U2244" i="1"/>
  <c r="V2244" i="1"/>
  <c r="Q2245" i="1"/>
  <c r="R2245" i="1"/>
  <c r="S2245" i="1"/>
  <c r="T2245" i="1"/>
  <c r="U2245" i="1"/>
  <c r="V2245" i="1"/>
  <c r="Q2246" i="1"/>
  <c r="R2246" i="1"/>
  <c r="S2246" i="1"/>
  <c r="T2246" i="1"/>
  <c r="U2246" i="1"/>
  <c r="V2246" i="1"/>
  <c r="Q2247" i="1"/>
  <c r="R2247" i="1"/>
  <c r="S2247" i="1"/>
  <c r="T2247" i="1"/>
  <c r="U2247" i="1"/>
  <c r="V2247" i="1"/>
  <c r="Q2248" i="1"/>
  <c r="R2248" i="1"/>
  <c r="S2248" i="1"/>
  <c r="T2248" i="1"/>
  <c r="U2248" i="1"/>
  <c r="V2248" i="1"/>
  <c r="Q2249" i="1"/>
  <c r="R2249" i="1"/>
  <c r="S2249" i="1"/>
  <c r="T2249" i="1"/>
  <c r="U2249" i="1"/>
  <c r="V2249" i="1"/>
  <c r="Q2250" i="1"/>
  <c r="R2250" i="1"/>
  <c r="S2250" i="1"/>
  <c r="T2250" i="1"/>
  <c r="U2250" i="1"/>
  <c r="V2250" i="1"/>
  <c r="Q2251" i="1"/>
  <c r="R2251" i="1"/>
  <c r="S2251" i="1"/>
  <c r="T2251" i="1"/>
  <c r="U2251" i="1"/>
  <c r="V2251" i="1"/>
  <c r="Q2252" i="1"/>
  <c r="R2252" i="1"/>
  <c r="S2252" i="1"/>
  <c r="T2252" i="1"/>
  <c r="U2252" i="1"/>
  <c r="V2252" i="1"/>
  <c r="Q2253" i="1"/>
  <c r="R2253" i="1"/>
  <c r="S2253" i="1"/>
  <c r="T2253" i="1"/>
  <c r="U2253" i="1"/>
  <c r="V2253" i="1"/>
  <c r="Q2254" i="1"/>
  <c r="R2254" i="1"/>
  <c r="S2254" i="1"/>
  <c r="T2254" i="1"/>
  <c r="U2254" i="1"/>
  <c r="V2254" i="1"/>
  <c r="Q2255" i="1"/>
  <c r="R2255" i="1"/>
  <c r="S2255" i="1"/>
  <c r="T2255" i="1"/>
  <c r="U2255" i="1"/>
  <c r="V2255" i="1"/>
  <c r="Q2256" i="1"/>
  <c r="R2256" i="1"/>
  <c r="S2256" i="1"/>
  <c r="T2256" i="1"/>
  <c r="U2256" i="1"/>
  <c r="V2256" i="1"/>
  <c r="Q2257" i="1"/>
  <c r="R2257" i="1"/>
  <c r="S2257" i="1"/>
  <c r="T2257" i="1"/>
  <c r="U2257" i="1"/>
  <c r="V2257" i="1"/>
  <c r="Q2258" i="1"/>
  <c r="R2258" i="1"/>
  <c r="S2258" i="1"/>
  <c r="T2258" i="1"/>
  <c r="U2258" i="1"/>
  <c r="V2258" i="1"/>
  <c r="Q2259" i="1"/>
  <c r="R2259" i="1"/>
  <c r="S2259" i="1"/>
  <c r="T2259" i="1"/>
  <c r="U2259" i="1"/>
  <c r="V2259" i="1"/>
  <c r="Q2260" i="1"/>
  <c r="R2260" i="1"/>
  <c r="S2260" i="1"/>
  <c r="T2260" i="1"/>
  <c r="U2260" i="1"/>
  <c r="V2260" i="1"/>
  <c r="Q2261" i="1"/>
  <c r="R2261" i="1"/>
  <c r="S2261" i="1"/>
  <c r="T2261" i="1"/>
  <c r="U2261" i="1"/>
  <c r="V2261" i="1"/>
  <c r="Q2262" i="1"/>
  <c r="R2262" i="1"/>
  <c r="S2262" i="1"/>
  <c r="T2262" i="1"/>
  <c r="U2262" i="1"/>
  <c r="V2262" i="1"/>
  <c r="Q2263" i="1"/>
  <c r="R2263" i="1"/>
  <c r="S2263" i="1"/>
  <c r="T2263" i="1"/>
  <c r="U2263" i="1"/>
  <c r="V2263" i="1"/>
  <c r="Q2264" i="1"/>
  <c r="R2264" i="1"/>
  <c r="S2264" i="1"/>
  <c r="T2264" i="1"/>
  <c r="U2264" i="1"/>
  <c r="V2264" i="1"/>
  <c r="Q2265" i="1"/>
  <c r="R2265" i="1"/>
  <c r="S2265" i="1"/>
  <c r="T2265" i="1"/>
  <c r="U2265" i="1"/>
  <c r="V2265" i="1"/>
  <c r="Q2266" i="1"/>
  <c r="R2266" i="1"/>
  <c r="S2266" i="1"/>
  <c r="T2266" i="1"/>
  <c r="U2266" i="1"/>
  <c r="V2266" i="1"/>
  <c r="Q2267" i="1"/>
  <c r="R2267" i="1"/>
  <c r="S2267" i="1"/>
  <c r="T2267" i="1"/>
  <c r="U2267" i="1"/>
  <c r="V2267" i="1"/>
  <c r="Q2268" i="1"/>
  <c r="R2268" i="1"/>
  <c r="S2268" i="1"/>
  <c r="T2268" i="1"/>
  <c r="U2268" i="1"/>
  <c r="V2268" i="1"/>
  <c r="Q2269" i="1"/>
  <c r="R2269" i="1"/>
  <c r="S2269" i="1"/>
  <c r="T2269" i="1"/>
  <c r="U2269" i="1"/>
  <c r="V2269" i="1"/>
  <c r="Q2270" i="1"/>
  <c r="R2270" i="1"/>
  <c r="S2270" i="1"/>
  <c r="T2270" i="1"/>
  <c r="U2270" i="1"/>
  <c r="V2270" i="1"/>
  <c r="Q2271" i="1"/>
  <c r="R2271" i="1"/>
  <c r="S2271" i="1"/>
  <c r="T2271" i="1"/>
  <c r="U2271" i="1"/>
  <c r="V2271" i="1"/>
  <c r="Q2272" i="1"/>
  <c r="R2272" i="1"/>
  <c r="S2272" i="1"/>
  <c r="T2272" i="1"/>
  <c r="U2272" i="1"/>
  <c r="V2272" i="1"/>
  <c r="Q2273" i="1"/>
  <c r="R2273" i="1"/>
  <c r="S2273" i="1"/>
  <c r="T2273" i="1"/>
  <c r="U2273" i="1"/>
  <c r="V2273" i="1"/>
  <c r="Q2274" i="1"/>
  <c r="R2274" i="1"/>
  <c r="S2274" i="1"/>
  <c r="T2274" i="1"/>
  <c r="U2274" i="1"/>
  <c r="V2274" i="1"/>
  <c r="Q2275" i="1"/>
  <c r="R2275" i="1"/>
  <c r="S2275" i="1"/>
  <c r="T2275" i="1"/>
  <c r="U2275" i="1"/>
  <c r="V2275" i="1"/>
  <c r="Q2276" i="1"/>
  <c r="R2276" i="1"/>
  <c r="S2276" i="1"/>
  <c r="T2276" i="1"/>
  <c r="U2276" i="1"/>
  <c r="V2276" i="1"/>
  <c r="Q2277" i="1"/>
  <c r="R2277" i="1"/>
  <c r="S2277" i="1"/>
  <c r="T2277" i="1"/>
  <c r="U2277" i="1"/>
  <c r="V2277" i="1"/>
  <c r="Q2278" i="1"/>
  <c r="R2278" i="1"/>
  <c r="S2278" i="1"/>
  <c r="T2278" i="1"/>
  <c r="U2278" i="1"/>
  <c r="V2278" i="1"/>
  <c r="Q2279" i="1"/>
  <c r="R2279" i="1"/>
  <c r="S2279" i="1"/>
  <c r="T2279" i="1"/>
  <c r="U2279" i="1"/>
  <c r="V2279" i="1"/>
  <c r="Q2280" i="1"/>
  <c r="R2280" i="1"/>
  <c r="S2280" i="1"/>
  <c r="T2280" i="1"/>
  <c r="U2280" i="1"/>
  <c r="V2280" i="1"/>
  <c r="Q2281" i="1"/>
  <c r="R2281" i="1"/>
  <c r="S2281" i="1"/>
  <c r="T2281" i="1"/>
  <c r="U2281" i="1"/>
  <c r="V2281" i="1"/>
  <c r="Q2282" i="1"/>
  <c r="R2282" i="1"/>
  <c r="S2282" i="1"/>
  <c r="T2282" i="1"/>
  <c r="U2282" i="1"/>
  <c r="V2282" i="1"/>
  <c r="Q2283" i="1"/>
  <c r="R2283" i="1"/>
  <c r="S2283" i="1"/>
  <c r="T2283" i="1"/>
  <c r="U2283" i="1"/>
  <c r="V2283" i="1"/>
  <c r="Q2284" i="1"/>
  <c r="R2284" i="1"/>
  <c r="S2284" i="1"/>
  <c r="T2284" i="1"/>
  <c r="U2284" i="1"/>
  <c r="V2284" i="1"/>
  <c r="Q2285" i="1"/>
  <c r="R2285" i="1"/>
  <c r="S2285" i="1"/>
  <c r="T2285" i="1"/>
  <c r="U2285" i="1"/>
  <c r="V2285" i="1"/>
  <c r="Q2286" i="1"/>
  <c r="R2286" i="1"/>
  <c r="S2286" i="1"/>
  <c r="T2286" i="1"/>
  <c r="U2286" i="1"/>
  <c r="V2286" i="1"/>
  <c r="Q2287" i="1"/>
  <c r="R2287" i="1"/>
  <c r="S2287" i="1"/>
  <c r="T2287" i="1"/>
  <c r="U2287" i="1"/>
  <c r="V2287" i="1"/>
  <c r="Q2288" i="1"/>
  <c r="R2288" i="1"/>
  <c r="S2288" i="1"/>
  <c r="T2288" i="1"/>
  <c r="U2288" i="1"/>
  <c r="V2288" i="1"/>
  <c r="Q2289" i="1"/>
  <c r="R2289" i="1"/>
  <c r="S2289" i="1"/>
  <c r="T2289" i="1"/>
  <c r="U2289" i="1"/>
  <c r="V2289" i="1"/>
  <c r="Q2290" i="1"/>
  <c r="R2290" i="1"/>
  <c r="S2290" i="1"/>
  <c r="T2290" i="1"/>
  <c r="U2290" i="1"/>
  <c r="V2290" i="1"/>
  <c r="Q2291" i="1"/>
  <c r="R2291" i="1"/>
  <c r="S2291" i="1"/>
  <c r="T2291" i="1"/>
  <c r="U2291" i="1"/>
  <c r="V2291" i="1"/>
  <c r="Q2292" i="1"/>
  <c r="R2292" i="1"/>
  <c r="S2292" i="1"/>
  <c r="T2292" i="1"/>
  <c r="U2292" i="1"/>
  <c r="V2292" i="1"/>
  <c r="Q2293" i="1"/>
  <c r="R2293" i="1"/>
  <c r="S2293" i="1"/>
  <c r="T2293" i="1"/>
  <c r="U2293" i="1"/>
  <c r="V2293" i="1"/>
  <c r="Q2294" i="1"/>
  <c r="R2294" i="1"/>
  <c r="S2294" i="1"/>
  <c r="T2294" i="1"/>
  <c r="U2294" i="1"/>
  <c r="V2294" i="1"/>
  <c r="Q2295" i="1"/>
  <c r="R2295" i="1"/>
  <c r="S2295" i="1"/>
  <c r="T2295" i="1"/>
  <c r="U2295" i="1"/>
  <c r="V2295" i="1"/>
  <c r="Q2296" i="1"/>
  <c r="R2296" i="1"/>
  <c r="S2296" i="1"/>
  <c r="T2296" i="1"/>
  <c r="U2296" i="1"/>
  <c r="V2296" i="1"/>
  <c r="Q2297" i="1"/>
  <c r="R2297" i="1"/>
  <c r="S2297" i="1"/>
  <c r="T2297" i="1"/>
  <c r="U2297" i="1"/>
  <c r="V2297" i="1"/>
  <c r="Q2298" i="1"/>
  <c r="R2298" i="1"/>
  <c r="S2298" i="1"/>
  <c r="T2298" i="1"/>
  <c r="U2298" i="1"/>
  <c r="V2298" i="1"/>
  <c r="Q2299" i="1"/>
  <c r="R2299" i="1"/>
  <c r="S2299" i="1"/>
  <c r="T2299" i="1"/>
  <c r="U2299" i="1"/>
  <c r="V2299" i="1"/>
  <c r="Q2300" i="1"/>
  <c r="R2300" i="1"/>
  <c r="S2300" i="1"/>
  <c r="T2300" i="1"/>
  <c r="U2300" i="1"/>
  <c r="V2300" i="1"/>
  <c r="Q2301" i="1"/>
  <c r="R2301" i="1"/>
  <c r="S2301" i="1"/>
  <c r="T2301" i="1"/>
  <c r="U2301" i="1"/>
  <c r="V2301" i="1"/>
  <c r="Q2302" i="1"/>
  <c r="R2302" i="1"/>
  <c r="S2302" i="1"/>
  <c r="T2302" i="1"/>
  <c r="U2302" i="1"/>
  <c r="V2302" i="1"/>
  <c r="Q2303" i="1"/>
  <c r="R2303" i="1"/>
  <c r="S2303" i="1"/>
  <c r="T2303" i="1"/>
  <c r="U2303" i="1"/>
  <c r="V2303" i="1"/>
  <c r="Q2304" i="1"/>
  <c r="R2304" i="1"/>
  <c r="S2304" i="1"/>
  <c r="T2304" i="1"/>
  <c r="U2304" i="1"/>
  <c r="V2304" i="1"/>
  <c r="Q2305" i="1"/>
  <c r="R2305" i="1"/>
  <c r="S2305" i="1"/>
  <c r="T2305" i="1"/>
  <c r="U2305" i="1"/>
  <c r="V2305" i="1"/>
  <c r="Q2306" i="1"/>
  <c r="R2306" i="1"/>
  <c r="S2306" i="1"/>
  <c r="T2306" i="1"/>
  <c r="U2306" i="1"/>
  <c r="V2306" i="1"/>
  <c r="Q2307" i="1"/>
  <c r="R2307" i="1"/>
  <c r="S2307" i="1"/>
  <c r="T2307" i="1"/>
  <c r="U2307" i="1"/>
  <c r="V2307" i="1"/>
  <c r="Q2308" i="1"/>
  <c r="R2308" i="1"/>
  <c r="S2308" i="1"/>
  <c r="T2308" i="1"/>
  <c r="U2308" i="1"/>
  <c r="V2308" i="1"/>
  <c r="Q2309" i="1"/>
  <c r="R2309" i="1"/>
  <c r="S2309" i="1"/>
  <c r="T2309" i="1"/>
  <c r="U2309" i="1"/>
  <c r="V2309" i="1"/>
  <c r="Q2310" i="1"/>
  <c r="R2310" i="1"/>
  <c r="S2310" i="1"/>
  <c r="T2310" i="1"/>
  <c r="U2310" i="1"/>
  <c r="V2310" i="1"/>
  <c r="Q2311" i="1"/>
  <c r="R2311" i="1"/>
  <c r="S2311" i="1"/>
  <c r="T2311" i="1"/>
  <c r="U2311" i="1"/>
  <c r="V2311" i="1"/>
  <c r="Q2312" i="1"/>
  <c r="R2312" i="1"/>
  <c r="S2312" i="1"/>
  <c r="T2312" i="1"/>
  <c r="U2312" i="1"/>
  <c r="V2312" i="1"/>
  <c r="Q2313" i="1"/>
  <c r="R2313" i="1"/>
  <c r="S2313" i="1"/>
  <c r="T2313" i="1"/>
  <c r="U2313" i="1"/>
  <c r="V2313" i="1"/>
  <c r="Q2314" i="1"/>
  <c r="R2314" i="1"/>
  <c r="S2314" i="1"/>
  <c r="T2314" i="1"/>
  <c r="U2314" i="1"/>
  <c r="V2314" i="1"/>
  <c r="Q2315" i="1"/>
  <c r="R2315" i="1"/>
  <c r="S2315" i="1"/>
  <c r="T2315" i="1"/>
  <c r="U2315" i="1"/>
  <c r="V2315" i="1"/>
  <c r="Q2316" i="1"/>
  <c r="R2316" i="1"/>
  <c r="S2316" i="1"/>
  <c r="T2316" i="1"/>
  <c r="U2316" i="1"/>
  <c r="V2316" i="1"/>
  <c r="Q2317" i="1"/>
  <c r="R2317" i="1"/>
  <c r="S2317" i="1"/>
  <c r="T2317" i="1"/>
  <c r="U2317" i="1"/>
  <c r="V2317" i="1"/>
  <c r="Q2318" i="1"/>
  <c r="R2318" i="1"/>
  <c r="S2318" i="1"/>
  <c r="T2318" i="1"/>
  <c r="U2318" i="1"/>
  <c r="V2318" i="1"/>
  <c r="Q2319" i="1"/>
  <c r="R2319" i="1"/>
  <c r="S2319" i="1"/>
  <c r="T2319" i="1"/>
  <c r="U2319" i="1"/>
  <c r="V2319" i="1"/>
  <c r="Q2320" i="1"/>
  <c r="R2320" i="1"/>
  <c r="S2320" i="1"/>
  <c r="T2320" i="1"/>
  <c r="U2320" i="1"/>
  <c r="V2320" i="1"/>
  <c r="Q2321" i="1"/>
  <c r="R2321" i="1"/>
  <c r="S2321" i="1"/>
  <c r="T2321" i="1"/>
  <c r="U2321" i="1"/>
  <c r="V2321" i="1"/>
  <c r="Q2322" i="1"/>
  <c r="R2322" i="1"/>
  <c r="S2322" i="1"/>
  <c r="T2322" i="1"/>
  <c r="U2322" i="1"/>
  <c r="V2322" i="1"/>
  <c r="Q2323" i="1"/>
  <c r="R2323" i="1"/>
  <c r="S2323" i="1"/>
  <c r="T2323" i="1"/>
  <c r="U2323" i="1"/>
  <c r="V2323" i="1"/>
  <c r="Q2324" i="1"/>
  <c r="R2324" i="1"/>
  <c r="S2324" i="1"/>
  <c r="T2324" i="1"/>
  <c r="U2324" i="1"/>
  <c r="V2324" i="1"/>
  <c r="Q2325" i="1"/>
  <c r="R2325" i="1"/>
  <c r="S2325" i="1"/>
  <c r="T2325" i="1"/>
  <c r="U2325" i="1"/>
  <c r="V2325" i="1"/>
  <c r="Q2326" i="1"/>
  <c r="R2326" i="1"/>
  <c r="S2326" i="1"/>
  <c r="T2326" i="1"/>
  <c r="U2326" i="1"/>
  <c r="V2326" i="1"/>
  <c r="Q2327" i="1"/>
  <c r="R2327" i="1"/>
  <c r="S2327" i="1"/>
  <c r="T2327" i="1"/>
  <c r="U2327" i="1"/>
  <c r="V2327" i="1"/>
  <c r="Q2328" i="1"/>
  <c r="R2328" i="1"/>
  <c r="S2328" i="1"/>
  <c r="T2328" i="1"/>
  <c r="U2328" i="1"/>
  <c r="V2328" i="1"/>
  <c r="Q2329" i="1"/>
  <c r="R2329" i="1"/>
  <c r="S2329" i="1"/>
  <c r="T2329" i="1"/>
  <c r="U2329" i="1"/>
  <c r="V2329" i="1"/>
  <c r="Q2330" i="1"/>
  <c r="R2330" i="1"/>
  <c r="S2330" i="1"/>
  <c r="T2330" i="1"/>
  <c r="U2330" i="1"/>
  <c r="V2330" i="1"/>
  <c r="Q2331" i="1"/>
  <c r="R2331" i="1"/>
  <c r="S2331" i="1"/>
  <c r="T2331" i="1"/>
  <c r="U2331" i="1"/>
  <c r="V2331" i="1"/>
  <c r="Q2332" i="1"/>
  <c r="R2332" i="1"/>
  <c r="S2332" i="1"/>
  <c r="T2332" i="1"/>
  <c r="U2332" i="1"/>
  <c r="V2332" i="1"/>
  <c r="Q2333" i="1"/>
  <c r="R2333" i="1"/>
  <c r="S2333" i="1"/>
  <c r="T2333" i="1"/>
  <c r="U2333" i="1"/>
  <c r="V2333" i="1"/>
  <c r="Q2334" i="1"/>
  <c r="R2334" i="1"/>
  <c r="S2334" i="1"/>
  <c r="T2334" i="1"/>
  <c r="U2334" i="1"/>
  <c r="V2334" i="1"/>
  <c r="Q2335" i="1"/>
  <c r="R2335" i="1"/>
  <c r="S2335" i="1"/>
  <c r="T2335" i="1"/>
  <c r="U2335" i="1"/>
  <c r="V2335" i="1"/>
  <c r="Q2336" i="1"/>
  <c r="R2336" i="1"/>
  <c r="S2336" i="1"/>
  <c r="T2336" i="1"/>
  <c r="U2336" i="1"/>
  <c r="V2336" i="1"/>
  <c r="Q2337" i="1"/>
  <c r="R2337" i="1"/>
  <c r="S2337" i="1"/>
  <c r="T2337" i="1"/>
  <c r="U2337" i="1"/>
  <c r="V2337" i="1"/>
  <c r="Q2338" i="1"/>
  <c r="R2338" i="1"/>
  <c r="S2338" i="1"/>
  <c r="T2338" i="1"/>
  <c r="U2338" i="1"/>
  <c r="V2338" i="1"/>
  <c r="Q2339" i="1"/>
  <c r="R2339" i="1"/>
  <c r="S2339" i="1"/>
  <c r="T2339" i="1"/>
  <c r="U2339" i="1"/>
  <c r="V2339" i="1"/>
  <c r="Q2340" i="1"/>
  <c r="R2340" i="1"/>
  <c r="S2340" i="1"/>
  <c r="T2340" i="1"/>
  <c r="U2340" i="1"/>
  <c r="V2340" i="1"/>
  <c r="Q2341" i="1"/>
  <c r="R2341" i="1"/>
  <c r="S2341" i="1"/>
  <c r="T2341" i="1"/>
  <c r="U2341" i="1"/>
  <c r="V2341" i="1"/>
  <c r="Q2342" i="1"/>
  <c r="R2342" i="1"/>
  <c r="S2342" i="1"/>
  <c r="T2342" i="1"/>
  <c r="U2342" i="1"/>
  <c r="V2342" i="1"/>
  <c r="Q2343" i="1"/>
  <c r="R2343" i="1"/>
  <c r="S2343" i="1"/>
  <c r="T2343" i="1"/>
  <c r="U2343" i="1"/>
  <c r="V2343" i="1"/>
  <c r="Q2344" i="1"/>
  <c r="R2344" i="1"/>
  <c r="S2344" i="1"/>
  <c r="T2344" i="1"/>
  <c r="U2344" i="1"/>
  <c r="V2344" i="1"/>
  <c r="Q2345" i="1"/>
  <c r="R2345" i="1"/>
  <c r="S2345" i="1"/>
  <c r="T2345" i="1"/>
  <c r="U2345" i="1"/>
  <c r="V2345" i="1"/>
  <c r="Q2346" i="1"/>
  <c r="R2346" i="1"/>
  <c r="S2346" i="1"/>
  <c r="T2346" i="1"/>
  <c r="U2346" i="1"/>
  <c r="V2346" i="1"/>
  <c r="Q2347" i="1"/>
  <c r="R2347" i="1"/>
  <c r="S2347" i="1"/>
  <c r="T2347" i="1"/>
  <c r="U2347" i="1"/>
  <c r="V2347" i="1"/>
  <c r="Q2348" i="1"/>
  <c r="R2348" i="1"/>
  <c r="S2348" i="1"/>
  <c r="T2348" i="1"/>
  <c r="U2348" i="1"/>
  <c r="V2348" i="1"/>
  <c r="Q2349" i="1"/>
  <c r="R2349" i="1"/>
  <c r="S2349" i="1"/>
  <c r="T2349" i="1"/>
  <c r="U2349" i="1"/>
  <c r="V2349" i="1"/>
  <c r="Q2350" i="1"/>
  <c r="R2350" i="1"/>
  <c r="S2350" i="1"/>
  <c r="T2350" i="1"/>
  <c r="U2350" i="1"/>
  <c r="V2350" i="1"/>
  <c r="Q2351" i="1"/>
  <c r="R2351" i="1"/>
  <c r="S2351" i="1"/>
  <c r="T2351" i="1"/>
  <c r="U2351" i="1"/>
  <c r="V2351" i="1"/>
  <c r="Q2352" i="1"/>
  <c r="R2352" i="1"/>
  <c r="S2352" i="1"/>
  <c r="T2352" i="1"/>
  <c r="U2352" i="1"/>
  <c r="V2352" i="1"/>
  <c r="Q2353" i="1"/>
  <c r="R2353" i="1"/>
  <c r="S2353" i="1"/>
  <c r="T2353" i="1"/>
  <c r="U2353" i="1"/>
  <c r="V2353" i="1"/>
  <c r="Q2354" i="1"/>
  <c r="R2354" i="1"/>
  <c r="S2354" i="1"/>
  <c r="T2354" i="1"/>
  <c r="U2354" i="1"/>
  <c r="V2354" i="1"/>
  <c r="Q2355" i="1"/>
  <c r="R2355" i="1"/>
  <c r="S2355" i="1"/>
  <c r="T2355" i="1"/>
  <c r="U2355" i="1"/>
  <c r="V2355" i="1"/>
  <c r="Q2356" i="1"/>
  <c r="R2356" i="1"/>
  <c r="S2356" i="1"/>
  <c r="T2356" i="1"/>
  <c r="U2356" i="1"/>
  <c r="V2356" i="1"/>
  <c r="Q2357" i="1"/>
  <c r="R2357" i="1"/>
  <c r="S2357" i="1"/>
  <c r="T2357" i="1"/>
  <c r="U2357" i="1"/>
  <c r="V2357" i="1"/>
  <c r="Q2358" i="1"/>
  <c r="R2358" i="1"/>
  <c r="S2358" i="1"/>
  <c r="T2358" i="1"/>
  <c r="U2358" i="1"/>
  <c r="V2358" i="1"/>
  <c r="Q2359" i="1"/>
  <c r="R2359" i="1"/>
  <c r="S2359" i="1"/>
  <c r="T2359" i="1"/>
  <c r="U2359" i="1"/>
  <c r="V2359" i="1"/>
  <c r="Q2360" i="1"/>
  <c r="R2360" i="1"/>
  <c r="S2360" i="1"/>
  <c r="T2360" i="1"/>
  <c r="U2360" i="1"/>
  <c r="V2360" i="1"/>
  <c r="Q2361" i="1"/>
  <c r="R2361" i="1"/>
  <c r="S2361" i="1"/>
  <c r="T2361" i="1"/>
  <c r="U2361" i="1"/>
  <c r="V2361" i="1"/>
  <c r="Q2362" i="1"/>
  <c r="R2362" i="1"/>
  <c r="S2362" i="1"/>
  <c r="T2362" i="1"/>
  <c r="U2362" i="1"/>
  <c r="V2362" i="1"/>
  <c r="Q2363" i="1"/>
  <c r="R2363" i="1"/>
  <c r="S2363" i="1"/>
  <c r="T2363" i="1"/>
  <c r="U2363" i="1"/>
  <c r="V2363" i="1"/>
  <c r="Q2364" i="1"/>
  <c r="R2364" i="1"/>
  <c r="S2364" i="1"/>
  <c r="T2364" i="1"/>
  <c r="U2364" i="1"/>
  <c r="V2364" i="1"/>
  <c r="Q2365" i="1"/>
  <c r="R2365" i="1"/>
  <c r="S2365" i="1"/>
  <c r="T2365" i="1"/>
  <c r="U2365" i="1"/>
  <c r="V2365" i="1"/>
  <c r="Q2366" i="1"/>
  <c r="R2366" i="1"/>
  <c r="S2366" i="1"/>
  <c r="T2366" i="1"/>
  <c r="U2366" i="1"/>
  <c r="V2366" i="1"/>
  <c r="Q2367" i="1"/>
  <c r="R2367" i="1"/>
  <c r="S2367" i="1"/>
  <c r="T2367" i="1"/>
  <c r="U2367" i="1"/>
  <c r="V2367" i="1"/>
  <c r="Q2368" i="1"/>
  <c r="R2368" i="1"/>
  <c r="S2368" i="1"/>
  <c r="T2368" i="1"/>
  <c r="U2368" i="1"/>
  <c r="V2368" i="1"/>
  <c r="Q2369" i="1"/>
  <c r="R2369" i="1"/>
  <c r="S2369" i="1"/>
  <c r="T2369" i="1"/>
  <c r="U2369" i="1"/>
  <c r="V2369" i="1"/>
  <c r="Q2370" i="1"/>
  <c r="R2370" i="1"/>
  <c r="S2370" i="1"/>
  <c r="T2370" i="1"/>
  <c r="U2370" i="1"/>
  <c r="V2370" i="1"/>
  <c r="Q2371" i="1"/>
  <c r="R2371" i="1"/>
  <c r="S2371" i="1"/>
  <c r="T2371" i="1"/>
  <c r="U2371" i="1"/>
  <c r="V2371" i="1"/>
  <c r="Q2372" i="1"/>
  <c r="R2372" i="1"/>
  <c r="S2372" i="1"/>
  <c r="T2372" i="1"/>
  <c r="U2372" i="1"/>
  <c r="V2372" i="1"/>
  <c r="Q2373" i="1"/>
  <c r="R2373" i="1"/>
  <c r="S2373" i="1"/>
  <c r="T2373" i="1"/>
  <c r="U2373" i="1"/>
  <c r="V2373" i="1"/>
  <c r="Q2374" i="1"/>
  <c r="R2374" i="1"/>
  <c r="S2374" i="1"/>
  <c r="T2374" i="1"/>
  <c r="U2374" i="1"/>
  <c r="V2374" i="1"/>
  <c r="Q2375" i="1"/>
  <c r="R2375" i="1"/>
  <c r="S2375" i="1"/>
  <c r="T2375" i="1"/>
  <c r="U2375" i="1"/>
  <c r="V2375" i="1"/>
  <c r="Q2376" i="1"/>
  <c r="R2376" i="1"/>
  <c r="S2376" i="1"/>
  <c r="T2376" i="1"/>
  <c r="U2376" i="1"/>
  <c r="V2376" i="1"/>
  <c r="Q2377" i="1"/>
  <c r="R2377" i="1"/>
  <c r="S2377" i="1"/>
  <c r="T2377" i="1"/>
  <c r="U2377" i="1"/>
  <c r="V2377" i="1"/>
  <c r="Q2378" i="1"/>
  <c r="R2378" i="1"/>
  <c r="S2378" i="1"/>
  <c r="T2378" i="1"/>
  <c r="U2378" i="1"/>
  <c r="V2378" i="1"/>
  <c r="Q2379" i="1"/>
  <c r="R2379" i="1"/>
  <c r="S2379" i="1"/>
  <c r="T2379" i="1"/>
  <c r="U2379" i="1"/>
  <c r="V2379" i="1"/>
  <c r="Q2380" i="1"/>
  <c r="R2380" i="1"/>
  <c r="S2380" i="1"/>
  <c r="T2380" i="1"/>
  <c r="U2380" i="1"/>
  <c r="V2380" i="1"/>
  <c r="Q2381" i="1"/>
  <c r="R2381" i="1"/>
  <c r="S2381" i="1"/>
  <c r="T2381" i="1"/>
  <c r="U2381" i="1"/>
  <c r="V2381" i="1"/>
  <c r="Q2382" i="1"/>
  <c r="R2382" i="1"/>
  <c r="S2382" i="1"/>
  <c r="T2382" i="1"/>
  <c r="U2382" i="1"/>
  <c r="V2382" i="1"/>
  <c r="Q2383" i="1"/>
  <c r="R2383" i="1"/>
  <c r="S2383" i="1"/>
  <c r="T2383" i="1"/>
  <c r="U2383" i="1"/>
  <c r="V2383" i="1"/>
  <c r="Q2384" i="1"/>
  <c r="R2384" i="1"/>
  <c r="S2384" i="1"/>
  <c r="T2384" i="1"/>
  <c r="U2384" i="1"/>
  <c r="V2384" i="1"/>
  <c r="Q2385" i="1"/>
  <c r="R2385" i="1"/>
  <c r="S2385" i="1"/>
  <c r="T2385" i="1"/>
  <c r="U2385" i="1"/>
  <c r="V2385" i="1"/>
  <c r="Q2386" i="1"/>
  <c r="R2386" i="1"/>
  <c r="S2386" i="1"/>
  <c r="T2386" i="1"/>
  <c r="U2386" i="1"/>
  <c r="V2386" i="1"/>
  <c r="Q2387" i="1"/>
  <c r="R2387" i="1"/>
  <c r="S2387" i="1"/>
  <c r="T2387" i="1"/>
  <c r="U2387" i="1"/>
  <c r="V2387" i="1"/>
  <c r="Q2388" i="1"/>
  <c r="R2388" i="1"/>
  <c r="S2388" i="1"/>
  <c r="T2388" i="1"/>
  <c r="U2388" i="1"/>
  <c r="V2388" i="1"/>
  <c r="Q2389" i="1"/>
  <c r="R2389" i="1"/>
  <c r="S2389" i="1"/>
  <c r="T2389" i="1"/>
  <c r="U2389" i="1"/>
  <c r="V2389" i="1"/>
  <c r="Q2390" i="1"/>
  <c r="R2390" i="1"/>
  <c r="S2390" i="1"/>
  <c r="T2390" i="1"/>
  <c r="U2390" i="1"/>
  <c r="V2390" i="1"/>
  <c r="Q2391" i="1"/>
  <c r="R2391" i="1"/>
  <c r="S2391" i="1"/>
  <c r="T2391" i="1"/>
  <c r="U2391" i="1"/>
  <c r="V2391" i="1"/>
  <c r="Q2392" i="1"/>
  <c r="R2392" i="1"/>
  <c r="S2392" i="1"/>
  <c r="T2392" i="1"/>
  <c r="U2392" i="1"/>
  <c r="V2392" i="1"/>
  <c r="Q2393" i="1"/>
  <c r="R2393" i="1"/>
  <c r="S2393" i="1"/>
  <c r="T2393" i="1"/>
  <c r="U2393" i="1"/>
  <c r="V2393" i="1"/>
  <c r="Q2394" i="1"/>
  <c r="R2394" i="1"/>
  <c r="S2394" i="1"/>
  <c r="T2394" i="1"/>
  <c r="U2394" i="1"/>
  <c r="V2394" i="1"/>
  <c r="Q2395" i="1"/>
  <c r="R2395" i="1"/>
  <c r="S2395" i="1"/>
  <c r="T2395" i="1"/>
  <c r="U2395" i="1"/>
  <c r="V2395" i="1"/>
  <c r="Q2396" i="1"/>
  <c r="R2396" i="1"/>
  <c r="S2396" i="1"/>
  <c r="T2396" i="1"/>
  <c r="U2396" i="1"/>
  <c r="V2396" i="1"/>
  <c r="Q2397" i="1"/>
  <c r="R2397" i="1"/>
  <c r="S2397" i="1"/>
  <c r="T2397" i="1"/>
  <c r="U2397" i="1"/>
  <c r="V2397" i="1"/>
  <c r="Q2398" i="1"/>
  <c r="R2398" i="1"/>
  <c r="S2398" i="1"/>
  <c r="T2398" i="1"/>
  <c r="U2398" i="1"/>
  <c r="V2398" i="1"/>
  <c r="Q2399" i="1"/>
  <c r="R2399" i="1"/>
  <c r="S2399" i="1"/>
  <c r="T2399" i="1"/>
  <c r="U2399" i="1"/>
  <c r="V2399" i="1"/>
  <c r="Q2400" i="1"/>
  <c r="R2400" i="1"/>
  <c r="S2400" i="1"/>
  <c r="T2400" i="1"/>
  <c r="U2400" i="1"/>
  <c r="V2400" i="1"/>
  <c r="Q2401" i="1"/>
  <c r="R2401" i="1"/>
  <c r="S2401" i="1"/>
  <c r="T2401" i="1"/>
  <c r="U2401" i="1"/>
  <c r="V2401" i="1"/>
  <c r="Q2402" i="1"/>
  <c r="R2402" i="1"/>
  <c r="S2402" i="1"/>
  <c r="T2402" i="1"/>
  <c r="U2402" i="1"/>
  <c r="V2402" i="1"/>
  <c r="Q2403" i="1"/>
  <c r="R2403" i="1"/>
  <c r="S2403" i="1"/>
  <c r="T2403" i="1"/>
  <c r="U2403" i="1"/>
  <c r="V2403" i="1"/>
  <c r="Q2404" i="1"/>
  <c r="R2404" i="1"/>
  <c r="S2404" i="1"/>
  <c r="T2404" i="1"/>
  <c r="U2404" i="1"/>
  <c r="V2404" i="1"/>
  <c r="Q2405" i="1"/>
  <c r="R2405" i="1"/>
  <c r="S2405" i="1"/>
  <c r="T2405" i="1"/>
  <c r="U2405" i="1"/>
  <c r="V2405" i="1"/>
  <c r="Q2406" i="1"/>
  <c r="R2406" i="1"/>
  <c r="S2406" i="1"/>
  <c r="T2406" i="1"/>
  <c r="U2406" i="1"/>
  <c r="V2406" i="1"/>
  <c r="Q2407" i="1"/>
  <c r="R2407" i="1"/>
  <c r="S2407" i="1"/>
  <c r="T2407" i="1"/>
  <c r="U2407" i="1"/>
  <c r="V2407" i="1"/>
  <c r="Q2408" i="1"/>
  <c r="R2408" i="1"/>
  <c r="S2408" i="1"/>
  <c r="T2408" i="1"/>
  <c r="U2408" i="1"/>
  <c r="V2408" i="1"/>
  <c r="Q2409" i="1"/>
  <c r="R2409" i="1"/>
  <c r="S2409" i="1"/>
  <c r="T2409" i="1"/>
  <c r="U2409" i="1"/>
  <c r="V2409" i="1"/>
  <c r="Q2410" i="1"/>
  <c r="R2410" i="1"/>
  <c r="S2410" i="1"/>
  <c r="T2410" i="1"/>
  <c r="U2410" i="1"/>
  <c r="V2410" i="1"/>
  <c r="Q2411" i="1"/>
  <c r="R2411" i="1"/>
  <c r="S2411" i="1"/>
  <c r="T2411" i="1"/>
  <c r="U2411" i="1"/>
  <c r="V2411" i="1"/>
  <c r="Q2412" i="1"/>
  <c r="R2412" i="1"/>
  <c r="S2412" i="1"/>
  <c r="T2412" i="1"/>
  <c r="U2412" i="1"/>
  <c r="V2412" i="1"/>
  <c r="Q2413" i="1"/>
  <c r="R2413" i="1"/>
  <c r="S2413" i="1"/>
  <c r="T2413" i="1"/>
  <c r="U2413" i="1"/>
  <c r="V2413" i="1"/>
  <c r="Q2414" i="1"/>
  <c r="R2414" i="1"/>
  <c r="S2414" i="1"/>
  <c r="T2414" i="1"/>
  <c r="U2414" i="1"/>
  <c r="V2414" i="1"/>
  <c r="Q2415" i="1"/>
  <c r="R2415" i="1"/>
  <c r="S2415" i="1"/>
  <c r="T2415" i="1"/>
  <c r="U2415" i="1"/>
  <c r="V2415" i="1"/>
  <c r="Q2416" i="1"/>
  <c r="R2416" i="1"/>
  <c r="S2416" i="1"/>
  <c r="T2416" i="1"/>
  <c r="U2416" i="1"/>
  <c r="V2416" i="1"/>
  <c r="Q2417" i="1"/>
  <c r="R2417" i="1"/>
  <c r="S2417" i="1"/>
  <c r="T2417" i="1"/>
  <c r="U2417" i="1"/>
  <c r="V2417" i="1"/>
  <c r="Q2418" i="1"/>
  <c r="R2418" i="1"/>
  <c r="S2418" i="1"/>
  <c r="T2418" i="1"/>
  <c r="U2418" i="1"/>
  <c r="V2418" i="1"/>
  <c r="Q2419" i="1"/>
  <c r="R2419" i="1"/>
  <c r="S2419" i="1"/>
  <c r="T2419" i="1"/>
  <c r="U2419" i="1"/>
  <c r="V2419" i="1"/>
  <c r="Q2420" i="1"/>
  <c r="R2420" i="1"/>
  <c r="S2420" i="1"/>
  <c r="T2420" i="1"/>
  <c r="U2420" i="1"/>
  <c r="V2420" i="1"/>
  <c r="Q2421" i="1"/>
  <c r="R2421" i="1"/>
  <c r="S2421" i="1"/>
  <c r="T2421" i="1"/>
  <c r="U2421" i="1"/>
  <c r="V2421" i="1"/>
  <c r="Q2422" i="1"/>
  <c r="R2422" i="1"/>
  <c r="S2422" i="1"/>
  <c r="T2422" i="1"/>
  <c r="U2422" i="1"/>
  <c r="V2422" i="1"/>
  <c r="Q2423" i="1"/>
  <c r="R2423" i="1"/>
  <c r="S2423" i="1"/>
  <c r="T2423" i="1"/>
  <c r="U2423" i="1"/>
  <c r="V2423" i="1"/>
  <c r="Q2424" i="1"/>
  <c r="R2424" i="1"/>
  <c r="S2424" i="1"/>
  <c r="T2424" i="1"/>
  <c r="U2424" i="1"/>
  <c r="V2424" i="1"/>
  <c r="Q2425" i="1"/>
  <c r="R2425" i="1"/>
  <c r="S2425" i="1"/>
  <c r="T2425" i="1"/>
  <c r="U2425" i="1"/>
  <c r="V2425" i="1"/>
  <c r="Q2426" i="1"/>
  <c r="R2426" i="1"/>
  <c r="S2426" i="1"/>
  <c r="T2426" i="1"/>
  <c r="U2426" i="1"/>
  <c r="V2426" i="1"/>
  <c r="Q2427" i="1"/>
  <c r="R2427" i="1"/>
  <c r="S2427" i="1"/>
  <c r="T2427" i="1"/>
  <c r="U2427" i="1"/>
  <c r="V2427" i="1"/>
  <c r="Q2428" i="1"/>
  <c r="R2428" i="1"/>
  <c r="S2428" i="1"/>
  <c r="T2428" i="1"/>
  <c r="U2428" i="1"/>
  <c r="V2428" i="1"/>
  <c r="Q2429" i="1"/>
  <c r="R2429" i="1"/>
  <c r="S2429" i="1"/>
  <c r="T2429" i="1"/>
  <c r="U2429" i="1"/>
  <c r="V2429" i="1"/>
  <c r="Q2430" i="1"/>
  <c r="R2430" i="1"/>
  <c r="S2430" i="1"/>
  <c r="T2430" i="1"/>
  <c r="U2430" i="1"/>
  <c r="V2430" i="1"/>
  <c r="Q2431" i="1"/>
  <c r="R2431" i="1"/>
  <c r="S2431" i="1"/>
  <c r="T2431" i="1"/>
  <c r="U2431" i="1"/>
  <c r="V2431" i="1"/>
  <c r="Q2432" i="1"/>
  <c r="R2432" i="1"/>
  <c r="S2432" i="1"/>
  <c r="T2432" i="1"/>
  <c r="U2432" i="1"/>
  <c r="V2432" i="1"/>
  <c r="Q2433" i="1"/>
  <c r="R2433" i="1"/>
  <c r="S2433" i="1"/>
  <c r="T2433" i="1"/>
  <c r="U2433" i="1"/>
  <c r="V2433" i="1"/>
  <c r="Q2434" i="1"/>
  <c r="R2434" i="1"/>
  <c r="S2434" i="1"/>
  <c r="T2434" i="1"/>
  <c r="U2434" i="1"/>
  <c r="V2434" i="1"/>
  <c r="Q2435" i="1"/>
  <c r="R2435" i="1"/>
  <c r="S2435" i="1"/>
  <c r="T2435" i="1"/>
  <c r="U2435" i="1"/>
  <c r="V2435" i="1"/>
  <c r="Q2436" i="1"/>
  <c r="R2436" i="1"/>
  <c r="S2436" i="1"/>
  <c r="T2436" i="1"/>
  <c r="U2436" i="1"/>
  <c r="V2436" i="1"/>
  <c r="Q2437" i="1"/>
  <c r="R2437" i="1"/>
  <c r="S2437" i="1"/>
  <c r="T2437" i="1"/>
  <c r="U2437" i="1"/>
  <c r="V2437" i="1"/>
  <c r="Q2438" i="1"/>
  <c r="R2438" i="1"/>
  <c r="S2438" i="1"/>
  <c r="T2438" i="1"/>
  <c r="U2438" i="1"/>
  <c r="V2438" i="1"/>
  <c r="Q2439" i="1"/>
  <c r="R2439" i="1"/>
  <c r="S2439" i="1"/>
  <c r="T2439" i="1"/>
  <c r="U2439" i="1"/>
  <c r="V2439" i="1"/>
  <c r="Q2440" i="1"/>
  <c r="R2440" i="1"/>
  <c r="S2440" i="1"/>
  <c r="T2440" i="1"/>
  <c r="U2440" i="1"/>
  <c r="V2440" i="1"/>
  <c r="Q2441" i="1"/>
  <c r="R2441" i="1"/>
  <c r="S2441" i="1"/>
  <c r="T2441" i="1"/>
  <c r="U2441" i="1"/>
  <c r="V2441" i="1"/>
  <c r="Q2442" i="1"/>
  <c r="R2442" i="1"/>
  <c r="S2442" i="1"/>
  <c r="T2442" i="1"/>
  <c r="U2442" i="1"/>
  <c r="V2442" i="1"/>
  <c r="Q2443" i="1"/>
  <c r="R2443" i="1"/>
  <c r="S2443" i="1"/>
  <c r="T2443" i="1"/>
  <c r="U2443" i="1"/>
  <c r="V2443" i="1"/>
  <c r="Q2444" i="1"/>
  <c r="R2444" i="1"/>
  <c r="S2444" i="1"/>
  <c r="T2444" i="1"/>
  <c r="U2444" i="1"/>
  <c r="V2444" i="1"/>
  <c r="Q2445" i="1"/>
  <c r="R2445" i="1"/>
  <c r="S2445" i="1"/>
  <c r="T2445" i="1"/>
  <c r="U2445" i="1"/>
  <c r="V2445" i="1"/>
  <c r="Q2446" i="1"/>
  <c r="R2446" i="1"/>
  <c r="S2446" i="1"/>
  <c r="T2446" i="1"/>
  <c r="U2446" i="1"/>
  <c r="V2446" i="1"/>
  <c r="Q2447" i="1"/>
  <c r="R2447" i="1"/>
  <c r="S2447" i="1"/>
  <c r="T2447" i="1"/>
  <c r="U2447" i="1"/>
  <c r="V2447" i="1"/>
  <c r="Q2448" i="1"/>
  <c r="R2448" i="1"/>
  <c r="S2448" i="1"/>
  <c r="T2448" i="1"/>
  <c r="U2448" i="1"/>
  <c r="V2448" i="1"/>
  <c r="Q2449" i="1"/>
  <c r="R2449" i="1"/>
  <c r="S2449" i="1"/>
  <c r="T2449" i="1"/>
  <c r="U2449" i="1"/>
  <c r="V2449" i="1"/>
  <c r="Q2450" i="1"/>
  <c r="R2450" i="1"/>
  <c r="S2450" i="1"/>
  <c r="T2450" i="1"/>
  <c r="U2450" i="1"/>
  <c r="V2450" i="1"/>
  <c r="Q2451" i="1"/>
  <c r="R2451" i="1"/>
  <c r="S2451" i="1"/>
  <c r="T2451" i="1"/>
  <c r="U2451" i="1"/>
  <c r="V2451" i="1"/>
  <c r="Q2452" i="1"/>
  <c r="R2452" i="1"/>
  <c r="S2452" i="1"/>
  <c r="T2452" i="1"/>
  <c r="U2452" i="1"/>
  <c r="V2452" i="1"/>
  <c r="Q2453" i="1"/>
  <c r="R2453" i="1"/>
  <c r="S2453" i="1"/>
  <c r="T2453" i="1"/>
  <c r="U2453" i="1"/>
  <c r="V2453" i="1"/>
  <c r="Q2454" i="1"/>
  <c r="R2454" i="1"/>
  <c r="S2454" i="1"/>
  <c r="T2454" i="1"/>
  <c r="U2454" i="1"/>
  <c r="V2454" i="1"/>
  <c r="Q2455" i="1"/>
  <c r="R2455" i="1"/>
  <c r="S2455" i="1"/>
  <c r="T2455" i="1"/>
  <c r="U2455" i="1"/>
  <c r="V2455" i="1"/>
  <c r="Q2456" i="1"/>
  <c r="R2456" i="1"/>
  <c r="S2456" i="1"/>
  <c r="T2456" i="1"/>
  <c r="U2456" i="1"/>
  <c r="V2456" i="1"/>
  <c r="Q2457" i="1"/>
  <c r="R2457" i="1"/>
  <c r="S2457" i="1"/>
  <c r="T2457" i="1"/>
  <c r="U2457" i="1"/>
  <c r="V2457" i="1"/>
  <c r="Q2458" i="1"/>
  <c r="R2458" i="1"/>
  <c r="S2458" i="1"/>
  <c r="T2458" i="1"/>
  <c r="U2458" i="1"/>
  <c r="V2458" i="1"/>
  <c r="Q2459" i="1"/>
  <c r="R2459" i="1"/>
  <c r="S2459" i="1"/>
  <c r="T2459" i="1"/>
  <c r="U2459" i="1"/>
  <c r="V2459" i="1"/>
  <c r="Q2460" i="1"/>
  <c r="R2460" i="1"/>
  <c r="S2460" i="1"/>
  <c r="T2460" i="1"/>
  <c r="U2460" i="1"/>
  <c r="V2460" i="1"/>
  <c r="Q2461" i="1"/>
  <c r="R2461" i="1"/>
  <c r="S2461" i="1"/>
  <c r="T2461" i="1"/>
  <c r="U2461" i="1"/>
  <c r="V2461" i="1"/>
  <c r="Q2462" i="1"/>
  <c r="R2462" i="1"/>
  <c r="S2462" i="1"/>
  <c r="T2462" i="1"/>
  <c r="U2462" i="1"/>
  <c r="V2462" i="1"/>
  <c r="Q2463" i="1"/>
  <c r="R2463" i="1"/>
  <c r="S2463" i="1"/>
  <c r="T2463" i="1"/>
  <c r="U2463" i="1"/>
  <c r="V2463" i="1"/>
  <c r="Q2464" i="1"/>
  <c r="R2464" i="1"/>
  <c r="S2464" i="1"/>
  <c r="T2464" i="1"/>
  <c r="U2464" i="1"/>
  <c r="V2464" i="1"/>
  <c r="Q2465" i="1"/>
  <c r="R2465" i="1"/>
  <c r="S2465" i="1"/>
  <c r="T2465" i="1"/>
  <c r="U2465" i="1"/>
  <c r="V2465" i="1"/>
  <c r="Q2466" i="1"/>
  <c r="R2466" i="1"/>
  <c r="S2466" i="1"/>
  <c r="T2466" i="1"/>
  <c r="U2466" i="1"/>
  <c r="V2466" i="1"/>
  <c r="Q2467" i="1"/>
  <c r="R2467" i="1"/>
  <c r="S2467" i="1"/>
  <c r="T2467" i="1"/>
  <c r="U2467" i="1"/>
  <c r="V2467" i="1"/>
  <c r="Q2468" i="1"/>
  <c r="R2468" i="1"/>
  <c r="S2468" i="1"/>
  <c r="T2468" i="1"/>
  <c r="U2468" i="1"/>
  <c r="V2468" i="1"/>
  <c r="Q2469" i="1"/>
  <c r="R2469" i="1"/>
  <c r="S2469" i="1"/>
  <c r="T2469" i="1"/>
  <c r="U2469" i="1"/>
  <c r="V2469" i="1"/>
  <c r="Q2470" i="1"/>
  <c r="R2470" i="1"/>
  <c r="S2470" i="1"/>
  <c r="T2470" i="1"/>
  <c r="U2470" i="1"/>
  <c r="V2470" i="1"/>
  <c r="Q2471" i="1"/>
  <c r="R2471" i="1"/>
  <c r="S2471" i="1"/>
  <c r="T2471" i="1"/>
  <c r="U2471" i="1"/>
  <c r="V2471" i="1"/>
  <c r="Q2472" i="1"/>
  <c r="R2472" i="1"/>
  <c r="S2472" i="1"/>
  <c r="T2472" i="1"/>
  <c r="U2472" i="1"/>
  <c r="V2472" i="1"/>
  <c r="Q2473" i="1"/>
  <c r="R2473" i="1"/>
  <c r="S2473" i="1"/>
  <c r="T2473" i="1"/>
  <c r="U2473" i="1"/>
  <c r="V2473" i="1"/>
  <c r="Q2474" i="1"/>
  <c r="R2474" i="1"/>
  <c r="S2474" i="1"/>
  <c r="T2474" i="1"/>
  <c r="U2474" i="1"/>
  <c r="V2474" i="1"/>
  <c r="Q2475" i="1"/>
  <c r="R2475" i="1"/>
  <c r="S2475" i="1"/>
  <c r="T2475" i="1"/>
  <c r="U2475" i="1"/>
  <c r="V2475" i="1"/>
  <c r="Q2476" i="1"/>
  <c r="R2476" i="1"/>
  <c r="S2476" i="1"/>
  <c r="T2476" i="1"/>
  <c r="U2476" i="1"/>
  <c r="V2476" i="1"/>
  <c r="Q2477" i="1"/>
  <c r="R2477" i="1"/>
  <c r="S2477" i="1"/>
  <c r="T2477" i="1"/>
  <c r="U2477" i="1"/>
  <c r="V2477" i="1"/>
  <c r="Q2478" i="1"/>
  <c r="R2478" i="1"/>
  <c r="S2478" i="1"/>
  <c r="T2478" i="1"/>
  <c r="U2478" i="1"/>
  <c r="V2478" i="1"/>
  <c r="Q2479" i="1"/>
  <c r="R2479" i="1"/>
  <c r="S2479" i="1"/>
  <c r="T2479" i="1"/>
  <c r="U2479" i="1"/>
  <c r="V2479" i="1"/>
  <c r="Q2480" i="1"/>
  <c r="R2480" i="1"/>
  <c r="S2480" i="1"/>
  <c r="T2480" i="1"/>
  <c r="U2480" i="1"/>
  <c r="V2480" i="1"/>
  <c r="Q2481" i="1"/>
  <c r="R2481" i="1"/>
  <c r="S2481" i="1"/>
  <c r="T2481" i="1"/>
  <c r="U2481" i="1"/>
  <c r="V2481" i="1"/>
  <c r="Q2482" i="1"/>
  <c r="R2482" i="1"/>
  <c r="S2482" i="1"/>
  <c r="T2482" i="1"/>
  <c r="U2482" i="1"/>
  <c r="V2482" i="1"/>
  <c r="Q2483" i="1"/>
  <c r="R2483" i="1"/>
  <c r="S2483" i="1"/>
  <c r="T2483" i="1"/>
  <c r="U2483" i="1"/>
  <c r="V2483" i="1"/>
  <c r="Q2484" i="1"/>
  <c r="R2484" i="1"/>
  <c r="S2484" i="1"/>
  <c r="T2484" i="1"/>
  <c r="U2484" i="1"/>
  <c r="V2484" i="1"/>
  <c r="Q2485" i="1"/>
  <c r="R2485" i="1"/>
  <c r="S2485" i="1"/>
  <c r="T2485" i="1"/>
  <c r="U2485" i="1"/>
  <c r="V2485" i="1"/>
  <c r="Q2486" i="1"/>
  <c r="R2486" i="1"/>
  <c r="S2486" i="1"/>
  <c r="T2486" i="1"/>
  <c r="U2486" i="1"/>
  <c r="V2486" i="1"/>
  <c r="Q2487" i="1"/>
  <c r="R2487" i="1"/>
  <c r="S2487" i="1"/>
  <c r="T2487" i="1"/>
  <c r="U2487" i="1"/>
  <c r="V2487" i="1"/>
  <c r="Q2488" i="1"/>
  <c r="R2488" i="1"/>
  <c r="S2488" i="1"/>
  <c r="T2488" i="1"/>
  <c r="U2488" i="1"/>
  <c r="V2488" i="1"/>
  <c r="Q2489" i="1"/>
  <c r="R2489" i="1"/>
  <c r="S2489" i="1"/>
  <c r="T2489" i="1"/>
  <c r="U2489" i="1"/>
  <c r="V2489" i="1"/>
  <c r="Q2490" i="1"/>
  <c r="R2490" i="1"/>
  <c r="S2490" i="1"/>
  <c r="T2490" i="1"/>
  <c r="U2490" i="1"/>
  <c r="V2490" i="1"/>
  <c r="Q2491" i="1"/>
  <c r="R2491" i="1"/>
  <c r="S2491" i="1"/>
  <c r="T2491" i="1"/>
  <c r="U2491" i="1"/>
  <c r="V2491" i="1"/>
  <c r="Q2492" i="1"/>
  <c r="R2492" i="1"/>
  <c r="S2492" i="1"/>
  <c r="T2492" i="1"/>
  <c r="U2492" i="1"/>
  <c r="V2492" i="1"/>
  <c r="Q2493" i="1"/>
  <c r="R2493" i="1"/>
  <c r="S2493" i="1"/>
  <c r="T2493" i="1"/>
  <c r="U2493" i="1"/>
  <c r="V2493" i="1"/>
  <c r="Q2494" i="1"/>
  <c r="R2494" i="1"/>
  <c r="S2494" i="1"/>
  <c r="T2494" i="1"/>
  <c r="U2494" i="1"/>
  <c r="V2494" i="1"/>
  <c r="Q2495" i="1"/>
  <c r="R2495" i="1"/>
  <c r="S2495" i="1"/>
  <c r="T2495" i="1"/>
  <c r="U2495" i="1"/>
  <c r="V2495" i="1"/>
  <c r="Q2496" i="1"/>
  <c r="R2496" i="1"/>
  <c r="S2496" i="1"/>
  <c r="T2496" i="1"/>
  <c r="U2496" i="1"/>
  <c r="V2496" i="1"/>
  <c r="Q2497" i="1"/>
  <c r="R2497" i="1"/>
  <c r="S2497" i="1"/>
  <c r="T2497" i="1"/>
  <c r="U2497" i="1"/>
  <c r="V2497" i="1"/>
  <c r="Q2498" i="1"/>
  <c r="R2498" i="1"/>
  <c r="S2498" i="1"/>
  <c r="T2498" i="1"/>
  <c r="U2498" i="1"/>
  <c r="V2498" i="1"/>
  <c r="Q2499" i="1"/>
  <c r="R2499" i="1"/>
  <c r="S2499" i="1"/>
  <c r="T2499" i="1"/>
  <c r="U2499" i="1"/>
  <c r="V2499" i="1"/>
  <c r="Q2500" i="1"/>
  <c r="R2500" i="1"/>
  <c r="S2500" i="1"/>
  <c r="T2500" i="1"/>
  <c r="U2500" i="1"/>
  <c r="V2500" i="1"/>
  <c r="Q2501" i="1"/>
  <c r="R2501" i="1"/>
  <c r="S2501" i="1"/>
  <c r="T2501" i="1"/>
  <c r="U2501" i="1"/>
  <c r="V2501" i="1"/>
  <c r="Q2502" i="1"/>
  <c r="R2502" i="1"/>
  <c r="S2502" i="1"/>
  <c r="T2502" i="1"/>
  <c r="U2502" i="1"/>
  <c r="V2502" i="1"/>
  <c r="Q2503" i="1"/>
  <c r="R2503" i="1"/>
  <c r="S2503" i="1"/>
  <c r="T2503" i="1"/>
  <c r="U2503" i="1"/>
  <c r="V2503" i="1"/>
  <c r="Q2504" i="1"/>
  <c r="R2504" i="1"/>
  <c r="S2504" i="1"/>
  <c r="T2504" i="1"/>
  <c r="U2504" i="1"/>
  <c r="V2504" i="1"/>
  <c r="Q2505" i="1"/>
  <c r="R2505" i="1"/>
  <c r="S2505" i="1"/>
  <c r="T2505" i="1"/>
  <c r="U2505" i="1"/>
  <c r="V2505" i="1"/>
  <c r="Q2506" i="1"/>
  <c r="R2506" i="1"/>
  <c r="S2506" i="1"/>
  <c r="T2506" i="1"/>
  <c r="U2506" i="1"/>
  <c r="V2506" i="1"/>
  <c r="Q2507" i="1"/>
  <c r="R2507" i="1"/>
  <c r="S2507" i="1"/>
  <c r="T2507" i="1"/>
  <c r="U2507" i="1"/>
  <c r="V2507" i="1"/>
  <c r="Q2508" i="1"/>
  <c r="R2508" i="1"/>
  <c r="S2508" i="1"/>
  <c r="T2508" i="1"/>
  <c r="U2508" i="1"/>
  <c r="V2508" i="1"/>
  <c r="Q2509" i="1"/>
  <c r="R2509" i="1"/>
  <c r="S2509" i="1"/>
  <c r="T2509" i="1"/>
  <c r="U2509" i="1"/>
  <c r="V2509" i="1"/>
  <c r="Q2510" i="1"/>
  <c r="R2510" i="1"/>
  <c r="S2510" i="1"/>
  <c r="T2510" i="1"/>
  <c r="U2510" i="1"/>
  <c r="V2510" i="1"/>
  <c r="Q2511" i="1"/>
  <c r="R2511" i="1"/>
  <c r="S2511" i="1"/>
  <c r="T2511" i="1"/>
  <c r="U2511" i="1"/>
  <c r="V2511" i="1"/>
  <c r="Q2512" i="1"/>
  <c r="R2512" i="1"/>
  <c r="S2512" i="1"/>
  <c r="T2512" i="1"/>
  <c r="U2512" i="1"/>
  <c r="V2512" i="1"/>
  <c r="Q2513" i="1"/>
  <c r="R2513" i="1"/>
  <c r="S2513" i="1"/>
  <c r="T2513" i="1"/>
  <c r="U2513" i="1"/>
  <c r="V2513" i="1"/>
  <c r="Q2514" i="1"/>
  <c r="R2514" i="1"/>
  <c r="S2514" i="1"/>
  <c r="T2514" i="1"/>
  <c r="U2514" i="1"/>
  <c r="V2514" i="1"/>
  <c r="Q2515" i="1"/>
  <c r="R2515" i="1"/>
  <c r="S2515" i="1"/>
  <c r="T2515" i="1"/>
  <c r="U2515" i="1"/>
  <c r="V2515" i="1"/>
  <c r="Q2516" i="1"/>
  <c r="R2516" i="1"/>
  <c r="S2516" i="1"/>
  <c r="T2516" i="1"/>
  <c r="U2516" i="1"/>
  <c r="V2516" i="1"/>
  <c r="Q2517" i="1"/>
  <c r="R2517" i="1"/>
  <c r="S2517" i="1"/>
  <c r="T2517" i="1"/>
  <c r="U2517" i="1"/>
  <c r="V2517" i="1"/>
  <c r="Q2518" i="1"/>
  <c r="R2518" i="1"/>
  <c r="S2518" i="1"/>
  <c r="T2518" i="1"/>
  <c r="U2518" i="1"/>
  <c r="V2518" i="1"/>
  <c r="Q2519" i="1"/>
  <c r="R2519" i="1"/>
  <c r="S2519" i="1"/>
  <c r="T2519" i="1"/>
  <c r="U2519" i="1"/>
  <c r="V2519" i="1"/>
  <c r="Q2520" i="1"/>
  <c r="R2520" i="1"/>
  <c r="S2520" i="1"/>
  <c r="T2520" i="1"/>
  <c r="U2520" i="1"/>
  <c r="V2520" i="1"/>
  <c r="Q2521" i="1"/>
  <c r="R2521" i="1"/>
  <c r="S2521" i="1"/>
  <c r="T2521" i="1"/>
  <c r="U2521" i="1"/>
  <c r="V2521" i="1"/>
  <c r="Q2522" i="1"/>
  <c r="R2522" i="1"/>
  <c r="S2522" i="1"/>
  <c r="T2522" i="1"/>
  <c r="U2522" i="1"/>
  <c r="V2522" i="1"/>
  <c r="Q2523" i="1"/>
  <c r="R2523" i="1"/>
  <c r="S2523" i="1"/>
  <c r="T2523" i="1"/>
  <c r="U2523" i="1"/>
  <c r="V2523" i="1"/>
  <c r="Q2524" i="1"/>
  <c r="R2524" i="1"/>
  <c r="S2524" i="1"/>
  <c r="T2524" i="1"/>
  <c r="U2524" i="1"/>
  <c r="V2524" i="1"/>
  <c r="Q2525" i="1"/>
  <c r="R2525" i="1"/>
  <c r="S2525" i="1"/>
  <c r="T2525" i="1"/>
  <c r="U2525" i="1"/>
  <c r="V2525" i="1"/>
  <c r="Q2526" i="1"/>
  <c r="R2526" i="1"/>
  <c r="S2526" i="1"/>
  <c r="T2526" i="1"/>
  <c r="U2526" i="1"/>
  <c r="V2526" i="1"/>
  <c r="Q2527" i="1"/>
  <c r="R2527" i="1"/>
  <c r="S2527" i="1"/>
  <c r="T2527" i="1"/>
  <c r="U2527" i="1"/>
  <c r="V2527" i="1"/>
  <c r="Q2528" i="1"/>
  <c r="R2528" i="1"/>
  <c r="S2528" i="1"/>
  <c r="T2528" i="1"/>
  <c r="U2528" i="1"/>
  <c r="V2528" i="1"/>
  <c r="Q2529" i="1"/>
  <c r="R2529" i="1"/>
  <c r="S2529" i="1"/>
  <c r="T2529" i="1"/>
  <c r="U2529" i="1"/>
  <c r="V2529" i="1"/>
  <c r="Q2530" i="1"/>
  <c r="R2530" i="1"/>
  <c r="S2530" i="1"/>
  <c r="T2530" i="1"/>
  <c r="U2530" i="1"/>
  <c r="V2530" i="1"/>
  <c r="Q2531" i="1"/>
  <c r="R2531" i="1"/>
  <c r="S2531" i="1"/>
  <c r="T2531" i="1"/>
  <c r="U2531" i="1"/>
  <c r="V2531" i="1"/>
  <c r="Q2532" i="1"/>
  <c r="R2532" i="1"/>
  <c r="S2532" i="1"/>
  <c r="T2532" i="1"/>
  <c r="U2532" i="1"/>
  <c r="V2532" i="1"/>
  <c r="Q2533" i="1"/>
  <c r="R2533" i="1"/>
  <c r="S2533" i="1"/>
  <c r="T2533" i="1"/>
  <c r="U2533" i="1"/>
  <c r="V2533" i="1"/>
  <c r="Q2534" i="1"/>
  <c r="R2534" i="1"/>
  <c r="S2534" i="1"/>
  <c r="T2534" i="1"/>
  <c r="U2534" i="1"/>
  <c r="V2534" i="1"/>
  <c r="Q2535" i="1"/>
  <c r="R2535" i="1"/>
  <c r="S2535" i="1"/>
  <c r="T2535" i="1"/>
  <c r="U2535" i="1"/>
  <c r="V2535" i="1"/>
  <c r="Q2536" i="1"/>
  <c r="R2536" i="1"/>
  <c r="S2536" i="1"/>
  <c r="T2536" i="1"/>
  <c r="U2536" i="1"/>
  <c r="V2536" i="1"/>
  <c r="Q2537" i="1"/>
  <c r="R2537" i="1"/>
  <c r="S2537" i="1"/>
  <c r="T2537" i="1"/>
  <c r="U2537" i="1"/>
  <c r="V2537" i="1"/>
  <c r="Q2538" i="1"/>
  <c r="R2538" i="1"/>
  <c r="S2538" i="1"/>
  <c r="T2538" i="1"/>
  <c r="U2538" i="1"/>
  <c r="V2538" i="1"/>
  <c r="Q2539" i="1"/>
  <c r="R2539" i="1"/>
  <c r="S2539" i="1"/>
  <c r="T2539" i="1"/>
  <c r="U2539" i="1"/>
  <c r="V2539" i="1"/>
  <c r="Q2540" i="1"/>
  <c r="R2540" i="1"/>
  <c r="S2540" i="1"/>
  <c r="T2540" i="1"/>
  <c r="U2540" i="1"/>
  <c r="V2540" i="1"/>
  <c r="Q2541" i="1"/>
  <c r="R2541" i="1"/>
  <c r="S2541" i="1"/>
  <c r="T2541" i="1"/>
  <c r="U2541" i="1"/>
  <c r="V2541" i="1"/>
  <c r="Q2542" i="1"/>
  <c r="R2542" i="1"/>
  <c r="S2542" i="1"/>
  <c r="T2542" i="1"/>
  <c r="U2542" i="1"/>
  <c r="V2542" i="1"/>
  <c r="Q2543" i="1"/>
  <c r="R2543" i="1"/>
  <c r="S2543" i="1"/>
  <c r="T2543" i="1"/>
  <c r="U2543" i="1"/>
  <c r="V2543" i="1"/>
  <c r="Q2544" i="1"/>
  <c r="R2544" i="1"/>
  <c r="S2544" i="1"/>
  <c r="T2544" i="1"/>
  <c r="U2544" i="1"/>
  <c r="V2544" i="1"/>
  <c r="Q2545" i="1"/>
  <c r="R2545" i="1"/>
  <c r="S2545" i="1"/>
  <c r="T2545" i="1"/>
  <c r="U2545" i="1"/>
  <c r="V2545" i="1"/>
  <c r="Q2546" i="1"/>
  <c r="R2546" i="1"/>
  <c r="S2546" i="1"/>
  <c r="T2546" i="1"/>
  <c r="U2546" i="1"/>
  <c r="V2546" i="1"/>
  <c r="Q2547" i="1"/>
  <c r="R2547" i="1"/>
  <c r="S2547" i="1"/>
  <c r="T2547" i="1"/>
  <c r="U2547" i="1"/>
  <c r="V2547" i="1"/>
  <c r="Q2548" i="1"/>
  <c r="R2548" i="1"/>
  <c r="S2548" i="1"/>
  <c r="T2548" i="1"/>
  <c r="U2548" i="1"/>
  <c r="V2548" i="1"/>
  <c r="Q2549" i="1"/>
  <c r="R2549" i="1"/>
  <c r="S2549" i="1"/>
  <c r="T2549" i="1"/>
  <c r="U2549" i="1"/>
  <c r="V2549" i="1"/>
  <c r="Q2550" i="1"/>
  <c r="R2550" i="1"/>
  <c r="S2550" i="1"/>
  <c r="T2550" i="1"/>
  <c r="U2550" i="1"/>
  <c r="V2550" i="1"/>
  <c r="Q2551" i="1"/>
  <c r="R2551" i="1"/>
  <c r="S2551" i="1"/>
  <c r="T2551" i="1"/>
  <c r="U2551" i="1"/>
  <c r="V2551" i="1"/>
  <c r="Q2552" i="1"/>
  <c r="R2552" i="1"/>
  <c r="S2552" i="1"/>
  <c r="T2552" i="1"/>
  <c r="U2552" i="1"/>
  <c r="V2552" i="1"/>
  <c r="Q2553" i="1"/>
  <c r="R2553" i="1"/>
  <c r="S2553" i="1"/>
  <c r="T2553" i="1"/>
  <c r="U2553" i="1"/>
  <c r="V2553" i="1"/>
  <c r="Q2554" i="1"/>
  <c r="R2554" i="1"/>
  <c r="S2554" i="1"/>
  <c r="T2554" i="1"/>
  <c r="U2554" i="1"/>
  <c r="V2554" i="1"/>
  <c r="Q2555" i="1"/>
  <c r="R2555" i="1"/>
  <c r="S2555" i="1"/>
  <c r="T2555" i="1"/>
  <c r="U2555" i="1"/>
  <c r="V2555" i="1"/>
  <c r="Q2556" i="1"/>
  <c r="R2556" i="1"/>
  <c r="S2556" i="1"/>
  <c r="T2556" i="1"/>
  <c r="U2556" i="1"/>
  <c r="V2556" i="1"/>
  <c r="Q2557" i="1"/>
  <c r="R2557" i="1"/>
  <c r="S2557" i="1"/>
  <c r="T2557" i="1"/>
  <c r="U2557" i="1"/>
  <c r="V2557" i="1"/>
  <c r="Q2558" i="1"/>
  <c r="R2558" i="1"/>
  <c r="S2558" i="1"/>
  <c r="T2558" i="1"/>
  <c r="U2558" i="1"/>
  <c r="V2558" i="1"/>
  <c r="Q2559" i="1"/>
  <c r="R2559" i="1"/>
  <c r="S2559" i="1"/>
  <c r="T2559" i="1"/>
  <c r="U2559" i="1"/>
  <c r="V2559" i="1"/>
  <c r="Q2560" i="1"/>
  <c r="R2560" i="1"/>
  <c r="S2560" i="1"/>
  <c r="T2560" i="1"/>
  <c r="U2560" i="1"/>
  <c r="V2560" i="1"/>
  <c r="Q2561" i="1"/>
  <c r="R2561" i="1"/>
  <c r="S2561" i="1"/>
  <c r="T2561" i="1"/>
  <c r="U2561" i="1"/>
  <c r="V2561" i="1"/>
  <c r="Q2562" i="1"/>
  <c r="R2562" i="1"/>
  <c r="S2562" i="1"/>
  <c r="T2562" i="1"/>
  <c r="U2562" i="1"/>
  <c r="V2562" i="1"/>
  <c r="Q2563" i="1"/>
  <c r="R2563" i="1"/>
  <c r="S2563" i="1"/>
  <c r="T2563" i="1"/>
  <c r="U2563" i="1"/>
  <c r="V2563" i="1"/>
  <c r="Q2564" i="1"/>
  <c r="R2564" i="1"/>
  <c r="S2564" i="1"/>
  <c r="T2564" i="1"/>
  <c r="U2564" i="1"/>
  <c r="V2564" i="1"/>
  <c r="Q2565" i="1"/>
  <c r="R2565" i="1"/>
  <c r="S2565" i="1"/>
  <c r="T2565" i="1"/>
  <c r="U2565" i="1"/>
  <c r="V2565" i="1"/>
  <c r="Q2566" i="1"/>
  <c r="R2566" i="1"/>
  <c r="S2566" i="1"/>
  <c r="T2566" i="1"/>
  <c r="U2566" i="1"/>
  <c r="V2566" i="1"/>
  <c r="Q2567" i="1"/>
  <c r="R2567" i="1"/>
  <c r="S2567" i="1"/>
  <c r="T2567" i="1"/>
  <c r="U2567" i="1"/>
  <c r="V2567" i="1"/>
  <c r="Q2568" i="1"/>
  <c r="R2568" i="1"/>
  <c r="S2568" i="1"/>
  <c r="T2568" i="1"/>
  <c r="U2568" i="1"/>
  <c r="V2568" i="1"/>
  <c r="Q2569" i="1"/>
  <c r="R2569" i="1"/>
  <c r="S2569" i="1"/>
  <c r="T2569" i="1"/>
  <c r="U2569" i="1"/>
  <c r="V2569" i="1"/>
  <c r="Q2570" i="1"/>
  <c r="R2570" i="1"/>
  <c r="S2570" i="1"/>
  <c r="T2570" i="1"/>
  <c r="U2570" i="1"/>
  <c r="V2570" i="1"/>
  <c r="Q2571" i="1"/>
  <c r="R2571" i="1"/>
  <c r="S2571" i="1"/>
  <c r="T2571" i="1"/>
  <c r="U2571" i="1"/>
  <c r="V2571" i="1"/>
  <c r="Q2572" i="1"/>
  <c r="R2572" i="1"/>
  <c r="S2572" i="1"/>
  <c r="T2572" i="1"/>
  <c r="U2572" i="1"/>
  <c r="V2572" i="1"/>
  <c r="Q2573" i="1"/>
  <c r="R2573" i="1"/>
  <c r="S2573" i="1"/>
  <c r="T2573" i="1"/>
  <c r="U2573" i="1"/>
  <c r="V2573" i="1"/>
  <c r="Q2574" i="1"/>
  <c r="R2574" i="1"/>
  <c r="S2574" i="1"/>
  <c r="T2574" i="1"/>
  <c r="U2574" i="1"/>
  <c r="V2574" i="1"/>
  <c r="Q2575" i="1"/>
  <c r="R2575" i="1"/>
  <c r="S2575" i="1"/>
  <c r="T2575" i="1"/>
  <c r="U2575" i="1"/>
  <c r="V2575" i="1"/>
  <c r="Q2576" i="1"/>
  <c r="R2576" i="1"/>
  <c r="S2576" i="1"/>
  <c r="T2576" i="1"/>
  <c r="U2576" i="1"/>
  <c r="V2576" i="1"/>
  <c r="Q2577" i="1"/>
  <c r="R2577" i="1"/>
  <c r="S2577" i="1"/>
  <c r="T2577" i="1"/>
  <c r="U2577" i="1"/>
  <c r="V2577" i="1"/>
  <c r="Q2578" i="1"/>
  <c r="R2578" i="1"/>
  <c r="S2578" i="1"/>
  <c r="T2578" i="1"/>
  <c r="U2578" i="1"/>
  <c r="V2578" i="1"/>
  <c r="Q2579" i="1"/>
  <c r="R2579" i="1"/>
  <c r="S2579" i="1"/>
  <c r="T2579" i="1"/>
  <c r="U2579" i="1"/>
  <c r="V2579" i="1"/>
  <c r="Q2580" i="1"/>
  <c r="R2580" i="1"/>
  <c r="S2580" i="1"/>
  <c r="T2580" i="1"/>
  <c r="U2580" i="1"/>
  <c r="V2580" i="1"/>
  <c r="Q2581" i="1"/>
  <c r="R2581" i="1"/>
  <c r="S2581" i="1"/>
  <c r="T2581" i="1"/>
  <c r="U2581" i="1"/>
  <c r="V2581" i="1"/>
  <c r="Q2582" i="1"/>
  <c r="R2582" i="1"/>
  <c r="S2582" i="1"/>
  <c r="T2582" i="1"/>
  <c r="U2582" i="1"/>
  <c r="V2582" i="1"/>
  <c r="Q2583" i="1"/>
  <c r="R2583" i="1"/>
  <c r="S2583" i="1"/>
  <c r="T2583" i="1"/>
  <c r="U2583" i="1"/>
  <c r="V2583" i="1"/>
  <c r="Q2584" i="1"/>
  <c r="R2584" i="1"/>
  <c r="S2584" i="1"/>
  <c r="T2584" i="1"/>
  <c r="U2584" i="1"/>
  <c r="V2584" i="1"/>
  <c r="Q2585" i="1"/>
  <c r="R2585" i="1"/>
  <c r="S2585" i="1"/>
  <c r="T2585" i="1"/>
  <c r="U2585" i="1"/>
  <c r="V2585" i="1"/>
  <c r="Q2586" i="1"/>
  <c r="R2586" i="1"/>
  <c r="S2586" i="1"/>
  <c r="T2586" i="1"/>
  <c r="U2586" i="1"/>
  <c r="V2586" i="1"/>
  <c r="Q2587" i="1"/>
  <c r="R2587" i="1"/>
  <c r="S2587" i="1"/>
  <c r="T2587" i="1"/>
  <c r="U2587" i="1"/>
  <c r="V2587" i="1"/>
  <c r="Q2588" i="1"/>
  <c r="R2588" i="1"/>
  <c r="S2588" i="1"/>
  <c r="T2588" i="1"/>
  <c r="U2588" i="1"/>
  <c r="V2588" i="1"/>
  <c r="Q2589" i="1"/>
  <c r="R2589" i="1"/>
  <c r="S2589" i="1"/>
  <c r="T2589" i="1"/>
  <c r="U2589" i="1"/>
  <c r="V2589" i="1"/>
  <c r="Q2590" i="1"/>
  <c r="R2590" i="1"/>
  <c r="S2590" i="1"/>
  <c r="T2590" i="1"/>
  <c r="U2590" i="1"/>
  <c r="V2590" i="1"/>
  <c r="Q2591" i="1"/>
  <c r="R2591" i="1"/>
  <c r="S2591" i="1"/>
  <c r="T2591" i="1"/>
  <c r="U2591" i="1"/>
  <c r="V2591" i="1"/>
  <c r="Q2592" i="1"/>
  <c r="R2592" i="1"/>
  <c r="S2592" i="1"/>
  <c r="T2592" i="1"/>
  <c r="U2592" i="1"/>
  <c r="V2592" i="1"/>
  <c r="Q2593" i="1"/>
  <c r="R2593" i="1"/>
  <c r="S2593" i="1"/>
  <c r="T2593" i="1"/>
  <c r="U2593" i="1"/>
  <c r="V2593" i="1"/>
  <c r="Q2594" i="1"/>
  <c r="R2594" i="1"/>
  <c r="S2594" i="1"/>
  <c r="T2594" i="1"/>
  <c r="U2594" i="1"/>
  <c r="V2594" i="1"/>
  <c r="Q2595" i="1"/>
  <c r="R2595" i="1"/>
  <c r="S2595" i="1"/>
  <c r="T2595" i="1"/>
  <c r="U2595" i="1"/>
  <c r="V2595" i="1"/>
  <c r="Q2596" i="1"/>
  <c r="R2596" i="1"/>
  <c r="S2596" i="1"/>
  <c r="T2596" i="1"/>
  <c r="U2596" i="1"/>
  <c r="V2596" i="1"/>
  <c r="Q2597" i="1"/>
  <c r="R2597" i="1"/>
  <c r="S2597" i="1"/>
  <c r="T2597" i="1"/>
  <c r="U2597" i="1"/>
  <c r="V2597" i="1"/>
  <c r="Q2598" i="1"/>
  <c r="R2598" i="1"/>
  <c r="S2598" i="1"/>
  <c r="T2598" i="1"/>
  <c r="U2598" i="1"/>
  <c r="V2598" i="1"/>
  <c r="Q2599" i="1"/>
  <c r="R2599" i="1"/>
  <c r="S2599" i="1"/>
  <c r="T2599" i="1"/>
  <c r="U2599" i="1"/>
  <c r="V2599" i="1"/>
  <c r="Q2600" i="1"/>
  <c r="R2600" i="1"/>
  <c r="S2600" i="1"/>
  <c r="T2600" i="1"/>
  <c r="U2600" i="1"/>
  <c r="V2600" i="1"/>
  <c r="Q2601" i="1"/>
  <c r="R2601" i="1"/>
  <c r="S2601" i="1"/>
  <c r="T2601" i="1"/>
  <c r="U2601" i="1"/>
  <c r="V2601" i="1"/>
  <c r="Q2602" i="1"/>
  <c r="R2602" i="1"/>
  <c r="S2602" i="1"/>
  <c r="T2602" i="1"/>
  <c r="U2602" i="1"/>
  <c r="V2602" i="1"/>
  <c r="Q2603" i="1"/>
  <c r="R2603" i="1"/>
  <c r="S2603" i="1"/>
  <c r="T2603" i="1"/>
  <c r="U2603" i="1"/>
  <c r="V2603" i="1"/>
  <c r="Q2604" i="1"/>
  <c r="R2604" i="1"/>
  <c r="S2604" i="1"/>
  <c r="T2604" i="1"/>
  <c r="U2604" i="1"/>
  <c r="V2604" i="1"/>
  <c r="Q2605" i="1"/>
  <c r="R2605" i="1"/>
  <c r="S2605" i="1"/>
  <c r="T2605" i="1"/>
  <c r="U2605" i="1"/>
  <c r="V2605" i="1"/>
  <c r="Q2606" i="1"/>
  <c r="R2606" i="1"/>
  <c r="S2606" i="1"/>
  <c r="T2606" i="1"/>
  <c r="U2606" i="1"/>
  <c r="V2606" i="1"/>
  <c r="Q2607" i="1"/>
  <c r="R2607" i="1"/>
  <c r="S2607" i="1"/>
  <c r="T2607" i="1"/>
  <c r="U2607" i="1"/>
  <c r="V2607" i="1"/>
  <c r="Q2608" i="1"/>
  <c r="R2608" i="1"/>
  <c r="S2608" i="1"/>
  <c r="T2608" i="1"/>
  <c r="U2608" i="1"/>
  <c r="V2608" i="1"/>
  <c r="Q2609" i="1"/>
  <c r="R2609" i="1"/>
  <c r="S2609" i="1"/>
  <c r="T2609" i="1"/>
  <c r="U2609" i="1"/>
  <c r="V2609" i="1"/>
  <c r="Q2610" i="1"/>
  <c r="R2610" i="1"/>
  <c r="S2610" i="1"/>
  <c r="T2610" i="1"/>
  <c r="U2610" i="1"/>
  <c r="V2610" i="1"/>
  <c r="Q2611" i="1"/>
  <c r="R2611" i="1"/>
  <c r="S2611" i="1"/>
  <c r="T2611" i="1"/>
  <c r="U2611" i="1"/>
  <c r="V2611" i="1"/>
  <c r="Q2612" i="1"/>
  <c r="R2612" i="1"/>
  <c r="S2612" i="1"/>
  <c r="T2612" i="1"/>
  <c r="U2612" i="1"/>
  <c r="V2612" i="1"/>
  <c r="Q2613" i="1"/>
  <c r="R2613" i="1"/>
  <c r="S2613" i="1"/>
  <c r="T2613" i="1"/>
  <c r="U2613" i="1"/>
  <c r="V2613" i="1"/>
  <c r="Q2614" i="1"/>
  <c r="R2614" i="1"/>
  <c r="S2614" i="1"/>
  <c r="T2614" i="1"/>
  <c r="U2614" i="1"/>
  <c r="V2614" i="1"/>
  <c r="Q2615" i="1"/>
  <c r="R2615" i="1"/>
  <c r="S2615" i="1"/>
  <c r="T2615" i="1"/>
  <c r="U2615" i="1"/>
  <c r="V2615" i="1"/>
  <c r="Q2616" i="1"/>
  <c r="R2616" i="1"/>
  <c r="S2616" i="1"/>
  <c r="T2616" i="1"/>
  <c r="U2616" i="1"/>
  <c r="V2616" i="1"/>
  <c r="Q2617" i="1"/>
  <c r="R2617" i="1"/>
  <c r="S2617" i="1"/>
  <c r="T2617" i="1"/>
  <c r="U2617" i="1"/>
  <c r="V2617" i="1"/>
  <c r="Q2618" i="1"/>
  <c r="R2618" i="1"/>
  <c r="S2618" i="1"/>
  <c r="T2618" i="1"/>
  <c r="U2618" i="1"/>
  <c r="V2618" i="1"/>
  <c r="Q2619" i="1"/>
  <c r="R2619" i="1"/>
  <c r="S2619" i="1"/>
  <c r="T2619" i="1"/>
  <c r="U2619" i="1"/>
  <c r="V2619" i="1"/>
  <c r="Q2620" i="1"/>
  <c r="R2620" i="1"/>
  <c r="S2620" i="1"/>
  <c r="T2620" i="1"/>
  <c r="U2620" i="1"/>
  <c r="V2620" i="1"/>
  <c r="Q2621" i="1"/>
  <c r="R2621" i="1"/>
  <c r="S2621" i="1"/>
  <c r="T2621" i="1"/>
  <c r="U2621" i="1"/>
  <c r="V2621" i="1"/>
  <c r="Q2622" i="1"/>
  <c r="R2622" i="1"/>
  <c r="S2622" i="1"/>
  <c r="T2622" i="1"/>
  <c r="U2622" i="1"/>
  <c r="V2622" i="1"/>
  <c r="Q2623" i="1"/>
  <c r="R2623" i="1"/>
  <c r="S2623" i="1"/>
  <c r="T2623" i="1"/>
  <c r="U2623" i="1"/>
  <c r="V2623" i="1"/>
  <c r="Q2624" i="1"/>
  <c r="R2624" i="1"/>
  <c r="S2624" i="1"/>
  <c r="T2624" i="1"/>
  <c r="U2624" i="1"/>
  <c r="V2624" i="1"/>
  <c r="Q2625" i="1"/>
  <c r="R2625" i="1"/>
  <c r="S2625" i="1"/>
  <c r="T2625" i="1"/>
  <c r="U2625" i="1"/>
  <c r="V2625" i="1"/>
  <c r="Q2626" i="1"/>
  <c r="R2626" i="1"/>
  <c r="S2626" i="1"/>
  <c r="T2626" i="1"/>
  <c r="U2626" i="1"/>
  <c r="V2626" i="1"/>
  <c r="Q2627" i="1"/>
  <c r="R2627" i="1"/>
  <c r="S2627" i="1"/>
  <c r="T2627" i="1"/>
  <c r="U2627" i="1"/>
  <c r="V2627" i="1"/>
  <c r="Q2628" i="1"/>
  <c r="R2628" i="1"/>
  <c r="S2628" i="1"/>
  <c r="T2628" i="1"/>
  <c r="U2628" i="1"/>
  <c r="V2628" i="1"/>
  <c r="Q2629" i="1"/>
  <c r="R2629" i="1"/>
  <c r="S2629" i="1"/>
  <c r="T2629" i="1"/>
  <c r="U2629" i="1"/>
  <c r="V2629" i="1"/>
  <c r="Q2630" i="1"/>
  <c r="R2630" i="1"/>
  <c r="S2630" i="1"/>
  <c r="T2630" i="1"/>
  <c r="U2630" i="1"/>
  <c r="V2630" i="1"/>
  <c r="Q2631" i="1"/>
  <c r="R2631" i="1"/>
  <c r="S2631" i="1"/>
  <c r="T2631" i="1"/>
  <c r="U2631" i="1"/>
  <c r="V2631" i="1"/>
  <c r="Q2632" i="1"/>
  <c r="R2632" i="1"/>
  <c r="S2632" i="1"/>
  <c r="T2632" i="1"/>
  <c r="U2632" i="1"/>
  <c r="V2632" i="1"/>
  <c r="Q2633" i="1"/>
  <c r="R2633" i="1"/>
  <c r="S2633" i="1"/>
  <c r="T2633" i="1"/>
  <c r="U2633" i="1"/>
  <c r="V2633" i="1"/>
  <c r="Q2634" i="1"/>
  <c r="R2634" i="1"/>
  <c r="S2634" i="1"/>
  <c r="T2634" i="1"/>
  <c r="U2634" i="1"/>
  <c r="V2634" i="1"/>
  <c r="Q2635" i="1"/>
  <c r="R2635" i="1"/>
  <c r="S2635" i="1"/>
  <c r="T2635" i="1"/>
  <c r="U2635" i="1"/>
  <c r="V2635" i="1"/>
  <c r="Q2636" i="1"/>
  <c r="R2636" i="1"/>
  <c r="S2636" i="1"/>
  <c r="T2636" i="1"/>
  <c r="U2636" i="1"/>
  <c r="V2636" i="1"/>
  <c r="Q2637" i="1"/>
  <c r="R2637" i="1"/>
  <c r="S2637" i="1"/>
  <c r="T2637" i="1"/>
  <c r="U2637" i="1"/>
  <c r="V2637" i="1"/>
  <c r="Q2638" i="1"/>
  <c r="R2638" i="1"/>
  <c r="S2638" i="1"/>
  <c r="T2638" i="1"/>
  <c r="U2638" i="1"/>
  <c r="V2638" i="1"/>
  <c r="Q2639" i="1"/>
  <c r="R2639" i="1"/>
  <c r="S2639" i="1"/>
  <c r="T2639" i="1"/>
  <c r="U2639" i="1"/>
  <c r="V2639" i="1"/>
  <c r="Q2640" i="1"/>
  <c r="R2640" i="1"/>
  <c r="S2640" i="1"/>
  <c r="T2640" i="1"/>
  <c r="U2640" i="1"/>
  <c r="V2640" i="1"/>
  <c r="Q2641" i="1"/>
  <c r="R2641" i="1"/>
  <c r="S2641" i="1"/>
  <c r="T2641" i="1"/>
  <c r="U2641" i="1"/>
  <c r="V2641" i="1"/>
  <c r="Q2642" i="1"/>
  <c r="R2642" i="1"/>
  <c r="S2642" i="1"/>
  <c r="T2642" i="1"/>
  <c r="U2642" i="1"/>
  <c r="V2642" i="1"/>
  <c r="Q2643" i="1"/>
  <c r="R2643" i="1"/>
  <c r="S2643" i="1"/>
  <c r="T2643" i="1"/>
  <c r="U2643" i="1"/>
  <c r="V2643" i="1"/>
  <c r="Q2644" i="1"/>
  <c r="R2644" i="1"/>
  <c r="S2644" i="1"/>
  <c r="T2644" i="1"/>
  <c r="U2644" i="1"/>
  <c r="V2644" i="1"/>
  <c r="Q2645" i="1"/>
  <c r="R2645" i="1"/>
  <c r="S2645" i="1"/>
  <c r="T2645" i="1"/>
  <c r="U2645" i="1"/>
  <c r="V2645" i="1"/>
  <c r="Q2646" i="1"/>
  <c r="R2646" i="1"/>
  <c r="S2646" i="1"/>
  <c r="T2646" i="1"/>
  <c r="U2646" i="1"/>
  <c r="V2646" i="1"/>
  <c r="Q2647" i="1"/>
  <c r="R2647" i="1"/>
  <c r="S2647" i="1"/>
  <c r="T2647" i="1"/>
  <c r="U2647" i="1"/>
  <c r="V2647" i="1"/>
  <c r="Q2648" i="1"/>
  <c r="R2648" i="1"/>
  <c r="S2648" i="1"/>
  <c r="T2648" i="1"/>
  <c r="U2648" i="1"/>
  <c r="V2648" i="1"/>
  <c r="Q2649" i="1"/>
  <c r="R2649" i="1"/>
  <c r="S2649" i="1"/>
  <c r="T2649" i="1"/>
  <c r="U2649" i="1"/>
  <c r="V2649" i="1"/>
  <c r="Q2650" i="1"/>
  <c r="R2650" i="1"/>
  <c r="S2650" i="1"/>
  <c r="T2650" i="1"/>
  <c r="U2650" i="1"/>
  <c r="V2650" i="1"/>
  <c r="Q2651" i="1"/>
  <c r="R2651" i="1"/>
  <c r="S2651" i="1"/>
  <c r="T2651" i="1"/>
  <c r="U2651" i="1"/>
  <c r="V2651" i="1"/>
  <c r="Q2652" i="1"/>
  <c r="R2652" i="1"/>
  <c r="S2652" i="1"/>
  <c r="T2652" i="1"/>
  <c r="U2652" i="1"/>
  <c r="V2652" i="1"/>
  <c r="Q2653" i="1"/>
  <c r="R2653" i="1"/>
  <c r="S2653" i="1"/>
  <c r="T2653" i="1"/>
  <c r="U2653" i="1"/>
  <c r="V2653" i="1"/>
  <c r="Q2654" i="1"/>
  <c r="R2654" i="1"/>
  <c r="S2654" i="1"/>
  <c r="T2654" i="1"/>
  <c r="U2654" i="1"/>
  <c r="V2654" i="1"/>
  <c r="Q2655" i="1"/>
  <c r="R2655" i="1"/>
  <c r="S2655" i="1"/>
  <c r="T2655" i="1"/>
  <c r="U2655" i="1"/>
  <c r="V2655" i="1"/>
  <c r="Q2656" i="1"/>
  <c r="R2656" i="1"/>
  <c r="S2656" i="1"/>
  <c r="T2656" i="1"/>
  <c r="U2656" i="1"/>
  <c r="V2656" i="1"/>
  <c r="Q2657" i="1"/>
  <c r="R2657" i="1"/>
  <c r="S2657" i="1"/>
  <c r="T2657" i="1"/>
  <c r="U2657" i="1"/>
  <c r="V2657" i="1"/>
  <c r="Q2658" i="1"/>
  <c r="R2658" i="1"/>
  <c r="S2658" i="1"/>
  <c r="T2658" i="1"/>
  <c r="U2658" i="1"/>
  <c r="V2658" i="1"/>
  <c r="Q2659" i="1"/>
  <c r="R2659" i="1"/>
  <c r="S2659" i="1"/>
  <c r="T2659" i="1"/>
  <c r="U2659" i="1"/>
  <c r="V2659" i="1"/>
  <c r="Q2660" i="1"/>
  <c r="R2660" i="1"/>
  <c r="S2660" i="1"/>
  <c r="T2660" i="1"/>
  <c r="U2660" i="1"/>
  <c r="V2660" i="1"/>
  <c r="Q2661" i="1"/>
  <c r="R2661" i="1"/>
  <c r="S2661" i="1"/>
  <c r="T2661" i="1"/>
  <c r="U2661" i="1"/>
  <c r="V2661" i="1"/>
  <c r="Q2662" i="1"/>
  <c r="R2662" i="1"/>
  <c r="S2662" i="1"/>
  <c r="T2662" i="1"/>
  <c r="U2662" i="1"/>
  <c r="V2662" i="1"/>
  <c r="Q2663" i="1"/>
  <c r="R2663" i="1"/>
  <c r="S2663" i="1"/>
  <c r="T2663" i="1"/>
  <c r="U2663" i="1"/>
  <c r="V2663" i="1"/>
  <c r="Q2664" i="1"/>
  <c r="R2664" i="1"/>
  <c r="S2664" i="1"/>
  <c r="T2664" i="1"/>
  <c r="U2664" i="1"/>
  <c r="V2664" i="1"/>
  <c r="Q2665" i="1"/>
  <c r="R2665" i="1"/>
  <c r="S2665" i="1"/>
  <c r="T2665" i="1"/>
  <c r="U2665" i="1"/>
  <c r="V2665" i="1"/>
  <c r="Q2666" i="1"/>
  <c r="R2666" i="1"/>
  <c r="S2666" i="1"/>
  <c r="T2666" i="1"/>
  <c r="U2666" i="1"/>
  <c r="V2666" i="1"/>
  <c r="Q2667" i="1"/>
  <c r="R2667" i="1"/>
  <c r="S2667" i="1"/>
  <c r="T2667" i="1"/>
  <c r="U2667" i="1"/>
  <c r="V2667" i="1"/>
  <c r="Q2668" i="1"/>
  <c r="R2668" i="1"/>
  <c r="S2668" i="1"/>
  <c r="T2668" i="1"/>
  <c r="U2668" i="1"/>
  <c r="V2668" i="1"/>
  <c r="Q2669" i="1"/>
  <c r="R2669" i="1"/>
  <c r="S2669" i="1"/>
  <c r="T2669" i="1"/>
  <c r="U2669" i="1"/>
  <c r="V2669" i="1"/>
  <c r="Q2670" i="1"/>
  <c r="R2670" i="1"/>
  <c r="S2670" i="1"/>
  <c r="T2670" i="1"/>
  <c r="U2670" i="1"/>
  <c r="V2670" i="1"/>
  <c r="Q2671" i="1"/>
  <c r="R2671" i="1"/>
  <c r="S2671" i="1"/>
  <c r="T2671" i="1"/>
  <c r="U2671" i="1"/>
  <c r="V2671" i="1"/>
  <c r="Q2672" i="1"/>
  <c r="R2672" i="1"/>
  <c r="S2672" i="1"/>
  <c r="T2672" i="1"/>
  <c r="U2672" i="1"/>
  <c r="V2672" i="1"/>
  <c r="Q2673" i="1"/>
  <c r="R2673" i="1"/>
  <c r="S2673" i="1"/>
  <c r="T2673" i="1"/>
  <c r="U2673" i="1"/>
  <c r="V2673" i="1"/>
  <c r="Q2674" i="1"/>
  <c r="R2674" i="1"/>
  <c r="S2674" i="1"/>
  <c r="T2674" i="1"/>
  <c r="U2674" i="1"/>
  <c r="V2674" i="1"/>
  <c r="Q2675" i="1"/>
  <c r="R2675" i="1"/>
  <c r="S2675" i="1"/>
  <c r="T2675" i="1"/>
  <c r="U2675" i="1"/>
  <c r="V2675" i="1"/>
  <c r="Q2676" i="1"/>
  <c r="R2676" i="1"/>
  <c r="S2676" i="1"/>
  <c r="T2676" i="1"/>
  <c r="U2676" i="1"/>
  <c r="V2676" i="1"/>
  <c r="Q2677" i="1"/>
  <c r="R2677" i="1"/>
  <c r="S2677" i="1"/>
  <c r="T2677" i="1"/>
  <c r="U2677" i="1"/>
  <c r="V2677" i="1"/>
  <c r="Q2678" i="1"/>
  <c r="R2678" i="1"/>
  <c r="S2678" i="1"/>
  <c r="T2678" i="1"/>
  <c r="U2678" i="1"/>
  <c r="V2678" i="1"/>
  <c r="Q2679" i="1"/>
  <c r="R2679" i="1"/>
  <c r="S2679" i="1"/>
  <c r="T2679" i="1"/>
  <c r="U2679" i="1"/>
  <c r="V2679" i="1"/>
  <c r="Q2680" i="1"/>
  <c r="R2680" i="1"/>
  <c r="S2680" i="1"/>
  <c r="T2680" i="1"/>
  <c r="U2680" i="1"/>
  <c r="V2680" i="1"/>
  <c r="Q2681" i="1"/>
  <c r="R2681" i="1"/>
  <c r="S2681" i="1"/>
  <c r="T2681" i="1"/>
  <c r="U2681" i="1"/>
  <c r="V2681" i="1"/>
  <c r="Q2682" i="1"/>
  <c r="R2682" i="1"/>
  <c r="S2682" i="1"/>
  <c r="T2682" i="1"/>
  <c r="U2682" i="1"/>
  <c r="V2682" i="1"/>
  <c r="Q2683" i="1"/>
  <c r="R2683" i="1"/>
  <c r="S2683" i="1"/>
  <c r="T2683" i="1"/>
  <c r="U2683" i="1"/>
  <c r="V2683" i="1"/>
  <c r="Q2684" i="1"/>
  <c r="R2684" i="1"/>
  <c r="S2684" i="1"/>
  <c r="T2684" i="1"/>
  <c r="U2684" i="1"/>
  <c r="V2684" i="1"/>
  <c r="Q2685" i="1"/>
  <c r="R2685" i="1"/>
  <c r="S2685" i="1"/>
  <c r="T2685" i="1"/>
  <c r="U2685" i="1"/>
  <c r="V2685" i="1"/>
  <c r="Q2686" i="1"/>
  <c r="R2686" i="1"/>
  <c r="S2686" i="1"/>
  <c r="T2686" i="1"/>
  <c r="U2686" i="1"/>
  <c r="V2686" i="1"/>
  <c r="Q2687" i="1"/>
  <c r="R2687" i="1"/>
  <c r="S2687" i="1"/>
  <c r="T2687" i="1"/>
  <c r="U2687" i="1"/>
  <c r="V2687" i="1"/>
  <c r="Q2688" i="1"/>
  <c r="R2688" i="1"/>
  <c r="S2688" i="1"/>
  <c r="T2688" i="1"/>
  <c r="U2688" i="1"/>
  <c r="V2688" i="1"/>
  <c r="Q2689" i="1"/>
  <c r="R2689" i="1"/>
  <c r="S2689" i="1"/>
  <c r="T2689" i="1"/>
  <c r="U2689" i="1"/>
  <c r="V2689" i="1"/>
  <c r="Q2690" i="1"/>
  <c r="R2690" i="1"/>
  <c r="S2690" i="1"/>
  <c r="T2690" i="1"/>
  <c r="U2690" i="1"/>
  <c r="V2690" i="1"/>
  <c r="Q2691" i="1"/>
  <c r="R2691" i="1"/>
  <c r="S2691" i="1"/>
  <c r="T2691" i="1"/>
  <c r="U2691" i="1"/>
  <c r="V2691" i="1"/>
  <c r="Q2692" i="1"/>
  <c r="R2692" i="1"/>
  <c r="S2692" i="1"/>
  <c r="T2692" i="1"/>
  <c r="U2692" i="1"/>
  <c r="V2692" i="1"/>
  <c r="Q2693" i="1"/>
  <c r="R2693" i="1"/>
  <c r="S2693" i="1"/>
  <c r="T2693" i="1"/>
  <c r="U2693" i="1"/>
  <c r="V2693" i="1"/>
  <c r="Q2694" i="1"/>
  <c r="R2694" i="1"/>
  <c r="S2694" i="1"/>
  <c r="T2694" i="1"/>
  <c r="U2694" i="1"/>
  <c r="V2694" i="1"/>
  <c r="Q2695" i="1"/>
  <c r="R2695" i="1"/>
  <c r="S2695" i="1"/>
  <c r="T2695" i="1"/>
  <c r="U2695" i="1"/>
  <c r="V2695" i="1"/>
  <c r="Q2696" i="1"/>
  <c r="R2696" i="1"/>
  <c r="S2696" i="1"/>
  <c r="T2696" i="1"/>
  <c r="U2696" i="1"/>
  <c r="V2696" i="1"/>
  <c r="Q2697" i="1"/>
  <c r="R2697" i="1"/>
  <c r="S2697" i="1"/>
  <c r="T2697" i="1"/>
  <c r="U2697" i="1"/>
  <c r="V2697" i="1"/>
  <c r="Q2698" i="1"/>
  <c r="R2698" i="1"/>
  <c r="S2698" i="1"/>
  <c r="T2698" i="1"/>
  <c r="U2698" i="1"/>
  <c r="V2698" i="1"/>
  <c r="Q2699" i="1"/>
  <c r="R2699" i="1"/>
  <c r="S2699" i="1"/>
  <c r="T2699" i="1"/>
  <c r="U2699" i="1"/>
  <c r="V2699" i="1"/>
  <c r="Q2700" i="1"/>
  <c r="R2700" i="1"/>
  <c r="S2700" i="1"/>
  <c r="T2700" i="1"/>
  <c r="U2700" i="1"/>
  <c r="V2700" i="1"/>
  <c r="Q2701" i="1"/>
  <c r="R2701" i="1"/>
  <c r="S2701" i="1"/>
  <c r="T2701" i="1"/>
  <c r="U2701" i="1"/>
  <c r="V2701" i="1"/>
  <c r="Q2702" i="1"/>
  <c r="R2702" i="1"/>
  <c r="S2702" i="1"/>
  <c r="T2702" i="1"/>
  <c r="U2702" i="1"/>
  <c r="V2702" i="1"/>
  <c r="Q2703" i="1"/>
  <c r="R2703" i="1"/>
  <c r="S2703" i="1"/>
  <c r="T2703" i="1"/>
  <c r="U2703" i="1"/>
  <c r="V2703" i="1"/>
  <c r="Q2704" i="1"/>
  <c r="R2704" i="1"/>
  <c r="S2704" i="1"/>
  <c r="T2704" i="1"/>
  <c r="U2704" i="1"/>
  <c r="V2704" i="1"/>
  <c r="Q2705" i="1"/>
  <c r="R2705" i="1"/>
  <c r="S2705" i="1"/>
  <c r="T2705" i="1"/>
  <c r="U2705" i="1"/>
  <c r="V2705" i="1"/>
  <c r="Q2706" i="1"/>
  <c r="R2706" i="1"/>
  <c r="S2706" i="1"/>
  <c r="T2706" i="1"/>
  <c r="U2706" i="1"/>
  <c r="V2706" i="1"/>
  <c r="Q2707" i="1"/>
  <c r="R2707" i="1"/>
  <c r="S2707" i="1"/>
  <c r="T2707" i="1"/>
  <c r="U2707" i="1"/>
  <c r="V2707" i="1"/>
  <c r="Q2708" i="1"/>
  <c r="R2708" i="1"/>
  <c r="S2708" i="1"/>
  <c r="T2708" i="1"/>
  <c r="U2708" i="1"/>
  <c r="V2708" i="1"/>
  <c r="Q2709" i="1"/>
  <c r="R2709" i="1"/>
  <c r="S2709" i="1"/>
  <c r="T2709" i="1"/>
  <c r="U2709" i="1"/>
  <c r="V2709" i="1"/>
  <c r="Q2710" i="1"/>
  <c r="R2710" i="1"/>
  <c r="S2710" i="1"/>
  <c r="T2710" i="1"/>
  <c r="U2710" i="1"/>
  <c r="V2710" i="1"/>
  <c r="Q2711" i="1"/>
  <c r="R2711" i="1"/>
  <c r="S2711" i="1"/>
  <c r="T2711" i="1"/>
  <c r="U2711" i="1"/>
  <c r="V2711" i="1"/>
  <c r="Q2712" i="1"/>
  <c r="R2712" i="1"/>
  <c r="S2712" i="1"/>
  <c r="T2712" i="1"/>
  <c r="U2712" i="1"/>
  <c r="V2712" i="1"/>
  <c r="Q2713" i="1"/>
  <c r="R2713" i="1"/>
  <c r="S2713" i="1"/>
  <c r="T2713" i="1"/>
  <c r="U2713" i="1"/>
  <c r="V2713" i="1"/>
  <c r="Q2714" i="1"/>
  <c r="R2714" i="1"/>
  <c r="S2714" i="1"/>
  <c r="T2714" i="1"/>
  <c r="U2714" i="1"/>
  <c r="V2714" i="1"/>
  <c r="Q2715" i="1"/>
  <c r="R2715" i="1"/>
  <c r="S2715" i="1"/>
  <c r="T2715" i="1"/>
  <c r="U2715" i="1"/>
  <c r="V2715" i="1"/>
  <c r="Q2716" i="1"/>
  <c r="R2716" i="1"/>
  <c r="S2716" i="1"/>
  <c r="T2716" i="1"/>
  <c r="U2716" i="1"/>
  <c r="V2716" i="1"/>
  <c r="Q2717" i="1"/>
  <c r="R2717" i="1"/>
  <c r="S2717" i="1"/>
  <c r="T2717" i="1"/>
  <c r="U2717" i="1"/>
  <c r="V2717" i="1"/>
  <c r="Q2718" i="1"/>
  <c r="R2718" i="1"/>
  <c r="S2718" i="1"/>
  <c r="T2718" i="1"/>
  <c r="U2718" i="1"/>
  <c r="V2718" i="1"/>
  <c r="Q2719" i="1"/>
  <c r="R2719" i="1"/>
  <c r="S2719" i="1"/>
  <c r="T2719" i="1"/>
  <c r="U2719" i="1"/>
  <c r="V2719" i="1"/>
  <c r="Q2720" i="1"/>
  <c r="R2720" i="1"/>
  <c r="S2720" i="1"/>
  <c r="T2720" i="1"/>
  <c r="U2720" i="1"/>
  <c r="V2720" i="1"/>
  <c r="Q2721" i="1"/>
  <c r="R2721" i="1"/>
  <c r="S2721" i="1"/>
  <c r="T2721" i="1"/>
  <c r="U2721" i="1"/>
  <c r="V2721" i="1"/>
  <c r="Q2722" i="1"/>
  <c r="R2722" i="1"/>
  <c r="S2722" i="1"/>
  <c r="T2722" i="1"/>
  <c r="U2722" i="1"/>
  <c r="V2722" i="1"/>
  <c r="Q2723" i="1"/>
  <c r="R2723" i="1"/>
  <c r="S2723" i="1"/>
  <c r="T2723" i="1"/>
  <c r="U2723" i="1"/>
  <c r="V2723" i="1"/>
  <c r="Q2724" i="1"/>
  <c r="R2724" i="1"/>
  <c r="S2724" i="1"/>
  <c r="T2724" i="1"/>
  <c r="U2724" i="1"/>
  <c r="V2724" i="1"/>
  <c r="Q2725" i="1"/>
  <c r="R2725" i="1"/>
  <c r="S2725" i="1"/>
  <c r="T2725" i="1"/>
  <c r="U2725" i="1"/>
  <c r="V2725" i="1"/>
  <c r="Q2726" i="1"/>
  <c r="R2726" i="1"/>
  <c r="S2726" i="1"/>
  <c r="T2726" i="1"/>
  <c r="U2726" i="1"/>
  <c r="V2726" i="1"/>
  <c r="Q2727" i="1"/>
  <c r="R2727" i="1"/>
  <c r="S2727" i="1"/>
  <c r="T2727" i="1"/>
  <c r="U2727" i="1"/>
  <c r="V2727" i="1"/>
  <c r="Q2728" i="1"/>
  <c r="R2728" i="1"/>
  <c r="S2728" i="1"/>
  <c r="T2728" i="1"/>
  <c r="U2728" i="1"/>
  <c r="V2728" i="1"/>
  <c r="Q2729" i="1"/>
  <c r="R2729" i="1"/>
  <c r="S2729" i="1"/>
  <c r="T2729" i="1"/>
  <c r="U2729" i="1"/>
  <c r="V2729" i="1"/>
  <c r="Q2730" i="1"/>
  <c r="R2730" i="1"/>
  <c r="S2730" i="1"/>
  <c r="T2730" i="1"/>
  <c r="U2730" i="1"/>
  <c r="V2730" i="1"/>
  <c r="Q2731" i="1"/>
  <c r="R2731" i="1"/>
  <c r="S2731" i="1"/>
  <c r="T2731" i="1"/>
  <c r="U2731" i="1"/>
  <c r="V2731" i="1"/>
  <c r="Q2732" i="1"/>
  <c r="R2732" i="1"/>
  <c r="S2732" i="1"/>
  <c r="T2732" i="1"/>
  <c r="U2732" i="1"/>
  <c r="V2732" i="1"/>
  <c r="Q2733" i="1"/>
  <c r="R2733" i="1"/>
  <c r="S2733" i="1"/>
  <c r="T2733" i="1"/>
  <c r="U2733" i="1"/>
  <c r="V2733" i="1"/>
  <c r="Q2734" i="1"/>
  <c r="R2734" i="1"/>
  <c r="S2734" i="1"/>
  <c r="T2734" i="1"/>
  <c r="U2734" i="1"/>
  <c r="V2734" i="1"/>
  <c r="Q2735" i="1"/>
  <c r="R2735" i="1"/>
  <c r="S2735" i="1"/>
  <c r="T2735" i="1"/>
  <c r="U2735" i="1"/>
  <c r="V2735" i="1"/>
  <c r="Q2736" i="1"/>
  <c r="R2736" i="1"/>
  <c r="S2736" i="1"/>
  <c r="T2736" i="1"/>
  <c r="U2736" i="1"/>
  <c r="V2736" i="1"/>
  <c r="Q2737" i="1"/>
  <c r="R2737" i="1"/>
  <c r="S2737" i="1"/>
  <c r="T2737" i="1"/>
  <c r="U2737" i="1"/>
  <c r="V2737" i="1"/>
  <c r="Q2738" i="1"/>
  <c r="R2738" i="1"/>
  <c r="S2738" i="1"/>
  <c r="T2738" i="1"/>
  <c r="U2738" i="1"/>
  <c r="V2738" i="1"/>
  <c r="Q2739" i="1"/>
  <c r="R2739" i="1"/>
  <c r="S2739" i="1"/>
  <c r="T2739" i="1"/>
  <c r="U2739" i="1"/>
  <c r="V2739" i="1"/>
  <c r="Q2740" i="1"/>
  <c r="R2740" i="1"/>
  <c r="S2740" i="1"/>
  <c r="T2740" i="1"/>
  <c r="U2740" i="1"/>
  <c r="V2740" i="1"/>
  <c r="Q2741" i="1"/>
  <c r="R2741" i="1"/>
  <c r="S2741" i="1"/>
  <c r="T2741" i="1"/>
  <c r="U2741" i="1"/>
  <c r="V2741" i="1"/>
  <c r="Q2742" i="1"/>
  <c r="R2742" i="1"/>
  <c r="S2742" i="1"/>
  <c r="T2742" i="1"/>
  <c r="U2742" i="1"/>
  <c r="V2742" i="1"/>
  <c r="Q2743" i="1"/>
  <c r="R2743" i="1"/>
  <c r="S2743" i="1"/>
  <c r="T2743" i="1"/>
  <c r="U2743" i="1"/>
  <c r="V2743" i="1"/>
  <c r="Q2744" i="1"/>
  <c r="R2744" i="1"/>
  <c r="S2744" i="1"/>
  <c r="T2744" i="1"/>
  <c r="U2744" i="1"/>
  <c r="V2744" i="1"/>
  <c r="Q2745" i="1"/>
  <c r="R2745" i="1"/>
  <c r="S2745" i="1"/>
  <c r="T2745" i="1"/>
  <c r="U2745" i="1"/>
  <c r="V2745" i="1"/>
  <c r="Q2746" i="1"/>
  <c r="R2746" i="1"/>
  <c r="S2746" i="1"/>
  <c r="T2746" i="1"/>
  <c r="U2746" i="1"/>
  <c r="V2746" i="1"/>
  <c r="Q2747" i="1"/>
  <c r="R2747" i="1"/>
  <c r="S2747" i="1"/>
  <c r="T2747" i="1"/>
  <c r="U2747" i="1"/>
  <c r="V2747" i="1"/>
  <c r="Q2748" i="1"/>
  <c r="R2748" i="1"/>
  <c r="S2748" i="1"/>
  <c r="T2748" i="1"/>
  <c r="U2748" i="1"/>
  <c r="V2748" i="1"/>
  <c r="Q2749" i="1"/>
  <c r="R2749" i="1"/>
  <c r="S2749" i="1"/>
  <c r="T2749" i="1"/>
  <c r="U2749" i="1"/>
  <c r="V2749" i="1"/>
  <c r="Q2750" i="1"/>
  <c r="R2750" i="1"/>
  <c r="S2750" i="1"/>
  <c r="T2750" i="1"/>
  <c r="U2750" i="1"/>
  <c r="V2750" i="1"/>
  <c r="Q2751" i="1"/>
  <c r="R2751" i="1"/>
  <c r="S2751" i="1"/>
  <c r="T2751" i="1"/>
  <c r="U2751" i="1"/>
  <c r="V2751" i="1"/>
  <c r="Q2752" i="1"/>
  <c r="R2752" i="1"/>
  <c r="S2752" i="1"/>
  <c r="T2752" i="1"/>
  <c r="U2752" i="1"/>
  <c r="V2752" i="1"/>
  <c r="Q2753" i="1"/>
  <c r="R2753" i="1"/>
  <c r="S2753" i="1"/>
  <c r="T2753" i="1"/>
  <c r="U2753" i="1"/>
  <c r="V2753" i="1"/>
  <c r="Q2754" i="1"/>
  <c r="R2754" i="1"/>
  <c r="S2754" i="1"/>
  <c r="T2754" i="1"/>
  <c r="U2754" i="1"/>
  <c r="V2754" i="1"/>
  <c r="Q2755" i="1"/>
  <c r="R2755" i="1"/>
  <c r="S2755" i="1"/>
  <c r="T2755" i="1"/>
  <c r="U2755" i="1"/>
  <c r="V2755" i="1"/>
  <c r="Q2756" i="1"/>
  <c r="R2756" i="1"/>
  <c r="S2756" i="1"/>
  <c r="T2756" i="1"/>
  <c r="U2756" i="1"/>
  <c r="V2756" i="1"/>
  <c r="Q2757" i="1"/>
  <c r="R2757" i="1"/>
  <c r="S2757" i="1"/>
  <c r="T2757" i="1"/>
  <c r="U2757" i="1"/>
  <c r="V2757" i="1"/>
  <c r="Q2758" i="1"/>
  <c r="R2758" i="1"/>
  <c r="S2758" i="1"/>
  <c r="T2758" i="1"/>
  <c r="U2758" i="1"/>
  <c r="V2758" i="1"/>
  <c r="Q2759" i="1"/>
  <c r="R2759" i="1"/>
  <c r="S2759" i="1"/>
  <c r="T2759" i="1"/>
  <c r="U2759" i="1"/>
  <c r="V2759" i="1"/>
  <c r="Q2760" i="1"/>
  <c r="R2760" i="1"/>
  <c r="S2760" i="1"/>
  <c r="T2760" i="1"/>
  <c r="U2760" i="1"/>
  <c r="V2760" i="1"/>
  <c r="Q2761" i="1"/>
  <c r="R2761" i="1"/>
  <c r="S2761" i="1"/>
  <c r="T2761" i="1"/>
  <c r="U2761" i="1"/>
  <c r="V2761" i="1"/>
  <c r="Q2762" i="1"/>
  <c r="R2762" i="1"/>
  <c r="S2762" i="1"/>
  <c r="T2762" i="1"/>
  <c r="U2762" i="1"/>
  <c r="V2762" i="1"/>
  <c r="Q2763" i="1"/>
  <c r="R2763" i="1"/>
  <c r="S2763" i="1"/>
  <c r="T2763" i="1"/>
  <c r="U2763" i="1"/>
  <c r="V2763" i="1"/>
  <c r="Q2764" i="1"/>
  <c r="R2764" i="1"/>
  <c r="S2764" i="1"/>
  <c r="T2764" i="1"/>
  <c r="U2764" i="1"/>
  <c r="V2764" i="1"/>
  <c r="Q2765" i="1"/>
  <c r="R2765" i="1"/>
  <c r="S2765" i="1"/>
  <c r="T2765" i="1"/>
  <c r="U2765" i="1"/>
  <c r="V2765" i="1"/>
  <c r="Q2766" i="1"/>
  <c r="R2766" i="1"/>
  <c r="S2766" i="1"/>
  <c r="T2766" i="1"/>
  <c r="U2766" i="1"/>
  <c r="V2766" i="1"/>
  <c r="Q2767" i="1"/>
  <c r="R2767" i="1"/>
  <c r="S2767" i="1"/>
  <c r="T2767" i="1"/>
  <c r="U2767" i="1"/>
  <c r="V2767" i="1"/>
  <c r="Q2768" i="1"/>
  <c r="R2768" i="1"/>
  <c r="S2768" i="1"/>
  <c r="T2768" i="1"/>
  <c r="U2768" i="1"/>
  <c r="V2768" i="1"/>
  <c r="Q2769" i="1"/>
  <c r="R2769" i="1"/>
  <c r="S2769" i="1"/>
  <c r="T2769" i="1"/>
  <c r="U2769" i="1"/>
  <c r="V2769" i="1"/>
  <c r="Q2770" i="1"/>
  <c r="R2770" i="1"/>
  <c r="S2770" i="1"/>
  <c r="T2770" i="1"/>
  <c r="U2770" i="1"/>
  <c r="V2770" i="1"/>
  <c r="Q2771" i="1"/>
  <c r="R2771" i="1"/>
  <c r="S2771" i="1"/>
  <c r="T2771" i="1"/>
  <c r="U2771" i="1"/>
  <c r="V2771" i="1"/>
  <c r="Q2772" i="1"/>
  <c r="R2772" i="1"/>
  <c r="S2772" i="1"/>
  <c r="T2772" i="1"/>
  <c r="U2772" i="1"/>
  <c r="V2772" i="1"/>
  <c r="Q2773" i="1"/>
  <c r="R2773" i="1"/>
  <c r="S2773" i="1"/>
  <c r="T2773" i="1"/>
  <c r="U2773" i="1"/>
  <c r="V2773" i="1"/>
  <c r="Q2774" i="1"/>
  <c r="R2774" i="1"/>
  <c r="S2774" i="1"/>
  <c r="T2774" i="1"/>
  <c r="U2774" i="1"/>
  <c r="V2774" i="1"/>
  <c r="Q2775" i="1"/>
  <c r="R2775" i="1"/>
  <c r="S2775" i="1"/>
  <c r="T2775" i="1"/>
  <c r="U2775" i="1"/>
  <c r="V2775" i="1"/>
  <c r="Q2776" i="1"/>
  <c r="R2776" i="1"/>
  <c r="S2776" i="1"/>
  <c r="T2776" i="1"/>
  <c r="U2776" i="1"/>
  <c r="V2776" i="1"/>
  <c r="Q2777" i="1"/>
  <c r="R2777" i="1"/>
  <c r="S2777" i="1"/>
  <c r="T2777" i="1"/>
  <c r="U2777" i="1"/>
  <c r="V2777" i="1"/>
  <c r="Q2778" i="1"/>
  <c r="R2778" i="1"/>
  <c r="S2778" i="1"/>
  <c r="T2778" i="1"/>
  <c r="U2778" i="1"/>
  <c r="V2778" i="1"/>
  <c r="Q2779" i="1"/>
  <c r="R2779" i="1"/>
  <c r="S2779" i="1"/>
  <c r="T2779" i="1"/>
  <c r="U2779" i="1"/>
  <c r="V2779" i="1"/>
  <c r="Q2780" i="1"/>
  <c r="R2780" i="1"/>
  <c r="S2780" i="1"/>
  <c r="T2780" i="1"/>
  <c r="U2780" i="1"/>
  <c r="V2780" i="1"/>
  <c r="Q2781" i="1"/>
  <c r="R2781" i="1"/>
  <c r="S2781" i="1"/>
  <c r="T2781" i="1"/>
  <c r="U2781" i="1"/>
  <c r="V2781" i="1"/>
  <c r="Q2782" i="1"/>
  <c r="R2782" i="1"/>
  <c r="S2782" i="1"/>
  <c r="T2782" i="1"/>
  <c r="U2782" i="1"/>
  <c r="V2782" i="1"/>
  <c r="Q2783" i="1"/>
  <c r="R2783" i="1"/>
  <c r="S2783" i="1"/>
  <c r="T2783" i="1"/>
  <c r="U2783" i="1"/>
  <c r="V2783" i="1"/>
  <c r="Q2784" i="1"/>
  <c r="R2784" i="1"/>
  <c r="S2784" i="1"/>
  <c r="T2784" i="1"/>
  <c r="U2784" i="1"/>
  <c r="V2784" i="1"/>
  <c r="Q2785" i="1"/>
  <c r="R2785" i="1"/>
  <c r="S2785" i="1"/>
  <c r="T2785" i="1"/>
  <c r="U2785" i="1"/>
  <c r="V2785" i="1"/>
  <c r="Q2786" i="1"/>
  <c r="R2786" i="1"/>
  <c r="S2786" i="1"/>
  <c r="T2786" i="1"/>
  <c r="U2786" i="1"/>
  <c r="V2786" i="1"/>
  <c r="Q2787" i="1"/>
  <c r="R2787" i="1"/>
  <c r="S2787" i="1"/>
  <c r="T2787" i="1"/>
  <c r="U2787" i="1"/>
  <c r="V2787" i="1"/>
  <c r="Q2788" i="1"/>
  <c r="R2788" i="1"/>
  <c r="S2788" i="1"/>
  <c r="T2788" i="1"/>
  <c r="U2788" i="1"/>
  <c r="V2788" i="1"/>
  <c r="Q2789" i="1"/>
  <c r="R2789" i="1"/>
  <c r="S2789" i="1"/>
  <c r="T2789" i="1"/>
  <c r="U2789" i="1"/>
  <c r="V2789" i="1"/>
  <c r="Q2790" i="1"/>
  <c r="R2790" i="1"/>
  <c r="S2790" i="1"/>
  <c r="T2790" i="1"/>
  <c r="U2790" i="1"/>
  <c r="V2790" i="1"/>
  <c r="Q2791" i="1"/>
  <c r="R2791" i="1"/>
  <c r="S2791" i="1"/>
  <c r="T2791" i="1"/>
  <c r="U2791" i="1"/>
  <c r="V2791" i="1"/>
  <c r="Q2792" i="1"/>
  <c r="R2792" i="1"/>
  <c r="S2792" i="1"/>
  <c r="T2792" i="1"/>
  <c r="U2792" i="1"/>
  <c r="V2792" i="1"/>
  <c r="Q2793" i="1"/>
  <c r="R2793" i="1"/>
  <c r="S2793" i="1"/>
  <c r="T2793" i="1"/>
  <c r="U2793" i="1"/>
  <c r="V2793" i="1"/>
  <c r="Q2794" i="1"/>
  <c r="R2794" i="1"/>
  <c r="S2794" i="1"/>
  <c r="T2794" i="1"/>
  <c r="U2794" i="1"/>
  <c r="V2794" i="1"/>
  <c r="Q2795" i="1"/>
  <c r="R2795" i="1"/>
  <c r="S2795" i="1"/>
  <c r="T2795" i="1"/>
  <c r="U2795" i="1"/>
  <c r="V2795" i="1"/>
  <c r="Q2796" i="1"/>
  <c r="R2796" i="1"/>
  <c r="S2796" i="1"/>
  <c r="T2796" i="1"/>
  <c r="U2796" i="1"/>
  <c r="V2796" i="1"/>
  <c r="Q2797" i="1"/>
  <c r="R2797" i="1"/>
  <c r="S2797" i="1"/>
  <c r="T2797" i="1"/>
  <c r="U2797" i="1"/>
  <c r="V2797" i="1"/>
  <c r="Q2798" i="1"/>
  <c r="R2798" i="1"/>
  <c r="S2798" i="1"/>
  <c r="T2798" i="1"/>
  <c r="U2798" i="1"/>
  <c r="V2798" i="1"/>
  <c r="Q2799" i="1"/>
  <c r="R2799" i="1"/>
  <c r="S2799" i="1"/>
  <c r="T2799" i="1"/>
  <c r="U2799" i="1"/>
  <c r="V2799" i="1"/>
  <c r="Q2800" i="1"/>
  <c r="R2800" i="1"/>
  <c r="S2800" i="1"/>
  <c r="T2800" i="1"/>
  <c r="U2800" i="1"/>
  <c r="V2800" i="1"/>
  <c r="Q2801" i="1"/>
  <c r="R2801" i="1"/>
  <c r="S2801" i="1"/>
  <c r="T2801" i="1"/>
  <c r="U2801" i="1"/>
  <c r="V2801" i="1"/>
  <c r="Q2802" i="1"/>
  <c r="R2802" i="1"/>
  <c r="S2802" i="1"/>
  <c r="T2802" i="1"/>
  <c r="U2802" i="1"/>
  <c r="V2802" i="1"/>
  <c r="Q2803" i="1"/>
  <c r="R2803" i="1"/>
  <c r="S2803" i="1"/>
  <c r="T2803" i="1"/>
  <c r="U2803" i="1"/>
  <c r="V2803" i="1"/>
  <c r="Q2804" i="1"/>
  <c r="R2804" i="1"/>
  <c r="S2804" i="1"/>
  <c r="T2804" i="1"/>
  <c r="U2804" i="1"/>
  <c r="V2804" i="1"/>
  <c r="Q2805" i="1"/>
  <c r="R2805" i="1"/>
  <c r="S2805" i="1"/>
  <c r="T2805" i="1"/>
  <c r="U2805" i="1"/>
  <c r="V2805" i="1"/>
  <c r="Q2806" i="1"/>
  <c r="R2806" i="1"/>
  <c r="S2806" i="1"/>
  <c r="T2806" i="1"/>
  <c r="U2806" i="1"/>
  <c r="V2806" i="1"/>
  <c r="Q2807" i="1"/>
  <c r="R2807" i="1"/>
  <c r="S2807" i="1"/>
  <c r="T2807" i="1"/>
  <c r="U2807" i="1"/>
  <c r="V2807" i="1"/>
  <c r="Q2808" i="1"/>
  <c r="R2808" i="1"/>
  <c r="S2808" i="1"/>
  <c r="T2808" i="1"/>
  <c r="U2808" i="1"/>
  <c r="V2808" i="1"/>
  <c r="Q2809" i="1"/>
  <c r="R2809" i="1"/>
  <c r="S2809" i="1"/>
  <c r="T2809" i="1"/>
  <c r="U2809" i="1"/>
  <c r="V2809" i="1"/>
  <c r="Q2810" i="1"/>
  <c r="R2810" i="1"/>
  <c r="S2810" i="1"/>
  <c r="T2810" i="1"/>
  <c r="U2810" i="1"/>
  <c r="V2810" i="1"/>
  <c r="Q2811" i="1"/>
  <c r="R2811" i="1"/>
  <c r="S2811" i="1"/>
  <c r="T2811" i="1"/>
  <c r="U2811" i="1"/>
  <c r="V2811" i="1"/>
  <c r="Q2812" i="1"/>
  <c r="R2812" i="1"/>
  <c r="S2812" i="1"/>
  <c r="T2812" i="1"/>
  <c r="U2812" i="1"/>
  <c r="V2812" i="1"/>
  <c r="Q2813" i="1"/>
  <c r="R2813" i="1"/>
  <c r="S2813" i="1"/>
  <c r="T2813" i="1"/>
  <c r="U2813" i="1"/>
  <c r="V2813" i="1"/>
  <c r="Q2814" i="1"/>
  <c r="R2814" i="1"/>
  <c r="S2814" i="1"/>
  <c r="T2814" i="1"/>
  <c r="U2814" i="1"/>
  <c r="V2814" i="1"/>
  <c r="Q2815" i="1"/>
  <c r="R2815" i="1"/>
  <c r="S2815" i="1"/>
  <c r="T2815" i="1"/>
  <c r="U2815" i="1"/>
  <c r="V2815" i="1"/>
  <c r="Q2816" i="1"/>
  <c r="R2816" i="1"/>
  <c r="S2816" i="1"/>
  <c r="T2816" i="1"/>
  <c r="U2816" i="1"/>
  <c r="V2816" i="1"/>
  <c r="Q2817" i="1"/>
  <c r="R2817" i="1"/>
  <c r="S2817" i="1"/>
  <c r="T2817" i="1"/>
  <c r="U2817" i="1"/>
  <c r="V2817" i="1"/>
  <c r="Q2818" i="1"/>
  <c r="R2818" i="1"/>
  <c r="S2818" i="1"/>
  <c r="T2818" i="1"/>
  <c r="U2818" i="1"/>
  <c r="V2818" i="1"/>
  <c r="Q2819" i="1"/>
  <c r="R2819" i="1"/>
  <c r="S2819" i="1"/>
  <c r="T2819" i="1"/>
  <c r="U2819" i="1"/>
  <c r="V2819" i="1"/>
  <c r="Q2820" i="1"/>
  <c r="R2820" i="1"/>
  <c r="S2820" i="1"/>
  <c r="T2820" i="1"/>
  <c r="U2820" i="1"/>
  <c r="V2820" i="1"/>
  <c r="Q2821" i="1"/>
  <c r="R2821" i="1"/>
  <c r="S2821" i="1"/>
  <c r="T2821" i="1"/>
  <c r="U2821" i="1"/>
  <c r="V2821" i="1"/>
  <c r="Q2822" i="1"/>
  <c r="R2822" i="1"/>
  <c r="S2822" i="1"/>
  <c r="T2822" i="1"/>
  <c r="U2822" i="1"/>
  <c r="V2822" i="1"/>
  <c r="Q2823" i="1"/>
  <c r="R2823" i="1"/>
  <c r="S2823" i="1"/>
  <c r="T2823" i="1"/>
  <c r="U2823" i="1"/>
  <c r="V2823" i="1"/>
  <c r="Q2824" i="1"/>
  <c r="R2824" i="1"/>
  <c r="S2824" i="1"/>
  <c r="T2824" i="1"/>
  <c r="U2824" i="1"/>
  <c r="V2824" i="1"/>
  <c r="Q2825" i="1"/>
  <c r="R2825" i="1"/>
  <c r="S2825" i="1"/>
  <c r="T2825" i="1"/>
  <c r="U2825" i="1"/>
  <c r="V2825" i="1"/>
  <c r="Q2826" i="1"/>
  <c r="R2826" i="1"/>
  <c r="S2826" i="1"/>
  <c r="T2826" i="1"/>
  <c r="U2826" i="1"/>
  <c r="V2826" i="1"/>
  <c r="Q2827" i="1"/>
  <c r="R2827" i="1"/>
  <c r="S2827" i="1"/>
  <c r="T2827" i="1"/>
  <c r="U2827" i="1"/>
  <c r="V2827" i="1"/>
  <c r="Q2828" i="1"/>
  <c r="R2828" i="1"/>
  <c r="S2828" i="1"/>
  <c r="T2828" i="1"/>
  <c r="U2828" i="1"/>
  <c r="V2828" i="1"/>
  <c r="Q2829" i="1"/>
  <c r="R2829" i="1"/>
  <c r="S2829" i="1"/>
  <c r="T2829" i="1"/>
  <c r="U2829" i="1"/>
  <c r="V2829" i="1"/>
  <c r="Q2830" i="1"/>
  <c r="R2830" i="1"/>
  <c r="S2830" i="1"/>
  <c r="T2830" i="1"/>
  <c r="U2830" i="1"/>
  <c r="V2830" i="1"/>
  <c r="Q2831" i="1"/>
  <c r="R2831" i="1"/>
  <c r="S2831" i="1"/>
  <c r="T2831" i="1"/>
  <c r="U2831" i="1"/>
  <c r="V2831" i="1"/>
  <c r="Q2832" i="1"/>
  <c r="R2832" i="1"/>
  <c r="S2832" i="1"/>
  <c r="T2832" i="1"/>
  <c r="U2832" i="1"/>
  <c r="V2832" i="1"/>
  <c r="Q2833" i="1"/>
  <c r="R2833" i="1"/>
  <c r="S2833" i="1"/>
  <c r="T2833" i="1"/>
  <c r="U2833" i="1"/>
  <c r="V2833" i="1"/>
  <c r="Q2834" i="1"/>
  <c r="R2834" i="1"/>
  <c r="S2834" i="1"/>
  <c r="T2834" i="1"/>
  <c r="U2834" i="1"/>
  <c r="V2834" i="1"/>
  <c r="Q2835" i="1"/>
  <c r="R2835" i="1"/>
  <c r="S2835" i="1"/>
  <c r="T2835" i="1"/>
  <c r="U2835" i="1"/>
  <c r="V2835" i="1"/>
  <c r="Q2836" i="1"/>
  <c r="R2836" i="1"/>
  <c r="S2836" i="1"/>
  <c r="T2836" i="1"/>
  <c r="U2836" i="1"/>
  <c r="V2836" i="1"/>
  <c r="Q2837" i="1"/>
  <c r="R2837" i="1"/>
  <c r="S2837" i="1"/>
  <c r="T2837" i="1"/>
  <c r="U2837" i="1"/>
  <c r="V2837" i="1"/>
  <c r="Q2838" i="1"/>
  <c r="R2838" i="1"/>
  <c r="S2838" i="1"/>
  <c r="T2838" i="1"/>
  <c r="U2838" i="1"/>
  <c r="V2838" i="1"/>
  <c r="Q2839" i="1"/>
  <c r="R2839" i="1"/>
  <c r="S2839" i="1"/>
  <c r="T2839" i="1"/>
  <c r="U2839" i="1"/>
  <c r="V2839" i="1"/>
  <c r="Q2840" i="1"/>
  <c r="R2840" i="1"/>
  <c r="S2840" i="1"/>
  <c r="T2840" i="1"/>
  <c r="U2840" i="1"/>
  <c r="V2840" i="1"/>
  <c r="Q2841" i="1"/>
  <c r="R2841" i="1"/>
  <c r="S2841" i="1"/>
  <c r="T2841" i="1"/>
  <c r="U2841" i="1"/>
  <c r="V2841" i="1"/>
  <c r="Q2842" i="1"/>
  <c r="R2842" i="1"/>
  <c r="S2842" i="1"/>
  <c r="T2842" i="1"/>
  <c r="U2842" i="1"/>
  <c r="V2842" i="1"/>
  <c r="Q2843" i="1"/>
  <c r="R2843" i="1"/>
  <c r="S2843" i="1"/>
  <c r="T2843" i="1"/>
  <c r="U2843" i="1"/>
  <c r="V2843" i="1"/>
  <c r="Q2844" i="1"/>
  <c r="R2844" i="1"/>
  <c r="S2844" i="1"/>
  <c r="T2844" i="1"/>
  <c r="U2844" i="1"/>
  <c r="V2844" i="1"/>
  <c r="Q2845" i="1"/>
  <c r="R2845" i="1"/>
  <c r="S2845" i="1"/>
  <c r="T2845" i="1"/>
  <c r="U2845" i="1"/>
  <c r="V2845" i="1"/>
  <c r="Q2846" i="1"/>
  <c r="R2846" i="1"/>
  <c r="S2846" i="1"/>
  <c r="T2846" i="1"/>
  <c r="U2846" i="1"/>
  <c r="V2846" i="1"/>
  <c r="Q2847" i="1"/>
  <c r="R2847" i="1"/>
  <c r="S2847" i="1"/>
  <c r="T2847" i="1"/>
  <c r="U2847" i="1"/>
  <c r="V2847" i="1"/>
  <c r="Q2848" i="1"/>
  <c r="R2848" i="1"/>
  <c r="S2848" i="1"/>
  <c r="T2848" i="1"/>
  <c r="U2848" i="1"/>
  <c r="V2848" i="1"/>
  <c r="Q2849" i="1"/>
  <c r="R2849" i="1"/>
  <c r="S2849" i="1"/>
  <c r="T2849" i="1"/>
  <c r="U2849" i="1"/>
  <c r="V2849" i="1"/>
  <c r="Q2850" i="1"/>
  <c r="R2850" i="1"/>
  <c r="S2850" i="1"/>
  <c r="T2850" i="1"/>
  <c r="U2850" i="1"/>
  <c r="V2850" i="1"/>
  <c r="Q2851" i="1"/>
  <c r="R2851" i="1"/>
  <c r="S2851" i="1"/>
  <c r="T2851" i="1"/>
  <c r="U2851" i="1"/>
  <c r="V2851" i="1"/>
  <c r="Q2852" i="1"/>
  <c r="R2852" i="1"/>
  <c r="S2852" i="1"/>
  <c r="T2852" i="1"/>
  <c r="U2852" i="1"/>
  <c r="V2852" i="1"/>
  <c r="Q2853" i="1"/>
  <c r="R2853" i="1"/>
  <c r="S2853" i="1"/>
  <c r="T2853" i="1"/>
  <c r="U2853" i="1"/>
  <c r="V2853" i="1"/>
  <c r="Q2854" i="1"/>
  <c r="R2854" i="1"/>
  <c r="S2854" i="1"/>
  <c r="T2854" i="1"/>
  <c r="U2854" i="1"/>
  <c r="V2854" i="1"/>
  <c r="Q2855" i="1"/>
  <c r="R2855" i="1"/>
  <c r="S2855" i="1"/>
  <c r="T2855" i="1"/>
  <c r="U2855" i="1"/>
  <c r="V2855" i="1"/>
  <c r="Q2856" i="1"/>
  <c r="R2856" i="1"/>
  <c r="S2856" i="1"/>
  <c r="T2856" i="1"/>
  <c r="U2856" i="1"/>
  <c r="V2856" i="1"/>
  <c r="Q2857" i="1"/>
  <c r="R2857" i="1"/>
  <c r="S2857" i="1"/>
  <c r="T2857" i="1"/>
  <c r="U2857" i="1"/>
  <c r="V2857" i="1"/>
  <c r="Q2858" i="1"/>
  <c r="R2858" i="1"/>
  <c r="S2858" i="1"/>
  <c r="T2858" i="1"/>
  <c r="U2858" i="1"/>
  <c r="V2858" i="1"/>
  <c r="Q2859" i="1"/>
  <c r="R2859" i="1"/>
  <c r="S2859" i="1"/>
  <c r="T2859" i="1"/>
  <c r="U2859" i="1"/>
  <c r="V2859" i="1"/>
  <c r="Q2860" i="1"/>
  <c r="R2860" i="1"/>
  <c r="S2860" i="1"/>
  <c r="T2860" i="1"/>
  <c r="U2860" i="1"/>
  <c r="V2860" i="1"/>
  <c r="Q2861" i="1"/>
  <c r="R2861" i="1"/>
  <c r="S2861" i="1"/>
  <c r="T2861" i="1"/>
  <c r="U2861" i="1"/>
  <c r="V2861" i="1"/>
  <c r="Q2862" i="1"/>
  <c r="R2862" i="1"/>
  <c r="S2862" i="1"/>
  <c r="T2862" i="1"/>
  <c r="U2862" i="1"/>
  <c r="V2862" i="1"/>
  <c r="Q2863" i="1"/>
  <c r="R2863" i="1"/>
  <c r="S2863" i="1"/>
  <c r="T2863" i="1"/>
  <c r="U2863" i="1"/>
  <c r="V2863" i="1"/>
  <c r="Q2864" i="1"/>
  <c r="R2864" i="1"/>
  <c r="S2864" i="1"/>
  <c r="T2864" i="1"/>
  <c r="U2864" i="1"/>
  <c r="V2864" i="1"/>
  <c r="Q2865" i="1"/>
  <c r="R2865" i="1"/>
  <c r="S2865" i="1"/>
  <c r="T2865" i="1"/>
  <c r="U2865" i="1"/>
  <c r="V2865" i="1"/>
  <c r="Q2866" i="1"/>
  <c r="R2866" i="1"/>
  <c r="S2866" i="1"/>
  <c r="T2866" i="1"/>
  <c r="U2866" i="1"/>
  <c r="V2866" i="1"/>
  <c r="Q2867" i="1"/>
  <c r="R2867" i="1"/>
  <c r="S2867" i="1"/>
  <c r="T2867" i="1"/>
  <c r="U2867" i="1"/>
  <c r="V2867" i="1"/>
  <c r="Q2868" i="1"/>
  <c r="R2868" i="1"/>
  <c r="S2868" i="1"/>
  <c r="T2868" i="1"/>
  <c r="U2868" i="1"/>
  <c r="V2868" i="1"/>
  <c r="Q2869" i="1"/>
  <c r="R2869" i="1"/>
  <c r="S2869" i="1"/>
  <c r="T2869" i="1"/>
  <c r="U2869" i="1"/>
  <c r="V2869" i="1"/>
  <c r="Q2870" i="1"/>
  <c r="R2870" i="1"/>
  <c r="S2870" i="1"/>
  <c r="T2870" i="1"/>
  <c r="U2870" i="1"/>
  <c r="V2870" i="1"/>
  <c r="Q2871" i="1"/>
  <c r="R2871" i="1"/>
  <c r="S2871" i="1"/>
  <c r="T2871" i="1"/>
  <c r="U2871" i="1"/>
  <c r="V2871" i="1"/>
  <c r="Q2872" i="1"/>
  <c r="R2872" i="1"/>
  <c r="S2872" i="1"/>
  <c r="T2872" i="1"/>
  <c r="U2872" i="1"/>
  <c r="V2872" i="1"/>
  <c r="Q2873" i="1"/>
  <c r="R2873" i="1"/>
  <c r="S2873" i="1"/>
  <c r="T2873" i="1"/>
  <c r="U2873" i="1"/>
  <c r="V2873" i="1"/>
  <c r="Q2874" i="1"/>
  <c r="R2874" i="1"/>
  <c r="S2874" i="1"/>
  <c r="T2874" i="1"/>
  <c r="U2874" i="1"/>
  <c r="V2874" i="1"/>
  <c r="Q2875" i="1"/>
  <c r="R2875" i="1"/>
  <c r="S2875" i="1"/>
  <c r="T2875" i="1"/>
  <c r="U2875" i="1"/>
  <c r="V2875" i="1"/>
  <c r="Q2876" i="1"/>
  <c r="R2876" i="1"/>
  <c r="S2876" i="1"/>
  <c r="T2876" i="1"/>
  <c r="U2876" i="1"/>
  <c r="V2876" i="1"/>
  <c r="Q2877" i="1"/>
  <c r="R2877" i="1"/>
  <c r="S2877" i="1"/>
  <c r="T2877" i="1"/>
  <c r="U2877" i="1"/>
  <c r="V2877" i="1"/>
  <c r="Q2878" i="1"/>
  <c r="R2878" i="1"/>
  <c r="S2878" i="1"/>
  <c r="T2878" i="1"/>
  <c r="U2878" i="1"/>
  <c r="V2878" i="1"/>
  <c r="Q2879" i="1"/>
  <c r="R2879" i="1"/>
  <c r="S2879" i="1"/>
  <c r="T2879" i="1"/>
  <c r="U2879" i="1"/>
  <c r="V2879" i="1"/>
  <c r="Q2880" i="1"/>
  <c r="R2880" i="1"/>
  <c r="S2880" i="1"/>
  <c r="T2880" i="1"/>
  <c r="U2880" i="1"/>
  <c r="V2880" i="1"/>
  <c r="Q2881" i="1"/>
  <c r="R2881" i="1"/>
  <c r="S2881" i="1"/>
  <c r="T2881" i="1"/>
  <c r="U2881" i="1"/>
  <c r="V2881" i="1"/>
  <c r="Q2882" i="1"/>
  <c r="R2882" i="1"/>
  <c r="S2882" i="1"/>
  <c r="T2882" i="1"/>
  <c r="U2882" i="1"/>
  <c r="V2882" i="1"/>
  <c r="Q2883" i="1"/>
  <c r="R2883" i="1"/>
  <c r="S2883" i="1"/>
  <c r="T2883" i="1"/>
  <c r="U2883" i="1"/>
  <c r="V2883" i="1"/>
  <c r="Q2884" i="1"/>
  <c r="R2884" i="1"/>
  <c r="S2884" i="1"/>
  <c r="T2884" i="1"/>
  <c r="U2884" i="1"/>
  <c r="V2884" i="1"/>
  <c r="Q2885" i="1"/>
  <c r="R2885" i="1"/>
  <c r="S2885" i="1"/>
  <c r="T2885" i="1"/>
  <c r="U2885" i="1"/>
  <c r="V2885" i="1"/>
  <c r="Q2886" i="1"/>
  <c r="R2886" i="1"/>
  <c r="S2886" i="1"/>
  <c r="T2886" i="1"/>
  <c r="U2886" i="1"/>
  <c r="V2886" i="1"/>
  <c r="Q2887" i="1"/>
  <c r="R2887" i="1"/>
  <c r="S2887" i="1"/>
  <c r="T2887" i="1"/>
  <c r="U2887" i="1"/>
  <c r="V2887" i="1"/>
  <c r="Q2888" i="1"/>
  <c r="R2888" i="1"/>
  <c r="S2888" i="1"/>
  <c r="T2888" i="1"/>
  <c r="U2888" i="1"/>
  <c r="V2888" i="1"/>
  <c r="Q2889" i="1"/>
  <c r="R2889" i="1"/>
  <c r="S2889" i="1"/>
  <c r="T2889" i="1"/>
  <c r="U2889" i="1"/>
  <c r="V2889" i="1"/>
  <c r="Q2890" i="1"/>
  <c r="R2890" i="1"/>
  <c r="S2890" i="1"/>
  <c r="T2890" i="1"/>
  <c r="U2890" i="1"/>
  <c r="V2890" i="1"/>
</calcChain>
</file>

<file path=xl/sharedStrings.xml><?xml version="1.0" encoding="utf-8"?>
<sst xmlns="http://schemas.openxmlformats.org/spreadsheetml/2006/main" count="8684" uniqueCount="5799">
  <si>
    <t>DỮ LIỆU DOANH NGHIỆP</t>
  </si>
  <si>
    <t>Ngày cập nhật: 19/03/2026</t>
  </si>
  <si>
    <t>STT</t>
  </si>
  <si>
    <t>Mã CK</t>
  </si>
  <si>
    <t>Tên công ty</t>
  </si>
  <si>
    <t>Sàn CK</t>
  </si>
  <si>
    <t>Vốn hóa thị trường[Năm: 2026, ĐVT: đồng]</t>
  </si>
  <si>
    <t>Vốn hóa thị trường[Quý 1 Năm 2025, ĐVT: đồng]</t>
  </si>
  <si>
    <t>Vốn hóa thị trường[Quý 4 Năm 2025, ĐVT: đồng]</t>
  </si>
  <si>
    <t>Vốn hóa thị trường[Quý 2 Năm 2025, ĐVT: đồng]</t>
  </si>
  <si>
    <t>Vốn hóa thị trường[Quý 3 Năm 2025, ĐVT: đồng]</t>
  </si>
  <si>
    <t>-</t>
  </si>
  <si>
    <t>Tổng Công ty Xây dựng Sài Gòn - TNHH MTV</t>
  </si>
  <si>
    <t>OTC</t>
  </si>
  <si>
    <t>126IBC</t>
  </si>
  <si>
    <t>CTCP Đầu tư Kinh doanh và Xây dựng 126</t>
  </si>
  <si>
    <t>A32</t>
  </si>
  <si>
    <t>CTCP 32</t>
  </si>
  <si>
    <t>UPCOM</t>
  </si>
  <si>
    <t>AAA</t>
  </si>
  <si>
    <t>CTCP Nhựa An Phát Xanh</t>
  </si>
  <si>
    <t>HOSE</t>
  </si>
  <si>
    <t>AAAA</t>
  </si>
  <si>
    <t>CTCP Bảo hiểm AAA</t>
  </si>
  <si>
    <t>AAH</t>
  </si>
  <si>
    <t>CTCP Hợp Nhất</t>
  </si>
  <si>
    <t>AAM</t>
  </si>
  <si>
    <t>CTCP Thủy sản MeKong</t>
  </si>
  <si>
    <t>AAS</t>
  </si>
  <si>
    <t xml:space="preserve">CTCP Chứng khoán SmartInvest </t>
  </si>
  <si>
    <t>AAT</t>
  </si>
  <si>
    <t xml:space="preserve">CTCP Tập Đoàn Tiên Sơn Thanh Hóa </t>
  </si>
  <si>
    <t>AAUS</t>
  </si>
  <si>
    <t>CTCP Chứng khoán Á - Âu</t>
  </si>
  <si>
    <t>AAV</t>
  </si>
  <si>
    <t>CTCP AAV Group</t>
  </si>
  <si>
    <t>HNX</t>
  </si>
  <si>
    <t>ABB</t>
  </si>
  <si>
    <t>Ngân hàng TMCP An Bình</t>
  </si>
  <si>
    <t>ABC</t>
  </si>
  <si>
    <t>CTCP Truyền thông VMG</t>
  </si>
  <si>
    <t>ABFM</t>
  </si>
  <si>
    <t>CTCP Quản lý Quỹ đầu tư Chứng khoán An Bình</t>
  </si>
  <si>
    <t>ABI</t>
  </si>
  <si>
    <t>CTCP Bảo hiểm Ngân hàng Nông nghiệp Việt Nam</t>
  </si>
  <si>
    <t>ABR</t>
  </si>
  <si>
    <t>CTCP Đầu tư Nhãn hiệu Việt</t>
  </si>
  <si>
    <t>ABS</t>
  </si>
  <si>
    <t>CTCP Dịch vụ Nông nghiệp Bình Thuận</t>
  </si>
  <si>
    <t>ABT</t>
  </si>
  <si>
    <t>CTCP Xuất nhập khẩu Thủy sản Bến Tre</t>
  </si>
  <si>
    <t>ABW</t>
  </si>
  <si>
    <t>CTCP Chứng khoán An Bình</t>
  </si>
  <si>
    <t>AC4</t>
  </si>
  <si>
    <t>CTCP ACC-244</t>
  </si>
  <si>
    <t>ACB</t>
  </si>
  <si>
    <t>Ngân hàng TMCP Á Châu</t>
  </si>
  <si>
    <t>ACBAGF</t>
  </si>
  <si>
    <t>Quỹ Đầu tư Tăng trưởng Chủ động ACBC</t>
  </si>
  <si>
    <t>ACBBGF</t>
  </si>
  <si>
    <t>Quỹ Đầu tư Tăng trưởng Ổn định ACBC</t>
  </si>
  <si>
    <t>ACC</t>
  </si>
  <si>
    <t>CTCP Đầu tư và Xây dựng Bình Dương ACC</t>
  </si>
  <si>
    <t>ACCCO</t>
  </si>
  <si>
    <t>CTCP Tư vấn Kiến trúc và Xây dựng Thành phố Hồ Chí Minh</t>
  </si>
  <si>
    <t>ACE</t>
  </si>
  <si>
    <t>CTCP Bê tông Ly tâm An Giang</t>
  </si>
  <si>
    <t>ACG</t>
  </si>
  <si>
    <t>CTCP Gỗ An Cường</t>
  </si>
  <si>
    <t>ACHAU</t>
  </si>
  <si>
    <t>CTCP Tơ tằm Á Châu</t>
  </si>
  <si>
    <t>ACL</t>
  </si>
  <si>
    <t>CTCP Xuất nhập khẩu Thủy sản Cửu Long An Giang</t>
  </si>
  <si>
    <t>Aclii</t>
  </si>
  <si>
    <t>CTCP Cho thuê Tài chính II Ngân hàng Nông nghiệp và Phát triển Nông thôn Việt Nam</t>
  </si>
  <si>
    <t>ACM</t>
  </si>
  <si>
    <t>CTCP Tập đoàn Khoáng sản Á Cường</t>
  </si>
  <si>
    <t>ACS</t>
  </si>
  <si>
    <t>CTCP Xây lắp Thương mại 2</t>
  </si>
  <si>
    <t>ACSVN</t>
  </si>
  <si>
    <t>CTCP ACS Việt Nam</t>
  </si>
  <si>
    <t>ACV</t>
  </si>
  <si>
    <t>Tổng Công ty Cảng Hàng không Việt Nam - CTCP</t>
  </si>
  <si>
    <t>ADC</t>
  </si>
  <si>
    <t>CTCP Mỹ thuật và Truyền thông</t>
  </si>
  <si>
    <t>ADG</t>
  </si>
  <si>
    <t>CTCP Clever Group</t>
  </si>
  <si>
    <t>ADP</t>
  </si>
  <si>
    <t>CTCP Sơn Á Đông</t>
  </si>
  <si>
    <t>ADS</t>
  </si>
  <si>
    <t>CTCP Damsan</t>
  </si>
  <si>
    <t>AECS</t>
  </si>
  <si>
    <t>CTCP Tư vấn Xây dựng và Dịch vụ Hàng Không</t>
  </si>
  <si>
    <t>AFC</t>
  </si>
  <si>
    <t>CTCP Nông Lâm nghiệp Bình Dương</t>
  </si>
  <si>
    <t>AFX</t>
  </si>
  <si>
    <t>CTCP Xuất nhập khẩu Nông sản Thực phẩm An Giang</t>
  </si>
  <si>
    <t>AG1</t>
  </si>
  <si>
    <t>CTCP 28.1</t>
  </si>
  <si>
    <t>AGC</t>
  </si>
  <si>
    <t>CTCP Cà phê An Giang</t>
  </si>
  <si>
    <t>AGD</t>
  </si>
  <si>
    <t>CTCP Gò Đàng</t>
  </si>
  <si>
    <t>AGE</t>
  </si>
  <si>
    <t>CTCP Môi trường Đô thị An Giang</t>
  </si>
  <si>
    <t>AGF</t>
  </si>
  <si>
    <t>CTCP Xuất nhập khẩu Thủy sản An Giang</t>
  </si>
  <si>
    <t>AGG</t>
  </si>
  <si>
    <t>CTCP Đầu tư và Phát triển Bất động sản An Gia</t>
  </si>
  <si>
    <t>AGM</t>
  </si>
  <si>
    <t>CTCP Xuất Nhập khẩu An Giang</t>
  </si>
  <si>
    <t>AGP</t>
  </si>
  <si>
    <t>CTCP Dược phẩm Agimexpharm</t>
  </si>
  <si>
    <t>AGR</t>
  </si>
  <si>
    <t>CTCP Chứng khoán Agribank</t>
  </si>
  <si>
    <t>AGRIMECO</t>
  </si>
  <si>
    <t>Tổng Công ty Cơ điện Xây dựng - CTCP</t>
  </si>
  <si>
    <t>AgrimexcoCaMau</t>
  </si>
  <si>
    <t>CTCP Xuất nhập khẩu Nông sản Thực phẩm Cà Mau</t>
  </si>
  <si>
    <t>AGRITOUR</t>
  </si>
  <si>
    <t>CTCP Du lịch Thương mại Nông nghiệp Việt Nam</t>
  </si>
  <si>
    <t>AGROMAS</t>
  </si>
  <si>
    <t>CTCP Cơ điện Nông Nghiệp và Thủy Lợi II</t>
  </si>
  <si>
    <t>AGTourimex</t>
  </si>
  <si>
    <t>CTCP Du lịch An Giang</t>
  </si>
  <si>
    <t>AGX</t>
  </si>
  <si>
    <t>CTCP Thực phẩm Nông Sản xuất khẩu Sài Gòn</t>
  </si>
  <si>
    <t>AIC</t>
  </si>
  <si>
    <t>Tổng Công ty Cổ phần Bảo hiểm DBV</t>
  </si>
  <si>
    <t>AIG</t>
  </si>
  <si>
    <t>CTCP Nguyên liệu Á Châu AIG</t>
  </si>
  <si>
    <t>Airserco</t>
  </si>
  <si>
    <t>CTCP Cung ứng Dịch vụ Hàng Không</t>
  </si>
  <si>
    <t>AISEC</t>
  </si>
  <si>
    <t>CTCP Chứng khoán AIS</t>
  </si>
  <si>
    <t>AITS</t>
  </si>
  <si>
    <t>CTCP Tin học Viễn thông Hàng không</t>
  </si>
  <si>
    <t>ALC</t>
  </si>
  <si>
    <t>CTCP Âu Lạc</t>
  </si>
  <si>
    <t>Aletech</t>
  </si>
  <si>
    <t>CTCP Giải pháp Công nghệ Aletech</t>
  </si>
  <si>
    <t>ALP</t>
  </si>
  <si>
    <t>CTCP Đầu tư Alphanam</t>
  </si>
  <si>
    <t>ALS</t>
  </si>
  <si>
    <t>CTCP Logistics Hàng không</t>
  </si>
  <si>
    <t>ALT</t>
  </si>
  <si>
    <t>CTCP Văn hóa Tân Bình</t>
  </si>
  <si>
    <t>ALV</t>
  </si>
  <si>
    <t>CTCP Tập đoàn MCST</t>
  </si>
  <si>
    <t>AMC</t>
  </si>
  <si>
    <t>CTCP Khoáng sản Á Châu</t>
  </si>
  <si>
    <t>AMD</t>
  </si>
  <si>
    <t>CTCP Đầu tư và Khoáng sản FLC Stone</t>
  </si>
  <si>
    <t>AME</t>
  </si>
  <si>
    <t>CTCP Alphanam E&amp;C</t>
  </si>
  <si>
    <t>AMIC</t>
  </si>
  <si>
    <t>CTCP Đầu tư AMIC</t>
  </si>
  <si>
    <t>AMP</t>
  </si>
  <si>
    <t>CTCP Armephaco</t>
  </si>
  <si>
    <t>AMS</t>
  </si>
  <si>
    <t>CTCP Cơ khí Xây dựng AMECC</t>
  </si>
  <si>
    <t>AMV</t>
  </si>
  <si>
    <t>CTCP Sản xuất Kinh doanh Dược và Trang thiết bị Y tế Việt Mỹ</t>
  </si>
  <si>
    <t>ANCO</t>
  </si>
  <si>
    <t>CTCP Dinh dưỡng Nông nghiệp Quốc tế</t>
  </si>
  <si>
    <t>AnphatCapital</t>
  </si>
  <si>
    <t>CTCP Quản lý Quỹ NTP</t>
  </si>
  <si>
    <t>AnPhu</t>
  </si>
  <si>
    <t>CTCP An Phú</t>
  </si>
  <si>
    <t>AnPhuCorp</t>
  </si>
  <si>
    <t>CTCP Đầu tư Bất động sản An Phú</t>
  </si>
  <si>
    <t>Anresco</t>
  </si>
  <si>
    <t>CTCP Địa ốc An Giang</t>
  </si>
  <si>
    <t>ANT</t>
  </si>
  <si>
    <t>CTCP Rau quả Thực phẩm An Giang</t>
  </si>
  <si>
    <t>ANV</t>
  </si>
  <si>
    <t>CTCP Nam Việt</t>
  </si>
  <si>
    <t>APC</t>
  </si>
  <si>
    <t>CTCP Chiếu xạ An Phú</t>
  </si>
  <si>
    <t>APF</t>
  </si>
  <si>
    <t>CTCP Nông sản Thực phẩm Quảng Ngãi</t>
  </si>
  <si>
    <t>APG</t>
  </si>
  <si>
    <t>CTCP Chứng khoán APG</t>
  </si>
  <si>
    <t>APH</t>
  </si>
  <si>
    <t>CTCP Tập đoàn An Phát Holdings</t>
  </si>
  <si>
    <t>API</t>
  </si>
  <si>
    <t>CTCP Đầu tư Châu Á - Thái Bình Dương</t>
  </si>
  <si>
    <t>APL</t>
  </si>
  <si>
    <t>CTCP Cơ khí và Thiết bị áp lực - VVMI</t>
  </si>
  <si>
    <t>Aplaco</t>
  </si>
  <si>
    <t>CTCP Nhựa Cao Cấp Hàng Không</t>
  </si>
  <si>
    <t>APP</t>
  </si>
  <si>
    <t>CTCP Phát triển Phụ gia và Sản phẩm Dầu Mỏ</t>
  </si>
  <si>
    <t>APRest</t>
  </si>
  <si>
    <t>CTCP Thương mại Đầu tư Bất động sản An Phát</t>
  </si>
  <si>
    <t>APS</t>
  </si>
  <si>
    <t>CTCP Chứng khoán Châu Á Thái Bình Dương</t>
  </si>
  <si>
    <t>APSC</t>
  </si>
  <si>
    <t>CTCP Chứng khoán Alpha</t>
  </si>
  <si>
    <t>APT</t>
  </si>
  <si>
    <t>CTCP Kinh doanh Thủy Hải Sản Sài Gòn</t>
  </si>
  <si>
    <t>AQN</t>
  </si>
  <si>
    <t>CTCP 28 Quảng Ngãi</t>
  </si>
  <si>
    <t>ARM</t>
  </si>
  <si>
    <t>CTCP Xuất nhập khẩu Hàng không</t>
  </si>
  <si>
    <t>ART</t>
  </si>
  <si>
    <t>CTCP Chứng khoán ARTEX</t>
  </si>
  <si>
    <t>Artexport</t>
  </si>
  <si>
    <t>CTCP Xuất nhập khẩu Thủ công mỹ nghệ</t>
  </si>
  <si>
    <t>ArtexSaigon</t>
  </si>
  <si>
    <t>CTCP Xuất nhập khẩu Hàng tiểu thủ công nghiệp Sài Gòn</t>
  </si>
  <si>
    <t>ASA</t>
  </si>
  <si>
    <t>CTCP ASA</t>
  </si>
  <si>
    <t>ASAM</t>
  </si>
  <si>
    <t>CTCP Chứng khoán ASAM</t>
  </si>
  <si>
    <t>ASCH</t>
  </si>
  <si>
    <t>CTCP Hóa chất Á Châu</t>
  </si>
  <si>
    <t>ASCSaiGon</t>
  </si>
  <si>
    <t>CTCP Đầu tư Nông nghiệp ASC Sài Gòn</t>
  </si>
  <si>
    <t>ASD</t>
  </si>
  <si>
    <t>CTCP Sông Đà Hà Nội</t>
  </si>
  <si>
    <t>ASG</t>
  </si>
  <si>
    <t>CTCP Tập đoàn ASG</t>
  </si>
  <si>
    <t>ASIACorp</t>
  </si>
  <si>
    <t>CTCP Châu Á</t>
  </si>
  <si>
    <t>ASM</t>
  </si>
  <si>
    <t>CTCP Tập đoàn Sao Mai</t>
  </si>
  <si>
    <t>ASP</t>
  </si>
  <si>
    <t>CTCP Tập đoàn Dầu khí An Pha</t>
  </si>
  <si>
    <t>AST</t>
  </si>
  <si>
    <t>CTCP Dịch vụ Hàng không Taseco</t>
  </si>
  <si>
    <t>ATA</t>
  </si>
  <si>
    <t>CTCP Ntaco</t>
  </si>
  <si>
    <t>ATB</t>
  </si>
  <si>
    <t>CTCP An Thịnh</t>
  </si>
  <si>
    <t>ATC</t>
  </si>
  <si>
    <t>CTCP Sản xuất - Thương mại - Xuất nhập khẩu Viễn Thông A</t>
  </si>
  <si>
    <t>ATD</t>
  </si>
  <si>
    <t>CTCP 28 Đà Nẵng</t>
  </si>
  <si>
    <t>ATG</t>
  </si>
  <si>
    <t>CTCP ATG Planet</t>
  </si>
  <si>
    <t>ATS</t>
  </si>
  <si>
    <t>CTCP Tập đoàn Đầu tư ATS</t>
  </si>
  <si>
    <t>ATSC</t>
  </si>
  <si>
    <t>CTCP Chứng khoán An Thành</t>
  </si>
  <si>
    <t>AUM</t>
  </si>
  <si>
    <t>CTCP Vinacafe Sơn Thành</t>
  </si>
  <si>
    <t>Auto15</t>
  </si>
  <si>
    <t>CTCP Ô tô 1-5</t>
  </si>
  <si>
    <t>AVC</t>
  </si>
  <si>
    <t>CTCP Thủy điện A Vương</t>
  </si>
  <si>
    <t>AVF</t>
  </si>
  <si>
    <t>CTCP Việt An</t>
  </si>
  <si>
    <t>AVG</t>
  </si>
  <si>
    <t>CTCP Phân bón Quốc tế Âu Việt</t>
  </si>
  <si>
    <t>Avicon</t>
  </si>
  <si>
    <t>CTCP Công trình Hàng không</t>
  </si>
  <si>
    <t>AVS</t>
  </si>
  <si>
    <t>CTCP Chứng khoán Âu Việt</t>
  </si>
  <si>
    <t>AzureCity</t>
  </si>
  <si>
    <t>CTCP Thành Phố Xanh</t>
  </si>
  <si>
    <t>B82</t>
  </si>
  <si>
    <t>CTCP 482</t>
  </si>
  <si>
    <t>BAB</t>
  </si>
  <si>
    <t>Ngân hàng TMCP Bắc Á</t>
  </si>
  <si>
    <t>BacGiang</t>
  </si>
  <si>
    <t>CTCP Xuất nhập Khẩu Bắc Giang</t>
  </si>
  <si>
    <t>BachViet</t>
  </si>
  <si>
    <t>CTCP Công nghệ và Đầu tư Bách Việt</t>
  </si>
  <si>
    <t>BAF</t>
  </si>
  <si>
    <t>CTCP Nông nghiệp BAF Việt Nam</t>
  </si>
  <si>
    <t>BAFECO</t>
  </si>
  <si>
    <t>CTCP Thức ăn Chăn nuôi Bạc Liêu</t>
  </si>
  <si>
    <t>BAL</t>
  </si>
  <si>
    <t>CTCP Bao bì Bia - Rượu - Nước giải khát</t>
  </si>
  <si>
    <t>BAM</t>
  </si>
  <si>
    <t>CTCP Khoáng sản và Luyện kim Bắc Á</t>
  </si>
  <si>
    <t>BaoBiDuoc</t>
  </si>
  <si>
    <t>CTCP  Bao bì Dược</t>
  </si>
  <si>
    <t>BaoHoLaoDong</t>
  </si>
  <si>
    <t>CTCP Tạp phẩm và Bảo hộ Lao động</t>
  </si>
  <si>
    <t>BaoVietBank</t>
  </si>
  <si>
    <t>Ngân hàng TMCP Bảo Việt</t>
  </si>
  <si>
    <t>BaoVietResort</t>
  </si>
  <si>
    <t>CTCP Khách Sạn và Du Lịch Bảo Việt</t>
  </si>
  <si>
    <t>Barotex</t>
  </si>
  <si>
    <t>CTCP Thương mại và Đầu tư Barotex Việt Nam</t>
  </si>
  <si>
    <t>BAS</t>
  </si>
  <si>
    <t>CTCP Basa</t>
  </si>
  <si>
    <t>Baseafood</t>
  </si>
  <si>
    <t>CTCP Chế biến Xuất nhập khẩu Thủy sản Bà Rịa - Vũng Tàu</t>
  </si>
  <si>
    <t>BaSon</t>
  </si>
  <si>
    <t>Tổng công ty Ba Son</t>
  </si>
  <si>
    <t>BAV</t>
  </si>
  <si>
    <t>CTCP Hàng không Tre Việt</t>
  </si>
  <si>
    <t>BAX</t>
  </si>
  <si>
    <t>CTCP Thống Nhất</t>
  </si>
  <si>
    <t>BBC</t>
  </si>
  <si>
    <t>CTCP Bibica</t>
  </si>
  <si>
    <t>BBH</t>
  </si>
  <si>
    <t>CTCP Bao bì Hoàng Thạch</t>
  </si>
  <si>
    <t>BBL</t>
  </si>
  <si>
    <t>CTCP Bourbon Bến Lức</t>
  </si>
  <si>
    <t>BBM</t>
  </si>
  <si>
    <t>CTCP Bia Hà Nội - Nam Định</t>
  </si>
  <si>
    <t>BBS</t>
  </si>
  <si>
    <t>CTCP VICEM Bao bì Bút Sơn</t>
  </si>
  <si>
    <t>BBT</t>
  </si>
  <si>
    <t>CTCP Bông Bạch Tuyết</t>
  </si>
  <si>
    <t>BCA</t>
  </si>
  <si>
    <t>CTCP B.C.H</t>
  </si>
  <si>
    <t>BCB</t>
  </si>
  <si>
    <t>CTCP 397</t>
  </si>
  <si>
    <t>BCC</t>
  </si>
  <si>
    <t>CTCP Xi măng Bỉm Sơn</t>
  </si>
  <si>
    <t>BCE</t>
  </si>
  <si>
    <t>CTCP Xây dựng &amp; Giao thông Becamex</t>
  </si>
  <si>
    <t>BCF</t>
  </si>
  <si>
    <t>CTCP Thực phẩm Bích Chi</t>
  </si>
  <si>
    <t>BCG</t>
  </si>
  <si>
    <t>CTCP Tập đoàn Bamboo Capital</t>
  </si>
  <si>
    <t>BCM</t>
  </si>
  <si>
    <t>Tập đoàn Đầu tư và Phát triển Công nghiệp Becamex - CTCP</t>
  </si>
  <si>
    <t>BCO</t>
  </si>
  <si>
    <t>CTCP Xây dựng Bình Phước</t>
  </si>
  <si>
    <t>BCP</t>
  </si>
  <si>
    <t>CTCP Dược ENLIE</t>
  </si>
  <si>
    <t>BCR</t>
  </si>
  <si>
    <t>CTCP BCG Land</t>
  </si>
  <si>
    <t>BCV</t>
  </si>
  <si>
    <t>CTCP Du lịch và Thương mại Bằng Giang Cao Bằng - Vimico</t>
  </si>
  <si>
    <t>BDB</t>
  </si>
  <si>
    <t>CTCP Sách và Thiết bị Bình Định</t>
  </si>
  <si>
    <t>BDC</t>
  </si>
  <si>
    <t>Tổng Công ty Xây dựng Bạch Đằng - CTCP</t>
  </si>
  <si>
    <t>BDF</t>
  </si>
  <si>
    <t>CTCP Giày Bình Định</t>
  </si>
  <si>
    <t>BDG</t>
  </si>
  <si>
    <t>CTCP May mặc Bình Dương</t>
  </si>
  <si>
    <t>BDMienTrung</t>
  </si>
  <si>
    <t>CTCP Xây lắp Bưu điện Miền Trung</t>
  </si>
  <si>
    <t>BDP</t>
  </si>
  <si>
    <t>CTCP Biệt thự và Khách sạn biển Đông Phương</t>
  </si>
  <si>
    <t>BDS</t>
  </si>
  <si>
    <t>CTCP Đường Bình Định</t>
  </si>
  <si>
    <t>BDSDKVN</t>
  </si>
  <si>
    <t>CTCP Bất động sản Dầu khí Việt Nam</t>
  </si>
  <si>
    <t>BDSThanhNien</t>
  </si>
  <si>
    <t>CTCP Bất động sản Thanh Niên</t>
  </si>
  <si>
    <t>BDT</t>
  </si>
  <si>
    <t>CTCP Xây lắp và Vật liệu Xây dựng Đồng Tháp</t>
  </si>
  <si>
    <t>BDW</t>
  </si>
  <si>
    <t>CTCP Cấp thoát nước Bình Định</t>
  </si>
  <si>
    <t>BecamexCMC</t>
  </si>
  <si>
    <t>CTCP Vật liệu Xây dựng Becamex</t>
  </si>
  <si>
    <t>BED</t>
  </si>
  <si>
    <t>CTCP Sách và Thiết bị Trường học Đà Nẵng</t>
  </si>
  <si>
    <t>BEL</t>
  </si>
  <si>
    <t>CTCP Điện tử Biên Hòa</t>
  </si>
  <si>
    <t>BenhVienGiaoThong</t>
  </si>
  <si>
    <t xml:space="preserve">CTCP Bệnh viện Giao thông Vận tải </t>
  </si>
  <si>
    <t>BenThanhG</t>
  </si>
  <si>
    <t>Tổng Công ty Bến Thành - TNHH MTV</t>
  </si>
  <si>
    <t>Benthanhhouse</t>
  </si>
  <si>
    <t>CTCP Phát triển và Dịch vụ Nhà Bến Thành</t>
  </si>
  <si>
    <t>Beta</t>
  </si>
  <si>
    <t>CTCP Chứng khoán Beta</t>
  </si>
  <si>
    <t>BeTongHaiAu</t>
  </si>
  <si>
    <t>CTCP Bê tông Hải Âu</t>
  </si>
  <si>
    <t>BFC</t>
  </si>
  <si>
    <t>CTCP Phân bón Bình Điền</t>
  </si>
  <si>
    <t>BGE</t>
  </si>
  <si>
    <t>CTCP BCG Energy</t>
  </si>
  <si>
    <t>BGM</t>
  </si>
  <si>
    <t>CTCP Khai Thác và Chế Biến khoáng Sản Bắc Giang</t>
  </si>
  <si>
    <t>BGW</t>
  </si>
  <si>
    <t>CTCP Nước sạch Bắc Giang</t>
  </si>
  <si>
    <t>BHA</t>
  </si>
  <si>
    <t>CTCP Thủy điện Bắc Hà</t>
  </si>
  <si>
    <t>BHC</t>
  </si>
  <si>
    <t>CTCP Bê tông Biên Hòa</t>
  </si>
  <si>
    <t>BHDienMay</t>
  </si>
  <si>
    <t>CTCP Bách hóa Điện máy Sài Gòn</t>
  </si>
  <si>
    <t>BHG</t>
  </si>
  <si>
    <t>CTCP Chè Biển Hồ</t>
  </si>
  <si>
    <t>BHH</t>
  </si>
  <si>
    <t>CTCP Bia Hà Nội - Hưng Yên 89</t>
  </si>
  <si>
    <t>BHI</t>
  </si>
  <si>
    <t>Tổng Công ty cổ phần Bảo hiểm Sài Gòn - Hà Nội</t>
  </si>
  <si>
    <t>BHK</t>
  </si>
  <si>
    <t>CTCP Bia Hà Nội - Kim Bài</t>
  </si>
  <si>
    <t>BHN</t>
  </si>
  <si>
    <t>Tổng Công ty cổ phần Bia - Rượu - Nước giải khát Hà Nội</t>
  </si>
  <si>
    <t>BHP</t>
  </si>
  <si>
    <t>CTCP Bia Hà Nội - Hải Phòng</t>
  </si>
  <si>
    <t>BHT</t>
  </si>
  <si>
    <t>CTCP Đầu tư Xây dựng Bạch Đằng TMC</t>
  </si>
  <si>
    <t>BHV</t>
  </si>
  <si>
    <t>CTCP Bá Hiến</t>
  </si>
  <si>
    <t>BiaCanTho</t>
  </si>
  <si>
    <t>CTCP  Bia Nước giải khát Cần Thơ</t>
  </si>
  <si>
    <t>BiaSaiGonDongNai</t>
  </si>
  <si>
    <t>CTCP Bia Sài Gòn - Đồng Nai</t>
  </si>
  <si>
    <t>BiaSaiGonHaNam</t>
  </si>
  <si>
    <t>CTCP Bia Sài Gòn - Hà Nam</t>
  </si>
  <si>
    <t>BiaSaiGonPhuYen</t>
  </si>
  <si>
    <t>CTCP Bia Sài Gòn - Phú Yên</t>
  </si>
  <si>
    <t>BiaSaiGonQuyNhon</t>
  </si>
  <si>
    <t>CTCP Bia Sài Gòn - Quy Nhơn</t>
  </si>
  <si>
    <t>BiaVietHa</t>
  </si>
  <si>
    <t>CTCP Bia và Nước giải khát Việt Hà</t>
  </si>
  <si>
    <t>BIC</t>
  </si>
  <si>
    <t>Tổng Công ty cổ phần Bảo hiểm Ngân hàng Đầu tư và Phát triển Việt Nam</t>
  </si>
  <si>
    <t>BID</t>
  </si>
  <si>
    <t>Ngân hàng TMCP Đầu tư và Phát triển Việt Nam</t>
  </si>
  <si>
    <t>BIG</t>
  </si>
  <si>
    <t>CTCP Đầu tư Big Group Holdings</t>
  </si>
  <si>
    <t>BII</t>
  </si>
  <si>
    <t>CTCP Đầu tư và Phát triển Công nghiệp Bảo Thư</t>
  </si>
  <si>
    <t>BinhAnSeaFood</t>
  </si>
  <si>
    <t>CTCP Thủy sản Bình An</t>
  </si>
  <si>
    <t>BinhDien</t>
  </si>
  <si>
    <t>CTCP Thủy điện Bình Điền</t>
  </si>
  <si>
    <t>BinhDinh</t>
  </si>
  <si>
    <t>CTCP Vật tư Kỹ thuật Nông nghiệp Bình Định</t>
  </si>
  <si>
    <t>BinhTriThien</t>
  </si>
  <si>
    <t>CTCP Lương thực Bình Trị Thiên</t>
  </si>
  <si>
    <t>BIO</t>
  </si>
  <si>
    <t>CTCP Vắc xin và Sinh phẩm Nha Trang</t>
  </si>
  <si>
    <t>Biprica</t>
  </si>
  <si>
    <t>CTCP In và Bao bì Bình Định</t>
  </si>
  <si>
    <t>BISS</t>
  </si>
  <si>
    <t>CTCP Chứng khoán BIS</t>
  </si>
  <si>
    <t>BJC</t>
  </si>
  <si>
    <t>CTCP VRG - Bảo Lộc</t>
  </si>
  <si>
    <t>BKC</t>
  </si>
  <si>
    <t>CTCP Khoáng sản Bắc Kạn</t>
  </si>
  <si>
    <t>BKG</t>
  </si>
  <si>
    <t>CTCP Đầu tư BKG Việt Nam</t>
  </si>
  <si>
    <t>BKH</t>
  </si>
  <si>
    <t>CTCP Bánh mứt kẹo Hà Nội</t>
  </si>
  <si>
    <t>BLF</t>
  </si>
  <si>
    <t>CTCP Thủy sản Bạc Liêu</t>
  </si>
  <si>
    <t>BLI</t>
  </si>
  <si>
    <t>Tổng Công ty cổ phần Bảo hiểm Bảo Long</t>
  </si>
  <si>
    <t>BLN</t>
  </si>
  <si>
    <t>CTCP Vận tải và Dịch vụ Liên Ninh</t>
  </si>
  <si>
    <t>BLT</t>
  </si>
  <si>
    <t>CTCP Lương thực Bình Định</t>
  </si>
  <si>
    <t>BLU</t>
  </si>
  <si>
    <t>Trung tâm Dịch vụ Đô thị tỉnh Bạc Liêu</t>
  </si>
  <si>
    <t>Bluechipfund</t>
  </si>
  <si>
    <t>Quỹ đầu tư Cổ phiếu Hàng đầu VCBF</t>
  </si>
  <si>
    <t>BLW</t>
  </si>
  <si>
    <t>CTCP Cấp nước Bạc Liêu</t>
  </si>
  <si>
    <t>BM9</t>
  </si>
  <si>
    <t>CTCP Đầu tư Xây dựng 319 Miền Nam</t>
  </si>
  <si>
    <t>BMC</t>
  </si>
  <si>
    <t>CTCP Khoáng sản Bình Định</t>
  </si>
  <si>
    <t>BMD</t>
  </si>
  <si>
    <t>CTCP Môi trường và Dịch vụ Đô thị Bình Thuận</t>
  </si>
  <si>
    <t>BMF</t>
  </si>
  <si>
    <t>CTCP Vật liệu Xây dựng và Chất đốt Đồng Nai</t>
  </si>
  <si>
    <t>BMG</t>
  </si>
  <si>
    <t>CTCP May Bình Minh</t>
  </si>
  <si>
    <t>BMI</t>
  </si>
  <si>
    <t>Tổng Công ty cổ phần Bảo Minh</t>
  </si>
  <si>
    <t>BMJ</t>
  </si>
  <si>
    <t>CTCP Khoáng sản Miền Đông AHP</t>
  </si>
  <si>
    <t>BMJC</t>
  </si>
  <si>
    <t>CTCP Xây dựng và Sản xuất Vật liệu Xây dựng</t>
  </si>
  <si>
    <t>BMK</t>
  </si>
  <si>
    <t>CTCP Kỹ thuật nhiệt Mèo Đen</t>
  </si>
  <si>
    <t>BMN</t>
  </si>
  <si>
    <t>CTCP 715</t>
  </si>
  <si>
    <t>BMP</t>
  </si>
  <si>
    <t>CTCP Nhựa Bình Minh</t>
  </si>
  <si>
    <t>BMS</t>
  </si>
  <si>
    <t>CTCP Chứng khoán Bảo Minh</t>
  </si>
  <si>
    <t>BMV</t>
  </si>
  <si>
    <t>CTCP Bột mỳ Vinafood 1</t>
  </si>
  <si>
    <t>BNA</t>
  </si>
  <si>
    <t>CTCP Tập đoàn Đầu tư Bảo Ngọc</t>
  </si>
  <si>
    <t>BNC</t>
  </si>
  <si>
    <t>CTCP Dịch vụ Cáp treo Bà Nà</t>
  </si>
  <si>
    <t>BNW</t>
  </si>
  <si>
    <t>CTCP Nước sạch Bắc Ninh</t>
  </si>
  <si>
    <t>BongSen</t>
  </si>
  <si>
    <t>CTCP Bông Sen</t>
  </si>
  <si>
    <t>BOT</t>
  </si>
  <si>
    <t>CTCP BOT Cầu Thái Hà</t>
  </si>
  <si>
    <t>BPC</t>
  </si>
  <si>
    <t>CTCP VICEM Bao bì Bỉm Sơn</t>
  </si>
  <si>
    <t>BPMC</t>
  </si>
  <si>
    <t>CTCP Vật tư Xăng dầu Bình Thuận</t>
  </si>
  <si>
    <t>BPW</t>
  </si>
  <si>
    <t>CTCP Cấp thoát nước Bình Phước</t>
  </si>
  <si>
    <t>BQB</t>
  </si>
  <si>
    <t>CTCP Bia Hà Nội - Quảng Bình</t>
  </si>
  <si>
    <t>BQP</t>
  </si>
  <si>
    <t>CTCP Nhựa Chất lượng cao Bình Thuận</t>
  </si>
  <si>
    <t>BRC</t>
  </si>
  <si>
    <t>CTCP Cao su Bến Thành</t>
  </si>
  <si>
    <t>Britec</t>
  </si>
  <si>
    <t>CTCP Tư vấn Thiết kế Cầu Lớn - Hầm</t>
  </si>
  <si>
    <t>BRR</t>
  </si>
  <si>
    <t>CTCP Cao su Bà Rịa</t>
  </si>
  <si>
    <t>BRS</t>
  </si>
  <si>
    <t>CTCP Dịch vụ Đô thị Bà Rịa</t>
  </si>
  <si>
    <t>BSA</t>
  </si>
  <si>
    <t>CTCP Thủy điện Buôn Đôn</t>
  </si>
  <si>
    <t>BSC</t>
  </si>
  <si>
    <t>CTCP Dịch vụ Bến Thành</t>
  </si>
  <si>
    <t>BSD</t>
  </si>
  <si>
    <t>CTCP Bia, Rượu Sài Gòn - Đồng Xuân</t>
  </si>
  <si>
    <t>BSG</t>
  </si>
  <si>
    <t>CTCP Xe khách Sài Gòn</t>
  </si>
  <si>
    <t>BSH</t>
  </si>
  <si>
    <t>CTCP Bia Sài Gòn - Hà Nội</t>
  </si>
  <si>
    <t>BSI</t>
  </si>
  <si>
    <t>CTCP Chứng khoán BIDV</t>
  </si>
  <si>
    <t>BSL</t>
  </si>
  <si>
    <t>CTCP Bia Sài Gòn - Sông Lam</t>
  </si>
  <si>
    <t>BSMCorp</t>
  </si>
  <si>
    <t>CTCP Phần mềm Giải pháp Quản lý Mã vạch</t>
  </si>
  <si>
    <t>BSP</t>
  </si>
  <si>
    <t>CTCP Bia Sài Gòn - Phú Thọ</t>
  </si>
  <si>
    <t>BSQ</t>
  </si>
  <si>
    <t>CTCP Bia Sài Gòn - Quảng Ngãi</t>
  </si>
  <si>
    <t>BSR</t>
  </si>
  <si>
    <t>CTCP Lọc hóa Dầu Bình Sơn</t>
  </si>
  <si>
    <t>BST</t>
  </si>
  <si>
    <t>CTCP Sách và Thiết bị Bình Thuận</t>
  </si>
  <si>
    <t>BT1</t>
  </si>
  <si>
    <t>CTCP Bảo vệ Thực vật 1 Trung Ương</t>
  </si>
  <si>
    <t>BT6</t>
  </si>
  <si>
    <t>CTCP Beton 6</t>
  </si>
  <si>
    <t>BTB</t>
  </si>
  <si>
    <t>CTCP Bia Hà Nội - Thái Bình</t>
  </si>
  <si>
    <t>BTC</t>
  </si>
  <si>
    <t>CTCP Cơ khí  và Xây dựng Bình Triệu</t>
  </si>
  <si>
    <t>BTCom</t>
  </si>
  <si>
    <t>CTCP Đầu tư Thương mại Bến Thành</t>
  </si>
  <si>
    <t>BTD</t>
  </si>
  <si>
    <t>CTCP Bê tông Ly tâm Thủ Đức</t>
  </si>
  <si>
    <t>BTG</t>
  </si>
  <si>
    <t>CTCP Bao bì Tiền Giang</t>
  </si>
  <si>
    <t>BTH</t>
  </si>
  <si>
    <t>CTCP Chế tạo Biến thế và Vật liệu Điện Hà Nội</t>
  </si>
  <si>
    <t>BTJ</t>
  </si>
  <si>
    <t>CTCP Vàng bạc Đá quý Bến Thành</t>
  </si>
  <si>
    <t>BTL</t>
  </si>
  <si>
    <t>CTCP Tập đoàn Capella</t>
  </si>
  <si>
    <t>BTN</t>
  </si>
  <si>
    <t>CTCP Đầu tư Bitco Bình Định</t>
  </si>
  <si>
    <t>BTP</t>
  </si>
  <si>
    <t>CTCP Nhiệt điện Bà Rịa</t>
  </si>
  <si>
    <t>BTR</t>
  </si>
  <si>
    <t>CTCP Đường sắt Bình Trị Thiên</t>
  </si>
  <si>
    <t>BTS</t>
  </si>
  <si>
    <t>CTCP Xi măng VICEM Bút Sơn</t>
  </si>
  <si>
    <t>BTT</t>
  </si>
  <si>
    <t>CTCP Thương mại Dịch vụ Bến Thành</t>
  </si>
  <si>
    <t>BTU</t>
  </si>
  <si>
    <t>CTCP Công trình Đô thị Bến Tre</t>
  </si>
  <si>
    <t>BTV</t>
  </si>
  <si>
    <t>CTCP Dịch vụ Du lịch Bến Thành</t>
  </si>
  <si>
    <t>BTW</t>
  </si>
  <si>
    <t>CTCP Cấp nước Bến Thành</t>
  </si>
  <si>
    <t>BTWASECO</t>
  </si>
  <si>
    <t>CTCP Cấp thoát nước Bình Thuận</t>
  </si>
  <si>
    <t>BUD</t>
  </si>
  <si>
    <t>CTCP Khoa học Công nghệ Việt Nam</t>
  </si>
  <si>
    <t>BuuDienCM</t>
  </si>
  <si>
    <t>CTCP Xây lắp và Dịch vụ Bưu điện Cà Mau</t>
  </si>
  <si>
    <t>BVA</t>
  </si>
  <si>
    <t>CTCP Sản xuất và Thương mại Bắc Việt</t>
  </si>
  <si>
    <t>BVB</t>
  </si>
  <si>
    <t>Ngân hàng TMCP Bản Việt</t>
  </si>
  <si>
    <t>BVC</t>
  </si>
  <si>
    <t>CTCP Nhựa Bảo Vân</t>
  </si>
  <si>
    <t>BVFED</t>
  </si>
  <si>
    <t>Quỹ đầu tư Cổ phiếu Năng động Bảo Việt</t>
  </si>
  <si>
    <t>BVG</t>
  </si>
  <si>
    <t>CTCP Group Bắc Việt</t>
  </si>
  <si>
    <t>BVH</t>
  </si>
  <si>
    <t>Tập đoàn Bảo Việt</t>
  </si>
  <si>
    <t>BVL</t>
  </si>
  <si>
    <t>CTCP BV Land</t>
  </si>
  <si>
    <t>BVN</t>
  </si>
  <si>
    <t>CTCP Bông Việt Nam</t>
  </si>
  <si>
    <t>BVS</t>
  </si>
  <si>
    <t>CTCP Chứng khoán Bảo Việt</t>
  </si>
  <si>
    <t>BWA</t>
  </si>
  <si>
    <t>CTCP Cấp thoát nước và Xây dựng Bảo Lộc</t>
  </si>
  <si>
    <t>BWE</t>
  </si>
  <si>
    <t>CTCP - Tổng công ty nước - môi trường Bình Dương</t>
  </si>
  <si>
    <t>BWS</t>
  </si>
  <si>
    <t>CTCP Cấp nước Bà Rịa - Vũng Tàu</t>
  </si>
  <si>
    <t>BXD</t>
  </si>
  <si>
    <t>CTCP Vận tải và Quản lý Bến xe Đà Nẵng</t>
  </si>
  <si>
    <t>BXH</t>
  </si>
  <si>
    <t>CTCP VICEM Bao bì Hải Phòng</t>
  </si>
  <si>
    <t>BXT</t>
  </si>
  <si>
    <t>CTCP Bến xe Tàu Hậu Giang</t>
  </si>
  <si>
    <t>C12</t>
  </si>
  <si>
    <t>CTCP Cầu 12</t>
  </si>
  <si>
    <t>C21</t>
  </si>
  <si>
    <t xml:space="preserve">CTCP Thế Kỷ 21 </t>
  </si>
  <si>
    <t>C22</t>
  </si>
  <si>
    <t>CTCP 22</t>
  </si>
  <si>
    <t>C32</t>
  </si>
  <si>
    <t>CTCP Đầu tư và Xây dựng 3-2</t>
  </si>
  <si>
    <t>C36</t>
  </si>
  <si>
    <t>CTCP Quản lý và Xây dựng Công trình Giao thông 236</t>
  </si>
  <si>
    <t>C42</t>
  </si>
  <si>
    <t>CTCP Xây dựng Thủy lợi 42</t>
  </si>
  <si>
    <t>C47</t>
  </si>
  <si>
    <t>CTCP Xây dựng 47</t>
  </si>
  <si>
    <t>C4G</t>
  </si>
  <si>
    <t>CTCP Tập đoàn CIENCO4</t>
  </si>
  <si>
    <t>C69</t>
  </si>
  <si>
    <t>CTCP Xây dựng 1369</t>
  </si>
  <si>
    <t>C71</t>
  </si>
  <si>
    <t>CTCP 471</t>
  </si>
  <si>
    <t>C92</t>
  </si>
  <si>
    <t>CTCP Xây dựng và Đầu tư 492</t>
  </si>
  <si>
    <t>CAB</t>
  </si>
  <si>
    <t>CTCP Tổng Công ty Truyền hình Cáp Việt Nam</t>
  </si>
  <si>
    <t>CAD</t>
  </si>
  <si>
    <t>CTCP Chế biến và Xuất nhập khẩu Thủy sản Cadovimex</t>
  </si>
  <si>
    <t>CADICO</t>
  </si>
  <si>
    <t>CTCP Cadico</t>
  </si>
  <si>
    <t>Cafatex</t>
  </si>
  <si>
    <t>CTCP Thủy sản Cafatex</t>
  </si>
  <si>
    <t>CafeControl</t>
  </si>
  <si>
    <t>CTCP Giám định Cà phê và Hàng Hoá Xuất nhập khẩu</t>
  </si>
  <si>
    <t>CAG</t>
  </si>
  <si>
    <t>CTCP Cảng An Giang</t>
  </si>
  <si>
    <t>CAM</t>
  </si>
  <si>
    <t>CTCP Môi trường đô thị Cà Mau</t>
  </si>
  <si>
    <t>CamRanh</t>
  </si>
  <si>
    <t>CTCP Thương mại Hàng không Cam Ranh</t>
  </si>
  <si>
    <t>CAN</t>
  </si>
  <si>
    <t>CTCP Đồ hộp Hạ Long</t>
  </si>
  <si>
    <t>CangVatCach</t>
  </si>
  <si>
    <t>CTCP Cảng Vật Cách</t>
  </si>
  <si>
    <t>CanHoNamLong</t>
  </si>
  <si>
    <t>CTCP Phát triển Căn hộ Nam Long</t>
  </si>
  <si>
    <t>CaoSuBinhDuong</t>
  </si>
  <si>
    <t>CTCP Cao su Bình Dương</t>
  </si>
  <si>
    <t>CAP</t>
  </si>
  <si>
    <t>CTCP Lâm Nông sản Thực phẩm Yên Bái</t>
  </si>
  <si>
    <t>CapNuocCanTho2</t>
  </si>
  <si>
    <t>CTCP Cấp nước Cần Thơ II</t>
  </si>
  <si>
    <t>CapQuang</t>
  </si>
  <si>
    <t>CTCP Công nghệ Cáp quang và Thiết bị Bưu điện</t>
  </si>
  <si>
    <t>CapVietNhat</t>
  </si>
  <si>
    <t>CTCP Đầu tư Thương mại Việt Nhật</t>
  </si>
  <si>
    <t>CAR</t>
  </si>
  <si>
    <t>CTCP Tập đoàn Giáo dục Trí Việt</t>
  </si>
  <si>
    <t>Caric</t>
  </si>
  <si>
    <t>CTCP Caric</t>
  </si>
  <si>
    <t>CASHIN</t>
  </si>
  <si>
    <t>CTCP Công nghiệp Tàu thủy và Vận tải Cần Thơ</t>
  </si>
  <si>
    <t>CASOCO</t>
  </si>
  <si>
    <t xml:space="preserve">CTCP Cảng Phú Định </t>
  </si>
  <si>
    <t>CAT</t>
  </si>
  <si>
    <t>CTCP Thủy sản Cà Mau</t>
  </si>
  <si>
    <t>Cau14</t>
  </si>
  <si>
    <t>CTCP Cầu 14 - Cienco 1</t>
  </si>
  <si>
    <t>CauGiay</t>
  </si>
  <si>
    <t>CTCP Đầu tư Thương mại Dịch vụ Cầu Giấy</t>
  </si>
  <si>
    <t>CauTre</t>
  </si>
  <si>
    <t>CTCP Thực phẩm CJ Cầu Tre</t>
  </si>
  <si>
    <t>CAV</t>
  </si>
  <si>
    <t>CTCP Dây Cáp điện Việt Nam</t>
  </si>
  <si>
    <t>Cavicob</t>
  </si>
  <si>
    <t>CTCP Cavico Xây dựng Cầu Hầm</t>
  </si>
  <si>
    <t>CavicoEc</t>
  </si>
  <si>
    <t>CTCP Xây dựng Năng lượng</t>
  </si>
  <si>
    <t>CavicoGiaoThong</t>
  </si>
  <si>
    <t>CTCP CAVICO Giao thông</t>
  </si>
  <si>
    <t>CavicoHaTang</t>
  </si>
  <si>
    <t>CTCP Cavico Xây dựng Hạ tầng</t>
  </si>
  <si>
    <t>CavicoHC</t>
  </si>
  <si>
    <t>CTCP Cavico Xây dựng Thủy điện</t>
  </si>
  <si>
    <t>CavicoVN</t>
  </si>
  <si>
    <t>CTCP  Xây dựng và Đầu Tư Cavico Việt Nam</t>
  </si>
  <si>
    <t>CayTrong</t>
  </si>
  <si>
    <t>CTCP Giống cây trồng Quảng Ninh</t>
  </si>
  <si>
    <t>CBC</t>
  </si>
  <si>
    <t>CTCP Chè Bàu Cạn</t>
  </si>
  <si>
    <t>CBI</t>
  </si>
  <si>
    <t>CTCP Gang thép Cao Bằng</t>
  </si>
  <si>
    <t>CBS</t>
  </si>
  <si>
    <t>CTCP Mía Đường Cao Bằng</t>
  </si>
  <si>
    <t>CC1</t>
  </si>
  <si>
    <t>Tổng Công ty Xây dựng Số 1 - CTCP</t>
  </si>
  <si>
    <t>CC4</t>
  </si>
  <si>
    <t>CTCP Đầu tư và Xây dựng Số 4</t>
  </si>
  <si>
    <t>CC7</t>
  </si>
  <si>
    <t>CTCP Xây dựng Công trình Giao thông 710</t>
  </si>
  <si>
    <t>CCA</t>
  </si>
  <si>
    <t>CTCP Xuất nhập khẩu Thuỷ sản Cần Thơ</t>
  </si>
  <si>
    <t>CCC</t>
  </si>
  <si>
    <t>CTCP Xây dựng CDC</t>
  </si>
  <si>
    <t>CCH</t>
  </si>
  <si>
    <t>CTCP Tư vấn và Đầu tư Xây dựng CCIC Hà Nội</t>
  </si>
  <si>
    <t>CCI</t>
  </si>
  <si>
    <t>CTCP Đầu tư Phát triển Công nghiệp Thương mại Củ Chi</t>
  </si>
  <si>
    <t>CCL</t>
  </si>
  <si>
    <t>CTCP Đầu tư và Phát triển Đô thị Dầu khí Cửu Long</t>
  </si>
  <si>
    <t>CCM</t>
  </si>
  <si>
    <t>CTCP khoáng sản và Xi măng Cần Thơ</t>
  </si>
  <si>
    <t>CCN2</t>
  </si>
  <si>
    <t>CTCP Xây dựng Số 2 Quảng Ninh</t>
  </si>
  <si>
    <t>CCP</t>
  </si>
  <si>
    <t>CTCP Cảng Cửa Cấm Hải Phòng</t>
  </si>
  <si>
    <t>CCR</t>
  </si>
  <si>
    <t>CTCP Cảng Cam Ranh</t>
  </si>
  <si>
    <t>CCS</t>
  </si>
  <si>
    <t>CTCP Chíp Sáng</t>
  </si>
  <si>
    <t>CCT</t>
  </si>
  <si>
    <t>CTCP Cảng Cần Thơ</t>
  </si>
  <si>
    <t>CCV</t>
  </si>
  <si>
    <t>CTCP Tư vấn Xây dựng Công nghiệp và Đô thị Việt Nam</t>
  </si>
  <si>
    <t>CDC</t>
  </si>
  <si>
    <t>CTCP Chương Dương</t>
  </si>
  <si>
    <t>CDG</t>
  </si>
  <si>
    <t>CTCP Cầu Đuống</t>
  </si>
  <si>
    <t>CDH</t>
  </si>
  <si>
    <t>CTCP Công trình Công cộng và Dịch vụ Du lịch Hải Phòng</t>
  </si>
  <si>
    <t>CDN</t>
  </si>
  <si>
    <t>CTCP Cảng Đà Nẵng</t>
  </si>
  <si>
    <t>CDO</t>
  </si>
  <si>
    <t>CTCP Tư vấn Thiết kế và Phát triển Đô thị</t>
  </si>
  <si>
    <t>CDP</t>
  </si>
  <si>
    <t>CTCP Dược phẩm Trung ương Codupha</t>
  </si>
  <si>
    <t>CDR</t>
  </si>
  <si>
    <t>CTCP Xây dựng Cao su Đồng Nai</t>
  </si>
  <si>
    <t>CE1</t>
  </si>
  <si>
    <t>CTCP Xây dựng và Thiết bị Công nghiệp CIE1</t>
  </si>
  <si>
    <t>CEC</t>
  </si>
  <si>
    <t>CTCP Thiết kế Công Nghiệp Hóa chất</t>
  </si>
  <si>
    <t>CEE</t>
  </si>
  <si>
    <t>CTCP Xây dựng Hạ tầng CII</t>
  </si>
  <si>
    <t>CEG</t>
  </si>
  <si>
    <t>CTCP Tập đoàn Xây dựng và Thiết bị Công nghiệp</t>
  </si>
  <si>
    <t>CemacoHanoi</t>
  </si>
  <si>
    <t>CTCP Hóa chất và Vật tư Khoa học Kỹ thuật</t>
  </si>
  <si>
    <t>CEN</t>
  </si>
  <si>
    <t>CTCP CENCON Việt Nam</t>
  </si>
  <si>
    <t>CEO</t>
  </si>
  <si>
    <t>CTCP Tập đoàn C.E.O</t>
  </si>
  <si>
    <t>CER</t>
  </si>
  <si>
    <t>CTCP Địa chính và Tài nguyên Môi trường</t>
  </si>
  <si>
    <t>CET</t>
  </si>
  <si>
    <t>CTCP HTC Holding</t>
  </si>
  <si>
    <t>CFC</t>
  </si>
  <si>
    <t>CTCP Cafico Việt Nam</t>
  </si>
  <si>
    <t>CFM</t>
  </si>
  <si>
    <t>CTCP Đầu tư CFM</t>
  </si>
  <si>
    <t>CFV</t>
  </si>
  <si>
    <t>CTCP Cà phê Thắng Lợi</t>
  </si>
  <si>
    <t>CGL</t>
  </si>
  <si>
    <t>CTCP Thương mại Gia Lai</t>
  </si>
  <si>
    <t>CGV</t>
  </si>
  <si>
    <t>CTCP Vinaceglass</t>
  </si>
  <si>
    <t>CH5</t>
  </si>
  <si>
    <t>CTCP Xây dựng Số 5 Hà Nội</t>
  </si>
  <si>
    <t>CHC</t>
  </si>
  <si>
    <t>CTCP Cẩm Hà</t>
  </si>
  <si>
    <t>CheLamDong</t>
  </si>
  <si>
    <t>CTCP Chè Lâm Đồng</t>
  </si>
  <si>
    <t>CHIN2</t>
  </si>
  <si>
    <t>CTCP Chín Chín Núi</t>
  </si>
  <si>
    <t>ChoLonTourist</t>
  </si>
  <si>
    <t>CTCP Dịch vụ Du lịch Chợ lớn</t>
  </si>
  <si>
    <t>CHP</t>
  </si>
  <si>
    <t>CTCP Thủy điện Miền Trung</t>
  </si>
  <si>
    <t>CHS</t>
  </si>
  <si>
    <t>CTCP Chiếu sáng Công cộng Thành phố Hồ Chí Minh</t>
  </si>
  <si>
    <t>CHULAIQN</t>
  </si>
  <si>
    <t>CTCP Đầu tư và Phát triển Kỳ Hà - Chu Lai  Quảng Nam</t>
  </si>
  <si>
    <t>CI5</t>
  </si>
  <si>
    <t>CTCP Đầu Tư Xây dựng Số 5</t>
  </si>
  <si>
    <t>CIA</t>
  </si>
  <si>
    <t>CTCP Dịch vụ Sân bay Quốc tế Cam Ranh</t>
  </si>
  <si>
    <t>CIC</t>
  </si>
  <si>
    <t>CTCP Đầu tư và Xây dựng Cotec</t>
  </si>
  <si>
    <t>CIC1</t>
  </si>
  <si>
    <t>CTCP Xây dựng Dân dụng Công nghiệp Số 1 - Đồng Nai</t>
  </si>
  <si>
    <t>CIC8</t>
  </si>
  <si>
    <t>CTCP Đầu tư và Xây dựng Số 8</t>
  </si>
  <si>
    <t>CICP1</t>
  </si>
  <si>
    <t>CTCP Tư vấn Đầu tư và Xây dựng Công trình 1</t>
  </si>
  <si>
    <t>CID</t>
  </si>
  <si>
    <t>CTCP Xây dựng và Phát triển Cơ sở Hạ tầng</t>
  </si>
  <si>
    <t>CIE</t>
  </si>
  <si>
    <t>CTCP Đầu tư và Xây dựng Công trình 128</t>
  </si>
  <si>
    <t>CIENCO1</t>
  </si>
  <si>
    <t>Tổng Công ty Xây dựng Công trình Giao thông 1 - CTCP</t>
  </si>
  <si>
    <t>CIENCO473</t>
  </si>
  <si>
    <t>CTCP 473</t>
  </si>
  <si>
    <t>CIENCO5</t>
  </si>
  <si>
    <t>Tổng Công ty Xây dựng Công trình Giao thông 5 - CTCP</t>
  </si>
  <si>
    <t>CIENCO503</t>
  </si>
  <si>
    <t>CTCP Xây dựng Giao thông 503</t>
  </si>
  <si>
    <t>CIENCO610</t>
  </si>
  <si>
    <t>CTCP Xây dựng Công trình Giao thông 610</t>
  </si>
  <si>
    <t>CIENCO624</t>
  </si>
  <si>
    <t>CTCP Vật tư Thiết bị và Xây dựng Công trình 624</t>
  </si>
  <si>
    <t>Ciencoland</t>
  </si>
  <si>
    <t>CTCP Đầu tư Xây dựng và Kinh doanh Bất động sản Tổng Sáu</t>
  </si>
  <si>
    <t>CIG</t>
  </si>
  <si>
    <t>CTCP COMA 18</t>
  </si>
  <si>
    <t>CII</t>
  </si>
  <si>
    <t>CTCP Đầu tư Hạ tầng Kỹ thuật Thành phố Hồ Chí Minh</t>
  </si>
  <si>
    <t>CIP</t>
  </si>
  <si>
    <t>CTCP Xây lắp và Sản xuất Công nghiệp</t>
  </si>
  <si>
    <t>Cistra</t>
  </si>
  <si>
    <t>CTCP Dịch vụ Thương mại Thành Phố</t>
  </si>
  <si>
    <t>CIV</t>
  </si>
  <si>
    <t>CTCP Đầu tư Vinamotor</t>
  </si>
  <si>
    <t>CJC</t>
  </si>
  <si>
    <t>CTCP Cơ điện Miền Trung</t>
  </si>
  <si>
    <t>CJC203</t>
  </si>
  <si>
    <t>CTCP Xây dựng 203</t>
  </si>
  <si>
    <t>CK8</t>
  </si>
  <si>
    <t>CTCP Cơ khí 120</t>
  </si>
  <si>
    <t>CKA</t>
  </si>
  <si>
    <t>CTCP Cơ Khí An Giang</t>
  </si>
  <si>
    <t>CKD</t>
  </si>
  <si>
    <t>CTCP Cơ khí Đông Anh LICOGI</t>
  </si>
  <si>
    <t>CKG</t>
  </si>
  <si>
    <t>CTCP Tập đoàn CIC</t>
  </si>
  <si>
    <t>CKH</t>
  </si>
  <si>
    <t>CTCP Cơ khí Chế Tạo Hải Phòng</t>
  </si>
  <si>
    <t>CKI</t>
  </si>
  <si>
    <t>CTCP Cơ khí ngành In</t>
  </si>
  <si>
    <t>CKTAYNINH</t>
  </si>
  <si>
    <t>CTCP Cơ khí Tây Ninh</t>
  </si>
  <si>
    <t>CKV</t>
  </si>
  <si>
    <t>CTCP COKYVINA</t>
  </si>
  <si>
    <t>CLC</t>
  </si>
  <si>
    <t>CTCP Cát Lợi</t>
  </si>
  <si>
    <t>CLG</t>
  </si>
  <si>
    <t>CTCP Đầu tư và Phát triển Nhà đất COTEC</t>
  </si>
  <si>
    <t>CLH</t>
  </si>
  <si>
    <t>CTCP Xi măng La Hiên VVMI</t>
  </si>
  <si>
    <t>CLL</t>
  </si>
  <si>
    <t>CTCP Cảng Cát Lái</t>
  </si>
  <si>
    <t>CLM</t>
  </si>
  <si>
    <t>CTCP Xuất nhập khẩu Than - Vinacomin</t>
  </si>
  <si>
    <t>CLP</t>
  </si>
  <si>
    <t>CTCP Thủy sản Cửu Long</t>
  </si>
  <si>
    <t>CLW</t>
  </si>
  <si>
    <t>CTCP Cấp nước Chợ Lớn</t>
  </si>
  <si>
    <t>CLX</t>
  </si>
  <si>
    <t>CTCP Xuất nhập khẩu và Đầu tư Chợ Lớn (CHOLIMEX)</t>
  </si>
  <si>
    <t>CMC</t>
  </si>
  <si>
    <t>CTCP Đầu tư CMC</t>
  </si>
  <si>
    <t>CMCHanoi</t>
  </si>
  <si>
    <t>CTCP Vật liệu Xây dựng Hà Nội</t>
  </si>
  <si>
    <t>CMD</t>
  </si>
  <si>
    <t>CTCP Vật liệu Xây dựng và Trang trí nội thất Thành phố Hồ Chí Minh</t>
  </si>
  <si>
    <t>CMF</t>
  </si>
  <si>
    <t>CTCP Thực phẩm Cholimex</t>
  </si>
  <si>
    <t>CMG</t>
  </si>
  <si>
    <t>CTCP Tập đoàn Công nghệ CMC</t>
  </si>
  <si>
    <t>CMI</t>
  </si>
  <si>
    <t>CTCP CMISTONE Việt Nam</t>
  </si>
  <si>
    <t>CMK</t>
  </si>
  <si>
    <t>CTCP Cơ khí Mạo Khê - Vinacomin</t>
  </si>
  <si>
    <t>CMM</t>
  </si>
  <si>
    <t>CTCP Camimex</t>
  </si>
  <si>
    <t>CMN</t>
  </si>
  <si>
    <t>CTCP Lương thực Thực phẩm Colusa - Miliket</t>
  </si>
  <si>
    <t>CMP</t>
  </si>
  <si>
    <t>CTCP Cảng Chân Mây</t>
  </si>
  <si>
    <t>CMS</t>
  </si>
  <si>
    <t>CTCP Tập Đoàn CMH Việt Nam</t>
  </si>
  <si>
    <t>CMT</t>
  </si>
  <si>
    <t>CTCP Công nghệ Mạng và Truyền thông</t>
  </si>
  <si>
    <t>CMV</t>
  </si>
  <si>
    <t>CTCP Thương nghiệp Cà Mau</t>
  </si>
  <si>
    <t>CMW</t>
  </si>
  <si>
    <t>CTCP Cấp nước Cà Mau</t>
  </si>
  <si>
    <t>CMX</t>
  </si>
  <si>
    <t>CTCP Camimex Group</t>
  </si>
  <si>
    <t>CNA</t>
  </si>
  <si>
    <t>CTCP Tổng Công ty Chè Nghệ An</t>
  </si>
  <si>
    <t>CNC</t>
  </si>
  <si>
    <t>CTCP Công nghệ Cao Traphaco</t>
  </si>
  <si>
    <t>CNG</t>
  </si>
  <si>
    <t>CTCP CNG Việt Nam</t>
  </si>
  <si>
    <t>CNH</t>
  </si>
  <si>
    <t>CTCP Cảng Nha Trang</t>
  </si>
  <si>
    <t>CNN</t>
  </si>
  <si>
    <t>CTCP Tư vấn Công nghệ, Thiết bị và Kiểm Định Xây dựng - Coninco</t>
  </si>
  <si>
    <t>CNSG</t>
  </si>
  <si>
    <t>Tổng Công Ty Công Nghiệp Sài Gòn</t>
  </si>
  <si>
    <t>CNT</t>
  </si>
  <si>
    <t>CTCP Tập đoàn CNT</t>
  </si>
  <si>
    <t>CO122</t>
  </si>
  <si>
    <t>CTCP Xây dựng và Đầu tư 122 - Cienco 1</t>
  </si>
  <si>
    <t>CoKhiHonGai</t>
  </si>
  <si>
    <t>CTCP Cơ khí Hòn Gai - Vinacomin</t>
  </si>
  <si>
    <t>CokhiNgoGiaTu</t>
  </si>
  <si>
    <t>CTCP Cơ khí Ngô Gia Tự</t>
  </si>
  <si>
    <t>CoKhiOTo32</t>
  </si>
  <si>
    <t>CTCP Cơ khí Ô Tô 3-2</t>
  </si>
  <si>
    <t>COM</t>
  </si>
  <si>
    <t>CTCP Vật tư - Xăng Dầu</t>
  </si>
  <si>
    <t>ConDao</t>
  </si>
  <si>
    <t>CTCP Thủy sản và Xuất nhập khẩu Côn Đảo</t>
  </si>
  <si>
    <t>CongNgheCao</t>
  </si>
  <si>
    <t>CTCP Công nghệ Cao</t>
  </si>
  <si>
    <t>CongNghiepMasan</t>
  </si>
  <si>
    <t>CTCP Công nghiệp Masan</t>
  </si>
  <si>
    <t>CongNghiepPhuYen</t>
  </si>
  <si>
    <t>CTCP Công nghiệp Phú Yên</t>
  </si>
  <si>
    <t>CongThanh</t>
  </si>
  <si>
    <t>CTCP Xi măng Công Thanh</t>
  </si>
  <si>
    <t>CongTrinh134</t>
  </si>
  <si>
    <t>CTCP Đầu tư và Xây dựng Công trình 134</t>
  </si>
  <si>
    <t>CongTrinh525</t>
  </si>
  <si>
    <t>CTCP Xây dựng Công trình 525</t>
  </si>
  <si>
    <t>CongTrinhBuuDien</t>
  </si>
  <si>
    <t>CTCP Phát triển Công trình Bưu điện</t>
  </si>
  <si>
    <t>CongTrinhGTDB</t>
  </si>
  <si>
    <t>CTCP Công trình Giao thông Tỉnh Điện Biên</t>
  </si>
  <si>
    <t>CongTrinhHaNoi</t>
  </si>
  <si>
    <t>CTCP Đầu Tư Công trình Hà Nội</t>
  </si>
  <si>
    <t>CongTy118</t>
  </si>
  <si>
    <t>CTCP 118</t>
  </si>
  <si>
    <t>CONSTRAD423</t>
  </si>
  <si>
    <t>CTCP  Xây dựng và Thương mại 423</t>
  </si>
  <si>
    <t>COPAC</t>
  </si>
  <si>
    <t>CTCP Đầu Tư Xây dựng và Thương mại Thái Bình Dương</t>
  </si>
  <si>
    <t>Coresco</t>
  </si>
  <si>
    <t>CTCP Đầu Tư Xây dựng Kinh doanh Nhà Bến Thành</t>
  </si>
  <si>
    <t>Cosaco</t>
  </si>
  <si>
    <t>CTCP Sài Gòn Xây dựng</t>
  </si>
  <si>
    <t>Cosevco1</t>
  </si>
  <si>
    <t>CTCP Sản xuất Vật liệu và Xây dựng Cosevco 1</t>
  </si>
  <si>
    <t>Cosevco75</t>
  </si>
  <si>
    <t>CTCP Cosevco 75</t>
  </si>
  <si>
    <t>COT60</t>
  </si>
  <si>
    <t>CTCP Công trình Giao thông 60</t>
  </si>
  <si>
    <t>Cotec</t>
  </si>
  <si>
    <t>CTCP Kỹ thuật Xây dựng và Vật liệu Xây dựng COTEC</t>
  </si>
  <si>
    <t>CotecAnpha</t>
  </si>
  <si>
    <t>CTCP Kỹ thuật Xây dựng Anpha</t>
  </si>
  <si>
    <t>COXANO</t>
  </si>
  <si>
    <t>CTCP Cơ khí Xây dựng Công trình Thừa Thiên Huế</t>
  </si>
  <si>
    <t>CPA</t>
  </si>
  <si>
    <t>CTCP Cà phê Phước An</t>
  </si>
  <si>
    <t>CPC</t>
  </si>
  <si>
    <t>CTCP Thuốc sát trùng Cần Thơ</t>
  </si>
  <si>
    <t>CPH</t>
  </si>
  <si>
    <t>CTCP Phục vụ Mai táng Hải Phòng</t>
  </si>
  <si>
    <t>CPI</t>
  </si>
  <si>
    <t>CTCP Đầu tư Cảng Cái Lân</t>
  </si>
  <si>
    <t>CPT</t>
  </si>
  <si>
    <t>CTCP Xây lắp Bưu điện</t>
  </si>
  <si>
    <t>CPW</t>
  </si>
  <si>
    <t>CTCP Công trình Giao thông Công chánh</t>
  </si>
  <si>
    <t>CQN</t>
  </si>
  <si>
    <t>CTCP Cảng Quảng Ninh</t>
  </si>
  <si>
    <t>CQT</t>
  </si>
  <si>
    <t>CTCP Xi măng Quán Triều VVMI</t>
  </si>
  <si>
    <t>CRC</t>
  </si>
  <si>
    <t>CTCP Create Capital Việt Nam</t>
  </si>
  <si>
    <t>CRE</t>
  </si>
  <si>
    <t>CTCP Bất động sản Thế Kỷ</t>
  </si>
  <si>
    <t>CRV</t>
  </si>
  <si>
    <t>CTCP Tập đoàn Bất động sản CRV</t>
  </si>
  <si>
    <t>CSC</t>
  </si>
  <si>
    <t>CTCP Tập đoàn Cotana</t>
  </si>
  <si>
    <t>CSCJ</t>
  </si>
  <si>
    <t>CTCP Chứng khoán Capital</t>
  </si>
  <si>
    <t>CSI</t>
  </si>
  <si>
    <t>CTCP Chứng khoán Kiến thiết Việt Nam</t>
  </si>
  <si>
    <t>CSM</t>
  </si>
  <si>
    <t>CTCP Công nghiệp Cao su Miền Nam</t>
  </si>
  <si>
    <t>CST</t>
  </si>
  <si>
    <t>CTCP Than Cao Sơn - TKV</t>
  </si>
  <si>
    <t>CST124</t>
  </si>
  <si>
    <t>CTCP Xây dựng Giao thông và Thương mại 124</t>
  </si>
  <si>
    <t>CSV</t>
  </si>
  <si>
    <t>CTCP Hóa chất Cơ bản Miền Nam</t>
  </si>
  <si>
    <t>CT3</t>
  </si>
  <si>
    <t>CTCP Đầu tư và Xây dựng Công trình 3</t>
  </si>
  <si>
    <t>CT5</t>
  </si>
  <si>
    <t>CTCP 319.5</t>
  </si>
  <si>
    <t>CT6</t>
  </si>
  <si>
    <t>CTCP Công trình 6</t>
  </si>
  <si>
    <t>CTA</t>
  </si>
  <si>
    <t>CTCP Vinavico</t>
  </si>
  <si>
    <t>CTB</t>
  </si>
  <si>
    <t>CTCP Chế tạo Bơm Hải Dương</t>
  </si>
  <si>
    <t>CTC</t>
  </si>
  <si>
    <t>CTCP Tập đoàn Hoàng Kim Tây Nguyên</t>
  </si>
  <si>
    <t>CTCCorp</t>
  </si>
  <si>
    <t>CTCP Đô thị Du lịch Cần Giờ</t>
  </si>
  <si>
    <t>CTD</t>
  </si>
  <si>
    <t>CTCP Xây dựng Coteccons</t>
  </si>
  <si>
    <t>CTE</t>
  </si>
  <si>
    <t>CTCP Hạ Tầng Viễn Thông CMC</t>
  </si>
  <si>
    <t>CTF</t>
  </si>
  <si>
    <t>CTCP City Auto</t>
  </si>
  <si>
    <t>CTG</t>
  </si>
  <si>
    <t>Ngân hàng TMCP Công Thương Việt Nam</t>
  </si>
  <si>
    <t>CTGT</t>
  </si>
  <si>
    <t>CTCP Công trình Giao thông Tỉnh Bà Rịa - Vũng Tàu</t>
  </si>
  <si>
    <t>CTI</t>
  </si>
  <si>
    <t>CTCP Đầu tư Phát triển Cường Thuận IDICO</t>
  </si>
  <si>
    <t>CTM</t>
  </si>
  <si>
    <t>CTCP Đầu tư Xây dựng và Khai thác mỏ Vinavico</t>
  </si>
  <si>
    <t>CTN</t>
  </si>
  <si>
    <t>CTCP Xây dựng Công trình ngầm</t>
  </si>
  <si>
    <t>CTP</t>
  </si>
  <si>
    <t>CTCP Tập đoàn CTP Group</t>
  </si>
  <si>
    <t>CTR</t>
  </si>
  <si>
    <t>Tổng Công ty cổ phần Công trình Viettel</t>
  </si>
  <si>
    <t>CTS</t>
  </si>
  <si>
    <t>CTCP Chứng khoán VietinBank</t>
  </si>
  <si>
    <t>CTT</t>
  </si>
  <si>
    <t>CTCP Chế tạo Máy - Vinacomin</t>
  </si>
  <si>
    <t>CTV</t>
  </si>
  <si>
    <t>CTCP Đầu tư - Sản xuất và Thương mại Việt Nam</t>
  </si>
  <si>
    <t>CTW</t>
  </si>
  <si>
    <t>CTCP Cấp thoát nước Cần Thơ</t>
  </si>
  <si>
    <t>CTX</t>
  </si>
  <si>
    <t>Tổng Công ty cổ phần Đầu tư Xây dựng và Thương mại Việt Nam</t>
  </si>
  <si>
    <t>Cty479</t>
  </si>
  <si>
    <t>CTCP 479</t>
  </si>
  <si>
    <t>CVC</t>
  </si>
  <si>
    <t>CTCP Cơ điện Vật tư</t>
  </si>
  <si>
    <t>CVH</t>
  </si>
  <si>
    <t>CTCP Công viên, Cây xanh Hải Phòng</t>
  </si>
  <si>
    <t>CVN</t>
  </si>
  <si>
    <t>CTCP Vinam</t>
  </si>
  <si>
    <t>CVP</t>
  </si>
  <si>
    <t>CTCP Cảng Cửa Việt</t>
  </si>
  <si>
    <t>CVS</t>
  </si>
  <si>
    <t>CTCP Chứng khoán CV</t>
  </si>
  <si>
    <t>CVT</t>
  </si>
  <si>
    <t>CTCP CMC</t>
  </si>
  <si>
    <t>CX8</t>
  </si>
  <si>
    <t>CTCP Đầu tư và Xây lắp Constrexim Số 8</t>
  </si>
  <si>
    <t>CXC</t>
  </si>
  <si>
    <t>CTCP Cầu Xây</t>
  </si>
  <si>
    <t>CXH</t>
  </si>
  <si>
    <t>CTCP Xe khách Hà Nội</t>
  </si>
  <si>
    <t>CYC</t>
  </si>
  <si>
    <t>CTCP Gạch men Chang Yih</t>
  </si>
  <si>
    <t>CZC</t>
  </si>
  <si>
    <t>CTCP Than Miền Trung</t>
  </si>
  <si>
    <t>D11</t>
  </si>
  <si>
    <t>CTCP Địa ốc 11</t>
  </si>
  <si>
    <t>D17</t>
  </si>
  <si>
    <t>CTCP Đồng Tân</t>
  </si>
  <si>
    <t>D26</t>
  </si>
  <si>
    <t>CTCP Quản lý và Xây dựng Đường bộ 26</t>
  </si>
  <si>
    <t>D2D</t>
  </si>
  <si>
    <t>CTCP Phát triển Đô thị Công nghiệp số 2</t>
  </si>
  <si>
    <t>DaBinhDinh</t>
  </si>
  <si>
    <t>CTCP VRG Đá Bình Định</t>
  </si>
  <si>
    <t>DAC</t>
  </si>
  <si>
    <t>CTCP 382 Đông Anh</t>
  </si>
  <si>
    <t>DAD</t>
  </si>
  <si>
    <t>CTCP Đầu tư và Phát triển Giáo dục Đà Nẵng</t>
  </si>
  <si>
    <t>DAE</t>
  </si>
  <si>
    <t>CTCP Sách Giáo dục tại Thành phố Đà Nẵng</t>
  </si>
  <si>
    <t>DAG</t>
  </si>
  <si>
    <t>CTCP Tập đoàn Nhựa Đông Á</t>
  </si>
  <si>
    <t>DaGiayHaiPhong</t>
  </si>
  <si>
    <t>CTCP Da Giầy và Phát triển Hải Phòng</t>
  </si>
  <si>
    <t>DaGiayVietNam</t>
  </si>
  <si>
    <t>CTCP  Da Giầy Việt Nam</t>
  </si>
  <si>
    <t>DAH</t>
  </si>
  <si>
    <t>CTCP Tập đoàn Khách sạn Đông Á</t>
  </si>
  <si>
    <t>DaiMo</t>
  </si>
  <si>
    <t>CTCP Cơ khí Xây dựng Đại Mỗ</t>
  </si>
  <si>
    <t>DAN</t>
  </si>
  <si>
    <t>CTCP Dược Danapha</t>
  </si>
  <si>
    <t>DaNangXD</t>
  </si>
  <si>
    <t>CTCP Xây dựng Công trình Giao thông Đà Nẵng</t>
  </si>
  <si>
    <t>DANATEX</t>
  </si>
  <si>
    <t>CTCP Dệt Hòa Khánh - Đà Nẵng</t>
  </si>
  <si>
    <t>DAP</t>
  </si>
  <si>
    <t>CTCP Đông Á</t>
  </si>
  <si>
    <t>DAR</t>
  </si>
  <si>
    <t>CTCP Xe lửa Dĩ An</t>
  </si>
  <si>
    <t>DAS</t>
  </si>
  <si>
    <t>CTCP Máy - Thiết bị Dầu khí Đà Nẵng</t>
  </si>
  <si>
    <t>DAT</t>
  </si>
  <si>
    <t>CTCP Đầu tư du lịch và Phát triển Thủy sản</t>
  </si>
  <si>
    <t>DaTayDo</t>
  </si>
  <si>
    <t>CTCP Da Tây Đô</t>
  </si>
  <si>
    <t>DatVang</t>
  </si>
  <si>
    <t>CTCP Sông Đà - Đất Vàng</t>
  </si>
  <si>
    <t>DauTuHaNoi</t>
  </si>
  <si>
    <t>CTCP Thương mại và Đầu tư TIC Hà Nội</t>
  </si>
  <si>
    <t>DBC</t>
  </si>
  <si>
    <t>CTCP Tập đoàn Dabaco Việt Nam</t>
  </si>
  <si>
    <t>DBD</t>
  </si>
  <si>
    <t>CTCP Dược - Trang thiết bị Y tế Bình Định (Bidiphar)</t>
  </si>
  <si>
    <t>DBF</t>
  </si>
  <si>
    <t>CTCP Lương thực Đông Bắc</t>
  </si>
  <si>
    <t>DBH</t>
  </si>
  <si>
    <t>CTCP Đường bộ Hải Phòng</t>
  </si>
  <si>
    <t>DBM</t>
  </si>
  <si>
    <t>CTCP Dược - Vật tư Y Tế Đăk Lăk</t>
  </si>
  <si>
    <t>DBT</t>
  </si>
  <si>
    <t>CTCP Dược phẩm Bến Tre</t>
  </si>
  <si>
    <t>DBW</t>
  </si>
  <si>
    <t>CTCP Cấp nước Điện Biên</t>
  </si>
  <si>
    <t>DC1</t>
  </si>
  <si>
    <t>CTCP Đầu tư Phát triển Xây dựng Số 1</t>
  </si>
  <si>
    <t>DC2</t>
  </si>
  <si>
    <t>CTCP Đầu tư Phát triển - Xây dựng (DIC) số 2</t>
  </si>
  <si>
    <t>DC4</t>
  </si>
  <si>
    <t>CTCP DICERA Holdings</t>
  </si>
  <si>
    <t>DCC</t>
  </si>
  <si>
    <t>CTCP Xây dựng Công nghiệp (DESCON)</t>
  </si>
  <si>
    <t>DCF</t>
  </si>
  <si>
    <t>CTCP Xây dựng và Thiết kế Số 1</t>
  </si>
  <si>
    <t>DCG</t>
  </si>
  <si>
    <t>CTCP Tổng Công ty May Đáp Cầu</t>
  </si>
  <si>
    <t>DCH</t>
  </si>
  <si>
    <t>CTCP Địa chính Hà Nội</t>
  </si>
  <si>
    <t>DCI</t>
  </si>
  <si>
    <t>CTCP Công nghiệp Hóa chất Đà Nẵng</t>
  </si>
  <si>
    <t>DCL</t>
  </si>
  <si>
    <t>CTCP Dược phẩm Cửu Long</t>
  </si>
  <si>
    <t>DCM</t>
  </si>
  <si>
    <t>CTCP - Tổng công ty Phân bón Dầu khí Cà Mau</t>
  </si>
  <si>
    <t>DCR</t>
  </si>
  <si>
    <t>CTCP Gạch men Cosevco</t>
  </si>
  <si>
    <t>DCS</t>
  </si>
  <si>
    <t>CTCP Tập đoàn EDX</t>
  </si>
  <si>
    <t>DCT</t>
  </si>
  <si>
    <t>CTCP Tấm lợp Vật liệu Xây dựng Đồng Nai</t>
  </si>
  <si>
    <t>DCV</t>
  </si>
  <si>
    <t>CTCP Quản lý Quỹ Đầu tư Dragon Capital Việt Nam</t>
  </si>
  <si>
    <t>DDB</t>
  </si>
  <si>
    <t>CTCP Thương mại và Xây dựng Đông Dương</t>
  </si>
  <si>
    <t>DDG</t>
  </si>
  <si>
    <t>CTCP Đầu tư Công nghiệp Xuất nhập khẩu Đông Dương</t>
  </si>
  <si>
    <t>DDH</t>
  </si>
  <si>
    <t>CTCP Đảm bảo Giao thông Đường thủy Hải Phòng</t>
  </si>
  <si>
    <t>DDM</t>
  </si>
  <si>
    <t>CTCP Hàng Hải Đông Đô</t>
  </si>
  <si>
    <t>DDN</t>
  </si>
  <si>
    <t>CTCP Dược và Thiết bị Y tế Đà Nẵng</t>
  </si>
  <si>
    <t>DDV</t>
  </si>
  <si>
    <t>CTCP DAP - VINACHEM</t>
  </si>
  <si>
    <t>DeltaAgf</t>
  </si>
  <si>
    <t>CTCP Đầu tư và Xây dựng Delta AGF</t>
  </si>
  <si>
    <t>DeltaCorp</t>
  </si>
  <si>
    <t>CTCP Đầu tư Châu Thổ</t>
  </si>
  <si>
    <t>DeltaTower</t>
  </si>
  <si>
    <t>CTCP Cảnh Hưng Hải Thành</t>
  </si>
  <si>
    <t>DetHaDong</t>
  </si>
  <si>
    <t>CTCP Dệt Hà Đông</t>
  </si>
  <si>
    <t>DetPhongPhu</t>
  </si>
  <si>
    <t>CTCP Dệt vải Phong Phú</t>
  </si>
  <si>
    <t>DetVinhPhu</t>
  </si>
  <si>
    <t>CTCP Dệt Vĩnh Phú</t>
  </si>
  <si>
    <t>DFC</t>
  </si>
  <si>
    <t>CTCP Xích líp Đông Anh</t>
  </si>
  <si>
    <t>DFF</t>
  </si>
  <si>
    <t>CTCP Tập đoàn Đua Fat</t>
  </si>
  <si>
    <t>DFS</t>
  </si>
  <si>
    <t>CTCP Chế biến Xuất nhập khẩu Nông sản Thực phẩm Đồng Nai</t>
  </si>
  <si>
    <t>DGC</t>
  </si>
  <si>
    <t>CTCP Tập đoàn Hóa chất Đức Giang</t>
  </si>
  <si>
    <t>DGT</t>
  </si>
  <si>
    <t>CTCP Công trình Giao thông Đồng Nai</t>
  </si>
  <si>
    <t>DGW</t>
  </si>
  <si>
    <t>CTCP Thế Giới Số</t>
  </si>
  <si>
    <t>DHA</t>
  </si>
  <si>
    <t>CTCP Hóa An</t>
  </si>
  <si>
    <t>DHB</t>
  </si>
  <si>
    <t>CTCP Phân đạm và Hóa chất Hà Bắc</t>
  </si>
  <si>
    <t>DHC</t>
  </si>
  <si>
    <t>CTCP Đông Hải Bến Tre</t>
  </si>
  <si>
    <t>DHD</t>
  </si>
  <si>
    <t>CTCP Dược Vật tư Y tế Hải Dương</t>
  </si>
  <si>
    <t>DHG</t>
  </si>
  <si>
    <t>CTCP Dược Hậu Giang</t>
  </si>
  <si>
    <t>DHM</t>
  </si>
  <si>
    <t>CTCP Thương mại và Khai thác Khoáng sản Dương Hiếu</t>
  </si>
  <si>
    <t>DHN</t>
  </si>
  <si>
    <t>CTCP Dược phẩm Hà Nội</t>
  </si>
  <si>
    <t>DHP</t>
  </si>
  <si>
    <t>CTCP Điện cơ Hải Phòng</t>
  </si>
  <si>
    <t>DHT</t>
  </si>
  <si>
    <t>CTCP Dược phẩm Hà Tây</t>
  </si>
  <si>
    <t>DIAOC3</t>
  </si>
  <si>
    <t>CTCP Xây dựng và Kinh doanh Địa Ốc III</t>
  </si>
  <si>
    <t>DiaOcGiaDinh</t>
  </si>
  <si>
    <t>CTCP Đầu tư Địa ốc Gia Định</t>
  </si>
  <si>
    <t>DIC</t>
  </si>
  <si>
    <t>CTCP Đầu tư và Thương mại DIC</t>
  </si>
  <si>
    <t>DIC1</t>
  </si>
  <si>
    <t>CTCP Xây dựng Đô thị và Khu công nghiệp</t>
  </si>
  <si>
    <t>DICThanhBinh</t>
  </si>
  <si>
    <t>CTCP Đầu tư Phát triển Xây dựng Thanh Bình</t>
  </si>
  <si>
    <t>DID</t>
  </si>
  <si>
    <t>CTCP DIC - Đồng Tiến</t>
  </si>
  <si>
    <t>DienLucDaNang</t>
  </si>
  <si>
    <t>CTCP Thủy điện Điện Lực Đà Nẵng</t>
  </si>
  <si>
    <t>DienNuocHaNoi</t>
  </si>
  <si>
    <t>CTCP Xây dựng Lắp máy Điện nước Hà Nội</t>
  </si>
  <si>
    <t>DienThuBon</t>
  </si>
  <si>
    <t>CTCP Thủy điện Thu Bồn</t>
  </si>
  <si>
    <t>DIG</t>
  </si>
  <si>
    <t>Tổng Công ty cổ phần Đầu tư Phát triển Xây dựng</t>
  </si>
  <si>
    <t>Diginet</t>
  </si>
  <si>
    <t>CTCP Định Gia Nét</t>
  </si>
  <si>
    <t>DIH</t>
  </si>
  <si>
    <t>CTCP Đầu tư Phát triển Xây dựng - Hội An</t>
  </si>
  <si>
    <t>DKC</t>
  </si>
  <si>
    <t>CTCP Chợ Lạng Sơn</t>
  </si>
  <si>
    <t>DKG</t>
  </si>
  <si>
    <t>CTCP Tập đoàn Damik</t>
  </si>
  <si>
    <t>DKH</t>
  </si>
  <si>
    <t>Trung tâm Đăng kiểm phương tiện Giao thông Thủy bộ</t>
  </si>
  <si>
    <t>DKP</t>
  </si>
  <si>
    <t>CTCP Dược Khoa</t>
  </si>
  <si>
    <t>DKW</t>
  </si>
  <si>
    <t>CTCP Cấp nước sinh hoạt Châu Thành</t>
  </si>
  <si>
    <t>DL1</t>
  </si>
  <si>
    <t>CTCP Tập đoàn Alpha Seven</t>
  </si>
  <si>
    <t>DLBD</t>
  </si>
  <si>
    <t>CTCP Du lịch Bưu điện</t>
  </si>
  <si>
    <t>DLC</t>
  </si>
  <si>
    <t>CTCP Du lịch Cần Thơ</t>
  </si>
  <si>
    <t>DLD</t>
  </si>
  <si>
    <t>CTCP Du lịch Đắk Lắk</t>
  </si>
  <si>
    <t>DLG</t>
  </si>
  <si>
    <t>CTCP Tập đoàn Đức Long Gia Lai</t>
  </si>
  <si>
    <t>DLM</t>
  </si>
  <si>
    <t>CTCP Chiếu sáng công cộng Đà Nẵng</t>
  </si>
  <si>
    <t>DLR</t>
  </si>
  <si>
    <t>CTCP Địa ốc Đà Lạt</t>
  </si>
  <si>
    <t>DLT</t>
  </si>
  <si>
    <t>CTCP Du lịch và Thương mại - Vinacomin</t>
  </si>
  <si>
    <t>DLV</t>
  </si>
  <si>
    <t>CTCP Du lịch Việt Nam - VITOURS</t>
  </si>
  <si>
    <t>DLX</t>
  </si>
  <si>
    <t>CTCP Delex Việt Nam</t>
  </si>
  <si>
    <t>DM7</t>
  </si>
  <si>
    <t>CTCP Dệt May 7</t>
  </si>
  <si>
    <t>DMC</t>
  </si>
  <si>
    <t>CTCP Xuất nhập khẩu Y Tế DOMESCO</t>
  </si>
  <si>
    <t>DMH</t>
  </si>
  <si>
    <t>CTCP Dược Minh Hải</t>
  </si>
  <si>
    <t>DMN</t>
  </si>
  <si>
    <t>CTCP Domenal</t>
  </si>
  <si>
    <t>DMS</t>
  </si>
  <si>
    <t>CTCP Hóa phẩm Dầu khí DMC - Miền Nam</t>
  </si>
  <si>
    <t>DMTC</t>
  </si>
  <si>
    <t>CTCP Khoan và Dịch vụ Kỹ thuật Khai thác Mỏ</t>
  </si>
  <si>
    <t>DMX</t>
  </si>
  <si>
    <t>CTCP Đầu tư Điện máy Xanh</t>
  </si>
  <si>
    <t>DNA</t>
  </si>
  <si>
    <t>CTCP Điện Nước An Giang</t>
  </si>
  <si>
    <t>DNB</t>
  </si>
  <si>
    <t>CTCP Sách và Thiết bị trường học tỉnh Đắk Nông</t>
  </si>
  <si>
    <t>DNC</t>
  </si>
  <si>
    <t>CTCP Điện Nước Lắp máy Hải Phòng</t>
  </si>
  <si>
    <t>DND</t>
  </si>
  <si>
    <t>CTCP Đầu tư Xây dựng và Vật liệu Đồng Nai</t>
  </si>
  <si>
    <t>DNE</t>
  </si>
  <si>
    <t>CTCP Môi trường Đô thị Đà Nẵng</t>
  </si>
  <si>
    <t>DNF</t>
  </si>
  <si>
    <t>CTCP Lương thực Đà Nẵng</t>
  </si>
  <si>
    <t>DNG</t>
  </si>
  <si>
    <t>CTCP Lắp máy Điện nước và Xây dựng</t>
  </si>
  <si>
    <t>DNH</t>
  </si>
  <si>
    <t>CTCP Thủy điện Đa Nhim - Hàm Thuận - Đa Mi</t>
  </si>
  <si>
    <t>DNL</t>
  </si>
  <si>
    <t>CTCP Logistics Cảng Đà Nẵng</t>
  </si>
  <si>
    <t>DNM</t>
  </si>
  <si>
    <t>Tổng Công ty cổ phần Y tế DANAMECO</t>
  </si>
  <si>
    <t>DNN</t>
  </si>
  <si>
    <t>CTCP Cấp nước Đà Nẵng</t>
  </si>
  <si>
    <t>DNP</t>
  </si>
  <si>
    <t>CTCP DNP Holding</t>
  </si>
  <si>
    <t>DNR</t>
  </si>
  <si>
    <t>CTCP Đường sắt Quảng Nam - Đà Nẵng</t>
  </si>
  <si>
    <t>DNS</t>
  </si>
  <si>
    <t>CTCP Thép Đà Nẵng</t>
  </si>
  <si>
    <t>DNT</t>
  </si>
  <si>
    <t>CTCP Du lịch Đồng Nai</t>
  </si>
  <si>
    <t>DNTD</t>
  </si>
  <si>
    <t>CTCP Thiết kế Viễn thông Tin học Đà Nẵng</t>
  </si>
  <si>
    <t>DNV</t>
  </si>
  <si>
    <t>CTCP Thương mại Dịch vụ VDA Đà Nẵng</t>
  </si>
  <si>
    <t>DNW</t>
  </si>
  <si>
    <t>CTCP Cấp nước Đồng Nai</t>
  </si>
  <si>
    <t>DNY</t>
  </si>
  <si>
    <t>CTCP Thép DANA - Ý</t>
  </si>
  <si>
    <t>DOC</t>
  </si>
  <si>
    <t>CTCP Vật tư Nông Nghiệp Đồng Nai</t>
  </si>
  <si>
    <t>Dofico</t>
  </si>
  <si>
    <t>Tổng công ty công nghiệp thực phẩm Đồng Nai</t>
  </si>
  <si>
    <t>Donatraco</t>
  </si>
  <si>
    <t>CTCP Sản xuất Thương mại Dịch vụ Đồng Nai</t>
  </si>
  <si>
    <t>DongAnhSteel</t>
  </si>
  <si>
    <t xml:space="preserve">CTCP Kết cấu Thép Xây dựng </t>
  </si>
  <si>
    <t>DongTam</t>
  </si>
  <si>
    <t>CTCP Đồng Tâm</t>
  </si>
  <si>
    <t>DongTauAnPhu</t>
  </si>
  <si>
    <t>CTCP Đóng Tàu An Phú</t>
  </si>
  <si>
    <t>DongThapTourist</t>
  </si>
  <si>
    <t>CTCP Du lịch Đồng Tháp</t>
  </si>
  <si>
    <t>DongTien</t>
  </si>
  <si>
    <t>CTCP Đồng Tiến</t>
  </si>
  <si>
    <t>DongXanh</t>
  </si>
  <si>
    <t>CTCP Đồng Xanh</t>
  </si>
  <si>
    <t>DOP</t>
  </si>
  <si>
    <t>CTCP Vận tải Xăng dầu Đồng Tháp</t>
  </si>
  <si>
    <t>DoThi18</t>
  </si>
  <si>
    <t>CTCP Đầu tư Hạ tầng 18</t>
  </si>
  <si>
    <t>DothiGialai</t>
  </si>
  <si>
    <t>CTCP Công trình Đô thị Gia Lai</t>
  </si>
  <si>
    <t>DP1</t>
  </si>
  <si>
    <t>CTCP Dược phẩm Trung ương CPC1</t>
  </si>
  <si>
    <t>DP2</t>
  </si>
  <si>
    <t>CTCP Dược phẩm Trung ương 2</t>
  </si>
  <si>
    <t>DP3</t>
  </si>
  <si>
    <t>CTCP Dược phẩm Trung ương 3</t>
  </si>
  <si>
    <t>DPC</t>
  </si>
  <si>
    <t>CTCP Nhựa Đà Nẵng</t>
  </si>
  <si>
    <t>DPG</t>
  </si>
  <si>
    <t>CTCP Tập đoàn Đạt Phương</t>
  </si>
  <si>
    <t>DPH</t>
  </si>
  <si>
    <t>CTCP Dược phẩm Hải Phòng</t>
  </si>
  <si>
    <t>DPM</t>
  </si>
  <si>
    <t>Tổng Công ty Phân bón và Hóa chất Dầu khí - CTCP</t>
  </si>
  <si>
    <t>DPP</t>
  </si>
  <si>
    <t>CTCP Dược Đồng Nai</t>
  </si>
  <si>
    <t>DPR</t>
  </si>
  <si>
    <t>CTCP Cao su Đồng Phú</t>
  </si>
  <si>
    <t>DPS</t>
  </si>
  <si>
    <t>CTCP Đầu tư Phát triển Sóc Sơn</t>
  </si>
  <si>
    <t>DQC</t>
  </si>
  <si>
    <t>CTCP Tập đoàn Điện Quang</t>
  </si>
  <si>
    <t>DRC</t>
  </si>
  <si>
    <t>CTCP Cao su Đà Nẵng</t>
  </si>
  <si>
    <t>DRG</t>
  </si>
  <si>
    <t>CTCP Cao su Đắk Lắk</t>
  </si>
  <si>
    <t>DRH</t>
  </si>
  <si>
    <t>CTCP DRH Holdings</t>
  </si>
  <si>
    <t>DRI</t>
  </si>
  <si>
    <t>CTCP Đầu tư Cao su Đắk Lắk</t>
  </si>
  <si>
    <t>DRL</t>
  </si>
  <si>
    <t>CTCP Thủy điện - Điện Lực 3</t>
  </si>
  <si>
    <t>DS3</t>
  </si>
  <si>
    <t>CTCP DS3</t>
  </si>
  <si>
    <t>DSC</t>
  </si>
  <si>
    <t>CTCP Chứng khoán DSC</t>
  </si>
  <si>
    <t>DSD</t>
  </si>
  <si>
    <t>CTCP DHC Suối Đôi</t>
  </si>
  <si>
    <t>DSE</t>
  </si>
  <si>
    <t>CTCP Chứng khoán DNSE</t>
  </si>
  <si>
    <t>DSG</t>
  </si>
  <si>
    <t>CTCP Kính Đáp Cầu</t>
  </si>
  <si>
    <t>DSH</t>
  </si>
  <si>
    <t>CTCP Đầu tư Hạ tầng Đông Sơn</t>
  </si>
  <si>
    <t>DSN</t>
  </si>
  <si>
    <t>CTCP Công viên nước Đầm Sen</t>
  </si>
  <si>
    <t>DSP</t>
  </si>
  <si>
    <t>CTCP Dịch vụ Du lịch Phú Thọ</t>
  </si>
  <si>
    <t>DSS</t>
  </si>
  <si>
    <t>CTCP Đường sắt Sài Gòn</t>
  </si>
  <si>
    <t>DST</t>
  </si>
  <si>
    <t>CTCP Đầu tư Sao Thăng Long</t>
  </si>
  <si>
    <t>DSV</t>
  </si>
  <si>
    <t>CTCP Đường sắt Vĩnh Phú</t>
  </si>
  <si>
    <t>DT319</t>
  </si>
  <si>
    <t>CTCP Đầu tư và Thương mại 319</t>
  </si>
  <si>
    <t>DT4</t>
  </si>
  <si>
    <t>CTCP Quản Lý Đường Sông Số 4</t>
  </si>
  <si>
    <t>DTA</t>
  </si>
  <si>
    <t>CTCP Đệ Tam</t>
  </si>
  <si>
    <t>DTB</t>
  </si>
  <si>
    <t>CTCP Công trình Đô thị Bảo Lộc</t>
  </si>
  <si>
    <t>DTC</t>
  </si>
  <si>
    <t>CTCP Viglacera Đông Triều</t>
  </si>
  <si>
    <t>DTD</t>
  </si>
  <si>
    <t>CTCP Đầu tư Phát triển Thành Đạt</t>
  </si>
  <si>
    <t>DTE</t>
  </si>
  <si>
    <t>CTCP Đầu tư Năng lượng Đại Trường Thành Holdings</t>
  </si>
  <si>
    <t>DTF</t>
  </si>
  <si>
    <t>CTCP Thực phẩm và Nước giải khát Dona New Tower</t>
  </si>
  <si>
    <t>DTG</t>
  </si>
  <si>
    <t>CTCP Dược phẩm Tipharco</t>
  </si>
  <si>
    <t>DTH</t>
  </si>
  <si>
    <t>CTCP Dược - Vật tư Y Tế Thanh Hóa</t>
  </si>
  <si>
    <t>DTI</t>
  </si>
  <si>
    <t>CTCP Đầu tư Đức Trung</t>
  </si>
  <si>
    <t>DTK</t>
  </si>
  <si>
    <t>Tổng Công ty Điện lực TKV - CTCP</t>
  </si>
  <si>
    <t>DTL</t>
  </si>
  <si>
    <t>CTCP Đại Thiên Lộc</t>
  </si>
  <si>
    <t>DTN</t>
  </si>
  <si>
    <t>CTCP Diêm Thống Nhất</t>
  </si>
  <si>
    <t>DTP</t>
  </si>
  <si>
    <t>CTCP Dược phẩm CPC1 Hà Nội</t>
  </si>
  <si>
    <t>DTS</t>
  </si>
  <si>
    <t>CTCP Dịch vụ Du lịch Đà Lạt</t>
  </si>
  <si>
    <t>DTSC</t>
  </si>
  <si>
    <t>CTCP Chứng khoán Delta</t>
  </si>
  <si>
    <t>DTT</t>
  </si>
  <si>
    <t>CTCP Kỹ nghệ Đô Thành</t>
  </si>
  <si>
    <t>DTV</t>
  </si>
  <si>
    <t>CTCP Phát triển Điện Trà Vinh</t>
  </si>
  <si>
    <t>DucTanLong</t>
  </si>
  <si>
    <t xml:space="preserve">CTCP Đúc Tân Long - Constrexim </t>
  </si>
  <si>
    <t>DuLichDaNang</t>
  </si>
  <si>
    <t>CTCP Du lịch Đà Nẵng</t>
  </si>
  <si>
    <t>DULICHKHANHHOA</t>
  </si>
  <si>
    <t>CTCP Du lịch Khánh Hòa</t>
  </si>
  <si>
    <t>DuLichTaCu</t>
  </si>
  <si>
    <t>CTCP Du lịch Núi Tà Cú</t>
  </si>
  <si>
    <t>DuLichThanhBinh</t>
  </si>
  <si>
    <t>CTCP Du lịch Thanh Bình</t>
  </si>
  <si>
    <t>DuLichThanhHoa</t>
  </si>
  <si>
    <t>CTCP Du lịch Thanh Hóa</t>
  </si>
  <si>
    <t>DuLichThuongMai</t>
  </si>
  <si>
    <t>CTCP Du lịch và Thương mại Vinacomin</t>
  </si>
  <si>
    <t>DuocBaoChau</t>
  </si>
  <si>
    <t>CTCP Tập đoàn Dược Bảo Châu</t>
  </si>
  <si>
    <t>DuocDomedic</t>
  </si>
  <si>
    <t>CTCP Y Dược Domedic</t>
  </si>
  <si>
    <t>DuocICA</t>
  </si>
  <si>
    <t>CTCP Công nghệ sinh học Dược phẩm ICA</t>
  </si>
  <si>
    <t>DuocLieuTW2</t>
  </si>
  <si>
    <t>CTCP Dược Liệu Trung ương 2</t>
  </si>
  <si>
    <t>DuocNamHa</t>
  </si>
  <si>
    <t>CTCP Dược phẩm Nam Hà</t>
  </si>
  <si>
    <t>DuocPham32</t>
  </si>
  <si>
    <t>CTCP Dược phẩm 3/2</t>
  </si>
  <si>
    <t>DuocTanPhat</t>
  </si>
  <si>
    <t>CTCP Dược - Trang Thiết bị Y Tế Tân Phát</t>
  </si>
  <si>
    <t>DuocYenBai</t>
  </si>
  <si>
    <t>CTCP Dược phẩm Yên Bái</t>
  </si>
  <si>
    <t>DuongBo234</t>
  </si>
  <si>
    <t>CTCP Quản Lý và Xây dựng Đường bộ 234</t>
  </si>
  <si>
    <t>DuongCanTho</t>
  </si>
  <si>
    <t>CTCP Mía đường Cần Thơ</t>
  </si>
  <si>
    <t>DuongLaNga</t>
  </si>
  <si>
    <t>CTCP Mía đường La Ngà</t>
  </si>
  <si>
    <t>DuongSatPhiaNam</t>
  </si>
  <si>
    <t>CTCP Đường sắt Phía Nam</t>
  </si>
  <si>
    <t>DuongSocTrang</t>
  </si>
  <si>
    <t>CTCP Mía đường Sóc Trăng</t>
  </si>
  <si>
    <t>DUS</t>
  </si>
  <si>
    <t>CTCP Dịch vụ Đô thị Đà Lạt</t>
  </si>
  <si>
    <t>DuyHoang07</t>
  </si>
  <si>
    <t>CTCP Duy Hoàng 07</t>
  </si>
  <si>
    <t>DVBBank</t>
  </si>
  <si>
    <t>Ngân hàng Phát triển Việt Nam</t>
  </si>
  <si>
    <t>DVC</t>
  </si>
  <si>
    <t>CTCP Thương mại Dịch vụ Tổng hợp Cảng Hải Phòng</t>
  </si>
  <si>
    <t>DVCCBinhDuong</t>
  </si>
  <si>
    <t>CTCP Xây dựng và Dịch vụ Công Cộng Bình Dương</t>
  </si>
  <si>
    <t>DVG</t>
  </si>
  <si>
    <t>CTCP Đại Việt Group DVG</t>
  </si>
  <si>
    <t>DVM</t>
  </si>
  <si>
    <t>CTCP Dược liệu Việt Nam</t>
  </si>
  <si>
    <t>DVN</t>
  </si>
  <si>
    <t>Tổng Công ty Dược Việt Nam - CTCP</t>
  </si>
  <si>
    <t>DVP</t>
  </si>
  <si>
    <t>CTCP Đầu tư và Phát triển Cảng Đình Vũ</t>
  </si>
  <si>
    <t>DVSC</t>
  </si>
  <si>
    <t>CTCP Chứng khoán Đại Việt</t>
  </si>
  <si>
    <t>DVT</t>
  </si>
  <si>
    <t>Trung tâm đào tạo nghiệp vụ Giao thông vận tải Bình Định</t>
  </si>
  <si>
    <t>DVVTKHANHHOA</t>
  </si>
  <si>
    <t>CTCP Khai thác Bến xe và Dịch vụ Vận tải Khánh Hòa</t>
  </si>
  <si>
    <t>DVW</t>
  </si>
  <si>
    <t>CTCP Dịch vụ và Xây dựng Cấp nước Đồng Nai</t>
  </si>
  <si>
    <t>DWC</t>
  </si>
  <si>
    <t>CTCP Cấp nước Đắk Lắk</t>
  </si>
  <si>
    <t>DWS</t>
  </si>
  <si>
    <t>CTCP Cấp nước và Môi trường đô thị Đồng Tháp</t>
  </si>
  <si>
    <t>DX2</t>
  </si>
  <si>
    <t>CTCP Đầu tư và Xây dựng 319.2</t>
  </si>
  <si>
    <t>DXD</t>
  </si>
  <si>
    <t>CTCP Đầu tư và Phát triển Xây lắp Đông Anh</t>
  </si>
  <si>
    <t>DXG</t>
  </si>
  <si>
    <t>CTCP Tập đoàn Đất Xanh</t>
  </si>
  <si>
    <t>DXL</t>
  </si>
  <si>
    <t>CTCP Du Lịch và Xuất nhập khẩu Lạng Sơn</t>
  </si>
  <si>
    <t>DXP</t>
  </si>
  <si>
    <t>CTCP Cảng Đoạn Xá</t>
  </si>
  <si>
    <t>DXS</t>
  </si>
  <si>
    <t>CTCP Dịch vụ Bất động sản Đất Xanh</t>
  </si>
  <si>
    <t>DXV</t>
  </si>
  <si>
    <t>CTCP VICEM Vật liệu Xây dựng Đà Nẵng</t>
  </si>
  <si>
    <t>DZM</t>
  </si>
  <si>
    <t>CTCP Cơ điện Dzĩ An</t>
  </si>
  <si>
    <t>E12</t>
  </si>
  <si>
    <t>CTCP Xây dựng Điện VNECO12</t>
  </si>
  <si>
    <t>E1VFVN30</t>
  </si>
  <si>
    <t>Quỹ ETF DCVFMVN30</t>
  </si>
  <si>
    <t>E29</t>
  </si>
  <si>
    <t>CTCP Đầu tư Xây dựng và Kỹ thuật 29</t>
  </si>
  <si>
    <t>EAD</t>
  </si>
  <si>
    <t>CTCP Thủy điện Điện lực Đắk Lắk</t>
  </si>
  <si>
    <t>EBA</t>
  </si>
  <si>
    <t>CTCP Điện Bắc Nà</t>
  </si>
  <si>
    <t>EBS</t>
  </si>
  <si>
    <t>CTCP Sách Giáo dục tại Thành phố Hà Nội</t>
  </si>
  <si>
    <t>ECC</t>
  </si>
  <si>
    <t>CTCP Chứng khoán Eurocapital</t>
  </si>
  <si>
    <t>ECI</t>
  </si>
  <si>
    <t>CTCP Tập Đoàn ECI</t>
  </si>
  <si>
    <t>ECO</t>
  </si>
  <si>
    <t>CTCP Nhựa sinh thái Việt Nam</t>
  </si>
  <si>
    <t>Eden</t>
  </si>
  <si>
    <t>CTCP Ê Đen</t>
  </si>
  <si>
    <t>EDX</t>
  </si>
  <si>
    <t>EFI</t>
  </si>
  <si>
    <t>CTCP Đầu tư Tài chính Giáo dục</t>
  </si>
  <si>
    <t>EGL</t>
  </si>
  <si>
    <t>CTCP Môi trường Đô thị Gia Lâm</t>
  </si>
  <si>
    <t>EIB</t>
  </si>
  <si>
    <t>Ngân hàng TMCP Xuất nhập khẩu Việt Nam</t>
  </si>
  <si>
    <t>EIC</t>
  </si>
  <si>
    <t>CTCP EVN Quốc tế</t>
  </si>
  <si>
    <t>EID</t>
  </si>
  <si>
    <t>CTCP Đầu tư và Phát triển Giáo dục Hà Nội</t>
  </si>
  <si>
    <t>EIN</t>
  </si>
  <si>
    <t>CTCP Đầu tư - Thương mại - Dịch vụ Điện Lực</t>
  </si>
  <si>
    <t>ELC</t>
  </si>
  <si>
    <t>CTCP Công Nghệ - Viễn Thông Elcom</t>
  </si>
  <si>
    <t>ELINCO</t>
  </si>
  <si>
    <t>CTCP Điện tử Tin học Hóa chất</t>
  </si>
  <si>
    <t>EMC</t>
  </si>
  <si>
    <t>CTCP Cơ điện Thủ Đức</t>
  </si>
  <si>
    <t>EME</t>
  </si>
  <si>
    <t>CTCP Điện cơ</t>
  </si>
  <si>
    <t>EMG</t>
  </si>
  <si>
    <t>CTCP Thiết bị Phụ Tùng Cơ Điện</t>
  </si>
  <si>
    <t>EMS</t>
  </si>
  <si>
    <t>Tổng Công ty Chuyển phát nhanh Bưu Điện - CTCP</t>
  </si>
  <si>
    <t>ENF</t>
  </si>
  <si>
    <t>Quỹ đầu tư Năng động Eastspring Investments Việt Nam</t>
  </si>
  <si>
    <t>EPC</t>
  </si>
  <si>
    <t>CTCP Cà phê Ea Pốk</t>
  </si>
  <si>
    <t>EPH</t>
  </si>
  <si>
    <t>CTCP Dịch vụ Xuất bản Giáo dục Hà Nội</t>
  </si>
  <si>
    <t>ETCC</t>
  </si>
  <si>
    <t>CTCP Cáp và Thiết bị Viễn Thông</t>
  </si>
  <si>
    <t>Eurowindow</t>
  </si>
  <si>
    <t>CTCP Cửa sổ Nhựa Châu Âu</t>
  </si>
  <si>
    <t>EVE</t>
  </si>
  <si>
    <t>CTCP Everpia</t>
  </si>
  <si>
    <t>EVESG</t>
  </si>
  <si>
    <t>Quỹ Đầu tư Cổ phiếu ESG Eastspring Investments Việt Nam</t>
  </si>
  <si>
    <t>EVF</t>
  </si>
  <si>
    <t>Công ty Tài chính Tổng hợp Cổ phần Điện lực</t>
  </si>
  <si>
    <t>EVG</t>
  </si>
  <si>
    <t>CTCP Tập đoàn EverLand</t>
  </si>
  <si>
    <t>EVNGENCO1</t>
  </si>
  <si>
    <t>Tổng Công ty Phát điện 1</t>
  </si>
  <si>
    <t>EVNHCMC</t>
  </si>
  <si>
    <t>Tổng công ty Điện lực Thành Phố Hồ Chí Minh</t>
  </si>
  <si>
    <t>EVNNPC</t>
  </si>
  <si>
    <t>Tổng Công ty Điện lực Miền Bắc</t>
  </si>
  <si>
    <t>EVNSPC</t>
  </si>
  <si>
    <t>Tổng Công ty Điện lực Miền Nam</t>
  </si>
  <si>
    <t>EVS</t>
  </si>
  <si>
    <t>CTCP Chứng khoán EVS</t>
  </si>
  <si>
    <t>Eximland</t>
  </si>
  <si>
    <t>CTCP Bất động sản Exim</t>
  </si>
  <si>
    <t>F88</t>
  </si>
  <si>
    <t>CTCP Đầu tư F88</t>
  </si>
  <si>
    <t>Falcon</t>
  </si>
  <si>
    <t>CTCP Vận tải Dầu khí Việt Nam</t>
  </si>
  <si>
    <t>FBA</t>
  </si>
  <si>
    <t>CTCP Tập đoàn Quốc tế FBA</t>
  </si>
  <si>
    <t>FBC</t>
  </si>
  <si>
    <t>CTCP Cơ khí Phổ Yên</t>
  </si>
  <si>
    <t>FBT</t>
  </si>
  <si>
    <t>CTCP Xuất nhập khẩu Lâm Thủy sản Bến Tre</t>
  </si>
  <si>
    <t>FCC</t>
  </si>
  <si>
    <t>CTCP Liên hợp Thực phẩm</t>
  </si>
  <si>
    <t>FCM</t>
  </si>
  <si>
    <t>CTCP Bê tông Phan Vũ Hà Nam</t>
  </si>
  <si>
    <t>FCN</t>
  </si>
  <si>
    <t>CTCP FECON</t>
  </si>
  <si>
    <t>FCS</t>
  </si>
  <si>
    <t>CTCP Lương thực Thành phố Hồ Chí Minh</t>
  </si>
  <si>
    <t>FDC</t>
  </si>
  <si>
    <t>CTCP Ngoại thương và  Phát triển Đầu tư Thành phố Hồ Chí Minh</t>
  </si>
  <si>
    <t>FDG</t>
  </si>
  <si>
    <t>CTCP Docimexco</t>
  </si>
  <si>
    <t>FDT</t>
  </si>
  <si>
    <t>CTCP FIDITOUR</t>
  </si>
  <si>
    <t>FGL</t>
  </si>
  <si>
    <t>CTCP Cà phê Gia Lai</t>
  </si>
  <si>
    <t>FHH</t>
  </si>
  <si>
    <t>CTCP Đầu tư Kinh doanh Phát triển Bất Động Sản FLCHOMES</t>
  </si>
  <si>
    <t>FHN</t>
  </si>
  <si>
    <t>CTCP Xuất nhập khẩu Lương thực Thực phẩm Hà Nội</t>
  </si>
  <si>
    <t>FHS</t>
  </si>
  <si>
    <t>CTCP Phát hành Sách Thành phố Hồ Chí Minh</t>
  </si>
  <si>
    <t>FIC</t>
  </si>
  <si>
    <t>Tổng Công ty Vật liệu Xây dựng số 1 - CTCP</t>
  </si>
  <si>
    <t>FID</t>
  </si>
  <si>
    <t>CTCP Đầu tư và Phát triển Doanh nghiệp Việt Nam</t>
  </si>
  <si>
    <t>FiinRatings</t>
  </si>
  <si>
    <t>CTCP FiinRatings</t>
  </si>
  <si>
    <t>FIR</t>
  </si>
  <si>
    <t>CTCP Địa ốc First Real</t>
  </si>
  <si>
    <t>FIS</t>
  </si>
  <si>
    <t>CTCP Hệ thống Thông tin FPT</t>
  </si>
  <si>
    <t>FIT</t>
  </si>
  <si>
    <t>CTCP Tập đoàn F.I.T</t>
  </si>
  <si>
    <t>FLC</t>
  </si>
  <si>
    <t>CTCP Tập đoàn FLC</t>
  </si>
  <si>
    <t>FMC</t>
  </si>
  <si>
    <t>CTCP Thực phẩm Sao Ta</t>
  </si>
  <si>
    <t>FNS</t>
  </si>
  <si>
    <t>CTCP Chứng khoán Funan</t>
  </si>
  <si>
    <t>FOC</t>
  </si>
  <si>
    <t>CTCP Dịch vụ Trực tuyến FPT</t>
  </si>
  <si>
    <t>Foodinco</t>
  </si>
  <si>
    <t>Tổng Công ty cổ phần Đầu tư và Xuất nhập khẩu Foodinco</t>
  </si>
  <si>
    <t>Formach</t>
  </si>
  <si>
    <t xml:space="preserve">CTCP Formach </t>
  </si>
  <si>
    <t>FOX</t>
  </si>
  <si>
    <t>CTCP Viễn thông FPT</t>
  </si>
  <si>
    <t>FPC</t>
  </si>
  <si>
    <t>CTCP Full Power</t>
  </si>
  <si>
    <t>FPT</t>
  </si>
  <si>
    <t>CTCP FPT</t>
  </si>
  <si>
    <t>FPTCapital</t>
  </si>
  <si>
    <t>CTCP Quản lý Quỹ Đầu tư FPT</t>
  </si>
  <si>
    <t>FPTTrading</t>
  </si>
  <si>
    <t>CTCP Thương mại FPT</t>
  </si>
  <si>
    <t>FRC</t>
  </si>
  <si>
    <t>CTCP Lâm đặc sản Xuất khẩu Quảng Nam</t>
  </si>
  <si>
    <t>FritHue</t>
  </si>
  <si>
    <t>CTCP Frit Huế</t>
  </si>
  <si>
    <t>FRM</t>
  </si>
  <si>
    <t>CTCP Lâm Nghiệp Sài Gòn</t>
  </si>
  <si>
    <t>FRT</t>
  </si>
  <si>
    <t>CTCP Bán lẻ Kỹ thuật số FPT</t>
  </si>
  <si>
    <t>FSO</t>
  </si>
  <si>
    <t>CTCP Cơ khí đóng tàu Thủy sản Việt Nam</t>
  </si>
  <si>
    <t>FSS</t>
  </si>
  <si>
    <t>CTCP Giải pháp Phần mềm Tài chính</t>
  </si>
  <si>
    <t>FT1</t>
  </si>
  <si>
    <t>CTCP Phụ tùng Máy số 1</t>
  </si>
  <si>
    <t>FTI</t>
  </si>
  <si>
    <t>CTCP Công nghiệp - Thương mại Hữu Nghị</t>
  </si>
  <si>
    <t>FTM</t>
  </si>
  <si>
    <t>CTCP Đầu tư và Phát triển Đức Quân</t>
  </si>
  <si>
    <t>FTS</t>
  </si>
  <si>
    <t>CTCP Chứng khoán FPT</t>
  </si>
  <si>
    <t>FTV</t>
  </si>
  <si>
    <t>CTCP Công nghiệp Ngũ kim Fortress Việt Nam</t>
  </si>
  <si>
    <t>FUCTVGF3</t>
  </si>
  <si>
    <t>Quỹ Đầu tư Tăng trưởng Thiên Việt 3</t>
  </si>
  <si>
    <t>FUCTVGF4</t>
  </si>
  <si>
    <t>Quỹ Đầu tư Tăng trưởng Thiên Việt 4</t>
  </si>
  <si>
    <t>FUCTVGF5</t>
  </si>
  <si>
    <t>Quỹ đầu tư tăng trưởng Thiên Việt 5</t>
  </si>
  <si>
    <t>FUCVREIT</t>
  </si>
  <si>
    <t>Quỹ đầu tư Bất động sản Techcom Việt Nam</t>
  </si>
  <si>
    <t>FUEABVND</t>
  </si>
  <si>
    <t>Chứng chỉ Quỹ ETF ABFVN DIAMOND</t>
  </si>
  <si>
    <t>FUEBFVND</t>
  </si>
  <si>
    <t>Chứng chỉ Quỹ ETF BVFVN DIAMOND</t>
  </si>
  <si>
    <t>FUEDCMID</t>
  </si>
  <si>
    <t>Chứng chỉ Quỹ ETF DCVFMVNMIDCAP</t>
  </si>
  <si>
    <t>FUEFCV50</t>
  </si>
  <si>
    <t>Chứng chỉ Quỹ ETF FPT CAPITAL VNX50</t>
  </si>
  <si>
    <t>FUEIP100</t>
  </si>
  <si>
    <t>Chứng chỉ Quỹ ETF IPAAM VN100</t>
  </si>
  <si>
    <t>FUEKIV30</t>
  </si>
  <si>
    <t>Chứng chỉ Quỹ ETF KIM GROWTH VN30</t>
  </si>
  <si>
    <t>FUEKIVFS</t>
  </si>
  <si>
    <t>Chứng chỉ Quỹ ETF Kim Growth VNFINSELECT</t>
  </si>
  <si>
    <t>FUEKIVND</t>
  </si>
  <si>
    <t>Chứng chỉ Quỹ ETF KIM GROWTH VN DIAMOND</t>
  </si>
  <si>
    <t>FUEMAV30</t>
  </si>
  <si>
    <t>Quỹ ETF MAFM VN30</t>
  </si>
  <si>
    <t>FUEMAVND</t>
  </si>
  <si>
    <t>Chứng chỉ Quỹ ETF MAFM VNDIAMOND</t>
  </si>
  <si>
    <t>FUESSV30</t>
  </si>
  <si>
    <t>Quỹ ETF SSIAM VN30</t>
  </si>
  <si>
    <t>FUESSV50</t>
  </si>
  <si>
    <t>Quỹ ETF SSIAM VNX50</t>
  </si>
  <si>
    <t>FUESSVFL</t>
  </si>
  <si>
    <t>Quỹ ETF SSIAM VNFIN LEAD</t>
  </si>
  <si>
    <t>FUETCC50</t>
  </si>
  <si>
    <t>Chứng chỉ Quỹ ETF TECHCOM CAPITAL VNX50</t>
  </si>
  <si>
    <t>FUETPVND</t>
  </si>
  <si>
    <t>Chứng chỉ quỹ ETF VFCVN DIAMOND</t>
  </si>
  <si>
    <t>FUEVFVND</t>
  </si>
  <si>
    <t>Quỹ ETF DCVFMVN DIAMOND</t>
  </si>
  <si>
    <t>FUEVN100</t>
  </si>
  <si>
    <t>Quỹ ETF VINACAPITAL VN100</t>
  </si>
  <si>
    <t>G20</t>
  </si>
  <si>
    <t>CTCP Đầu tư Dệt may Vĩnh Phúc</t>
  </si>
  <si>
    <t>G36</t>
  </si>
  <si>
    <t>Tổng Công ty 36 - CTCP</t>
  </si>
  <si>
    <t>GAB</t>
  </si>
  <si>
    <t>CTCP Đầu tư Khai Khoáng và Quản lý Tài sản FLC</t>
  </si>
  <si>
    <t>GachThaiBinh</t>
  </si>
  <si>
    <t>CTCP Gạch ốp lát Thái Bình</t>
  </si>
  <si>
    <t>GANGTHEPLAOCAI</t>
  </si>
  <si>
    <t>CTCP Đầu tư Gang thép Lào Cai - Vimico</t>
  </si>
  <si>
    <t>GAS</t>
  </si>
  <si>
    <t>Tổng Công ty Khí Việt Nam - CTCP</t>
  </si>
  <si>
    <t>GBS</t>
  </si>
  <si>
    <t>CTCP Chứng khoán Golden Bridge Việt Nam</t>
  </si>
  <si>
    <t>GCB</t>
  </si>
  <si>
    <t>CTCP Petec Bình Định</t>
  </si>
  <si>
    <t>GCC</t>
  </si>
  <si>
    <t>CTCP Văn hóa Tổng hợp Bến Thành</t>
  </si>
  <si>
    <t>GCF</t>
  </si>
  <si>
    <t>CTCP Thực phẩm G.C</t>
  </si>
  <si>
    <t>GDA</t>
  </si>
  <si>
    <t>CTCP Tôn Đông Á</t>
  </si>
  <si>
    <t>GDC</t>
  </si>
  <si>
    <t>CTCP Xuất nhập khẩu Gia Định</t>
  </si>
  <si>
    <t>GDEGF</t>
  </si>
  <si>
    <t>Quỹ Đầu tư Cổ phiếu Tăng trưởng Rồng Vàng</t>
  </si>
  <si>
    <t>GDT</t>
  </si>
  <si>
    <t>CTCP Chế biến Gỗ Đức Thành</t>
  </si>
  <si>
    <t>GDW</t>
  </si>
  <si>
    <t>CTCP Cấp nước Gia Định</t>
  </si>
  <si>
    <t>GE2</t>
  </si>
  <si>
    <t>Tổng Công ty Phát điện 2 - CTCP</t>
  </si>
  <si>
    <t>GEC</t>
  </si>
  <si>
    <t>CTCP Cơ khí Gang Thép</t>
  </si>
  <si>
    <t>GEE</t>
  </si>
  <si>
    <t>CTCP Điện lực Gelex</t>
  </si>
  <si>
    <t>Gefoseco</t>
  </si>
  <si>
    <t>CTCP Thực phẩm và Dịch vụ Tổng hợp</t>
  </si>
  <si>
    <t>GEG</t>
  </si>
  <si>
    <t>CTCP Điện Gia Lai</t>
  </si>
  <si>
    <t>GEL</t>
  </si>
  <si>
    <t>CTCP Hạ tầng GELEX</t>
  </si>
  <si>
    <t>Geleximco</t>
  </si>
  <si>
    <t>Tập đoàn Geleximco - CTCP</t>
  </si>
  <si>
    <t>Gelimex</t>
  </si>
  <si>
    <t>CTCP Điện máy và Kỹ thuật Công Nghệ</t>
  </si>
  <si>
    <t>Generalimex</t>
  </si>
  <si>
    <t>CTCP Xuất nhập khẩu Tổng hợp II</t>
  </si>
  <si>
    <t>Genesis</t>
  </si>
  <si>
    <t>CTCP Quản lý quỹ LPB</t>
  </si>
  <si>
    <t>Genexim</t>
  </si>
  <si>
    <t>CTCP Vật tư Tổng hợp Thành phố Hồ Chí Minh</t>
  </si>
  <si>
    <t>Gentraco</t>
  </si>
  <si>
    <t>CTCP Gentraco</t>
  </si>
  <si>
    <t>GER</t>
  </si>
  <si>
    <t>CTCP Thể thao Ngôi sao Geru</t>
  </si>
  <si>
    <t>Getraco</t>
  </si>
  <si>
    <t>CTCP Thương mại Tổng hợp Tỉnh Bà Rịa - Vũng Tàu</t>
  </si>
  <si>
    <t>GEX</t>
  </si>
  <si>
    <t>CTCP Tập đoàn GELEX</t>
  </si>
  <si>
    <t>GFC</t>
  </si>
  <si>
    <t>CTCP Sản xuất Thương mại Dịch vụ GFC</t>
  </si>
  <si>
    <t>GGG</t>
  </si>
  <si>
    <t>CTCP Ô tô Giải Phóng</t>
  </si>
  <si>
    <t>GGS</t>
  </si>
  <si>
    <t>CTCP Giống gia súc Hà Nội</t>
  </si>
  <si>
    <t>GH3</t>
  </si>
  <si>
    <t>CTCP Công trình Giao thông Hà Nội</t>
  </si>
  <si>
    <t>GHC</t>
  </si>
  <si>
    <t>CTCP Thủy điện Gia Lai</t>
  </si>
  <si>
    <t>GiaDinhCo</t>
  </si>
  <si>
    <t>CTCP Đầu tư Phát triển Gia Định</t>
  </si>
  <si>
    <t>GiaDungPhongPhu</t>
  </si>
  <si>
    <t>CTCP Dệt Gia dụng Phong Phú</t>
  </si>
  <si>
    <t>GiaiPhapS2P</t>
  </si>
  <si>
    <t>CTCP Dịch vụ Kĩ thuật và Giải pháp Số S2P</t>
  </si>
  <si>
    <t>GiaoThong</t>
  </si>
  <si>
    <t>CTCP Thiết bị Xây lắp Giao thông</t>
  </si>
  <si>
    <t>GiaoThong2</t>
  </si>
  <si>
    <t>CTCP Công trình Giao thông 2</t>
  </si>
  <si>
    <t>GiaoThongQN</t>
  </si>
  <si>
    <t>CTCP Xây dựng Giao thông Quảng Nam</t>
  </si>
  <si>
    <t>GiaSangSteel</t>
  </si>
  <si>
    <t>CTCP Luyện cán thép Gia Sàng</t>
  </si>
  <si>
    <t>GiayDepWEC</t>
  </si>
  <si>
    <t>CTCP May Thêu Giày Dép W.E.C Sài Gòn</t>
  </si>
  <si>
    <t>GiayHaiDuong</t>
  </si>
  <si>
    <t>CTCP Giầy Hải Dương</t>
  </si>
  <si>
    <t>GiayHaNoi</t>
  </si>
  <si>
    <t>CTCP Đầu tư Xuất nhập khẩu Da giày Hà Nội</t>
  </si>
  <si>
    <t>GiayLamSon</t>
  </si>
  <si>
    <t>CTCP Giấy Lam Sơn</t>
  </si>
  <si>
    <t>GiayLeHoa</t>
  </si>
  <si>
    <t>CTCP Giấy tập Lệ Hoa</t>
  </si>
  <si>
    <t>GIC</t>
  </si>
  <si>
    <t>CTCP VSC Green Logistics</t>
  </si>
  <si>
    <t>GID</t>
  </si>
  <si>
    <t>CTCP Dệt may Gia Định</t>
  </si>
  <si>
    <t>GIL</t>
  </si>
  <si>
    <t>CTCP Sản xuất Kinh doanh và Xuất nhập khẩu Bình Thạnh</t>
  </si>
  <si>
    <t>GKM</t>
  </si>
  <si>
    <t>CTCP GKM Holdings</t>
  </si>
  <si>
    <t>GLC</t>
  </si>
  <si>
    <t>CTCP Vàng Lào Cai</t>
  </si>
  <si>
    <t>GLH</t>
  </si>
  <si>
    <t>CTCP GLEXHOMES</t>
  </si>
  <si>
    <t>GLS</t>
  </si>
  <si>
    <t>CTCP Chứng khoán Xuân Thiện</t>
  </si>
  <si>
    <t>GLT</t>
  </si>
  <si>
    <t>CTCP Kỹ thuật Điện Toàn cầu</t>
  </si>
  <si>
    <t>GLW</t>
  </si>
  <si>
    <t>CTCP Cấp thoát nước Gia Lai</t>
  </si>
  <si>
    <t>GMA</t>
  </si>
  <si>
    <t>CTCP G-Automobile</t>
  </si>
  <si>
    <t>GMC</t>
  </si>
  <si>
    <t>CTCP Garmex Sài Gòn</t>
  </si>
  <si>
    <t>GMD</t>
  </si>
  <si>
    <t>CTCP Gemadept</t>
  </si>
  <si>
    <t>GMH</t>
  </si>
  <si>
    <t>CTCP Minh Hưng Quảng Trị</t>
  </si>
  <si>
    <t>GMX</t>
  </si>
  <si>
    <t>CTCP Gạch ngói Gốm Xây dựng Mỹ Xuân</t>
  </si>
  <si>
    <t>GND</t>
  </si>
  <si>
    <t>CTCP Gạch ngói Đồng Nai</t>
  </si>
  <si>
    <t>GoldenGate</t>
  </si>
  <si>
    <t>CTCP Thương mại Dịch vụ Cổng Vàng</t>
  </si>
  <si>
    <t>GPC</t>
  </si>
  <si>
    <t>CTCP Tập đoàn Green+</t>
  </si>
  <si>
    <t>GQN</t>
  </si>
  <si>
    <t>Trung tâm Giống Thủy sản Quảng Nam</t>
  </si>
  <si>
    <t>GRL</t>
  </si>
  <si>
    <t>CTCP Tiếp Vận Xanh</t>
  </si>
  <si>
    <t>GSC</t>
  </si>
  <si>
    <t>CTCP Thủy điện Geruco Sông Côn</t>
  </si>
  <si>
    <t>GSM</t>
  </si>
  <si>
    <t>CTCP Thủy điện Hương Sơn</t>
  </si>
  <si>
    <t>GSP</t>
  </si>
  <si>
    <t>CTCP Vận tải Sản Phẩm Khí Quốc tế</t>
  </si>
  <si>
    <t>GT6</t>
  </si>
  <si>
    <t>Tổng Công ty Xây dựng Công trình Giao thông 6 - CTCP</t>
  </si>
  <si>
    <t>GTA</t>
  </si>
  <si>
    <t>CTCP Chế biến gỗ Thuận An</t>
  </si>
  <si>
    <t>GTC</t>
  </si>
  <si>
    <t>CTCP Trà Rồng Vàng</t>
  </si>
  <si>
    <t>GTD</t>
  </si>
  <si>
    <t>CTCP Giầy Thượng Đình</t>
  </si>
  <si>
    <t>GTH</t>
  </si>
  <si>
    <t>CTCP Xây dựng - Giao thông Thừa Thiên Huế</t>
  </si>
  <si>
    <t>GTK</t>
  </si>
  <si>
    <t>CTCP Giầy Thụy Khê</t>
  </si>
  <si>
    <t>GTS</t>
  </si>
  <si>
    <t>CTCP Công trình Giao thông Sài Gòn</t>
  </si>
  <si>
    <t>GTT</t>
  </si>
  <si>
    <t>CTCP Thuận Thảo</t>
  </si>
  <si>
    <t>GVR</t>
  </si>
  <si>
    <t>Tập đoàn Công nghiệp Cao su Việt Nam - CTCP</t>
  </si>
  <si>
    <t>GVT</t>
  </si>
  <si>
    <t>CTCP Giấy Việt Trì</t>
  </si>
  <si>
    <t>H11</t>
  </si>
  <si>
    <t>CTCP Xây dựng HUD101</t>
  </si>
  <si>
    <t>H22</t>
  </si>
  <si>
    <t>CTCP Đầu tư và Phát triển Nhà Hà Nội 22</t>
  </si>
  <si>
    <t>HAB</t>
  </si>
  <si>
    <t>CTCP Sách và Thiết bị Trường học Hà Nội</t>
  </si>
  <si>
    <t>Habac</t>
  </si>
  <si>
    <t>CTCP Cơ khí Xây dựng Số 2 Hà Bắc</t>
  </si>
  <si>
    <t>HAC</t>
  </si>
  <si>
    <t>CTCP Chứng khoán Hải Phòng</t>
  </si>
  <si>
    <t>HaChau</t>
  </si>
  <si>
    <t xml:space="preserve">CTCP Hà Châu </t>
  </si>
  <si>
    <t>HACO</t>
  </si>
  <si>
    <t>CTCP Kiến Trúc Hà Nội</t>
  </si>
  <si>
    <t>HAD</t>
  </si>
  <si>
    <t>CTCP Bia Hà Nội - Hải Dương</t>
  </si>
  <si>
    <t>HADIC</t>
  </si>
  <si>
    <t>CTCP Tư vấn Đầu tư và Phát triển Bưu điện Hà Nội</t>
  </si>
  <si>
    <t>HAF</t>
  </si>
  <si>
    <t>CTCP Thực phẩm Hà Nội</t>
  </si>
  <si>
    <t>HAFIC</t>
  </si>
  <si>
    <t>CTCP Tài chính Handico</t>
  </si>
  <si>
    <t>HAG</t>
  </si>
  <si>
    <t>CTCP Hoàng Anh Gia Lai</t>
  </si>
  <si>
    <t>HAH</t>
  </si>
  <si>
    <t>CTCP Vận tải và Xếp dỡ Hải An</t>
  </si>
  <si>
    <t>HAI</t>
  </si>
  <si>
    <t>CTCP Nông dược H.A.I</t>
  </si>
  <si>
    <t>HaiAn</t>
  </si>
  <si>
    <t>CTCP Đóng Tàu Hải An</t>
  </si>
  <si>
    <t>Haicatex</t>
  </si>
  <si>
    <t>CTCP Dệt Công nghiệp Hà Nội</t>
  </si>
  <si>
    <t>HaiChau</t>
  </si>
  <si>
    <t>CTCP Bánh kẹo Hải Châu</t>
  </si>
  <si>
    <t>HaiPhongMarine</t>
  </si>
  <si>
    <t>CTCP Đầu tư và Thương mại Hàng Hải Hải Phòng</t>
  </si>
  <si>
    <t>HaiVanNam</t>
  </si>
  <si>
    <t>CTCP Hải Vân Nam</t>
  </si>
  <si>
    <t>HAM</t>
  </si>
  <si>
    <t>CTCP Vật tư Hậu Giang</t>
  </si>
  <si>
    <t>HAMC</t>
  </si>
  <si>
    <t>CTCP Cơ khí Ô Tô Hòa Bình</t>
  </si>
  <si>
    <t>HAN</t>
  </si>
  <si>
    <t>Tổng Công ty Xây dựng Hà Nội - CTCP</t>
  </si>
  <si>
    <t>Hanaka</t>
  </si>
  <si>
    <t>CTCP Tập đoàn Hanaka</t>
  </si>
  <si>
    <t>HaNamNinh</t>
  </si>
  <si>
    <t>CTCP Lương thực Hà Nam Ninh</t>
  </si>
  <si>
    <t>Hanexim</t>
  </si>
  <si>
    <t>CTCP Xuất nhập khẩu Hà Anh</t>
  </si>
  <si>
    <t>HaNoiFood</t>
  </si>
  <si>
    <t>CTCP Chế biến Kinh doanh Lương thực Thực phẩm Hà Nội</t>
  </si>
  <si>
    <t>HaNoiNonNuoc</t>
  </si>
  <si>
    <t>CTCP Đầu tư Du lịch Hà Nội Non Nước</t>
  </si>
  <si>
    <t>HaNoiOptic</t>
  </si>
  <si>
    <t>CTCP Kính mắt Hà Nội</t>
  </si>
  <si>
    <t>HaNoiTD</t>
  </si>
  <si>
    <t>CTCP Phát triển Thương mại Hà Nội</t>
  </si>
  <si>
    <t>Hanosimex</t>
  </si>
  <si>
    <t>CTCP Thương mại Hải Phòng - Hanosimex</t>
  </si>
  <si>
    <t>HAP</t>
  </si>
  <si>
    <t>CTCP Tập đoàn Hapaco</t>
  </si>
  <si>
    <t>HAPHARCO</t>
  </si>
  <si>
    <t>CTCP Dược phẩm Thiết bị Y tế Hà Nội</t>
  </si>
  <si>
    <t>Hapoco</t>
  </si>
  <si>
    <t>CTCP Sứ Hải Dương</t>
  </si>
  <si>
    <t>HAPULICO</t>
  </si>
  <si>
    <t>CTCP Đầu tư Bất động sản Hapulico</t>
  </si>
  <si>
    <t>HAR</t>
  </si>
  <si>
    <t>CTCP Đầu tư Thương mại Bất động sản An Dương Thảo Điền</t>
  </si>
  <si>
    <t>HARATOUR</t>
  </si>
  <si>
    <t>CTCP Dịch vụ Du lịch Đường sắt Hà Nội</t>
  </si>
  <si>
    <t>HARUTOUR</t>
  </si>
  <si>
    <t>CTCP Du lịch Cao su Hàm Rồng</t>
  </si>
  <si>
    <t>HAS</t>
  </si>
  <si>
    <t>CTCP Hacisco</t>
  </si>
  <si>
    <t>HASCOM</t>
  </si>
  <si>
    <t>CTCP Thép và Cơ khí Vật liệu Xây dựng Hải Phòng</t>
  </si>
  <si>
    <t>HAT</t>
  </si>
  <si>
    <t>CTCP Thương mại Bia Hà Nội</t>
  </si>
  <si>
    <t>HaTienKienGiang</t>
  </si>
  <si>
    <t>CTCP Xi măng Hà Tiên Kiên Giang</t>
  </si>
  <si>
    <t>HAV</t>
  </si>
  <si>
    <t>CTCP Rượu Hapro</t>
  </si>
  <si>
    <t>HAW</t>
  </si>
  <si>
    <t>Trung tâm Nước sạch và Vệ sinh môi trường nông thôn</t>
  </si>
  <si>
    <t>HAX</t>
  </si>
  <si>
    <t>CTCP Dịch vụ Ô tô Hàng Xanh</t>
  </si>
  <si>
    <t>HBC</t>
  </si>
  <si>
    <t>CTCP Tập đoàn Xây dựng Hòa Bình</t>
  </si>
  <si>
    <t>HBD</t>
  </si>
  <si>
    <t>CTCP Bao Bì PP Bình Dương</t>
  </si>
  <si>
    <t>HBE</t>
  </si>
  <si>
    <t>CTCP Sách thiết bị Trường học Hà Tĩnh</t>
  </si>
  <si>
    <t>HBH</t>
  </si>
  <si>
    <t>CTCP Habeco - Hải Phòng</t>
  </si>
  <si>
    <t>HBI</t>
  </si>
  <si>
    <t>CTCP HBI</t>
  </si>
  <si>
    <t>HBS</t>
  </si>
  <si>
    <t>CTCP Chứng khoán Hòa Bình</t>
  </si>
  <si>
    <t>HBW</t>
  </si>
  <si>
    <t>CTCP Nước sạch Hòa Bình</t>
  </si>
  <si>
    <t>HC1</t>
  </si>
  <si>
    <t>CTCP Xây dựng Số 1 Hà Nội</t>
  </si>
  <si>
    <t>HC3</t>
  </si>
  <si>
    <t>CTCP Xây dựng Số 3 Hải Phòng</t>
  </si>
  <si>
    <t>HCB</t>
  </si>
  <si>
    <t>CTCP Dệt may 29/3</t>
  </si>
  <si>
    <t>HCC</t>
  </si>
  <si>
    <t>CTCP Bê tông Hòa Cầm - Intimex</t>
  </si>
  <si>
    <t>HCD</t>
  </si>
  <si>
    <t>CTCP Đầu tư Sản xuất và Thương mại HCD</t>
  </si>
  <si>
    <t>HCI</t>
  </si>
  <si>
    <t xml:space="preserve">CTCP Đầu tư Xây dựng Hà Nội </t>
  </si>
  <si>
    <t>HCM</t>
  </si>
  <si>
    <t>CTCP Chứng khoán Thành phố Hồ Chí Minh</t>
  </si>
  <si>
    <t>HCS</t>
  </si>
  <si>
    <t>CTCP Thông tin Tín hiệu Đường sắt Hà Nội</t>
  </si>
  <si>
    <t>HCT</t>
  </si>
  <si>
    <t>CTCP Thương mại Dịch vụ Vận tải Xi măng Hải Phòng</t>
  </si>
  <si>
    <t>HD2</t>
  </si>
  <si>
    <t>CTCP Đầu tư Phát triển Nhà HUD2</t>
  </si>
  <si>
    <t>HD3</t>
  </si>
  <si>
    <t>CTCP Đầu tư phát triển Nhà và Đô thị MHDI3</t>
  </si>
  <si>
    <t>HD6</t>
  </si>
  <si>
    <t>CTCP Đầu tư và Phát triển Nhà Số 6 Hà Nội</t>
  </si>
  <si>
    <t>HD8</t>
  </si>
  <si>
    <t>CTCP Đầu tư Phát triển Nhà và Đô thị HUD8</t>
  </si>
  <si>
    <t>HDA</t>
  </si>
  <si>
    <t>CTCP Hãng sơn Đông Á</t>
  </si>
  <si>
    <t>HDB</t>
  </si>
  <si>
    <t>Ngân hàng TMCP Phát triển Thành phố Hồ Chí Minh</t>
  </si>
  <si>
    <t>HDBS</t>
  </si>
  <si>
    <t>CTCP Chứng khoán HD</t>
  </si>
  <si>
    <t>HDC</t>
  </si>
  <si>
    <t>CTCP Phát triển Nhà Bà Rịa - Vũng Tàu</t>
  </si>
  <si>
    <t>HDCap</t>
  </si>
  <si>
    <t>CTCP Quản lý Quỹ HD</t>
  </si>
  <si>
    <t>HDCC1</t>
  </si>
  <si>
    <t>CTCP Xây dựng Số 1 Hải Dương</t>
  </si>
  <si>
    <t>HDG</t>
  </si>
  <si>
    <t>CTCP Tập đoàn Hà Đô</t>
  </si>
  <si>
    <t>HDLinvest</t>
  </si>
  <si>
    <t>CTCP Thương mại và Đầu tư HDL</t>
  </si>
  <si>
    <t>HDM</t>
  </si>
  <si>
    <t>CTCP Dệt may Huế</t>
  </si>
  <si>
    <t>HDO</t>
  </si>
  <si>
    <t>CTCP Hưng Đạo Container</t>
  </si>
  <si>
    <t>HDP</t>
  </si>
  <si>
    <t>CTCP Dược Hà Tĩnh</t>
  </si>
  <si>
    <t>HDS</t>
  </si>
  <si>
    <t>CTCP Giống cây trồng Hải Dương</t>
  </si>
  <si>
    <t>HDW</t>
  </si>
  <si>
    <t>CTCP Kinh doanh Nước sạch Hải Dương</t>
  </si>
  <si>
    <t>HEC</t>
  </si>
  <si>
    <t>CTCP Tư vấn Xây dựng Thủy Lợi II</t>
  </si>
  <si>
    <t>Heco</t>
  </si>
  <si>
    <t>CTCP Tư vấn Thiết kế Đường bộ</t>
  </si>
  <si>
    <t>HEJ</t>
  </si>
  <si>
    <t>Tổng Công ty Tư vấn Xây dựng Thủy lợi Việt Nam - CTCP</t>
  </si>
  <si>
    <t>HEM</t>
  </si>
  <si>
    <t>CTCP Chế tạo Điện Cơ Hà Nội</t>
  </si>
  <si>
    <t>Hemco</t>
  </si>
  <si>
    <t>CTCP Học liệu Giáo dục Hà Nội</t>
  </si>
  <si>
    <t>HEP</t>
  </si>
  <si>
    <t>CTCP Môi trường và Công trình Đô thị Huế</t>
  </si>
  <si>
    <t>HES</t>
  </si>
  <si>
    <t>CTCP Dịch vụ Giải trí Hà Nội</t>
  </si>
  <si>
    <t>HEV</t>
  </si>
  <si>
    <t>CTCP Sách Đại học - Dạy nghề</t>
  </si>
  <si>
    <t>HFB</t>
  </si>
  <si>
    <t>CTCP Công trình Cầu phà Thành phố Hồ Chí Minh</t>
  </si>
  <si>
    <t>HFC</t>
  </si>
  <si>
    <t>CTCP Xăng dầu HFC</t>
  </si>
  <si>
    <t>HFS</t>
  </si>
  <si>
    <t>CTCP Thương mại Dịch vụ Thời trang Hà Nội</t>
  </si>
  <si>
    <t>HFX</t>
  </si>
  <si>
    <t>CTCP Sản xuất - Xuất nhập khẩu Thanh Hà</t>
  </si>
  <si>
    <t>HGA</t>
  </si>
  <si>
    <t>Trung tâm Giống Nông nghiệp tỉnh Hậu Giang</t>
  </si>
  <si>
    <t>HGC</t>
  </si>
  <si>
    <t>Trung tâm Quy hoạch - Kiến trúc tỉnh Hậu Giang</t>
  </si>
  <si>
    <t>HGM</t>
  </si>
  <si>
    <t>CTCP Cơ khí và Khoáng sản Hà Giang</t>
  </si>
  <si>
    <t>HGR</t>
  </si>
  <si>
    <t>CTCP Tài nguyên và Môi trường Hậu Giang</t>
  </si>
  <si>
    <t>HGT</t>
  </si>
  <si>
    <t>CTCP Du lịch Hương Giang</t>
  </si>
  <si>
    <t>HGW</t>
  </si>
  <si>
    <t>CTCP Cấp thoát nước - Công trình Đô thị Hậu Giang</t>
  </si>
  <si>
    <t>HHA</t>
  </si>
  <si>
    <t>CTCP Văn phòng phẩm Hồng Hà</t>
  </si>
  <si>
    <t>HHB</t>
  </si>
  <si>
    <t>CTCP Bia Hà Nội - Hồng Hà</t>
  </si>
  <si>
    <t>HHC</t>
  </si>
  <si>
    <t xml:space="preserve">CTCP Bánh kẹo Hải Hà </t>
  </si>
  <si>
    <t>HHD</t>
  </si>
  <si>
    <t>CTCP Kinh doanh Phát triển Nhà và Đô thị Hà Nội</t>
  </si>
  <si>
    <t>HHG</t>
  </si>
  <si>
    <t>CTCP Hoàng Hà</t>
  </si>
  <si>
    <t>HHL</t>
  </si>
  <si>
    <t>CTCP Hồng Hà Long An</t>
  </si>
  <si>
    <t>HHN</t>
  </si>
  <si>
    <t>CTCP Vận tải và Dịch vụ Hàng hóa Hà Nội</t>
  </si>
  <si>
    <t>HHP</t>
  </si>
  <si>
    <t>CTCP HHP Global</t>
  </si>
  <si>
    <t>HHR</t>
  </si>
  <si>
    <t>CTCP Đường sắt Hà Hải</t>
  </si>
  <si>
    <t>HHS</t>
  </si>
  <si>
    <t>CTCP Đầu tư Dịch vụ Hoàng Huy</t>
  </si>
  <si>
    <t>HHV</t>
  </si>
  <si>
    <t>CTCP Đầu tư Hạ tầng Giao thông Đèo Cả</t>
  </si>
  <si>
    <t>HIC</t>
  </si>
  <si>
    <t>CTCP Đầu tư và Xây dựng Số 1 Hà Nội</t>
  </si>
  <si>
    <t>HID</t>
  </si>
  <si>
    <t>CTCP Halcom Việt Nam</t>
  </si>
  <si>
    <t>Hidico</t>
  </si>
  <si>
    <t>CTCP Đầu tư Phát triển Nhà và Khu công nghiệp Đồng Tháp</t>
  </si>
  <si>
    <t>HiepThanh</t>
  </si>
  <si>
    <t>CTCP Hiệp Thành</t>
  </si>
  <si>
    <t>HIG</t>
  </si>
  <si>
    <t>CTCP Tập đoàn HIPT</t>
  </si>
  <si>
    <t>HII</t>
  </si>
  <si>
    <t>CTCP An Tiến Industries</t>
  </si>
  <si>
    <t>HimLam</t>
  </si>
  <si>
    <t>CTCP Him Lam</t>
  </si>
  <si>
    <t>HIO</t>
  </si>
  <si>
    <t>CTCP Helio Energy</t>
  </si>
  <si>
    <t>HIS</t>
  </si>
  <si>
    <t>CTCP Đầu tư và Kinh doanh Thương mại Vinaconex</t>
  </si>
  <si>
    <t>HIZ</t>
  </si>
  <si>
    <t>CTCP Khu Công nghiệp Hố Nai</t>
  </si>
  <si>
    <t>HJC</t>
  </si>
  <si>
    <t>CTCP Hòa Việt</t>
  </si>
  <si>
    <t>HJS</t>
  </si>
  <si>
    <t>CTCP Thủy điện Nậm Mu</t>
  </si>
  <si>
    <t>HKB</t>
  </si>
  <si>
    <t>CTCP Nông nghiệp và Thực phẩm Hà Nội - Kinh Bắc</t>
  </si>
  <si>
    <t>HKC</t>
  </si>
  <si>
    <t>CTCP Dệt kim Hà Nội</t>
  </si>
  <si>
    <t>HKP</t>
  </si>
  <si>
    <t>CTCP Bao bì Hà Tiên</t>
  </si>
  <si>
    <t>HKT</t>
  </si>
  <si>
    <t>CTCP Đầu tư QP Xanh</t>
  </si>
  <si>
    <t>HLA</t>
  </si>
  <si>
    <t>CTCP Hữu Liên Á Châu</t>
  </si>
  <si>
    <t>HLB</t>
  </si>
  <si>
    <t>CTCP Bia và Nước giải khát Hạ Long</t>
  </si>
  <si>
    <t>HLC</t>
  </si>
  <si>
    <t>CTCP Than Hà Lầm - Vinacomin</t>
  </si>
  <si>
    <t>HLD</t>
  </si>
  <si>
    <t>CTCP Đầu tư và Phát triển Bất động sản Hudland</t>
  </si>
  <si>
    <t>HLE</t>
  </si>
  <si>
    <t>CTCP Điện Chiếu sáng Hải Phòng</t>
  </si>
  <si>
    <t>HLG</t>
  </si>
  <si>
    <t>CTCP Tập đoàn Hoàng Long</t>
  </si>
  <si>
    <t>HLO</t>
  </si>
  <si>
    <t>CTCP Công nghệ Ha Lô</t>
  </si>
  <si>
    <t>HLR</t>
  </si>
  <si>
    <t>CTCP Đường sắt Hà Lạng</t>
  </si>
  <si>
    <t>HLS</t>
  </si>
  <si>
    <t>CTCP Sứ Kỹ thuật Hoàng Liên Sơn</t>
  </si>
  <si>
    <t>HLT</t>
  </si>
  <si>
    <t>CTCP Dệt may Hoàng Thị Loan</t>
  </si>
  <si>
    <t>HLY</t>
  </si>
  <si>
    <t>CTCP Gốm Xây Dựng Yên Hưng</t>
  </si>
  <si>
    <t>HMC</t>
  </si>
  <si>
    <t>CTCP Kim khí Thành phố Hồ Chí Minh - VNSTEEL</t>
  </si>
  <si>
    <t>HMD</t>
  </si>
  <si>
    <t>CTCP Hóa chất Minh Đức</t>
  </si>
  <si>
    <t>HMG</t>
  </si>
  <si>
    <t>CTCP Kim khí Hà Nội - VNSTEEL</t>
  </si>
  <si>
    <t>HMH</t>
  </si>
  <si>
    <t>CTCP Hải Minh</t>
  </si>
  <si>
    <t>HMR</t>
  </si>
  <si>
    <t>CTCP Đá Hoàng Mai</t>
  </si>
  <si>
    <t>HMS</t>
  </si>
  <si>
    <t>CTCP Xây dựng Bảo tàng Hồ Chí Minh</t>
  </si>
  <si>
    <t>HN184</t>
  </si>
  <si>
    <t>CTCP 18-4 Hà Nội</t>
  </si>
  <si>
    <t>HNA</t>
  </si>
  <si>
    <t>CTCP Thủy điện Hủa Na</t>
  </si>
  <si>
    <t>HNB</t>
  </si>
  <si>
    <t>CTCP Bến xe Hà Nội</t>
  </si>
  <si>
    <t>HNC</t>
  </si>
  <si>
    <t>CTCP Xi măng Hữu Nghị</t>
  </si>
  <si>
    <t>HND</t>
  </si>
  <si>
    <t>CTCP Nhiệt điện Hải Phòng</t>
  </si>
  <si>
    <t>HNE</t>
  </si>
  <si>
    <t>CTCP Hanel</t>
  </si>
  <si>
    <t>HNF</t>
  </si>
  <si>
    <t>CTCP Thực phẩm Hữu Nghị</t>
  </si>
  <si>
    <t>HNG</t>
  </si>
  <si>
    <t>CTCP Nông nghiệp Quốc tế Hoàng Anh Gia Lai</t>
  </si>
  <si>
    <t>HNI</t>
  </si>
  <si>
    <t>CTCP May Hữu Nghị</t>
  </si>
  <si>
    <t>HNInvest</t>
  </si>
  <si>
    <t>CTCP Đầu tư Bất động sản Hà Nội</t>
  </si>
  <si>
    <t>HNM</t>
  </si>
  <si>
    <t>CTCP Sữa Hà Nội</t>
  </si>
  <si>
    <t>HNP</t>
  </si>
  <si>
    <t>CTCP Hanel Xốp nhựa</t>
  </si>
  <si>
    <t>HNR</t>
  </si>
  <si>
    <t>CTCP Rượu và Nước giải khát Hà Nội</t>
  </si>
  <si>
    <t>HNT</t>
  </si>
  <si>
    <t>CTCP Xe điện Hà Nội</t>
  </si>
  <si>
    <t>HoaBinh</t>
  </si>
  <si>
    <t>CTCP Hòa Bình</t>
  </si>
  <si>
    <t>HoaChat</t>
  </si>
  <si>
    <t>CTCP Hóa Chất</t>
  </si>
  <si>
    <t>HoaChatCanTho</t>
  </si>
  <si>
    <t>CTCP Phân bón và Hóa chất Cần Thơ</t>
  </si>
  <si>
    <t>Hoachatmiennam</t>
  </si>
  <si>
    <t>CTCP Hóa chất Miền Nam</t>
  </si>
  <si>
    <t>HoaChatViSinh</t>
  </si>
  <si>
    <t>CTCP Công nghiệp Hóa chất và Vi sinh</t>
  </si>
  <si>
    <t>HoaDuocVN</t>
  </si>
  <si>
    <t>CTCP Hóa dược Việt Nam</t>
  </si>
  <si>
    <t>HoangHac</t>
  </si>
  <si>
    <t>CTCP Hoàng Hạc</t>
  </si>
  <si>
    <t>HoangLongAn</t>
  </si>
  <si>
    <t>CTCP Hoàng Long Long An</t>
  </si>
  <si>
    <t>HoBon</t>
  </si>
  <si>
    <t>CTCP Thủy điện Hồ Bốn</t>
  </si>
  <si>
    <t>HOM</t>
  </si>
  <si>
    <t>CTCP Xi măng VICEM Hoàng Mai</t>
  </si>
  <si>
    <t>Honeyboy</t>
  </si>
  <si>
    <t>CTCP Honeyboy</t>
  </si>
  <si>
    <t>HongHaInvest</t>
  </si>
  <si>
    <t>CTCP Đầu tư và Phát triển Hồng Hà</t>
  </si>
  <si>
    <t>HongNam</t>
  </si>
  <si>
    <t>CTCP Cơ khí Hồng Nam</t>
  </si>
  <si>
    <t>HOPACO</t>
  </si>
  <si>
    <t>CTCP Giấy Hoàng Văn Thụ</t>
  </si>
  <si>
    <t>HopNhat</t>
  </si>
  <si>
    <t>CTCP Hợp Nhất Việt Nam</t>
  </si>
  <si>
    <t>HopThinh</t>
  </si>
  <si>
    <t>CTCP Viglacera Hợp Thịnh</t>
  </si>
  <si>
    <t>HOT</t>
  </si>
  <si>
    <t>CTCP Du lịch - Dịch vụ Hội An</t>
  </si>
  <si>
    <t>HPA</t>
  </si>
  <si>
    <t>CTCP Phát triển Nông nghiệp Hòa Phát</t>
  </si>
  <si>
    <t>HPB</t>
  </si>
  <si>
    <t>CTCP Bao bì PP</t>
  </si>
  <si>
    <t>HPD</t>
  </si>
  <si>
    <t>CTCP Thủy điện ĐăK Đoa</t>
  </si>
  <si>
    <t>HPE</t>
  </si>
  <si>
    <t>CTCP Điện tử Chuyên dụng Hanel</t>
  </si>
  <si>
    <t>HPG</t>
  </si>
  <si>
    <t>CTCP Tập đoàn Hòa Phát</t>
  </si>
  <si>
    <t>HPGlass</t>
  </si>
  <si>
    <t>CTCP Thủy tinh Hưng Phú</t>
  </si>
  <si>
    <t>HPH</t>
  </si>
  <si>
    <t>CTCP Hóa Chất Hưng Phát Hà Bắc</t>
  </si>
  <si>
    <t>HPI</t>
  </si>
  <si>
    <t>CTCP Khu công nghiệp Hiệp Phước</t>
  </si>
  <si>
    <t>HPL</t>
  </si>
  <si>
    <t>CTCP Bến xe Tàu Phà Cần Thơ</t>
  </si>
  <si>
    <t>HPM</t>
  </si>
  <si>
    <t>CTCP Xây dựng Thương mại và Khoáng Sản Hoàng Phúc</t>
  </si>
  <si>
    <t>HPO</t>
  </si>
  <si>
    <t>CTCP Công nghiệp Hapulico</t>
  </si>
  <si>
    <t>HPP</t>
  </si>
  <si>
    <t>CTCP Sơn Hải Phòng</t>
  </si>
  <si>
    <t>HPRAILCO</t>
  </si>
  <si>
    <t>CTCP Toa xe Hải Phòng</t>
  </si>
  <si>
    <t>HPT</t>
  </si>
  <si>
    <t>CTCP Dịch vụ Công nghệ Tin học HPT</t>
  </si>
  <si>
    <t>HPTourism</t>
  </si>
  <si>
    <t>CTCP Du lịch Hải Phòng</t>
  </si>
  <si>
    <t>HPU</t>
  </si>
  <si>
    <t>CTCP 28 Hưng Phú</t>
  </si>
  <si>
    <t>HPW</t>
  </si>
  <si>
    <t>CTCP Cấp nước Hải Phòng</t>
  </si>
  <si>
    <t>HPX</t>
  </si>
  <si>
    <t>CTCP Đầu tư Hải Phát</t>
  </si>
  <si>
    <t>HQC</t>
  </si>
  <si>
    <t>CTCP Tư vấn Thương mại Dịch vụ Địa Ốc Hoàng Quân</t>
  </si>
  <si>
    <t>HQM</t>
  </si>
  <si>
    <t>CTCP Tư vấn Thương mại Dịch vụ Địa Ốc Hoàng Quân Mê Kông</t>
  </si>
  <si>
    <t>HRB</t>
  </si>
  <si>
    <t>CTCP Harec Đầu tư và Thương mại</t>
  </si>
  <si>
    <t>HRC</t>
  </si>
  <si>
    <t>CTCP Cao su Hòa Bình</t>
  </si>
  <si>
    <t>HRG</t>
  </si>
  <si>
    <t>CTCP Cao su Hà Nội</t>
  </si>
  <si>
    <t>HRS</t>
  </si>
  <si>
    <t>CTCP Chứng khoán SmartMind</t>
  </si>
  <si>
    <t>HSA</t>
  </si>
  <si>
    <t>CTCP Hestia</t>
  </si>
  <si>
    <t>HSC</t>
  </si>
  <si>
    <t>CTCP Hacinco</t>
  </si>
  <si>
    <t>HSG</t>
  </si>
  <si>
    <t>CTCP Tập đoàn Hoa Sen</t>
  </si>
  <si>
    <t>HSI</t>
  </si>
  <si>
    <t>CTCP Vật tư Tổng hợp và Phân bón Hóa Sinh</t>
  </si>
  <si>
    <t>HSL</t>
  </si>
  <si>
    <t>CTCP Đầu tư Phát triển Thực phẩm Hồng Hà</t>
  </si>
  <si>
    <t>HSM</t>
  </si>
  <si>
    <t>Tổng Công ty cổ phần Dệt may Hà Nội</t>
  </si>
  <si>
    <t>HSP</t>
  </si>
  <si>
    <t>CTCP Sơn Tổng hợp Hà Nội</t>
  </si>
  <si>
    <t>HSSC</t>
  </si>
  <si>
    <t>CTCP Chứng khoán Hà Nội</t>
  </si>
  <si>
    <t>HST</t>
  </si>
  <si>
    <t>CTCP Phát hành sách và Thiết bị Trường học Hưng Yên</t>
  </si>
  <si>
    <t>HSV</t>
  </si>
  <si>
    <t>CTCP Tập đoàn HSV Việt Nam</t>
  </si>
  <si>
    <t>HT1</t>
  </si>
  <si>
    <t>CTCP Xi Măng Vicem Hà Tiên</t>
  </si>
  <si>
    <t>HTB</t>
  </si>
  <si>
    <t>CTCP Xây dựng Huy Thắng</t>
  </si>
  <si>
    <t>HTC</t>
  </si>
  <si>
    <t>CTCP Thương mại Hóc Môn</t>
  </si>
  <si>
    <t>HTCJC2</t>
  </si>
  <si>
    <t>CTCP Công trình Giao thông 2 Hà Nội</t>
  </si>
  <si>
    <t>HTE</t>
  </si>
  <si>
    <t>CTCP Đầu tư Kinh doanh Điện lực Thành phố Hồ Chí Minh</t>
  </si>
  <si>
    <t>HTG</t>
  </si>
  <si>
    <t>Tổng Công ty cổ phần Dệt may Hòa Thọ</t>
  </si>
  <si>
    <t>HTH</t>
  </si>
  <si>
    <t>CTCP Hoa tiêu hàng hải - TKV</t>
  </si>
  <si>
    <t>HTI</t>
  </si>
  <si>
    <t>CTCP Đầu tư Phát triển Hạ tầng IDICO</t>
  </si>
  <si>
    <t>HTK</t>
  </si>
  <si>
    <t>CTCP Đăng kiểm xe cơ giới Hải Dương</t>
  </si>
  <si>
    <t>HTL</t>
  </si>
  <si>
    <t>CTCP Kỹ thuật và Ô tô Trường Long</t>
  </si>
  <si>
    <t>HTM</t>
  </si>
  <si>
    <t>Tổng Công ty Thương mại Hà Nội - CTCP</t>
  </si>
  <si>
    <t>HTN</t>
  </si>
  <si>
    <t>CTCP Hưng Thịnh Incons</t>
  </si>
  <si>
    <t>HTP</t>
  </si>
  <si>
    <t>CTCP In Sách Giáo khoa Hòa Phát</t>
  </si>
  <si>
    <t>HTR</t>
  </si>
  <si>
    <t>CTCP Đường sắt Hà Thái</t>
  </si>
  <si>
    <t>HTS</t>
  </si>
  <si>
    <t>CTCP Thép Hương Thịnh</t>
  </si>
  <si>
    <t>HTT</t>
  </si>
  <si>
    <t>CTCP Thương mại Hà Tây</t>
  </si>
  <si>
    <t>HTU</t>
  </si>
  <si>
    <t xml:space="preserve">CTCP Môi trường và Công trình đô thị Hà Tĩnh </t>
  </si>
  <si>
    <t>HTV</t>
  </si>
  <si>
    <t>CTCP Logistics Vicem</t>
  </si>
  <si>
    <t>HTW</t>
  </si>
  <si>
    <t>CTCP Cấp nước Hà Tĩnh</t>
  </si>
  <si>
    <t>HU1</t>
  </si>
  <si>
    <t>CTCP Đầu tư và Xây dựng HUD1</t>
  </si>
  <si>
    <t>HU3</t>
  </si>
  <si>
    <t>CTCP Đầu tư và Xây dựng HUD3</t>
  </si>
  <si>
    <t>HU4</t>
  </si>
  <si>
    <t>CTCP Đầu tư và Xây dựng HUD4</t>
  </si>
  <si>
    <t>HU6</t>
  </si>
  <si>
    <t>CTCP Đầu tư Phát triển Nhà và Đô thị HUD6</t>
  </si>
  <si>
    <t>HUB</t>
  </si>
  <si>
    <t>CTCP Xây lắp Thừa Thiên Huế</t>
  </si>
  <si>
    <t>Hudeco</t>
  </si>
  <si>
    <t>CTCP Đầu tư và Phát triển Giáo dục HUDECO</t>
  </si>
  <si>
    <t>HUG</t>
  </si>
  <si>
    <t>Tổng Công ty May Hưng Yên - CTCP</t>
  </si>
  <si>
    <t>Humic</t>
  </si>
  <si>
    <t>CTCP Phân hữu cơ HUMIC Quảng Ngãi</t>
  </si>
  <si>
    <t>HungPhu</t>
  </si>
  <si>
    <t>CTCP Hưng Phú</t>
  </si>
  <si>
    <t>HuongGiangCIC</t>
  </si>
  <si>
    <t>CTCP Tư vấn Đầu tư và Xây dựng Hương Giang</t>
  </si>
  <si>
    <t>HUT</t>
  </si>
  <si>
    <t>CTCP Tasco</t>
  </si>
  <si>
    <t>HUTIC</t>
  </si>
  <si>
    <t>CTCP Xây lắp Bưu điện Huế</t>
  </si>
  <si>
    <t>HuuNghiDaNang</t>
  </si>
  <si>
    <t>CTCP Sản xuất Thương mại Hữu Nghị Đà Nẵng</t>
  </si>
  <si>
    <t>HuuNghiNgheAn</t>
  </si>
  <si>
    <t>CTCP Hữu Nghị Nghệ An</t>
  </si>
  <si>
    <t>HuuToan</t>
  </si>
  <si>
    <t>CTCP Hữu Toàn</t>
  </si>
  <si>
    <t>HUX</t>
  </si>
  <si>
    <t>CTCP Khoáng sản Thừa Thiên Huế</t>
  </si>
  <si>
    <t>HVA</t>
  </si>
  <si>
    <t>CTCP Đầu tư HVA</t>
  </si>
  <si>
    <t>HVB</t>
  </si>
  <si>
    <t>CTCP Bảo hiểm Hùng Vương</t>
  </si>
  <si>
    <t>HVC</t>
  </si>
  <si>
    <t>CTCP Hưng Vượng</t>
  </si>
  <si>
    <t>HVG</t>
  </si>
  <si>
    <t>CTCP Hùng Vương</t>
  </si>
  <si>
    <t>HVH</t>
  </si>
  <si>
    <t>CTCP Đầu tư và Công nghệ HVC</t>
  </si>
  <si>
    <t>HVN</t>
  </si>
  <si>
    <t>Tổng Công ty Hàng không Việt Nam - CTCP</t>
  </si>
  <si>
    <t>HVS</t>
  </si>
  <si>
    <t>CTCP Chứng khoán HVS Việt Nam</t>
  </si>
  <si>
    <t>HVT</t>
  </si>
  <si>
    <t>CTCP Hóa chất Việt Trì</t>
  </si>
  <si>
    <t>HVX</t>
  </si>
  <si>
    <t>CTCP Xi măng VICEM Hải Vân</t>
  </si>
  <si>
    <t>HWS</t>
  </si>
  <si>
    <t>CTCP Cấp nước Huế</t>
  </si>
  <si>
    <t>I10</t>
  </si>
  <si>
    <t>CTCP Đầu tư Xây dựng Số 10 IDICO</t>
  </si>
  <si>
    <t>IBC</t>
  </si>
  <si>
    <t>CTCP Đầu tư Apax Holdings</t>
  </si>
  <si>
    <t>IBD</t>
  </si>
  <si>
    <t>CTCP In Tổng hợp Bình Dương</t>
  </si>
  <si>
    <t>IBFM</t>
  </si>
  <si>
    <t>CTCP Quản lý Quỹ Đầu Tư Đỏ</t>
  </si>
  <si>
    <t>IBN</t>
  </si>
  <si>
    <t>CTCP In Báo Nghệ An</t>
  </si>
  <si>
    <t>ICC</t>
  </si>
  <si>
    <t>CTCP Xây dựng Công nghiệp (ICC)</t>
  </si>
  <si>
    <t>ICF</t>
  </si>
  <si>
    <t>CTCP Đầu tư Thương mại Thủy sản</t>
  </si>
  <si>
    <t>ICG</t>
  </si>
  <si>
    <t>CTCP Xây dựng Sông Hồng</t>
  </si>
  <si>
    <t>ICI</t>
  </si>
  <si>
    <t>CTCP Đầu tư và Xây dựng Công nghiệp</t>
  </si>
  <si>
    <t>ICJC</t>
  </si>
  <si>
    <t>CTCP Đầu tư Xây lắp Thương mại 1</t>
  </si>
  <si>
    <t>ICL</t>
  </si>
  <si>
    <t>CTCP Xuất nhập khẩu Vĩnh Long</t>
  </si>
  <si>
    <t>ICN</t>
  </si>
  <si>
    <t>CTCP Đầu tư Xây dựng Dầu khí IDICO</t>
  </si>
  <si>
    <t>ICPC</t>
  </si>
  <si>
    <t>CTCP Hàng Gia dụng Quốc tế</t>
  </si>
  <si>
    <t>ICT</t>
  </si>
  <si>
    <t>CTCP Viễn thông - Tin học Bưu điện</t>
  </si>
  <si>
    <t>IDC</t>
  </si>
  <si>
    <t>Tổng Công ty IDICO - CTCP</t>
  </si>
  <si>
    <t>IDI</t>
  </si>
  <si>
    <t>CTCP Đầu tư và Phát triển Đa Quốc Gia - IDI</t>
  </si>
  <si>
    <t>IDICOICT</t>
  </si>
  <si>
    <t>CTCP Đầu Tư Xây dựng và Du lịch IDICO</t>
  </si>
  <si>
    <t>IDJ</t>
  </si>
  <si>
    <t>CTCP Đầu tư IDJ Việt Nam</t>
  </si>
  <si>
    <t>IDN</t>
  </si>
  <si>
    <t>CTCP In và Dịch vụ Đà Nẵng</t>
  </si>
  <si>
    <t>IDP</t>
  </si>
  <si>
    <t>CTCP Sữa Quốc tế Lof</t>
  </si>
  <si>
    <t>IDPCo</t>
  </si>
  <si>
    <t>CTCP I.D.P</t>
  </si>
  <si>
    <t>IDV</t>
  </si>
  <si>
    <t>CTCP Phát triển Hạ tầng Vĩnh Phúc</t>
  </si>
  <si>
    <t>IETC</t>
  </si>
  <si>
    <t>CTCP Kinh doanh Thiết bị Công Nghiệp</t>
  </si>
  <si>
    <t>IFC</t>
  </si>
  <si>
    <t>CTCP Thực phẩm Công nghệ Sài Gòn</t>
  </si>
  <si>
    <t>IFMC</t>
  </si>
  <si>
    <t>CTCP Quản lý Quỹ Quốc tế</t>
  </si>
  <si>
    <t>IFS</t>
  </si>
  <si>
    <t>CTCP Thực phẩm Quốc tế</t>
  </si>
  <si>
    <t>IHK</t>
  </si>
  <si>
    <t>CTCP In Hàng Không</t>
  </si>
  <si>
    <t>IJC</t>
  </si>
  <si>
    <t>CTCP Phát triển Hạ tầng Kỹ thuật</t>
  </si>
  <si>
    <t>IKH</t>
  </si>
  <si>
    <t>CTCP In Khoa học Kỹ thuật</t>
  </si>
  <si>
    <t>ILA</t>
  </si>
  <si>
    <t>CTCP ILA</t>
  </si>
  <si>
    <t>ILB</t>
  </si>
  <si>
    <t>CTCP ICD Tân Cảng - Long Bình</t>
  </si>
  <si>
    <t>ILC</t>
  </si>
  <si>
    <t>CTCP Hợp tác Lao động với nước ngoài</t>
  </si>
  <si>
    <t>ILS</t>
  </si>
  <si>
    <t>CTCP Đầu tư Thương mại và Dịch vụ Quốc tế</t>
  </si>
  <si>
    <t>IME</t>
  </si>
  <si>
    <t>CTCP Cơ khí và Xây lắp Công nghiệp</t>
  </si>
  <si>
    <t>IMEXBINHDINH</t>
  </si>
  <si>
    <t>CTCP Xuất nhập khẩu Bình Định</t>
  </si>
  <si>
    <t>IMP</t>
  </si>
  <si>
    <t>CTCP Dược phẩm Imexpharm</t>
  </si>
  <si>
    <t>IMT</t>
  </si>
  <si>
    <t>CTCP Xuất nhập khẩu Tổng hợp và Đầu tư Thành phố Hồ Chí Minh</t>
  </si>
  <si>
    <t>IN4</t>
  </si>
  <si>
    <t>CTCP In Số 4</t>
  </si>
  <si>
    <t>INC</t>
  </si>
  <si>
    <t>CTCP Tư vấn Đầu tư IDICO</t>
  </si>
  <si>
    <t>Inconess</t>
  </si>
  <si>
    <t>CTCP Dịch vụ Hỗ trợ Doanh nghiệp và Tư vấn Đầu tư</t>
  </si>
  <si>
    <t>Indeco</t>
  </si>
  <si>
    <t>CTCP Phát triển Hạ tầng Khu Công nghiệp Tây Ninh</t>
  </si>
  <si>
    <t>IneximDaklak</t>
  </si>
  <si>
    <t>CTCP Đầu tư Xuất nhập khẩu Đăklăk</t>
  </si>
  <si>
    <t>ING</t>
  </si>
  <si>
    <t>CTCP  Đầu tư và Phát triển Xây dựng</t>
  </si>
  <si>
    <t>INN</t>
  </si>
  <si>
    <t>CTCP Bao bì và In Nông nghiệp</t>
  </si>
  <si>
    <t>InPhucYen</t>
  </si>
  <si>
    <t>CTCP In Phúc Yên</t>
  </si>
  <si>
    <t>InSaiGon</t>
  </si>
  <si>
    <t>CTCP Thương mại Dịch vụ Quảng Cáo In Sài Gòn</t>
  </si>
  <si>
    <t>InSo7</t>
  </si>
  <si>
    <t>CTCP In Số 7</t>
  </si>
  <si>
    <t>InTaiChinh</t>
  </si>
  <si>
    <t>CTCP In Tài chính</t>
  </si>
  <si>
    <t>InThongNhat</t>
  </si>
  <si>
    <t>CTCP In và Thương mại Thống Nhất</t>
  </si>
  <si>
    <t>InTienGiang</t>
  </si>
  <si>
    <t>CTCP In Tiền Giang</t>
  </si>
  <si>
    <t>Intimex</t>
  </si>
  <si>
    <t>CTCP Tập đoàn Intimex</t>
  </si>
  <si>
    <t>Intimexco</t>
  </si>
  <si>
    <t>CTCP Intimex Việt Nam</t>
  </si>
  <si>
    <t>InTranPhu</t>
  </si>
  <si>
    <t>CTCP In Trần Phú</t>
  </si>
  <si>
    <t>InVanHoaPham</t>
  </si>
  <si>
    <t>CTCP In và Văn Hóa Phẩm</t>
  </si>
  <si>
    <t>INVESTCOM</t>
  </si>
  <si>
    <t>CTCP Đầu tư Investcom</t>
  </si>
  <si>
    <t>INVESTREAL</t>
  </si>
  <si>
    <t>CTCP Đầu tư và Kinh doanh Bất động sản</t>
  </si>
  <si>
    <t>IPA</t>
  </si>
  <si>
    <t>CTCP Tập đoàn Đầu tư I.P.A</t>
  </si>
  <si>
    <t>IPH</t>
  </si>
  <si>
    <t>CTCP In và Phát hành biểu mẫu Thống kê</t>
  </si>
  <si>
    <t>IRC</t>
  </si>
  <si>
    <t>CTCP Cao su Công nghiệp</t>
  </si>
  <si>
    <t>ISC</t>
  </si>
  <si>
    <t>CTCP Chứng khoán Công nghiệp Việt Nam</t>
  </si>
  <si>
    <t>ISG</t>
  </si>
  <si>
    <t>CTCP Vận tải biển và Hợp tác Lao động Quốc tế</t>
  </si>
  <si>
    <t>ISH</t>
  </si>
  <si>
    <t>CTCP Thủy điện Srok Phu Miêng IDICO</t>
  </si>
  <si>
    <t>IST</t>
  </si>
  <si>
    <t>CTCP ICD Tân Cảng Sóng Thần</t>
  </si>
  <si>
    <t>ITA</t>
  </si>
  <si>
    <t>CTCP Đầu tư và Công nghiệp Tân Tạo</t>
  </si>
  <si>
    <t>ITC</t>
  </si>
  <si>
    <t>CTCP Đầu tư và Kinh doanh Nhà</t>
  </si>
  <si>
    <t>ITD</t>
  </si>
  <si>
    <t>CTCP Công nghệ ITD</t>
  </si>
  <si>
    <t>ITQ</t>
  </si>
  <si>
    <t>CTCP Tập đoàn Thiên Quang</t>
  </si>
  <si>
    <t>ITS</t>
  </si>
  <si>
    <t>CTCP Đầu tư Thương mại và Dịch vụ - Vinacomin</t>
  </si>
  <si>
    <t>IVAM</t>
  </si>
  <si>
    <t>CTCP Quản lý Quỹ Trí tuệ Việt Nam</t>
  </si>
  <si>
    <t>IVS</t>
  </si>
  <si>
    <t>CTCP Chứng khoán Guotai Junan (Việt Nam)</t>
  </si>
  <si>
    <t>JBC5</t>
  </si>
  <si>
    <t>CTCP Vật liệu Xây dựng và Xây lắp Số 5</t>
  </si>
  <si>
    <t>JOS</t>
  </si>
  <si>
    <t>CTCP Chế biến Thủy sản xuất khẩu Minh Hải</t>
  </si>
  <si>
    <t>JSC</t>
  </si>
  <si>
    <t>CTCP Đầu tư và Xây dựng Cầu đường Hà Nội</t>
  </si>
  <si>
    <t>JSI</t>
  </si>
  <si>
    <t>Công ty TNHH Chứng khoán Nhật Bản</t>
  </si>
  <si>
    <t>JVC</t>
  </si>
  <si>
    <t>CTCP Đầu tư Y tế - Dược phẩm Việt Nam</t>
  </si>
  <si>
    <t>KAC</t>
  </si>
  <si>
    <t>CTCP Đầu tư Địa ốc Khang An</t>
  </si>
  <si>
    <t>KAFI</t>
  </si>
  <si>
    <t>CTCP Chứng khoán KAFI</t>
  </si>
  <si>
    <t>KAL</t>
  </si>
  <si>
    <t>CTCP Nhôm Khánh Hoà</t>
  </si>
  <si>
    <t>KASJSC</t>
  </si>
  <si>
    <t>CTCP Xây lắp và Dịch vụ Bưu điện Kiên Giang</t>
  </si>
  <si>
    <t>KBC</t>
  </si>
  <si>
    <t>Tổng Công ty Phát triển Đô thị Kinh Bắc - CTCP</t>
  </si>
  <si>
    <t>KBE</t>
  </si>
  <si>
    <t>CTCP Sách Thiết bị Trường học Kiên Giang</t>
  </si>
  <si>
    <t>KBSV</t>
  </si>
  <si>
    <t>CTCP Chứng khoán KB Việt Nam</t>
  </si>
  <si>
    <t>KBT</t>
  </si>
  <si>
    <t>CTCP Gạch ngói Kiên Giang</t>
  </si>
  <si>
    <t>KCB</t>
  </si>
  <si>
    <t>CTCP khoáng Sản và Luyện Kim Cao Bằng</t>
  </si>
  <si>
    <t>KCE</t>
  </si>
  <si>
    <t>CTCP Bê tông Ly tâm Điện Lực Khánh Hòa</t>
  </si>
  <si>
    <t>KDC</t>
  </si>
  <si>
    <t>CTCP Tập đoàn KIDO</t>
  </si>
  <si>
    <t>KDEF</t>
  </si>
  <si>
    <t>Quỹ Đầu tư Cổ phiếu Cổ tức Tăng trưởng KIM (KDEF)</t>
  </si>
  <si>
    <t>KDH</t>
  </si>
  <si>
    <t>CTCP Đầu tư và Kinh doanh Nhà Khang Điền</t>
  </si>
  <si>
    <t>KDM</t>
  </si>
  <si>
    <t>CTCP Tập Đoàn GCL</t>
  </si>
  <si>
    <t>KGM</t>
  </si>
  <si>
    <t>CTCP Xuất nhập khẩu Kiên Giang</t>
  </si>
  <si>
    <t>KGTICJC</t>
  </si>
  <si>
    <t>CTCP Xây dựng Giao thông Thuỷ Lợi Kiên Giang</t>
  </si>
  <si>
    <t>KGU</t>
  </si>
  <si>
    <t>CTCP Phát triển Đô thị Kiên Giang</t>
  </si>
  <si>
    <t>KHA</t>
  </si>
  <si>
    <t>CTCP Đầu tư và Dịch vụ Khánh Hội</t>
  </si>
  <si>
    <t>Khaithacda</t>
  </si>
  <si>
    <t>CTCP Khai Thác Đá Thừa Thiên Huế</t>
  </si>
  <si>
    <t>KhanhTan</t>
  </si>
  <si>
    <t>CTCP Khánh Tân</t>
  </si>
  <si>
    <t>KHATOCO</t>
  </si>
  <si>
    <t>CTCP In Bao bì Khatoco</t>
  </si>
  <si>
    <t>KHB</t>
  </si>
  <si>
    <t>CTCP Khoáng sản Hòa Bình</t>
  </si>
  <si>
    <t>KHD</t>
  </si>
  <si>
    <t>CTCP Khai thác Chế biến Khoáng sản Hải Dương</t>
  </si>
  <si>
    <t>KHG</t>
  </si>
  <si>
    <t>CTCP Tập đoàn Khải Hoàn Land</t>
  </si>
  <si>
    <t>KHL</t>
  </si>
  <si>
    <t>CTCP Khoáng Sản Và Vật Liệu Xây Dựng Hưng Long</t>
  </si>
  <si>
    <t>KHOANGSAN4</t>
  </si>
  <si>
    <t>CTCP Phát triển Khoáng sản 4</t>
  </si>
  <si>
    <t>KhoangSanPhuYen</t>
  </si>
  <si>
    <t>CTCP Khoáng sản Phú Yên</t>
  </si>
  <si>
    <t>KhoangSanSongDa</t>
  </si>
  <si>
    <t>CTCP Khai Thác và Chế Biến Khoáng Sản Sông Đà</t>
  </si>
  <si>
    <t>KhoaVietTiep</t>
  </si>
  <si>
    <t>CTCP Khóa Việt - Tiệp</t>
  </si>
  <si>
    <t>KHP</t>
  </si>
  <si>
    <t>CTCP Điện lực Khánh Hòa</t>
  </si>
  <si>
    <t>KHS</t>
  </si>
  <si>
    <t>CTCP Kiên Hùng</t>
  </si>
  <si>
    <t>KHW</t>
  </si>
  <si>
    <t>CTCP Cấp thoát nước Khánh Hòa</t>
  </si>
  <si>
    <t>KHX</t>
  </si>
  <si>
    <t>CTCP Phát hành sách Khánh Hòa</t>
  </si>
  <si>
    <t>Kido</t>
  </si>
  <si>
    <t>CTCP KIDO</t>
  </si>
  <si>
    <t>KiemNghia</t>
  </si>
  <si>
    <t>CTCP Kiềm Nghĩa</t>
  </si>
  <si>
    <t>KienGiangPetro</t>
  </si>
  <si>
    <t>CTCP Dầu khí Dương Đông Kiên Giang</t>
  </si>
  <si>
    <t>KienTrucADC</t>
  </si>
  <si>
    <t>CTCP Xây dựng Trang trí Kiến trúc ADC</t>
  </si>
  <si>
    <t>Kigitraco</t>
  </si>
  <si>
    <t>CTCP Kinh doanh Nông Sản Kiên Giang</t>
  </si>
  <si>
    <t>KIGIWI</t>
  </si>
  <si>
    <t>CTCP Vận tải Thuỷ Bộ Kiên Giang</t>
  </si>
  <si>
    <t>KimAnh</t>
  </si>
  <si>
    <t>CTCP Chè Kim Anh</t>
  </si>
  <si>
    <t>KimKhiBacThai</t>
  </si>
  <si>
    <t>CTCP Kim khí Bắc Thái</t>
  </si>
  <si>
    <t>KimLien</t>
  </si>
  <si>
    <t>CTCP Du lịch Kim Liên</t>
  </si>
  <si>
    <t>KimOanh</t>
  </si>
  <si>
    <t>CTCP Dịch vụ Thương mại và Xây dựng Địa ốc Kim Oanh</t>
  </si>
  <si>
    <t>KimTuThap</t>
  </si>
  <si>
    <t>CTCP Công nghệ Mới Kim Tự Tháp Việt Nam</t>
  </si>
  <si>
    <t>KIMVN</t>
  </si>
  <si>
    <t>Công Ty TNHH Quản Lý Quỹ KIM Việt Nam</t>
  </si>
  <si>
    <t>KinhDoLand</t>
  </si>
  <si>
    <t>CTCP Địa Ốc Kinh Đô</t>
  </si>
  <si>
    <t>KIP</t>
  </si>
  <si>
    <t>CTCP K.I.P Việt Nam</t>
  </si>
  <si>
    <t>KIS</t>
  </si>
  <si>
    <t>CTCP Chứng khoán KIS Việt Nam</t>
  </si>
  <si>
    <t>KISUCO</t>
  </si>
  <si>
    <t>CTCP Mía Đường Kiên Giang</t>
  </si>
  <si>
    <t>KKC</t>
  </si>
  <si>
    <t>CTCP Tập Đoàn Thành Thái</t>
  </si>
  <si>
    <t>KLB</t>
  </si>
  <si>
    <t>Ngân hàng TMCP Kiên Long</t>
  </si>
  <si>
    <t>KLF</t>
  </si>
  <si>
    <t>CTCP Đầu tư Thương mại và Xuất nhập khẩu CFS</t>
  </si>
  <si>
    <t>KLM</t>
  </si>
  <si>
    <t>CTCP Kim loại màu Nghệ Tĩnh</t>
  </si>
  <si>
    <t>KMR</t>
  </si>
  <si>
    <t>CTCP Mirae</t>
  </si>
  <si>
    <t>KMT</t>
  </si>
  <si>
    <t>CTCP Kim khí Miền Trung</t>
  </si>
  <si>
    <t>KNITEXIM</t>
  </si>
  <si>
    <t>CTCP Haprosimex Thăng Long</t>
  </si>
  <si>
    <t>KOS</t>
  </si>
  <si>
    <t>CTCP KOSY</t>
  </si>
  <si>
    <t>KPC</t>
  </si>
  <si>
    <t>CTCP Đầu tư Sản xuất Thương mại Kim Phong</t>
  </si>
  <si>
    <t>KPF</t>
  </si>
  <si>
    <t>CTCP Đầu tư tài sản Koji</t>
  </si>
  <si>
    <t>KSA</t>
  </si>
  <si>
    <t xml:space="preserve">CTCP Công nghiệp khoáng sản Bình Thuận </t>
  </si>
  <si>
    <t>KSB</t>
  </si>
  <si>
    <t>CTCP Khoáng sản và Xây dựng Bình Dương</t>
  </si>
  <si>
    <t>KSC</t>
  </si>
  <si>
    <t>CTCP Muối Khánh Hòa</t>
  </si>
  <si>
    <t>KSD</t>
  </si>
  <si>
    <t>CTCP Đầu tư DNA</t>
  </si>
  <si>
    <t>KSE</t>
  </si>
  <si>
    <t>CTCP Xuất khẩu Thủy sản Khánh Hòa</t>
  </si>
  <si>
    <t>KSF</t>
  </si>
  <si>
    <t>CTCP Tập đoàn Sunshine</t>
  </si>
  <si>
    <t>KSG</t>
  </si>
  <si>
    <t>CTCP Khoáng sản và Vật liệu Xây dựng Gia Lai</t>
  </si>
  <si>
    <t>KSH</t>
  </si>
  <si>
    <t>CTCP DAMAC GLS</t>
  </si>
  <si>
    <t>KSK</t>
  </si>
  <si>
    <t>CTCP Khoáng sản Luyện kim màu</t>
  </si>
  <si>
    <t>KSQ</t>
  </si>
  <si>
    <t>CTCP CNC Capital Việt Nam</t>
  </si>
  <si>
    <t>KSS</t>
  </si>
  <si>
    <t>CTCP Khoáng sản Na Rì Hamico</t>
  </si>
  <si>
    <t>KST</t>
  </si>
  <si>
    <t>CTCP KASATI</t>
  </si>
  <si>
    <t>KSV</t>
  </si>
  <si>
    <t>Tổng Công ty Khoáng sản TKV - CTCP</t>
  </si>
  <si>
    <t>KTB</t>
  </si>
  <si>
    <t>CTCP Đầu tư Khoáng sản Tây Bắc</t>
  </si>
  <si>
    <t>KTBX</t>
  </si>
  <si>
    <t>CTCP Bến xe KonTum</t>
  </si>
  <si>
    <t>KTC</t>
  </si>
  <si>
    <t>CTCP Thương mại Kiên Giang</t>
  </si>
  <si>
    <t>KTL</t>
  </si>
  <si>
    <t>CTCP Kim Khí Thăng Long</t>
  </si>
  <si>
    <t>KTS</t>
  </si>
  <si>
    <t>CTCP Đường Kon Tum</t>
  </si>
  <si>
    <t>KTT</t>
  </si>
  <si>
    <t>CTCP Tập đoàn Đầu tư KTT</t>
  </si>
  <si>
    <t>KTU</t>
  </si>
  <si>
    <t>CTCP Môi trường Đô thị Kon Tum</t>
  </si>
  <si>
    <t>KTW</t>
  </si>
  <si>
    <t>CTCP Cấp nước Kon Tum</t>
  </si>
  <si>
    <t>KVC</t>
  </si>
  <si>
    <t>CTCP Sản xuất Xuất nhập khẩu Inox Kim Vĩ</t>
  </si>
  <si>
    <t>KWA</t>
  </si>
  <si>
    <t>CTCP Cấp thoát nước và Môi trường Kiến Tường</t>
  </si>
  <si>
    <t>L10</t>
  </si>
  <si>
    <t>CTCP Lilama 10</t>
  </si>
  <si>
    <t>L12</t>
  </si>
  <si>
    <t>CTCP Licogi 12</t>
  </si>
  <si>
    <t>L14</t>
  </si>
  <si>
    <t>CTCP Licogi 14</t>
  </si>
  <si>
    <t>L18</t>
  </si>
  <si>
    <t>CTCP Đầu tư và Xây dựng Số 18</t>
  </si>
  <si>
    <t>L35</t>
  </si>
  <si>
    <t>CTCP Cơ khí Lắp máy Lilama</t>
  </si>
  <si>
    <t>L40</t>
  </si>
  <si>
    <t>CTCP Đầu Tư và Xây dựng 40</t>
  </si>
  <si>
    <t>L43</t>
  </si>
  <si>
    <t>CTCP Lilama 45.3</t>
  </si>
  <si>
    <t>L44</t>
  </si>
  <si>
    <t>CTCP Lilama 45.4</t>
  </si>
  <si>
    <t>L45</t>
  </si>
  <si>
    <t>CTCP Lilama 45.1</t>
  </si>
  <si>
    <t>L61</t>
  </si>
  <si>
    <t>CTCP Lilama 69-1</t>
  </si>
  <si>
    <t>L62</t>
  </si>
  <si>
    <t>CTCP Lilama 69-2</t>
  </si>
  <si>
    <t>L63</t>
  </si>
  <si>
    <t>CTCP Lilama 69-3</t>
  </si>
  <si>
    <t>LacHong</t>
  </si>
  <si>
    <t>CTCP Đầu tư Lạc Hồng</t>
  </si>
  <si>
    <t>LAF</t>
  </si>
  <si>
    <t>CTCP Chế biến hàng Xuất khẩu Long An</t>
  </si>
  <si>
    <t>LAI</t>
  </si>
  <si>
    <t>CTCP Đầu Tư Xây dựng Long An IDICO</t>
  </si>
  <si>
    <t>LamDong</t>
  </si>
  <si>
    <t>CTCP Xây dựng Số 1 Lâm Đồng</t>
  </si>
  <si>
    <t>LamSankienGiang</t>
  </si>
  <si>
    <t>CTCP Nông Lâm Sản Kiên Giang</t>
  </si>
  <si>
    <t>LaNga</t>
  </si>
  <si>
    <t>CTCP Đầu tư La Ngà</t>
  </si>
  <si>
    <t>Lanmak</t>
  </si>
  <si>
    <t>CTCP Đầu tư Xây dựng Bất động sản Lanmak</t>
  </si>
  <si>
    <t>LaoDongQuocTe</t>
  </si>
  <si>
    <t>CTCP Xây dựng và Cung ứng Lao động Quốc tế</t>
  </si>
  <si>
    <t>LAS</t>
  </si>
  <si>
    <t>CTCP Supe Phốt phát và Hóa chất Lâm Thao</t>
  </si>
  <si>
    <t>Lasotra</t>
  </si>
  <si>
    <t>CTCP Thương mại Lạng Sơn</t>
  </si>
  <si>
    <t>LAW</t>
  </si>
  <si>
    <t>CTCP Cấp thoát nước Long An</t>
  </si>
  <si>
    <t>LBC</t>
  </si>
  <si>
    <t>CTCP Thương mại - Đầu tư Long Biên</t>
  </si>
  <si>
    <t>LBE</t>
  </si>
  <si>
    <t>CTCP Thương mại và Dịch vụ LVA</t>
  </si>
  <si>
    <t>LBM</t>
  </si>
  <si>
    <t>CTCP Khoáng sản và Vật liệu Xây dựng Lâm Đồng</t>
  </si>
  <si>
    <t>LCC</t>
  </si>
  <si>
    <t>CTCP Xi măng Hồng Phong</t>
  </si>
  <si>
    <t>LCD</t>
  </si>
  <si>
    <t>CTCP Lắp máy - Thí nghiệm Cơ điện</t>
  </si>
  <si>
    <t>LCG</t>
  </si>
  <si>
    <t>CTCP Lizen</t>
  </si>
  <si>
    <t>LCM</t>
  </si>
  <si>
    <t>CTCP Khai thác và Chế biến khoáng sản Lào Cai</t>
  </si>
  <si>
    <t>LCO</t>
  </si>
  <si>
    <t>CTCP Licogi 16.1</t>
  </si>
  <si>
    <t>LCS</t>
  </si>
  <si>
    <t>CTCP Licogi 166</t>
  </si>
  <si>
    <t>LCW</t>
  </si>
  <si>
    <t>CTCP Nước sạch Lai Châu</t>
  </si>
  <si>
    <t>LDG</t>
  </si>
  <si>
    <t>CTCP Đầu tư LDG</t>
  </si>
  <si>
    <t>LDP</t>
  </si>
  <si>
    <t>CTCP Dược Lâm Đồng (Ladophar)</t>
  </si>
  <si>
    <t>LDW</t>
  </si>
  <si>
    <t>CTCP Cấp thoát nước Lâm Đồng</t>
  </si>
  <si>
    <t>LEC</t>
  </si>
  <si>
    <t>CTCP Bất động sản Điện lực Miền Trung</t>
  </si>
  <si>
    <t>LG9</t>
  </si>
  <si>
    <t>CTCP Cơ giới và Xây lắp Số 9</t>
  </si>
  <si>
    <t>LGC</t>
  </si>
  <si>
    <t>CTCP Đầu tư Cầu đường CII</t>
  </si>
  <si>
    <t>LGL</t>
  </si>
  <si>
    <t>CTCP Đầu tư và Phát triển Đô thị Long Giang</t>
  </si>
  <si>
    <t>LGM</t>
  </si>
  <si>
    <t>CTCP Giày da và May mặc Xuất khẩu</t>
  </si>
  <si>
    <t>LHC</t>
  </si>
  <si>
    <t>CTCP Đầu tư và Xây dựng Thủy lợi Lâm Đồng</t>
  </si>
  <si>
    <t>LHCDF</t>
  </si>
  <si>
    <t>Quỹ Đầu tư Năng động Lighthouse</t>
  </si>
  <si>
    <t>LHG</t>
  </si>
  <si>
    <t>CTCP Long Hậu</t>
  </si>
  <si>
    <t>Liberty</t>
  </si>
  <si>
    <t>CTCP Quê Hương - Liberty</t>
  </si>
  <si>
    <t>LIC</t>
  </si>
  <si>
    <t>Tổng Công ty LICOGI - CTCP</t>
  </si>
  <si>
    <t>Licogi16</t>
  </si>
  <si>
    <t>CTCP Licogi 16 M&amp;C</t>
  </si>
  <si>
    <t>Licogi162</t>
  </si>
  <si>
    <t>CTCP Xây dựng Licogi 16.2</t>
  </si>
  <si>
    <t>Licogi165</t>
  </si>
  <si>
    <t>CTCP Licogi 16.5</t>
  </si>
  <si>
    <t>Licogi169</t>
  </si>
  <si>
    <t>CTCP Licogi 16.9</t>
  </si>
  <si>
    <t>Lidovit</t>
  </si>
  <si>
    <t>CTCP Công nghiệp và Thương mại LIDOVIT</t>
  </si>
  <si>
    <t>LIG</t>
  </si>
  <si>
    <t>CTCP Licogi 13</t>
  </si>
  <si>
    <t>LilamaHN</t>
  </si>
  <si>
    <t>CTCP Lilama Hà Nội</t>
  </si>
  <si>
    <t>LilamaPhaLai</t>
  </si>
  <si>
    <t>CTCP Lilama 69-1 Phả Lại</t>
  </si>
  <si>
    <t>LinhGas</t>
  </si>
  <si>
    <t>CTCP Linh Gas Việt Nam</t>
  </si>
  <si>
    <t>LIX</t>
  </si>
  <si>
    <t>CTCP Bột Giặt Lix</t>
  </si>
  <si>
    <t>LKW</t>
  </si>
  <si>
    <t>CTCP Cấp nước Long Khánh</t>
  </si>
  <si>
    <t>LLM</t>
  </si>
  <si>
    <t>Tổng Công ty Lắp máy Việt Nam - CTCP</t>
  </si>
  <si>
    <t>LM3</t>
  </si>
  <si>
    <t>CTCP Lilama 3</t>
  </si>
  <si>
    <t>LM7</t>
  </si>
  <si>
    <t>CTCP Lilama 7</t>
  </si>
  <si>
    <t>LM8</t>
  </si>
  <si>
    <t>CTCP Lilama 18</t>
  </si>
  <si>
    <t>LMC</t>
  </si>
  <si>
    <t>CTCP Long Beach LMC</t>
  </si>
  <si>
    <t>LMH</t>
  </si>
  <si>
    <t>CTCP Quốc Tế Holding</t>
  </si>
  <si>
    <t>LMI</t>
  </si>
  <si>
    <t>CTCP Đầu tư Xây dựng Lắp máy IDICO</t>
  </si>
  <si>
    <t>LMR</t>
  </si>
  <si>
    <t>CTCP Liên Minh</t>
  </si>
  <si>
    <t>LNC</t>
  </si>
  <si>
    <t>CTCP Lệ Ninh</t>
  </si>
  <si>
    <t>LO5</t>
  </si>
  <si>
    <t>CTCP Lilama 5</t>
  </si>
  <si>
    <t>LongTho</t>
  </si>
  <si>
    <t>CTCP Long Thọ</t>
  </si>
  <si>
    <t>LotusIMC</t>
  </si>
  <si>
    <t>CTCP Quản lý Quỹ Bông Sen</t>
  </si>
  <si>
    <t>LPB</t>
  </si>
  <si>
    <t>Ngân hàng TMCP Lộc Phát Việt Nam</t>
  </si>
  <si>
    <t>LPBF</t>
  </si>
  <si>
    <t>Quỹ đầu tư trái phiếu LP</t>
  </si>
  <si>
    <t>LPBS</t>
  </si>
  <si>
    <t>CTCP Chứng khoán LPBank</t>
  </si>
  <si>
    <t>LPT</t>
  </si>
  <si>
    <t>CTCP Thương mại và Sản xuất Lập Phương Thành</t>
  </si>
  <si>
    <t>LQN</t>
  </si>
  <si>
    <t>CTCP Licogi Quảng Ngãi</t>
  </si>
  <si>
    <t>LSG</t>
  </si>
  <si>
    <t>CTCP Bất động sản Sài Gòn Vina</t>
  </si>
  <si>
    <t>LSS</t>
  </si>
  <si>
    <t>CTCP Mía Đường Lam Sơn</t>
  </si>
  <si>
    <t>LTC</t>
  </si>
  <si>
    <t>CTCP Điện nhẹ Viễn Thông</t>
  </si>
  <si>
    <t>LTG</t>
  </si>
  <si>
    <t>CTCP Tập đoàn Lộc Trời</t>
  </si>
  <si>
    <t>LungLo</t>
  </si>
  <si>
    <t>Tổng công ty Xây dựng Lũng Lô</t>
  </si>
  <si>
    <t>LuongMyPoultry</t>
  </si>
  <si>
    <t>CTCP Giống Gia Cầm Lương Mỹ</t>
  </si>
  <si>
    <t>LuongSonHoaBinh</t>
  </si>
  <si>
    <t>CTCP Xi măng Vinaconex Lương Sơn Hoà Bình</t>
  </si>
  <si>
    <t>LUT</t>
  </si>
  <si>
    <t>CTCP Đầu tư Xây dựng Lương Tài</t>
  </si>
  <si>
    <t>LVC</t>
  </si>
  <si>
    <t>CTCP Quản lý Quỹ Lộc Việt</t>
  </si>
  <si>
    <t>LVN</t>
  </si>
  <si>
    <t>CTCP Len Việt Nam</t>
  </si>
  <si>
    <t>LWS</t>
  </si>
  <si>
    <t>CTCP Cấp nước Tỉnh Lào Cai</t>
  </si>
  <si>
    <t>LYF</t>
  </si>
  <si>
    <t>CTCP Lương thực Lương Yên</t>
  </si>
  <si>
    <t>M10</t>
  </si>
  <si>
    <t>Tổng Công ty May 10 - CTCP</t>
  </si>
  <si>
    <t>MA1</t>
  </si>
  <si>
    <t>CTCP Thiết bị</t>
  </si>
  <si>
    <t>MAC</t>
  </si>
  <si>
    <t>CTCP Tập đoàn Macstar</t>
  </si>
  <si>
    <t>MAFEQI</t>
  </si>
  <si>
    <t>Quỹ đầu tư Cổ phiếu Manulife</t>
  </si>
  <si>
    <t>MAS</t>
  </si>
  <si>
    <t>CTCP Dịch vụ Hàng không Sân bay Đà Nẵng</t>
  </si>
  <si>
    <t>MAX</t>
  </si>
  <si>
    <t>CTCP Khai khoáng và Cơ khí Hữu Nghị Vĩnh Sinh</t>
  </si>
  <si>
    <t>MayDongA</t>
  </si>
  <si>
    <t>CTCP Dệt may Đông Á</t>
  </si>
  <si>
    <t>MayLongAn</t>
  </si>
  <si>
    <t>CTCP Cơ khí và Chế tạo Máy Long An</t>
  </si>
  <si>
    <t>MayPhuongDong</t>
  </si>
  <si>
    <t>CTCP May Phương Đông</t>
  </si>
  <si>
    <t>MaySaiGon2</t>
  </si>
  <si>
    <t>CTCP May Sài Gòn 2</t>
  </si>
  <si>
    <t>MaySaiGon3</t>
  </si>
  <si>
    <t>CTCP May Sài Gòn 3</t>
  </si>
  <si>
    <t>MayThangLong</t>
  </si>
  <si>
    <t>CTCP May Thăng Long</t>
  </si>
  <si>
    <t>MayVietThang</t>
  </si>
  <si>
    <t>CTCP May Việt Thắng</t>
  </si>
  <si>
    <t>MayVietThinh</t>
  </si>
  <si>
    <t>CTCP May Việt Thịnh</t>
  </si>
  <si>
    <t>MBAM</t>
  </si>
  <si>
    <t>Quỹ Đầu tư Trái phiếu dòng tiền linh hoạt MB</t>
  </si>
  <si>
    <t>MBB</t>
  </si>
  <si>
    <t>Ngân hàng TMCP Quân đội</t>
  </si>
  <si>
    <t>MBCapital</t>
  </si>
  <si>
    <t>CTCP Quản lý Quỹ đầu tư MB</t>
  </si>
  <si>
    <t>MBG</t>
  </si>
  <si>
    <t>CTCP Tập đoàn MBG</t>
  </si>
  <si>
    <t>MBN</t>
  </si>
  <si>
    <t>CTCP Môi trường và Công trình đô thị Bắc Ninh</t>
  </si>
  <si>
    <t>MBS</t>
  </si>
  <si>
    <t>CTCP Chứng khoán MB</t>
  </si>
  <si>
    <t>MBT</t>
  </si>
  <si>
    <t>CTCP Bất động sản cho thuê Minh Bảo Tín</t>
  </si>
  <si>
    <t>MBVF</t>
  </si>
  <si>
    <t>Quỹ đầu tư Giá trị MB Capital</t>
  </si>
  <si>
    <t>MC3</t>
  </si>
  <si>
    <t>CTCP Khoáng sản 3 - Vimico</t>
  </si>
  <si>
    <t>MCC</t>
  </si>
  <si>
    <t>CTCP Gạch ngói Cao cấp</t>
  </si>
  <si>
    <t>Mccons</t>
  </si>
  <si>
    <t>CTCP Thi công Cơ giới và Dịch vụ</t>
  </si>
  <si>
    <t>MCD</t>
  </si>
  <si>
    <t>CTCP Môi trường và Công trình Đô thị Đông Hà</t>
  </si>
  <si>
    <t>MCF</t>
  </si>
  <si>
    <t>CTCP Xây lắp Cơ khí và Lương thực Thực phẩm</t>
  </si>
  <si>
    <t>MCG</t>
  </si>
  <si>
    <t>CTCP Năng lượng và Bất động sản MCG</t>
  </si>
  <si>
    <t>MCH</t>
  </si>
  <si>
    <t>CTCP Hàng tiêu dùng Masan</t>
  </si>
  <si>
    <t>MCI</t>
  </si>
  <si>
    <t>CTCP Đầu tư Xây dựng và Phát triển Vật liệu IDICO</t>
  </si>
  <si>
    <t>MCJ</t>
  </si>
  <si>
    <t>CTCP Thiết bị Phụ tùng</t>
  </si>
  <si>
    <t>MCL</t>
  </si>
  <si>
    <t>CTCP Phát triển Nhà và Sản xuất Vật liệu Xây dựng Chí Linh</t>
  </si>
  <si>
    <t>MCM</t>
  </si>
  <si>
    <t>CTCP Giống Bò sữa Mộc Châu</t>
  </si>
  <si>
    <t>MCO</t>
  </si>
  <si>
    <t>CTCP Đầu tư và Xây dựng BDC Việt Nam</t>
  </si>
  <si>
    <t>MCP</t>
  </si>
  <si>
    <t>CTCP In và Bao bì Mỹ Châu</t>
  </si>
  <si>
    <t>MCS</t>
  </si>
  <si>
    <t>CTCP Thi công Cơ giới Xây lắp</t>
  </si>
  <si>
    <t>MCT</t>
  </si>
  <si>
    <t>CTCP Kinh doanh Vật Tư và Xây dựng</t>
  </si>
  <si>
    <t>MCV</t>
  </si>
  <si>
    <t>CTCP Cavico Việt Nam Khai thác mỏ và Xây dựng</t>
  </si>
  <si>
    <t>MDA</t>
  </si>
  <si>
    <t>CTCP Môi trường Đô thị Đông Anh</t>
  </si>
  <si>
    <t>MDC</t>
  </si>
  <si>
    <t>CTCP Than Mông Dương - Vinacomin</t>
  </si>
  <si>
    <t>MDF</t>
  </si>
  <si>
    <t>CTCP Gỗ MDF VRG - Quảng Trị</t>
  </si>
  <si>
    <t>MDG</t>
  </si>
  <si>
    <t>CTCP Miền Đông</t>
  </si>
  <si>
    <t>MDN</t>
  </si>
  <si>
    <t>CTCP Tổng Công ty May Đồng Nai</t>
  </si>
  <si>
    <t>MDT</t>
  </si>
  <si>
    <t>CTCP Cơ khí mỏ và Đóng tàu - TKV</t>
  </si>
  <si>
    <t>MEBI</t>
  </si>
  <si>
    <t>CTCP Dược phẩm và Sinh học Y tế</t>
  </si>
  <si>
    <t>MEC</t>
  </si>
  <si>
    <t>CTCP Cơ khí - Lắp máy Sông Đà</t>
  </si>
  <si>
    <t>MECO</t>
  </si>
  <si>
    <t>CTCP Cơ điện Luyện kim Thái Nguyên</t>
  </si>
  <si>
    <t>MED</t>
  </si>
  <si>
    <t>CTCP Dược Trung ương Mediplantex</t>
  </si>
  <si>
    <t>Medico</t>
  </si>
  <si>
    <t>CTCP Phát triển khoáng Sản</t>
  </si>
  <si>
    <t>Mediplast</t>
  </si>
  <si>
    <t>CTCP Nhựa Y tế Mediplast</t>
  </si>
  <si>
    <t>MeeyLand</t>
  </si>
  <si>
    <t>CTCP Tập đoàn Meey Land</t>
  </si>
  <si>
    <t>MEF</t>
  </si>
  <si>
    <t>CTCP MEINFA</t>
  </si>
  <si>
    <t>MEG</t>
  </si>
  <si>
    <t>CTCP Megram</t>
  </si>
  <si>
    <t>MEKONIMEX</t>
  </si>
  <si>
    <t>CTCP Nông sản Thực phẩm Xuất khẩu Cần Thơ</t>
  </si>
  <si>
    <t>MEL</t>
  </si>
  <si>
    <t>CTCP Thép Mê Lin</t>
  </si>
  <si>
    <t>MES</t>
  </si>
  <si>
    <t>CTCP Cơ điện Công trình</t>
  </si>
  <si>
    <t>MFS</t>
  </si>
  <si>
    <t>CTCP Dịch vụ Kỹ thuật Mobifone</t>
  </si>
  <si>
    <t>MGC</t>
  </si>
  <si>
    <t>CTCP Địa chất mỏ - TKV</t>
  </si>
  <si>
    <t>MGG</t>
  </si>
  <si>
    <t>Tổng Công ty Đức Giang - CTCP</t>
  </si>
  <si>
    <t>MGR</t>
  </si>
  <si>
    <t>CTCP Tập đoàn MGROUP</t>
  </si>
  <si>
    <t>MH3</t>
  </si>
  <si>
    <t>CTCP Khu Công nghiệp Cao su Bình Long</t>
  </si>
  <si>
    <t>MHBS</t>
  </si>
  <si>
    <t>CTCP Chứng khoán MHB</t>
  </si>
  <si>
    <t>MHC</t>
  </si>
  <si>
    <t>CTCP MHC</t>
  </si>
  <si>
    <t>MHL</t>
  </si>
  <si>
    <t>CTCP Minh Hữu Liên</t>
  </si>
  <si>
    <t>MHP</t>
  </si>
  <si>
    <t>CTCP Môi trường và Dịch vụ Đô thị Việt Trì</t>
  </si>
  <si>
    <t>MHY</t>
  </si>
  <si>
    <t>CTCP Môi trường và Công trình Đô thị Hưng Yên</t>
  </si>
  <si>
    <t>MiaDuongBenTre</t>
  </si>
  <si>
    <t>CTCP Mía đường Bến Tre</t>
  </si>
  <si>
    <t>MiaDuongNongCong</t>
  </si>
  <si>
    <t>CTCP Mía Đường Nông Cống</t>
  </si>
  <si>
    <t>MiaDuongSonDuong</t>
  </si>
  <si>
    <t>CTCP Mía đường Sơn Dương</t>
  </si>
  <si>
    <t>MIC</t>
  </si>
  <si>
    <t>CTCP Kỹ nghệ Khoáng sản Quảng Nam</t>
  </si>
  <si>
    <t>MIE</t>
  </si>
  <si>
    <t>Tổng Công ty Máy và Thiết bị Công nghiệp - CTCP</t>
  </si>
  <si>
    <t>MienTrung</t>
  </si>
  <si>
    <t>CTCP Đầu tư và Phát triển Miền Trung</t>
  </si>
  <si>
    <t>MIG</t>
  </si>
  <si>
    <t>Tổng Công ty cổ phần Bảo hiểm Quân Đội</t>
  </si>
  <si>
    <t>MIH</t>
  </si>
  <si>
    <t>CTCP Xuất nhập khẩu Khoáng sản Hà Nam</t>
  </si>
  <si>
    <t>MIM</t>
  </si>
  <si>
    <t>CTCP Khoáng sản và Cơ khí</t>
  </si>
  <si>
    <t>MINEXCO</t>
  </si>
  <si>
    <t>CTCP Khoáng sản và Đầu tư Khánh Hòa</t>
  </si>
  <si>
    <t>MinhPhuc</t>
  </si>
  <si>
    <t>CTCP Sản xuất và Thương mại Minh Phúc</t>
  </si>
  <si>
    <t>MinhVietCapital</t>
  </si>
  <si>
    <t>CTCP Quản lý Quỹ PAVO CAPITAL</t>
  </si>
  <si>
    <t>MIREX</t>
  </si>
  <si>
    <t>CTCP Khoáng sản và Luyện kim Việt Nam</t>
  </si>
  <si>
    <t>MIWACO</t>
  </si>
  <si>
    <t>CTCP Nước khoáng và Du Lịch Sơn Kim</t>
  </si>
  <si>
    <t>MJC</t>
  </si>
  <si>
    <t>CTCP Thương mại Mộc Hóa</t>
  </si>
  <si>
    <t>MKP</t>
  </si>
  <si>
    <t>CTCP Hoá - Dược phẩm Mekophar</t>
  </si>
  <si>
    <t>MKT</t>
  </si>
  <si>
    <t>CTCP Dệt Minh Khai</t>
  </si>
  <si>
    <t>MKV</t>
  </si>
  <si>
    <t>CTCP Dược thú Y Cai Lậy</t>
  </si>
  <si>
    <t>MLC</t>
  </si>
  <si>
    <t>CTCP Môi trường Đô thị Tỉnh Lào Cai</t>
  </si>
  <si>
    <t>MLG</t>
  </si>
  <si>
    <t>CTCP Tập đoàn Mai Linh</t>
  </si>
  <si>
    <t>MLS</t>
  </si>
  <si>
    <t>CTCP Chăn nuôi - Mitraco</t>
  </si>
  <si>
    <t>MML</t>
  </si>
  <si>
    <t>CTCP Masan MeatLife</t>
  </si>
  <si>
    <t>MNB</t>
  </si>
  <si>
    <t>Tổng Công ty May Nhà Bè - CTCP</t>
  </si>
  <si>
    <t>MND</t>
  </si>
  <si>
    <t>CTCP Môi trường Nam Định</t>
  </si>
  <si>
    <t>MobiFonePay</t>
  </si>
  <si>
    <t>CTCP Thanh toán số MobiFone</t>
  </si>
  <si>
    <t>MOBITECHS</t>
  </si>
  <si>
    <t>CTCP Dịch vụ Kỹ thuật và Hạ tầng Mạng Thông Tin Di Động</t>
  </si>
  <si>
    <t>Moca</t>
  </si>
  <si>
    <t>CTCP Công nghệ và Dịch vụ MOCA</t>
  </si>
  <si>
    <t>MOMO</t>
  </si>
  <si>
    <t>CTCP Dịch Vụ Di Động Trực Tuyến</t>
  </si>
  <si>
    <t>MotorVN</t>
  </si>
  <si>
    <t>CTCP United Motor Việt Nam</t>
  </si>
  <si>
    <t>MPC</t>
  </si>
  <si>
    <t>CTCP Tập đoàn Thủy sản Minh Phú</t>
  </si>
  <si>
    <t>MPT</t>
  </si>
  <si>
    <t>CTCP Tập đoàn MPT</t>
  </si>
  <si>
    <t>MPY</t>
  </si>
  <si>
    <t>CTCP Môi trường Đô thị Phú Yên</t>
  </si>
  <si>
    <t>MQB</t>
  </si>
  <si>
    <t>CTCP Môi trường và Phát triển Đô thị Quảng Bình</t>
  </si>
  <si>
    <t>MQN</t>
  </si>
  <si>
    <t>CTCP Môi trường đô thị Quảng Ngãi</t>
  </si>
  <si>
    <t>MRF</t>
  </si>
  <si>
    <t>CTCP Merufa</t>
  </si>
  <si>
    <t>MSB</t>
  </si>
  <si>
    <t>Ngân hàng TMCP Hàng hải Việt Nam</t>
  </si>
  <si>
    <t>MSC</t>
  </si>
  <si>
    <t>CTCP Dịch vụ Phú Nhuận</t>
  </si>
  <si>
    <t>MSH</t>
  </si>
  <si>
    <t>CTCP May Sông Hồng</t>
  </si>
  <si>
    <t>MSN</t>
  </si>
  <si>
    <t>CTCP Tập đoàn Masan</t>
  </si>
  <si>
    <t>MSR</t>
  </si>
  <si>
    <t>CTCP Masan High-Tech Materials</t>
  </si>
  <si>
    <t>MST</t>
  </si>
  <si>
    <t>CTCP Đầu tư MST</t>
  </si>
  <si>
    <t>MTA</t>
  </si>
  <si>
    <t>Tổng Công ty Khoáng sản và Thương mại Hà Tĩnh - CTCP</t>
  </si>
  <si>
    <t>MTB</t>
  </si>
  <si>
    <t>CTCP Môi trường và Công trình Đô thị Tỉnh Thái Bình</t>
  </si>
  <si>
    <t>MTC</t>
  </si>
  <si>
    <t>CTCP Dịch vụ Du lịch Mỹ Trà</t>
  </si>
  <si>
    <t>MTG</t>
  </si>
  <si>
    <t>CTCP MT Gas</t>
  </si>
  <si>
    <t>MTH</t>
  </si>
  <si>
    <t>CTCP Môi trường Đô thị Hà Đông</t>
  </si>
  <si>
    <t>MTJ</t>
  </si>
  <si>
    <t>CTCP Tư vấn và Xây dựng công trình Miền Trung</t>
  </si>
  <si>
    <t>MTL</t>
  </si>
  <si>
    <t>CTCP Dịch vụ Môi trường Đô thị Từ Liêm</t>
  </si>
  <si>
    <t>MTM</t>
  </si>
  <si>
    <t>CTCP mỏ và Xuất nhập khẩu Khoáng sản Miền Trung</t>
  </si>
  <si>
    <t>MTP</t>
  </si>
  <si>
    <t>CTCP Dược Medipharco</t>
  </si>
  <si>
    <t>MTS</t>
  </si>
  <si>
    <t>CTCP Vật tư - TKV</t>
  </si>
  <si>
    <t>MTV</t>
  </si>
  <si>
    <t>CTCP Dịch vụ Môi trường và Công trình Đô thị Vũng Tàu</t>
  </si>
  <si>
    <t>MTX</t>
  </si>
  <si>
    <t>CTCP Công trình Đô thị Gò Công</t>
  </si>
  <si>
    <t>MVB</t>
  </si>
  <si>
    <t>Tổng Công ty Công nghiệp mỏ Việt Bắc TKV - CTCP</t>
  </si>
  <si>
    <t>MVC</t>
  </si>
  <si>
    <t>CTCP Vật liệu và Xây dựng Bình Dương</t>
  </si>
  <si>
    <t>MVN</t>
  </si>
  <si>
    <t>Tổng Công ty Hàng hải Việt Nam - CTCP</t>
  </si>
  <si>
    <t>MVY</t>
  </si>
  <si>
    <t>CTCP Môi trường và Dịch vụ Đô Thị Vĩnh Yên</t>
  </si>
  <si>
    <t>MWG</t>
  </si>
  <si>
    <t>CTCP Đầu tư Thế giới Di động</t>
  </si>
  <si>
    <t>MXC</t>
  </si>
  <si>
    <t>Trung tâm Nông nghiệp Mùa Xuân</t>
  </si>
  <si>
    <t>MXVExchange</t>
  </si>
  <si>
    <t>Sở Giao dịch Hàng hóa Việt Nam</t>
  </si>
  <si>
    <t>MyKhe</t>
  </si>
  <si>
    <t>CTCP Mỹ Khê Việt Nam</t>
  </si>
  <si>
    <t>MyPhamSG</t>
  </si>
  <si>
    <t>CTCP Mỹ phẩm Sài Gòn</t>
  </si>
  <si>
    <t>MZG</t>
  </si>
  <si>
    <t>CTCP Miza</t>
  </si>
  <si>
    <t>NAB</t>
  </si>
  <si>
    <t>Ngân hàng TMCP Nam Á</t>
  </si>
  <si>
    <t>NAC</t>
  </si>
  <si>
    <t>CTCP Tư vấn Xây dựng Tổng hợp</t>
  </si>
  <si>
    <t>NAF</t>
  </si>
  <si>
    <t>CTCP Nafoods Group</t>
  </si>
  <si>
    <t>NAG</t>
  </si>
  <si>
    <t>CTCP Tập đoàn Nagakawa</t>
  </si>
  <si>
    <t>Nakydaco</t>
  </si>
  <si>
    <t>CTCP Dầu thực vật Tân Bình</t>
  </si>
  <si>
    <t>NamChien</t>
  </si>
  <si>
    <t>CTCP Thủy điện Nậm Chiến</t>
  </si>
  <si>
    <t>NAMCO</t>
  </si>
  <si>
    <t>CTCP Khoáng sản Nghệ An</t>
  </si>
  <si>
    <t>NamKhang</t>
  </si>
  <si>
    <t>CTCP Đầu tư Nam Khang</t>
  </si>
  <si>
    <t>NamMuc</t>
  </si>
  <si>
    <t>CTCP Thủy điện Nậm Mức</t>
  </si>
  <si>
    <t>NamThi</t>
  </si>
  <si>
    <t>CTCP Thủy điện Nậm Thi - Sông Đà 7</t>
  </si>
  <si>
    <t>NamTrieu</t>
  </si>
  <si>
    <t>CTCP Công nghiệp Tàu thủy và Xây dựng Nam Triệu</t>
  </si>
  <si>
    <t>NamVietOil</t>
  </si>
  <si>
    <t>CTCP Lọc Hoá Dầu Nam Việt</t>
  </si>
  <si>
    <t>NAP</t>
  </si>
  <si>
    <t>CTCP Cảng Nghệ Tĩnh</t>
  </si>
  <si>
    <t>NAS</t>
  </si>
  <si>
    <t>CTCP Dịch vụ Hàng không Sân bay Việt Nam</t>
  </si>
  <si>
    <t>Natraco</t>
  </si>
  <si>
    <t>CTCP Thương mại Nghệ An</t>
  </si>
  <si>
    <t>NAU</t>
  </si>
  <si>
    <t>CTCP Môi trường và Công trình Đô thị Nghệ An</t>
  </si>
  <si>
    <t>NAV</t>
  </si>
  <si>
    <t>NAW</t>
  </si>
  <si>
    <t>CTCP Cấp nước Nghệ An</t>
  </si>
  <si>
    <t>NBB</t>
  </si>
  <si>
    <t>CTCP Đầu tư Năm Bảy Bảy</t>
  </si>
  <si>
    <t>NBC</t>
  </si>
  <si>
    <t>CTCP Than Núi Béo - Vinacomin</t>
  </si>
  <si>
    <t>NBE</t>
  </si>
  <si>
    <t>CTCP Sách và Thiết bị Giáo dục Miền Bắc</t>
  </si>
  <si>
    <t>NBN</t>
  </si>
  <si>
    <t>CTCP Xây dựng Công trình 545</t>
  </si>
  <si>
    <t>NBP</t>
  </si>
  <si>
    <t>CTCP Nhiệt điện Ninh Bình</t>
  </si>
  <si>
    <t>NBR</t>
  </si>
  <si>
    <t>CTCP Đường sắt Nghĩa Bình</t>
  </si>
  <si>
    <t>NBS</t>
  </si>
  <si>
    <t>CTCP Bến xe Nghệ An</t>
  </si>
  <si>
    <t>NBT</t>
  </si>
  <si>
    <t>CTCP Cấp thoát nước Bến Tre</t>
  </si>
  <si>
    <t>NBW</t>
  </si>
  <si>
    <t>CTCP Cấp nước Nhà Bè</t>
  </si>
  <si>
    <t>NCG</t>
  </si>
  <si>
    <t>CTCP Tập đoàn Nova Consumer</t>
  </si>
  <si>
    <t>NCS</t>
  </si>
  <si>
    <t>CTCP Suất ăn Hàng không Nội Bài</t>
  </si>
  <si>
    <t>NCT</t>
  </si>
  <si>
    <t>CTCP Dịch vụ Hàng hóa Nội Bài</t>
  </si>
  <si>
    <t>ND2</t>
  </si>
  <si>
    <t>CTCP Đầu tư và Phát triển Điện Miền Bắc 2</t>
  </si>
  <si>
    <t>NDC</t>
  </si>
  <si>
    <t>CTCP Nam Dược</t>
  </si>
  <si>
    <t>NDF</t>
  </si>
  <si>
    <t>CTCP Chế biến Thực phẩm Nông sản xuất khẩu Nam Định</t>
  </si>
  <si>
    <t>NDN</t>
  </si>
  <si>
    <t>CTCP Đầu tư Phát triển Nhà Đà Nẵng</t>
  </si>
  <si>
    <t>NDP</t>
  </si>
  <si>
    <t>CTCP Dược phẩm 2/9</t>
  </si>
  <si>
    <t>NDT</t>
  </si>
  <si>
    <t>Tổng Công ty cổ phần Dệt May Nam Định</t>
  </si>
  <si>
    <t>NDW</t>
  </si>
  <si>
    <t>CTCP Cấp nước Nam Định</t>
  </si>
  <si>
    <t>NDX</t>
  </si>
  <si>
    <t>CTCP Xây lắp Phát triển Nhà Đà Nẵng</t>
  </si>
  <si>
    <t>NED</t>
  </si>
  <si>
    <t>CTCP Đầu tư và Phát triển Điện Tây Bắc</t>
  </si>
  <si>
    <t>NEM</t>
  </si>
  <si>
    <t>CTCP Thiết bị điện Miền Bắc</t>
  </si>
  <si>
    <t>NET</t>
  </si>
  <si>
    <t>CTCP Bột giặt NET</t>
  </si>
  <si>
    <t>NFC</t>
  </si>
  <si>
    <t>CTCP Phân lân Ninh Bình</t>
  </si>
  <si>
    <t>NGC</t>
  </si>
  <si>
    <t>CTCP Chế biến Thủy sản xuất khẩu Ngô Quyền</t>
  </si>
  <si>
    <t>NgocHy</t>
  </si>
  <si>
    <t>CTCP Dịch vụ In Trần Ngọc Hy Cà Mau</t>
  </si>
  <si>
    <t>NgocTung</t>
  </si>
  <si>
    <t>CTCP Sản xuất Thương mại Dịch vụ Ngọc Tùng</t>
  </si>
  <si>
    <t>NgoVietNam</t>
  </si>
  <si>
    <t>CTCP Đầu tư Phát triển Ngô Việt Nam</t>
  </si>
  <si>
    <t>NHA</t>
  </si>
  <si>
    <t>Tổng Công ty Đầu tư Phát triển Nhà và Đô thị Nam Hà Nội</t>
  </si>
  <si>
    <t>NhaBeTech</t>
  </si>
  <si>
    <t>CTCP Tư vấn Công nghệ Nhà Bè</t>
  </si>
  <si>
    <t>NhanLuc</t>
  </si>
  <si>
    <t>CTCP Phát triển Nguồn nhân lực LOD</t>
  </si>
  <si>
    <t>NhaSaiGon</t>
  </si>
  <si>
    <t>CTCP Đầu tư Xây dựng và Kinh doanh Nhà Sài Gòn</t>
  </si>
  <si>
    <t>NhatNam</t>
  </si>
  <si>
    <t>CTCP Nhất Nam</t>
  </si>
  <si>
    <t>NHC</t>
  </si>
  <si>
    <t>CTCP Gạch ngói Nhị Hiệp</t>
  </si>
  <si>
    <t>NHH</t>
  </si>
  <si>
    <t>CTCP Nhựa Hà Nội</t>
  </si>
  <si>
    <t>NhietDienMienBac</t>
  </si>
  <si>
    <t>CTCP Dịch vụ Sửa chữa Nhiệt điện Miền Bắc</t>
  </si>
  <si>
    <t>NHN</t>
  </si>
  <si>
    <t>CTCP Phát triển Đô thị Nam Hà Nội</t>
  </si>
  <si>
    <t>NhoQue1</t>
  </si>
  <si>
    <t>CTCP Thủy điện Nho Quế 1</t>
  </si>
  <si>
    <t>NHP</t>
  </si>
  <si>
    <t>CTCP Sản xuất Xuất nhập khẩu NHP</t>
  </si>
  <si>
    <t>NHS</t>
  </si>
  <si>
    <t>CTCP Đường Ninh Hòa</t>
  </si>
  <si>
    <t>NHT</t>
  </si>
  <si>
    <t>CTCP Sản xuất và Thương mại Nam Hoa</t>
  </si>
  <si>
    <t>NhuNgoc</t>
  </si>
  <si>
    <t>CTCP Sản xuất và Thương mại Xuất nhập khẩu Như Ngọc</t>
  </si>
  <si>
    <t>NHV</t>
  </si>
  <si>
    <t>CTCP Sức Khỏe Hồi Sinh Việt Nam</t>
  </si>
  <si>
    <t>NHW</t>
  </si>
  <si>
    <t>CTCP Ngô Han</t>
  </si>
  <si>
    <t>NIC</t>
  </si>
  <si>
    <t>CTCP Đầu tư Nhơn Trạch</t>
  </si>
  <si>
    <t>NinhBac</t>
  </si>
  <si>
    <t>CTCP Đầu tư Tài chính Ninh Bắc</t>
  </si>
  <si>
    <t>NIS</t>
  </si>
  <si>
    <t>CTCP Dịch vụ Hạ tầng Mạng</t>
  </si>
  <si>
    <t>NISACO</t>
  </si>
  <si>
    <t>CTCP Muối Ninh Thuận</t>
  </si>
  <si>
    <t>NJC</t>
  </si>
  <si>
    <t>CTCP May Nam Định</t>
  </si>
  <si>
    <t>NKG</t>
  </si>
  <si>
    <t>CTCP Thép Nam Kim</t>
  </si>
  <si>
    <t>NLG</t>
  </si>
  <si>
    <t>CTCP Đầu tư Nam Long</t>
  </si>
  <si>
    <t>NLS</t>
  </si>
  <si>
    <t>CTCP Cấp thoát nước Lạng Sơn</t>
  </si>
  <si>
    <t>NMK</t>
  </si>
  <si>
    <t>CTCP Xây dựng Công trình 510</t>
  </si>
  <si>
    <t>NNB</t>
  </si>
  <si>
    <t>CTCP Cấp thoát nước Ninh Bình</t>
  </si>
  <si>
    <t>NNC</t>
  </si>
  <si>
    <t>CTCP Đá Núi Nhỏ</t>
  </si>
  <si>
    <t>NNG</t>
  </si>
  <si>
    <t>CTCP Công nghiệp - Dịch vụ - Thương mại Ngọc Nghĩa</t>
  </si>
  <si>
    <t>NNQ</t>
  </si>
  <si>
    <t>CTCP Giống Nông nghiệp Quảng Nam</t>
  </si>
  <si>
    <t>NNT</t>
  </si>
  <si>
    <t>CTCP Cấp nước Ninh Thuận</t>
  </si>
  <si>
    <t>NO1</t>
  </si>
  <si>
    <t>CTCP Tập đoàn 911</t>
  </si>
  <si>
    <t>NoiHoiVN</t>
  </si>
  <si>
    <t>CTCP Nồi hơi Việt Nam</t>
  </si>
  <si>
    <t>NongSanNinhThuan</t>
  </si>
  <si>
    <t>CTCP Xuất khẩu Nông sản Ninh Thuận</t>
  </si>
  <si>
    <t>NOS</t>
  </si>
  <si>
    <t>CTCP Vận tải biển và Thương mại Phương Đông</t>
  </si>
  <si>
    <t>NovaGroup</t>
  </si>
  <si>
    <t>CTCP Tập đoàn NovaGroup</t>
  </si>
  <si>
    <t>NPH</t>
  </si>
  <si>
    <t>CTCP Khách Sạn Bưu Điện Nha Trang</t>
  </si>
  <si>
    <t>NPS</t>
  </si>
  <si>
    <t>CTCP May Phú Thịnh - Nhà Bè</t>
  </si>
  <si>
    <t>NQB</t>
  </si>
  <si>
    <t>CTCP Cấp nước Quảng Bình</t>
  </si>
  <si>
    <t>NQN</t>
  </si>
  <si>
    <t>CTCP Nước sạch Quảng Ninh</t>
  </si>
  <si>
    <t>NQT</t>
  </si>
  <si>
    <t>CTCP Nước sạch Quảng Trị</t>
  </si>
  <si>
    <t>NRC</t>
  </si>
  <si>
    <t>CTCP Tập đoàn NRC</t>
  </si>
  <si>
    <t>NS2</t>
  </si>
  <si>
    <t>CTCP Nước sạch Số 2 Hà Nội</t>
  </si>
  <si>
    <t>NS3</t>
  </si>
  <si>
    <t>CTCP Sản xuất Kinh doanh Nước sạch Số 3 Hà Nội</t>
  </si>
  <si>
    <t>NSC</t>
  </si>
  <si>
    <t>CTCP Tập đoàn Giống cây trồng Việt Nam</t>
  </si>
  <si>
    <t>NSCTech</t>
  </si>
  <si>
    <t>CTCP Công nghệ NCS</t>
  </si>
  <si>
    <t>NSG</t>
  </si>
  <si>
    <t>CTCP Nhựa Sài Gòn</t>
  </si>
  <si>
    <t>NSH</t>
  </si>
  <si>
    <t>CTCP Tập Đoàn Nhôm Sông Hồng Shalumi</t>
  </si>
  <si>
    <t>NSI</t>
  </si>
  <si>
    <t>CTCP Chứng khoán Quốc Gia</t>
  </si>
  <si>
    <t>NSL</t>
  </si>
  <si>
    <t>CTCP Cấp nước Sơn La</t>
  </si>
  <si>
    <t>NSN</t>
  </si>
  <si>
    <t>CTCP Xây dựng 565</t>
  </si>
  <si>
    <t>NSP</t>
  </si>
  <si>
    <t>CTCP Nhựa Sam Phú</t>
  </si>
  <si>
    <t>NSS</t>
  </si>
  <si>
    <t>CTCP Nông Súc Sản Đồng Nai</t>
  </si>
  <si>
    <t>NST</t>
  </si>
  <si>
    <t>CTCP Ngân Sơn</t>
  </si>
  <si>
    <t>NT2</t>
  </si>
  <si>
    <t>CTCP Điện lực Dầu khí Nhơn Trạch 2</t>
  </si>
  <si>
    <t>NTB</t>
  </si>
  <si>
    <t>CTCP Đầu tư Xây dựng và Khai thác Công trình Giao thông 584</t>
  </si>
  <si>
    <t>NTC</t>
  </si>
  <si>
    <t>CTCP Khu Công nghiệp Nam Tân Uyên</t>
  </si>
  <si>
    <t>NTF</t>
  </si>
  <si>
    <t>CTCP Dược - Vật tư Y tế Nghệ An</t>
  </si>
  <si>
    <t>NTH</t>
  </si>
  <si>
    <t>CTCP Thủy điện Nước Trong</t>
  </si>
  <si>
    <t>NTL</t>
  </si>
  <si>
    <t>CTCP Phát triển Đô thị Từ Liêm</t>
  </si>
  <si>
    <t>NTP</t>
  </si>
  <si>
    <t>CTCP Nhựa Thiếu niên Tiền Phong</t>
  </si>
  <si>
    <t>NTR</t>
  </si>
  <si>
    <t>CTCP Đường sắt Nghệ Tĩnh</t>
  </si>
  <si>
    <t>NTS</t>
  </si>
  <si>
    <t>CTCP Nội thất SHINEC</t>
  </si>
  <si>
    <t>NTT</t>
  </si>
  <si>
    <t>CTCP Dệt - May Nha Trang</t>
  </si>
  <si>
    <t>NTW</t>
  </si>
  <si>
    <t>CTCP Cấp nước Nhơn Trạch</t>
  </si>
  <si>
    <t>NUE</t>
  </si>
  <si>
    <t>CTCP Môi trường Đô thị Nha Trang</t>
  </si>
  <si>
    <t>Nuocdathuysan</t>
  </si>
  <si>
    <t>CTCP Nước đá Thủy sản Kiên giang</t>
  </si>
  <si>
    <t>NuocQuangNam</t>
  </si>
  <si>
    <t>CTCP Cấp thoát nước Quảng Nam</t>
  </si>
  <si>
    <t>Nutifood</t>
  </si>
  <si>
    <t>CTCP Thực phẩm Dinh dưỡng Đồng Tâm</t>
  </si>
  <si>
    <t>NVB</t>
  </si>
  <si>
    <t>Ngân hàng TMCP Quốc Dân</t>
  </si>
  <si>
    <t>NVC</t>
  </si>
  <si>
    <t>CTCP Nam Vang</t>
  </si>
  <si>
    <t>NVL</t>
  </si>
  <si>
    <t xml:space="preserve">CTCP Tập đoàn Đầu tư Địa ốc No Va </t>
  </si>
  <si>
    <t>NVN</t>
  </si>
  <si>
    <t>CTCP Nhà Việt Nam</t>
  </si>
  <si>
    <t>NVP</t>
  </si>
  <si>
    <t>CTCP Nước sạch Vĩnh Phúc</t>
  </si>
  <si>
    <t>NVS</t>
  </si>
  <si>
    <t>CTCP Chứng khoán Navibank</t>
  </si>
  <si>
    <t>NVT</t>
  </si>
  <si>
    <t>CTCP Bất động sản Du lịch Ninh Vân Bay</t>
  </si>
  <si>
    <t>NWT</t>
  </si>
  <si>
    <t>CTCP Vận tải Newway</t>
  </si>
  <si>
    <t>NXBGDVN</t>
  </si>
  <si>
    <t>Công ty TNHH MTV Nhà Xuất bản Giáo dục Việt Nam</t>
  </si>
  <si>
    <t>NXT</t>
  </si>
  <si>
    <t>CTCP Sản xuất và Cung ứng Vật liệu Xây dựng Kon Tum</t>
  </si>
  <si>
    <t>OCB</t>
  </si>
  <si>
    <t>Ngân hàng TMCP Phương Đông</t>
  </si>
  <si>
    <t>OCBS</t>
  </si>
  <si>
    <t>CTCP Chứng khoán OCBS</t>
  </si>
  <si>
    <t>OCH</t>
  </si>
  <si>
    <t>CTCP One Capital Hospitality</t>
  </si>
  <si>
    <t>ODE</t>
  </si>
  <si>
    <t>CTCP Tập đoàn Truyền thông và Giải trí ODE</t>
  </si>
  <si>
    <t>OGC</t>
  </si>
  <si>
    <t>CTCP Tập đoàn Đại Dương</t>
  </si>
  <si>
    <t>OIL</t>
  </si>
  <si>
    <t>Tổng Công ty Dầu Việt Nam - CTCP</t>
  </si>
  <si>
    <t>OLC</t>
  </si>
  <si>
    <t>CTCP Xây dựng, Dịch vụ và Hợp tác Lao động</t>
  </si>
  <si>
    <t>OMC</t>
  </si>
  <si>
    <t>CTCP Quản lý Quỹ Đầu tư Lighthouse</t>
  </si>
  <si>
    <t>ONE</t>
  </si>
  <si>
    <t>CTCP Công nghệ One</t>
  </si>
  <si>
    <t>OneMount</t>
  </si>
  <si>
    <t>CTCP One Mount Group</t>
  </si>
  <si>
    <t>ONW</t>
  </si>
  <si>
    <t>CTCP Dịch vụ Một Thế Giới</t>
  </si>
  <si>
    <t>OPC</t>
  </si>
  <si>
    <t>CTCP Dược phẩm OPC</t>
  </si>
  <si>
    <t>ORC</t>
  </si>
  <si>
    <t>CTCP Bán lẻ và Quản lý Bất động sản Đại Dương</t>
  </si>
  <si>
    <t>ORS</t>
  </si>
  <si>
    <t>CTCP Chứng khoán Tiên Phong</t>
  </si>
  <si>
    <t>OSC</t>
  </si>
  <si>
    <t>CTCP Chứng khoán Đại Tây Dương</t>
  </si>
  <si>
    <t>OSCVN</t>
  </si>
  <si>
    <t>CTCP Du lịch Dịch vụ Dầu khí Việt Nam</t>
  </si>
  <si>
    <t>Oseven</t>
  </si>
  <si>
    <t>CTCP Oseven</t>
  </si>
  <si>
    <t>OTG</t>
  </si>
  <si>
    <t>CTCP Otran Logistics</t>
  </si>
  <si>
    <t>OtoTienGiang</t>
  </si>
  <si>
    <t>CTCP Vận tải Ô Tô Tiền Giang</t>
  </si>
  <si>
    <t>PAC</t>
  </si>
  <si>
    <t>CTCP Pin Ắc quy Miền Nam</t>
  </si>
  <si>
    <t>PACKEXIM</t>
  </si>
  <si>
    <t>CTCP Sản xuất và Xuất nhập khẩu Bao bì</t>
  </si>
  <si>
    <t>Packsimex</t>
  </si>
  <si>
    <t>CTCP Xuất nhập khẩu Sản xuất Gia công và Bao bì</t>
  </si>
  <si>
    <t>PAI</t>
  </si>
  <si>
    <t>CTCP Công nghệ thông tin Viễn thông và Tự động hóa Dầu Khí</t>
  </si>
  <si>
    <t>PAMCO</t>
  </si>
  <si>
    <t>CTCP Quản lý Quỹ Leadvisors</t>
  </si>
  <si>
    <t>PAN</t>
  </si>
  <si>
    <t>CTCP Tập đoàn PAN</t>
  </si>
  <si>
    <t>PAP</t>
  </si>
  <si>
    <t>CTCP Dầu khí Đầu tư Khai thác Cảng Phước An</t>
  </si>
  <si>
    <t>PAS</t>
  </si>
  <si>
    <t>CTCP Quốc tế Phương Anh</t>
  </si>
  <si>
    <t>PAT</t>
  </si>
  <si>
    <t>CTCP Phốt Pho Apatit Việt Nam</t>
  </si>
  <si>
    <t>Payoo</t>
  </si>
  <si>
    <t>CTCP Dịch vụ Trực tuyến Cộng Đồng Việt</t>
  </si>
  <si>
    <t>PBC</t>
  </si>
  <si>
    <t>CTCP Dược phẩm Trung ương I - Pharbaco</t>
  </si>
  <si>
    <t>PBK</t>
  </si>
  <si>
    <t>CTCP Điện lực Dầu khí Bắc Kạn</t>
  </si>
  <si>
    <t>PBP</t>
  </si>
  <si>
    <t>CTCP Bao bì Dầu khí Việt Nam</t>
  </si>
  <si>
    <t>PBSV</t>
  </si>
  <si>
    <t>Công ty TNHH Chứng khoán Ngân hàng Public Việt Nam</t>
  </si>
  <si>
    <t>PBT</t>
  </si>
  <si>
    <t>CTCP Bao bì và Thương mại dầu khí Bình Sơn</t>
  </si>
  <si>
    <t>PC1</t>
  </si>
  <si>
    <t>CTCP Tập Đoàn PC1</t>
  </si>
  <si>
    <t>PCC</t>
  </si>
  <si>
    <t>CTCP Tập đoàn Xây lắp 1 - Petrolimex</t>
  </si>
  <si>
    <t>PCE</t>
  </si>
  <si>
    <t>CTCP Phân bón và Hóa chất Dầu khí Miền Trung</t>
  </si>
  <si>
    <t>PCF</t>
  </si>
  <si>
    <t>CTCP Cà phê PETEC</t>
  </si>
  <si>
    <t>PCG</t>
  </si>
  <si>
    <t>CTCP Đầu tư Phát triển Gas Đô thị</t>
  </si>
  <si>
    <t>PCH</t>
  </si>
  <si>
    <t>CTCP Nhựa Picomat</t>
  </si>
  <si>
    <t>PCM</t>
  </si>
  <si>
    <t>CTCP Vật liệu Xây dựng Bưu điện</t>
  </si>
  <si>
    <t>PCN</t>
  </si>
  <si>
    <t>CTCP Hóa phẩm Dầu khí DMC - Miền Bắc</t>
  </si>
  <si>
    <t>PCT</t>
  </si>
  <si>
    <t>CTCP Vận tải biển Global Pacific</t>
  </si>
  <si>
    <t>PDB</t>
  </si>
  <si>
    <t>CTCP Tập đoàn Đầu tư Din Capital</t>
  </si>
  <si>
    <t>PDC</t>
  </si>
  <si>
    <t>CTCP Du lịch Dầu khí Phương Đông</t>
  </si>
  <si>
    <t>PDN</t>
  </si>
  <si>
    <t>CTCP Cảng Đồng Nai</t>
  </si>
  <si>
    <t>PDR</t>
  </si>
  <si>
    <t>CTCP Phát triển Bất động sản Phát Đạt</t>
  </si>
  <si>
    <t>PDT</t>
  </si>
  <si>
    <t>CTCP Thương mại Dầu khí Đồng Tháp</t>
  </si>
  <si>
    <t>PDV</t>
  </si>
  <si>
    <t>CTCP Vận Tải Và Tiếp Vận Phương Đông Việt</t>
  </si>
  <si>
    <t>PeaceTour</t>
  </si>
  <si>
    <t>CTCP Du lịch Hòa Bình Việt Nam</t>
  </si>
  <si>
    <t>PEC</t>
  </si>
  <si>
    <t>CTCP Cơ khí Điện lực</t>
  </si>
  <si>
    <t>PEG</t>
  </si>
  <si>
    <t>Tổng Công ty Thương mại Kỹ thuật và Đầu tư - CTCP</t>
  </si>
  <si>
    <t>PEN</t>
  </si>
  <si>
    <t>CTCP Xây lắp III Petrolimex</t>
  </si>
  <si>
    <t>PEQ</t>
  </si>
  <si>
    <t>CTCP Thiết bị Xăng dầu Petrolimex</t>
  </si>
  <si>
    <t>PET</t>
  </si>
  <si>
    <t>Tổng Công ty cổ phần Dịch vụ Tổng hợp Dầu khí</t>
  </si>
  <si>
    <t>PetroKienGiang</t>
  </si>
  <si>
    <t>CTCP Xăng dầu Dầu khí Kiên Giang</t>
  </si>
  <si>
    <t>PETROMAT</t>
  </si>
  <si>
    <t>CTCP Vật tư Xăng dầu Petec</t>
  </si>
  <si>
    <t>PETROMEKONG</t>
  </si>
  <si>
    <t>CTCP Vận tải Dầu khí Mê Kông</t>
  </si>
  <si>
    <t>PFH</t>
  </si>
  <si>
    <t>CTCP Đầu tư Tài chính Bảo hiểm Dầu khí</t>
  </si>
  <si>
    <t>PFI</t>
  </si>
  <si>
    <t>CTCP Thương mại &amp; Dịch vụ Dầu khí Việt Nam</t>
  </si>
  <si>
    <t>PFL</t>
  </si>
  <si>
    <t>CTCP Dầu khí Đông Đô</t>
  </si>
  <si>
    <t>PGB</t>
  </si>
  <si>
    <t>Ngân hàng TMCP Thịnh vượng và Phát triển</t>
  </si>
  <si>
    <t>PGC</t>
  </si>
  <si>
    <t>Tổng Công ty Gas Petrolimex - CTCP</t>
  </si>
  <si>
    <t>PGD</t>
  </si>
  <si>
    <t>CTCP Phân phối khí thấp áp Dầu khí Việt Nam</t>
  </si>
  <si>
    <t>PGI</t>
  </si>
  <si>
    <t>Tổng Công ty cổ phần Bảo hiểm Petrolimex</t>
  </si>
  <si>
    <t>PGN</t>
  </si>
  <si>
    <t>CTCP Phụ Gia Nhựa</t>
  </si>
  <si>
    <t>PGS</t>
  </si>
  <si>
    <t>CTCP Kinh doanh Khí Miền Nam</t>
  </si>
  <si>
    <t>PGT</t>
  </si>
  <si>
    <t>CTCP PGT Holdings</t>
  </si>
  <si>
    <t>PGV</t>
  </si>
  <si>
    <t>Tổng Công ty Phát điện 3 - CTCP</t>
  </si>
  <si>
    <t>PhanPhoiVietnam</t>
  </si>
  <si>
    <t>CTCP Đầu tư và Phát triển Hệ thống Phân phối Việt Nam</t>
  </si>
  <si>
    <t>PhanVu</t>
  </si>
  <si>
    <t>CTCP Đầu tư Phan vũ</t>
  </si>
  <si>
    <t>PHC</t>
  </si>
  <si>
    <t>CTCP Xây dựng Phục Hưng Holdings</t>
  </si>
  <si>
    <t>PHFM</t>
  </si>
  <si>
    <t>CTCP Quản lý Quỹ Phú Hưng</t>
  </si>
  <si>
    <t>PHH</t>
  </si>
  <si>
    <t>CTCP Hồng Hà Việt Nam</t>
  </si>
  <si>
    <t>PhimGiaiPhong</t>
  </si>
  <si>
    <t>CTCP Phim Giải phóng</t>
  </si>
  <si>
    <t>PhimThienNgan</t>
  </si>
  <si>
    <t>CTCP Phim Thiên Ngân</t>
  </si>
  <si>
    <t>PHN</t>
  </si>
  <si>
    <t>CTCP Pin Hà Nội</t>
  </si>
  <si>
    <t>PHP</t>
  </si>
  <si>
    <t>CTCP Cảng Hải Phòng</t>
  </si>
  <si>
    <t>PHR</t>
  </si>
  <si>
    <t>CTCP Cao su Phước Hòa</t>
  </si>
  <si>
    <t>PHS</t>
  </si>
  <si>
    <t>CTCP Chứng khoán Phú Hưng</t>
  </si>
  <si>
    <t>PhuDat</t>
  </si>
  <si>
    <t>CTCP Đầu tư và Xây dựng Dầu khí Phú Đạt</t>
  </si>
  <si>
    <t>PhuHung</t>
  </si>
  <si>
    <t>CTCP Bảo hiểm Phú Hưng</t>
  </si>
  <si>
    <t>PhuLong</t>
  </si>
  <si>
    <t>CTCP Địa ốc Phú Long</t>
  </si>
  <si>
    <t>PHUMYOIL</t>
  </si>
  <si>
    <t>CTCP Sản xuất và Chế biến Dầu khí Phú Mỹ</t>
  </si>
  <si>
    <t>PhuongNamSF</t>
  </si>
  <si>
    <t>CTCP Chế biến Thực phẩm Phương Nam</t>
  </si>
  <si>
    <t>PhuongTrang</t>
  </si>
  <si>
    <t>CTCP Du lịch và Vận tải Phương Trang</t>
  </si>
  <si>
    <t>PhuQuoc</t>
  </si>
  <si>
    <t>CTCP Du lịch Phú Quốc</t>
  </si>
  <si>
    <t>PhuTung</t>
  </si>
  <si>
    <t>CTCP Xuất nhập khẩu Máy và Phụ tùng</t>
  </si>
  <si>
    <t>PIA</t>
  </si>
  <si>
    <t>CTCP Tin học Viễn thông Petrolimex</t>
  </si>
  <si>
    <t>PIC</t>
  </si>
  <si>
    <t>CTCP Đầu tư Điện lực 3</t>
  </si>
  <si>
    <t>PID</t>
  </si>
  <si>
    <t>CTCP Trang Trí Nội Thất Dầu khí</t>
  </si>
  <si>
    <t>PIDIC</t>
  </si>
  <si>
    <t>CTCP Đầu tư Phát triển Hạ tầng Phú Quốc</t>
  </si>
  <si>
    <t>Pinetree</t>
  </si>
  <si>
    <t>CTCP Chứng khoán Pinetree</t>
  </si>
  <si>
    <t>PIS</t>
  </si>
  <si>
    <t>Tổng Công ty Pisico Bình Định - CTCP</t>
  </si>
  <si>
    <t>Pisico</t>
  </si>
  <si>
    <t>CTCP Chế biến Gỗ nội thất Pisico</t>
  </si>
  <si>
    <t>PisicoDongAn</t>
  </si>
  <si>
    <t>CTCP Chế biến gỗ Pisico Đồng An</t>
  </si>
  <si>
    <t>PIT</t>
  </si>
  <si>
    <t>CTCP Xuất nhập khẩu Petrolimex</t>
  </si>
  <si>
    <t>PIV</t>
  </si>
  <si>
    <t>CTCP PIV</t>
  </si>
  <si>
    <t>PJC</t>
  </si>
  <si>
    <t>CTCP Thương mại và Vận tải Petrolimex Hà Nội</t>
  </si>
  <si>
    <t>PJS</t>
  </si>
  <si>
    <t>CTCP Cấp nước Phú Hòa Tân</t>
  </si>
  <si>
    <t>PJT</t>
  </si>
  <si>
    <t>CTCP Vận tải Xăng dầu Đường Thủy Petrolimex</t>
  </si>
  <si>
    <t>PKR</t>
  </si>
  <si>
    <t>CTCP Đường sắt Phú Khánh</t>
  </si>
  <si>
    <t>PLA</t>
  </si>
  <si>
    <t>CTCP Đầu tư và Dịch vụ Hạ tầng Xăng dầu</t>
  </si>
  <si>
    <t>PLC</t>
  </si>
  <si>
    <t>Tổng Công ty Hóa dầu Petrolimex - CTCP</t>
  </si>
  <si>
    <t>PLCC</t>
  </si>
  <si>
    <t>Tổng Công ty Xây lắp và Thương mại Petrolimex</t>
  </si>
  <si>
    <t>PLE</t>
  </si>
  <si>
    <t>CTCP Tư vấn Xây dựng Petrolimex</t>
  </si>
  <si>
    <t>PLO</t>
  </si>
  <si>
    <t>CTCP Kho Vận Petec</t>
  </si>
  <si>
    <t>PLP</t>
  </si>
  <si>
    <t>CTCP Sản xuất và Công nghệ Nhựa Pha Lê</t>
  </si>
  <si>
    <t>PLX</t>
  </si>
  <si>
    <t>Tập đoàn Xăng Dầu Việt Nam</t>
  </si>
  <si>
    <t>PMB</t>
  </si>
  <si>
    <t>CTCP Phân bón và Hóa chất Dầu khí Miền Bắc</t>
  </si>
  <si>
    <t>PMC</t>
  </si>
  <si>
    <t>CTCP Dược phẩm Dược liệu Pharmedic</t>
  </si>
  <si>
    <t>PME</t>
  </si>
  <si>
    <t>CTCP Pymepharco</t>
  </si>
  <si>
    <t>PMG</t>
  </si>
  <si>
    <t>CTCP Đầu tư và Sản xuất Petro Miền Trung</t>
  </si>
  <si>
    <t>PMJ</t>
  </si>
  <si>
    <t>CTCP Vật tư Bưu Điện</t>
  </si>
  <si>
    <t>PMM</t>
  </si>
  <si>
    <t>CTCP Hàng hải Phú Mỹ</t>
  </si>
  <si>
    <t>PMP</t>
  </si>
  <si>
    <t>CTCP Bao bì đạm Phú Mỹ</t>
  </si>
  <si>
    <t>PMS</t>
  </si>
  <si>
    <t>CTCP Cơ khí Xăng dầu</t>
  </si>
  <si>
    <t>PMT</t>
  </si>
  <si>
    <t>CTCP Viễn thông TELVINA Việt Nam</t>
  </si>
  <si>
    <t>PMW</t>
  </si>
  <si>
    <t>CTCP Cấp nước Phú Mỹ</t>
  </si>
  <si>
    <t>PNC</t>
  </si>
  <si>
    <t>CTCP Văn hóa Phương Nam</t>
  </si>
  <si>
    <t>PND</t>
  </si>
  <si>
    <t>CTCP Xăng dầu Dầu khí Nam Định</t>
  </si>
  <si>
    <t>PNG</t>
  </si>
  <si>
    <t>CTCP Thương mại Phú Nhuận</t>
  </si>
  <si>
    <t>PNJ</t>
  </si>
  <si>
    <t>CTCP Vàng bạc Đá quý Phú Nhuận</t>
  </si>
  <si>
    <t>PNP</t>
  </si>
  <si>
    <t>CTCP Tân Cảng - Phú Hữu</t>
  </si>
  <si>
    <t>PNT</t>
  </si>
  <si>
    <t>CTCP Kỹ thuật Xây dựng Phú Nhuận</t>
  </si>
  <si>
    <t>POB</t>
  </si>
  <si>
    <t>CTCP Xăng dầu Dầu khí Hưng Yên</t>
  </si>
  <si>
    <t>POM</t>
  </si>
  <si>
    <t>CTCP Thép Pomina</t>
  </si>
  <si>
    <t>Porycoast</t>
  </si>
  <si>
    <t>CTCP Tư vấn Thiết kế Cảng - Kỹ thuật biển</t>
  </si>
  <si>
    <t>POS</t>
  </si>
  <si>
    <t>CTCP Vận hành và Xây lắp PTSC</t>
  </si>
  <si>
    <t>POT</t>
  </si>
  <si>
    <t>CTCP Thiết bị Bưu điện</t>
  </si>
  <si>
    <t>POTRACO</t>
  </si>
  <si>
    <t>CTCP Vận tải và Dịch vụ Điện lực</t>
  </si>
  <si>
    <t>POV</t>
  </si>
  <si>
    <t>CTCP Xăng dầu Dầu khí Vũng Áng</t>
  </si>
  <si>
    <t>POW</t>
  </si>
  <si>
    <t>Tổng Công ty Điện lực Dầu khí Việt Nam - CTCP</t>
  </si>
  <si>
    <t>PPC</t>
  </si>
  <si>
    <t>CTCP Nhiệt điện Phả Lại</t>
  </si>
  <si>
    <t>PPE</t>
  </si>
  <si>
    <t>CTCP Tư vấn đầu tư PP Enterprise</t>
  </si>
  <si>
    <t>PPG</t>
  </si>
  <si>
    <t>CTCP Sản xuất - Thương mại - Dịch vụ Phú Phong</t>
  </si>
  <si>
    <t>PPH</t>
  </si>
  <si>
    <t>Tổng Công ty cổ phần Phong Phú</t>
  </si>
  <si>
    <t>PPI</t>
  </si>
  <si>
    <t>CTCP Đầu tư và Phát triển Dự án Hạ tầng Thái Bình Dương</t>
  </si>
  <si>
    <t>PPP</t>
  </si>
  <si>
    <t>CTCP Dược phẩm Phong Phú</t>
  </si>
  <si>
    <t>PPS</t>
  </si>
  <si>
    <t>CTCP Dịch vụ Kỹ thuật Điện lực Dầu khí Việt Nam</t>
  </si>
  <si>
    <t>PPT</t>
  </si>
  <si>
    <t>CTCP Petro Times</t>
  </si>
  <si>
    <t>PPY</t>
  </si>
  <si>
    <t>CTCP Xăng dầu Dầu khí Phú Yên</t>
  </si>
  <si>
    <t>PQN</t>
  </si>
  <si>
    <t>CTCP Dịch vụ Dầu khí Quảng Ngãi PTSC</t>
  </si>
  <si>
    <t>PRC</t>
  </si>
  <si>
    <t>CTCP Logistics Portserco</t>
  </si>
  <si>
    <t>PRE</t>
  </si>
  <si>
    <t>Tổng Công ty cổ phần Tái bảo hiểm Hà Nội</t>
  </si>
  <si>
    <t>PRO</t>
  </si>
  <si>
    <t>CTCP Procimex Việt Nam</t>
  </si>
  <si>
    <t>Proconco</t>
  </si>
  <si>
    <t>CTCP Việt Pháp Sản xuất Thức ăn Gia súc PROCONCO</t>
  </si>
  <si>
    <t>PROMEXCO</t>
  </si>
  <si>
    <t>CTCP Sản xuất Bao bì và Hàng xuất khẩu</t>
  </si>
  <si>
    <t>PRT</t>
  </si>
  <si>
    <t>Tổng Công ty Sản xuất - Xuất nhập khẩu Bình Dương - CTCP</t>
  </si>
  <si>
    <t>PSB</t>
  </si>
  <si>
    <t>CTCP Đầu tư Dầu khí Sao Mai - Bến Đình</t>
  </si>
  <si>
    <t>PSC</t>
  </si>
  <si>
    <t>CTCP Vận tải và Dịch vụ Petrolimex Sài Gòn</t>
  </si>
  <si>
    <t>PSD</t>
  </si>
  <si>
    <t>CTCP Dịch vụ Phân phối Tổng hợp Dầu khí</t>
  </si>
  <si>
    <t>PSE</t>
  </si>
  <si>
    <t>CTCP Phân Bón và Hóa Chất Dầu khí Đông Nam Bộ</t>
  </si>
  <si>
    <t>PSG</t>
  </si>
  <si>
    <t>CTCP Đầu Tư và Xây lắp Dầu khí Sài Gòn</t>
  </si>
  <si>
    <t>PSH</t>
  </si>
  <si>
    <t>CTCP Thương mại Đầu tư Dầu khí Nam Sông Hậu</t>
  </si>
  <si>
    <t>PSI</t>
  </si>
  <si>
    <t>CTCP Chứng khoán Dầu khí</t>
  </si>
  <si>
    <t>PSL</t>
  </si>
  <si>
    <t>CTCP Chăn nuôi Phú Sơn</t>
  </si>
  <si>
    <t>PSN</t>
  </si>
  <si>
    <t>CTCP Dịch Vụ Kỹ Thuật PTSC Thanh Hóa</t>
  </si>
  <si>
    <t>PSP</t>
  </si>
  <si>
    <t>CTCP Cảng Dịch vụ Dầu khí Đình Vũ</t>
  </si>
  <si>
    <t>PSW</t>
  </si>
  <si>
    <t>CTCP Phân bón và Hóa chất Dầu khí Tây Nam Bộ</t>
  </si>
  <si>
    <t>PTB</t>
  </si>
  <si>
    <t>CTCP Phú Tài</t>
  </si>
  <si>
    <t>PTC</t>
  </si>
  <si>
    <t>CTCP Đầu Tư Icapital</t>
  </si>
  <si>
    <t>PTD</t>
  </si>
  <si>
    <t>CTCP Thiết kế Xây dựng Thương mại Phúc Thịnh</t>
  </si>
  <si>
    <t>PTE</t>
  </si>
  <si>
    <t>CTCP Xi măng Phú Thọ</t>
  </si>
  <si>
    <t>PTG</t>
  </si>
  <si>
    <t>CTCP May Xuất khẩu Phan Thiết</t>
  </si>
  <si>
    <t>PTH</t>
  </si>
  <si>
    <t>CTCP Vận tải và Dịch vụ Petrolimex Hà Tây</t>
  </si>
  <si>
    <t>PTHTKCNThaiNguyen</t>
  </si>
  <si>
    <t>CTCP Phát Triển Hạ tầng Khu Công nghiệp Thái Nguyên</t>
  </si>
  <si>
    <t>PTI</t>
  </si>
  <si>
    <t>Tổng Công ty cổ phần Bảo hiểm Bưu điện</t>
  </si>
  <si>
    <t>PTICC</t>
  </si>
  <si>
    <t>CTCP Tư vấn Đầu tư và Xây dựng Bưu điện</t>
  </si>
  <si>
    <t>PTK</t>
  </si>
  <si>
    <t>CTCP Luyện kim Phú Thịnh</t>
  </si>
  <si>
    <t>PTL</t>
  </si>
  <si>
    <t>CTCP Victory Group</t>
  </si>
  <si>
    <t>PTM</t>
  </si>
  <si>
    <t>CTCP Sản xuất Thương mại và Dịch vụ Ô tô PTM</t>
  </si>
  <si>
    <t>PTN</t>
  </si>
  <si>
    <t>CTCP Phát triển nhà Khánh Hòa</t>
  </si>
  <si>
    <t>PTO</t>
  </si>
  <si>
    <t>CTCP Dịch vụ - Xây dựng Công trình Bưu Điện</t>
  </si>
  <si>
    <t>PTP</t>
  </si>
  <si>
    <t>CTCP PTP</t>
  </si>
  <si>
    <t>PTS</t>
  </si>
  <si>
    <t>CTCP Vận tải và Dịch vụ Petrolimex Hải Phòng</t>
  </si>
  <si>
    <t>PTT</t>
  </si>
  <si>
    <t>CTCP Vận tải Dầu khí Đông Dương</t>
  </si>
  <si>
    <t>PTV</t>
  </si>
  <si>
    <t>CTCP Thương mại Dầu khí</t>
  </si>
  <si>
    <t>PTX</t>
  </si>
  <si>
    <t>CTCP Vận tải và Dịch vụ Petrolimex Nghệ Tĩnh</t>
  </si>
  <si>
    <t>PV2</t>
  </si>
  <si>
    <t>CTCP Đầu tư PV2</t>
  </si>
  <si>
    <t>PVA</t>
  </si>
  <si>
    <t>CTCP Tổng Công ty Xây lắp Dầu khí Nghệ An</t>
  </si>
  <si>
    <t>PVB</t>
  </si>
  <si>
    <t>CTCP Bọc ống Dầu khí Việt Nam</t>
  </si>
  <si>
    <t>PVC</t>
  </si>
  <si>
    <t>Tổng Công ty Hóa chất và Dịch vụ Dầu khí - CTCP</t>
  </si>
  <si>
    <t>PVCI</t>
  </si>
  <si>
    <t>CTCP Đầu tư Xây lắp Dầu khí Việt Nam</t>
  </si>
  <si>
    <t>PVCME</t>
  </si>
  <si>
    <t>CTCP Thi Công Cơ giới và Lắp máy Dầu khí</t>
  </si>
  <si>
    <t>PVcomBank</t>
  </si>
  <si>
    <t>Ngân hàng TMCP Đại chúng Việt Nam</t>
  </si>
  <si>
    <t>PVD</t>
  </si>
  <si>
    <t>Tổng Công ty cổ phần Khoan và Dịch vụ khoan Dầu khí</t>
  </si>
  <si>
    <t>PVE</t>
  </si>
  <si>
    <t>Tổng Công ty Tư vấn thiết kế Dầu khí - CTCP</t>
  </si>
  <si>
    <t>PVEIC</t>
  </si>
  <si>
    <t>Tổng Công ty Bảo dưỡng - Sữa chữa Công trình Dầu khí, CTCP</t>
  </si>
  <si>
    <t>PVFCCapital</t>
  </si>
  <si>
    <t>CTCP Quản lý Quỹ Ngân hàng TMCP Đại chúng Việt Nam</t>
  </si>
  <si>
    <t>PVG</t>
  </si>
  <si>
    <t>CTCP Kinh doanh LPG Việt Nam</t>
  </si>
  <si>
    <t>PVH</t>
  </si>
  <si>
    <t>CTCP Xây lắp Dầu khí Thanh Hóa</t>
  </si>
  <si>
    <t>PVI</t>
  </si>
  <si>
    <t>CTCP PVI</t>
  </si>
  <si>
    <t>PVIASSET</t>
  </si>
  <si>
    <t>CTCP Quản lý Quỹ PVI</t>
  </si>
  <si>
    <t>PVID</t>
  </si>
  <si>
    <t>CTCP Đầu tư và Xây lắp khí</t>
  </si>
  <si>
    <t>PVL</t>
  </si>
  <si>
    <t>CTCP Địa ốc Dầu khí</t>
  </si>
  <si>
    <t>PVM</t>
  </si>
  <si>
    <t>CTCP Máy - Thiết bị Dầu khí</t>
  </si>
  <si>
    <t>PVO</t>
  </si>
  <si>
    <t>CTCP Dầu nhờn PV Oil</t>
  </si>
  <si>
    <t>PVP</t>
  </si>
  <si>
    <t>CTCP Vận tải Dầu khí Thái Bình Dương</t>
  </si>
  <si>
    <t>PVQuangNinh</t>
  </si>
  <si>
    <t>CTCP Xăng dầu Dầu khí Quảng Ninh</t>
  </si>
  <si>
    <t>PVR</t>
  </si>
  <si>
    <t>CTCP Đầu tư PVR Hà Nội</t>
  </si>
  <si>
    <t>PVS</t>
  </si>
  <si>
    <t>Tổng Công ty cổ phần Dịch vụ Kỹ thuật Dầu khí Việt Nam</t>
  </si>
  <si>
    <t>PVSH</t>
  </si>
  <si>
    <t>CTCP Vạn Khởi Thành</t>
  </si>
  <si>
    <t>PVST</t>
  </si>
  <si>
    <t>CTCP Du Lịch Dầu khí Sapa</t>
  </si>
  <si>
    <t>PVT</t>
  </si>
  <si>
    <t>Tổng Công ty cổ phần Vận tải Dầu khí</t>
  </si>
  <si>
    <t>PVThaiNguyen</t>
  </si>
  <si>
    <t>CTCP Xăng dầu Dầu khí Thái Nguyên</t>
  </si>
  <si>
    <t>PVV</t>
  </si>
  <si>
    <t>CTCP Vinaconex 39</t>
  </si>
  <si>
    <t>PVX</t>
  </si>
  <si>
    <t>Tổng Công ty cổ phần Xây lắp Dầu khí Việt Nam</t>
  </si>
  <si>
    <t>PVY</t>
  </si>
  <si>
    <t>CTCP Chế tạo Giàn khoan Dầu khí</t>
  </si>
  <si>
    <t>PWA</t>
  </si>
  <si>
    <t>CTCP Bất động sản Dầu khí</t>
  </si>
  <si>
    <t>PWS</t>
  </si>
  <si>
    <t>CTCP Cấp thoát nước Phú Yên</t>
  </si>
  <si>
    <t>PX1</t>
  </si>
  <si>
    <t>CTCP Xi măng Sông Lam 2</t>
  </si>
  <si>
    <t>PXA</t>
  </si>
  <si>
    <t>CTCP Đầu tư và Thương mại Dầu khí Nghệ An</t>
  </si>
  <si>
    <t>PXC</t>
  </si>
  <si>
    <t>CTCP Phát triển Đô thị Dầu khí</t>
  </si>
  <si>
    <t>PXH</t>
  </si>
  <si>
    <t>CTCP Xây lắp Dầu khí Hà Nội</t>
  </si>
  <si>
    <t>PXI</t>
  </si>
  <si>
    <t>CTCP Xây dựng Công nghiệp và Dân dụng Dầu khí</t>
  </si>
  <si>
    <t>PXK</t>
  </si>
  <si>
    <t>CTCP Đầu tư và Xây lắp Dầu khí Kinh Bắc</t>
  </si>
  <si>
    <t>PXL</t>
  </si>
  <si>
    <t>CTCP Đầu tư Khu Công nghiệp Dầu khí Long Sơn</t>
  </si>
  <si>
    <t>PXM</t>
  </si>
  <si>
    <t>CTCP Xây lắp Dầu khí Miền Trung</t>
  </si>
  <si>
    <t>PXS</t>
  </si>
  <si>
    <t>CTCP Kết cấu Kim loại và Lắp máy Dầu khí</t>
  </si>
  <si>
    <t>PXT</t>
  </si>
  <si>
    <t>CTCP Xây lắp Đường ống Bể chứa Dầu khí</t>
  </si>
  <si>
    <t>PYU</t>
  </si>
  <si>
    <t>CTCP Môi trường và Công trình Đô thị Phúc Yên</t>
  </si>
  <si>
    <t>QBR</t>
  </si>
  <si>
    <t>CTCP Đường sắt Quảng Bình</t>
  </si>
  <si>
    <t>QBS</t>
  </si>
  <si>
    <t>CTCP Xuất nhập khẩu Quảng Bình</t>
  </si>
  <si>
    <t>QCC</t>
  </si>
  <si>
    <t>CTCP Đầu tư Xây dựng và Phát triển Hạ tầng Viễn thông</t>
  </si>
  <si>
    <t>QCG</t>
  </si>
  <si>
    <t>CTCP Quốc Cường Gia Lai</t>
  </si>
  <si>
    <t>QHD</t>
  </si>
  <si>
    <t>CTCP Que hàn điện Việt Đức</t>
  </si>
  <si>
    <t>QHW</t>
  </si>
  <si>
    <t>CTCP Nước khoáng Quảng Ninh</t>
  </si>
  <si>
    <t>QLD</t>
  </si>
  <si>
    <t>CTCP Quản lý và Xây dựng Giao thông Lạng Sơn</t>
  </si>
  <si>
    <t>QLT</t>
  </si>
  <si>
    <t>CTCP Quản lý Bảo trì Đường thủy Nội địa Số 10</t>
  </si>
  <si>
    <t>QNC</t>
  </si>
  <si>
    <t>CTCP Xi măng và Xây dựng Quảng Ninh</t>
  </si>
  <si>
    <t>QNP</t>
  </si>
  <si>
    <t>CTCP Cảng Quy Nhơn</t>
  </si>
  <si>
    <t>QNS</t>
  </si>
  <si>
    <t>CTCP Đường Quảng Ngãi</t>
  </si>
  <si>
    <t>QNSC</t>
  </si>
  <si>
    <t>CTCP Cung ứng Tàu biển Quảng Ninh</t>
  </si>
  <si>
    <t>QNT</t>
  </si>
  <si>
    <t>CTCP Tư vấn Phát triển Quảng Nam</t>
  </si>
  <si>
    <t>QNU</t>
  </si>
  <si>
    <t>CTCP Môi trường Đô thị Quảng Nam</t>
  </si>
  <si>
    <t>QNW</t>
  </si>
  <si>
    <t>CTCP Cấp thoát nước và Xây dựng Quảng Ngãi</t>
  </si>
  <si>
    <t>QPH</t>
  </si>
  <si>
    <t>CTCP Thủy điện Quế Phong</t>
  </si>
  <si>
    <t>QSP</t>
  </si>
  <si>
    <t>CTCP Tân Cảng Quy Nhơn</t>
  </si>
  <si>
    <t>QST</t>
  </si>
  <si>
    <t>CTCP Sách và Thiết bị Trường học Quảng Ninh</t>
  </si>
  <si>
    <t>QTC</t>
  </si>
  <si>
    <t>CTCP Công trình Giao thông Vận tải Quảng Nam</t>
  </si>
  <si>
    <t>QTP</t>
  </si>
  <si>
    <t>CTCP Nhiệt điện Quảng Ninh</t>
  </si>
  <si>
    <t>QuangtruongQT</t>
  </si>
  <si>
    <t>CTCP Thương mại Dịch vụ Quảng trường Quốc tế</t>
  </si>
  <si>
    <t>QuyVCBF</t>
  </si>
  <si>
    <t>Quỹ đầu tư Cân bằng Chiến lược VCBF</t>
  </si>
  <si>
    <t>QuyVietCat</t>
  </si>
  <si>
    <t>CTCP Quản lý Quỹ Việt Cát</t>
  </si>
  <si>
    <t>RAL</t>
  </si>
  <si>
    <t>CTCP Bóng đèn Phích nước Rạng Đông</t>
  </si>
  <si>
    <t>RAT</t>
  </si>
  <si>
    <t>CTCP Vận tải và Thương mại Đường sắt</t>
  </si>
  <si>
    <t>RauQua1</t>
  </si>
  <si>
    <t>CTCP Xuất nhập khẩu Rau Quả I</t>
  </si>
  <si>
    <t>RBC</t>
  </si>
  <si>
    <t>CTCP Công nghiệp và Xuất nhập khẩu Cao su</t>
  </si>
  <si>
    <t>RCC</t>
  </si>
  <si>
    <t>CTCP Tổng Công ty Công trình Đường sắt Việt Nam</t>
  </si>
  <si>
    <t>RCD</t>
  </si>
  <si>
    <t>CTCP  Xây dựng - Địa ốc Cao su</t>
  </si>
  <si>
    <t>RCL</t>
  </si>
  <si>
    <t>CTCP Địa ốc Chợ Lớn</t>
  </si>
  <si>
    <t>RDP</t>
  </si>
  <si>
    <t>CTCP Rạng Đông Holding</t>
  </si>
  <si>
    <t>RECO</t>
  </si>
  <si>
    <t>CTCP Cơ khí Cao su</t>
  </si>
  <si>
    <t>REE</t>
  </si>
  <si>
    <t>CTCP Cơ Điện Lạnh</t>
  </si>
  <si>
    <t>REM</t>
  </si>
  <si>
    <t>CTCP Tu bổ Di tích Trung ương - Vinaremon</t>
  </si>
  <si>
    <t>REN</t>
  </si>
  <si>
    <t>CTCP Xây dựng và Đầu tư KDL Sinh Thái</t>
  </si>
  <si>
    <t>RES10</t>
  </si>
  <si>
    <t>CTCP Địa ốc 10</t>
  </si>
  <si>
    <t>RESCO8</t>
  </si>
  <si>
    <t>CTCP Địa  ốc 8</t>
  </si>
  <si>
    <t>RGC</t>
  </si>
  <si>
    <t>CTCP Đầu tư PV - Inconess</t>
  </si>
  <si>
    <t>RGG</t>
  </si>
  <si>
    <t>CTCP Regal Group</t>
  </si>
  <si>
    <t>RHN</t>
  </si>
  <si>
    <t>CTCP Đường sắt Hà Ninh</t>
  </si>
  <si>
    <t>RIC</t>
  </si>
  <si>
    <t>CTCP Quốc tế Hoàng Gia</t>
  </si>
  <si>
    <t>Ricons</t>
  </si>
  <si>
    <t>CTCP Đầu tư Xây dựng Ricons</t>
  </si>
  <si>
    <t>RLC</t>
  </si>
  <si>
    <t>CTCP Đường bộ Lào Cai</t>
  </si>
  <si>
    <t>ROS</t>
  </si>
  <si>
    <t>CTCP Xây dựng FLC Faros</t>
  </si>
  <si>
    <t>RTB</t>
  </si>
  <si>
    <t>CTCP Cao su Tân Biên</t>
  </si>
  <si>
    <t>RTH</t>
  </si>
  <si>
    <t>CTCP Đường sắt Thanh Hóa</t>
  </si>
  <si>
    <t>RTS</t>
  </si>
  <si>
    <t>CTCP Thông tin Tín hiệu Đường sắt Đà Nẵng</t>
  </si>
  <si>
    <t>RUID</t>
  </si>
  <si>
    <t>CTCP Đầu tư Phát triển Hạ tầng và Đô thị Đường sắt</t>
  </si>
  <si>
    <t>RUSCO</t>
  </si>
  <si>
    <t>CTCP Kho vận và Dịch vụ Hàng hóa Cao su</t>
  </si>
  <si>
    <t>RVPIF</t>
  </si>
  <si>
    <t>Quỹ Đầu Tư Thịnh Vượng Rồng Việt</t>
  </si>
  <si>
    <t>RYG</t>
  </si>
  <si>
    <t>CTCP Sản xuất và Đầu tư Hoàng Gia</t>
  </si>
  <si>
    <t>S12</t>
  </si>
  <si>
    <t>CTCP Sông Đà 12</t>
  </si>
  <si>
    <t>S27</t>
  </si>
  <si>
    <t>CTCP Sông Đà 27</t>
  </si>
  <si>
    <t>S33</t>
  </si>
  <si>
    <t>CTCP Mía đường 333</t>
  </si>
  <si>
    <t>S4A</t>
  </si>
  <si>
    <t>CTCP Thủy điện Sê San 4A</t>
  </si>
  <si>
    <t>S55</t>
  </si>
  <si>
    <t>CTCP Sông Đà 505</t>
  </si>
  <si>
    <t>S72</t>
  </si>
  <si>
    <t>CTCP Sông Đà 7.02</t>
  </si>
  <si>
    <t>S74</t>
  </si>
  <si>
    <t>CTCP Sông Đà 7.04</t>
  </si>
  <si>
    <t>S96</t>
  </si>
  <si>
    <t>CTCP Sông Đà 9.06</t>
  </si>
  <si>
    <t>S99</t>
  </si>
  <si>
    <t>CTCP SCI</t>
  </si>
  <si>
    <t>SAB</t>
  </si>
  <si>
    <t>Tổng Công ty cổ phần Bia - Rượu - Nước giải khát Sài Gòn</t>
  </si>
  <si>
    <t>SabecoMienDong</t>
  </si>
  <si>
    <t>CTCP Thương mại Sabeco Miền Đông</t>
  </si>
  <si>
    <t>SabecoNTB</t>
  </si>
  <si>
    <t>CTCP Thương mại Bia Sài Gòn Nam Trung Bộ</t>
  </si>
  <si>
    <t>SabecoSongHau</t>
  </si>
  <si>
    <t>CTCP Thương mại Sabeco Sông Hậu</t>
  </si>
  <si>
    <t>SabecoTayNguyen</t>
  </si>
  <si>
    <t>CTCP Thương mại Bia Sài Gòn Tây Nguyên</t>
  </si>
  <si>
    <t>SAC</t>
  </si>
  <si>
    <t>CTCP Xếp dỡ và Dịch vụ Cảng Sài Gòn</t>
  </si>
  <si>
    <t>SachBinhDuong</t>
  </si>
  <si>
    <t>CTCP Sách - Thiết bị Giáo dục Bình Dương</t>
  </si>
  <si>
    <t>SachHoaBinh</t>
  </si>
  <si>
    <t>CTCP Sách và Thiết bị Trường học Hòa Bình</t>
  </si>
  <si>
    <t>SachThanhHoa</t>
  </si>
  <si>
    <t>CTCP Sách và Thiết bị Trường học Thanh Hóa</t>
  </si>
  <si>
    <t>Sadaco</t>
  </si>
  <si>
    <t>CTCP Phát triển Sản xuất Thương mại Sài Gòn</t>
  </si>
  <si>
    <t>SAF</t>
  </si>
  <si>
    <t>CTCP Lương thực Thực phẩm Safoco</t>
  </si>
  <si>
    <t>SAGEL</t>
  </si>
  <si>
    <t>CTCP Điện tử và Dịch vụ Công nghiệp Sài Gòn</t>
  </si>
  <si>
    <t>Saicom</t>
  </si>
  <si>
    <t>CTCP Đầu Tư và Xây dựng Bưu Chính Viễn Thông</t>
  </si>
  <si>
    <t>SAIGON5</t>
  </si>
  <si>
    <t>CTCP Phát triển địa ốc Sài Gòn 5</t>
  </si>
  <si>
    <t>SaiGonAir</t>
  </si>
  <si>
    <t>CTCP Sài Gòn Sân Bay</t>
  </si>
  <si>
    <t>SaiGonART</t>
  </si>
  <si>
    <t>CTCP Mỹ thuật Sài Gòn</t>
  </si>
  <si>
    <t>SaiGonCapital</t>
  </si>
  <si>
    <t>CTCP Quản lý Quỹ Sài Gòn</t>
  </si>
  <si>
    <t>SaiGonNinhChu</t>
  </si>
  <si>
    <t>CTCP Du lịch Sài Gòn Ninh Chữ</t>
  </si>
  <si>
    <t>SaigonRatings</t>
  </si>
  <si>
    <t>CTCP Sài Gòn Phát Thịnh Ratings</t>
  </si>
  <si>
    <t>Saigontourist</t>
  </si>
  <si>
    <t>Tổng Công ty Du lịch Sài Gòn - Công ty TNHH MTV</t>
  </si>
  <si>
    <t>SaiGonXanh</t>
  </si>
  <si>
    <t>CTCP Đầu tư Phát triển Địa Ốc Sài Gòn Xanh</t>
  </si>
  <si>
    <t>SAL</t>
  </si>
  <si>
    <t>CTCP Trục vớt Cứu hộ Việt Nam</t>
  </si>
  <si>
    <t>SAM</t>
  </si>
  <si>
    <t>CTCP SAM Holdings</t>
  </si>
  <si>
    <t>SamSet</t>
  </si>
  <si>
    <t>CTCP Vận tải và Dịch vụ Hàng Hải Cảng Sài Gòn</t>
  </si>
  <si>
    <t>SAP</t>
  </si>
  <si>
    <t>CTCP In Sách giáo khoa Thành phố Hồ Chí Minh</t>
  </si>
  <si>
    <t>Sapasco</t>
  </si>
  <si>
    <t>CTCP Bao bì và Dịch vụ Sam Thịnh</t>
  </si>
  <si>
    <t>SAS</t>
  </si>
  <si>
    <t>CTCP Dịch vụ Hàng không Sân bay Tân Sơn Nhất</t>
  </si>
  <si>
    <t>SAV</t>
  </si>
  <si>
    <t>CTCP Hợp tác Kinh tế và Xuất nhập khẩu Savimex</t>
  </si>
  <si>
    <t>SAWACO</t>
  </si>
  <si>
    <t>Tổng Công ty Cấp nước Sài Gòn - TNHH MTV</t>
  </si>
  <si>
    <t>SB1</t>
  </si>
  <si>
    <t>CTCP Bia Sài Gòn - Nghệ Tĩnh</t>
  </si>
  <si>
    <t>SBA</t>
  </si>
  <si>
    <t>CTCP Sông Ba</t>
  </si>
  <si>
    <t>SBB</t>
  </si>
  <si>
    <t>CTCP Tập đoàn Bia Sài Gòn - Bình Tây</t>
  </si>
  <si>
    <t>SBBS</t>
  </si>
  <si>
    <t>CTCP Chứng khoán SBB</t>
  </si>
  <si>
    <t>SBC</t>
  </si>
  <si>
    <t>CTCP Vận tải và Giao nhận Bia Sài Gòn</t>
  </si>
  <si>
    <t>SBD</t>
  </si>
  <si>
    <t>CTCP Công nghệ Sao Bắc Đẩu</t>
  </si>
  <si>
    <t>SBG</t>
  </si>
  <si>
    <t>CTCP Tập đoàn Cơ khí Công nghệ cao Siba</t>
  </si>
  <si>
    <t>SBH</t>
  </si>
  <si>
    <t>CTCP Thủy điện Sông Ba Hạ</t>
  </si>
  <si>
    <t>SBIC</t>
  </si>
  <si>
    <t>Tổng công ty Công nghiệp tàu thủy</t>
  </si>
  <si>
    <t>SBL</t>
  </si>
  <si>
    <t>CTCP Bia Sài Gòn - Bạc Liêu</t>
  </si>
  <si>
    <t>SBM</t>
  </si>
  <si>
    <t>CTCP Đầu tư Phát triển Bắc Minh</t>
  </si>
  <si>
    <t>SBR</t>
  </si>
  <si>
    <t>CTCP Cao su Sông Bé</t>
  </si>
  <si>
    <t>SBS</t>
  </si>
  <si>
    <t>CTCP Chứng khoán SBS</t>
  </si>
  <si>
    <t>SBT</t>
  </si>
  <si>
    <t>CTCP Thành Thành Công - Biên Hòa</t>
  </si>
  <si>
    <t>SBV</t>
  </si>
  <si>
    <t>CTCP Siam Brothers Việt Nam</t>
  </si>
  <si>
    <t>SC5</t>
  </si>
  <si>
    <t>CTCP Xây dựng Số 5</t>
  </si>
  <si>
    <t>SCA</t>
  </si>
  <si>
    <t>CTCP Nông nghiệp Sông Con</t>
  </si>
  <si>
    <t>SCB</t>
  </si>
  <si>
    <t>Ngân hàng TMCP Sài Gòn</t>
  </si>
  <si>
    <t>SCC</t>
  </si>
  <si>
    <t>CTCP Thương mại Đầu tư SHB</t>
  </si>
  <si>
    <t>SCCV</t>
  </si>
  <si>
    <t>CTCP Than Miền Nam - Vinacomin</t>
  </si>
  <si>
    <t>SCD</t>
  </si>
  <si>
    <t>CTCP Nước giải khát Chương Dương</t>
  </si>
  <si>
    <t>SCFC</t>
  </si>
  <si>
    <t>CTCP Lương thực Nam Trung Bộ</t>
  </si>
  <si>
    <t>SCG</t>
  </si>
  <si>
    <t>CTCP Tập đoàn Xây dựng SCG</t>
  </si>
  <si>
    <t>SCH</t>
  </si>
  <si>
    <t>CTCP Thủy điện Sông Chảy 5</t>
  </si>
  <si>
    <t>SCI</t>
  </si>
  <si>
    <t>CTCP SCI E&amp;C</t>
  </si>
  <si>
    <t>SCJ</t>
  </si>
  <si>
    <t>CTCP Xi măng Sài Sơn</t>
  </si>
  <si>
    <t>SCJSC</t>
  </si>
  <si>
    <t>CTCP Sài Gòn - Cam Ranh</t>
  </si>
  <si>
    <t>SCL</t>
  </si>
  <si>
    <t>CTCP Sông Đà Cao Cường</t>
  </si>
  <si>
    <t>SCO</t>
  </si>
  <si>
    <t>CTCP Công nghiệp Thủy sản</t>
  </si>
  <si>
    <t>SCR</t>
  </si>
  <si>
    <t>CTCP Địa ốc Sài Gòn Thương Tín</t>
  </si>
  <si>
    <t>SCS</t>
  </si>
  <si>
    <t>CTCP Dịch vụ Hàng hóa Sài Gòn</t>
  </si>
  <si>
    <t>SCV</t>
  </si>
  <si>
    <t>CTCP Muối Việt Nam</t>
  </si>
  <si>
    <t>SCY</t>
  </si>
  <si>
    <t>CTCP Đóng tàu Sông Cấm</t>
  </si>
  <si>
    <t>SD1</t>
  </si>
  <si>
    <t>CTCP Sông Đà 1</t>
  </si>
  <si>
    <t>SD2</t>
  </si>
  <si>
    <t>CTCP Sông Đà 2</t>
  </si>
  <si>
    <t>SD3</t>
  </si>
  <si>
    <t>CTCP Sông Đà 3</t>
  </si>
  <si>
    <t>SD4</t>
  </si>
  <si>
    <t>CTCP Sông Đà 4</t>
  </si>
  <si>
    <t>SD5</t>
  </si>
  <si>
    <t>CTCP Sông Đà 5</t>
  </si>
  <si>
    <t>SD6</t>
  </si>
  <si>
    <t>CTCP Sông Đà 6</t>
  </si>
  <si>
    <t>SD7</t>
  </si>
  <si>
    <t>CTCP Sông Đà 7</t>
  </si>
  <si>
    <t>SD8</t>
  </si>
  <si>
    <t>CTCP Sông Đà 8</t>
  </si>
  <si>
    <t>SD9</t>
  </si>
  <si>
    <t>CTCP Sông Đà 9</t>
  </si>
  <si>
    <t>SDA</t>
  </si>
  <si>
    <t>CTCP Simco Sông Đà</t>
  </si>
  <si>
    <t>SDB</t>
  </si>
  <si>
    <t>CTCP Sông Đà 207</t>
  </si>
  <si>
    <t>SDBP</t>
  </si>
  <si>
    <t>CTCP Sông Đà Bình Phước</t>
  </si>
  <si>
    <t>SDC</t>
  </si>
  <si>
    <t>CTCP Tư vấn Sông Đà</t>
  </si>
  <si>
    <t>SDD</t>
  </si>
  <si>
    <t>CTCP Đầu tư và Xây lắp Sông Đà</t>
  </si>
  <si>
    <t>SDE</t>
  </si>
  <si>
    <t>CTCP Kỹ thuật Điện Sông Đà</t>
  </si>
  <si>
    <t>SDG</t>
  </si>
  <si>
    <t>CTCP Sadico Cần Thơ</t>
  </si>
  <si>
    <t>SDH</t>
  </si>
  <si>
    <t>CTCP Xây dựng Hạ tầng Sông Đà</t>
  </si>
  <si>
    <t>SDJ</t>
  </si>
  <si>
    <t>CTCP Sông Đà 25</t>
  </si>
  <si>
    <t>SDK</t>
  </si>
  <si>
    <t>CTCP Cơ khí Luyện kim</t>
  </si>
  <si>
    <t>SDL</t>
  </si>
  <si>
    <t>CTCP Sông Đà - Hoàng Long</t>
  </si>
  <si>
    <t>SDN</t>
  </si>
  <si>
    <t>CTCP Sơn Đồng Nai</t>
  </si>
  <si>
    <t>SDNT</t>
  </si>
  <si>
    <t>CTCP Sông Đà - Nha Trang</t>
  </si>
  <si>
    <t>SDP</t>
  </si>
  <si>
    <t>CTCP SDP</t>
  </si>
  <si>
    <t>SDS</t>
  </si>
  <si>
    <t>CTCP Xây lắp và Đầu tư Sông Đà</t>
  </si>
  <si>
    <t>SDT</t>
  </si>
  <si>
    <t>CTCP Sông Đà 10</t>
  </si>
  <si>
    <t>SDU</t>
  </si>
  <si>
    <t>CTCP Đầu tư Xây dựng và Phát triển Đô thị Sông Đà</t>
  </si>
  <si>
    <t>SDV</t>
  </si>
  <si>
    <t>CTCP Dịch vụ Sonadezi</t>
  </si>
  <si>
    <t>SDX</t>
  </si>
  <si>
    <t>CTCP Phòng cháy Chữa cháy và Đầu tư Xây dựng Sông Đà</t>
  </si>
  <si>
    <t>SDY</t>
  </si>
  <si>
    <t>CTCP Xi măng Sông Đà Yaly</t>
  </si>
  <si>
    <t>SEA</t>
  </si>
  <si>
    <t>Tổng Công ty Thủy sản Việt Nam - CTCP</t>
  </si>
  <si>
    <t>SeafoodF17</t>
  </si>
  <si>
    <t>CTCP Nha Trang Seafoods - F17</t>
  </si>
  <si>
    <t>SeASecurities</t>
  </si>
  <si>
    <t>CTCP Chứng khoán Asean</t>
  </si>
  <si>
    <t>SEB</t>
  </si>
  <si>
    <t>CTCP Đầu tư và Phát triển Điện Miền Trung</t>
  </si>
  <si>
    <t>SED</t>
  </si>
  <si>
    <t>CTCP Đầu tư và Phát triển Giáo dục Phương Nam</t>
  </si>
  <si>
    <t>SEP</t>
  </si>
  <si>
    <t>CTCP Tổng Công ty Thương mại Quảng Trị</t>
  </si>
  <si>
    <t>Serrano</t>
  </si>
  <si>
    <t>CTCP Serrano Việt Nam</t>
  </si>
  <si>
    <t>SFC</t>
  </si>
  <si>
    <t>CTCP Nhiên liệu Sài Gòn</t>
  </si>
  <si>
    <t>SFG</t>
  </si>
  <si>
    <t>CTCP Phân Bón Miền Nam</t>
  </si>
  <si>
    <t>SFI</t>
  </si>
  <si>
    <t>CTCP Đại lý Vận tải SAFI</t>
  </si>
  <si>
    <t>SFN</t>
  </si>
  <si>
    <t>CTCP Dệt lưới Sài Gòn</t>
  </si>
  <si>
    <t>SFT</t>
  </si>
  <si>
    <t>CTCP Softech</t>
  </si>
  <si>
    <t>SGB</t>
  </si>
  <si>
    <t>Ngân hàng TMCP Sài Gòn Công Thương</t>
  </si>
  <si>
    <t>SGC</t>
  </si>
  <si>
    <t>CTCP Xuất nhập khẩu Sa Giang</t>
  </si>
  <si>
    <t>SGCG</t>
  </si>
  <si>
    <t>SGCLInresco</t>
  </si>
  <si>
    <t>CTCP Đầu tư và Địa ốc Sài Gòn Chợ Lớn</t>
  </si>
  <si>
    <t>SGD</t>
  </si>
  <si>
    <t>CTCP Sách Giáo dục tại Thành phố Hồ Chí Minh</t>
  </si>
  <si>
    <t>SGDiamond</t>
  </si>
  <si>
    <t>CTCP Sài Gòn Kim Cương</t>
  </si>
  <si>
    <t>SGH</t>
  </si>
  <si>
    <t>CTCP Khách sạn Sài Gòn</t>
  </si>
  <si>
    <t>SGI</t>
  </si>
  <si>
    <t>CTCP Đầu tư SGI Holdings</t>
  </si>
  <si>
    <t>SGIC</t>
  </si>
  <si>
    <t>CTCP Quản lý Quỹ đầu tư SGI</t>
  </si>
  <si>
    <t>SGN</t>
  </si>
  <si>
    <t>CTCP Phục vụ Mặt đất Sài Gòn</t>
  </si>
  <si>
    <t>SGO</t>
  </si>
  <si>
    <t>CTCP Dầu thực vật Sài Gòn</t>
  </si>
  <si>
    <t>SGP</t>
  </si>
  <si>
    <t>CTCP Cảng Sài Gòn</t>
  </si>
  <si>
    <t>SGPC</t>
  </si>
  <si>
    <t>CTCP Giấy Sài Gòn</t>
  </si>
  <si>
    <t>SGR</t>
  </si>
  <si>
    <t>CTCP Tổng CTCP Địa ốc Sài Gòn</t>
  </si>
  <si>
    <t>SGS</t>
  </si>
  <si>
    <t>CTCP Vận tải biển Sài Gòn</t>
  </si>
  <si>
    <t>SGT</t>
  </si>
  <si>
    <t>CTCP Công nghệ Viễn Thông Sài Gòn</t>
  </si>
  <si>
    <t>SHA</t>
  </si>
  <si>
    <t>CTCP Sơn Hà Sài Gòn</t>
  </si>
  <si>
    <t>SHB</t>
  </si>
  <si>
    <t>Ngân hàng TMCP Sài Gòn - Hà Nội</t>
  </si>
  <si>
    <t>SHBS</t>
  </si>
  <si>
    <t>CTCP Chứng khoán SHB</t>
  </si>
  <si>
    <t>SHC</t>
  </si>
  <si>
    <t>CTCP Hàng hải Sài Gòn</t>
  </si>
  <si>
    <t>SHE</t>
  </si>
  <si>
    <t>CTCP Phát triển Năng lượng Sơn Hà</t>
  </si>
  <si>
    <t>SHG</t>
  </si>
  <si>
    <t>Tổng Công ty cổ phần Sông Hồng</t>
  </si>
  <si>
    <t>SHI</t>
  </si>
  <si>
    <t>CTCP Quốc tế Sơn Hà</t>
  </si>
  <si>
    <t>SHINEC</t>
  </si>
  <si>
    <t>CTCP Công nghiệp Tàu thủy Shinec</t>
  </si>
  <si>
    <t>SHL</t>
  </si>
  <si>
    <t>CTCP Đầu tư Sông Hồng - Thăng Long</t>
  </si>
  <si>
    <t>SHN</t>
  </si>
  <si>
    <t>CTCP Đầu tư Tổng hợp Hà Nội</t>
  </si>
  <si>
    <t>ShopeePay</t>
  </si>
  <si>
    <t>CTCP Shopeepay</t>
  </si>
  <si>
    <t>SHP</t>
  </si>
  <si>
    <t>CTCP Thủy điện Miền Nam</t>
  </si>
  <si>
    <t>SHS</t>
  </si>
  <si>
    <t>CTCP Chứng khoán Sài Gòn - Hà Nội</t>
  </si>
  <si>
    <t>SHV</t>
  </si>
  <si>
    <t>CTCP Hải Việt</t>
  </si>
  <si>
    <t>SHX</t>
  </si>
  <si>
    <t>CTCP Sài Gòn Hỏa xa</t>
  </si>
  <si>
    <t>SIC</t>
  </si>
  <si>
    <t>CTCP ANI</t>
  </si>
  <si>
    <t>SID</t>
  </si>
  <si>
    <t>CTCP Đầu tư Phát triển Sài Gòn Co.op</t>
  </si>
  <si>
    <t>SIG</t>
  </si>
  <si>
    <t>CTCP Đầu tư và Thương mại Sông Đà</t>
  </si>
  <si>
    <t>SII</t>
  </si>
  <si>
    <t>CTCP Hạ tầng Nước Sài Gòn</t>
  </si>
  <si>
    <t>SIP</t>
  </si>
  <si>
    <t>CTCP Đầu tư Sài Gòn VRG</t>
  </si>
  <si>
    <t>SIRatings</t>
  </si>
  <si>
    <t>CTCP Xếp hạng Tín nhiệm S&amp;I</t>
  </si>
  <si>
    <t>SIV</t>
  </si>
  <si>
    <t>CTCP SIVICO</t>
  </si>
  <si>
    <t>SJ1</t>
  </si>
  <si>
    <t>CTCP Nông nghiệp Hùng Hậu</t>
  </si>
  <si>
    <t>SJC</t>
  </si>
  <si>
    <t>CTCP Sông Đà 1.01</t>
  </si>
  <si>
    <t>SJCG</t>
  </si>
  <si>
    <t>Công ty TNHH MTV Vàng bạc Đá quý Sài Gòn - SJC</t>
  </si>
  <si>
    <t>SJD</t>
  </si>
  <si>
    <t>CTCP Thủy điện Cần Đơn</t>
  </si>
  <si>
    <t>SJE</t>
  </si>
  <si>
    <t>CTCP Sông Đà 11</t>
  </si>
  <si>
    <t>SJF</t>
  </si>
  <si>
    <t>CTCP Đầu tư Sao Thái Dương</t>
  </si>
  <si>
    <t>SJG</t>
  </si>
  <si>
    <t>Tổng Công ty Sông Đà - CTCP</t>
  </si>
  <si>
    <t>SJM</t>
  </si>
  <si>
    <t>CTCP Sunspace Holdings</t>
  </si>
  <si>
    <t>SJS</t>
  </si>
  <si>
    <t>CTCP SJ Group</t>
  </si>
  <si>
    <t>SKG</t>
  </si>
  <si>
    <t>CTCP Tàu cao tốc Superdong - Kiên Giang</t>
  </si>
  <si>
    <t>SKH</t>
  </si>
  <si>
    <t>CTCP Nước giải khát Sanest Khánh Hòa</t>
  </si>
  <si>
    <t>SKN</t>
  </si>
  <si>
    <t>CTCP Nước giải khát Sanna Khánh Hòa</t>
  </si>
  <si>
    <t>SKV</t>
  </si>
  <si>
    <t>CTCP Nước giải khát Yến sào Khánh Hòa</t>
  </si>
  <si>
    <t>SLC</t>
  </si>
  <si>
    <t>CTCP Dịch vụ Xuất khẩu Lao động và Chuyên gia</t>
  </si>
  <si>
    <t>SLD</t>
  </si>
  <si>
    <t>CTCP Địa ốc Sacom</t>
  </si>
  <si>
    <t>SLS</t>
  </si>
  <si>
    <t>CTCP Mía Đường Sơn La</t>
  </si>
  <si>
    <t>SMA</t>
  </si>
  <si>
    <t>CTCP Thiết bị Phụ tùng Sài Gòn</t>
  </si>
  <si>
    <t>Smartlink</t>
  </si>
  <si>
    <t>CTCP Dịch vụ Thẻ Smartlink</t>
  </si>
  <si>
    <t>SMB</t>
  </si>
  <si>
    <t>CTCP Bia Sài Gòn - Miền Trung</t>
  </si>
  <si>
    <t>SMC</t>
  </si>
  <si>
    <t>CTCP Đầu tư Thương mại SMC</t>
  </si>
  <si>
    <t>SMEC</t>
  </si>
  <si>
    <t>CTCP Quản lý Quỹ Amber</t>
  </si>
  <si>
    <t>SMES</t>
  </si>
  <si>
    <t>CTCP Chứng khoán SME</t>
  </si>
  <si>
    <t>SMN</t>
  </si>
  <si>
    <t>CTCP Sách và Thiết bị Giáo dục Miền Nam</t>
  </si>
  <si>
    <t>SMT</t>
  </si>
  <si>
    <t>CTCP Sametel</t>
  </si>
  <si>
    <t>SMVC</t>
  </si>
  <si>
    <t>CTCP Seoul Metal Việt Nam</t>
  </si>
  <si>
    <t>SNC</t>
  </si>
  <si>
    <t>CTCP Xuất nhập khẩu Thủy sản Năm Căn</t>
  </si>
  <si>
    <t>SNPP</t>
  </si>
  <si>
    <t>Tồng công ty Tân Cảng Sài Gòn</t>
  </si>
  <si>
    <t>SNZ</t>
  </si>
  <si>
    <t>Tổng Công ty cổ phần Phát triển Khu Công nghiệp</t>
  </si>
  <si>
    <t>SocTrang</t>
  </si>
  <si>
    <t>CTCP Thủy sản Sóc Trăng</t>
  </si>
  <si>
    <t>SoiTraLy</t>
  </si>
  <si>
    <t>CTCP Sợi Trà Lý</t>
  </si>
  <si>
    <t>SON</t>
  </si>
  <si>
    <t>CTCP Cung ứng Nhân lực Quốc tế và Thương mại</t>
  </si>
  <si>
    <t>Sonacon</t>
  </si>
  <si>
    <t>CTCP Xây lắp Sonacons</t>
  </si>
  <si>
    <t>SonBachTuyet</t>
  </si>
  <si>
    <t>CTCP Sơn Bạch Tuyết</t>
  </si>
  <si>
    <t>SonChatDeo</t>
  </si>
  <si>
    <t>CTCP Sơn - Chất Dẻo</t>
  </si>
  <si>
    <t>SongDa</t>
  </si>
  <si>
    <t>CTCP Vật liệu Xây dựng Sông Đà</t>
  </si>
  <si>
    <t>SongDa109</t>
  </si>
  <si>
    <t>CTCP Sông Đà 10.9</t>
  </si>
  <si>
    <t>SongDa17</t>
  </si>
  <si>
    <t>CTCP Sông Đà 17</t>
  </si>
  <si>
    <t>SongDaHoangLien</t>
  </si>
  <si>
    <t>CTCP Thủy điện Sông Đà - Hoàng Liên</t>
  </si>
  <si>
    <t>SongHau</t>
  </si>
  <si>
    <t>CTCP Chế biến Thực phẩm Sông Hậu</t>
  </si>
  <si>
    <t>SongHong</t>
  </si>
  <si>
    <t>CTCP Năng lượng Sông Hồng</t>
  </si>
  <si>
    <t>SonTra</t>
  </si>
  <si>
    <t>CTCP Đầu tư Phong Phú Sơn Trà</t>
  </si>
  <si>
    <t>SOSAL</t>
  </si>
  <si>
    <t>CTCP Tập đoàn Muối Miền Nam</t>
  </si>
  <si>
    <t>SOV</t>
  </si>
  <si>
    <t>CTCP Mắt kính Sài Gòn</t>
  </si>
  <si>
    <t>Sovico</t>
  </si>
  <si>
    <t>CTCP Tập đoàn Sovico</t>
  </si>
  <si>
    <t>SovicoC</t>
  </si>
  <si>
    <t>CTCP Sovico</t>
  </si>
  <si>
    <t>SP2</t>
  </si>
  <si>
    <t>CTCP Thủy điện Sử Pán 2</t>
  </si>
  <si>
    <t>SPA</t>
  </si>
  <si>
    <t>CTCP Bao bì Sài Gòn</t>
  </si>
  <si>
    <t>SPB</t>
  </si>
  <si>
    <t>CTCP Sợi Phú Bài</t>
  </si>
  <si>
    <t>SPC</t>
  </si>
  <si>
    <t>CTCP Bảo vệ Thực vật Sài Gòn</t>
  </si>
  <si>
    <t>SPD</t>
  </si>
  <si>
    <t>CTCP Xuất nhập khẩu Thủy sản Miền Trung</t>
  </si>
  <si>
    <t>SPH</t>
  </si>
  <si>
    <t>CTCP Xuất nhập khẩu Thủy sản Hà Nội</t>
  </si>
  <si>
    <t>SPI</t>
  </si>
  <si>
    <t>CTCP Spiral Galaxy</t>
  </si>
  <si>
    <t>SPM</t>
  </si>
  <si>
    <t>CTCP SPM</t>
  </si>
  <si>
    <t>SPP</t>
  </si>
  <si>
    <t>CTCP Bao bì Nhựa Sài Gòn</t>
  </si>
  <si>
    <t>SPS</t>
  </si>
  <si>
    <t>CTCP Dịch vụ Dầu khí Sài Gòn</t>
  </si>
  <si>
    <t>SPT</t>
  </si>
  <si>
    <t>CTCP Dịch vụ Bưu chính Viễn thông Sài Gòn</t>
  </si>
  <si>
    <t>SPV</t>
  </si>
  <si>
    <t>CTCP Thủy Đặc sản</t>
  </si>
  <si>
    <t>SQC</t>
  </si>
  <si>
    <t>CTCP Khoáng sản Sài Gòn - Quy Nhơn</t>
  </si>
  <si>
    <t>SRA</t>
  </si>
  <si>
    <t>CTCP Sara Việt Nam</t>
  </si>
  <si>
    <t>SRB</t>
  </si>
  <si>
    <t>CTCP Tập đoàn Sara</t>
  </si>
  <si>
    <t>SRC</t>
  </si>
  <si>
    <t>CTCP Cao su Sao Vàng</t>
  </si>
  <si>
    <t>SRF</t>
  </si>
  <si>
    <t>CTCP SEAREFICO</t>
  </si>
  <si>
    <t>SSB</t>
  </si>
  <si>
    <t>Ngân hàng TMCP Đông Nam Á</t>
  </si>
  <si>
    <t>SSC</t>
  </si>
  <si>
    <t>CTCP Giống cây trồng Miền Nam</t>
  </si>
  <si>
    <t>SSF</t>
  </si>
  <si>
    <t>CTCP Giáo dục G Sài Gòn</t>
  </si>
  <si>
    <t>SSG</t>
  </si>
  <si>
    <t>CTCP Vận tải biển Hải Âu</t>
  </si>
  <si>
    <t>SSGGroup</t>
  </si>
  <si>
    <t>CTCP Tập đoàn S.S.G</t>
  </si>
  <si>
    <t>SSH</t>
  </si>
  <si>
    <t>CTCP Phát triển Sunshine Homes</t>
  </si>
  <si>
    <t>SSI</t>
  </si>
  <si>
    <t>CTCP Chứng khoán SSI</t>
  </si>
  <si>
    <t>SSIEF</t>
  </si>
  <si>
    <t>Quỹ Đầu tư Kiến tạo Tương lai SSI</t>
  </si>
  <si>
    <t>SSISCA</t>
  </si>
  <si>
    <t>Quỹ đầu tư Lợi thế Cạnh tranh Bền vững SSI</t>
  </si>
  <si>
    <t>SSM</t>
  </si>
  <si>
    <t>CTCP Chế tạo kết cấu Thép Vneco.SSM</t>
  </si>
  <si>
    <t>SSN</t>
  </si>
  <si>
    <t>CTCP Xuất nhập khẩu Thủy sản Sài Gòn</t>
  </si>
  <si>
    <t>SST</t>
  </si>
  <si>
    <t>CTCP Thương mại Bia Sài Gòn Sông Tiền</t>
  </si>
  <si>
    <t>SSU</t>
  </si>
  <si>
    <t>CTCP Môi trường Đô thị Sóc Sơn</t>
  </si>
  <si>
    <t>ST8</t>
  </si>
  <si>
    <t>CTCP Tập đoàn ST8</t>
  </si>
  <si>
    <t>STB</t>
  </si>
  <si>
    <t>Ngân hàng TMCP Sài Gòn Thương Tín</t>
  </si>
  <si>
    <t>STC</t>
  </si>
  <si>
    <t>CTCP Sách và Thiết bị Trường học Thành phố Hồ Chí Minh</t>
  </si>
  <si>
    <t>STD</t>
  </si>
  <si>
    <t>CTCP Bia - Nước giải khát Sài Gòn - Tây Đô</t>
  </si>
  <si>
    <t>STG</t>
  </si>
  <si>
    <t>CTCP Kho vận Miền Nam</t>
  </si>
  <si>
    <t>STH</t>
  </si>
  <si>
    <t>CTCP Phát hành Sách Thái Nguyên</t>
  </si>
  <si>
    <t>STI</t>
  </si>
  <si>
    <t>CTCP Đầu tư Sài Gòn Thương Tín</t>
  </si>
  <si>
    <t>STJ</t>
  </si>
  <si>
    <t>CTCP Vận tải Sonadezi</t>
  </si>
  <si>
    <t>STK</t>
  </si>
  <si>
    <t>CTCP Sợi Thế Kỷ</t>
  </si>
  <si>
    <t>STL</t>
  </si>
  <si>
    <t>CTCP Sông Đà Thăng Long</t>
  </si>
  <si>
    <t>STP</t>
  </si>
  <si>
    <t>CTCP Công nghiệp Thương mại Sông Đà</t>
  </si>
  <si>
    <t>STS</t>
  </si>
  <si>
    <t>CTCP Dịch vụ Vận tải Sài Gòn</t>
  </si>
  <si>
    <t>STSC</t>
  </si>
  <si>
    <t>CTCP Chứng khoán STSC</t>
  </si>
  <si>
    <t>CTCP Vận chuyển Sài Gòn Tourist</t>
  </si>
  <si>
    <t>STU</t>
  </si>
  <si>
    <t>CTCP Môi Trường và Công trình Đô Thị Sơn Tây</t>
  </si>
  <si>
    <t>STV</t>
  </si>
  <si>
    <t>CTCP Chế tác Đá Việt Nam</t>
  </si>
  <si>
    <t>STW</t>
  </si>
  <si>
    <t>CTCP Cấp nước Sóc Trăng</t>
  </si>
  <si>
    <t>SUM</t>
  </si>
  <si>
    <t>CTCP Đo đạc và Khoáng sản</t>
  </si>
  <si>
    <t>SunCapital</t>
  </si>
  <si>
    <t>CTCP Quản lý Quỹ đầu tư Chứng khoán Thái Dương</t>
  </si>
  <si>
    <t>SunCo</t>
  </si>
  <si>
    <t>CTCP Xây dựng Thương mại Thái Dương</t>
  </si>
  <si>
    <t>SunGroup</t>
  </si>
  <si>
    <t>CTCP Tập đoàn Mặt trời - Sun Group</t>
  </si>
  <si>
    <t>SuThanhHa</t>
  </si>
  <si>
    <t>CTCP Gốm sứ Thanh Hà</t>
  </si>
  <si>
    <t>SVC</t>
  </si>
  <si>
    <t>CTCP Dịch vụ Tổng hợp Sài Gòn</t>
  </si>
  <si>
    <t>SVD</t>
  </si>
  <si>
    <t>CTCP Đầu tư &amp; Thương mại Vũ Đăng</t>
  </si>
  <si>
    <t>SVG</t>
  </si>
  <si>
    <t>CTCP Hơi Kỹ nghệ Que hàn</t>
  </si>
  <si>
    <t>SVH</t>
  </si>
  <si>
    <t>CTCP Thủy điện Sông Vàng</t>
  </si>
  <si>
    <t>SVI</t>
  </si>
  <si>
    <t>CTCP Bao bì Biên Hòa</t>
  </si>
  <si>
    <t>SVJ</t>
  </si>
  <si>
    <t>CTCP Santomas Việt Nam</t>
  </si>
  <si>
    <t>SVL</t>
  </si>
  <si>
    <t>CTCP Nhân lực Quốc tế Sovilaco</t>
  </si>
  <si>
    <t>SVN</t>
  </si>
  <si>
    <t>CTCP Tập đoàn Vexilla Việt Nam</t>
  </si>
  <si>
    <t>SVT</t>
  </si>
  <si>
    <t>CTCP Công nghệ Sài Gòn Viễn Đông</t>
  </si>
  <si>
    <t>SWC</t>
  </si>
  <si>
    <t>Tổng Công ty cổ phần Đường sông Miền Nam</t>
  </si>
  <si>
    <t>SZA</t>
  </si>
  <si>
    <t>CTCP Sonadezi An Bình</t>
  </si>
  <si>
    <t>SZB</t>
  </si>
  <si>
    <t>CTCP Sonadezi Long Bình</t>
  </si>
  <si>
    <t>SZC</t>
  </si>
  <si>
    <t>CTCP Sonadezi Châu Đức</t>
  </si>
  <si>
    <t>SZE</t>
  </si>
  <si>
    <t>CTCP Môi trường Sonadezi</t>
  </si>
  <si>
    <t>SZG</t>
  </si>
  <si>
    <t>CTCP Sonadezi Giang Điền</t>
  </si>
  <si>
    <t>SZL</t>
  </si>
  <si>
    <t>CTCP Sonadezi Long Thành</t>
  </si>
  <si>
    <t>T12</t>
  </si>
  <si>
    <t>CTCP Thương mại Dịch vụ Tràng Thi</t>
  </si>
  <si>
    <t>TA3</t>
  </si>
  <si>
    <t>CTCP Đầu tư và Xây lắp Thành An 386</t>
  </si>
  <si>
    <t>TA6</t>
  </si>
  <si>
    <t>CTCP Đầu tư và Xây lắp Thành An 665</t>
  </si>
  <si>
    <t>TA9</t>
  </si>
  <si>
    <t>CTCP Xây lắp Thành An 96</t>
  </si>
  <si>
    <t>TAB</t>
  </si>
  <si>
    <t>CTCP Freco Việt Nam</t>
  </si>
  <si>
    <t>TAC</t>
  </si>
  <si>
    <t>CTCP Dầu thực vật Tường An</t>
  </si>
  <si>
    <t>TAFiCO</t>
  </si>
  <si>
    <t>CTCP Xi măng Fico Tây Ninh</t>
  </si>
  <si>
    <t>TAFM</t>
  </si>
  <si>
    <t>CTCP Quản lý Quỹ Đầu tư Pacific Bridge</t>
  </si>
  <si>
    <t>TAG</t>
  </si>
  <si>
    <t>CTCP Thế Giới Số Trần Anh</t>
  </si>
  <si>
    <t>TAHUE</t>
  </si>
  <si>
    <t>CTCP Thuận An</t>
  </si>
  <si>
    <t>TaiChinhBIDV</t>
  </si>
  <si>
    <t>CTCP Đầu tư Tài chính BIDV</t>
  </si>
  <si>
    <t>TAL</t>
  </si>
  <si>
    <t>CTCP Đầu tư Bất động sản Taseco</t>
  </si>
  <si>
    <t>TAN</t>
  </si>
  <si>
    <t>CTCP Cà phê Thuận An</t>
  </si>
  <si>
    <t>TanHung</t>
  </si>
  <si>
    <t>CTCP Đầu tư Tấn Hưng</t>
  </si>
  <si>
    <t>TANISUGAR</t>
  </si>
  <si>
    <t>CTCP Mía đường Tây Ninh</t>
  </si>
  <si>
    <t>TanLam</t>
  </si>
  <si>
    <t>CTCP Nông sản Tân Lâm</t>
  </si>
  <si>
    <t>TanMai</t>
  </si>
  <si>
    <t>CTCP Tập đoàn Tân Mai</t>
  </si>
  <si>
    <t>TanPhat</t>
  </si>
  <si>
    <t>CTCP Tấn Phát</t>
  </si>
  <si>
    <t>TanTan</t>
  </si>
  <si>
    <t>CTCP Tân Tân</t>
  </si>
  <si>
    <t>TanThanhMy</t>
  </si>
  <si>
    <t>CTCP Tân Thành Mỹ</t>
  </si>
  <si>
    <t>TanTien</t>
  </si>
  <si>
    <t>CTCP Dệt Tân Tiến</t>
  </si>
  <si>
    <t>TAP</t>
  </si>
  <si>
    <t>CTCP Đô thị Tân An</t>
  </si>
  <si>
    <t>TAPIOCA</t>
  </si>
  <si>
    <t>CTCP Khoai Mì Nước Trong</t>
  </si>
  <si>
    <t>TapPham</t>
  </si>
  <si>
    <t>CTCP Xuất nhập khẩu Tạp Phẩm</t>
  </si>
  <si>
    <t>TapPhamSG</t>
  </si>
  <si>
    <t>CTCP Đầu tư và Thương mại Tạp phẩm Sài Gòn</t>
  </si>
  <si>
    <t>TAR</t>
  </si>
  <si>
    <t>CTCP Nông nghiệp Công nghệ cao Trung An</t>
  </si>
  <si>
    <t>TARCO</t>
  </si>
  <si>
    <t>CTCP Đăng kiểm Xe cơ giới Tây Ninh</t>
  </si>
  <si>
    <t>TAS</t>
  </si>
  <si>
    <t>CTCP Chứng khoán Tràng An</t>
  </si>
  <si>
    <t>TauBienHP</t>
  </si>
  <si>
    <t>CTCP Cung ứng Tàu biển Hải Phòng</t>
  </si>
  <si>
    <t>TauCuoc</t>
  </si>
  <si>
    <t>CTCP Tàu Cuốc</t>
  </si>
  <si>
    <t>TAW</t>
  </si>
  <si>
    <t>CTCP Cấp nước Trung An</t>
  </si>
  <si>
    <t>TayHo</t>
  </si>
  <si>
    <t>CTCP Đầu Tư và Xây dựng Tây Hồ</t>
  </si>
  <si>
    <t>TayHoHousing</t>
  </si>
  <si>
    <t>CTCP Đầu tư Phát triển Nhà và Xây dựng Tây Hồ</t>
  </si>
  <si>
    <t>TayHoQP</t>
  </si>
  <si>
    <t>CTCP Đầu Tư và Xây lắp Tây Hồ</t>
  </si>
  <si>
    <t>TayNinh</t>
  </si>
  <si>
    <t>CTCP Đo đạc Địa chính Tây Ninh</t>
  </si>
  <si>
    <t>TB8</t>
  </si>
  <si>
    <t>CTCP Sản xuất và Kinh doanh Vật tư Thiết bị - VVMI</t>
  </si>
  <si>
    <t>TBC</t>
  </si>
  <si>
    <t>CTCP Thủy điện Thác Bà</t>
  </si>
  <si>
    <t>TBD</t>
  </si>
  <si>
    <t>Tổng Công ty Thiết bị Điện Đông Anh - CTCP</t>
  </si>
  <si>
    <t>TBH</t>
  </si>
  <si>
    <t>CTCP Tổng Bách Hóa</t>
  </si>
  <si>
    <t>TBN</t>
  </si>
  <si>
    <t>CTCP Thoát nước và Xử lý Nước thải Bắc Ninh</t>
  </si>
  <si>
    <t>TBR</t>
  </si>
  <si>
    <t>CTCP Địa ốc Tân Bình</t>
  </si>
  <si>
    <t>TBT</t>
  </si>
  <si>
    <t>CTCP Xây dựng Công trình Giao thông Bến Tre</t>
  </si>
  <si>
    <t>TBW</t>
  </si>
  <si>
    <t>CTCP Nước sạch Thái Bình</t>
  </si>
  <si>
    <t>TBX</t>
  </si>
  <si>
    <t>CTCP Xi măng Thái Bình</t>
  </si>
  <si>
    <t>TCAM</t>
  </si>
  <si>
    <t>Công ty TNHH Quản lý Quỹ Thành Công</t>
  </si>
  <si>
    <t>TCB</t>
  </si>
  <si>
    <t>Ngân hàng TMCP Kỹ thương Việt Nam</t>
  </si>
  <si>
    <t>TCD</t>
  </si>
  <si>
    <t>CTCP Tập đoàn Xây dựng TRACODI</t>
  </si>
  <si>
    <t>TCGF</t>
  </si>
  <si>
    <t>Quỹ đầu tư tăng trưởng Thành Công</t>
  </si>
  <si>
    <t>TCH</t>
  </si>
  <si>
    <t>CTCP Đầu tư Dịch vụ Tài chính Hoàng Huy</t>
  </si>
  <si>
    <t>TCI</t>
  </si>
  <si>
    <t>CTCP Chứng khoán Thành Công</t>
  </si>
  <si>
    <t>TCJ</t>
  </si>
  <si>
    <t>CTCP Tô Châu</t>
  </si>
  <si>
    <t>TCK</t>
  </si>
  <si>
    <t>Tổng Công ty Cơ khí Xây dựng - CTCP</t>
  </si>
  <si>
    <t>TCL</t>
  </si>
  <si>
    <t>CTCP Đại lý Giao nhận Vận tải Xếp dỡ Tân Cảng</t>
  </si>
  <si>
    <t>TCM</t>
  </si>
  <si>
    <t>CTCP Dệt may - Đầu tư - Thương mại Thành Công</t>
  </si>
  <si>
    <t>TCO</t>
  </si>
  <si>
    <t>CTCP TCO Holdings</t>
  </si>
  <si>
    <t>TCR</t>
  </si>
  <si>
    <t>CTCP Công nghiệp Gốm sứ Taicera</t>
  </si>
  <si>
    <t>TCT</t>
  </si>
  <si>
    <t>CTCP Cáp treo Núi Bà Tây Ninh</t>
  </si>
  <si>
    <t>TCW</t>
  </si>
  <si>
    <t>CTCP Kho Vận Tân Cảng</t>
  </si>
  <si>
    <t>TCX</t>
  </si>
  <si>
    <t>CTCP Chứng khoán Kỹ Thương</t>
  </si>
  <si>
    <t>TD6</t>
  </si>
  <si>
    <t>CTCP Than Đèo Nai - Cọc Sáu - TKV</t>
  </si>
  <si>
    <t>TDA</t>
  </si>
  <si>
    <t>CTCP Đầu tư Xây lắp và Vật liệu Xây dựng Đông Anh</t>
  </si>
  <si>
    <t>TDB</t>
  </si>
  <si>
    <t>CTCP Thủy điện Định Bình</t>
  </si>
  <si>
    <t>TDC</t>
  </si>
  <si>
    <t>CTCP Kinh doanh và Phát triển Bình Dương</t>
  </si>
  <si>
    <t>TDCorp</t>
  </si>
  <si>
    <t>CTCP Phát triển Kỹ thuật Xây dựng</t>
  </si>
  <si>
    <t>TDF</t>
  </si>
  <si>
    <t>CTCP Trung Đô</t>
  </si>
  <si>
    <t>TDG</t>
  </si>
  <si>
    <t>CTCP Đầu tư TDG Global</t>
  </si>
  <si>
    <t>TDH</t>
  </si>
  <si>
    <t>CTCP Phát triển Nhà Thủ Đức</t>
  </si>
  <si>
    <t>TDI</t>
  </si>
  <si>
    <t>CTCP Tập đoàn TDI</t>
  </si>
  <si>
    <t>TDLA</t>
  </si>
  <si>
    <t>CTCP Bê tông Ly tâm Thủ Đức - Long An</t>
  </si>
  <si>
    <t>TDM</t>
  </si>
  <si>
    <t>CTCP Nước Thủ Dầu Một</t>
  </si>
  <si>
    <t>TDP</t>
  </si>
  <si>
    <t>CTCP Thuận Đức</t>
  </si>
  <si>
    <t>TDS</t>
  </si>
  <si>
    <t>CTCP Thép Thủ Đức - VNSTEEL</t>
  </si>
  <si>
    <t>TDT</t>
  </si>
  <si>
    <t>CTCP Đầu tư và Phát triển TDT</t>
  </si>
  <si>
    <t>TDW</t>
  </si>
  <si>
    <t>CTCP Cấp nước Thủ Đức</t>
  </si>
  <si>
    <t>TEC</t>
  </si>
  <si>
    <t>CTCP TRAENCO</t>
  </si>
  <si>
    <t>TechGen</t>
  </si>
  <si>
    <t>CTCP Kỹ thuật Công nghệ Sài Gòn</t>
  </si>
  <si>
    <t>Tecserco</t>
  </si>
  <si>
    <t>CTCP Kỹ Thuật Thương mại Dịch vụ Cảng Sài Gòn</t>
  </si>
  <si>
    <t>TED</t>
  </si>
  <si>
    <t>Tổng công ty Tư vấn thiết kế Giao thông vận tải - CТСР</t>
  </si>
  <si>
    <t>TediSouth</t>
  </si>
  <si>
    <t>CTCP Tư vấn Thiết kế Giao thông Vận tải Phía Nam</t>
  </si>
  <si>
    <t>TEG</t>
  </si>
  <si>
    <t>CTCP Trường Thành Energy Group</t>
  </si>
  <si>
    <t>TEKCAST</t>
  </si>
  <si>
    <t>CTCP Công nghệ và Truyền hình</t>
  </si>
  <si>
    <t>TEL</t>
  </si>
  <si>
    <t>CTCP Phát triển Công trình Viễn thông</t>
  </si>
  <si>
    <t>TET</t>
  </si>
  <si>
    <t>CTCP Vải sợi May mặc Miền Bắc</t>
  </si>
  <si>
    <t>TFC</t>
  </si>
  <si>
    <t>CTCP Trang</t>
  </si>
  <si>
    <t>TGG</t>
  </si>
  <si>
    <t>CTCP The Golden Group</t>
  </si>
  <si>
    <t>TGP</t>
  </si>
  <si>
    <t>CTCP Trường Phú</t>
  </si>
  <si>
    <t>TH1</t>
  </si>
  <si>
    <t>CTCP Xuất nhập khẩu Tổng hợp I Việt Nam</t>
  </si>
  <si>
    <t>THA</t>
  </si>
  <si>
    <t>CTCP Tập đoàn Trường Hải</t>
  </si>
  <si>
    <t>ThachBan</t>
  </si>
  <si>
    <t>CTCP Thạch Bàn</t>
  </si>
  <si>
    <t>ThangLong9</t>
  </si>
  <si>
    <t>CTCP Xây dựng Số 9 Thăng Long</t>
  </si>
  <si>
    <t>ThangLongGTC</t>
  </si>
  <si>
    <t>CTCP Thăng Long GTC</t>
  </si>
  <si>
    <t>ThangLongTSC</t>
  </si>
  <si>
    <t>CTCP Cơ giới và Xây dựng Thăng Long</t>
  </si>
  <si>
    <t>ThanhAn</t>
  </si>
  <si>
    <t>Tổng công ty Thành An</t>
  </si>
  <si>
    <t>ThanhBinh</t>
  </si>
  <si>
    <t>CTCP Thanh Bình</t>
  </si>
  <si>
    <t>ThanhCong</t>
  </si>
  <si>
    <t>CTCP Thành Công</t>
  </si>
  <si>
    <t>ThanhHoaPort</t>
  </si>
  <si>
    <t>CTCP Cảng Thanh Hóa</t>
  </si>
  <si>
    <t>ThanhLe</t>
  </si>
  <si>
    <t>CTCP Bao Bì Thanh Lễ</t>
  </si>
  <si>
    <t>ThanhNienMedia</t>
  </si>
  <si>
    <t>CTCP Tập đoàn Truyền thông Thanh niên</t>
  </si>
  <si>
    <t>ThanhThanhCong</t>
  </si>
  <si>
    <t>CTCP Thành Thành Công</t>
  </si>
  <si>
    <t>THB</t>
  </si>
  <si>
    <t>CTCP Bia Hà Nội - Thanh Hóa</t>
  </si>
  <si>
    <t>THD</t>
  </si>
  <si>
    <t>CTCP Thaiholdings</t>
  </si>
  <si>
    <t>ThepDinhVu</t>
  </si>
  <si>
    <t>CTCP Thép Đình Vũ</t>
  </si>
  <si>
    <t>ThepNinhBinh</t>
  </si>
  <si>
    <t>CTCP Bê tông - Thép Ninh Bình</t>
  </si>
  <si>
    <t>ThepSongHong</t>
  </si>
  <si>
    <t>CTCP Thép Sông Hồng</t>
  </si>
  <si>
    <t>ThepTanThuan</t>
  </si>
  <si>
    <t>CTCP Thép Tân Thuận</t>
  </si>
  <si>
    <t>ThepVanLoi</t>
  </si>
  <si>
    <t>CTCP Thép Vạn Lợi</t>
  </si>
  <si>
    <t>ThethaoHanoi</t>
  </si>
  <si>
    <t>Công ty TNHH Nhà nước MTV Đầu tư - Phát triển Thể thao Hà Nội</t>
  </si>
  <si>
    <t>THG</t>
  </si>
  <si>
    <t>CTCP Đầu tư và Xây dựng Tiền Giang</t>
  </si>
  <si>
    <t>THI</t>
  </si>
  <si>
    <t>CTCP Thiết bị Điện</t>
  </si>
  <si>
    <t>ThienHoa</t>
  </si>
  <si>
    <t>CTCP Đầu tư Tài chính Thiên Hóa</t>
  </si>
  <si>
    <t>ThienHuong</t>
  </si>
  <si>
    <t>CTCP Thực phẩm Thiên Hương</t>
  </si>
  <si>
    <t>ThienKim</t>
  </si>
  <si>
    <t>CTCP Thương mại Dịch vụ Du lịch Thiên Kim</t>
  </si>
  <si>
    <t>ThietBiThuyLoi</t>
  </si>
  <si>
    <t>CTCP Thiết bị Thủy Lợi</t>
  </si>
  <si>
    <t>Thikeco</t>
  </si>
  <si>
    <t>CTCP Tư vấn Đầu tư Phát triển và Xây dựng Thikeco</t>
  </si>
  <si>
    <t>ThinhLiet</t>
  </si>
  <si>
    <t>CTCP Đầu tư và Bê tông Thịnh Liệt</t>
  </si>
  <si>
    <t>THM</t>
  </si>
  <si>
    <t>CTCP Tứ Hải Hà Nam</t>
  </si>
  <si>
    <t>THMilk</t>
  </si>
  <si>
    <t>CTCP Chuỗi Thực phẩm TH</t>
  </si>
  <si>
    <t>THN</t>
  </si>
  <si>
    <t>CTCP Cấp nước Thanh Hóa</t>
  </si>
  <si>
    <t>ThongTinEIS</t>
  </si>
  <si>
    <t>CTCP Công nghệ Thông tin EIS</t>
  </si>
  <si>
    <t>THP</t>
  </si>
  <si>
    <t>CTCP Thủy sản và Thương mại Thuận Phước</t>
  </si>
  <si>
    <t>THR</t>
  </si>
  <si>
    <t>CTCP Đường sắt Thuận Hải</t>
  </si>
  <si>
    <t>THS</t>
  </si>
  <si>
    <t>CTCP Thanh Hoa - Sông Đà</t>
  </si>
  <si>
    <t>THT</t>
  </si>
  <si>
    <t>CTCP Than Hà Tu - Vinacomin</t>
  </si>
  <si>
    <t>THU</t>
  </si>
  <si>
    <t>CTCP Môi trường và Công trình Đô thị Thanh Hóa</t>
  </si>
  <si>
    <t>ThuanAn</t>
  </si>
  <si>
    <t>CTCP Thương mại Tổng hợp Thuận An</t>
  </si>
  <si>
    <t>ThuThiemDIC</t>
  </si>
  <si>
    <t>CTCP Đầu tư Phát triển Thủ Thiêm</t>
  </si>
  <si>
    <t>ThuySanKienGiang</t>
  </si>
  <si>
    <t>CTCP Khai thác Thủy sản Kiên Giang</t>
  </si>
  <si>
    <t>THV</t>
  </si>
  <si>
    <t>CTCP Tập đoàn Thái Hòa Việt Nam</t>
  </si>
  <si>
    <t>THW</t>
  </si>
  <si>
    <t>CTCP Cấp nước Tân Hòa</t>
  </si>
  <si>
    <t>Tico</t>
  </si>
  <si>
    <t>CTCP TICO</t>
  </si>
  <si>
    <t>TID</t>
  </si>
  <si>
    <t>CTCP Tổng Công ty Tín Nghĩa</t>
  </si>
  <si>
    <t>TIE</t>
  </si>
  <si>
    <t>CTCP TIE</t>
  </si>
  <si>
    <t>TIG</t>
  </si>
  <si>
    <t>CTCP Tập đoàn Đầu tư Thăng Long</t>
  </si>
  <si>
    <t>TIN</t>
  </si>
  <si>
    <t>Công Ty Tài chính tổng hợp cổ phần Tín Việt</t>
  </si>
  <si>
    <t>TinHieu</t>
  </si>
  <si>
    <t>CTCP Viễn Thông - Tín Hiệu Đường sắt</t>
  </si>
  <si>
    <t>TinHoang</t>
  </si>
  <si>
    <t>CTCP khoáng Sản Tín Hoằng</t>
  </si>
  <si>
    <t>TinNghiaPetro</t>
  </si>
  <si>
    <t>CTCP Xăng dầu Tín Nghĩa</t>
  </si>
  <si>
    <t>TIP</t>
  </si>
  <si>
    <t>CTCP Phát triển Khu Công nghiệp Tín Nghĩa</t>
  </si>
  <si>
    <t>TIS</t>
  </si>
  <si>
    <t>CTCP Gang thép Thái Nguyên</t>
  </si>
  <si>
    <t>Titco</t>
  </si>
  <si>
    <t>CTCP Sản xuất và Thương mại Hàng Xuất khẩu Tân Bình</t>
  </si>
  <si>
    <t>TIX</t>
  </si>
  <si>
    <t>CTCP Sản xuất Kinh doanh Xuất nhập khẩu Dịch vụ và Đầu tư Tân Bình</t>
  </si>
  <si>
    <t>TJC</t>
  </si>
  <si>
    <t>CTCP Dịch vụ Vận tải và Thương mại</t>
  </si>
  <si>
    <t>TKA</t>
  </si>
  <si>
    <t>CTCP Bao bì Tân Khánh An</t>
  </si>
  <si>
    <t>TKC</t>
  </si>
  <si>
    <t>CTCP Xây dựng và Kinh doanh Địa ốc Tân Kỷ</t>
  </si>
  <si>
    <t>TKG</t>
  </si>
  <si>
    <t>CTCP Sản xuất và Thương mại Tùng Khánh</t>
  </si>
  <si>
    <t>TKR</t>
  </si>
  <si>
    <t>CTCP Cao su Tân Biên - Kampongthom</t>
  </si>
  <si>
    <t>TKSC</t>
  </si>
  <si>
    <t>CTCP Chứng khoán Tonkin</t>
  </si>
  <si>
    <t>TKU</t>
  </si>
  <si>
    <t>CTCP Công nghiệp Tung Kuang</t>
  </si>
  <si>
    <t>TL4</t>
  </si>
  <si>
    <t>Tổng Công ty cổ phần Xây dựng Thủy Lợi 4 - CTCP</t>
  </si>
  <si>
    <t>TLC</t>
  </si>
  <si>
    <t>CTCP Viễn thông Thăng Long</t>
  </si>
  <si>
    <t>TLCF</t>
  </si>
  <si>
    <t>CTCP Quản lý Quỹ FIDES (VIỆT NAM)</t>
  </si>
  <si>
    <t>TLD</t>
  </si>
  <si>
    <t>CTCP Đầu tư Xây dựng và Phát triển Đô thị Thăng Long</t>
  </si>
  <si>
    <t>TLG</t>
  </si>
  <si>
    <t>CTCP Tập đoàn Thiên Long</t>
  </si>
  <si>
    <t>TLG6</t>
  </si>
  <si>
    <t>CTCP Xây dựng số 6 Thăng Long</t>
  </si>
  <si>
    <t>TLH</t>
  </si>
  <si>
    <t>CTCP Tập đoàn Thép Tiến Lên</t>
  </si>
  <si>
    <t>TLI</t>
  </si>
  <si>
    <t>CTCP May Quốc tế Thắng Lợi</t>
  </si>
  <si>
    <t>TLMECO</t>
  </si>
  <si>
    <t>CTCP Cơ khí 4 và Xây dựng Thăng Long</t>
  </si>
  <si>
    <t>TLP</t>
  </si>
  <si>
    <t>Tổng Công ty Thương mại Xuất nhập khẩu Thanh Lễ - CTCP</t>
  </si>
  <si>
    <t>TLT</t>
  </si>
  <si>
    <t>CTCP Viglacera Thăng Long</t>
  </si>
  <si>
    <t>TMB</t>
  </si>
  <si>
    <t>CTCP Kinh doanh Than Miền Bắc - Vinacomin</t>
  </si>
  <si>
    <t>TMC</t>
  </si>
  <si>
    <t>CTCP Thương mại Xuất nhập khẩu Thủ Đức</t>
  </si>
  <si>
    <t>TMD</t>
  </si>
  <si>
    <t>CTCP Thương mại và Đại lý Dầu Tỉnh Bà Rịa - Vũng Tàu</t>
  </si>
  <si>
    <t>TMG</t>
  </si>
  <si>
    <t>CTCP Kim loại màu Thái Nguyên - Vimico</t>
  </si>
  <si>
    <t>TMMNThanhHoa</t>
  </si>
  <si>
    <t>CTCP Thương mại Miền Núi Thanh Hóa</t>
  </si>
  <si>
    <t>TMP</t>
  </si>
  <si>
    <t>CTCP Thủy điện Thác Mơ</t>
  </si>
  <si>
    <t>TMPhuongDong</t>
  </si>
  <si>
    <t>CTCP Sản xuất và Thương mại Phương Đông</t>
  </si>
  <si>
    <t>TMQN</t>
  </si>
  <si>
    <t>CTCP Thương mại Quảng Ninh</t>
  </si>
  <si>
    <t>TMRating</t>
  </si>
  <si>
    <t>CTCP Xếp hạng tín nhiệm Thiên Minh</t>
  </si>
  <si>
    <t>TMS</t>
  </si>
  <si>
    <t>CTCP Transimex</t>
  </si>
  <si>
    <t>TMT</t>
  </si>
  <si>
    <t>CTCP Ô tô TMT</t>
  </si>
  <si>
    <t>TMW</t>
  </si>
  <si>
    <t>CTCP Tổng hợp Gỗ Tân Mai</t>
  </si>
  <si>
    <t>TMX</t>
  </si>
  <si>
    <t>CTCP VICEM Thương mại Xi măng</t>
  </si>
  <si>
    <t>TN1</t>
  </si>
  <si>
    <t>CTCP Rox Key Holdings</t>
  </si>
  <si>
    <t>TNA</t>
  </si>
  <si>
    <t>CTCP Thương mại Xuất nhập khẩu Thiên Nam</t>
  </si>
  <si>
    <t>TNB</t>
  </si>
  <si>
    <t>CTCP Thép Nhà Bè - VNSTEEL</t>
  </si>
  <si>
    <t>TNC</t>
  </si>
  <si>
    <t>CTCP Cao su Thống Nhất</t>
  </si>
  <si>
    <t>TNEX</t>
  </si>
  <si>
    <t>Công ty tài chính TNHH MTV TNEX</t>
  </si>
  <si>
    <t>TNG</t>
  </si>
  <si>
    <t>CTCP Đầu tư và Thương mại TNG</t>
  </si>
  <si>
    <t>TNH</t>
  </si>
  <si>
    <t>CTCP Tập đoàn Bệnh viện TNH</t>
  </si>
  <si>
    <t>TNI</t>
  </si>
  <si>
    <t>CTCP Tập đoàn Thành Nam</t>
  </si>
  <si>
    <t>TNM</t>
  </si>
  <si>
    <t>CTCP Xuất nhập khẩu và Xây dựng Công trình</t>
  </si>
  <si>
    <t>TNP</t>
  </si>
  <si>
    <t>CTCP Cảng Thị Nại</t>
  </si>
  <si>
    <t>TNS</t>
  </si>
  <si>
    <t>CTCP Thép tấm lá Thống Nhất</t>
  </si>
  <si>
    <t>TNT</t>
  </si>
  <si>
    <t>CTCP Tập đoàn TNT</t>
  </si>
  <si>
    <t>TNV</t>
  </si>
  <si>
    <t>CTCP Thống Nhất Hà Nội</t>
  </si>
  <si>
    <t>TNW</t>
  </si>
  <si>
    <t>CTCP Nước sạch Thái Nguyên</t>
  </si>
  <si>
    <t>TNY</t>
  </si>
  <si>
    <t>CTCP Đầu tư Xây dựng Thanh Niên</t>
  </si>
  <si>
    <t>ToanCau</t>
  </si>
  <si>
    <t>Tổng Công ty Cổ phần Bảo hiểm Toàn Cầu</t>
  </si>
  <si>
    <t>ToanThinhPhat</t>
  </si>
  <si>
    <t>CTCP Đầu tư - Kiến trúc - Xây dựng Toàn Thịnh Phát</t>
  </si>
  <si>
    <t>Todimax</t>
  </si>
  <si>
    <t>CTCP Điện máy Thành phố Hồ Chí Minh</t>
  </si>
  <si>
    <t>TOP</t>
  </si>
  <si>
    <t>CTCP Phân phối Top One</t>
  </si>
  <si>
    <t>TOS</t>
  </si>
  <si>
    <t>CTCP Dịch vụ biển Tân Cảng</t>
  </si>
  <si>
    <t>TOT</t>
  </si>
  <si>
    <t>CTCP Transimex Logistics</t>
  </si>
  <si>
    <t>TourismHCM</t>
  </si>
  <si>
    <t>CTCP Du lịch Việt Nam Thành phố Hồ Chí Minh</t>
  </si>
  <si>
    <t>TOW</t>
  </si>
  <si>
    <t>CTCP Cấp nước Trà Nóc - Ô Môn</t>
  </si>
  <si>
    <t>ToyotaFS</t>
  </si>
  <si>
    <t>Công ty TNHH MTV Tài chính Toyota Việt Nam</t>
  </si>
  <si>
    <t>TPB</t>
  </si>
  <si>
    <t>Ngân hàng TMCP Tiên Phong</t>
  </si>
  <si>
    <t>TPC</t>
  </si>
  <si>
    <t>CTCP Nhựa Tân Đại Hưng</t>
  </si>
  <si>
    <t>TPF</t>
  </si>
  <si>
    <t>Công Ty TNHH Quản Lý Quỹ Mirae Asset (Việt Nam)</t>
  </si>
  <si>
    <t>TPH</t>
  </si>
  <si>
    <t>CTCP In sách giáo khoa tại Thành phố Hà Nội</t>
  </si>
  <si>
    <t>TPP</t>
  </si>
  <si>
    <t>CTCP Tân Phú Việt Nam</t>
  </si>
  <si>
    <t>TPS</t>
  </si>
  <si>
    <t>CTCP Bến Bãi Vận tải Sài Gòn</t>
  </si>
  <si>
    <t>TQN</t>
  </si>
  <si>
    <t>CTCP Thông Quảng Ninh</t>
  </si>
  <si>
    <t>TQW</t>
  </si>
  <si>
    <t>CTCP Cấp thoát nước Tuyên Quang</t>
  </si>
  <si>
    <t>TR1</t>
  </si>
  <si>
    <t>CTCP Vận Tải 1 Traco</t>
  </si>
  <si>
    <t>TRA</t>
  </si>
  <si>
    <t>CTCP Traphaco</t>
  </si>
  <si>
    <t>TraBac</t>
  </si>
  <si>
    <t>CTCP Trà Bắc</t>
  </si>
  <si>
    <t>TRACIMEXCO</t>
  </si>
  <si>
    <t>CTCP Xuất nhập khẩu và Hợp tác Đầu tư GTVT</t>
  </si>
  <si>
    <t>Tracomeco</t>
  </si>
  <si>
    <t>CTCP Cơ khí - Xây dựng Giao thông</t>
  </si>
  <si>
    <t>TrangAn</t>
  </si>
  <si>
    <t>CTCP Tràng An</t>
  </si>
  <si>
    <t>TranPhu</t>
  </si>
  <si>
    <t>CTCP Cơ điện Trần Phú</t>
  </si>
  <si>
    <t>TRC</t>
  </si>
  <si>
    <t>CTCP Cao su Tây Ninh</t>
  </si>
  <si>
    <t>TRI</t>
  </si>
  <si>
    <t>CTCP Nước giải khát Sài Gòn</t>
  </si>
  <si>
    <t>TRICO</t>
  </si>
  <si>
    <t>CTCP Đầu tư Thương mại và Xây dựng Giao thông I</t>
  </si>
  <si>
    <t>TrieuAn</t>
  </si>
  <si>
    <t>CTCP Bệnh viện Đa khoa tư nhân Triều An</t>
  </si>
  <si>
    <t>TriThucDoanhNghiep</t>
  </si>
  <si>
    <t>CTCP Tri thức Doanh nghiệp Quốc tế</t>
  </si>
  <si>
    <t>TRS</t>
  </si>
  <si>
    <t>CTCP Vận tải và Dịch vụ Hàng hải</t>
  </si>
  <si>
    <t>TRT</t>
  </si>
  <si>
    <t>CTCP RedstarCera</t>
  </si>
  <si>
    <t>TrungNguyenInvest</t>
  </si>
  <si>
    <t>CTCP Đầu tư Trung Nguyên</t>
  </si>
  <si>
    <t>TruongSon</t>
  </si>
  <si>
    <t>CTCP Trường Sơn Hà Nội</t>
  </si>
  <si>
    <t>TruongSonJSC</t>
  </si>
  <si>
    <t>CTCP Trường Sơn</t>
  </si>
  <si>
    <t>TRV</t>
  </si>
  <si>
    <t>CTCP Vận tải Đường sắt</t>
  </si>
  <si>
    <t>TS3</t>
  </si>
  <si>
    <t>CTCP Trường Sơn 532</t>
  </si>
  <si>
    <t>TS4</t>
  </si>
  <si>
    <t>CTCP Thủy sản Số 4</t>
  </si>
  <si>
    <t>TS5</t>
  </si>
  <si>
    <t>CTCP Trường Sơn 145</t>
  </si>
  <si>
    <t>TSA</t>
  </si>
  <si>
    <t>CTCP Đầu tư và Xây lắp Trường Sơn</t>
  </si>
  <si>
    <t>TSB</t>
  </si>
  <si>
    <t>CTCP Ắc quy Tia Sáng</t>
  </si>
  <si>
    <t>TSC</t>
  </si>
  <si>
    <t>CTCP Vật tư Kỹ thuật nông nghiệp Cần Thơ</t>
  </si>
  <si>
    <t>TSD</t>
  </si>
  <si>
    <t>CTCP Du lịch Trường Sơn COECCO</t>
  </si>
  <si>
    <t>TSG</t>
  </si>
  <si>
    <t>CTCP Thông tin Tín hiệu Đường sắt Sài Gòn</t>
  </si>
  <si>
    <t>TSJ</t>
  </si>
  <si>
    <t>CTCP Du lịch Dịch vụ Hà Nội</t>
  </si>
  <si>
    <t>TSM</t>
  </si>
  <si>
    <t>CTCP Xi măng Tiên Sơn Hà Tây</t>
  </si>
  <si>
    <t>TSS</t>
  </si>
  <si>
    <t>CTCP Chứng khoán Trường Sơn</t>
  </si>
  <si>
    <t>TST</t>
  </si>
  <si>
    <t>CTCP Dịch vụ Kỹ Thuật Viễn thông</t>
  </si>
  <si>
    <t>TT6</t>
  </si>
  <si>
    <t>CTCP Tập đoàn Tiến Thịnh</t>
  </si>
  <si>
    <t>TTA</t>
  </si>
  <si>
    <t>CTCP Đầu tư Xây dựng và Phát triển Trường Thành</t>
  </si>
  <si>
    <t>TTB</t>
  </si>
  <si>
    <t>CTCP TTBGroup</t>
  </si>
  <si>
    <t>TTC</t>
  </si>
  <si>
    <t>CTCP Gạch men Thanh Thanh</t>
  </si>
  <si>
    <t>TTCExpress</t>
  </si>
  <si>
    <t>CTCP Chuyển phát nhanh Tín Thành</t>
  </si>
  <si>
    <t>TTD</t>
  </si>
  <si>
    <t>CTCP Bệnh viện tim Tâm Đức</t>
  </si>
  <si>
    <t>TTE</t>
  </si>
  <si>
    <t>CTCP Đầu tư Năng lượng Trường Thịnh</t>
  </si>
  <si>
    <t>TTF</t>
  </si>
  <si>
    <t>CTCP Tập đoàn Kỹ nghệ gỗ Trường Thành</t>
  </si>
  <si>
    <t>TTG</t>
  </si>
  <si>
    <t>CTCP May Thanh Trì</t>
  </si>
  <si>
    <t>TTH</t>
  </si>
  <si>
    <t>CTCP Thương mại và Dịch vụ Tiến Thành</t>
  </si>
  <si>
    <t>TTJ</t>
  </si>
  <si>
    <t>CTCP Thủy Tạ</t>
  </si>
  <si>
    <t>TTL</t>
  </si>
  <si>
    <t>Tổng Công ty Thăng Long - CTCP</t>
  </si>
  <si>
    <t>TTN</t>
  </si>
  <si>
    <t>CTCP Công nghệ và Truyền thông Việt Nam</t>
  </si>
  <si>
    <t>TTP</t>
  </si>
  <si>
    <t>CTCP Bao bì Tân Tiến</t>
  </si>
  <si>
    <t>TTR</t>
  </si>
  <si>
    <t>CTCP Du lịch Thương mại và Đầu Tư</t>
  </si>
  <si>
    <t>TTS</t>
  </si>
  <si>
    <t>CTCP Cán Thép Thái Trung</t>
  </si>
  <si>
    <t>TTT</t>
  </si>
  <si>
    <t>CTCP Du lịch - Thương mại Tây Ninh</t>
  </si>
  <si>
    <t>TTV</t>
  </si>
  <si>
    <t>CTCP Thông tin Tín hiệu Đường sắt Vinh</t>
  </si>
  <si>
    <t>TTZ</t>
  </si>
  <si>
    <t>CTCP Đầu tư Xây dựng và Công nghệ Tiến Trung</t>
  </si>
  <si>
    <t>TUG</t>
  </si>
  <si>
    <t>CTCP Lai Dắt và Vận tải Cảng Hải Phòng</t>
  </si>
  <si>
    <t>TuyPhuoc</t>
  </si>
  <si>
    <t>CTCP Xây lắp Điện Tuy Phước</t>
  </si>
  <si>
    <t>TV1</t>
  </si>
  <si>
    <t>CTCP Tư vấn Xây dựng Điện 1</t>
  </si>
  <si>
    <t>TV2</t>
  </si>
  <si>
    <t>CTCP Tư vấn Xây dựng Điện 2</t>
  </si>
  <si>
    <t>TV3</t>
  </si>
  <si>
    <t>CTCP Tư vấn Xây dựng Điện 3</t>
  </si>
  <si>
    <t>TV4</t>
  </si>
  <si>
    <t>CTCP Tư vấn Xây dựng Điện 4</t>
  </si>
  <si>
    <t>TV6</t>
  </si>
  <si>
    <t>CTCP Tập đoàn EMA Land</t>
  </si>
  <si>
    <t>TVA</t>
  </si>
  <si>
    <t>CTCP Sứ Viglacera Thanh Trì</t>
  </si>
  <si>
    <t>TVAM</t>
  </si>
  <si>
    <t>CTCP Quản lý Quỹ Thiên Việt</t>
  </si>
  <si>
    <t>TVB</t>
  </si>
  <si>
    <t>CTCP Chứng khoán T-Cap</t>
  </si>
  <si>
    <t>TVC</t>
  </si>
  <si>
    <t>CTCP Tập đoàn Quản lý tài sản T-Corp</t>
  </si>
  <si>
    <t>TVD</t>
  </si>
  <si>
    <t>CTCP Than Vàng Danh - Vinacomin</t>
  </si>
  <si>
    <t>TVFC</t>
  </si>
  <si>
    <t>Công ty Tài chính TNHH MTV Cộng Đồng</t>
  </si>
  <si>
    <t>TVG</t>
  </si>
  <si>
    <t>CTCP Tư vấn Đầu tư và Xây dựng Giao thông Vận tải</t>
  </si>
  <si>
    <t>TVH</t>
  </si>
  <si>
    <t>CTCP Tư vấn Xây dựng công trình Hàng hải</t>
  </si>
  <si>
    <t>TVI</t>
  </si>
  <si>
    <t>CTCP Đầu tư Truyền hình</t>
  </si>
  <si>
    <t>TVM</t>
  </si>
  <si>
    <t>CTCP Tư vấn Đầu tư mỏ và Công Nghiệp - Vinacomin</t>
  </si>
  <si>
    <t>TVN</t>
  </si>
  <si>
    <t>Tổng Công ty Thép Việt Nam - CTCP</t>
  </si>
  <si>
    <t>TVP</t>
  </si>
  <si>
    <t>CTCP Dược phẩm TV.Pharm</t>
  </si>
  <si>
    <t>TVS</t>
  </si>
  <si>
    <t>CTCP Chứng khoán Thiên Việt</t>
  </si>
  <si>
    <t>TVSI</t>
  </si>
  <si>
    <t>CTCP Chứng khoán Tân Việt</t>
  </si>
  <si>
    <t>TVT</t>
  </si>
  <si>
    <t>Tổng Công ty Việt Thắng - CTCP</t>
  </si>
  <si>
    <t>TVU</t>
  </si>
  <si>
    <t>CTCP Công trình Đô thị Trà Vinh</t>
  </si>
  <si>
    <t>TVW</t>
  </si>
  <si>
    <t>CTCP Cấp thoát nước Trà Vinh</t>
  </si>
  <si>
    <t>TW3</t>
  </si>
  <si>
    <t>CTCP Dược Trung ương 3</t>
  </si>
  <si>
    <t>TXM</t>
  </si>
  <si>
    <t>CTCP VICEM Thạch cao Xi măng</t>
  </si>
  <si>
    <t>TYA</t>
  </si>
  <si>
    <t>CTCP Dây và Cáp Điện Taya Việt Nam</t>
  </si>
  <si>
    <t>UAMC</t>
  </si>
  <si>
    <t>CTCP Cơ khí Ôtô Uông Bí</t>
  </si>
  <si>
    <t>UCT</t>
  </si>
  <si>
    <t>CTCP Đô thị Cần Thơ</t>
  </si>
  <si>
    <t>UDC</t>
  </si>
  <si>
    <t>CTCP Đầu tư Xây dựng UDCons</t>
  </si>
  <si>
    <t>UDJ</t>
  </si>
  <si>
    <t>CTCP Phát triển Đô thị</t>
  </si>
  <si>
    <t>UDL</t>
  </si>
  <si>
    <t>CTCP Đô thị và Môi trường Đắk Lắk</t>
  </si>
  <si>
    <t>UEM</t>
  </si>
  <si>
    <t>CTCP Cơ điện Uông Bí - Vinacomin</t>
  </si>
  <si>
    <t>UIC</t>
  </si>
  <si>
    <t>CTCP Đầu tư Phát triển Nhà và Đô thị IDICO</t>
  </si>
  <si>
    <t>UMC</t>
  </si>
  <si>
    <t>CTCP Công trình Đô thị Nam Định</t>
  </si>
  <si>
    <t>UNI</t>
  </si>
  <si>
    <t>CTCP Đầu Tư Và Phát Triển Sao Mai Việt</t>
  </si>
  <si>
    <t>UOBAM</t>
  </si>
  <si>
    <t>CTCP Quản lý Quỹ UOB Asset Management (Việt Nam)</t>
  </si>
  <si>
    <t>UPC</t>
  </si>
  <si>
    <t>CTCP Phát triển Công viên Cây xanh và Đô thị Vũng Tàu</t>
  </si>
  <si>
    <t>Upexim</t>
  </si>
  <si>
    <t>CTCP Sản xuất - Xuất nhập khẩu Lâm sản và Hàng tiểu thủ Công nghiệp</t>
  </si>
  <si>
    <t>UPH</t>
  </si>
  <si>
    <t>CTCP Dược phẩm TW 25</t>
  </si>
  <si>
    <t>UPS</t>
  </si>
  <si>
    <t>CTCP Chứng khoán UP</t>
  </si>
  <si>
    <t>USC</t>
  </si>
  <si>
    <t>CTCP Khảo sát và Xây dựng -USCO</t>
  </si>
  <si>
    <t>USD</t>
  </si>
  <si>
    <t>CTCP Công trình Đô thị Sóc Trăng</t>
  </si>
  <si>
    <t>UTT</t>
  </si>
  <si>
    <t>CTCP Môi trường Đô thị Thanh Trì</t>
  </si>
  <si>
    <t>UVDIF</t>
  </si>
  <si>
    <t>Quỹ Đầu Tư United Thu Nhập Năng Động Việt Nam (UVDIF)</t>
  </si>
  <si>
    <t>UXC</t>
  </si>
  <si>
    <t>CTCP Chế biến Thủy sản Út Xi</t>
  </si>
  <si>
    <t>V11</t>
  </si>
  <si>
    <t>CTCP Xây dựng Số 11</t>
  </si>
  <si>
    <t>V12</t>
  </si>
  <si>
    <t>CTCP Xây dựng Số 12</t>
  </si>
  <si>
    <t>V15</t>
  </si>
  <si>
    <t>CTCP Xây dựng Số 15</t>
  </si>
  <si>
    <t>V21</t>
  </si>
  <si>
    <t>CTCP Vinaconex 21</t>
  </si>
  <si>
    <t>V45</t>
  </si>
  <si>
    <t>CTCP Đầu Tư và Xây dựng Số 45</t>
  </si>
  <si>
    <t>VAB</t>
  </si>
  <si>
    <t>Ngân hàng TMCP Việt Á</t>
  </si>
  <si>
    <t>VAF</t>
  </si>
  <si>
    <t>CTCP Phân lân Nung chảy Văn Điển</t>
  </si>
  <si>
    <t>VanDiem</t>
  </si>
  <si>
    <t>CTCP Thực phẩm Vạn Điểm</t>
  </si>
  <si>
    <t>VangAgribank</t>
  </si>
  <si>
    <t>CTCP Vàng bạc đá quý ASEAN</t>
  </si>
  <si>
    <t>VangBacNJC</t>
  </si>
  <si>
    <t>CTCP Thương mại Vàng bạc Đá quý Phương Nam - NJC</t>
  </si>
  <si>
    <t>VanPhucGia</t>
  </si>
  <si>
    <t>CTCP Đầu tư Vạn Phúc Gia</t>
  </si>
  <si>
    <t>VanTaiThuy3</t>
  </si>
  <si>
    <t>CTCP Vận tải Thủy Số 3</t>
  </si>
  <si>
    <t>VASC</t>
  </si>
  <si>
    <t>CTCP Giáo dục Quốc tế Việt Úc</t>
  </si>
  <si>
    <t>VASS</t>
  </si>
  <si>
    <t>CTCP Bảo hiểm Viễn Đông</t>
  </si>
  <si>
    <t>VAT</t>
  </si>
  <si>
    <t>CTCP Viễn thông Vạn Xuân</t>
  </si>
  <si>
    <t>VAV</t>
  </si>
  <si>
    <t>CTCP VIWACO</t>
  </si>
  <si>
    <t>VBB</t>
  </si>
  <si>
    <t>Ngân hàng TMCP Việt Nam Thương Tín</t>
  </si>
  <si>
    <t>VBC</t>
  </si>
  <si>
    <t>CTCP Nhựa - Bao bì Vinh</t>
  </si>
  <si>
    <t>VBG</t>
  </si>
  <si>
    <t>CTCP Địa chất Việt Bắc - TKV</t>
  </si>
  <si>
    <t>VBH</t>
  </si>
  <si>
    <t>CTCP Điện tử Bình Hòa</t>
  </si>
  <si>
    <t>VC1</t>
  </si>
  <si>
    <t>CTCP Xây dựng Số 1</t>
  </si>
  <si>
    <t>VC2</t>
  </si>
  <si>
    <t>CTCP Đầu tư và Xây dựng Vina2</t>
  </si>
  <si>
    <t>VC3</t>
  </si>
  <si>
    <t>CTCP Tập đoàn Nam Mê Kông</t>
  </si>
  <si>
    <t>VC5</t>
  </si>
  <si>
    <t>VC6</t>
  </si>
  <si>
    <t>CTCP Xây dựng và Đầu tư Visicons</t>
  </si>
  <si>
    <t>VC7</t>
  </si>
  <si>
    <t>CTCP Tập đoàn BGI</t>
  </si>
  <si>
    <t>VC9</t>
  </si>
  <si>
    <t>CTCP Xây dựng số 9 - VC9</t>
  </si>
  <si>
    <t>VCA</t>
  </si>
  <si>
    <t xml:space="preserve">CTCP Thép VICASA </t>
  </si>
  <si>
    <t>VCAMBF</t>
  </si>
  <si>
    <t>Quỹ đầu tư Cân bằng Bản Việt</t>
  </si>
  <si>
    <t>VCAMDF</t>
  </si>
  <si>
    <t>Quỹ Đầu Tư Bản Việt Discovery</t>
  </si>
  <si>
    <t>VCB</t>
  </si>
  <si>
    <t>Ngân hàng TMCP Ngoại thương Việt Nam</t>
  </si>
  <si>
    <t>VCBFAIF</t>
  </si>
  <si>
    <t>Quỹ Đầu tư Thu nhập Chủ động VCBF</t>
  </si>
  <si>
    <t>VCBFTBF</t>
  </si>
  <si>
    <t>Quỹ Đầu Tư Cân Bằng VCBF</t>
  </si>
  <si>
    <t>VCC</t>
  </si>
  <si>
    <t>CTCP Vinaconex 25</t>
  </si>
  <si>
    <t>VCE</t>
  </si>
  <si>
    <t>CTCP Xây lắp Môi trường</t>
  </si>
  <si>
    <t>VCF</t>
  </si>
  <si>
    <t>CTCP Vinacafé Biên Hòa</t>
  </si>
  <si>
    <t>VCFC</t>
  </si>
  <si>
    <t>Công ty Tài chính TNHH MTV Lotte Việt Nam</t>
  </si>
  <si>
    <t>VCG</t>
  </si>
  <si>
    <t>Tổng Công ty cổ phần Xuất nhập khẩu và Xây dựng Việt Nam</t>
  </si>
  <si>
    <t>VCH</t>
  </si>
  <si>
    <t>CTCP Đầu tư Xây dựng và Phát triển Hạ tầng Vinaconex</t>
  </si>
  <si>
    <t>VCI</t>
  </si>
  <si>
    <t>CTCP Chứng khoán Vietcap</t>
  </si>
  <si>
    <t>VCK</t>
  </si>
  <si>
    <t>CTCP Chứng khoán VPS</t>
  </si>
  <si>
    <t>VCM</t>
  </si>
  <si>
    <t>CTCP BV Life</t>
  </si>
  <si>
    <t>VCN</t>
  </si>
  <si>
    <t>CTCP Đầu tư VCN</t>
  </si>
  <si>
    <t>VCP</t>
  </si>
  <si>
    <t>CTCP Xây Dựng Và Năng Lượng VCP</t>
  </si>
  <si>
    <t>VCR</t>
  </si>
  <si>
    <t>CTCP Đầu tư và Phát triển Du lịch Vinaconex</t>
  </si>
  <si>
    <t>VCS</t>
  </si>
  <si>
    <t>CTCP Vicostone</t>
  </si>
  <si>
    <t>VCT</t>
  </si>
  <si>
    <t>CTCP Tư vấn Xây dựng Vinaconex</t>
  </si>
  <si>
    <t>VCTN</t>
  </si>
  <si>
    <t>CTCP Tập đoàn Vật liệu Chịu Lửa Thái Nguyên</t>
  </si>
  <si>
    <t>VCV</t>
  </si>
  <si>
    <t>CTCP Vận tải Vinaconex</t>
  </si>
  <si>
    <t>VCW</t>
  </si>
  <si>
    <t>CTCP Đầu tư Nước sạch Sông Đà</t>
  </si>
  <si>
    <t>VCX</t>
  </si>
  <si>
    <t>CTCP Xi măng Yên Bình</t>
  </si>
  <si>
    <t>VDB</t>
  </si>
  <si>
    <t>CTCP Vận tải và Chế biến Than Đông Bắc</t>
  </si>
  <si>
    <t>VDEF</t>
  </si>
  <si>
    <t>Quỹ Đầu Tư Cổ Phiếu Cổ Tức Năng Động VinaCapital</t>
  </si>
  <si>
    <t>VDG</t>
  </si>
  <si>
    <t>CTCP Vạn Đạt Group</t>
  </si>
  <si>
    <t>VDL</t>
  </si>
  <si>
    <t>CTCP Thực phẩm Lâm Đồng</t>
  </si>
  <si>
    <t>VDM</t>
  </si>
  <si>
    <t>Viện Dệt May</t>
  </si>
  <si>
    <t>VDN</t>
  </si>
  <si>
    <t>CTCP Vinatex Đà Nẵng</t>
  </si>
  <si>
    <t>VDP</t>
  </si>
  <si>
    <t>CTCP Dược phẩm Trung ương VIDIPHA</t>
  </si>
  <si>
    <t>VDS</t>
  </si>
  <si>
    <t>CTCP Chứng khoán Rồng Việt</t>
  </si>
  <si>
    <t>VDSE</t>
  </si>
  <si>
    <t>CTCP Chứng khoán Viễn Đông</t>
  </si>
  <si>
    <t>VDT</t>
  </si>
  <si>
    <t>CTCP Lưới thép Bình Tây</t>
  </si>
  <si>
    <t>VE1</t>
  </si>
  <si>
    <t>CTCP Xây dựng Điện VNECO 1</t>
  </si>
  <si>
    <t>VE2</t>
  </si>
  <si>
    <t>CTCP Xây dựng Điện VNECO 2</t>
  </si>
  <si>
    <t>VE3</t>
  </si>
  <si>
    <t>CTCP Xây dựng Điện VNECO 3</t>
  </si>
  <si>
    <t>VE4</t>
  </si>
  <si>
    <t>CTCP Xây dựng Điện VNECO4</t>
  </si>
  <si>
    <t>VE8</t>
  </si>
  <si>
    <t>CTCP Xây dựng Điện VNECO 8</t>
  </si>
  <si>
    <t>VE9</t>
  </si>
  <si>
    <t>CTCP Đầu tư và Xây dựng VNECO 9</t>
  </si>
  <si>
    <t>VEA</t>
  </si>
  <si>
    <t>Tổng Công ty Máy động lực và Máy nông nghiệp Việt Nam – CTCP</t>
  </si>
  <si>
    <t>VEC</t>
  </si>
  <si>
    <t>Tổng Công ty cổ phần Điện tử và Tin học Việt Nam</t>
  </si>
  <si>
    <t>VECVN</t>
  </si>
  <si>
    <t>Tổng công ty Đầu tư phát triển đường cao tốc Việt Nam (VEC)</t>
  </si>
  <si>
    <t>VEE</t>
  </si>
  <si>
    <t>CTCP Thiết bị Điện Cẩm Phả</t>
  </si>
  <si>
    <t>VEF</t>
  </si>
  <si>
    <t>CTCP Trung tâm Hội chợ Triển lãm Việt Nam</t>
  </si>
  <si>
    <t>Vegetexco</t>
  </si>
  <si>
    <t>Tổng Công ty Rau Quả, Nông Sản - CTCP</t>
  </si>
  <si>
    <t>Vegetigi</t>
  </si>
  <si>
    <t>CTCP Rau quả Tiền Giang</t>
  </si>
  <si>
    <t>Vemedim</t>
  </si>
  <si>
    <t>CTCP Sản xuất Kinh doanh Vật tư và Thuốc Thú y</t>
  </si>
  <si>
    <t>VEOF</t>
  </si>
  <si>
    <t>Quỹ đầu tư Cổ phiếu Hưng Thịnh Vinacapital</t>
  </si>
  <si>
    <t>VES</t>
  </si>
  <si>
    <t>CTCP Đầu tư và Xây dựng Điện Mê Ca Vneco</t>
  </si>
  <si>
    <t>VET</t>
  </si>
  <si>
    <t>CTCP Thuốc thú y Trung ương Navetco</t>
  </si>
  <si>
    <t>VFC</t>
  </si>
  <si>
    <t>CTCP Vinafco</t>
  </si>
  <si>
    <t>VFG</t>
  </si>
  <si>
    <t>CTCP Khử trùng Việt Nam</t>
  </si>
  <si>
    <t>VFMVF4</t>
  </si>
  <si>
    <t>Quỹ Đầu Tư Cổ Phiếu Tập Trung Cổ Tức DC</t>
  </si>
  <si>
    <t>VFMVFA</t>
  </si>
  <si>
    <t>Quỹ đầu tư Năng Động Việt Nam</t>
  </si>
  <si>
    <t>VFR</t>
  </si>
  <si>
    <t>CTCP Vận tải và Thuê tàu</t>
  </si>
  <si>
    <t>VFS</t>
  </si>
  <si>
    <t>CTCP Chứng khoán Nhất Việt</t>
  </si>
  <si>
    <t>VGC</t>
  </si>
  <si>
    <t>Tổng Công ty Viglacera - CTCP</t>
  </si>
  <si>
    <t>VGG</t>
  </si>
  <si>
    <t>Tổng Công ty cổ phần May Việt Tiến</t>
  </si>
  <si>
    <t>VGI</t>
  </si>
  <si>
    <t>Tổng Công ty cổ phần Đầu tư Quốc tế Viettel</t>
  </si>
  <si>
    <t>VGL</t>
  </si>
  <si>
    <t>CTCP Mạ Kẽm Công Nghiệp Vingal - Vnsteel</t>
  </si>
  <si>
    <t>VGP</t>
  </si>
  <si>
    <t>CTCP Cảng Rau Quả</t>
  </si>
  <si>
    <t>VGR</t>
  </si>
  <si>
    <t>CTCP Cảng Xanh Vip</t>
  </si>
  <si>
    <t>VGS</t>
  </si>
  <si>
    <t>CTCP Ống thép Việt - Đức VG PIPE</t>
  </si>
  <si>
    <t>VGT</t>
  </si>
  <si>
    <t>Tập đoàn Dệt May Việt Nam</t>
  </si>
  <si>
    <t>VGV</t>
  </si>
  <si>
    <t>Tổng Công ty Tư vấn Xây dựng Việt Nam - CTCP</t>
  </si>
  <si>
    <t>VHC</t>
  </si>
  <si>
    <t>CTCP Vĩnh Hoàn</t>
  </si>
  <si>
    <t>VHD</t>
  </si>
  <si>
    <t>CTCP Đầu tư Phát triển Nhà và Đô Thị VINAHUD</t>
  </si>
  <si>
    <t>VHE</t>
  </si>
  <si>
    <t>CTCP Dược liệu và Thực phẩm Việt Nam</t>
  </si>
  <si>
    <t>VHF</t>
  </si>
  <si>
    <t>CTCP Xây dựng và Chế biến Lương thực Vĩnh Hà</t>
  </si>
  <si>
    <t>VHG</t>
  </si>
  <si>
    <t>CTCP Đầu tư Phát triển Việt Trung Nam</t>
  </si>
  <si>
    <t>VHH</t>
  </si>
  <si>
    <t>CTCP Đầu tư Kinh doanh Nhà Thành Đạt</t>
  </si>
  <si>
    <t>VHI</t>
  </si>
  <si>
    <t>CTCP Kinh doanh và Đầu tư Việt Hà</t>
  </si>
  <si>
    <t>VHL</t>
  </si>
  <si>
    <t>CTCP Viglacera Hạ Long</t>
  </si>
  <si>
    <t>VHM</t>
  </si>
  <si>
    <t>CTCP Vinhomes</t>
  </si>
  <si>
    <t>VIA</t>
  </si>
  <si>
    <t>CTCP  Vian</t>
  </si>
  <si>
    <t>Viapco</t>
  </si>
  <si>
    <t>CTCP Pin Ắc quy Vĩnh Phú</t>
  </si>
  <si>
    <t>VIB</t>
  </si>
  <si>
    <t>Ngân hàng TMCP Quốc tế Việt Nam</t>
  </si>
  <si>
    <t>Vibex</t>
  </si>
  <si>
    <t>CTCP Bê tông Xây dựng Hà Nội</t>
  </si>
  <si>
    <t>VIC</t>
  </si>
  <si>
    <t>Tập đoàn VINGROUP - CTCP</t>
  </si>
  <si>
    <t>VICEM</t>
  </si>
  <si>
    <t>Tổng công ty Xi măng Việt Nam</t>
  </si>
  <si>
    <t>Vicopharm</t>
  </si>
  <si>
    <t>CTCP Dược Vacopharm</t>
  </si>
  <si>
    <t>VICOSA</t>
  </si>
  <si>
    <t>CTCP Đại lý Hàng hải - Vinacomin</t>
  </si>
  <si>
    <t>VID</t>
  </si>
  <si>
    <t>CTCP Đầu tư Phát triển Thương mại Viễn Đông</t>
  </si>
  <si>
    <t>VIDOCO</t>
  </si>
  <si>
    <t>CTCP Thiết kế Xây lắp Viễn Đông</t>
  </si>
  <si>
    <t>VIE</t>
  </si>
  <si>
    <t>CTCP Công nghệ Viễn thông VITECO</t>
  </si>
  <si>
    <t>VienthongBacLieu</t>
  </si>
  <si>
    <t>CTCP Đầu tư - Xây lắp Viễn thông Bạc Liêu</t>
  </si>
  <si>
    <t>VienthongBacMT</t>
  </si>
  <si>
    <t>CTCP Phát triển Viễn thông Bắc Miền Trung</t>
  </si>
  <si>
    <t>VienthongCT</t>
  </si>
  <si>
    <t>CTCP Đầu tư Xây dựng Viễn thông Cần Thơ</t>
  </si>
  <si>
    <t>VienthongDaLat</t>
  </si>
  <si>
    <t>CTCP Dịch vụ Thương mại và Xây lắp Viễn thông Đà Lạt</t>
  </si>
  <si>
    <t>VienThongDongDo</t>
  </si>
  <si>
    <t>CTCP Viễn thông Đông Đô</t>
  </si>
  <si>
    <t>VienThongDongThap</t>
  </si>
  <si>
    <t>CTCP Đầu tư Xây dựng Viễn thông Đồng Tháp</t>
  </si>
  <si>
    <t>VietBac</t>
  </si>
  <si>
    <t>CTCP Bất động sản Việt Bắc</t>
  </si>
  <si>
    <t>VietCapital</t>
  </si>
  <si>
    <t>CTCP Quản lý Quỹ Đầu tư Chứng khoán Bản Việt</t>
  </si>
  <si>
    <t>VietCeramics</t>
  </si>
  <si>
    <t>CTCP Quốc tế Gốm sứ Việt</t>
  </si>
  <si>
    <t>VietHung</t>
  </si>
  <si>
    <t>CTCP Việt Hưng</t>
  </si>
  <si>
    <t>Vietnamtourism</t>
  </si>
  <si>
    <t>CTCP Du lịch Việt Nam - Hà Nội</t>
  </si>
  <si>
    <t>VietSangTao</t>
  </si>
  <si>
    <t>CTCP Việt Sáng Tạo</t>
  </si>
  <si>
    <t>Viettel</t>
  </si>
  <si>
    <t>Tập đoàn Công nghiệp - Viễn thông Quân đội (Viettel)</t>
  </si>
  <si>
    <t>VIETTRANS6</t>
  </si>
  <si>
    <t>CTCP Vận tải Đa Phương Thức 6</t>
  </si>
  <si>
    <t>VietY</t>
  </si>
  <si>
    <t>CTCP Gạch Graint Nam Định</t>
  </si>
  <si>
    <t>VIF</t>
  </si>
  <si>
    <t>Tổng Công ty Lâm nghiệp Việt Nam - CTCP</t>
  </si>
  <si>
    <t>VIFON</t>
  </si>
  <si>
    <t>CTCP Kỹ nghệ Thực phẩm Việt Nam</t>
  </si>
  <si>
    <t>VIG</t>
  </si>
  <si>
    <t>CTCP Chứng khoán Đầu tư tài chính Việt Nam</t>
  </si>
  <si>
    <t>Vigatexco</t>
  </si>
  <si>
    <t>CTCP Dệt may Thắng Lợi</t>
  </si>
  <si>
    <t>Viger</t>
  </si>
  <si>
    <t>CTCP Bia Rượu Viger</t>
  </si>
  <si>
    <t>ViglaceraPB</t>
  </si>
  <si>
    <t>CTCP Bao bì và Má phanh Viglacera</t>
  </si>
  <si>
    <t>ViglaceraVanHai</t>
  </si>
  <si>
    <t>CTCP Viglacera Vân Hải</t>
  </si>
  <si>
    <t>VIH</t>
  </si>
  <si>
    <t>CTCP Viglacera Hà Nội</t>
  </si>
  <si>
    <t>Viha</t>
  </si>
  <si>
    <t>CTCP Viha Thống Nhất</t>
  </si>
  <si>
    <t>Vikhaco</t>
  </si>
  <si>
    <t>CTCP Thương mại và Đầu tư Việt Khánh</t>
  </si>
  <si>
    <t>VikkiBank</t>
  </si>
  <si>
    <t>Ngân hàng TNHH Một thành viên Số Vikki</t>
  </si>
  <si>
    <t>VIKOR</t>
  </si>
  <si>
    <t>CTCP Tôn Vikor</t>
  </si>
  <si>
    <t>VILACONA</t>
  </si>
  <si>
    <t>CTCP Đầu tư Hợp tác Kinh tế Việt Lào</t>
  </si>
  <si>
    <t>VIM</t>
  </si>
  <si>
    <t>CTCP Khoáng sản Viglacera</t>
  </si>
  <si>
    <t>Vimec</t>
  </si>
  <si>
    <t>CTCP Thương mại Đầu tư VIMEC</t>
  </si>
  <si>
    <t>VimecMedical</t>
  </si>
  <si>
    <t>CTCP Thiết bị Y tế VIMEC</t>
  </si>
  <si>
    <t>Vimo</t>
  </si>
  <si>
    <t>CTCP Công nghệ Vi Mô</t>
  </si>
  <si>
    <t>VIN</t>
  </si>
  <si>
    <t>CTCP Giao nhận Kho vận Ngoại Thương Việt Nam</t>
  </si>
  <si>
    <t>Vinabico</t>
  </si>
  <si>
    <t>CTCP Bánh kẹo Vinabico</t>
  </si>
  <si>
    <t>Vinabomi</t>
  </si>
  <si>
    <t>CTCP Bột mì Bình An</t>
  </si>
  <si>
    <t>VINACAFE</t>
  </si>
  <si>
    <t>CTCP Vinacafe Miền Bắc</t>
  </si>
  <si>
    <t>Vinachimex</t>
  </si>
  <si>
    <t>CTCP Vật tư và Xuất nhập khẩu Hóa chất</t>
  </si>
  <si>
    <t>Vinaconex17</t>
  </si>
  <si>
    <t>CTCP Xây dựng Số 17</t>
  </si>
  <si>
    <t>vinaconex91</t>
  </si>
  <si>
    <t>CTCP Xây dựng Số 9.1</t>
  </si>
  <si>
    <t>VinaconexAlphanam</t>
  </si>
  <si>
    <t>CTCP Đầu tư và Phát triển Hạ tầng Vinaconex - Alphanam</t>
  </si>
  <si>
    <t>VinaconexQT</t>
  </si>
  <si>
    <t>CTCP Xây dựng và Xuất nhập khẩu Quyết Thắng</t>
  </si>
  <si>
    <t>VinaconexSG</t>
  </si>
  <si>
    <t>CTCP Vinaconex Sài Gòn</t>
  </si>
  <si>
    <t>VinaFood1</t>
  </si>
  <si>
    <t>Tổng Công ty Lương thực Miền Bắc</t>
  </si>
  <si>
    <t>VinafoodHD</t>
  </si>
  <si>
    <t>CTCP Vinafood 1 Hải Dương</t>
  </si>
  <si>
    <t>Vinafor</t>
  </si>
  <si>
    <t>CTCP Vinafor Đà Nẵng</t>
  </si>
  <si>
    <t>Vinamit</t>
  </si>
  <si>
    <t>CTCP Vinamit</t>
  </si>
  <si>
    <t>VINAMOTOR</t>
  </si>
  <si>
    <t>Tổng Công ty Công nghiệp Ô tô Việt Nam - CTCP</t>
  </si>
  <si>
    <t>VinaSaiGon</t>
  </si>
  <si>
    <t>CTCP Sản xuất và Xuất nhập khẩu Lâm sản Sài Gòn</t>
  </si>
  <si>
    <t>VinashinNamThanh</t>
  </si>
  <si>
    <t>CTCP Công nghiệp Thủy sản Vinashin Nam Thanh</t>
  </si>
  <si>
    <t>VINASINO</t>
  </si>
  <si>
    <t>CTCP Thiết bị Điện Vinasinio</t>
  </si>
  <si>
    <t>VinasugarI</t>
  </si>
  <si>
    <t>Tổng Công ty Mía đường I - CTCP</t>
  </si>
  <si>
    <t>VinasugarII</t>
  </si>
  <si>
    <t>Tổng Công ty Mía đường II - CTCP</t>
  </si>
  <si>
    <t>Vinatea</t>
  </si>
  <si>
    <t>Tổng Công ty Chè Việt Nam - CTCP</t>
  </si>
  <si>
    <t>VinatexPhuHung</t>
  </si>
  <si>
    <t>Công ty CP Vinatex Phú Hưng</t>
  </si>
  <si>
    <t>Vinatour</t>
  </si>
  <si>
    <t>CTCP Du lịch và Thương mại Quốc tế Vinatour</t>
  </si>
  <si>
    <t>VinaWealth</t>
  </si>
  <si>
    <t>CTCP Quản lý Quỹ VinaCapital</t>
  </si>
  <si>
    <t>VinaWind</t>
  </si>
  <si>
    <t>CTCP Điện cơ Thống Nhất</t>
  </si>
  <si>
    <t>Vineco5</t>
  </si>
  <si>
    <t>CTCP Xây dựng Điện VNECO 5</t>
  </si>
  <si>
    <t>VinEnergo</t>
  </si>
  <si>
    <t>CTCP Năng lượng VinEnergo</t>
  </si>
  <si>
    <t>VinhCuu</t>
  </si>
  <si>
    <t>CTCP Vĩnh Cửu</t>
  </si>
  <si>
    <t>Vinhhao</t>
  </si>
  <si>
    <t>CTCP Nước khoáng Vĩnh Hảo</t>
  </si>
  <si>
    <t>VinhHue</t>
  </si>
  <si>
    <t>CTCP Giấy Vĩnh Huê</t>
  </si>
  <si>
    <t>VinhLoi</t>
  </si>
  <si>
    <t>CTCP Xuất nhập khẩu Vĩnh Lợi</t>
  </si>
  <si>
    <t>VinhTuong</t>
  </si>
  <si>
    <t>CTCP Công nghiệp Vĩnh Tường</t>
  </si>
  <si>
    <t>Vinphaco</t>
  </si>
  <si>
    <t>CTCP Dược phẩm Vĩnh Phúc</t>
  </si>
  <si>
    <t>VinSpeed</t>
  </si>
  <si>
    <t>CTCP Đầu tư và Phát triển Đường sắt cao tốc Vinspeed</t>
  </si>
  <si>
    <t>VIP</t>
  </si>
  <si>
    <t>CTCP Vận tải Xăng dầu VIPCO</t>
  </si>
  <si>
    <t>Vipaco</t>
  </si>
  <si>
    <t>CTCP VIPACO</t>
  </si>
  <si>
    <t>Viptour</t>
  </si>
  <si>
    <t>CTCP Du lịch và Xúc tiến Đầu tư</t>
  </si>
  <si>
    <t>VIR</t>
  </si>
  <si>
    <t>CTCP Du lịch Quốc tế Vũng Tàu</t>
  </si>
  <si>
    <t>VIRASIMEX</t>
  </si>
  <si>
    <t>VIRESCO</t>
  </si>
  <si>
    <t>CTCP Địa ốc Vĩnh Long</t>
  </si>
  <si>
    <t>VIS</t>
  </si>
  <si>
    <t>CTCP Thép Việt Ý</t>
  </si>
  <si>
    <t>VISECO</t>
  </si>
  <si>
    <t>CTCP Chứng khoán Việt</t>
  </si>
  <si>
    <t>Visrating</t>
  </si>
  <si>
    <t>CTCP Xếp hạng Tín nhiệm Đầu tư Việt Nam</t>
  </si>
  <si>
    <t>VIT</t>
  </si>
  <si>
    <t>CTCP Viglacera Tiên Sơn</t>
  </si>
  <si>
    <t>Vitranimex</t>
  </si>
  <si>
    <t>CTCP Vận tải và Thương mại</t>
  </si>
  <si>
    <t>VIVASO</t>
  </si>
  <si>
    <t>Tổng Công ty Vận tải thủy - CTCP</t>
  </si>
  <si>
    <t>VIW</t>
  </si>
  <si>
    <t>Tổng Công ty Đầu tư Nước và Môi trường Việt Nam</t>
  </si>
  <si>
    <t>Viwaseen1</t>
  </si>
  <si>
    <t>CTCP Xây dựng Cấp thoát nước Số 1</t>
  </si>
  <si>
    <t>Viwaseen2</t>
  </si>
  <si>
    <t>CTCP Cơ khí Xây dựng Cấp thoát nước Viwaseen.2</t>
  </si>
  <si>
    <t>VIX</t>
  </si>
  <si>
    <t>CTCP Chứng khoán VIX</t>
  </si>
  <si>
    <t>VJC</t>
  </si>
  <si>
    <t>CTCP Hàng không Vietjet</t>
  </si>
  <si>
    <t>VKC</t>
  </si>
  <si>
    <t xml:space="preserve">CTCP VKC Holdings </t>
  </si>
  <si>
    <t>VKD</t>
  </si>
  <si>
    <t>CTCP Nước khoáng Khánh Hòa</t>
  </si>
  <si>
    <t>VKP</t>
  </si>
  <si>
    <t>CTCP Nhựa Tân Hóa</t>
  </si>
  <si>
    <t>VLA</t>
  </si>
  <si>
    <t>CTCP Đầu tư và Phát triển Công nghệ Văn Lang</t>
  </si>
  <si>
    <t>VLB</t>
  </si>
  <si>
    <t>CTCP Xây dựng và Sản xuất Vật liệu xây dựng Biên Hòa</t>
  </si>
  <si>
    <t>VLC</t>
  </si>
  <si>
    <t>Tổng Công ty Chăn Nuôi Việt Nam - CTCP</t>
  </si>
  <si>
    <t>VLD</t>
  </si>
  <si>
    <t>CTCP Bất động sản Viettronics</t>
  </si>
  <si>
    <t>VLF</t>
  </si>
  <si>
    <t>CTCP Lương thực Thực phẩm Vĩnh Long</t>
  </si>
  <si>
    <t>VLFM</t>
  </si>
  <si>
    <t>CTCP Quản lý quỹ Rồng Việt</t>
  </si>
  <si>
    <t>VLG</t>
  </si>
  <si>
    <t>CTCP VIMC Logistics</t>
  </si>
  <si>
    <t>VLP</t>
  </si>
  <si>
    <t>CTCP Công trình Công cộng Vĩnh Long</t>
  </si>
  <si>
    <t>VLPort</t>
  </si>
  <si>
    <t>CTCP Cảng Vĩnh Long</t>
  </si>
  <si>
    <t>VLS</t>
  </si>
  <si>
    <t>CTCP Sản xuất Thép Việt Long</t>
  </si>
  <si>
    <t>VLW</t>
  </si>
  <si>
    <t>CTCP Cấp nước Vĩnh Long</t>
  </si>
  <si>
    <t>VMA</t>
  </si>
  <si>
    <t>CTCP Công nghiệp Ô tô - Vinacomin</t>
  </si>
  <si>
    <t>VMC</t>
  </si>
  <si>
    <t>CTCP Vimeco</t>
  </si>
  <si>
    <t>VMCCo</t>
  </si>
  <si>
    <t>CTCP Vật tư Tổng Hợp Vĩnh Phú</t>
  </si>
  <si>
    <t>VMD</t>
  </si>
  <si>
    <t>CTCP Y Dược phẩm Vimedimex</t>
  </si>
  <si>
    <t>VMG</t>
  </si>
  <si>
    <t>CTCP Thương mại và Dịch vụ Dầu khí Vũng Tàu</t>
  </si>
  <si>
    <t>VMI</t>
  </si>
  <si>
    <t>CTCP Khoáng sản và Đầu tư Visaco</t>
  </si>
  <si>
    <t>VMK</t>
  </si>
  <si>
    <t>CTCP Vimarko</t>
  </si>
  <si>
    <t>VMS</t>
  </si>
  <si>
    <t>CTCP Phát triển Hàng Hải</t>
  </si>
  <si>
    <t>VMT</t>
  </si>
  <si>
    <t>CTCP Giao nhận Vận tải miền Trung</t>
  </si>
  <si>
    <t>VNA</t>
  </si>
  <si>
    <t>CTCP Vận tải Biển Vinaship</t>
  </si>
  <si>
    <t>VNB</t>
  </si>
  <si>
    <t>CTCP Sách Việt Nam</t>
  </si>
  <si>
    <t>VNC</t>
  </si>
  <si>
    <t>CTCP Tập đoàn Vinacontrol</t>
  </si>
  <si>
    <t>VNCafe</t>
  </si>
  <si>
    <t>Tổng công ty Cà phê Việt Nam</t>
  </si>
  <si>
    <t>VND</t>
  </si>
  <si>
    <t>CTCP Chứng khoán VNDIRECT</t>
  </si>
  <si>
    <t>VNE</t>
  </si>
  <si>
    <t>Tổng Công ty cổ phần Xây dựng Điện Việt Nam</t>
  </si>
  <si>
    <t>VNECO</t>
  </si>
  <si>
    <t>CTCP Du Lịch Xanh Nghệ An</t>
  </si>
  <si>
    <t>Vneco6</t>
  </si>
  <si>
    <t>CTCP Xây dựng Điện VNECO 6</t>
  </si>
  <si>
    <t>Vneco7</t>
  </si>
  <si>
    <t>CTCP Xây dựng Điện VNECO 7</t>
  </si>
  <si>
    <t>VNF</t>
  </si>
  <si>
    <t>CTCP Vinafreight</t>
  </si>
  <si>
    <t>VNG</t>
  </si>
  <si>
    <t>CTCP Du lịch Thành Thành Công</t>
  </si>
  <si>
    <t>VNH</t>
  </si>
  <si>
    <t>CTCP Đầu tư Việt Việt Nhật</t>
  </si>
  <si>
    <t>VNI</t>
  </si>
  <si>
    <t>CTCP Đầu tư Bất động sản Việt Nam</t>
  </si>
  <si>
    <t>VNL</t>
  </si>
  <si>
    <t>CTCP Logistics Vinalink</t>
  </si>
  <si>
    <t>VNM</t>
  </si>
  <si>
    <t>CTCP Sữa Việt Nam</t>
  </si>
  <si>
    <t>VNN</t>
  </si>
  <si>
    <t>CTCP Đầu tư Thương mại VNN</t>
  </si>
  <si>
    <t>VNP</t>
  </si>
  <si>
    <t>CTCP Nhựa Việt Nam</t>
  </si>
  <si>
    <t>VNPAY</t>
  </si>
  <si>
    <t>CTCP Giải pháp Thanh toán Việt Nam</t>
  </si>
  <si>
    <t>VNPTLAND</t>
  </si>
  <si>
    <t>CTCP Bất động sản Bưu chính Viễn thông Việt Nam</t>
  </si>
  <si>
    <t>VNR</t>
  </si>
  <si>
    <t>Tổng Công ty cổ phần Tái Bảo hiểm Quốc gia Việt Nam</t>
  </si>
  <si>
    <t>VNS</t>
  </si>
  <si>
    <t>CTCP Ánh Dương Việt Nam</t>
  </si>
  <si>
    <t>VNSC</t>
  </si>
  <si>
    <t>CTCP Chứng khoán Finhay</t>
  </si>
  <si>
    <t>VNT</t>
  </si>
  <si>
    <t>CTCP Giao nhận Vận tải Ngoại thương</t>
  </si>
  <si>
    <t>VNX</t>
  </si>
  <si>
    <t>CTCP Quảng cáo và Hội chợ Thương mại</t>
  </si>
  <si>
    <t>VNY</t>
  </si>
  <si>
    <t>CTCP Thuốc thú y Trung ương I</t>
  </si>
  <si>
    <t>VNZ</t>
  </si>
  <si>
    <t xml:space="preserve">CTCP Tập đoàn VNG </t>
  </si>
  <si>
    <t>VOC</t>
  </si>
  <si>
    <t>Tổng Công ty Công Nghiệp Dầu Thực Vật Việt Nam - CTCP</t>
  </si>
  <si>
    <t>VOS</t>
  </si>
  <si>
    <t>CTCP Vận tải Biển Việt Nam</t>
  </si>
  <si>
    <t>VPA</t>
  </si>
  <si>
    <t>CTCP Vận tải Hoá Dầu VP</t>
  </si>
  <si>
    <t>VPB</t>
  </si>
  <si>
    <t>Ngân hàng TMCP Việt Nam Thịnh Vượng</t>
  </si>
  <si>
    <t>VPC</t>
  </si>
  <si>
    <t>CTCP Đầu tư và Phát triển Năng lượng Việt Nam</t>
  </si>
  <si>
    <t>VPD</t>
  </si>
  <si>
    <t>CTCP Phát triển Điện lực Việt Nam</t>
  </si>
  <si>
    <t>VPG</t>
  </si>
  <si>
    <t>CTCP Đầu tư Thương mại Xuất nhập khẩu Việt Phát</t>
  </si>
  <si>
    <t>VPH</t>
  </si>
  <si>
    <t>CTCP Vạn Phát Hưng</t>
  </si>
  <si>
    <t>VPI</t>
  </si>
  <si>
    <t>CTCP Phát triển Bất động sản Văn Phú</t>
  </si>
  <si>
    <t>VPIG</t>
  </si>
  <si>
    <t>CTCP Tập đoàn Đầu tư Việt Phương</t>
  </si>
  <si>
    <t>VPJSC</t>
  </si>
  <si>
    <t>CTCP Đầu tư Xây dựng Bưu chính Viễn thông Vũng Tàu</t>
  </si>
  <si>
    <t>VPL</t>
  </si>
  <si>
    <t>CTCP Vinpearl</t>
  </si>
  <si>
    <t>VPR</t>
  </si>
  <si>
    <t>CTCP VinaPrint</t>
  </si>
  <si>
    <t>VPS</t>
  </si>
  <si>
    <t xml:space="preserve">CTCP Thuốc sát trùng Việt Nam </t>
  </si>
  <si>
    <t>VPW</t>
  </si>
  <si>
    <t>CTCP Cấp thoát nước Số 1 Vĩnh Phúc</t>
  </si>
  <si>
    <t>VPX</t>
  </si>
  <si>
    <t>CTCP Chứng khoán VPBank</t>
  </si>
  <si>
    <t>VQC</t>
  </si>
  <si>
    <t>CTCP Giám định - Vinacomin</t>
  </si>
  <si>
    <t>VQSC</t>
  </si>
  <si>
    <t>CTCP Chứng khoán Việt Quốc</t>
  </si>
  <si>
    <t>VRC</t>
  </si>
  <si>
    <t>CTCP Bất động sản và Đầu tư VRC</t>
  </si>
  <si>
    <t>VRE</t>
  </si>
  <si>
    <t>CTCP Vincom Retail</t>
  </si>
  <si>
    <t>VRG</t>
  </si>
  <si>
    <t>CTCP Phát triển Đô thị và Khu công nghiệp Cao su Việt Nam</t>
  </si>
  <si>
    <t>VRTS</t>
  </si>
  <si>
    <t>CTCP Dịch vụ Vận tải Đường sắt</t>
  </si>
  <si>
    <t>VSA</t>
  </si>
  <si>
    <t>CTCP Đại lý Hàng hải Việt Nam</t>
  </si>
  <si>
    <t>VSC</t>
  </si>
  <si>
    <t>CTCP Container Việt Nam</t>
  </si>
  <si>
    <t>VSE</t>
  </si>
  <si>
    <t>CTCP Dịch vụ Đường cao tốc Việt Nam</t>
  </si>
  <si>
    <t>VSETGROUP</t>
  </si>
  <si>
    <t>CTCP Tập đoàn VSETGROUP</t>
  </si>
  <si>
    <t>VSF</t>
  </si>
  <si>
    <t>Tổng Công ty Lương thực Miền Nam - CTCP</t>
  </si>
  <si>
    <t>VSG</t>
  </si>
  <si>
    <t>CTCP Container Phía Nam</t>
  </si>
  <si>
    <t>VSH</t>
  </si>
  <si>
    <t>CTCP Thủy điện Vĩnh Sơn - Sông Hinh</t>
  </si>
  <si>
    <t>VSI</t>
  </si>
  <si>
    <t>CTCP Đầu tư và Xây dựng Cấp thoát nước</t>
  </si>
  <si>
    <t>VSIndustry</t>
  </si>
  <si>
    <t>CTCP VS Industry Vietnam</t>
  </si>
  <si>
    <t>VSM</t>
  </si>
  <si>
    <t>CTCP Container Miền Trung</t>
  </si>
  <si>
    <t>VSMS</t>
  </si>
  <si>
    <t>CTCP Chứng khoán VSM</t>
  </si>
  <si>
    <t>VSN</t>
  </si>
  <si>
    <t>CTCP Việt Nam Kỹ nghệ Súc sản</t>
  </si>
  <si>
    <t>VSP</t>
  </si>
  <si>
    <t>CTCP Vận tải biển và Bất động sản Việt Hải</t>
  </si>
  <si>
    <t>VST</t>
  </si>
  <si>
    <t>CTCP Vận tải và Thuê tàu biển Việt Nam</t>
  </si>
  <si>
    <t>VT1</t>
  </si>
  <si>
    <t>CTCP Vật tư Bến Thành</t>
  </si>
  <si>
    <t>VT8</t>
  </si>
  <si>
    <t>CTCP Dịch vụ Vận tải Ô Tô Số 8</t>
  </si>
  <si>
    <t>VTA</t>
  </si>
  <si>
    <t>CTCP Vitaly</t>
  </si>
  <si>
    <t>VTB</t>
  </si>
  <si>
    <t>CTCP Viettronics Tân Bình</t>
  </si>
  <si>
    <t>VTC</t>
  </si>
  <si>
    <t>CTCP Viễn thông VTC</t>
  </si>
  <si>
    <t>VTCC</t>
  </si>
  <si>
    <t>CTCP Quản lý Quỹ Việt Tín</t>
  </si>
  <si>
    <t>VTCOnline</t>
  </si>
  <si>
    <t>CTCP VTC Truyền thông Trực tuyến</t>
  </si>
  <si>
    <t>VTD</t>
  </si>
  <si>
    <t>CTCP Vietourist Holdings</t>
  </si>
  <si>
    <t>VTE</t>
  </si>
  <si>
    <t>CTCP VINACAP Kim Long</t>
  </si>
  <si>
    <t>VTF</t>
  </si>
  <si>
    <t>CTCP Thức ăn Chăn nuôi Việt Thắng</t>
  </si>
  <si>
    <t>VTG</t>
  </si>
  <si>
    <t>CTCP Du lịch Tỉnh Bà Rịa - Vũng Tàu</t>
  </si>
  <si>
    <t>VTH</t>
  </si>
  <si>
    <t>CTCP Dây cáp Điện Việt Thái</t>
  </si>
  <si>
    <t>VTI</t>
  </si>
  <si>
    <t>CTCP Sản xuất - Xuất nhập khẩu Dệt may</t>
  </si>
  <si>
    <t>VTJ</t>
  </si>
  <si>
    <t>CTCP Thương mại và Đầu tư VI NA TA BA</t>
  </si>
  <si>
    <t>VTK</t>
  </si>
  <si>
    <t>CTCP Tư Vấn Và Dịch Vụ Viettel</t>
  </si>
  <si>
    <t>VTL</t>
  </si>
  <si>
    <t>CTCP Vang Thăng Long</t>
  </si>
  <si>
    <t>VTM</t>
  </si>
  <si>
    <t>CTCP Vận tải và Đưa đón thợ mỏ - VINACOMIN</t>
  </si>
  <si>
    <t>VTO</t>
  </si>
  <si>
    <t>CTCP Vận tải Xăng dầu Vitaco</t>
  </si>
  <si>
    <t>VTP</t>
  </si>
  <si>
    <t>Tổng Công ty cổ phần Bưu chính Viettel</t>
  </si>
  <si>
    <t>VTPGroup</t>
  </si>
  <si>
    <t>CTCP Tập đoàn Vạn Thịnh Phát</t>
  </si>
  <si>
    <t>VTQ</t>
  </si>
  <si>
    <t>CTCP Việt Trung Quảng Bình</t>
  </si>
  <si>
    <t>VTR</t>
  </si>
  <si>
    <t>CTCP Du lịch Vietravel</t>
  </si>
  <si>
    <t>VTS</t>
  </si>
  <si>
    <t>CTCP Gạch ngói Từ Sơn</t>
  </si>
  <si>
    <t>VTSC</t>
  </si>
  <si>
    <t>CTCP Chứng khoán Việt Thành</t>
  </si>
  <si>
    <t>VTSS</t>
  </si>
  <si>
    <t>CTCP Chứng khoán VTG</t>
  </si>
  <si>
    <t>VTT</t>
  </si>
  <si>
    <t>CTCP Công nghệ Việt Thành</t>
  </si>
  <si>
    <t>VTV</t>
  </si>
  <si>
    <t>CTCP Năng lượng và Môi trường VICEM</t>
  </si>
  <si>
    <t>VTX</t>
  </si>
  <si>
    <t>CTCP Vận tải Đa Phương Thức Vietranstimex</t>
  </si>
  <si>
    <t>VTZ</t>
  </si>
  <si>
    <t>CTCP Sản xuất và Thương mại Nhựa Việt Thành</t>
  </si>
  <si>
    <t>VUA</t>
  </si>
  <si>
    <t>CTCP Chứng khoán Stanley Brothers</t>
  </si>
  <si>
    <t>VuaNem</t>
  </si>
  <si>
    <t>CTCP Vua Nệm</t>
  </si>
  <si>
    <t>VUG</t>
  </si>
  <si>
    <t>CTCP Thủy sản Việt Úc</t>
  </si>
  <si>
    <t>VungTauShip</t>
  </si>
  <si>
    <t>CTCP Dịch vụ và Vận tải Biển Vũng Tàu</t>
  </si>
  <si>
    <t>VVF</t>
  </si>
  <si>
    <t>Công Tài chính Cổ Phần Vinaconex - Viettel</t>
  </si>
  <si>
    <t>VVN</t>
  </si>
  <si>
    <t>Tổng Công ty cổ phần Xây dựng Công nghiệp Việt Nam</t>
  </si>
  <si>
    <t>VVS</t>
  </si>
  <si>
    <t>CTCP Đầu tư phát triển máy Việt Nam</t>
  </si>
  <si>
    <t>VW3</t>
  </si>
  <si>
    <t>CTCP Viwaseen3</t>
  </si>
  <si>
    <t>VWS</t>
  </si>
  <si>
    <t>CTCP Nước và Môi Trường Việt Nam</t>
  </si>
  <si>
    <t>VXB</t>
  </si>
  <si>
    <t>CTCP Vật liệu Xây dựng Bến Tre</t>
  </si>
  <si>
    <t>VXP</t>
  </si>
  <si>
    <t>CTCP Thuốc Thú y Trung ương VETVACO</t>
  </si>
  <si>
    <t>VXT</t>
  </si>
  <si>
    <t>CTCP Kho vận và Dịch vụ Thương mại</t>
  </si>
  <si>
    <t>WCS</t>
  </si>
  <si>
    <t>CTCP Bến xe Miền Tây</t>
  </si>
  <si>
    <t>WSB</t>
  </si>
  <si>
    <t>CTCP Bia Sài Gòn - Miền Tây</t>
  </si>
  <si>
    <t>WSS</t>
  </si>
  <si>
    <t>CTCP Chứng khoán Phố Wall</t>
  </si>
  <si>
    <t>WTC</t>
  </si>
  <si>
    <t>CTCP Vận tải Thủy - Vinacomin</t>
  </si>
  <si>
    <t>WTN</t>
  </si>
  <si>
    <t>CTCP Cấp thoát nước Tây Ninh</t>
  </si>
  <si>
    <t>X18</t>
  </si>
  <si>
    <t>CTCP Xi măng X18</t>
  </si>
  <si>
    <t>X20</t>
  </si>
  <si>
    <t>CTCP X20</t>
  </si>
  <si>
    <t>X26</t>
  </si>
  <si>
    <t>CTCP 26</t>
  </si>
  <si>
    <t>X77</t>
  </si>
  <si>
    <t>CTCP Thành An 77</t>
  </si>
  <si>
    <t>X78</t>
  </si>
  <si>
    <t>CTCP ACC-78</t>
  </si>
  <si>
    <t>XayDung14</t>
  </si>
  <si>
    <t>CTCP Xây dựng Số 14</t>
  </si>
  <si>
    <t>XayDung204</t>
  </si>
  <si>
    <t>CTCP Xây dựng 204</t>
  </si>
  <si>
    <t>XayDung24</t>
  </si>
  <si>
    <t>CTCP Đầu tư và Xây dựng 24</t>
  </si>
  <si>
    <t>XayDung40</t>
  </si>
  <si>
    <t>CTCP Xây dựng 40</t>
  </si>
  <si>
    <t>XayDung720</t>
  </si>
  <si>
    <t>CTCP Vật liệu Xây dựng 720</t>
  </si>
  <si>
    <t>XaylapGialai</t>
  </si>
  <si>
    <t>CTCP Xây lắp và Phát triển Bưu điện Gia Lai</t>
  </si>
  <si>
    <t>XayLapHoangLien</t>
  </si>
  <si>
    <t>CTCP Xây lắp Sông Đà Hoàng Liên</t>
  </si>
  <si>
    <t>XDBD</t>
  </si>
  <si>
    <t>CTCP Xây dựng Bình Dương</t>
  </si>
  <si>
    <t>XDBinhDinh</t>
  </si>
  <si>
    <t>CTCP Đầu tư và Xây dựng Bình Định</t>
  </si>
  <si>
    <t>XDBinhDuong</t>
  </si>
  <si>
    <t>CTCP Tư vấn Xây dựng Tổng hợp Bình Dương</t>
  </si>
  <si>
    <t>XDC</t>
  </si>
  <si>
    <t>CTCP Xây Dựng Công Trình Tân Cảng</t>
  </si>
  <si>
    <t>XDCT507</t>
  </si>
  <si>
    <t>CTCP Xây dựng Công trình 507</t>
  </si>
  <si>
    <t>XDH</t>
  </si>
  <si>
    <t>CTCP Đầu tư Xây dựng Dân dụng Hà Nội</t>
  </si>
  <si>
    <t>XDHTCanTho</t>
  </si>
  <si>
    <t>CTCP Xây dựng Hạ tầng Khu Công nghiệp Cần Thơ</t>
  </si>
  <si>
    <t>XDVinaconex</t>
  </si>
  <si>
    <t>CTCP Xây dựng và Dịch vụ Vinaconex</t>
  </si>
  <si>
    <t>XeThaiBinh</t>
  </si>
  <si>
    <t>CTCP Xe khách Thái Bình</t>
  </si>
  <si>
    <t>XHC</t>
  </si>
  <si>
    <t>CTCP Xuân Hòa Việt Nam</t>
  </si>
  <si>
    <t>XiMangBacGiang</t>
  </si>
  <si>
    <t>CTCP Xi măng Bắc Giang</t>
  </si>
  <si>
    <t>XiMangGiaLai</t>
  </si>
  <si>
    <t>CTCP Xi măng Gia Lai</t>
  </si>
  <si>
    <t>XiMangKienGiang</t>
  </si>
  <si>
    <t>CTCP Xi măng Kiên Giang</t>
  </si>
  <si>
    <t>XimangTayDo</t>
  </si>
  <si>
    <t>CTCP Xi măng Tây Đô</t>
  </si>
  <si>
    <t>XLV</t>
  </si>
  <si>
    <t>CTCP Xây Lắp và Dịch vụ Sông Đà</t>
  </si>
  <si>
    <t>XMC</t>
  </si>
  <si>
    <t>CTCP Đầu tư  và Xây dựng Xuân Mai</t>
  </si>
  <si>
    <t>XMCOSEVCO</t>
  </si>
  <si>
    <t>Tổng Công ty Miền Trung - CTCP</t>
  </si>
  <si>
    <t>XMD</t>
  </si>
  <si>
    <t>CTCP Xuân Mai - Đạo Tú</t>
  </si>
  <si>
    <t>XMP</t>
  </si>
  <si>
    <t>CTCP Thủy điện Xuân Minh</t>
  </si>
  <si>
    <t>XMTuyenQuang</t>
  </si>
  <si>
    <t>CTCP Xi măng Tuyên Quang</t>
  </si>
  <si>
    <t>XNKNinhBinh</t>
  </si>
  <si>
    <t>CTCP Sản xuất Xuất nhập khẩu Ninh Bình</t>
  </si>
  <si>
    <t>XNKNongSan</t>
  </si>
  <si>
    <t>CTCP Dịch vụ - Xuất nhập khẩu Nông sản Hà Nội</t>
  </si>
  <si>
    <t>XNKSaigontourist</t>
  </si>
  <si>
    <t>CTCP Xuất nhập khẩu Saigontourist</t>
  </si>
  <si>
    <t>XNKThaiBinh</t>
  </si>
  <si>
    <t>CTCP Xuất nhập khẩu Tỉnh Thái Bình</t>
  </si>
  <si>
    <t>XPH</t>
  </si>
  <si>
    <t>CTCP Xà phòng Hà Nội</t>
  </si>
  <si>
    <t>XuatKhauLongAn</t>
  </si>
  <si>
    <t>CTCP May Xuất khẩu Long An</t>
  </si>
  <si>
    <t>YBC</t>
  </si>
  <si>
    <t>CTCP Xi măng và Khoáng sản Yên Bái</t>
  </si>
  <si>
    <t>YBM</t>
  </si>
  <si>
    <t>CTCP Khoáng sản Công nghiệp Yên Bái</t>
  </si>
  <si>
    <t>Yeah1Edigital</t>
  </si>
  <si>
    <t>CTCP Yeah1 Edigital</t>
  </si>
  <si>
    <t>YEG</t>
  </si>
  <si>
    <t>CTCP Tập đoàn Yeah1</t>
  </si>
  <si>
    <t>YenBai</t>
  </si>
  <si>
    <t>CTCP Xây dựng Số 3 Yên Bái</t>
  </si>
  <si>
    <t>YRC</t>
  </si>
  <si>
    <t>CTCP Đường sắt Yên Lào</t>
  </si>
  <si>
    <t>YSC</t>
  </si>
  <si>
    <t>CTCP Hapaco Yên Sơn</t>
  </si>
  <si>
    <t>YTC</t>
  </si>
  <si>
    <t>CTCP Xuất nhập khẩu Y tế Thành phố Hồ Chí Minh</t>
  </si>
  <si>
    <t>ZaloPay</t>
  </si>
  <si>
    <t>CTCP ZION</t>
  </si>
  <si>
    <t>VIETSTOCK</t>
  </si>
  <si>
    <t>81/10B Hồ Văn Huê, Phường Đức Nhuận, TP.HCM</t>
  </si>
  <si>
    <t>Website: vietstock.vn</t>
  </si>
  <si>
    <t>Email: info@vietstock.vn</t>
  </si>
  <si>
    <t>Tel: 84.8-3848 7238; Fax: 84.8-3848 7237</t>
  </si>
  <si>
    <t>TRUNG TÂM CHĂM SÓC KHÁCH HÀNG</t>
  </si>
  <si>
    <t>Email: data@vietstock.vn</t>
  </si>
  <si>
    <t>Hotline: 0908 16 98 98</t>
  </si>
  <si>
    <t>TỔNG CỘNG TÀI SẢN</t>
  </si>
  <si>
    <t>A. TÀI SẢN NGẮN HẠN</t>
  </si>
  <si>
    <t>I. Nợ ngắn hạn</t>
  </si>
  <si>
    <t>- LNST chưa phân phối kỳ này</t>
  </si>
  <si>
    <t>5. Lợi nhuận gộp về bán hàng và cung cấp dịch vụ</t>
  </si>
  <si>
    <t>A. NỢ PHẢI TRẢ</t>
  </si>
  <si>
    <t xml:space="preserve">1. Doanh thu bán hàng và cung cấp dịch vụ </t>
  </si>
  <si>
    <t>X1</t>
  </si>
  <si>
    <t>X2</t>
  </si>
  <si>
    <t>x3</t>
  </si>
  <si>
    <t>x4</t>
  </si>
  <si>
    <t>x5</t>
  </si>
  <si>
    <t>Zscore</t>
  </si>
  <si>
    <t>Z-flag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</si>
</sst>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_);[Red]\(#,##0.000\)"/>
  </numFmts>
  <fonts count="8" x14ac:knownFonts="1"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indexed="18"/>
      <name val="Arial"/>
      <family val="2"/>
    </font>
    <font>
      <sz val="11"/>
      <color indexed="1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1579B"/>
        <bgColor rgb="FF01579B"/>
      </patternFill>
    </fill>
  </fills>
  <borders count="6">
    <border>
      <left/>
      <right/>
      <top/>
      <bottom/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9"/>
      </left>
      <right style="thin">
        <color indexed="9"/>
      </right>
      <top/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/>
      <diagonal/>
    </border>
    <border>
      <left style="thin">
        <color indexed="30"/>
      </left>
      <right style="thin">
        <color indexed="30"/>
      </right>
      <top/>
      <bottom style="dotted">
        <color indexed="30"/>
      </bottom>
      <diagonal/>
    </border>
  </borders>
  <cellStyleXfs count="1">
    <xf numFmtId="0" fontId="0" fillId="0" borderId="0" applyAlignment="0"/>
  </cellStyleXfs>
  <cellXfs count="24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/>
    <xf numFmtId="0" fontId="2" fillId="2" borderId="0" xfId="0" applyFont="1" applyFill="1" applyAlignment="1">
      <alignment horizontal="center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center"/>
    </xf>
    <xf numFmtId="38" fontId="5" fillId="0" borderId="1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3" borderId="3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/>
    </xf>
    <xf numFmtId="0" fontId="4" fillId="0" borderId="4" xfId="0" applyFont="1" applyBorder="1" applyAlignment="1">
      <alignment horizontal="left"/>
    </xf>
    <xf numFmtId="0" fontId="5" fillId="0" borderId="4" xfId="0" applyFont="1" applyBorder="1" applyAlignment="1">
      <alignment horizontal="left" wrapText="1"/>
    </xf>
    <xf numFmtId="38" fontId="5" fillId="0" borderId="4" xfId="0" applyNumberFormat="1" applyFont="1" applyBorder="1" applyAlignment="1">
      <alignment horizontal="right"/>
    </xf>
    <xf numFmtId="164" fontId="3" fillId="3" borderId="3" xfId="0" applyNumberFormat="1" applyFont="1" applyFill="1" applyBorder="1" applyAlignment="1">
      <alignment horizontal="center" vertical="center" wrapText="1"/>
    </xf>
    <xf numFmtId="164" fontId="5" fillId="2" borderId="5" xfId="0" applyNumberFormat="1" applyFont="1" applyFill="1" applyBorder="1" applyAlignment="1">
      <alignment horizontal="right"/>
    </xf>
    <xf numFmtId="164" fontId="5" fillId="2" borderId="2" xfId="0" applyNumberFormat="1" applyFont="1" applyFill="1" applyBorder="1" applyAlignment="1">
      <alignment horizontal="right"/>
    </xf>
    <xf numFmtId="164" fontId="5" fillId="2" borderId="4" xfId="0" applyNumberFormat="1" applyFont="1" applyFill="1" applyBorder="1" applyAlignment="1">
      <alignment horizontal="right"/>
    </xf>
    <xf numFmtId="165" fontId="5" fillId="2" borderId="5" xfId="0" applyNumberFormat="1" applyFont="1" applyFill="1" applyBorder="1" applyAlignment="1">
      <alignment horizontal="right"/>
    </xf>
    <xf numFmtId="165" fontId="5" fillId="2" borderId="2" xfId="0" applyNumberFormat="1" applyFont="1" applyFill="1" applyBorder="1" applyAlignment="1">
      <alignment horizontal="right"/>
    </xf>
    <xf numFmtId="165" fontId="5" fillId="2" borderId="4" xfId="0" applyNumberFormat="1" applyFont="1" applyFill="1" applyBorder="1" applyAlignment="1">
      <alignment horizontal="right"/>
    </xf>
    <xf numFmtId="0" fontId="5" fillId="2" borderId="0" xfId="0" applyFont="1" applyFill="1" applyAlignment="1">
      <alignment horizontal="right"/>
    </xf>
  </cellXfs>
  <cellStyles count="1">
    <cellStyle name="Normal" xfId="0" builtinId="0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00_);[Red]\(#,##0.000\)"/>
      <alignment horizontal="right" vertical="bottom" textRotation="0" wrapText="0" indent="0" justifyLastLine="0" shrinkToFit="0" readingOrder="0"/>
      <border diagonalUp="0" diagonalDown="0" outline="0">
        <left style="thin">
          <color indexed="30"/>
        </left>
        <right style="thin">
          <color indexed="30"/>
        </right>
        <top style="dotted">
          <color indexed="30"/>
        </top>
        <bottom style="dotted">
          <color indexed="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00"/>
      <alignment horizontal="right" vertical="bottom" textRotation="0" wrapText="0" indent="0" justifyLastLine="0" shrinkToFit="0" readingOrder="0"/>
      <border diagonalUp="0" diagonalDown="0" outline="0">
        <left style="thin">
          <color indexed="30"/>
        </left>
        <right style="thin">
          <color indexed="30"/>
        </right>
        <top style="dotted">
          <color indexed="30"/>
        </top>
        <bottom style="dotted">
          <color indexed="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00"/>
      <alignment horizontal="right" vertical="bottom" textRotation="0" wrapText="0" indent="0" justifyLastLine="0" shrinkToFit="0" readingOrder="0"/>
      <border diagonalUp="0" diagonalDown="0" outline="0">
        <left style="thin">
          <color indexed="30"/>
        </left>
        <right style="thin">
          <color indexed="30"/>
        </right>
        <top style="dotted">
          <color indexed="30"/>
        </top>
        <bottom style="dotted">
          <color indexed="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6" formatCode="#,##0_);[Red]\(#,##0\)"/>
      <alignment horizontal="right" vertical="bottom" textRotation="0" wrapText="0" indent="0" justifyLastLine="0" shrinkToFit="0" readingOrder="0"/>
      <border diagonalUp="0" diagonalDown="0">
        <left style="thin">
          <color indexed="30"/>
        </left>
        <right style="thin">
          <color indexed="30"/>
        </right>
        <top style="dotted">
          <color indexed="30"/>
        </top>
        <bottom style="dotted">
          <color indexed="3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6" formatCode="#,##0_);[Red]\(#,##0\)"/>
      <alignment horizontal="right" vertical="bottom" textRotation="0" wrapText="0" indent="0" justifyLastLine="0" shrinkToFit="0" readingOrder="0"/>
      <border diagonalUp="0" diagonalDown="0">
        <left style="thin">
          <color indexed="30"/>
        </left>
        <right style="thin">
          <color indexed="30"/>
        </right>
        <top style="dotted">
          <color indexed="30"/>
        </top>
        <bottom style="dotted">
          <color indexed="3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6" formatCode="#,##0_);[Red]\(#,##0\)"/>
      <alignment horizontal="right" vertical="bottom" textRotation="0" wrapText="0" indent="0" justifyLastLine="0" shrinkToFit="0" readingOrder="0"/>
      <border diagonalUp="0" diagonalDown="0">
        <left style="thin">
          <color indexed="30"/>
        </left>
        <right style="thin">
          <color indexed="30"/>
        </right>
        <top style="dotted">
          <color indexed="30"/>
        </top>
        <bottom style="dotted">
          <color indexed="3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6" formatCode="#,##0_);[Red]\(#,##0\)"/>
      <alignment horizontal="right" vertical="bottom" textRotation="0" wrapText="0" indent="0" justifyLastLine="0" shrinkToFit="0" readingOrder="0"/>
      <border diagonalUp="0" diagonalDown="0">
        <left style="thin">
          <color indexed="30"/>
        </left>
        <right style="thin">
          <color indexed="30"/>
        </right>
        <top style="dotted">
          <color indexed="30"/>
        </top>
        <bottom style="dotted">
          <color indexed="3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30"/>
        </left>
        <right style="thin">
          <color indexed="30"/>
        </right>
        <top style="dotted">
          <color indexed="30"/>
        </top>
        <bottom style="dotted">
          <color indexed="3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30"/>
        </left>
        <right style="thin">
          <color indexed="30"/>
        </right>
        <top style="dotted">
          <color indexed="30"/>
        </top>
        <bottom style="dotted">
          <color indexed="3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6" formatCode="#,##0_);[Red]\(#,##0\)"/>
      <alignment horizontal="right" vertical="bottom" textRotation="0" wrapText="0" indent="0" justifyLastLine="0" shrinkToFit="0" readingOrder="0"/>
      <border diagonalUp="0" diagonalDown="0">
        <left style="thin">
          <color indexed="30"/>
        </left>
        <right style="thin">
          <color indexed="30"/>
        </right>
        <top style="dotted">
          <color indexed="30"/>
        </top>
        <bottom style="dotted">
          <color indexed="3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30"/>
        </left>
        <right style="thin">
          <color indexed="30"/>
        </right>
        <top style="dotted">
          <color indexed="30"/>
        </top>
        <bottom style="dotted">
          <color indexed="3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30"/>
        </left>
        <right style="thin">
          <color indexed="30"/>
        </right>
        <top style="dotted">
          <color indexed="30"/>
        </top>
        <bottom style="dotted">
          <color indexed="3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30"/>
        </left>
        <right style="thin">
          <color indexed="30"/>
        </right>
        <top style="dotted">
          <color indexed="30"/>
        </top>
        <bottom style="dotted">
          <color indexed="3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30"/>
        </left>
        <right style="thin">
          <color indexed="30"/>
        </right>
        <top style="dotted">
          <color indexed="30"/>
        </top>
        <bottom style="dotted">
          <color indexed="3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30"/>
        </left>
        <right style="thin">
          <color indexed="30"/>
        </right>
        <top style="dotted">
          <color indexed="30"/>
        </top>
        <bottom style="dotted">
          <color indexed="3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30"/>
        </left>
        <right style="thin">
          <color indexed="30"/>
        </right>
        <top style="dotted">
          <color indexed="30"/>
        </top>
        <bottom style="dotted">
          <color indexed="3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30"/>
        </left>
        <right style="thin">
          <color indexed="30"/>
        </right>
        <top style="dotted">
          <color indexed="30"/>
        </top>
        <bottom style="dotted">
          <color indexed="3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30"/>
        </left>
        <right style="thin">
          <color indexed="30"/>
        </right>
        <top style="dotted">
          <color indexed="30"/>
        </top>
        <bottom style="dotted">
          <color indexed="3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30"/>
        </left>
        <right style="thin">
          <color indexed="30"/>
        </right>
        <top style="dotted">
          <color indexed="30"/>
        </top>
        <bottom style="dotted">
          <color indexed="30"/>
        </bottom>
        <vertical/>
        <horizontal/>
      </border>
    </dxf>
    <dxf>
      <border outline="0">
        <top style="dotted">
          <color indexed="9"/>
        </top>
        <bottom style="dotted">
          <color indexed="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border outline="0">
        <bottom style="dotted">
          <color indexed="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Arial"/>
        <family val="2"/>
        <scheme val="none"/>
      </font>
      <fill>
        <patternFill patternType="solid">
          <fgColor rgb="FF01579B"/>
          <bgColor rgb="FF01579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9"/>
        </left>
        <right style="thin">
          <color indexed="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2</xdr:col>
      <xdr:colOff>904875</xdr:colOff>
      <xdr:row>3</xdr:row>
      <xdr:rowOff>98425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7158E-591F-438F-920D-A2F153FC0B38}" name="Table1" displayName="Table1" ref="A6:W2890" totalsRowShown="0" headerRowDxfId="26" dataDxfId="24" headerRowBorderDxfId="25" tableBorderDxfId="23">
  <autoFilter ref="A6:W2890" xr:uid="{EFE7158E-591F-438F-920D-A2F153FC0B38}">
    <filterColumn colId="21">
      <filters>
        <filter val="-0.013852602"/>
        <filter val="-0.041406155"/>
        <filter val="0.047237689"/>
        <filter val="0.050338534"/>
        <filter val="0.058809522"/>
        <filter val="-0.062825353"/>
        <filter val="-0.064124826"/>
        <filter val="0.080321053"/>
        <filter val="0.087059458"/>
        <filter val="0.088582513"/>
        <filter val="0.089753575"/>
        <filter val="0.095692144"/>
        <filter val="0.097904667"/>
        <filter val="0.099934956"/>
        <filter val="0.104120693"/>
        <filter val="0.104598009"/>
        <filter val="0.104798493"/>
        <filter val="0.108759164"/>
        <filter val="0.108894468"/>
        <filter val="0.110790543"/>
        <filter val="0.116412789"/>
        <filter val="-0.11830706"/>
        <filter val="0.118452443"/>
        <filter val="0.122190767"/>
        <filter val="0.122537583"/>
        <filter val="0.124329575"/>
        <filter val="0.128352116"/>
        <filter val="0.128616484"/>
        <filter val="0.128632888"/>
        <filter val="-0.129090691"/>
        <filter val="0.134553157"/>
        <filter val="0.136082112"/>
        <filter val="0.13655393"/>
        <filter val="0.138045256"/>
        <filter val="0.139284887"/>
        <filter val="0.140638732"/>
        <filter val="0.146455958"/>
        <filter val="0.150427572"/>
        <filter val="0.151204045"/>
        <filter val="0.158105247"/>
        <filter val="-0.1781939"/>
        <filter val="0.17917123"/>
        <filter val="0.187530281"/>
        <filter val="0.190709304"/>
        <filter val="0.193334812"/>
        <filter val="0.197949361"/>
        <filter val="0.216430345"/>
        <filter val="0.246601801"/>
        <filter val="0.261191274"/>
        <filter val="0.276334869"/>
        <filter val="0.297370695"/>
        <filter val="0.329813597"/>
        <filter val="0.330102427"/>
        <filter val="0.332116259"/>
        <filter val="0.332977307"/>
        <filter val="-0.360308913"/>
        <filter val="-0.36340615"/>
        <filter val="0.369911224"/>
        <filter val="0.372142915"/>
        <filter val="0.37935923"/>
        <filter val="0.38980808"/>
        <filter val="0.392350501"/>
        <filter val="0.401566862"/>
        <filter val="0.403869842"/>
        <filter val="0.410131501"/>
        <filter val="0.433927843"/>
        <filter val="0.434640754"/>
        <filter val="0.459899656"/>
        <filter val="0.47177463"/>
        <filter val="0.476066941"/>
        <filter val="0.480098255"/>
        <filter val="0.480523184"/>
        <filter val="0.484240276"/>
        <filter val="0.496209941"/>
        <filter val="0.501114334"/>
        <filter val="0.501203208"/>
        <filter val="0.50399416"/>
        <filter val="0.506440511"/>
        <filter val="-0.508311139"/>
        <filter val="0.521834456"/>
        <filter val="0.525123806"/>
        <filter val="0.547066361"/>
        <filter val="0.547137375"/>
        <filter val="-0.550746204"/>
        <filter val="0.557076051"/>
        <filter val="-0.56081614"/>
        <filter val="-0.56209187"/>
        <filter val="0.567798811"/>
        <filter val="0.571631489"/>
        <filter val="0.573576794"/>
        <filter val="0.578448295"/>
        <filter val="-0.587035965"/>
        <filter val="0.589730566"/>
        <filter val="0.601436457"/>
        <filter val="0.607085006"/>
        <filter val="0.615092299"/>
        <filter val="0.62542359"/>
        <filter val="0.632476663"/>
        <filter val="0.632783787"/>
        <filter val="0.635194126"/>
        <filter val="0.640473793"/>
        <filter val="0.640636083"/>
        <filter val="0.672536982"/>
        <filter val="0.67433928"/>
        <filter val="0.686725606"/>
        <filter val="0.692075252"/>
        <filter val="0.719780679"/>
        <filter val="0.726314914"/>
        <filter val="-0.729867601"/>
        <filter val="0.730728919"/>
        <filter val="0.74251611"/>
        <filter val="0.749534156"/>
        <filter val="0.752587574"/>
        <filter val="-0.759327724"/>
        <filter val="0.763501687"/>
        <filter val="0.770328747"/>
        <filter val="0.773577248"/>
        <filter val="0.782339383"/>
        <filter val="0.788128789"/>
        <filter val="0.789565478"/>
        <filter val="0.790426445"/>
        <filter val="-0.792792682"/>
        <filter val="0.806310398"/>
        <filter val="0.807761247"/>
        <filter val="0.813292985"/>
        <filter val="0.816475864"/>
        <filter val="0.82002394"/>
        <filter val="0.824124217"/>
        <filter val="0.825246739"/>
        <filter val="0.825595341"/>
        <filter val="0.826380074"/>
        <filter val="0.834048706"/>
        <filter val="0.84099264"/>
        <filter val="0.843006524"/>
        <filter val="0.851347894"/>
        <filter val="0.852017836"/>
        <filter val="0.85280733"/>
        <filter val="0.853836912"/>
        <filter val="0.855320582"/>
        <filter val="0.865513836"/>
        <filter val="0.865826689"/>
        <filter val="0.866901278"/>
        <filter val="-0.877989731"/>
        <filter val="0.879651011"/>
        <filter val="0.883823778"/>
        <filter val="0.898058239"/>
        <filter val="0.899088904"/>
        <filter val="0.910662499"/>
        <filter val="0.916911784"/>
        <filter val="0.929350071"/>
        <filter val="0.930614219"/>
        <filter val="0.936221984"/>
        <filter val="0.937491908"/>
        <filter val="0.944456646"/>
        <filter val="0.950481529"/>
        <filter val="0.951732254"/>
        <filter val="0.951952794"/>
        <filter val="0.954426373"/>
        <filter val="0.956303269"/>
        <filter val="0.960440774"/>
        <filter val="0.968920586"/>
        <filter val="0.970178822"/>
        <filter val="0.972332302"/>
        <filter val="0.977066186"/>
        <filter val="0.981606925"/>
        <filter val="0.984580251"/>
        <filter val="0.987511118"/>
        <filter val="0.988366273"/>
        <filter val="0.992478947"/>
        <filter val="0.993322328"/>
        <filter val="0.993571836"/>
        <filter val="1.00036293"/>
        <filter val="1.010812621"/>
        <filter val="1.012818933"/>
        <filter val="1.013961121"/>
        <filter val="1.03652586"/>
        <filter val="1.036676482"/>
        <filter val="1.045743223"/>
        <filter val="1.055895118"/>
        <filter val="1.070048463"/>
        <filter val="1.073647872"/>
        <filter val="1.074197413"/>
        <filter val="1.074609685"/>
        <filter val="1.075806653"/>
        <filter val="1.088109886"/>
        <filter val="1.090104561"/>
        <filter val="1.096803147"/>
        <filter val="1.107083156"/>
        <filter val="1.113374265"/>
        <filter val="1.115986377"/>
        <filter val="1.124960643"/>
        <filter val="1.127151128"/>
        <filter val="1.128951808"/>
        <filter val="1.136024712"/>
        <filter val="1.137702743"/>
        <filter val="1.137784439"/>
        <filter val="1.138249228"/>
        <filter val="1.140958"/>
        <filter val="1.141601434"/>
        <filter val="1.143628204"/>
        <filter val="1.150354839"/>
        <filter val="1.150665328"/>
        <filter val="1.152345066"/>
        <filter val="1.152623091"/>
        <filter val="1.154308337"/>
        <filter val="1.155072291"/>
        <filter val="1.158235789"/>
        <filter val="1.164190429"/>
        <filter val="1.173945426"/>
        <filter val="1.175351824"/>
        <filter val="1.175737144"/>
        <filter val="1.183857951"/>
        <filter val="1.185775513"/>
        <filter val="1.192307985"/>
        <filter val="1.196457363"/>
        <filter val="1.198992238"/>
        <filter val="1.201519779"/>
        <filter val="1.20376951"/>
        <filter val="1.204198088"/>
        <filter val="1.210359865"/>
        <filter val="1.210664272"/>
        <filter val="1.214738564"/>
        <filter val="1.214757573"/>
        <filter val="1.215320681"/>
        <filter val="1.221035404"/>
        <filter val="1.222416066"/>
        <filter val="1.225308226"/>
        <filter val="1.225465212"/>
        <filter val="1.226218114"/>
        <filter val="1.227914575"/>
        <filter val="1.231689294"/>
        <filter val="-1.232563321"/>
        <filter val="1.233867535"/>
        <filter val="1.236812705"/>
        <filter val="1.239690275"/>
        <filter val="1.242231197"/>
        <filter val="1.245556695"/>
        <filter val="1.248052673"/>
        <filter val="1.251294456"/>
        <filter val="1.253229897"/>
        <filter val="1.258061246"/>
        <filter val="1.264637377"/>
        <filter val="1.269500167"/>
        <filter val="1.269509235"/>
        <filter val="-1.270077032"/>
        <filter val="1.271559602"/>
        <filter val="1.278295497"/>
        <filter val="1.294785889"/>
        <filter val="1.298669706"/>
        <filter val="1.304417162"/>
        <filter val="1.304877024"/>
        <filter val="1.30752468"/>
        <filter val="1.307795434"/>
        <filter val="1.308491907"/>
        <filter val="1.310742059"/>
        <filter val="1.312840287"/>
        <filter val="1.317174839"/>
        <filter val="1.317260793"/>
        <filter val="1.32270751"/>
        <filter val="1.323252059"/>
        <filter val="1.326551853"/>
        <filter val="1.329019364"/>
        <filter val="1.329421157"/>
        <filter val="1.331095532"/>
        <filter val="1.331393159"/>
        <filter val="1.343741391"/>
        <filter val="1.345040756"/>
        <filter val="1.346640454"/>
        <filter val="1.347085194"/>
        <filter val="1.348774468"/>
        <filter val="1.352323414"/>
        <filter val="1.35271581"/>
        <filter val="1.35962104"/>
        <filter val="1.360097494"/>
        <filter val="1.363556167"/>
        <filter val="1.364537165"/>
        <filter val="1.374671888"/>
        <filter val="1.378017002"/>
        <filter val="1.378478909"/>
        <filter val="1.378883203"/>
        <filter val="1.380708041"/>
        <filter val="1.382734431"/>
        <filter val="1.390393529"/>
        <filter val="1.391047792"/>
        <filter val="1.39799047"/>
        <filter val="1.399618734"/>
        <filter val="1.400214671"/>
        <filter val="1.407689251"/>
        <filter val="1.41828439"/>
        <filter val="1.421456999"/>
        <filter val="1.422087711"/>
        <filter val="1.424726117"/>
        <filter val="1.426421827"/>
        <filter val="1.435247141"/>
        <filter val="1.437190839"/>
        <filter val="1.438547727"/>
        <filter val="1.447128978"/>
        <filter val="1.451777"/>
        <filter val="1.452688464"/>
        <filter val="1.455543046"/>
        <filter val="1.458929275"/>
        <filter val="1.460235868"/>
        <filter val="1.461677544"/>
        <filter val="1.463889284"/>
        <filter val="1.475568443"/>
        <filter val="1.477685869"/>
        <filter val="1.478149586"/>
        <filter val="1.480311929"/>
        <filter val="1.482623714"/>
        <filter val="1.487694837"/>
        <filter val="1.489991229"/>
        <filter val="1.496800587"/>
        <filter val="1.506785137"/>
        <filter val="1.510683089"/>
        <filter val="1.511029584"/>
        <filter val="1.512051955"/>
        <filter val="1.528642896"/>
        <filter val="1.530938939"/>
        <filter val="1.533373193"/>
        <filter val="1.546120459"/>
        <filter val="1.54803397"/>
        <filter val="1.551629526"/>
        <filter val="1.562258156"/>
        <filter val="1.564573848"/>
        <filter val="1.567423029"/>
        <filter val="1.569122201"/>
        <filter val="1.570056438"/>
        <filter val="1.575914513"/>
        <filter val="1.576117165"/>
        <filter val="-1.583819111"/>
        <filter val="1.585215249"/>
        <filter val="1.593245689"/>
        <filter val="1.595567831"/>
        <filter val="1.601749718"/>
        <filter val="1.602366194"/>
        <filter val="1.606116353"/>
        <filter val="1.60700355"/>
        <filter val="1.609098613"/>
        <filter val="1.617009905"/>
        <filter val="1.618495377"/>
        <filter val="1.624811187"/>
        <filter val="1.632480702"/>
        <filter val="1.635381442"/>
        <filter val="1.643877362"/>
        <filter val="1.645896107"/>
        <filter val="1.651569187"/>
        <filter val="1.653769247"/>
        <filter val="1.666830675"/>
        <filter val="1.668280709"/>
        <filter val="-1.668555807"/>
        <filter val="1.67052416"/>
        <filter val="1.673557651"/>
        <filter val="1.676377391"/>
        <filter val="1.682655745"/>
        <filter val="1.68318891"/>
        <filter val="1.685856706"/>
        <filter val="1.690284093"/>
        <filter val="1.691826435"/>
        <filter val="1.693953405"/>
        <filter val="1.69582562"/>
        <filter val="1.698391674"/>
        <filter val="1.699181539"/>
        <filter val="1.703815082"/>
        <filter val="1.704771394"/>
        <filter val="1.710869442"/>
        <filter val="1.712291145"/>
        <filter val="1.716992843"/>
        <filter val="1.726115567"/>
        <filter val="1.731496042"/>
        <filter val="1.735732852"/>
        <filter val="1.735994425"/>
        <filter val="1.737955377"/>
        <filter val="1.743223036"/>
        <filter val="1.745679014"/>
        <filter val="1.747356191"/>
        <filter val="1.747859277"/>
        <filter val="1.748403941"/>
        <filter val="1.748764051"/>
        <filter val="1.753490868"/>
        <filter val="1.755430346"/>
        <filter val="1.76126399"/>
        <filter val="1.763777472"/>
        <filter val="1.76485243"/>
        <filter val="1.768212393"/>
        <filter val="1.768522597"/>
        <filter val="1.769755473"/>
        <filter val="1.772327532"/>
        <filter val="1.773729136"/>
        <filter val="1.784274226"/>
        <filter val="1.786462508"/>
        <filter val="1.805336739"/>
        <filter val="1.806917046"/>
        <filter val="1.808885122"/>
        <filter val="1.808895636"/>
        <filter val="1.810236078"/>
        <filter val="1.810794086"/>
        <filter val="1.81166304"/>
        <filter val="1.819336305"/>
        <filter val="1.8238925"/>
        <filter val="1.824935329"/>
        <filter val="1.82535128"/>
        <filter val="1.826294822"/>
        <filter val="1.828635483"/>
        <filter val="1.831983701"/>
        <filter val="1.840727454"/>
        <filter val="1.841469418"/>
        <filter val="1.842545802"/>
        <filter val="1.844408699"/>
        <filter val="1.849189649"/>
        <filter val="1.852712447"/>
        <filter val="1.85755119"/>
        <filter val="1.862494594"/>
        <filter val="1.862745422"/>
        <filter val="1.864724033"/>
        <filter val="1.869096096"/>
        <filter val="1.874253761"/>
        <filter val="1.876122462"/>
        <filter val="1.880394488"/>
        <filter val="1.880566913"/>
        <filter val="1.897149672"/>
        <filter val="1.89803674"/>
        <filter val="1.898885297"/>
        <filter val="1.900424591"/>
        <filter val="-1.909824938"/>
        <filter val="1.91081432"/>
        <filter val="1.911978395"/>
        <filter val="1.914620479"/>
        <filter val="1.915095149"/>
        <filter val="1.917614881"/>
        <filter val="1.917781542"/>
        <filter val="1.918363835"/>
        <filter val="1.920344487"/>
        <filter val="1.920914614"/>
        <filter val="1.921742266"/>
        <filter val="1.923334305"/>
        <filter val="1.924757195"/>
        <filter val="1.926048104"/>
        <filter val="1.930131136"/>
        <filter val="1.933323866"/>
        <filter val="1.936173448"/>
        <filter val="1.94499442"/>
        <filter val="1.948364824"/>
        <filter val="1.949660196"/>
        <filter val="1.950046558"/>
        <filter val="1.955596414"/>
        <filter val="1.9624711"/>
        <filter val="1.96939404"/>
        <filter val="1.970594861"/>
        <filter val="1.974612944"/>
        <filter val="1.975278619"/>
        <filter val="1.976644826"/>
        <filter val="1.979585679"/>
        <filter val="1.980121783"/>
        <filter val="1.980410517"/>
        <filter val="1.983536288"/>
        <filter val="1.992200609"/>
        <filter val="1.995073997"/>
        <filter val="1.997387276"/>
        <filter val="1.997662445"/>
        <filter val="10.14802719"/>
        <filter val="10.51228432"/>
        <filter val="10.60032583"/>
        <filter val="10.61980856"/>
        <filter val="10.67355691"/>
        <filter val="10.8297595"/>
        <filter val="10.89291167"/>
        <filter val="10.99422395"/>
        <filter val="11.03875909"/>
        <filter val="11.05722632"/>
        <filter val="11.08437548"/>
        <filter val="11.12040789"/>
        <filter val="11.17490714"/>
        <filter val="11.23443589"/>
        <filter val="11.40564947"/>
        <filter val="11.42457452"/>
        <filter val="11.56081036"/>
        <filter val="11.77689526"/>
        <filter val="11.83328869"/>
        <filter val="12.00318954"/>
        <filter val="12.07754144"/>
        <filter val="12.39821483"/>
        <filter val="12.42711326"/>
        <filter val="12.58673376"/>
        <filter val="12.68199108"/>
        <filter val="12.69085478"/>
        <filter val="12.87261447"/>
        <filter val="-121.9377273"/>
        <filter val="13.07491237"/>
        <filter val="13.68857383"/>
        <filter val="13.71885759"/>
        <filter val="13.99017788"/>
        <filter val="14.04112412"/>
        <filter val="14.14347663"/>
        <filter val="14.21129267"/>
        <filter val="14.51411572"/>
        <filter val="14.58485947"/>
        <filter val="14.631921"/>
        <filter val="14.84545126"/>
        <filter val="-14.84879548"/>
        <filter val="14.93814568"/>
        <filter val="147.6539356"/>
        <filter val="148.1002212"/>
        <filter val="15.17144604"/>
        <filter val="15.39983649"/>
        <filter val="15.70230684"/>
        <filter val="15.71138402"/>
        <filter val="-15.78518038"/>
        <filter val="-153.9540832"/>
        <filter val="16.35115971"/>
        <filter val="16.43335854"/>
        <filter val="16.86953406"/>
        <filter val="17.22585874"/>
        <filter val="17.24358199"/>
        <filter val="17.53693356"/>
        <filter val="18.3276818"/>
        <filter val="18.34760298"/>
        <filter val="19.33158256"/>
        <filter val="19.39046929"/>
        <filter val="19.50192796"/>
        <filter val="19.93472191"/>
        <filter val="19.99383515"/>
        <filter val="2.000621472"/>
        <filter val="2.006284361"/>
        <filter val="2.006724165"/>
        <filter val="2.009109475"/>
        <filter val="2.02277239"/>
        <filter val="2.024669519"/>
        <filter val="2.032365434"/>
        <filter val="2.035755599"/>
        <filter val="2.037045233"/>
        <filter val="2.038717559"/>
        <filter val="2.039424596"/>
        <filter val="2.043112711"/>
        <filter val="-2.045784527"/>
        <filter val="2.047075311"/>
        <filter val="2.048485726"/>
        <filter val="2.051755442"/>
        <filter val="2.053118421"/>
        <filter val="2.066468897"/>
        <filter val="2.067111261"/>
        <filter val="2.070275782"/>
        <filter val="2.080878893"/>
        <filter val="2.088371352"/>
        <filter val="2.089947905"/>
        <filter val="2.090763282"/>
        <filter val="2.09188614"/>
        <filter val="2.094000588"/>
        <filter val="2.101816925"/>
        <filter val="2.111212221"/>
        <filter val="2.112300383"/>
        <filter val="2.11236492"/>
        <filter val="2.114389687"/>
        <filter val="2.116181874"/>
        <filter val="2.120572189"/>
        <filter val="2.132633206"/>
        <filter val="2.135526634"/>
        <filter val="2.138190518"/>
        <filter val="2.141803608"/>
        <filter val="2.143697718"/>
        <filter val="2.144987954"/>
        <filter val="2.151701793"/>
        <filter val="2.15745221"/>
        <filter val="2.164020301"/>
        <filter val="2.164475406"/>
        <filter val="2.166088558"/>
        <filter val="2.178471948"/>
        <filter val="2.189551624"/>
        <filter val="2.203966456"/>
        <filter val="2.208828661"/>
        <filter val="2.20933337"/>
        <filter val="2.213708065"/>
        <filter val="2.215925566"/>
        <filter val="2.220853111"/>
        <filter val="2.223356871"/>
        <filter val="2.236723247"/>
        <filter val="2.238864245"/>
        <filter val="2.240808373"/>
        <filter val="2.242062873"/>
        <filter val="2.244234744"/>
        <filter val="2.255559762"/>
        <filter val="2.260185697"/>
        <filter val="2.262971676"/>
        <filter val="2.26354985"/>
        <filter val="2.266331689"/>
        <filter val="2.267305909"/>
        <filter val="2.27004052"/>
        <filter val="2.271196534"/>
        <filter val="2.274819839"/>
        <filter val="2.275363911"/>
        <filter val="2.281967931"/>
        <filter val="2.285833495"/>
        <filter val="2.287863919"/>
        <filter val="2.29456668"/>
        <filter val="2.307556859"/>
        <filter val="2.325271348"/>
        <filter val="2.325351362"/>
        <filter val="2.326239274"/>
        <filter val="2.329697617"/>
        <filter val="2.331976533"/>
        <filter val="2.332389325"/>
        <filter val="2.339739311"/>
        <filter val="2.350226986"/>
        <filter val="2.351649156"/>
        <filter val="2.359032758"/>
        <filter val="2.366482633"/>
        <filter val="2.36976351"/>
        <filter val="2.37357211"/>
        <filter val="2.38436158"/>
        <filter val="2.394928364"/>
        <filter val="2.404802994"/>
        <filter val="2.412430158"/>
        <filter val="2.420183665"/>
        <filter val="2.42293138"/>
        <filter val="2.429425901"/>
        <filter val="2.459348995"/>
        <filter val="2.46081622"/>
        <filter val="2.466903398"/>
        <filter val="2.467142878"/>
        <filter val="2.469416892"/>
        <filter val="2.476021989"/>
        <filter val="2.476647723"/>
        <filter val="2.478945312"/>
        <filter val="2.508987245"/>
        <filter val="-2.517824325"/>
        <filter val="2.524182197"/>
        <filter val="2.52878899"/>
        <filter val="2.541457253"/>
        <filter val="2.544210197"/>
        <filter val="2.549163738"/>
        <filter val="2.553614882"/>
        <filter val="2.56245115"/>
        <filter val="2.570079376"/>
        <filter val="2.57084447"/>
        <filter val="2.572830138"/>
        <filter val="2.589461057"/>
        <filter val="2.590108747"/>
        <filter val="2.591602389"/>
        <filter val="2.592478144"/>
        <filter val="2.595232544"/>
        <filter val="2.603699474"/>
        <filter val="2.619417801"/>
        <filter val="2.623061042"/>
        <filter val="2.625862603"/>
        <filter val="2.63491933"/>
        <filter val="2.638186549"/>
        <filter val="2.648646987"/>
        <filter val="2.651241609"/>
        <filter val="2.663782175"/>
        <filter val="2.665346802"/>
        <filter val="-2.673567895"/>
        <filter val="2.674804315"/>
        <filter val="2.676344579"/>
        <filter val="2.677961271"/>
        <filter val="2.684490001"/>
        <filter val="2.70161322"/>
        <filter val="2.719889066"/>
        <filter val="2.720345872"/>
        <filter val="2.724151812"/>
        <filter val="2.739350501"/>
        <filter val="2.741874591"/>
        <filter val="2.741877847"/>
        <filter val="2.742782262"/>
        <filter val="2.753516951"/>
        <filter val="2.754521209"/>
        <filter val="2.764265481"/>
        <filter val="2.765700611"/>
        <filter val="2.766385787"/>
        <filter val="2.76878504"/>
        <filter val="2.783924652"/>
        <filter val="2.786150635"/>
        <filter val="2.788425658"/>
        <filter val="2.790941498"/>
        <filter val="2.791882257"/>
        <filter val="2.795273987"/>
        <filter val="2.799189631"/>
        <filter val="2.802991276"/>
        <filter val="2.810327958"/>
        <filter val="2.828093126"/>
        <filter val="2.830142891"/>
        <filter val="2.843354236"/>
        <filter val="2.851041703"/>
        <filter val="2.857644886"/>
        <filter val="2.867333907"/>
        <filter val="2.867706619"/>
        <filter val="2.873103518"/>
        <filter val="2.877844864"/>
        <filter val="2.882615656"/>
        <filter val="2.892519801"/>
        <filter val="2.89264396"/>
        <filter val="2.893930638"/>
        <filter val="2.894503238"/>
        <filter val="2.89754442"/>
        <filter val="2.900363289"/>
        <filter val="2.913369795"/>
        <filter val="2.917106758"/>
        <filter val="2.918084773"/>
        <filter val="2.922670495"/>
        <filter val="2.930775061"/>
        <filter val="2.931763177"/>
        <filter val="2.938100347"/>
        <filter val="2.950916207"/>
        <filter val="2.951067437"/>
        <filter val="2.952131669"/>
        <filter val="2.959792963"/>
        <filter val="2.960042913"/>
        <filter val="2.97219508"/>
        <filter val="2.972288628"/>
        <filter val="2.97367135"/>
        <filter val="2.979082792"/>
        <filter val="2.98634604"/>
        <filter val="2.991163928"/>
        <filter val="2.992420754"/>
        <filter val="2.997763534"/>
        <filter val="20.25293197"/>
        <filter val="20.69265581"/>
        <filter val="20.8481474"/>
        <filter val="21.44207232"/>
        <filter val="210.6642157"/>
        <filter val="22.2442094"/>
        <filter val="22.30395961"/>
        <filter val="22.33796352"/>
        <filter val="23.35296249"/>
        <filter val="23.99068056"/>
        <filter val="24.31014186"/>
        <filter val="24.39795882"/>
        <filter val="25.29370185"/>
        <filter val="25.29685741"/>
        <filter val="26.04596049"/>
        <filter val="26.14928314"/>
        <filter val="26.90272975"/>
        <filter val="3.018508809"/>
        <filter val="3.020650379"/>
        <filter val="3.022228958"/>
        <filter val="3.022322139"/>
        <filter val="3.02418016"/>
        <filter val="3.034488771"/>
        <filter val="3.054700525"/>
        <filter val="3.060750554"/>
        <filter val="3.062057419"/>
        <filter val="3.063483719"/>
        <filter val="3.076399172"/>
        <filter val="3.088844967"/>
        <filter val="3.090757859"/>
        <filter val="3.093915623"/>
        <filter val="3.100272509"/>
        <filter val="3.10269484"/>
        <filter val="3.116985455"/>
        <filter val="3.119709285"/>
        <filter val="-3.133535524"/>
        <filter val="3.13564433"/>
        <filter val="3.137545092"/>
        <filter val="3.144517444"/>
        <filter val="3.148432478"/>
        <filter val="3.152833527"/>
        <filter val="3.160664743"/>
        <filter val="3.161756816"/>
        <filter val="3.172408043"/>
        <filter val="3.180260699"/>
        <filter val="3.182100137"/>
        <filter val="3.182910231"/>
        <filter val="3.184300249"/>
        <filter val="3.184464245"/>
        <filter val="3.190860238"/>
        <filter val="3.205510824"/>
        <filter val="3.211297633"/>
        <filter val="3.214188596"/>
        <filter val="3.215000203"/>
        <filter val="3.222169062"/>
        <filter val="3.224216087"/>
        <filter val="3.247828623"/>
        <filter val="3.249272141"/>
        <filter val="3.261762169"/>
        <filter val="3.261907269"/>
        <filter val="3.264338007"/>
        <filter val="3.271642955"/>
        <filter val="3.27730782"/>
        <filter val="3.288854153"/>
        <filter val="3.28906958"/>
        <filter val="3.307390747"/>
        <filter val="3.3190233"/>
        <filter val="3.329226472"/>
        <filter val="3.33208813"/>
        <filter val="3.340909024"/>
        <filter val="3.341790686"/>
        <filter val="3.344166739"/>
        <filter val="3.350494769"/>
        <filter val="3.356695522"/>
        <filter val="3.359857427"/>
        <filter val="3.366313374"/>
        <filter val="3.370680731"/>
        <filter val="3.373015824"/>
        <filter val="3.380659607"/>
        <filter val="3.388432292"/>
        <filter val="3.404302671"/>
        <filter val="3.405085455"/>
        <filter val="3.408894179"/>
        <filter val="3.4105097"/>
        <filter val="3.41434952"/>
        <filter val="3.414984792"/>
        <filter val="3.41736351"/>
        <filter val="3.42160286"/>
        <filter val="3.424680491"/>
        <filter val="3.430179561"/>
        <filter val="3.432755908"/>
        <filter val="3.433806165"/>
        <filter val="3.466961123"/>
        <filter val="3.467387612"/>
        <filter val="3.476751411"/>
        <filter val="3.482563678"/>
        <filter val="3.487855727"/>
        <filter val="3.493000062"/>
        <filter val="3.527322654"/>
        <filter val="3.531124409"/>
        <filter val="3.550247644"/>
        <filter val="3.5609"/>
        <filter val="3.565085627"/>
        <filter val="3.566947585"/>
        <filter val="3.57060046"/>
        <filter val="3.570803215"/>
        <filter val="3.578426024"/>
        <filter val="3.578436704"/>
        <filter val="3.591064906"/>
        <filter val="3.602361114"/>
        <filter val="3.606363747"/>
        <filter val="3.613940381"/>
        <filter val="3.620603607"/>
        <filter val="3.624368064"/>
        <filter val="3.630358665"/>
        <filter val="3.638184385"/>
        <filter val="3.650328864"/>
        <filter val="3.652817095"/>
        <filter val="3.657904857"/>
        <filter val="3.679336483"/>
        <filter val="3.686337935"/>
        <filter val="3.715539464"/>
        <filter val="3.719274986"/>
        <filter val="3.722745377"/>
        <filter val="3.729755527"/>
        <filter val="3.75178605"/>
        <filter val="3.760992771"/>
        <filter val="3.761952331"/>
        <filter val="3.774872235"/>
        <filter val="3.777328312"/>
        <filter val="3.779919555"/>
        <filter val="3.784056103"/>
        <filter val="3.791866265"/>
        <filter val="3.798711157"/>
        <filter val="3.827138944"/>
        <filter val="3.828515929"/>
        <filter val="3.844357699"/>
        <filter val="3.846664595"/>
        <filter val="3.851797355"/>
        <filter val="3.895834442"/>
        <filter val="3.909676582"/>
        <filter val="3.923791488"/>
        <filter val="3.933171896"/>
        <filter val="3.936177268"/>
        <filter val="3.939110329"/>
        <filter val="3.953614914"/>
        <filter val="3.961443382"/>
        <filter val="3.962302914"/>
        <filter val="3.965520356"/>
        <filter val="3.970775537"/>
        <filter val="3.976126207"/>
        <filter val="3.976773906"/>
        <filter val="3.983641878"/>
        <filter val="3.983966501"/>
        <filter val="30.27244104"/>
        <filter val="31.46993045"/>
        <filter val="32.18105309"/>
        <filter val="-32.53479326"/>
        <filter val="38.81244389"/>
        <filter val="38.83101716"/>
        <filter val="4.001049188"/>
        <filter val="4.022654855"/>
        <filter val="4.025278505"/>
        <filter val="4.028035997"/>
        <filter val="4.035403096"/>
        <filter val="4.037046883"/>
        <filter val="4.039116591"/>
        <filter val="4.040533991"/>
        <filter val="4.062541668"/>
        <filter val="4.067877133"/>
        <filter val="4.075182723"/>
        <filter val="4.10384765"/>
        <filter val="4.124606736"/>
        <filter val="4.130992237"/>
        <filter val="4.140634329"/>
        <filter val="4.144277356"/>
        <filter val="4.148947365"/>
        <filter val="4.161972422"/>
        <filter val="4.18643613"/>
        <filter val="4.208657026"/>
        <filter val="4.209172084"/>
        <filter val="4.225666217"/>
        <filter val="4.235791368"/>
        <filter val="4.243550822"/>
        <filter val="4.243614137"/>
        <filter val="4.245679626"/>
        <filter val="4.258866145"/>
        <filter val="4.284783143"/>
        <filter val="4.312043901"/>
        <filter val="4.323149604"/>
        <filter val="4.336141389"/>
        <filter val="4.346868552"/>
        <filter val="4.351496542"/>
        <filter val="4.353824415"/>
        <filter val="4.35509539"/>
        <filter val="4.366551453"/>
        <filter val="4.367691966"/>
        <filter val="4.374885227"/>
        <filter val="4.380280665"/>
        <filter val="4.384047176"/>
        <filter val="4.385010335"/>
        <filter val="4.385218713"/>
        <filter val="4.39076832"/>
        <filter val="4.408792936"/>
        <filter val="4.412757786"/>
        <filter val="4.414358637"/>
        <filter val="4.46918977"/>
        <filter val="4.483666276"/>
        <filter val="4.4965967"/>
        <filter val="4.498612691"/>
        <filter val="4.503696676"/>
        <filter val="4.507655862"/>
        <filter val="4.547750434"/>
        <filter val="4.55133257"/>
        <filter val="4.56223192"/>
        <filter val="4.566136138"/>
        <filter val="4.579740201"/>
        <filter val="4.595870657"/>
        <filter val="4.604513409"/>
        <filter val="4.610283211"/>
        <filter val="4.6274962"/>
        <filter val="4.649426921"/>
        <filter val="4.659877678"/>
        <filter val="4.665791102"/>
        <filter val="4.670654505"/>
        <filter val="4.678821973"/>
        <filter val="4.679270413"/>
        <filter val="4.69277272"/>
        <filter val="4.724973607"/>
        <filter val="4.761796057"/>
        <filter val="4.795262156"/>
        <filter val="4.801347714"/>
        <filter val="4.808557606"/>
        <filter val="4.810613496"/>
        <filter val="4.821512987"/>
        <filter val="4.826381631"/>
        <filter val="4.830279291"/>
        <filter val="4.844607682"/>
        <filter val="4.847793893"/>
        <filter val="4.855431396"/>
        <filter val="4.884309262"/>
        <filter val="4.890625082"/>
        <filter val="4.911250098"/>
        <filter val="4.915549376"/>
        <filter val="4.91590456"/>
        <filter val="4.92161847"/>
        <filter val="4.921815033"/>
        <filter val="4.921922783"/>
        <filter val="4.940493658"/>
        <filter val="4.992841139"/>
        <filter val="4.995786426"/>
        <filter val="4.999509988"/>
        <filter val="5.003149448"/>
        <filter val="5.037931631"/>
        <filter val="5.069259981"/>
        <filter val="5.110465117"/>
        <filter val="5.1350641"/>
        <filter val="5.148021201"/>
        <filter val="5.149980983"/>
        <filter val="5.151827386"/>
        <filter val="5.169683988"/>
        <filter val="5.179582985"/>
        <filter val="5.190024674"/>
        <filter val="5.217107889"/>
        <filter val="5.226151709"/>
        <filter val="5.241322435"/>
        <filter val="5.265402914"/>
        <filter val="5.297658897"/>
        <filter val="5.301337788"/>
        <filter val="5.318982412"/>
        <filter val="5.323317382"/>
        <filter val="5.329562317"/>
        <filter val="5.334141662"/>
        <filter val="5.351843139"/>
        <filter val="5.352349019"/>
        <filter val="5.380897112"/>
        <filter val="5.393247049"/>
        <filter val="5.411180169"/>
        <filter val="5.438075518"/>
        <filter val="5.580038226"/>
        <filter val="5.58759389"/>
        <filter val="5.617176137"/>
        <filter val="5.646357099"/>
        <filter val="5.667212559"/>
        <filter val="5.746106249"/>
        <filter val="5.751718105"/>
        <filter val="5.762614838"/>
        <filter val="5.78511089"/>
        <filter val="5.788353278"/>
        <filter val="5.820677964"/>
        <filter val="5.835549934"/>
        <filter val="5.851287862"/>
        <filter val="5.87499861"/>
        <filter val="5.921354172"/>
        <filter val="5.940572287"/>
        <filter val="5.95108455"/>
        <filter val="5.960874557"/>
        <filter val="5.962476216"/>
        <filter val="5.978350264"/>
        <filter val="5.996018056"/>
        <filter val="52.00052301"/>
        <filter val="52.97502188"/>
        <filter val="53.26281318"/>
        <filter val="54.56882988"/>
        <filter val="-57.16242242"/>
        <filter val="6.019571161"/>
        <filter val="6.042248296"/>
        <filter val="6.047209752"/>
        <filter val="6.071616413"/>
        <filter val="6.122950192"/>
        <filter val="6.14147741"/>
        <filter val="6.154618059"/>
        <filter val="6.182912489"/>
        <filter val="6.20620684"/>
        <filter val="6.208144748"/>
        <filter val="6.21796673"/>
        <filter val="6.228288807"/>
        <filter val="6.241096889"/>
        <filter val="6.241802708"/>
        <filter val="6.256553001"/>
        <filter val="6.276496976"/>
        <filter val="6.30774231"/>
        <filter val="6.335198862"/>
        <filter val="6.351253207"/>
        <filter val="6.425395317"/>
        <filter val="6.447247672"/>
        <filter val="6.465842371"/>
        <filter val="6.471895834"/>
        <filter val="6.52656742"/>
        <filter val="6.548807464"/>
        <filter val="6.56173758"/>
        <filter val="6.568001272"/>
        <filter val="6.593037291"/>
        <filter val="6.635900674"/>
        <filter val="6.713208587"/>
        <filter val="6.804074316"/>
        <filter val="6.875634594"/>
        <filter val="6.893741152"/>
        <filter val="6.913814531"/>
        <filter val="6.929581598"/>
        <filter val="62.30321653"/>
        <filter val="7.038774546"/>
        <filter val="7.082601893"/>
        <filter val="7.10248464"/>
        <filter val="7.160409769"/>
        <filter val="7.16464813"/>
        <filter val="7.18482178"/>
        <filter val="7.191893048"/>
        <filter val="7.219887622"/>
        <filter val="7.224108973"/>
        <filter val="7.226291091"/>
        <filter val="-7.239389723"/>
        <filter val="7.242061719"/>
        <filter val="7.246621192"/>
        <filter val="7.284154029"/>
        <filter val="7.293262448"/>
        <filter val="7.359428204"/>
        <filter val="7.440031795"/>
        <filter val="7.462556087"/>
        <filter val="7.493643771"/>
        <filter val="7.529063835"/>
        <filter val="7.569636604"/>
        <filter val="7.637228875"/>
        <filter val="7.687953888"/>
        <filter val="7.710872882"/>
        <filter val="7.788192514"/>
        <filter val="7.804149953"/>
        <filter val="7.851056912"/>
        <filter val="7.861575326"/>
        <filter val="7.870742385"/>
        <filter val="7.972746399"/>
        <filter val="73.60642456"/>
        <filter val="8.012390329"/>
        <filter val="8.040503513"/>
        <filter val="8.114881816"/>
        <filter val="8.149653143"/>
        <filter val="8.213388629"/>
        <filter val="8.231230248"/>
        <filter val="8.27388365"/>
        <filter val="8.307215761"/>
        <filter val="8.401724128"/>
        <filter val="8.449296688"/>
        <filter val="8.461844386"/>
        <filter val="8.486713147"/>
        <filter val="8.609656235"/>
        <filter val="8.63253325"/>
        <filter val="8.685859853"/>
        <filter val="8.885438669"/>
        <filter val="8.94380257"/>
        <filter val="8.949715716"/>
        <filter val="8.979989335"/>
        <filter val="9.000464301"/>
        <filter val="9.122476909"/>
        <filter val="9.130893617"/>
        <filter val="9.135329694"/>
        <filter val="9.240036708"/>
        <filter val="9.468627847"/>
        <filter val="9.506738022"/>
        <filter val="9.668197965"/>
        <filter val="9.749442444"/>
        <filter val="9.880030149"/>
        <filter val="9.88740731"/>
        <filter val="9.905669336"/>
        <filter val="9.948723336"/>
        <filter val="9.951602344"/>
        <filter val="94.74398601"/>
      </filters>
    </filterColumn>
  </autoFilter>
  <tableColumns count="23">
    <tableColumn id="1" xr3:uid="{FF01EB57-EC22-43F2-9037-0CD46A186209}" name="STT" dataDxfId="22"/>
    <tableColumn id="2" xr3:uid="{E21E988A-DFB4-4A8D-8496-F72928DC12D0}" name="Mã CK" dataDxfId="21"/>
    <tableColumn id="3" xr3:uid="{AFB89A62-A30B-4409-9ECA-F547E3EC01C7}" name="Tên công ty" dataDxfId="20"/>
    <tableColumn id="4" xr3:uid="{20755936-8B55-4662-A3B5-173B933DA5CD}" name="Sàn CK" dataDxfId="19"/>
    <tableColumn id="5" xr3:uid="{59F7709C-6014-4545-88F2-0CA4D81C89D0}" name="TỔNG CỘNG TÀI SẢN" dataDxfId="18"/>
    <tableColumn id="6" xr3:uid="{51092EBB-6E76-45D1-AEB5-EC2E06FBF16A}" name="A. TÀI SẢN NGẮN HẠN" dataDxfId="17"/>
    <tableColumn id="7" xr3:uid="{6CE54110-4922-4BBC-85A4-2E5F4AD23CF2}" name="I. Nợ ngắn hạn" dataDxfId="16"/>
    <tableColumn id="8" xr3:uid="{1F426249-6D79-42DC-B049-9881B4A3B4A3}" name="- LNST chưa phân phối kỳ này" dataDxfId="15"/>
    <tableColumn id="9" xr3:uid="{C4D1C649-74B0-4D50-9FD4-FD5D74FA8749}" name="5. Lợi nhuận gộp về bán hàng và cung cấp dịch vụ" dataDxfId="14"/>
    <tableColumn id="10" xr3:uid="{5BD8B4B8-BC11-4977-947A-A940B3D59DA4}" name="Vốn hóa thị trường[Năm: 2026, ĐVT: đồng]" dataDxfId="13"/>
    <tableColumn id="11" xr3:uid="{3E5ABA5C-2594-4FA0-892C-F2D02ADB4C5C}" name="A. NỢ PHẢI TRẢ" dataDxfId="12"/>
    <tableColumn id="12" xr3:uid="{6EB70493-FFBE-46B6-938E-FA97EE7E1DAC}" name="1. Doanh thu bán hàng và cung cấp dịch vụ " dataDxfId="11"/>
    <tableColumn id="13" xr3:uid="{7C98F600-6316-47D3-9403-2B17A7D4B9EB}" name="Vốn hóa thị trường[Quý 1 Năm 2025, ĐVT: đồng]" dataDxfId="10"/>
    <tableColumn id="14" xr3:uid="{16744A18-4C6E-40DA-AA7C-C9CD9E12D66F}" name="Vốn hóa thị trường[Quý 4 Năm 2025, ĐVT: đồng]" dataDxfId="9"/>
    <tableColumn id="15" xr3:uid="{D8F048E8-856F-4497-9837-F70049698886}" name="Vốn hóa thị trường[Quý 2 Năm 2025, ĐVT: đồng]" dataDxfId="8"/>
    <tableColumn id="16" xr3:uid="{2EB93BA8-39C1-4DDA-BB07-02F6AC5DF208}" name="Vốn hóa thị trường[Quý 3 Năm 2025, ĐVT: đồng]" dataDxfId="7"/>
    <tableColumn id="17" xr3:uid="{34BE0956-374A-4080-8831-A6EB88461343}" name="X1" dataDxfId="6">
      <calculatedColumnFormula>(Table1[[#This Row],[A. TÀI SẢN NGẮN HẠN]]-Table1[[#This Row],[I. Nợ ngắn hạn]])/Table1[[#This Row],[TỔNG CỘNG TÀI SẢN]]</calculatedColumnFormula>
    </tableColumn>
    <tableColumn id="18" xr3:uid="{7B64C532-0D74-4A60-A96C-5938FD6A3624}" name="X2" dataDxfId="5">
      <calculatedColumnFormula>Table1[[#This Row],[- LNST chưa phân phối kỳ này]]/Table1[[#This Row],[TỔNG CỘNG TÀI SẢN]]</calculatedColumnFormula>
    </tableColumn>
    <tableColumn id="19" xr3:uid="{6358107A-E052-4142-877D-865D49266AB6}" name="x3" dataDxfId="4">
      <calculatedColumnFormula>Table1[[#This Row],[5. Lợi nhuận gộp về bán hàng và cung cấp dịch vụ]]/Table1[[#This Row],[TỔNG CỘNG TÀI SẢN]]</calculatedColumnFormula>
    </tableColumn>
    <tableColumn id="20" xr3:uid="{9EF8A26C-670C-41F4-9131-17CB7B255831}" name="x4" dataDxfId="3">
      <calculatedColumnFormula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calculatedColumnFormula>
    </tableColumn>
    <tableColumn id="21" xr3:uid="{E5478D4D-8044-476C-B4B6-ED2205BBAA53}" name="x5" dataDxfId="2">
      <calculatedColumnFormula>Table1[[#This Row],[1. Doanh thu bán hàng và cung cấp dịch vụ ]]/Table1[[#This Row],[TỔNG CỘNG TÀI SẢN]]</calculatedColumnFormula>
    </tableColumn>
    <tableColumn id="22" xr3:uid="{73FF15C8-443C-4F7A-BA24-BA16F264884A}" name="Zscore" dataDxfId="1">
      <calculatedColumnFormula>1.2*Table1[[#This Row],[X1]] + 1.4*Table1[[#This Row],[X2]] + 3.3*Table1[[#This Row],[x3]] + 0.6*Table1[[#This Row],[x4]] + 1*Table1[[#This Row],[x5]]</calculatedColumnFormula>
    </tableColumn>
    <tableColumn id="23" xr3:uid="{C3A3244D-FD3D-427D-BE53-13BD0F952D95}" name="Z-flag" dataDxfId="0">
      <calculatedColumnFormula>IF(Table1[[#This Row],[Zscore]]&lt;1.81,1,0)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finance.vietstock.vn/PSD-ctcp-dich-vu-phan-phoi-tong-hop-dau-khi.htm" TargetMode="External"/><Relationship Id="rId170" Type="http://schemas.openxmlformats.org/officeDocument/2006/relationships/hyperlink" Target="https://finance.vietstock.vn/BecamexCMC-ctcp-vat-lieu-xay-dung-becamex.htm" TargetMode="External"/><Relationship Id="rId987" Type="http://schemas.openxmlformats.org/officeDocument/2006/relationships/hyperlink" Target="https://finance.vietstock.vn/HCI-ctcp-dau-tu-xay-dung-ha-noi.htm" TargetMode="External"/><Relationship Id="rId2668" Type="http://schemas.openxmlformats.org/officeDocument/2006/relationships/hyperlink" Target="https://finance.vietstock.vn/Vinafor-ctcp-vinafor-da-nang.htm" TargetMode="External"/><Relationship Id="rId2875" Type="http://schemas.openxmlformats.org/officeDocument/2006/relationships/hyperlink" Target="https://finance.vietstock.vn/YBC-ctcp-xi-mang-va-khoang-san-yen-bai.htm" TargetMode="External"/><Relationship Id="rId847" Type="http://schemas.openxmlformats.org/officeDocument/2006/relationships/hyperlink" Target="https://finance.vietstock.vn/FUESSVFL-quy-etf-ssiam-vnfin-lead.htm" TargetMode="External"/><Relationship Id="rId1477" Type="http://schemas.openxmlformats.org/officeDocument/2006/relationships/hyperlink" Target="https://finance.vietstock.vn/MEL-ctcp-thep-me-lin.htm" TargetMode="External"/><Relationship Id="rId1684" Type="http://schemas.openxmlformats.org/officeDocument/2006/relationships/hyperlink" Target="https://finance.vietstock.vn/ONE-ctcp-cong-nghe-one.htm" TargetMode="External"/><Relationship Id="rId1891" Type="http://schemas.openxmlformats.org/officeDocument/2006/relationships/hyperlink" Target="https://finance.vietstock.vn/PXI-ctcp-xay-dung-cong-nghiep-va-dan-dung-dau-khi.htm" TargetMode="External"/><Relationship Id="rId2528" Type="http://schemas.openxmlformats.org/officeDocument/2006/relationships/hyperlink" Target="https://finance.vietstock.vn/VBC-ctcp-nhua-bao-bi-vinh.htm" TargetMode="External"/><Relationship Id="rId2735" Type="http://schemas.openxmlformats.org/officeDocument/2006/relationships/hyperlink" Target="https://finance.vietstock.vn/VNECO-ctcp-du-lich-xanh-nghe-an.htm" TargetMode="External"/><Relationship Id="rId707" Type="http://schemas.openxmlformats.org/officeDocument/2006/relationships/hyperlink" Target="https://finance.vietstock.vn/DuLichDaNang-ctcp-du-lich-da-nang.htm" TargetMode="External"/><Relationship Id="rId914" Type="http://schemas.openxmlformats.org/officeDocument/2006/relationships/hyperlink" Target="https://finance.vietstock.vn/GoldenGate-ctcp-thuong-mai-dich-vu-cong-vang.htm" TargetMode="External"/><Relationship Id="rId1337" Type="http://schemas.openxmlformats.org/officeDocument/2006/relationships/hyperlink" Target="https://finance.vietstock.vn/L10-ctcp-lilama-10.htm" TargetMode="External"/><Relationship Id="rId1544" Type="http://schemas.openxmlformats.org/officeDocument/2006/relationships/hyperlink" Target="https://finance.vietstock.vn/MVN-tong-cong-ty-hang-hai-viet-nam-ctcp.htm" TargetMode="External"/><Relationship Id="rId1751" Type="http://schemas.openxmlformats.org/officeDocument/2006/relationships/hyperlink" Target="https://finance.vietstock.vn/PhimThienNgan-ctcp-phim-thien-ngan.htm" TargetMode="External"/><Relationship Id="rId2802" Type="http://schemas.openxmlformats.org/officeDocument/2006/relationships/hyperlink" Target="https://finance.vietstock.vn/VTH-ctcp-day-cap-dien-viet-thai.htm" TargetMode="External"/><Relationship Id="rId43" Type="http://schemas.openxmlformats.org/officeDocument/2006/relationships/hyperlink" Target="https://finance.vietstock.vn/AGC-ctcp-ca-phe-an-giang.htm" TargetMode="External"/><Relationship Id="rId1404" Type="http://schemas.openxmlformats.org/officeDocument/2006/relationships/hyperlink" Target="https://finance.vietstock.vn/LongTho-ctcp-long-tho.htm" TargetMode="External"/><Relationship Id="rId1611" Type="http://schemas.openxmlformats.org/officeDocument/2006/relationships/hyperlink" Target="https://finance.vietstock.vn/NhuNgoc-ctcp-san-xuat-va-thuong-mai-xuat-nhap-khau-nhu-ngoc.htm" TargetMode="External"/><Relationship Id="rId497" Type="http://schemas.openxmlformats.org/officeDocument/2006/relationships/hyperlink" Target="https://finance.vietstock.vn/CTD-ctcp-xay-dung-coteccons.htm" TargetMode="External"/><Relationship Id="rId2178" Type="http://schemas.openxmlformats.org/officeDocument/2006/relationships/hyperlink" Target="https://finance.vietstock.vn/STG-ctcp-kho-van-mien-nam.htm" TargetMode="External"/><Relationship Id="rId2385" Type="http://schemas.openxmlformats.org/officeDocument/2006/relationships/hyperlink" Target="https://finance.vietstock.vn/TNA-ctcp-thuong-mai-xuat-nhap-khau-thien-nam.htm" TargetMode="External"/><Relationship Id="rId357" Type="http://schemas.openxmlformats.org/officeDocument/2006/relationships/hyperlink" Target="https://finance.vietstock.vn/CDC-ctcp-chuong-duong.htm" TargetMode="External"/><Relationship Id="rId1194" Type="http://schemas.openxmlformats.org/officeDocument/2006/relationships/hyperlink" Target="https://finance.vietstock.vn/IDC-tong-cong-ty-idico-ctcp.htm" TargetMode="External"/><Relationship Id="rId2038" Type="http://schemas.openxmlformats.org/officeDocument/2006/relationships/hyperlink" Target="https://finance.vietstock.vn/SDK-ctcp-co-khi-luyen-kim.htm" TargetMode="External"/><Relationship Id="rId2592" Type="http://schemas.openxmlformats.org/officeDocument/2006/relationships/hyperlink" Target="https://finance.vietstock.vn/VFMVFA-quy-dau-tu-nang-dong-viet-nam.htm" TargetMode="External"/><Relationship Id="rId217" Type="http://schemas.openxmlformats.org/officeDocument/2006/relationships/hyperlink" Target="https://finance.vietstock.vn/BLT-ctcp-luong-thuc-binh-dinh.htm" TargetMode="External"/><Relationship Id="rId564" Type="http://schemas.openxmlformats.org/officeDocument/2006/relationships/hyperlink" Target="https://finance.vietstock.vn/DCR-ctcp-gach-men-cosevco.htm" TargetMode="External"/><Relationship Id="rId771" Type="http://schemas.openxmlformats.org/officeDocument/2006/relationships/hyperlink" Target="https://finance.vietstock.vn/EMS-tong-cong-ty-chuyen-phat-nhanh-buu-dien-ctcp.htm" TargetMode="External"/><Relationship Id="rId2245" Type="http://schemas.openxmlformats.org/officeDocument/2006/relationships/hyperlink" Target="https://finance.vietstock.vn/TayHoQP-ctcp-dau-tu-va-xay-lap-tay-ho.htm" TargetMode="External"/><Relationship Id="rId2452" Type="http://schemas.openxmlformats.org/officeDocument/2006/relationships/hyperlink" Target="https://finance.vietstock.vn/TTE-ctcp-dau-tu-nang-luong-truong-thinh.htm" TargetMode="External"/><Relationship Id="rId424" Type="http://schemas.openxmlformats.org/officeDocument/2006/relationships/hyperlink" Target="https://finance.vietstock.vn/CMC-ctcp-dau-tu-cmc.htm" TargetMode="External"/><Relationship Id="rId631" Type="http://schemas.openxmlformats.org/officeDocument/2006/relationships/hyperlink" Target="https://finance.vietstock.vn/DNC-ctcp-dien-nuoc-lap-may-hai-phong.htm" TargetMode="External"/><Relationship Id="rId1054" Type="http://schemas.openxmlformats.org/officeDocument/2006/relationships/hyperlink" Target="https://finance.vietstock.vn/HLB-ctcp-bia-va-nuoc-giai-khat-ha-long.htm" TargetMode="External"/><Relationship Id="rId1261" Type="http://schemas.openxmlformats.org/officeDocument/2006/relationships/hyperlink" Target="https://finance.vietstock.vn/KBSV-ctcp-chung-khoan-kb-viet-nam.htm" TargetMode="External"/><Relationship Id="rId2105" Type="http://schemas.openxmlformats.org/officeDocument/2006/relationships/hyperlink" Target="https://finance.vietstock.vn/SJG-tong-cong-ty-song-da-ctcp.htm" TargetMode="External"/><Relationship Id="rId2312" Type="http://schemas.openxmlformats.org/officeDocument/2006/relationships/hyperlink" Target="https://finance.vietstock.vn/THD-ctcp-thaiholdings.htm" TargetMode="External"/><Relationship Id="rId1121" Type="http://schemas.openxmlformats.org/officeDocument/2006/relationships/hyperlink" Target="https://finance.vietstock.vn/HRB-ctcp-harec-dau-tu-va-thuong-mai.htm" TargetMode="External"/><Relationship Id="rId1938" Type="http://schemas.openxmlformats.org/officeDocument/2006/relationships/hyperlink" Target="https://finance.vietstock.vn/RIC-ctcp-quoc-te-hoang-gia.htm" TargetMode="External"/><Relationship Id="rId281" Type="http://schemas.openxmlformats.org/officeDocument/2006/relationships/hyperlink" Target="https://finance.vietstock.vn/BVA-ctcp-san-xuat-va-thuong-mai-bac-viet.htm" TargetMode="External"/><Relationship Id="rId141" Type="http://schemas.openxmlformats.org/officeDocument/2006/relationships/hyperlink" Target="https://finance.vietstock.vn/BAX-ctcp-tho&#180;ng-nha&#180;t.htm" TargetMode="External"/><Relationship Id="rId7" Type="http://schemas.openxmlformats.org/officeDocument/2006/relationships/hyperlink" Target="https://finance.vietstock.vn/AAM-ctcp-thuy-san-mekong.htm" TargetMode="External"/><Relationship Id="rId2779" Type="http://schemas.openxmlformats.org/officeDocument/2006/relationships/hyperlink" Target="https://finance.vietstock.vn/VSE-ctcp-dich-vu-duong-cao-toc-viet-nam.htm" TargetMode="External"/><Relationship Id="rId958" Type="http://schemas.openxmlformats.org/officeDocument/2006/relationships/hyperlink" Target="https://finance.vietstock.vn/HaNoiOptic-ctcp-kinh-mat-ha-noi.htm" TargetMode="External"/><Relationship Id="rId1588" Type="http://schemas.openxmlformats.org/officeDocument/2006/relationships/hyperlink" Target="https://finance.vietstock.vn/NDW-ctcp-cap-nuoc-nam-dinh.htm" TargetMode="External"/><Relationship Id="rId1795" Type="http://schemas.openxmlformats.org/officeDocument/2006/relationships/hyperlink" Target="https://finance.vietstock.vn/PNC-ctcp-van-hoa-phuong-nam.htm" TargetMode="External"/><Relationship Id="rId2639" Type="http://schemas.openxmlformats.org/officeDocument/2006/relationships/hyperlink" Target="https://finance.vietstock.vn/VIF-tong-cong-ty-lam-nghiep-viet-nam-ctcp.htm" TargetMode="External"/><Relationship Id="rId2846" Type="http://schemas.openxmlformats.org/officeDocument/2006/relationships/hyperlink" Target="https://finance.vietstock.vn/XayDung720-ctcp-vat-lieu-xay-dung-720.htm" TargetMode="External"/><Relationship Id="rId87" Type="http://schemas.openxmlformats.org/officeDocument/2006/relationships/hyperlink" Target="https://finance.vietstock.vn/APL-ctcp-co-khi-va-thiet-bi-ap-luc-vvmi.htm" TargetMode="External"/><Relationship Id="rId818" Type="http://schemas.openxmlformats.org/officeDocument/2006/relationships/hyperlink" Target="https://finance.vietstock.vn/FPTCapital-ctcp-quan-ly-quy-dau-tu-fpt.htm" TargetMode="External"/><Relationship Id="rId1448" Type="http://schemas.openxmlformats.org/officeDocument/2006/relationships/hyperlink" Target="https://finance.vietstock.vn/MCD-ctcp-moi-truong-va-cong-trinh-do-thi-dong-ha.htm" TargetMode="External"/><Relationship Id="rId1655" Type="http://schemas.openxmlformats.org/officeDocument/2006/relationships/hyperlink" Target="https://finance.vietstock.vn/NTH-ctcp-thuy-dien-nuoc-trong.htm" TargetMode="External"/><Relationship Id="rId2706" Type="http://schemas.openxmlformats.org/officeDocument/2006/relationships/hyperlink" Target="https://finance.vietstock.vn/VKC-ctcp-vkc-holdings.htm" TargetMode="External"/><Relationship Id="rId1308" Type="http://schemas.openxmlformats.org/officeDocument/2006/relationships/hyperlink" Target="https://finance.vietstock.vn/KMR-ctcp-mirae.htm" TargetMode="External"/><Relationship Id="rId1862" Type="http://schemas.openxmlformats.org/officeDocument/2006/relationships/hyperlink" Target="https://finance.vietstock.vn/PVD-tong-cong-ty-co-phan-khoan-va-dich-vu-khoan-dau-khi.htm" TargetMode="External"/><Relationship Id="rId1515" Type="http://schemas.openxmlformats.org/officeDocument/2006/relationships/hyperlink" Target="https://finance.vietstock.vn/Moca-ctcp-cong-nghe-va-dich-vu-moca.htm" TargetMode="External"/><Relationship Id="rId1722" Type="http://schemas.openxmlformats.org/officeDocument/2006/relationships/hyperlink" Target="https://finance.vietstock.vn/PDR-ctcp-phat-trien-bat-dong-san-phat-dat.htm" TargetMode="External"/><Relationship Id="rId14" Type="http://schemas.openxmlformats.org/officeDocument/2006/relationships/hyperlink" Target="https://finance.vietstock.vn/ABFM-ctcp-quan-ly-quy-dau-tu-chung-khoan-an-binh.htm" TargetMode="External"/><Relationship Id="rId2289" Type="http://schemas.openxmlformats.org/officeDocument/2006/relationships/hyperlink" Target="https://finance.vietstock.vn/TED-tong-cong-ty-tu-van-thiet-ke-giao-thong-van-tai-c???.htm" TargetMode="External"/><Relationship Id="rId2496" Type="http://schemas.openxmlformats.org/officeDocument/2006/relationships/hyperlink" Target="https://finance.vietstock.vn/UDL-ctcp-do-thi-va-moi-truong-dak-lak.htm" TargetMode="External"/><Relationship Id="rId468" Type="http://schemas.openxmlformats.org/officeDocument/2006/relationships/hyperlink" Target="https://finance.vietstock.vn/COT60-ctcp-cong-trinh-giao-thong-60.htm" TargetMode="External"/><Relationship Id="rId675" Type="http://schemas.openxmlformats.org/officeDocument/2006/relationships/hyperlink" Target="https://finance.vietstock.vn/DRL-ctcp-thuy-dien-dien-luc-3.htm" TargetMode="External"/><Relationship Id="rId882" Type="http://schemas.openxmlformats.org/officeDocument/2006/relationships/hyperlink" Target="https://finance.vietstock.vn/GFC-ctcp-san-xuat-thuong-mai-dich-vu-gfc.htm" TargetMode="External"/><Relationship Id="rId1098" Type="http://schemas.openxmlformats.org/officeDocument/2006/relationships/hyperlink" Target="https://finance.vietstock.vn/HopNhat-ctcp-hop-nhat-viet-nam.htm" TargetMode="External"/><Relationship Id="rId2149" Type="http://schemas.openxmlformats.org/officeDocument/2006/relationships/hyperlink" Target="https://finance.vietstock.vn/SPH-ctcp-xuat-nhap-khau-thuy-san-ha-noi.htm" TargetMode="External"/><Relationship Id="rId2356" Type="http://schemas.openxmlformats.org/officeDocument/2006/relationships/hyperlink" Target="https://finance.vietstock.vn/TKG-ctcp-san-xuat-va-thuong-mai-tung-khanh.htm" TargetMode="External"/><Relationship Id="rId2563" Type="http://schemas.openxmlformats.org/officeDocument/2006/relationships/hyperlink" Target="https://finance.vietstock.vn/VDEF-quy-dau-tu-co-phieu-co-tuc-nang-dong-vinacapital.htm" TargetMode="External"/><Relationship Id="rId2770" Type="http://schemas.openxmlformats.org/officeDocument/2006/relationships/hyperlink" Target="https://finance.vietstock.vn/VPX-ctcp-chung-khoan-vpbank.htm" TargetMode="External"/><Relationship Id="rId328" Type="http://schemas.openxmlformats.org/officeDocument/2006/relationships/hyperlink" Target="https://finance.vietstock.vn/Cau14-ctcp-cau-14-cienco-1.htm" TargetMode="External"/><Relationship Id="rId535" Type="http://schemas.openxmlformats.org/officeDocument/2006/relationships/hyperlink" Target="https://finance.vietstock.vn/DAH-ctcp-tap-doan-khach-san-dong-a.htm" TargetMode="External"/><Relationship Id="rId742" Type="http://schemas.openxmlformats.org/officeDocument/2006/relationships/hyperlink" Target="https://finance.vietstock.vn/DXD-ctcp-dau-tu-va-phat-trien-xay-lap-dong-anh.htm" TargetMode="External"/><Relationship Id="rId1165" Type="http://schemas.openxmlformats.org/officeDocument/2006/relationships/hyperlink" Target="https://finance.vietstock.vn/HUTIC-ctcp-xay-lap-buu-dien-hue.htm" TargetMode="External"/><Relationship Id="rId1372" Type="http://schemas.openxmlformats.org/officeDocument/2006/relationships/hyperlink" Target="https://finance.vietstock.vn/LDW-ctcp-cap-thoat-nuoc-lam-dong.htm" TargetMode="External"/><Relationship Id="rId2009" Type="http://schemas.openxmlformats.org/officeDocument/2006/relationships/hyperlink" Target="https://finance.vietstock.vn/SCG-ctcp-tap-doan-xay-dung-scg.htm" TargetMode="External"/><Relationship Id="rId2216" Type="http://schemas.openxmlformats.org/officeDocument/2006/relationships/hyperlink" Target="https://finance.vietstock.vn/TAB-ctcp-freco-viet-nam.htm" TargetMode="External"/><Relationship Id="rId2423" Type="http://schemas.openxmlformats.org/officeDocument/2006/relationships/hyperlink" Target="https://finance.vietstock.vn/TRC-ctcp-cao-su-tay-ninh.htm" TargetMode="External"/><Relationship Id="rId2630" Type="http://schemas.openxmlformats.org/officeDocument/2006/relationships/hyperlink" Target="https://finance.vietstock.vn/VietBac-ctcp-bat-dong-san-viet-bac.htm" TargetMode="External"/><Relationship Id="rId602" Type="http://schemas.openxmlformats.org/officeDocument/2006/relationships/hyperlink" Target="https://finance.vietstock.vn/DienNuocHaNoi-ctcp-xay-dung-lap-may-dien-nuoc-ha-noi.htm" TargetMode="External"/><Relationship Id="rId1025" Type="http://schemas.openxmlformats.org/officeDocument/2006/relationships/hyperlink" Target="https://finance.vietstock.vn/HGW-ctcp-cap-thoat-nuoc-cong-trinh-do-thi-hau-giang.htm" TargetMode="External"/><Relationship Id="rId1232" Type="http://schemas.openxmlformats.org/officeDocument/2006/relationships/hyperlink" Target="https://finance.vietstock.vn/InTranPhu-ctcp-in-tran-phu.htm" TargetMode="External"/><Relationship Id="rId185" Type="http://schemas.openxmlformats.org/officeDocument/2006/relationships/hyperlink" Target="https://finance.vietstock.vn/BHG-ctcp-che-bien-ho.htm" TargetMode="External"/><Relationship Id="rId1909" Type="http://schemas.openxmlformats.org/officeDocument/2006/relationships/hyperlink" Target="https://finance.vietstock.vn/QNSC-ctcp-cung-ung-tau-bien-quang-ninh.htm" TargetMode="External"/><Relationship Id="rId392" Type="http://schemas.openxmlformats.org/officeDocument/2006/relationships/hyperlink" Target="https://finance.vietstock.vn/CID-ctcp-xay-dung-va-phat-trien-co-so-ha-tang.htm" TargetMode="External"/><Relationship Id="rId2073" Type="http://schemas.openxmlformats.org/officeDocument/2006/relationships/hyperlink" Target="https://finance.vietstock.vn/SGPC-ctcp-giay-sai-gon.htm" TargetMode="External"/><Relationship Id="rId2280" Type="http://schemas.openxmlformats.org/officeDocument/2006/relationships/hyperlink" Target="https://finance.vietstock.vn/TDLA-ctcp-be-tong-ly-tam-thu-duc-long-an.htm" TargetMode="External"/><Relationship Id="rId252" Type="http://schemas.openxmlformats.org/officeDocument/2006/relationships/hyperlink" Target="https://finance.vietstock.vn/BSH-ctcp-bia-sai-gon-ha-noi.htm" TargetMode="External"/><Relationship Id="rId2140" Type="http://schemas.openxmlformats.org/officeDocument/2006/relationships/hyperlink" Target="https://finance.vietstock.vn/SOSAL-ctcp-tap-doan-muoi-mien-nam.htm" TargetMode="External"/><Relationship Id="rId112" Type="http://schemas.openxmlformats.org/officeDocument/2006/relationships/hyperlink" Target="https://finance.vietstock.vn/ATD-ctcp-28-da-nang.htm" TargetMode="External"/><Relationship Id="rId1699" Type="http://schemas.openxmlformats.org/officeDocument/2006/relationships/hyperlink" Target="https://finance.vietstock.vn/PAMCO-ctcp-quan-ly-quy-leadvisors.htm" TargetMode="External"/><Relationship Id="rId2000" Type="http://schemas.openxmlformats.org/officeDocument/2006/relationships/hyperlink" Target="https://finance.vietstock.vn/SBT-ctcp-thanh-thanh-cong-bien-hoa.htm" TargetMode="External"/><Relationship Id="rId929" Type="http://schemas.openxmlformats.org/officeDocument/2006/relationships/hyperlink" Target="https://finance.vietstock.vn/GVR-tap-doan-cong-nghiep-cao-su-viet-nam-ctcp.htm" TargetMode="External"/><Relationship Id="rId1559" Type="http://schemas.openxmlformats.org/officeDocument/2006/relationships/hyperlink" Target="https://finance.vietstock.vn/NamKhang-ctcp-dau-tu-nam-khang.htm" TargetMode="External"/><Relationship Id="rId1766" Type="http://schemas.openxmlformats.org/officeDocument/2006/relationships/hyperlink" Target="https://finance.vietstock.vn/PID-ctcp-trang-tri-noi-that-dau-khi.htm" TargetMode="External"/><Relationship Id="rId1973" Type="http://schemas.openxmlformats.org/officeDocument/2006/relationships/hyperlink" Target="https://finance.vietstock.vn/SaiGonART-ctcp-my-thuat-sai-gon.htm" TargetMode="External"/><Relationship Id="rId2817" Type="http://schemas.openxmlformats.org/officeDocument/2006/relationships/hyperlink" Target="https://finance.vietstock.vn/VTV-ctcp-nang-luong-va-moi-truong-vicem.htm" TargetMode="External"/><Relationship Id="rId58" Type="http://schemas.openxmlformats.org/officeDocument/2006/relationships/hyperlink" Target="https://finance.vietstock.vn/AIG-ctcp-nguyen-lieu-a-chau-aig.htm" TargetMode="External"/><Relationship Id="rId1419" Type="http://schemas.openxmlformats.org/officeDocument/2006/relationships/hyperlink" Target="https://finance.vietstock.vn/LVC-ctcp-quan-ly-quy-loc-viet.htm" TargetMode="External"/><Relationship Id="rId1626" Type="http://schemas.openxmlformats.org/officeDocument/2006/relationships/hyperlink" Target="https://finance.vietstock.vn/NNQ-ctcp-giong-nong-nghiep-quang-nam.htm" TargetMode="External"/><Relationship Id="rId1833" Type="http://schemas.openxmlformats.org/officeDocument/2006/relationships/hyperlink" Target="https://finance.vietstock.vn/PSN-ctcp-dich-vu-ky-thuat-ptsc-thanh-hoa.htm" TargetMode="External"/><Relationship Id="rId1900" Type="http://schemas.openxmlformats.org/officeDocument/2006/relationships/hyperlink" Target="https://finance.vietstock.vn/QCC-ctcp-dau-tu-xay-dung-va-phat-trien-ha-tang-vien-thong.htm" TargetMode="External"/><Relationship Id="rId579" Type="http://schemas.openxmlformats.org/officeDocument/2006/relationships/hyperlink" Target="https://finance.vietstock.vn/DetVinhPhu-ctcp-det-vinh-phu.htm" TargetMode="External"/><Relationship Id="rId786" Type="http://schemas.openxmlformats.org/officeDocument/2006/relationships/hyperlink" Target="https://finance.vietstock.vn/Eximland-ctcp-bat-dong-san-exim.htm" TargetMode="External"/><Relationship Id="rId993" Type="http://schemas.openxmlformats.org/officeDocument/2006/relationships/hyperlink" Target="https://finance.vietstock.vn/HD6-ctcp-dau-tu-va-phat-trien-nha-so-6-ha-noi.htm" TargetMode="External"/><Relationship Id="rId2467" Type="http://schemas.openxmlformats.org/officeDocument/2006/relationships/hyperlink" Target="https://finance.vietstock.vn/TV1-ctcp-tu-van-xay-dung-dien-1.htm" TargetMode="External"/><Relationship Id="rId2674" Type="http://schemas.openxmlformats.org/officeDocument/2006/relationships/hyperlink" Target="https://finance.vietstock.vn/VinasugarI-tong-cong-ty-mia-duong-i-ctcp.htm" TargetMode="External"/><Relationship Id="rId439" Type="http://schemas.openxmlformats.org/officeDocument/2006/relationships/hyperlink" Target="https://finance.vietstock.vn/CNA-ctcp-tong-cong-ty-che-nghe-an.htm" TargetMode="External"/><Relationship Id="rId646" Type="http://schemas.openxmlformats.org/officeDocument/2006/relationships/hyperlink" Target="https://finance.vietstock.vn/DNW-ctcp-cap-nuoc-dong-nai.htm" TargetMode="External"/><Relationship Id="rId1069" Type="http://schemas.openxmlformats.org/officeDocument/2006/relationships/hyperlink" Target="https://finance.vietstock.vn/HMS-ctcp-xay-dung-bao-tang-ho-chi-minh.htm" TargetMode="External"/><Relationship Id="rId1276" Type="http://schemas.openxmlformats.org/officeDocument/2006/relationships/hyperlink" Target="https://finance.vietstock.vn/KHB-ctcp-khoang-san-hoa-binh.htm" TargetMode="External"/><Relationship Id="rId1483" Type="http://schemas.openxmlformats.org/officeDocument/2006/relationships/hyperlink" Target="https://finance.vietstock.vn/MH3-ctcp-khu-cong-nghiep-cao-su-binh-long.htm" TargetMode="External"/><Relationship Id="rId2327" Type="http://schemas.openxmlformats.org/officeDocument/2006/relationships/hyperlink" Target="https://finance.vietstock.vn/THM-ctcp-tu-hai-ha-nam.htm" TargetMode="External"/><Relationship Id="rId2881" Type="http://schemas.openxmlformats.org/officeDocument/2006/relationships/hyperlink" Target="https://finance.vietstock.vn/YSC-ctcp-hapaco-yen-son.htm" TargetMode="External"/><Relationship Id="rId506" Type="http://schemas.openxmlformats.org/officeDocument/2006/relationships/hyperlink" Target="https://finance.vietstock.vn/CTR-tong-cong-ty-co-phan-cong-trinh-viettel.htm" TargetMode="External"/><Relationship Id="rId853" Type="http://schemas.openxmlformats.org/officeDocument/2006/relationships/hyperlink" Target="https://finance.vietstock.vn/G36-tong-cong-ty-36-ctcp.htm" TargetMode="External"/><Relationship Id="rId1136" Type="http://schemas.openxmlformats.org/officeDocument/2006/relationships/hyperlink" Target="https://finance.vietstock.vn/HTB-ctcp-xay-dung-huy-thang.htm" TargetMode="External"/><Relationship Id="rId1690" Type="http://schemas.openxmlformats.org/officeDocument/2006/relationships/hyperlink" Target="https://finance.vietstock.vn/OSC-ctcp-chung-khoan-dai-tay-duong.htm" TargetMode="External"/><Relationship Id="rId2534" Type="http://schemas.openxmlformats.org/officeDocument/2006/relationships/hyperlink" Target="https://finance.vietstock.vn/VC5-ctcp-xay-dung-so-5.htm" TargetMode="External"/><Relationship Id="rId2741" Type="http://schemas.openxmlformats.org/officeDocument/2006/relationships/hyperlink" Target="https://finance.vietstock.vn/VNI-ctcp-dau-tu-bat-dong-san-viet-nam.htm" TargetMode="External"/><Relationship Id="rId713" Type="http://schemas.openxmlformats.org/officeDocument/2006/relationships/hyperlink" Target="https://finance.vietstock.vn/DuocBaoChau-ctcp-tap-doan-duoc-bao-chau.htm" TargetMode="External"/><Relationship Id="rId920" Type="http://schemas.openxmlformats.org/officeDocument/2006/relationships/hyperlink" Target="https://finance.vietstock.vn/GSP-ctcp-van-tai-san-pham-khi-quoc-te.htm" TargetMode="External"/><Relationship Id="rId1343" Type="http://schemas.openxmlformats.org/officeDocument/2006/relationships/hyperlink" Target="https://finance.vietstock.vn/L43-ctcp-lilama-45-3.htm" TargetMode="External"/><Relationship Id="rId1550" Type="http://schemas.openxmlformats.org/officeDocument/2006/relationships/hyperlink" Target="https://finance.vietstock.vn/MyPhamSG-ctcp-my-pham-sai-gon.htm" TargetMode="External"/><Relationship Id="rId2601" Type="http://schemas.openxmlformats.org/officeDocument/2006/relationships/hyperlink" Target="https://finance.vietstock.vn/VGS-ctcp-ong-thep-viet-duc-vg-pipe.htm" TargetMode="External"/><Relationship Id="rId1203" Type="http://schemas.openxmlformats.org/officeDocument/2006/relationships/hyperlink" Target="https://finance.vietstock.vn/IFC-ctcp-thuc-pham-cong-nghe-sai-gon.htm" TargetMode="External"/><Relationship Id="rId1410" Type="http://schemas.openxmlformats.org/officeDocument/2006/relationships/hyperlink" Target="https://finance.vietstock.vn/LQN-ctcp-licogi-quang-ngai.htm" TargetMode="External"/><Relationship Id="rId296" Type="http://schemas.openxmlformats.org/officeDocument/2006/relationships/hyperlink" Target="https://finance.vietstock.vn/C12-ctcp-cau-12.htm" TargetMode="External"/><Relationship Id="rId2184" Type="http://schemas.openxmlformats.org/officeDocument/2006/relationships/hyperlink" Target="https://finance.vietstock.vn/STP-ctcp-cong-nghiep-thuong-mai-song-da.htm" TargetMode="External"/><Relationship Id="rId2391" Type="http://schemas.openxmlformats.org/officeDocument/2006/relationships/hyperlink" Target="https://finance.vietstock.vn/TNI-ctcp-tap-doan-thanh-nam.htm" TargetMode="External"/><Relationship Id="rId156" Type="http://schemas.openxmlformats.org/officeDocument/2006/relationships/hyperlink" Target="https://finance.vietstock.vn/BCP-ctcp-duoc-enlie.htm" TargetMode="External"/><Relationship Id="rId363" Type="http://schemas.openxmlformats.org/officeDocument/2006/relationships/hyperlink" Target="https://finance.vietstock.vn/CDR-ctcp-xay-dung-cao-su-dong-nai.htm" TargetMode="External"/><Relationship Id="rId570" Type="http://schemas.openxmlformats.org/officeDocument/2006/relationships/hyperlink" Target="https://finance.vietstock.vn/DDH-ctcp-dam-bao-giao-thong-duong-thuy-hai-phong.htm" TargetMode="External"/><Relationship Id="rId2044" Type="http://schemas.openxmlformats.org/officeDocument/2006/relationships/hyperlink" Target="https://finance.vietstock.vn/SDT-ctcp-song-da-10.htm" TargetMode="External"/><Relationship Id="rId2251" Type="http://schemas.openxmlformats.org/officeDocument/2006/relationships/hyperlink" Target="https://finance.vietstock.vn/TBN-ctcp-thoat-nuoc-va-xu-ly-nuoc-thai-bac-ninh.htm" TargetMode="External"/><Relationship Id="rId223" Type="http://schemas.openxmlformats.org/officeDocument/2006/relationships/hyperlink" Target="https://finance.vietstock.vn/BMD-ctcp-moi-truong-va-dich-vu-do-thi-binh-thuan.htm" TargetMode="External"/><Relationship Id="rId430" Type="http://schemas.openxmlformats.org/officeDocument/2006/relationships/hyperlink" Target="https://finance.vietstock.vn/CMK-ctcp-co-khi-mao-khe-vinacomin.htm" TargetMode="External"/><Relationship Id="rId1060" Type="http://schemas.openxmlformats.org/officeDocument/2006/relationships/hyperlink" Target="https://finance.vietstock.vn/HLR-ctcp-duong-sat-ha-lang.htm" TargetMode="External"/><Relationship Id="rId2111" Type="http://schemas.openxmlformats.org/officeDocument/2006/relationships/hyperlink" Target="https://finance.vietstock.vn/SKV-ctcp-nuoc-giai-khat-yen-sao-khanh-hoa.htm" TargetMode="External"/><Relationship Id="rId1877" Type="http://schemas.openxmlformats.org/officeDocument/2006/relationships/hyperlink" Target="https://finance.vietstock.vn/PVS-tong-cong-ty-co-phan-dich-vu-ky-thuat-dau-khi-viet-nam.htm" TargetMode="External"/><Relationship Id="rId1737" Type="http://schemas.openxmlformats.org/officeDocument/2006/relationships/hyperlink" Target="https://finance.vietstock.vn/PGB-ngan-hang-tmcp-thinh-vuong-va-phat-trien.htm" TargetMode="External"/><Relationship Id="rId1944" Type="http://schemas.openxmlformats.org/officeDocument/2006/relationships/hyperlink" Target="https://finance.vietstock.vn/RTS-ctcp-thong-tin-tin-hieu-duong-sat-da-nang.htm" TargetMode="External"/><Relationship Id="rId29" Type="http://schemas.openxmlformats.org/officeDocument/2006/relationships/hyperlink" Target="https://finance.vietstock.vn/ACL-ctcp-xuat-nhap-khau-thuy-san-cuu-long-an-giang.htm" TargetMode="External"/><Relationship Id="rId1804" Type="http://schemas.openxmlformats.org/officeDocument/2006/relationships/hyperlink" Target="https://finance.vietstock.vn/POS-ctcp-van-hanh-va-xay-lap-ptsc.htm" TargetMode="External"/><Relationship Id="rId897" Type="http://schemas.openxmlformats.org/officeDocument/2006/relationships/hyperlink" Target="https://finance.vietstock.vn/GiayLamSon-ctcp-giay-lam-son.htm" TargetMode="External"/><Relationship Id="rId2578" Type="http://schemas.openxmlformats.org/officeDocument/2006/relationships/hyperlink" Target="https://finance.vietstock.vn/VEA-tong-cong-ty-may-dong-luc-va-may-nong-nghiep-viet-nam-&#8211;-ctcp.htm" TargetMode="External"/><Relationship Id="rId2785" Type="http://schemas.openxmlformats.org/officeDocument/2006/relationships/hyperlink" Target="https://finance.vietstock.vn/VSIndustry-ctcp-vs-industry-vietnam.htm" TargetMode="External"/><Relationship Id="rId757" Type="http://schemas.openxmlformats.org/officeDocument/2006/relationships/hyperlink" Target="https://finance.vietstock.vn/ECO-ctcp-nhua-sinh-thai-viet-nam.htm" TargetMode="External"/><Relationship Id="rId964" Type="http://schemas.openxmlformats.org/officeDocument/2006/relationships/hyperlink" Target="https://finance.vietstock.vn/HAPULICO-ctcp-dau-tu-bat-dong-san-hapulico.htm" TargetMode="External"/><Relationship Id="rId1387" Type="http://schemas.openxmlformats.org/officeDocument/2006/relationships/hyperlink" Target="https://finance.vietstock.vn/Lidovit-ctcp-cong-nghiep-va-thuong-mai-lidovit.htm" TargetMode="External"/><Relationship Id="rId1594" Type="http://schemas.openxmlformats.org/officeDocument/2006/relationships/hyperlink" Target="https://finance.vietstock.vn/NGC-ctcp-che-bien-thuy-san-xuat-khau-ngo-quyen.htm" TargetMode="External"/><Relationship Id="rId2438" Type="http://schemas.openxmlformats.org/officeDocument/2006/relationships/hyperlink" Target="https://finance.vietstock.vn/TSB-ctcp-ac-quy-tia-sang.htm" TargetMode="External"/><Relationship Id="rId2645" Type="http://schemas.openxmlformats.org/officeDocument/2006/relationships/hyperlink" Target="https://finance.vietstock.vn/ViglaceraVanHai-ctcp-viglacera-van-hai.htm" TargetMode="External"/><Relationship Id="rId2852" Type="http://schemas.openxmlformats.org/officeDocument/2006/relationships/hyperlink" Target="https://finance.vietstock.vn/XDC-ctcp-xay-dung-cong-trinh-tan-cang.htm" TargetMode="External"/><Relationship Id="rId93" Type="http://schemas.openxmlformats.org/officeDocument/2006/relationships/hyperlink" Target="https://finance.vietstock.vn/APT-ctcp-kinh-doanh-thuy-hai-san-sai-gon.htm" TargetMode="External"/><Relationship Id="rId617" Type="http://schemas.openxmlformats.org/officeDocument/2006/relationships/hyperlink" Target="https://finance.vietstock.vn/DLM-ctcp-chieu-sang-cong-cong-da-nang.htm" TargetMode="External"/><Relationship Id="rId824" Type="http://schemas.openxmlformats.org/officeDocument/2006/relationships/hyperlink" Target="https://finance.vietstock.vn/FSO-ctcp-co-khi-dong-tau-thuy-san-viet-nam.htm" TargetMode="External"/><Relationship Id="rId1247" Type="http://schemas.openxmlformats.org/officeDocument/2006/relationships/hyperlink" Target="https://finance.vietstock.vn/ITS-ctcp-dau-tu-thuong-mai-va-dich-vu-vinacomin.htm" TargetMode="External"/><Relationship Id="rId1454" Type="http://schemas.openxmlformats.org/officeDocument/2006/relationships/hyperlink" Target="https://finance.vietstock.vn/MCL-ctcp-phat-trien-nha-va-san-xuat-vat-lieu-xay-dung-chi-linh.htm" TargetMode="External"/><Relationship Id="rId1661" Type="http://schemas.openxmlformats.org/officeDocument/2006/relationships/hyperlink" Target="https://finance.vietstock.vn/NTW-ctcp-cap-nuoc-nhon-trach.htm" TargetMode="External"/><Relationship Id="rId2505" Type="http://schemas.openxmlformats.org/officeDocument/2006/relationships/hyperlink" Target="https://finance.vietstock.vn/UPS-ctcp-chung-khoan-up.htm" TargetMode="External"/><Relationship Id="rId2712" Type="http://schemas.openxmlformats.org/officeDocument/2006/relationships/hyperlink" Target="https://finance.vietstock.vn/VLD-ctcp-bat-dong-san-viettronics.htm" TargetMode="External"/><Relationship Id="rId1107" Type="http://schemas.openxmlformats.org/officeDocument/2006/relationships/hyperlink" Target="https://finance.vietstock.vn/HPH-ctcp-hoa-chat-hung-phat-ha-bac.htm" TargetMode="External"/><Relationship Id="rId1314" Type="http://schemas.openxmlformats.org/officeDocument/2006/relationships/hyperlink" Target="https://finance.vietstock.vn/KSA-ctcp-cong-nghiep-khoang-san-binh-thuan.htm" TargetMode="External"/><Relationship Id="rId1521" Type="http://schemas.openxmlformats.org/officeDocument/2006/relationships/hyperlink" Target="https://finance.vietstock.vn/MQB-ctcp-moi-truong-va-phat-trien-do-thi-quang-binh.htm" TargetMode="External"/><Relationship Id="rId20" Type="http://schemas.openxmlformats.org/officeDocument/2006/relationships/hyperlink" Target="https://finance.vietstock.vn/AC4-ctcp-acc-244.htm" TargetMode="External"/><Relationship Id="rId2088" Type="http://schemas.openxmlformats.org/officeDocument/2006/relationships/hyperlink" Target="https://finance.vietstock.vn/SHP-ctcp-thuy-dien-mien-nam.htm" TargetMode="External"/><Relationship Id="rId2295" Type="http://schemas.openxmlformats.org/officeDocument/2006/relationships/hyperlink" Target="https://finance.vietstock.vn/TFC-ctcp-trang.htm" TargetMode="External"/><Relationship Id="rId267" Type="http://schemas.openxmlformats.org/officeDocument/2006/relationships/hyperlink" Target="https://finance.vietstock.vn/BTH-ctcp-che-tao-bien-the-va-vat-lieu-dien-ha-noi.htm" TargetMode="External"/><Relationship Id="rId474" Type="http://schemas.openxmlformats.org/officeDocument/2006/relationships/hyperlink" Target="https://finance.vietstock.vn/CPH-ctcp-phuc-vu-mai-tang-hai-phong.htm" TargetMode="External"/><Relationship Id="rId2155" Type="http://schemas.openxmlformats.org/officeDocument/2006/relationships/hyperlink" Target="https://finance.vietstock.vn/SPV-ctcp-thuy-dac-san.htm" TargetMode="External"/><Relationship Id="rId127" Type="http://schemas.openxmlformats.org/officeDocument/2006/relationships/hyperlink" Target="https://finance.vietstock.vn/BachViet-ctcp-cong-nghe-va-dau-tu-bach-viet.htm" TargetMode="External"/><Relationship Id="rId681" Type="http://schemas.openxmlformats.org/officeDocument/2006/relationships/hyperlink" Target="https://finance.vietstock.vn/DSH-ctcp-dau-tu-ha-tang-dong-son.htm" TargetMode="External"/><Relationship Id="rId2362" Type="http://schemas.openxmlformats.org/officeDocument/2006/relationships/hyperlink" Target="https://finance.vietstock.vn/TLCF-ctcp-quan-ly-quy-fides-viet-nam.htm" TargetMode="External"/><Relationship Id="rId334" Type="http://schemas.openxmlformats.org/officeDocument/2006/relationships/hyperlink" Target="https://finance.vietstock.vn/CavicoGiaoThong-ctcp-cavico-giao-thong.htm" TargetMode="External"/><Relationship Id="rId541" Type="http://schemas.openxmlformats.org/officeDocument/2006/relationships/hyperlink" Target="https://finance.vietstock.vn/DAR-ctcp-xe-lua-di-an.htm" TargetMode="External"/><Relationship Id="rId1171" Type="http://schemas.openxmlformats.org/officeDocument/2006/relationships/hyperlink" Target="https://finance.vietstock.vn/HVB-ctcp-bao-hiem-hung-vuong.htm" TargetMode="External"/><Relationship Id="rId2015" Type="http://schemas.openxmlformats.org/officeDocument/2006/relationships/hyperlink" Target="https://finance.vietstock.vn/SCO-ctcp-cong-nghiep-thuy-san.htm" TargetMode="External"/><Relationship Id="rId2222" Type="http://schemas.openxmlformats.org/officeDocument/2006/relationships/hyperlink" Target="https://finance.vietstock.vn/TaiChinhBIDV-ctcp-dau-tu-tai-chinh-bidv.htm" TargetMode="External"/><Relationship Id="rId401" Type="http://schemas.openxmlformats.org/officeDocument/2006/relationships/hyperlink" Target="https://finance.vietstock.vn/CIG-ctcp-coma-18.htm" TargetMode="External"/><Relationship Id="rId1031" Type="http://schemas.openxmlformats.org/officeDocument/2006/relationships/hyperlink" Target="https://finance.vietstock.vn/HHL-ctcp-hong-ha-long-an.htm" TargetMode="External"/><Relationship Id="rId1988" Type="http://schemas.openxmlformats.org/officeDocument/2006/relationships/hyperlink" Target="https://finance.vietstock.vn/SBA-ctcp-song-ba.htm" TargetMode="External"/><Relationship Id="rId1848" Type="http://schemas.openxmlformats.org/officeDocument/2006/relationships/hyperlink" Target="https://finance.vietstock.vn/PTN-ctcp-phat-trien-nha-khanh-hoa.htm" TargetMode="External"/><Relationship Id="rId191" Type="http://schemas.openxmlformats.org/officeDocument/2006/relationships/hyperlink" Target="https://finance.vietstock.vn/BHT-ctcp-dau-tu-xay-dung-bach-dang-tmc.htm" TargetMode="External"/><Relationship Id="rId1708" Type="http://schemas.openxmlformats.org/officeDocument/2006/relationships/hyperlink" Target="https://finance.vietstock.vn/PBSV-cong-ty-tnhh-chung-khoan-ngan-hang-public-viet-nam.htm" TargetMode="External"/><Relationship Id="rId1915" Type="http://schemas.openxmlformats.org/officeDocument/2006/relationships/hyperlink" Target="https://finance.vietstock.vn/QST-ctcp-sach-va-thiet-bi-truong-hoc-quang-ninh.htm" TargetMode="External"/><Relationship Id="rId2689" Type="http://schemas.openxmlformats.org/officeDocument/2006/relationships/hyperlink" Target="https://finance.vietstock.vn/VinSpeed-ctcp-dau-tu-va-phat-trien-duong-sat-cao-toc-vinspeed.htm" TargetMode="External"/><Relationship Id="rId868" Type="http://schemas.openxmlformats.org/officeDocument/2006/relationships/hyperlink" Target="https://finance.vietstock.vn/GEC-ctcp-co-khi-gang-thep.htm" TargetMode="External"/><Relationship Id="rId1498" Type="http://schemas.openxmlformats.org/officeDocument/2006/relationships/hyperlink" Target="https://finance.vietstock.vn/MINEXCO-ctcp-khoang-san-va-dau-tu-khanh-hoa.htm" TargetMode="External"/><Relationship Id="rId2549" Type="http://schemas.openxmlformats.org/officeDocument/2006/relationships/hyperlink" Target="https://finance.vietstock.vn/VCH-ctcp-dau-tu-xay-dung-va-phat-trien-ha-tang-vinaconex.htm" TargetMode="External"/><Relationship Id="rId2756" Type="http://schemas.openxmlformats.org/officeDocument/2006/relationships/hyperlink" Target="https://finance.vietstock.vn/VOS-ctcp-van-tai-bien-viet-nam.htm" TargetMode="External"/><Relationship Id="rId728" Type="http://schemas.openxmlformats.org/officeDocument/2006/relationships/hyperlink" Target="https://finance.vietstock.vn/DVBBank-ngan-hang-phat-trien-viet&#160;nam.htm" TargetMode="External"/><Relationship Id="rId935" Type="http://schemas.openxmlformats.org/officeDocument/2006/relationships/hyperlink" Target="https://finance.vietstock.vn/HAC-ctcp-chung-khoan-hai-phong.htm" TargetMode="External"/><Relationship Id="rId1358" Type="http://schemas.openxmlformats.org/officeDocument/2006/relationships/hyperlink" Target="https://finance.vietstock.vn/Lasotra-ctcp-thuong-mai-lang-son.htm" TargetMode="External"/><Relationship Id="rId1565" Type="http://schemas.openxmlformats.org/officeDocument/2006/relationships/hyperlink" Target="https://finance.vietstock.vn/NAS-ctcp-dich-vu-hang-khong-san-bay-viet-nam.htm" TargetMode="External"/><Relationship Id="rId1772" Type="http://schemas.openxmlformats.org/officeDocument/2006/relationships/hyperlink" Target="https://finance.vietstock.vn/PIT-ctcp-xuat-nhap-khau-petrolimex.htm" TargetMode="External"/><Relationship Id="rId2409" Type="http://schemas.openxmlformats.org/officeDocument/2006/relationships/hyperlink" Target="https://finance.vietstock.vn/TPC-ctcp-nhua-tan-dai-hung.htm" TargetMode="External"/><Relationship Id="rId2616" Type="http://schemas.openxmlformats.org/officeDocument/2006/relationships/hyperlink" Target="https://finance.vietstock.vn/Vibex-ctcp-be-tong-xay-dung-ha-noi.htm" TargetMode="External"/><Relationship Id="rId64" Type="http://schemas.openxmlformats.org/officeDocument/2006/relationships/hyperlink" Target="https://finance.vietstock.vn/ALP-ctcp-dau-tu-alphanam.htm" TargetMode="External"/><Relationship Id="rId1218" Type="http://schemas.openxmlformats.org/officeDocument/2006/relationships/hyperlink" Target="https://finance.vietstock.vn/INC-ctcp-tu-van-dau-tu-idico.htm" TargetMode="External"/><Relationship Id="rId1425" Type="http://schemas.openxmlformats.org/officeDocument/2006/relationships/hyperlink" Target="https://finance.vietstock.vn/MAC-ctcp-tap-doan-macstar.htm" TargetMode="External"/><Relationship Id="rId2823" Type="http://schemas.openxmlformats.org/officeDocument/2006/relationships/hyperlink" Target="https://finance.vietstock.vn/VungTauShip-ctcp-dich-vu-va-van-tai-bien-vung-tau.htm" TargetMode="External"/><Relationship Id="rId1632" Type="http://schemas.openxmlformats.org/officeDocument/2006/relationships/hyperlink" Target="https://finance.vietstock.vn/NovaGroup-ctcp-tap-doan-novagroup.htm" TargetMode="External"/><Relationship Id="rId2199" Type="http://schemas.openxmlformats.org/officeDocument/2006/relationships/hyperlink" Target="https://finance.vietstock.vn/SVH-ctcp-thuy-dien-song-vang.htm" TargetMode="External"/><Relationship Id="rId378" Type="http://schemas.openxmlformats.org/officeDocument/2006/relationships/hyperlink" Target="https://finance.vietstock.vn/CH5-ctcp-xay-dung-so-5-ha-noi.htm" TargetMode="External"/><Relationship Id="rId585" Type="http://schemas.openxmlformats.org/officeDocument/2006/relationships/hyperlink" Target="https://finance.vietstock.vn/DGW-ctcp-the-gioi-so.htm" TargetMode="External"/><Relationship Id="rId792" Type="http://schemas.openxmlformats.org/officeDocument/2006/relationships/hyperlink" Target="https://finance.vietstock.vn/FCC-ctcp-lien-hop-thuc-pham.htm" TargetMode="External"/><Relationship Id="rId2059" Type="http://schemas.openxmlformats.org/officeDocument/2006/relationships/hyperlink" Target="https://finance.vietstock.vn/SFN-ctcp-det-luoi-sai-gon.htm" TargetMode="External"/><Relationship Id="rId2266" Type="http://schemas.openxmlformats.org/officeDocument/2006/relationships/hyperlink" Target="https://finance.vietstock.vn/TCO-ctcp-tco-holdings.htm" TargetMode="External"/><Relationship Id="rId2473" Type="http://schemas.openxmlformats.org/officeDocument/2006/relationships/hyperlink" Target="https://finance.vietstock.vn/TVAM-ctcp-quan-ly-quy-thien-viet.htm" TargetMode="External"/><Relationship Id="rId2680" Type="http://schemas.openxmlformats.org/officeDocument/2006/relationships/hyperlink" Target="https://finance.vietstock.vn/VinaWind-ctcp-dien-co-thong-nhat.htm" TargetMode="External"/><Relationship Id="rId238" Type="http://schemas.openxmlformats.org/officeDocument/2006/relationships/hyperlink" Target="https://finance.vietstock.vn/BOT-ctcp-bot-cau-thai-ha.htm" TargetMode="External"/><Relationship Id="rId445" Type="http://schemas.openxmlformats.org/officeDocument/2006/relationships/hyperlink" Target="https://finance.vietstock.vn/CNT-ctcp-tap-doan-cnt.htm" TargetMode="External"/><Relationship Id="rId652" Type="http://schemas.openxmlformats.org/officeDocument/2006/relationships/hyperlink" Target="https://finance.vietstock.vn/DongTam-ctcp-dong-tam.htm" TargetMode="External"/><Relationship Id="rId1075" Type="http://schemas.openxmlformats.org/officeDocument/2006/relationships/hyperlink" Target="https://finance.vietstock.vn/HNE-ctcp-hanel.htm" TargetMode="External"/><Relationship Id="rId1282" Type="http://schemas.openxmlformats.org/officeDocument/2006/relationships/hyperlink" Target="https://finance.vietstock.vn/KhoangSanSongDa-ctcp-khai-thac-va-che-bien-khoang-san-song-da.htm" TargetMode="External"/><Relationship Id="rId2126" Type="http://schemas.openxmlformats.org/officeDocument/2006/relationships/hyperlink" Target="https://finance.vietstock.vn/SNZ-tong-cong-ty-co-phan-phat-trien-khu-cong-nghiep.htm" TargetMode="External"/><Relationship Id="rId2333" Type="http://schemas.openxmlformats.org/officeDocument/2006/relationships/hyperlink" Target="https://finance.vietstock.vn/THS-ctcp-thanh-hoa-song-da.htm" TargetMode="External"/><Relationship Id="rId2540" Type="http://schemas.openxmlformats.org/officeDocument/2006/relationships/hyperlink" Target="https://finance.vietstock.vn/VCAMDF-quy-dau-tu-ban-viet-discovery.htm" TargetMode="External"/><Relationship Id="rId305" Type="http://schemas.openxmlformats.org/officeDocument/2006/relationships/hyperlink" Target="https://finance.vietstock.vn/C71-ctcp-471.htm" TargetMode="External"/><Relationship Id="rId512" Type="http://schemas.openxmlformats.org/officeDocument/2006/relationships/hyperlink" Target="https://finance.vietstock.vn/Cty479-ctcp-479.htm" TargetMode="External"/><Relationship Id="rId1142" Type="http://schemas.openxmlformats.org/officeDocument/2006/relationships/hyperlink" Target="https://finance.vietstock.vn/HTI-ctcp-dau-tu-phat-trien-ha-tang-idico.htm" TargetMode="External"/><Relationship Id="rId2400" Type="http://schemas.openxmlformats.org/officeDocument/2006/relationships/hyperlink" Target="https://finance.vietstock.vn/ToanThinhPhat-ctcp-dau-tu-kien-truc-xay-dung-toan-thinh-phat.htm" TargetMode="External"/><Relationship Id="rId1002" Type="http://schemas.openxmlformats.org/officeDocument/2006/relationships/hyperlink" Target="https://finance.vietstock.vn/HDLinvest-ctcp-thuong-mai-va-dau-tu-hdl.htm" TargetMode="External"/><Relationship Id="rId1959" Type="http://schemas.openxmlformats.org/officeDocument/2006/relationships/hyperlink" Target="https://finance.vietstock.vn/SabecoMienDong-ctcp-thuong-mai-sabeco-mien-dong.htm" TargetMode="External"/><Relationship Id="rId1819" Type="http://schemas.openxmlformats.org/officeDocument/2006/relationships/hyperlink" Target="https://finance.vietstock.vn/PRC-ctcp-logistics-portserco.htm" TargetMode="External"/><Relationship Id="rId2190" Type="http://schemas.openxmlformats.org/officeDocument/2006/relationships/hyperlink" Target="https://finance.vietstock.vn/STW-ctcp-cap-nuoc-soc-trang.htm" TargetMode="External"/><Relationship Id="rId162" Type="http://schemas.openxmlformats.org/officeDocument/2006/relationships/hyperlink" Target="https://finance.vietstock.vn/BDG-ctcp-may-mac-binh-duong.htm" TargetMode="External"/><Relationship Id="rId2050" Type="http://schemas.openxmlformats.org/officeDocument/2006/relationships/hyperlink" Target="https://finance.vietstock.vn/SeafoodF17-ctcp-nha-trang-seafoods-f17.htm" TargetMode="External"/><Relationship Id="rId979" Type="http://schemas.openxmlformats.org/officeDocument/2006/relationships/hyperlink" Target="https://finance.vietstock.vn/HBI-ctcp-hbi.htm" TargetMode="External"/><Relationship Id="rId839" Type="http://schemas.openxmlformats.org/officeDocument/2006/relationships/hyperlink" Target="https://finance.vietstock.vn/FUEIP100-chung-chi-quy-etf-ipaam-vn100.htm" TargetMode="External"/><Relationship Id="rId1469" Type="http://schemas.openxmlformats.org/officeDocument/2006/relationships/hyperlink" Target="https://finance.vietstock.vn/MECO-ctcp-co-dien-luyen-kim-thai-nguyen.htm" TargetMode="External"/><Relationship Id="rId2867" Type="http://schemas.openxmlformats.org/officeDocument/2006/relationships/hyperlink" Target="https://finance.vietstock.vn/XMP-ctcp-thuy-dien-xuan-minh.htm" TargetMode="External"/><Relationship Id="rId1676" Type="http://schemas.openxmlformats.org/officeDocument/2006/relationships/hyperlink" Target="https://finance.vietstock.vn/OCB-ngan-hang-tmcp-phuong-dong.htm" TargetMode="External"/><Relationship Id="rId1883" Type="http://schemas.openxmlformats.org/officeDocument/2006/relationships/hyperlink" Target="https://finance.vietstock.vn/PVX-tong-cong-ty-co-phan-xay-lap-dau-khi-viet-nam.htm" TargetMode="External"/><Relationship Id="rId2727" Type="http://schemas.openxmlformats.org/officeDocument/2006/relationships/hyperlink" Target="https://finance.vietstock.vn/VMS-ctcp-phat-trien-hang-hai.htm" TargetMode="External"/><Relationship Id="rId906" Type="http://schemas.openxmlformats.org/officeDocument/2006/relationships/hyperlink" Target="https://finance.vietstock.vn/GLT-ctcp-ky-thuat-dien-toan-cau.htm" TargetMode="External"/><Relationship Id="rId1329" Type="http://schemas.openxmlformats.org/officeDocument/2006/relationships/hyperlink" Target="https://finance.vietstock.vn/KTC-ctcp-thuong-mai-kien-giang.htm" TargetMode="External"/><Relationship Id="rId1536" Type="http://schemas.openxmlformats.org/officeDocument/2006/relationships/hyperlink" Target="https://finance.vietstock.vn/MTL-ctcp-dich-vu-moi-truong-do-thi-tu-liem.htm" TargetMode="External"/><Relationship Id="rId1743" Type="http://schemas.openxmlformats.org/officeDocument/2006/relationships/hyperlink" Target="https://finance.vietstock.vn/PGT-ctcp-pgt-holdings.htm" TargetMode="External"/><Relationship Id="rId1950" Type="http://schemas.openxmlformats.org/officeDocument/2006/relationships/hyperlink" Target="https://finance.vietstock.vn/S27-ctcp-song-da-27.htm" TargetMode="External"/><Relationship Id="rId35" Type="http://schemas.openxmlformats.org/officeDocument/2006/relationships/hyperlink" Target="https://finance.vietstock.vn/ADC-ctcp-my-thuat-va-truyen-thong.htm" TargetMode="External"/><Relationship Id="rId1603" Type="http://schemas.openxmlformats.org/officeDocument/2006/relationships/hyperlink" Target="https://finance.vietstock.vn/NHC-ctcp-gach-ngoi-nhi-hiep.htm" TargetMode="External"/><Relationship Id="rId1810" Type="http://schemas.openxmlformats.org/officeDocument/2006/relationships/hyperlink" Target="https://finance.vietstock.vn/PPE-ctcp-tu-van-dau-tu-pp-enterprise.htm" TargetMode="External"/><Relationship Id="rId489" Type="http://schemas.openxmlformats.org/officeDocument/2006/relationships/hyperlink" Target="https://finance.vietstock.vn/CSV-ctcp-hoa-chat-co-ban-mien-nam.htm" TargetMode="External"/><Relationship Id="rId696" Type="http://schemas.openxmlformats.org/officeDocument/2006/relationships/hyperlink" Target="https://finance.vietstock.vn/DTH-ctcp-duoc-vat-tu-y-te-thanh-hoa.htm" TargetMode="External"/><Relationship Id="rId2377" Type="http://schemas.openxmlformats.org/officeDocument/2006/relationships/hyperlink" Target="https://finance.vietstock.vn/TMPhuongDong-ctcp-san-xuat-va-thuong-mai-phuong-dong.htm" TargetMode="External"/><Relationship Id="rId2584" Type="http://schemas.openxmlformats.org/officeDocument/2006/relationships/hyperlink" Target="https://finance.vietstock.vn/Vegetigi-ctcp-rau-qua-tien-giang.htm" TargetMode="External"/><Relationship Id="rId2791" Type="http://schemas.openxmlformats.org/officeDocument/2006/relationships/hyperlink" Target="https://finance.vietstock.vn/VT1-ctcp-vat-tu-ben-thanh.htm" TargetMode="External"/><Relationship Id="rId349" Type="http://schemas.openxmlformats.org/officeDocument/2006/relationships/hyperlink" Target="https://finance.vietstock.vn/CCL-ctcp-dau-tu-va-phat-trien-do-thi-dau-khi-cuu-long.htm" TargetMode="External"/><Relationship Id="rId556" Type="http://schemas.openxmlformats.org/officeDocument/2006/relationships/hyperlink" Target="https://finance.vietstock.vn/DC4-ctcp-dicera-holdings.htm" TargetMode="External"/><Relationship Id="rId763" Type="http://schemas.openxmlformats.org/officeDocument/2006/relationships/hyperlink" Target="https://finance.vietstock.vn/EIC-ctcp-evn-quoc-te.htm" TargetMode="External"/><Relationship Id="rId1186" Type="http://schemas.openxmlformats.org/officeDocument/2006/relationships/hyperlink" Target="https://finance.vietstock.vn/ICF-ctcp-dau-tu-thuong-mai-thuy-san.htm" TargetMode="External"/><Relationship Id="rId1393" Type="http://schemas.openxmlformats.org/officeDocument/2006/relationships/hyperlink" Target="https://finance.vietstock.vn/LKW-ctcp-cap-nuoc-long-khanh.htm" TargetMode="External"/><Relationship Id="rId2237" Type="http://schemas.openxmlformats.org/officeDocument/2006/relationships/hyperlink" Target="https://finance.vietstock.vn/TAR-ctcp-nong-nghiep-cong-nghe-cao-trung-an.htm" TargetMode="External"/><Relationship Id="rId2444" Type="http://schemas.openxmlformats.org/officeDocument/2006/relationships/hyperlink" Target="https://finance.vietstock.vn/TSS-ctcp-chung-khoan-truong-son.htm" TargetMode="External"/><Relationship Id="rId209" Type="http://schemas.openxmlformats.org/officeDocument/2006/relationships/hyperlink" Target="https://finance.vietstock.vn/BISS-ctcp-chung-khoan-bis.htm" TargetMode="External"/><Relationship Id="rId416" Type="http://schemas.openxmlformats.org/officeDocument/2006/relationships/hyperlink" Target="https://finance.vietstock.vn/CLC-ctcp-cat-loi.htm" TargetMode="External"/><Relationship Id="rId970" Type="http://schemas.openxmlformats.org/officeDocument/2006/relationships/hyperlink" Target="https://finance.vietstock.vn/HAT-ctcp-thuong-mai-bia-ha-noi.htm" TargetMode="External"/><Relationship Id="rId1046" Type="http://schemas.openxmlformats.org/officeDocument/2006/relationships/hyperlink" Target="https://finance.vietstock.vn/HIZ-ctcp-khu-cong-nghiep-ho-nai.htm" TargetMode="External"/><Relationship Id="rId1253" Type="http://schemas.openxmlformats.org/officeDocument/2006/relationships/hyperlink" Target="https://finance.vietstock.vn/JSI-cong-ty-tnhh-chung-khoan-nhat-ban.htm" TargetMode="External"/><Relationship Id="rId2651" Type="http://schemas.openxmlformats.org/officeDocument/2006/relationships/hyperlink" Target="https://finance.vietstock.vn/VILACONA-ctcp-dau-tu-hop-tac-kinh-te-viet-lao.htm" TargetMode="External"/><Relationship Id="rId623" Type="http://schemas.openxmlformats.org/officeDocument/2006/relationships/hyperlink" Target="https://finance.vietstock.vn/DMC-ctcp-xuat-nhap-khau-y-te-domesco.htm" TargetMode="External"/><Relationship Id="rId830" Type="http://schemas.openxmlformats.org/officeDocument/2006/relationships/hyperlink" Target="https://finance.vietstock.vn/FTV-ctcp-cong-nghiep-ngu-kim-fortress-viet-nam.htm" TargetMode="External"/><Relationship Id="rId1460" Type="http://schemas.openxmlformats.org/officeDocument/2006/relationships/hyperlink" Target="https://finance.vietstock.vn/MCV-ctcp-cavico-viet-nam-khai-thac-mo-va-xay-dung.htm" TargetMode="External"/><Relationship Id="rId2304" Type="http://schemas.openxmlformats.org/officeDocument/2006/relationships/hyperlink" Target="https://finance.vietstock.vn/ThanhAn-tong-cong-ty-thanh-an.htm" TargetMode="External"/><Relationship Id="rId2511" Type="http://schemas.openxmlformats.org/officeDocument/2006/relationships/hyperlink" Target="https://finance.vietstock.vn/V11-ctcp-xay-dung-so-11.htm" TargetMode="External"/><Relationship Id="rId1113" Type="http://schemas.openxmlformats.org/officeDocument/2006/relationships/hyperlink" Target="https://finance.vietstock.vn/HPRAILCO-ctcp-toa-xe-hai-phong.htm" TargetMode="External"/><Relationship Id="rId1320" Type="http://schemas.openxmlformats.org/officeDocument/2006/relationships/hyperlink" Target="https://finance.vietstock.vn/KSG-ctcp-khoang-san-va-vat-lieu-xay-dung-gia-lai.htm" TargetMode="External"/><Relationship Id="rId2094" Type="http://schemas.openxmlformats.org/officeDocument/2006/relationships/hyperlink" Target="https://finance.vietstock.vn/SIG-ctcp-dau-tu-va-thuong-mai-song-da.htm" TargetMode="External"/><Relationship Id="rId273" Type="http://schemas.openxmlformats.org/officeDocument/2006/relationships/hyperlink" Target="https://finance.vietstock.vn/BTS-ctcp-xi-mang-vicem-but-son.htm" TargetMode="External"/><Relationship Id="rId480" Type="http://schemas.openxmlformats.org/officeDocument/2006/relationships/hyperlink" Target="https://finance.vietstock.vn/CRC-ctcp-create-capital-viet-nam.htm" TargetMode="External"/><Relationship Id="rId2161" Type="http://schemas.openxmlformats.org/officeDocument/2006/relationships/hyperlink" Target="https://finance.vietstock.vn/SSB-ngan-hang-tmcp-dong-nam-a.htm" TargetMode="External"/><Relationship Id="rId133" Type="http://schemas.openxmlformats.org/officeDocument/2006/relationships/hyperlink" Target="https://finance.vietstock.vn/BaoHoLaoDong-ctcp-tap-pham-va-bao-ho-lao-dong.htm" TargetMode="External"/><Relationship Id="rId340" Type="http://schemas.openxmlformats.org/officeDocument/2006/relationships/hyperlink" Target="https://finance.vietstock.vn/CBI-ctcp-gang-thep-cao-bang.htm" TargetMode="External"/><Relationship Id="rId2021" Type="http://schemas.openxmlformats.org/officeDocument/2006/relationships/hyperlink" Target="https://finance.vietstock.vn/SD2-ctcp-song-da-2.htm" TargetMode="External"/><Relationship Id="rId200" Type="http://schemas.openxmlformats.org/officeDocument/2006/relationships/hyperlink" Target="https://finance.vietstock.vn/BID-ngan-hang-tmcp-dau-tu-va-phat-trien-viet-nam.htm" TargetMode="External"/><Relationship Id="rId1787" Type="http://schemas.openxmlformats.org/officeDocument/2006/relationships/hyperlink" Target="https://finance.vietstock.vn/PME-ctcp-pymepharco.htm" TargetMode="External"/><Relationship Id="rId1994" Type="http://schemas.openxmlformats.org/officeDocument/2006/relationships/hyperlink" Target="https://finance.vietstock.vn/SBH-ctcp-thuy-dien-song-ba-ha.htm" TargetMode="External"/><Relationship Id="rId2838" Type="http://schemas.openxmlformats.org/officeDocument/2006/relationships/hyperlink" Target="https://finance.vietstock.vn/X20-ctcp-x20.htm" TargetMode="External"/><Relationship Id="rId79" Type="http://schemas.openxmlformats.org/officeDocument/2006/relationships/hyperlink" Target="https://finance.vietstock.vn/Anresco-ctcp-dia-oc-an-giang.htm" TargetMode="External"/><Relationship Id="rId1647" Type="http://schemas.openxmlformats.org/officeDocument/2006/relationships/hyperlink" Target="https://finance.vietstock.vn/NSN-ctcp-xay-dung-565.htm" TargetMode="External"/><Relationship Id="rId1854" Type="http://schemas.openxmlformats.org/officeDocument/2006/relationships/hyperlink" Target="https://finance.vietstock.vn/PTX-ctcp-van-tai-va-dich-vu-petrolimex-nghe-tinh.htm" TargetMode="External"/><Relationship Id="rId1507" Type="http://schemas.openxmlformats.org/officeDocument/2006/relationships/hyperlink" Target="https://finance.vietstock.vn/MLC-ctcp-moi-truong-do-thi-tinh-lao-cai.htm" TargetMode="External"/><Relationship Id="rId1714" Type="http://schemas.openxmlformats.org/officeDocument/2006/relationships/hyperlink" Target="https://finance.vietstock.vn/PCG-ctcp-dau-tu-phat-trien-gas-do-thi.htm" TargetMode="External"/><Relationship Id="rId1921" Type="http://schemas.openxmlformats.org/officeDocument/2006/relationships/hyperlink" Target="https://finance.vietstock.vn/RAL-ctcp-bong-den-phich-nuoc-rang-dong.htm" TargetMode="External"/><Relationship Id="rId2488" Type="http://schemas.openxmlformats.org/officeDocument/2006/relationships/hyperlink" Target="https://finance.vietstock.vn/TVW-ctcp-cap-thoat-nuoc-tra-vinh.htm" TargetMode="External"/><Relationship Id="rId1297" Type="http://schemas.openxmlformats.org/officeDocument/2006/relationships/hyperlink" Target="https://finance.vietstock.vn/KimOanh-ctcp-dich-vu-thuong-mai-va-xay-dung-dia-oc-kim-oanh.htm" TargetMode="External"/><Relationship Id="rId2695" Type="http://schemas.openxmlformats.org/officeDocument/2006/relationships/hyperlink" Target="https://finance.vietstock.vn/VIS-ctcp-thep-viet-y.htm" TargetMode="External"/><Relationship Id="rId667" Type="http://schemas.openxmlformats.org/officeDocument/2006/relationships/hyperlink" Target="https://finance.vietstock.vn/DPP-ctcp-duoc-dong-nai.htm" TargetMode="External"/><Relationship Id="rId874" Type="http://schemas.openxmlformats.org/officeDocument/2006/relationships/hyperlink" Target="https://finance.vietstock.vn/Gelimex-ctcp-dien-may-va-ky-thuat-cong-nghe.htm" TargetMode="External"/><Relationship Id="rId2348" Type="http://schemas.openxmlformats.org/officeDocument/2006/relationships/hyperlink" Target="https://finance.vietstock.vn/TinNghiaPetro-ctcp-xang-dau-tin-nghia.htm" TargetMode="External"/><Relationship Id="rId2555" Type="http://schemas.openxmlformats.org/officeDocument/2006/relationships/hyperlink" Target="https://finance.vietstock.vn/VCR-ctcp-dau-tu-va-phat-trien-du-lich-vinaconex.htm" TargetMode="External"/><Relationship Id="rId2762" Type="http://schemas.openxmlformats.org/officeDocument/2006/relationships/hyperlink" Target="https://finance.vietstock.vn/VPH-ctcp-van-phat-hung.htm" TargetMode="External"/><Relationship Id="rId527" Type="http://schemas.openxmlformats.org/officeDocument/2006/relationships/hyperlink" Target="https://finance.vietstock.vn/D2D-ctcp-phat-trien-do-thi-cong-nghiep-so-2.htm" TargetMode="External"/><Relationship Id="rId734" Type="http://schemas.openxmlformats.org/officeDocument/2006/relationships/hyperlink" Target="https://finance.vietstock.vn/DVP-ctcp-dau-tu-va-phat-trien-cang-dinh-vu.htm" TargetMode="External"/><Relationship Id="rId941" Type="http://schemas.openxmlformats.org/officeDocument/2006/relationships/hyperlink" Target="https://finance.vietstock.vn/HAFIC-ctcp-tai-chinh-handico.htm" TargetMode="External"/><Relationship Id="rId1157" Type="http://schemas.openxmlformats.org/officeDocument/2006/relationships/hyperlink" Target="https://finance.vietstock.vn/HU6-ctcp-dau-tu-phat-trien-nha-va-do-thi-hud6.htm" TargetMode="External"/><Relationship Id="rId1364" Type="http://schemas.openxmlformats.org/officeDocument/2006/relationships/hyperlink" Target="https://finance.vietstock.vn/LCD-ctcp-lap-may-thi-nghiem-co-dien.htm" TargetMode="External"/><Relationship Id="rId1571" Type="http://schemas.openxmlformats.org/officeDocument/2006/relationships/hyperlink" Target="https://finance.vietstock.vn/NBC-ctcp-than-nui-beo-vinacomin.htm" TargetMode="External"/><Relationship Id="rId2208" Type="http://schemas.openxmlformats.org/officeDocument/2006/relationships/hyperlink" Target="https://finance.vietstock.vn/SZC-ctcp-sonadezi-chau-duc.htm" TargetMode="External"/><Relationship Id="rId2415" Type="http://schemas.openxmlformats.org/officeDocument/2006/relationships/hyperlink" Target="https://finance.vietstock.vn/TQW-ctcp-cap-thoat-nuoc-tuyen-quang.htm" TargetMode="External"/><Relationship Id="rId2622" Type="http://schemas.openxmlformats.org/officeDocument/2006/relationships/hyperlink" Target="https://finance.vietstock.vn/VIDOCO-ctcp-thiet-ke-xay-lap-vien-dong.htm" TargetMode="External"/><Relationship Id="rId70" Type="http://schemas.openxmlformats.org/officeDocument/2006/relationships/hyperlink" Target="https://finance.vietstock.vn/AME-ctcp-alphanam-ec.htm" TargetMode="External"/><Relationship Id="rId801" Type="http://schemas.openxmlformats.org/officeDocument/2006/relationships/hyperlink" Target="https://finance.vietstock.vn/FHN-ctcp-xuat-nhap-khau-luong-thuc-thuc-pham-ha-noi.htm" TargetMode="External"/><Relationship Id="rId1017" Type="http://schemas.openxmlformats.org/officeDocument/2006/relationships/hyperlink" Target="https://finance.vietstock.vn/HFC-ctcp-xang-dau-hfc.htm" TargetMode="External"/><Relationship Id="rId1224" Type="http://schemas.openxmlformats.org/officeDocument/2006/relationships/hyperlink" Target="https://finance.vietstock.vn/InPhucYen-ctcp-in-phuc-yen.htm" TargetMode="External"/><Relationship Id="rId1431" Type="http://schemas.openxmlformats.org/officeDocument/2006/relationships/hyperlink" Target="https://finance.vietstock.vn/MayPhuongDong-ctcp-may-phuong-dong.htm" TargetMode="External"/><Relationship Id="rId177" Type="http://schemas.openxmlformats.org/officeDocument/2006/relationships/hyperlink" Target="https://finance.vietstock.vn/BeTongHaiAu-ctcp-be-tong-hai-au.htm" TargetMode="External"/><Relationship Id="rId384" Type="http://schemas.openxmlformats.org/officeDocument/2006/relationships/hyperlink" Target="https://finance.vietstock.vn/CHS-ctcp-chieu-sang-cong-cong-thanh-pho-ho-chi-minh.htm" TargetMode="External"/><Relationship Id="rId591" Type="http://schemas.openxmlformats.org/officeDocument/2006/relationships/hyperlink" Target="https://finance.vietstock.vn/DHM-ctcp-thuong-mai-va-khai-thac-khoang-san-duong-hieu.htm" TargetMode="External"/><Relationship Id="rId2065" Type="http://schemas.openxmlformats.org/officeDocument/2006/relationships/hyperlink" Target="https://finance.vietstock.vn/SGD-ctcp-sach-giao-duc-tai-thanh-pho-ho-chi-minh.htm" TargetMode="External"/><Relationship Id="rId2272" Type="http://schemas.openxmlformats.org/officeDocument/2006/relationships/hyperlink" Target="https://finance.vietstock.vn/TDA-ctcp-dau-tu-xay-lap-va-vat-lieu-xay-dung-dong-anh.htm" TargetMode="External"/><Relationship Id="rId244" Type="http://schemas.openxmlformats.org/officeDocument/2006/relationships/hyperlink" Target="https://finance.vietstock.vn/BRC-ctcp-cao-su-ben-thanh.htm" TargetMode="External"/><Relationship Id="rId1081" Type="http://schemas.openxmlformats.org/officeDocument/2006/relationships/hyperlink" Target="https://finance.vietstock.vn/HNP-ctcp-hanel-xop-nhua.htm" TargetMode="External"/><Relationship Id="rId451" Type="http://schemas.openxmlformats.org/officeDocument/2006/relationships/hyperlink" Target="https://finance.vietstock.vn/ConDao-ctcp-thuy-san-va-xuat-nhap-khau-con-dao.htm" TargetMode="External"/><Relationship Id="rId2132" Type="http://schemas.openxmlformats.org/officeDocument/2006/relationships/hyperlink" Target="https://finance.vietstock.vn/SonChatDeo-ctcp-son-chat-deo.htm" TargetMode="External"/><Relationship Id="rId104" Type="http://schemas.openxmlformats.org/officeDocument/2006/relationships/hyperlink" Target="https://finance.vietstock.vn/ASG-ctcp-tap-doan-asg.htm" TargetMode="External"/><Relationship Id="rId311" Type="http://schemas.openxmlformats.org/officeDocument/2006/relationships/hyperlink" Target="https://finance.vietstock.vn/CafeControl-ctcp-giam-dinh-ca-phe-va-hang-hoa-xuat-nhap-khau.htm" TargetMode="External"/><Relationship Id="rId1898" Type="http://schemas.openxmlformats.org/officeDocument/2006/relationships/hyperlink" Target="https://finance.vietstock.vn/QBR-ctcp-duong-sat-quang-binh.htm" TargetMode="External"/><Relationship Id="rId1758" Type="http://schemas.openxmlformats.org/officeDocument/2006/relationships/hyperlink" Target="https://finance.vietstock.vn/PhuLong-ctcp-dia-oc-phu-long.htm" TargetMode="External"/><Relationship Id="rId2809" Type="http://schemas.openxmlformats.org/officeDocument/2006/relationships/hyperlink" Target="https://finance.vietstock.vn/VTP-tong-cong-ty-co-phan-buu-chinh-viettel.htm" TargetMode="External"/><Relationship Id="rId1965" Type="http://schemas.openxmlformats.org/officeDocument/2006/relationships/hyperlink" Target="https://finance.vietstock.vn/SachHoaBinh-ctcp-sach-va-thiet-bi-truong-hoc-hoa-binh.htm" TargetMode="External"/><Relationship Id="rId1618" Type="http://schemas.openxmlformats.org/officeDocument/2006/relationships/hyperlink" Target="https://finance.vietstock.vn/NJC-ctcp-may-nam-dinh.htm" TargetMode="External"/><Relationship Id="rId1825" Type="http://schemas.openxmlformats.org/officeDocument/2006/relationships/hyperlink" Target="https://finance.vietstock.vn/PSB-ctcp-dau-tu-dau-khi-sao-mai-ben-dinh.htm" TargetMode="External"/><Relationship Id="rId2599" Type="http://schemas.openxmlformats.org/officeDocument/2006/relationships/hyperlink" Target="https://finance.vietstock.vn/VGP-ctcp-cang-rau-qua.htm" TargetMode="External"/><Relationship Id="rId778" Type="http://schemas.openxmlformats.org/officeDocument/2006/relationships/hyperlink" Target="https://finance.vietstock.vn/EVESG-quy-dau-tu-co-phieu-esg-eastspring-investments-viet-nam.htm" TargetMode="External"/><Relationship Id="rId985" Type="http://schemas.openxmlformats.org/officeDocument/2006/relationships/hyperlink" Target="https://finance.vietstock.vn/HCC-ctcp-be-tong-hoa-cam-intimex.htm" TargetMode="External"/><Relationship Id="rId2459" Type="http://schemas.openxmlformats.org/officeDocument/2006/relationships/hyperlink" Target="https://finance.vietstock.vn/TTP-ctcp-bao-bi-tan-tien.htm" TargetMode="External"/><Relationship Id="rId2666" Type="http://schemas.openxmlformats.org/officeDocument/2006/relationships/hyperlink" Target="https://finance.vietstock.vn/VinaFood1-tong-cong-ty-luong-thuc-mien-bac.htm" TargetMode="External"/><Relationship Id="rId2873" Type="http://schemas.openxmlformats.org/officeDocument/2006/relationships/hyperlink" Target="https://finance.vietstock.vn/XPH-ctcp-xa-phong-ha-noi.htm" TargetMode="External"/><Relationship Id="rId638" Type="http://schemas.openxmlformats.org/officeDocument/2006/relationships/hyperlink" Target="https://finance.vietstock.vn/DNM-tong-cong-ty-co-phan-y-te-danameco.htm" TargetMode="External"/><Relationship Id="rId845" Type="http://schemas.openxmlformats.org/officeDocument/2006/relationships/hyperlink" Target="https://finance.vietstock.vn/FUESSV30-quy-etf-ssiam-vn30.htm" TargetMode="External"/><Relationship Id="rId1268" Type="http://schemas.openxmlformats.org/officeDocument/2006/relationships/hyperlink" Target="https://finance.vietstock.vn/KDM-ctcp-tap-doan-gcl.htm" TargetMode="External"/><Relationship Id="rId1475" Type="http://schemas.openxmlformats.org/officeDocument/2006/relationships/hyperlink" Target="https://finance.vietstock.vn/MEG-ctcp-megram.htm" TargetMode="External"/><Relationship Id="rId1682" Type="http://schemas.openxmlformats.org/officeDocument/2006/relationships/hyperlink" Target="https://finance.vietstock.vn/OLC-ctcp-xay-dung-dich-vu-va-hop-tac-lao-dong.htm" TargetMode="External"/><Relationship Id="rId2319" Type="http://schemas.openxmlformats.org/officeDocument/2006/relationships/hyperlink" Target="https://finance.vietstock.vn/THG-ctcp-dau-tu-va-xay-dung-tien-giang.htm" TargetMode="External"/><Relationship Id="rId2526" Type="http://schemas.openxmlformats.org/officeDocument/2006/relationships/hyperlink" Target="https://finance.vietstock.vn/VAV-ctcp-viwaco.htm" TargetMode="External"/><Relationship Id="rId2733" Type="http://schemas.openxmlformats.org/officeDocument/2006/relationships/hyperlink" Target="https://finance.vietstock.vn/VND-ctcp-chung-khoan-vndirect.htm" TargetMode="External"/><Relationship Id="rId705" Type="http://schemas.openxmlformats.org/officeDocument/2006/relationships/hyperlink" Target="https://finance.vietstock.vn/DTV-ctcp-phat-trien-dien-tra-vinh.htm" TargetMode="External"/><Relationship Id="rId1128" Type="http://schemas.openxmlformats.org/officeDocument/2006/relationships/hyperlink" Target="https://finance.vietstock.vn/HSI-ctcp-vat-tu-tong-hop-va-phan-bon-hoa-sinh.htm" TargetMode="External"/><Relationship Id="rId1335" Type="http://schemas.openxmlformats.org/officeDocument/2006/relationships/hyperlink" Target="https://finance.vietstock.vn/KVC-ctcp-san-xuat-xuat-nhap-khau-inox-kim-vi.htm" TargetMode="External"/><Relationship Id="rId1542" Type="http://schemas.openxmlformats.org/officeDocument/2006/relationships/hyperlink" Target="https://finance.vietstock.vn/MVB-tong-cong-ty-cong-nghiep-mo-viet-bac-tkv-ctcp.htm" TargetMode="External"/><Relationship Id="rId912" Type="http://schemas.openxmlformats.org/officeDocument/2006/relationships/hyperlink" Target="https://finance.vietstock.vn/GMX-ctcp-gach-ngoi-gom-xay-dung-my-xuan.htm" TargetMode="External"/><Relationship Id="rId2800" Type="http://schemas.openxmlformats.org/officeDocument/2006/relationships/hyperlink" Target="https://finance.vietstock.vn/VTF-ctcp-thuc-an-chan-nuoi-viet-thang.htm" TargetMode="External"/><Relationship Id="rId41" Type="http://schemas.openxmlformats.org/officeDocument/2006/relationships/hyperlink" Target="https://finance.vietstock.vn/AFX-ctcp-xuat-nhap-khau-nong-san-thuc-pham-an-giang.htm" TargetMode="External"/><Relationship Id="rId1402" Type="http://schemas.openxmlformats.org/officeDocument/2006/relationships/hyperlink" Target="https://finance.vietstock.vn/LNC-ctcp-le-ninh.htm" TargetMode="External"/><Relationship Id="rId288" Type="http://schemas.openxmlformats.org/officeDocument/2006/relationships/hyperlink" Target="https://finance.vietstock.vn/BVN-ctcp-bong-viet-nam.htm" TargetMode="External"/><Relationship Id="rId495" Type="http://schemas.openxmlformats.org/officeDocument/2006/relationships/hyperlink" Target="https://finance.vietstock.vn/CTC-ctcp-tap-doan-hoang-kim-tay-nguyen.htm" TargetMode="External"/><Relationship Id="rId2176" Type="http://schemas.openxmlformats.org/officeDocument/2006/relationships/hyperlink" Target="https://finance.vietstock.vn/STC-ctcp-sach-va-thiet-bi-truong-hoc-thanh-pho-ho-chi-minh.htm" TargetMode="External"/><Relationship Id="rId2383" Type="http://schemas.openxmlformats.org/officeDocument/2006/relationships/hyperlink" Target="https://finance.vietstock.vn/TMX-ctcp-vicem-thuong-mai-xi-mang.htm" TargetMode="External"/><Relationship Id="rId2590" Type="http://schemas.openxmlformats.org/officeDocument/2006/relationships/hyperlink" Target="https://finance.vietstock.vn/VFG-ctcp-khu-trung-viet-nam.htm" TargetMode="External"/><Relationship Id="rId148" Type="http://schemas.openxmlformats.org/officeDocument/2006/relationships/hyperlink" Target="https://finance.vietstock.vn/BCA-ctcp-b-c-h.htm" TargetMode="External"/><Relationship Id="rId355" Type="http://schemas.openxmlformats.org/officeDocument/2006/relationships/hyperlink" Target="https://finance.vietstock.vn/CCT-ctcp-cang-can-tho.htm" TargetMode="External"/><Relationship Id="rId562" Type="http://schemas.openxmlformats.org/officeDocument/2006/relationships/hyperlink" Target="https://finance.vietstock.vn/DCL-ctcp-duoc-pham-cuu-long.htm" TargetMode="External"/><Relationship Id="rId1192" Type="http://schemas.openxmlformats.org/officeDocument/2006/relationships/hyperlink" Target="https://finance.vietstock.vn/ICPC-ctcp-hang-gia-dung-quoc-te.htm" TargetMode="External"/><Relationship Id="rId2036" Type="http://schemas.openxmlformats.org/officeDocument/2006/relationships/hyperlink" Target="https://finance.vietstock.vn/SDH-ctcp-xay-dung-ha-tang-song-da.htm" TargetMode="External"/><Relationship Id="rId2243" Type="http://schemas.openxmlformats.org/officeDocument/2006/relationships/hyperlink" Target="https://finance.vietstock.vn/TayHo-ctcp-dau-tu-va-xay-dung-tay-ho.htm" TargetMode="External"/><Relationship Id="rId2450" Type="http://schemas.openxmlformats.org/officeDocument/2006/relationships/hyperlink" Target="https://finance.vietstock.vn/TTCExpress-ctcp-chuyen-phat-nhanh-tin-thanh.htm" TargetMode="External"/><Relationship Id="rId215" Type="http://schemas.openxmlformats.org/officeDocument/2006/relationships/hyperlink" Target="https://finance.vietstock.vn/BLI-tong-cong-ty-co-phan-bao-hiem-bao-long.htm" TargetMode="External"/><Relationship Id="rId422" Type="http://schemas.openxmlformats.org/officeDocument/2006/relationships/hyperlink" Target="https://finance.vietstock.vn/CLW-ctcp-cap-nuoc-cho-lon.htm" TargetMode="External"/><Relationship Id="rId1052" Type="http://schemas.openxmlformats.org/officeDocument/2006/relationships/hyperlink" Target="https://finance.vietstock.vn/HKT-ctcp-dau-tu-qp-xanh.htm" TargetMode="External"/><Relationship Id="rId2103" Type="http://schemas.openxmlformats.org/officeDocument/2006/relationships/hyperlink" Target="https://finance.vietstock.vn/SJE-ctcp-song-da-11.htm" TargetMode="External"/><Relationship Id="rId2310" Type="http://schemas.openxmlformats.org/officeDocument/2006/relationships/hyperlink" Target="https://finance.vietstock.vn/ThanhThanhCong-ctcp-thanh-thanh-cong.htm" TargetMode="External"/><Relationship Id="rId1869" Type="http://schemas.openxmlformats.org/officeDocument/2006/relationships/hyperlink" Target="https://finance.vietstock.vn/PVIASSET-ctcp-quan-ly-quy-pvi.htm" TargetMode="External"/><Relationship Id="rId1729" Type="http://schemas.openxmlformats.org/officeDocument/2006/relationships/hyperlink" Target="https://finance.vietstock.vn/PEQ-ctcp-thiet-bi-xang-dau-petrolimex.htm" TargetMode="External"/><Relationship Id="rId1936" Type="http://schemas.openxmlformats.org/officeDocument/2006/relationships/hyperlink" Target="https://finance.vietstock.vn/RGG-ctcp-regal-group.htm" TargetMode="External"/><Relationship Id="rId5" Type="http://schemas.openxmlformats.org/officeDocument/2006/relationships/hyperlink" Target="https://finance.vietstock.vn/AAAA-ctcp-bao-hiem-aaa.htm" TargetMode="External"/><Relationship Id="rId889" Type="http://schemas.openxmlformats.org/officeDocument/2006/relationships/hyperlink" Target="https://finance.vietstock.vn/GiaiPhapS2P-ctcp-dich-vu-ki-thuat-va-giai-phap-so-s2p.htm" TargetMode="External"/><Relationship Id="rId2777" Type="http://schemas.openxmlformats.org/officeDocument/2006/relationships/hyperlink" Target="https://finance.vietstock.vn/VSA-ctcp-dai-ly-hang-hai-viet-nam.htm" TargetMode="External"/><Relationship Id="rId749" Type="http://schemas.openxmlformats.org/officeDocument/2006/relationships/hyperlink" Target="https://finance.vietstock.vn/E12-ctcp-xay-dung-dien-vneco12.htm" TargetMode="External"/><Relationship Id="rId1379" Type="http://schemas.openxmlformats.org/officeDocument/2006/relationships/hyperlink" Target="https://finance.vietstock.vn/LHCDF-quy-dau-tu-nang-dong-lighthouse.htm" TargetMode="External"/><Relationship Id="rId1586" Type="http://schemas.openxmlformats.org/officeDocument/2006/relationships/hyperlink" Target="https://finance.vietstock.vn/NDP-ctcp-duoc-pham-2-9.htm" TargetMode="External"/><Relationship Id="rId609" Type="http://schemas.openxmlformats.org/officeDocument/2006/relationships/hyperlink" Target="https://finance.vietstock.vn/DKH-trung-tam-dang-kiem-phuong-tien-giao-thong-thuy-bo.htm" TargetMode="External"/><Relationship Id="rId956" Type="http://schemas.openxmlformats.org/officeDocument/2006/relationships/hyperlink" Target="https://finance.vietstock.vn/HaNoiFood-ctcp-che-bien-kinh-doanh-luong-thuc-thuc-pham-ha-noi.htm" TargetMode="External"/><Relationship Id="rId1239" Type="http://schemas.openxmlformats.org/officeDocument/2006/relationships/hyperlink" Target="https://finance.vietstock.vn/ISC-ctcp-chung-khoan-cong-nghiep-viet-nam.htm" TargetMode="External"/><Relationship Id="rId1793" Type="http://schemas.openxmlformats.org/officeDocument/2006/relationships/hyperlink" Target="https://finance.vietstock.vn/PMT-ctcp-vien-thong-telvina-viet-nam.htm" TargetMode="External"/><Relationship Id="rId2637" Type="http://schemas.openxmlformats.org/officeDocument/2006/relationships/hyperlink" Target="https://finance.vietstock.vn/VIETTRANS6-ctcp-van-tai-da-phuong-thuc-6.htm" TargetMode="External"/><Relationship Id="rId2844" Type="http://schemas.openxmlformats.org/officeDocument/2006/relationships/hyperlink" Target="https://finance.vietstock.vn/XayDung24-ctcp-dau-tu-va-xay-dung-24.htm" TargetMode="External"/><Relationship Id="rId85" Type="http://schemas.openxmlformats.org/officeDocument/2006/relationships/hyperlink" Target="https://finance.vietstock.vn/APH-ctcp-tap-doan-an-phat-holdings.htm" TargetMode="External"/><Relationship Id="rId816" Type="http://schemas.openxmlformats.org/officeDocument/2006/relationships/hyperlink" Target="https://finance.vietstock.vn/FPC-ctcp-full-power.htm" TargetMode="External"/><Relationship Id="rId1446" Type="http://schemas.openxmlformats.org/officeDocument/2006/relationships/hyperlink" Target="https://finance.vietstock.vn/MCC-ctcp-gach-ngoi-cao-cap.htm" TargetMode="External"/><Relationship Id="rId1653" Type="http://schemas.openxmlformats.org/officeDocument/2006/relationships/hyperlink" Target="https://finance.vietstock.vn/NTC-ctcp-khu-cong-nghiep-nam-tan-uyen.htm" TargetMode="External"/><Relationship Id="rId1860" Type="http://schemas.openxmlformats.org/officeDocument/2006/relationships/hyperlink" Target="https://finance.vietstock.vn/PVCME-ctcp-thi-cong-co-gioi-va-lap-may-dau-khi.htm" TargetMode="External"/><Relationship Id="rId2704" Type="http://schemas.openxmlformats.org/officeDocument/2006/relationships/hyperlink" Target="https://finance.vietstock.vn/VIX-ctcp-chung-khoan-vix.htm" TargetMode="External"/><Relationship Id="rId1306" Type="http://schemas.openxmlformats.org/officeDocument/2006/relationships/hyperlink" Target="https://finance.vietstock.vn/KLF-ctcp-dau-tu-thuong-mai-va-xuat-nhap-khau-cfs.htm" TargetMode="External"/><Relationship Id="rId1513" Type="http://schemas.openxmlformats.org/officeDocument/2006/relationships/hyperlink" Target="https://finance.vietstock.vn/MobiFonePay-ctcp-thanh-toan-so-mobifone.htm" TargetMode="External"/><Relationship Id="rId1720" Type="http://schemas.openxmlformats.org/officeDocument/2006/relationships/hyperlink" Target="https://finance.vietstock.vn/PDC-ctcp-du-lich-dau-khi-phuong-dong.htm" TargetMode="External"/><Relationship Id="rId12" Type="http://schemas.openxmlformats.org/officeDocument/2006/relationships/hyperlink" Target="https://finance.vietstock.vn/ABB-ngan-hang-tmcp-an-binh.htm" TargetMode="External"/><Relationship Id="rId399" Type="http://schemas.openxmlformats.org/officeDocument/2006/relationships/hyperlink" Target="https://finance.vietstock.vn/CIENCO624-ctcp-vat-tu-thiet-bi-va-xay-dung-cong-trinh-624.htm" TargetMode="External"/><Relationship Id="rId2287" Type="http://schemas.openxmlformats.org/officeDocument/2006/relationships/hyperlink" Target="https://finance.vietstock.vn/TechGen-ctcp-ky-thuat-cong-nghe-sai-gon.htm" TargetMode="External"/><Relationship Id="rId2494" Type="http://schemas.openxmlformats.org/officeDocument/2006/relationships/hyperlink" Target="https://finance.vietstock.vn/UDC-ctcp-dau-tu-xay-dung-udcons.htm" TargetMode="External"/><Relationship Id="rId259" Type="http://schemas.openxmlformats.org/officeDocument/2006/relationships/hyperlink" Target="https://finance.vietstock.vn/BST-ctcp-sach-va-thiet-bi-binh-thuan.htm" TargetMode="External"/><Relationship Id="rId466" Type="http://schemas.openxmlformats.org/officeDocument/2006/relationships/hyperlink" Target="https://finance.vietstock.vn/Cosevco1-ctcp-san-xuat-vat-lieu-va-xay-dung-cosevco-1.htm" TargetMode="External"/><Relationship Id="rId673" Type="http://schemas.openxmlformats.org/officeDocument/2006/relationships/hyperlink" Target="https://finance.vietstock.vn/DRH-ctcp-drh-holdings.htm" TargetMode="External"/><Relationship Id="rId880" Type="http://schemas.openxmlformats.org/officeDocument/2006/relationships/hyperlink" Target="https://finance.vietstock.vn/Getraco-ctcp-thuong-mai-tong-hop-tinh-ba-ria-vung-tau.htm" TargetMode="External"/><Relationship Id="rId1096" Type="http://schemas.openxmlformats.org/officeDocument/2006/relationships/hyperlink" Target="https://finance.vietstock.vn/HongNam-ctcp-co-khi-hong-nam.htm" TargetMode="External"/><Relationship Id="rId2147" Type="http://schemas.openxmlformats.org/officeDocument/2006/relationships/hyperlink" Target="https://finance.vietstock.vn/SPC-ctcp-bao-ve-thuc-vat-sai-gon.htm" TargetMode="External"/><Relationship Id="rId2354" Type="http://schemas.openxmlformats.org/officeDocument/2006/relationships/hyperlink" Target="https://finance.vietstock.vn/TKA-ctcp-bao-bi-tan-khanh-an.htm" TargetMode="External"/><Relationship Id="rId2561" Type="http://schemas.openxmlformats.org/officeDocument/2006/relationships/hyperlink" Target="https://finance.vietstock.vn/VCX-ctcp-xi-mang-yen-binh.htm" TargetMode="External"/><Relationship Id="rId119" Type="http://schemas.openxmlformats.org/officeDocument/2006/relationships/hyperlink" Target="https://finance.vietstock.vn/AVF-ctcp-viet-an.htm" TargetMode="External"/><Relationship Id="rId326" Type="http://schemas.openxmlformats.org/officeDocument/2006/relationships/hyperlink" Target="https://finance.vietstock.vn/CASOCO-ctcp-cang-phu-dinh.htm" TargetMode="External"/><Relationship Id="rId533" Type="http://schemas.openxmlformats.org/officeDocument/2006/relationships/hyperlink" Target="https://finance.vietstock.vn/DaGiayHaiPhong-ctcp-da-giay-va-phat-trien-hai-phong.htm" TargetMode="External"/><Relationship Id="rId1163" Type="http://schemas.openxmlformats.org/officeDocument/2006/relationships/hyperlink" Target="https://finance.vietstock.vn/HuongGiangCIC-ctcp-tu-van-dau-tu-va-xay-dung-huong-giang.htm" TargetMode="External"/><Relationship Id="rId1370" Type="http://schemas.openxmlformats.org/officeDocument/2006/relationships/hyperlink" Target="https://finance.vietstock.vn/LDG-ctcp-dau-tu-ldg.htm" TargetMode="External"/><Relationship Id="rId2007" Type="http://schemas.openxmlformats.org/officeDocument/2006/relationships/hyperlink" Target="https://finance.vietstock.vn/SCD-ctcp-nuoc-giai-khat-chuong-duong.htm" TargetMode="External"/><Relationship Id="rId2214" Type="http://schemas.openxmlformats.org/officeDocument/2006/relationships/hyperlink" Target="https://finance.vietstock.vn/TA6-ctcp-dau-tu-va-xay-lap-thanh-an-665.htm" TargetMode="External"/><Relationship Id="rId740" Type="http://schemas.openxmlformats.org/officeDocument/2006/relationships/hyperlink" Target="https://finance.vietstock.vn/DWS-ctcp-cap-nuoc-va-moi-truong-do-thi-dong-thap.htm" TargetMode="External"/><Relationship Id="rId1023" Type="http://schemas.openxmlformats.org/officeDocument/2006/relationships/hyperlink" Target="https://finance.vietstock.vn/HGR-ctcp-tai-nguyen-va-moi-truong-hau-giang.htm" TargetMode="External"/><Relationship Id="rId2421" Type="http://schemas.openxmlformats.org/officeDocument/2006/relationships/hyperlink" Target="https://finance.vietstock.vn/TrangAn-ctcp-trang-an.htm" TargetMode="External"/><Relationship Id="rId600" Type="http://schemas.openxmlformats.org/officeDocument/2006/relationships/hyperlink" Target="https://finance.vietstock.vn/DID-ctcp-dic-dong-tien.htm" TargetMode="External"/><Relationship Id="rId1230" Type="http://schemas.openxmlformats.org/officeDocument/2006/relationships/hyperlink" Target="https://finance.vietstock.vn/Intimex-ctcp-tap-doan-intimex.htm" TargetMode="External"/><Relationship Id="rId183" Type="http://schemas.openxmlformats.org/officeDocument/2006/relationships/hyperlink" Target="https://finance.vietstock.vn/BHC-ctcp-be-tong-bien-hoa.htm" TargetMode="External"/><Relationship Id="rId390" Type="http://schemas.openxmlformats.org/officeDocument/2006/relationships/hyperlink" Target="https://finance.vietstock.vn/CIC8-ctcp-dau-tu-va-xay-dung-so-8.htm" TargetMode="External"/><Relationship Id="rId1907" Type="http://schemas.openxmlformats.org/officeDocument/2006/relationships/hyperlink" Target="https://finance.vietstock.vn/QNP-ctcp-cang-quy-nhon.htm" TargetMode="External"/><Relationship Id="rId2071" Type="http://schemas.openxmlformats.org/officeDocument/2006/relationships/hyperlink" Target="https://finance.vietstock.vn/SGO-ctcp-dau-thuc-vat-sai-gon.htm" TargetMode="External"/><Relationship Id="rId250" Type="http://schemas.openxmlformats.org/officeDocument/2006/relationships/hyperlink" Target="https://finance.vietstock.vn/BSD-ctcp-bia-ruou-sai-gon-dong-xuan.htm" TargetMode="External"/><Relationship Id="rId110" Type="http://schemas.openxmlformats.org/officeDocument/2006/relationships/hyperlink" Target="https://finance.vietstock.vn/ATB-ctcp-an-thinh.htm" TargetMode="External"/><Relationship Id="rId1697" Type="http://schemas.openxmlformats.org/officeDocument/2006/relationships/hyperlink" Target="https://finance.vietstock.vn/Packsimex-ctcp-xuat-nhap-khau-san-xuat-gia-cong-va-bao-bi.htm" TargetMode="External"/><Relationship Id="rId2748" Type="http://schemas.openxmlformats.org/officeDocument/2006/relationships/hyperlink" Target="https://finance.vietstock.vn/VNR-tong-cong-ty-co-phan-tai-bao-hiem-quoc-gia-viet-nam.htm" TargetMode="External"/><Relationship Id="rId927" Type="http://schemas.openxmlformats.org/officeDocument/2006/relationships/hyperlink" Target="https://finance.vietstock.vn/GTS-ctcp-cong-trinh-giao-thong-sai-gon.htm" TargetMode="External"/><Relationship Id="rId1557" Type="http://schemas.openxmlformats.org/officeDocument/2006/relationships/hyperlink" Target="https://finance.vietstock.vn/NamChien-ctcp-thuy-dien-nam-chien.htm" TargetMode="External"/><Relationship Id="rId1764" Type="http://schemas.openxmlformats.org/officeDocument/2006/relationships/hyperlink" Target="https://finance.vietstock.vn/PIA-ctcp-tin-hoc-vien-thong-petrolimex.htm" TargetMode="External"/><Relationship Id="rId1971" Type="http://schemas.openxmlformats.org/officeDocument/2006/relationships/hyperlink" Target="https://finance.vietstock.vn/SAIGON5-ctcp-phat-trien-dia-oc-sai-gon-5.htm" TargetMode="External"/><Relationship Id="rId2608" Type="http://schemas.openxmlformats.org/officeDocument/2006/relationships/hyperlink" Target="https://finance.vietstock.vn/VHG-ctcp-dau-tu-phat-trien-viet-trung-nam.htm" TargetMode="External"/><Relationship Id="rId2815" Type="http://schemas.openxmlformats.org/officeDocument/2006/relationships/hyperlink" Target="https://finance.vietstock.vn/VTSS-ctcp-chung-khoan-vtg.htm" TargetMode="External"/><Relationship Id="rId56" Type="http://schemas.openxmlformats.org/officeDocument/2006/relationships/hyperlink" Target="https://finance.vietstock.vn/AGX-ctcp-thuc-pham-nong-san-xuat-khau-sai-gon.htm" TargetMode="External"/><Relationship Id="rId1417" Type="http://schemas.openxmlformats.org/officeDocument/2006/relationships/hyperlink" Target="https://finance.vietstock.vn/LuongSonHoaBinh-ctcp-xi-mang-vinaconex-luong-son-hoa-binh.htm" TargetMode="External"/><Relationship Id="rId1624" Type="http://schemas.openxmlformats.org/officeDocument/2006/relationships/hyperlink" Target="https://finance.vietstock.vn/NNC-ctcp-da-nui-nho.htm" TargetMode="External"/><Relationship Id="rId1831" Type="http://schemas.openxmlformats.org/officeDocument/2006/relationships/hyperlink" Target="https://finance.vietstock.vn/PSI-ctcp-chung-khoan-dau-khi.htm" TargetMode="External"/><Relationship Id="rId2398" Type="http://schemas.openxmlformats.org/officeDocument/2006/relationships/hyperlink" Target="https://finance.vietstock.vn/TNY-ctcp-dau-tu-xay-dung-thanh-nien.htm" TargetMode="External"/><Relationship Id="rId577" Type="http://schemas.openxmlformats.org/officeDocument/2006/relationships/hyperlink" Target="https://finance.vietstock.vn/DetHaDong-ctcp-det-ha-dong.htm" TargetMode="External"/><Relationship Id="rId2258" Type="http://schemas.openxmlformats.org/officeDocument/2006/relationships/hyperlink" Target="https://finance.vietstock.vn/TCD-ctcp-tap-doan-xay-dung-tracodi.htm" TargetMode="External"/><Relationship Id="rId784" Type="http://schemas.openxmlformats.org/officeDocument/2006/relationships/hyperlink" Target="https://finance.vietstock.vn/EVNSPC-tong-cong-ty-dien-luc-mien-nam.htm" TargetMode="External"/><Relationship Id="rId991" Type="http://schemas.openxmlformats.org/officeDocument/2006/relationships/hyperlink" Target="https://finance.vietstock.vn/HD2-ctcp-dau-tu-phat-trien-nha-hud2.htm" TargetMode="External"/><Relationship Id="rId1067" Type="http://schemas.openxmlformats.org/officeDocument/2006/relationships/hyperlink" Target="https://finance.vietstock.vn/HMH-ctcp-hai-minh.htm" TargetMode="External"/><Relationship Id="rId2465" Type="http://schemas.openxmlformats.org/officeDocument/2006/relationships/hyperlink" Target="https://finance.vietstock.vn/TUG-ctcp-lai-dat-va-van-tai-cang-hai-phong.htm" TargetMode="External"/><Relationship Id="rId2672" Type="http://schemas.openxmlformats.org/officeDocument/2006/relationships/hyperlink" Target="https://finance.vietstock.vn/VinashinNamThanh-ctcp-cong-nghiep-thuy-san-vinashin-nam-thanh.htm" TargetMode="External"/><Relationship Id="rId437" Type="http://schemas.openxmlformats.org/officeDocument/2006/relationships/hyperlink" Target="https://finance.vietstock.vn/CMW-ctcp-cap-nuoc-ca-mau.htm" TargetMode="External"/><Relationship Id="rId644" Type="http://schemas.openxmlformats.org/officeDocument/2006/relationships/hyperlink" Target="https://finance.vietstock.vn/DNTD-ctcp-thiet-ke-vien-thong-tin-hoc-da-nang.htm" TargetMode="External"/><Relationship Id="rId851" Type="http://schemas.openxmlformats.org/officeDocument/2006/relationships/hyperlink" Target="https://finance.vietstock.vn/FUEVN100-quy-etf-vinacapital-vn100.htm" TargetMode="External"/><Relationship Id="rId1274" Type="http://schemas.openxmlformats.org/officeDocument/2006/relationships/hyperlink" Target="https://finance.vietstock.vn/KhanhTan-ctcp-khanh-tan.htm" TargetMode="External"/><Relationship Id="rId1481" Type="http://schemas.openxmlformats.org/officeDocument/2006/relationships/hyperlink" Target="https://finance.vietstock.vn/MGG-tong-cong-ty-duc-giang-ctcp.htm" TargetMode="External"/><Relationship Id="rId2118" Type="http://schemas.openxmlformats.org/officeDocument/2006/relationships/hyperlink" Target="https://finance.vietstock.vn/SMC-ctcp-dau-tu-thuong-mai-smc.htm" TargetMode="External"/><Relationship Id="rId2325" Type="http://schemas.openxmlformats.org/officeDocument/2006/relationships/hyperlink" Target="https://finance.vietstock.vn/Thikeco-ctcp-tu-van-dau-tu-phat-trien-va-xay-dung-thikeco.htm" TargetMode="External"/><Relationship Id="rId2532" Type="http://schemas.openxmlformats.org/officeDocument/2006/relationships/hyperlink" Target="https://finance.vietstock.vn/VC2-ctcp-dau-tu-va-xay-dung-vina2.htm" TargetMode="External"/><Relationship Id="rId504" Type="http://schemas.openxmlformats.org/officeDocument/2006/relationships/hyperlink" Target="https://finance.vietstock.vn/CTN-ctcp-xay-dung-cong-trinh-ngam.htm" TargetMode="External"/><Relationship Id="rId711" Type="http://schemas.openxmlformats.org/officeDocument/2006/relationships/hyperlink" Target="https://finance.vietstock.vn/DuLichThanhHoa-ctcp-du-lich-thanh-hoa.htm" TargetMode="External"/><Relationship Id="rId1134" Type="http://schemas.openxmlformats.org/officeDocument/2006/relationships/hyperlink" Target="https://finance.vietstock.vn/HSV-ctcp-tap-doan-hsv-viet-nam.htm" TargetMode="External"/><Relationship Id="rId1341" Type="http://schemas.openxmlformats.org/officeDocument/2006/relationships/hyperlink" Target="https://finance.vietstock.vn/L35-ctcp-co-khi-lap-may-lilama.htm" TargetMode="External"/><Relationship Id="rId1201" Type="http://schemas.openxmlformats.org/officeDocument/2006/relationships/hyperlink" Target="https://finance.vietstock.vn/IDV-ctcp-phat-trien-ha-tang-vinh-phuc.htm" TargetMode="External"/><Relationship Id="rId294" Type="http://schemas.openxmlformats.org/officeDocument/2006/relationships/hyperlink" Target="https://finance.vietstock.vn/BXH-ctcp-vicem-bao-bi-hai-phong.htm" TargetMode="External"/><Relationship Id="rId2182" Type="http://schemas.openxmlformats.org/officeDocument/2006/relationships/hyperlink" Target="https://finance.vietstock.vn/STK-ctcp-soi-the-ky.htm" TargetMode="External"/><Relationship Id="rId154" Type="http://schemas.openxmlformats.org/officeDocument/2006/relationships/hyperlink" Target="https://finance.vietstock.vn/BCM-tap-doan-dau-tu-va-phat-trien-cong-nghiep-becamex-ctcp.htm" TargetMode="External"/><Relationship Id="rId361" Type="http://schemas.openxmlformats.org/officeDocument/2006/relationships/hyperlink" Target="https://finance.vietstock.vn/CDO-ctcp-tu-van-thiet-ke-va-phat-trien-do-thi.htm" TargetMode="External"/><Relationship Id="rId2042" Type="http://schemas.openxmlformats.org/officeDocument/2006/relationships/hyperlink" Target="https://finance.vietstock.vn/SDP-ctcp-sdp.htm" TargetMode="External"/><Relationship Id="rId221" Type="http://schemas.openxmlformats.org/officeDocument/2006/relationships/hyperlink" Target="https://finance.vietstock.vn/BM9-ctcp-dau-tu-xay-dung-319-mien-nam.htm" TargetMode="External"/><Relationship Id="rId2859" Type="http://schemas.openxmlformats.org/officeDocument/2006/relationships/hyperlink" Target="https://finance.vietstock.vn/XiMangBacGiang-ctcp-xi-mang-bac-giang.htm" TargetMode="External"/><Relationship Id="rId1668" Type="http://schemas.openxmlformats.org/officeDocument/2006/relationships/hyperlink" Target="https://finance.vietstock.vn/NVL-ctcp-tap-doan-dau-tu-dia-oc-no-va.htm" TargetMode="External"/><Relationship Id="rId1875" Type="http://schemas.openxmlformats.org/officeDocument/2006/relationships/hyperlink" Target="https://finance.vietstock.vn/PVQuangNinh-ctcp-xang-dau-dau-khi-quang-ninh.htm" TargetMode="External"/><Relationship Id="rId2719" Type="http://schemas.openxmlformats.org/officeDocument/2006/relationships/hyperlink" Target="https://finance.vietstock.vn/VLW-ctcp-cap-nuoc-vinh-long.htm" TargetMode="External"/><Relationship Id="rId1528" Type="http://schemas.openxmlformats.org/officeDocument/2006/relationships/hyperlink" Target="https://finance.vietstock.vn/MSR-ctcp-masan-high-tech-materials.htm" TargetMode="External"/><Relationship Id="rId1735" Type="http://schemas.openxmlformats.org/officeDocument/2006/relationships/hyperlink" Target="https://finance.vietstock.vn/PFI-ctcp-thuong-mai-dich-vu-dau-khi-viet-nam.htm" TargetMode="External"/><Relationship Id="rId1942" Type="http://schemas.openxmlformats.org/officeDocument/2006/relationships/hyperlink" Target="https://finance.vietstock.vn/RTB-ctcp-cao-su-tan-bien.htm" TargetMode="External"/><Relationship Id="rId27" Type="http://schemas.openxmlformats.org/officeDocument/2006/relationships/hyperlink" Target="https://finance.vietstock.vn/ACG-ctcp-go-an-cuong.htm" TargetMode="External"/><Relationship Id="rId1802" Type="http://schemas.openxmlformats.org/officeDocument/2006/relationships/hyperlink" Target="https://finance.vietstock.vn/POM-ctcp-thep-pomina.htm" TargetMode="External"/><Relationship Id="rId688" Type="http://schemas.openxmlformats.org/officeDocument/2006/relationships/hyperlink" Target="https://finance.vietstock.vn/DT4-ctcp-quan-ly-duong-song-so-4.htm" TargetMode="External"/><Relationship Id="rId895" Type="http://schemas.openxmlformats.org/officeDocument/2006/relationships/hyperlink" Target="https://finance.vietstock.vn/GiayHaiDuong-ctcp-giay-hai-duong.htm" TargetMode="External"/><Relationship Id="rId2369" Type="http://schemas.openxmlformats.org/officeDocument/2006/relationships/hyperlink" Target="https://finance.vietstock.vn/TLP-tong-cong-ty-thuong-mai-xuat-nhap-khau-thanh-le-ctcp.htm" TargetMode="External"/><Relationship Id="rId2576" Type="http://schemas.openxmlformats.org/officeDocument/2006/relationships/hyperlink" Target="https://finance.vietstock.vn/VE8-ctcp-xay-dung-dien-vneco-8.htm" TargetMode="External"/><Relationship Id="rId2783" Type="http://schemas.openxmlformats.org/officeDocument/2006/relationships/hyperlink" Target="https://finance.vietstock.vn/VSH-ctcp-thuy-dien-vinh-son-song-hinh.htm" TargetMode="External"/><Relationship Id="rId548" Type="http://schemas.openxmlformats.org/officeDocument/2006/relationships/hyperlink" Target="https://finance.vietstock.vn/DBD-ctcp-duoc-trang-thiet-bi-y-te-binh-dinh-bidiphar.htm" TargetMode="External"/><Relationship Id="rId755" Type="http://schemas.openxmlformats.org/officeDocument/2006/relationships/hyperlink" Target="https://finance.vietstock.vn/ECC-ctcp-chung-khoan-eurocapital.htm" TargetMode="External"/><Relationship Id="rId962" Type="http://schemas.openxmlformats.org/officeDocument/2006/relationships/hyperlink" Target="https://finance.vietstock.vn/HAPHARCO-ctcp-duoc-pham-thiet-bi-y-te-ha-noi.htm" TargetMode="External"/><Relationship Id="rId1178" Type="http://schemas.openxmlformats.org/officeDocument/2006/relationships/hyperlink" Target="https://finance.vietstock.vn/HVX-ctcp-xi-mang-vicem-hai-van.htm" TargetMode="External"/><Relationship Id="rId1385" Type="http://schemas.openxmlformats.org/officeDocument/2006/relationships/hyperlink" Target="https://finance.vietstock.vn/Licogi165-ctcp-licogi-16-5.htm" TargetMode="External"/><Relationship Id="rId1592" Type="http://schemas.openxmlformats.org/officeDocument/2006/relationships/hyperlink" Target="https://finance.vietstock.vn/NET-ctcp-bot-giat-net.htm" TargetMode="External"/><Relationship Id="rId2229" Type="http://schemas.openxmlformats.org/officeDocument/2006/relationships/hyperlink" Target="https://finance.vietstock.vn/TanPhat-ctcp-tan-phat.htm" TargetMode="External"/><Relationship Id="rId2436" Type="http://schemas.openxmlformats.org/officeDocument/2006/relationships/hyperlink" Target="https://finance.vietstock.vn/TS5-ctcp-truong-son-145.htm" TargetMode="External"/><Relationship Id="rId2643" Type="http://schemas.openxmlformats.org/officeDocument/2006/relationships/hyperlink" Target="https://finance.vietstock.vn/Viger-ctcp-bia-ruou-viger.htm" TargetMode="External"/><Relationship Id="rId2850" Type="http://schemas.openxmlformats.org/officeDocument/2006/relationships/hyperlink" Target="https://finance.vietstock.vn/XDBinhDinh-ctcp-dau-tu-va-xay-dung-binh-dinh.htm" TargetMode="External"/><Relationship Id="rId91" Type="http://schemas.openxmlformats.org/officeDocument/2006/relationships/hyperlink" Target="https://finance.vietstock.vn/APS-ctcp-chung-khoan-chau-a-thai-binh-duong.htm" TargetMode="External"/><Relationship Id="rId408" Type="http://schemas.openxmlformats.org/officeDocument/2006/relationships/hyperlink" Target="https://finance.vietstock.vn/CK8-ctcp-co-khi-120.htm" TargetMode="External"/><Relationship Id="rId615" Type="http://schemas.openxmlformats.org/officeDocument/2006/relationships/hyperlink" Target="https://finance.vietstock.vn/DLD-ctcp-du-lich-dak-lak.htm" TargetMode="External"/><Relationship Id="rId822" Type="http://schemas.openxmlformats.org/officeDocument/2006/relationships/hyperlink" Target="https://finance.vietstock.vn/FRM-ctcp-lam-nghiep-sai-gon.htm" TargetMode="External"/><Relationship Id="rId1038" Type="http://schemas.openxmlformats.org/officeDocument/2006/relationships/hyperlink" Target="https://finance.vietstock.vn/HID-ctcp-halcom-viet-nam.htm" TargetMode="External"/><Relationship Id="rId1245" Type="http://schemas.openxmlformats.org/officeDocument/2006/relationships/hyperlink" Target="https://finance.vietstock.vn/ITD-ctcp-cong-nghe-itd.htm" TargetMode="External"/><Relationship Id="rId1452" Type="http://schemas.openxmlformats.org/officeDocument/2006/relationships/hyperlink" Target="https://finance.vietstock.vn/MCI-ctcp-dau-tu-xay-dung-va-phat-trien-vat-lieu-idico.htm" TargetMode="External"/><Relationship Id="rId2503" Type="http://schemas.openxmlformats.org/officeDocument/2006/relationships/hyperlink" Target="https://finance.vietstock.vn/Upexim-ctcp-san-xuat-xuat-nhap-khau-lam-san-va-hang-tieu-thu-cong-nghiep.htm" TargetMode="External"/><Relationship Id="rId1105" Type="http://schemas.openxmlformats.org/officeDocument/2006/relationships/hyperlink" Target="https://finance.vietstock.vn/HPG-ctcp-tap-doan-hoa-phat.htm" TargetMode="External"/><Relationship Id="rId1312" Type="http://schemas.openxmlformats.org/officeDocument/2006/relationships/hyperlink" Target="https://finance.vietstock.vn/KPC-ctcp-dau-tu-san-xuat-thuong-mai-kim-phong.htm" TargetMode="External"/><Relationship Id="rId2710" Type="http://schemas.openxmlformats.org/officeDocument/2006/relationships/hyperlink" Target="https://finance.vietstock.vn/VLB-ctcp-xay-dung-va-san-xuat-vat-lieu-xay-dung-bien-hoa.htm" TargetMode="External"/><Relationship Id="rId198" Type="http://schemas.openxmlformats.org/officeDocument/2006/relationships/hyperlink" Target="https://finance.vietstock.vn/BiaVietHa-ctcp-bia-va-nuoc-giai-khat-viet-ha.htm" TargetMode="External"/><Relationship Id="rId2086" Type="http://schemas.openxmlformats.org/officeDocument/2006/relationships/hyperlink" Target="https://finance.vietstock.vn/SHN-ctcp-dau-tu-tong-hop-ha-noi.htm" TargetMode="External"/><Relationship Id="rId2293" Type="http://schemas.openxmlformats.org/officeDocument/2006/relationships/hyperlink" Target="https://finance.vietstock.vn/TEL-ctcp-phat-trien-cong-trinh-vien-thong.htm" TargetMode="External"/><Relationship Id="rId265" Type="http://schemas.openxmlformats.org/officeDocument/2006/relationships/hyperlink" Target="https://finance.vietstock.vn/BTD-ctcp-be-tong-ly-tam-thu-duc.htm" TargetMode="External"/><Relationship Id="rId472" Type="http://schemas.openxmlformats.org/officeDocument/2006/relationships/hyperlink" Target="https://finance.vietstock.vn/CPA-ctcp-ca-phe-phuoc-an.htm" TargetMode="External"/><Relationship Id="rId2153" Type="http://schemas.openxmlformats.org/officeDocument/2006/relationships/hyperlink" Target="https://finance.vietstock.vn/SPS-ctcp-dich-vu-dau-khi-sai-gon.htm" TargetMode="External"/><Relationship Id="rId2360" Type="http://schemas.openxmlformats.org/officeDocument/2006/relationships/hyperlink" Target="https://finance.vietstock.vn/TL4-tong-cong-ty-co-phan-xay-dung-thuy-loi-4-ctcp.htm" TargetMode="External"/><Relationship Id="rId125" Type="http://schemas.openxmlformats.org/officeDocument/2006/relationships/hyperlink" Target="https://finance.vietstock.vn/BAB-ngan-hang-tmcp-bac-a.htm" TargetMode="External"/><Relationship Id="rId332" Type="http://schemas.openxmlformats.org/officeDocument/2006/relationships/hyperlink" Target="https://finance.vietstock.vn/Cavicob-ctcp-cavico-xay-dung-cau-ham.htm" TargetMode="External"/><Relationship Id="rId2013" Type="http://schemas.openxmlformats.org/officeDocument/2006/relationships/hyperlink" Target="https://finance.vietstock.vn/SCJSC-ctcp-sai-gon-cam-ranh.htm" TargetMode="External"/><Relationship Id="rId2220" Type="http://schemas.openxmlformats.org/officeDocument/2006/relationships/hyperlink" Target="https://finance.vietstock.vn/TAG-ctcp-the-gioi-so-tran-anh.htm" TargetMode="External"/><Relationship Id="rId1779" Type="http://schemas.openxmlformats.org/officeDocument/2006/relationships/hyperlink" Target="https://finance.vietstock.vn/PLC-tong-cong-ty-hoa-dau-petrolimex-ctcp.htm" TargetMode="External"/><Relationship Id="rId1986" Type="http://schemas.openxmlformats.org/officeDocument/2006/relationships/hyperlink" Target="https://finance.vietstock.vn/SAWACO-tong-cong-ty-cap-nuoc-sai-gon-tnhh-mtv.htm" TargetMode="External"/><Relationship Id="rId1639" Type="http://schemas.openxmlformats.org/officeDocument/2006/relationships/hyperlink" Target="https://finance.vietstock.vn/NS2-ctcp-nuoc-sach-so-2-ha-noi.htm" TargetMode="External"/><Relationship Id="rId1846" Type="http://schemas.openxmlformats.org/officeDocument/2006/relationships/hyperlink" Target="https://finance.vietstock.vn/PTL-ctcp-victory-group.htm" TargetMode="External"/><Relationship Id="rId1706" Type="http://schemas.openxmlformats.org/officeDocument/2006/relationships/hyperlink" Target="https://finance.vietstock.vn/PBK-ctcp-dien-luc-dau-khi-bac-kan.htm" TargetMode="External"/><Relationship Id="rId1913" Type="http://schemas.openxmlformats.org/officeDocument/2006/relationships/hyperlink" Target="https://finance.vietstock.vn/QPH-ctcp-thuy-dien-que-phong.htm" TargetMode="External"/><Relationship Id="rId799" Type="http://schemas.openxmlformats.org/officeDocument/2006/relationships/hyperlink" Target="https://finance.vietstock.vn/FGL-ctcp-ca-phe-gia-lai.htm" TargetMode="External"/><Relationship Id="rId2687" Type="http://schemas.openxmlformats.org/officeDocument/2006/relationships/hyperlink" Target="https://finance.vietstock.vn/VinhTuong-ctcp-cong-nghiep-vinh-tuong.htm" TargetMode="External"/><Relationship Id="rId659" Type="http://schemas.openxmlformats.org/officeDocument/2006/relationships/hyperlink" Target="https://finance.vietstock.vn/DothiGialai-ctcp-cong-trinh-do-thi-gia-lai.htm" TargetMode="External"/><Relationship Id="rId866" Type="http://schemas.openxmlformats.org/officeDocument/2006/relationships/hyperlink" Target="https://finance.vietstock.vn/GDW-ctcp-cap-nuoc-gia-dinh.htm" TargetMode="External"/><Relationship Id="rId1289" Type="http://schemas.openxmlformats.org/officeDocument/2006/relationships/hyperlink" Target="https://finance.vietstock.vn/KiemNghia-ctcp-kiem-nghia.htm" TargetMode="External"/><Relationship Id="rId1496" Type="http://schemas.openxmlformats.org/officeDocument/2006/relationships/hyperlink" Target="https://finance.vietstock.vn/MIH-ctcp-xuat-nhap-khau-khoang-san-ha-nam.htm" TargetMode="External"/><Relationship Id="rId2547" Type="http://schemas.openxmlformats.org/officeDocument/2006/relationships/hyperlink" Target="https://finance.vietstock.vn/VCFC-cong-ty-tai-chinh-tnhh-mtv-lotte-viet-nam.htm" TargetMode="External"/><Relationship Id="rId519" Type="http://schemas.openxmlformats.org/officeDocument/2006/relationships/hyperlink" Target="https://finance.vietstock.vn/CX8-ctcp-dau-tu-va-xay-lap-constrexim-so-8.htm" TargetMode="External"/><Relationship Id="rId1149" Type="http://schemas.openxmlformats.org/officeDocument/2006/relationships/hyperlink" Target="https://finance.vietstock.vn/HTS-ctcp-thep-huong-thinh.htm" TargetMode="External"/><Relationship Id="rId1356" Type="http://schemas.openxmlformats.org/officeDocument/2006/relationships/hyperlink" Target="https://finance.vietstock.vn/LaoDongQuocTe-ctcp-xay-dung-va-cung-ung-lao-dong-quoc-te.htm" TargetMode="External"/><Relationship Id="rId2754" Type="http://schemas.openxmlformats.org/officeDocument/2006/relationships/hyperlink" Target="https://finance.vietstock.vn/VNZ-ctcp-tap-doan-vng.htm" TargetMode="External"/><Relationship Id="rId726" Type="http://schemas.openxmlformats.org/officeDocument/2006/relationships/hyperlink" Target="https://finance.vietstock.vn/DUS-ctcp-dich-vu-do-thi-da-lat.htm" TargetMode="External"/><Relationship Id="rId933" Type="http://schemas.openxmlformats.org/officeDocument/2006/relationships/hyperlink" Target="https://finance.vietstock.vn/HAB-ctcp-sach-va-thiet-bi-truong-hoc-ha-noi.htm" TargetMode="External"/><Relationship Id="rId1009" Type="http://schemas.openxmlformats.org/officeDocument/2006/relationships/hyperlink" Target="https://finance.vietstock.vn/Heco-ctcp-tu-van-thiet-ke-duong-bo.htm" TargetMode="External"/><Relationship Id="rId1563" Type="http://schemas.openxmlformats.org/officeDocument/2006/relationships/hyperlink" Target="https://finance.vietstock.vn/NamVietOil-ctcp-loc-hoa-dau-nam-viet.htm" TargetMode="External"/><Relationship Id="rId1770" Type="http://schemas.openxmlformats.org/officeDocument/2006/relationships/hyperlink" Target="https://finance.vietstock.vn/Pisico-ctcp-che-bien-go-noi-that-pisico.htm" TargetMode="External"/><Relationship Id="rId2407" Type="http://schemas.openxmlformats.org/officeDocument/2006/relationships/hyperlink" Target="https://finance.vietstock.vn/ToyotaFS-cong-ty-tnhh-mtv-tai-chinh-toyota-viet-nam.htm" TargetMode="External"/><Relationship Id="rId2614" Type="http://schemas.openxmlformats.org/officeDocument/2006/relationships/hyperlink" Target="https://finance.vietstock.vn/Viapco-ctcp-pin-ac-quy-vinh-phu.htm" TargetMode="External"/><Relationship Id="rId2821" Type="http://schemas.openxmlformats.org/officeDocument/2006/relationships/hyperlink" Target="https://finance.vietstock.vn/VuaNem-ctcp-vua-nem.htm" TargetMode="External"/><Relationship Id="rId62" Type="http://schemas.openxmlformats.org/officeDocument/2006/relationships/hyperlink" Target="https://finance.vietstock.vn/ALC-ctcp-au-lac.htm" TargetMode="External"/><Relationship Id="rId1216" Type="http://schemas.openxmlformats.org/officeDocument/2006/relationships/hyperlink" Target="https://finance.vietstock.vn/IMT-ctcp-xuat-nhap-khau-tong-hop-va-dau-tu-thanh-pho-ho-chi-minh.htm" TargetMode="External"/><Relationship Id="rId1423" Type="http://schemas.openxmlformats.org/officeDocument/2006/relationships/hyperlink" Target="https://finance.vietstock.vn/M10-tong-cong-ty-may-10-ctcp.htm" TargetMode="External"/><Relationship Id="rId1630" Type="http://schemas.openxmlformats.org/officeDocument/2006/relationships/hyperlink" Target="https://finance.vietstock.vn/NongSanNinhThuan-ctcp-xuat-khau-nong-san-ninh-thuan.htm" TargetMode="External"/><Relationship Id="rId2197" Type="http://schemas.openxmlformats.org/officeDocument/2006/relationships/hyperlink" Target="https://finance.vietstock.vn/SVD-ctcp-dau-tu-thuong-mai-vu-dang.htm" TargetMode="External"/><Relationship Id="rId169" Type="http://schemas.openxmlformats.org/officeDocument/2006/relationships/hyperlink" Target="https://finance.vietstock.vn/BDW-ctcp-cap-thoat-nuoc-binh-dinh.htm" TargetMode="External"/><Relationship Id="rId376" Type="http://schemas.openxmlformats.org/officeDocument/2006/relationships/hyperlink" Target="https://finance.vietstock.vn/CGL-ctcp-thuong-mai-gia-lai.htm" TargetMode="External"/><Relationship Id="rId583" Type="http://schemas.openxmlformats.org/officeDocument/2006/relationships/hyperlink" Target="https://finance.vietstock.vn/DGC-ctcp-tap-doan-hoa-chat-duc-giang.htm" TargetMode="External"/><Relationship Id="rId790" Type="http://schemas.openxmlformats.org/officeDocument/2006/relationships/hyperlink" Target="https://finance.vietstock.vn/FBC-ctcp-co-khi-pho-yen.htm" TargetMode="External"/><Relationship Id="rId2057" Type="http://schemas.openxmlformats.org/officeDocument/2006/relationships/hyperlink" Target="https://finance.vietstock.vn/SFG-ctcp-phan-bon-mien-nam.htm" TargetMode="External"/><Relationship Id="rId2264" Type="http://schemas.openxmlformats.org/officeDocument/2006/relationships/hyperlink" Target="https://finance.vietstock.vn/TCL-ctcp-dai-ly-giao-nhan-van-tai-xep-do-tan-cang.htm" TargetMode="External"/><Relationship Id="rId2471" Type="http://schemas.openxmlformats.org/officeDocument/2006/relationships/hyperlink" Target="https://finance.vietstock.vn/TV6-ctcp-tap-doan-ema-land.htm" TargetMode="External"/><Relationship Id="rId236" Type="http://schemas.openxmlformats.org/officeDocument/2006/relationships/hyperlink" Target="https://finance.vietstock.vn/BNW-ctcp-nuoc-sach-bac-ninh.htm" TargetMode="External"/><Relationship Id="rId443" Type="http://schemas.openxmlformats.org/officeDocument/2006/relationships/hyperlink" Target="https://finance.vietstock.vn/CNN-ctcp-tu-van-cong-nghe-thiet-bi-va-kiem-dinh-xay-dung-coninco.htm" TargetMode="External"/><Relationship Id="rId650" Type="http://schemas.openxmlformats.org/officeDocument/2006/relationships/hyperlink" Target="https://finance.vietstock.vn/Donatraco-ctcp-san-xuat-thuong-mai-dich-vu-dong-nai.htm" TargetMode="External"/><Relationship Id="rId1073" Type="http://schemas.openxmlformats.org/officeDocument/2006/relationships/hyperlink" Target="https://finance.vietstock.vn/HNC-ctcp-xi-mang-huu-nghi.htm" TargetMode="External"/><Relationship Id="rId1280" Type="http://schemas.openxmlformats.org/officeDocument/2006/relationships/hyperlink" Target="https://finance.vietstock.vn/KHOANGSAN4-ctcp-phat-trien-khoang-san-4.htm" TargetMode="External"/><Relationship Id="rId2124" Type="http://schemas.openxmlformats.org/officeDocument/2006/relationships/hyperlink" Target="https://finance.vietstock.vn/SNC-ctcp-xuat-nhap-khau-thuy-san-nam-can.htm" TargetMode="External"/><Relationship Id="rId2331" Type="http://schemas.openxmlformats.org/officeDocument/2006/relationships/hyperlink" Target="https://finance.vietstock.vn/THP-ctcp-thuy-san-va-thuong-mai-thuan-phuoc.htm" TargetMode="External"/><Relationship Id="rId303" Type="http://schemas.openxmlformats.org/officeDocument/2006/relationships/hyperlink" Target="https://finance.vietstock.vn/C4G-ctcp-tap-doan-cienco4.htm" TargetMode="External"/><Relationship Id="rId1140" Type="http://schemas.openxmlformats.org/officeDocument/2006/relationships/hyperlink" Target="https://finance.vietstock.vn/HTG-tong-cong-ty-co-phan-det-may-hoa-tho.htm" TargetMode="External"/><Relationship Id="rId510" Type="http://schemas.openxmlformats.org/officeDocument/2006/relationships/hyperlink" Target="https://finance.vietstock.vn/CTW-ctcp-cap-thoat-nuoc-can-tho.htm" TargetMode="External"/><Relationship Id="rId1000" Type="http://schemas.openxmlformats.org/officeDocument/2006/relationships/hyperlink" Target="https://finance.vietstock.vn/HDCC1-ctcp-xay-dung-so-1-hai-duong.htm" TargetMode="External"/><Relationship Id="rId1957" Type="http://schemas.openxmlformats.org/officeDocument/2006/relationships/hyperlink" Target="https://finance.vietstock.vn/S99-ctcp-sci.htm" TargetMode="External"/><Relationship Id="rId1817" Type="http://schemas.openxmlformats.org/officeDocument/2006/relationships/hyperlink" Target="https://finance.vietstock.vn/PPY-ctcp-xang-dau-dau-khi-phu-yen.htm" TargetMode="External"/><Relationship Id="rId160" Type="http://schemas.openxmlformats.org/officeDocument/2006/relationships/hyperlink" Target="https://finance.vietstock.vn/BDC-tong-cong-ty-xay-dung-bach-dang-ctcp.htm" TargetMode="External"/><Relationship Id="rId2798" Type="http://schemas.openxmlformats.org/officeDocument/2006/relationships/hyperlink" Target="https://finance.vietstock.vn/VTD-ctcp-vietourist-holdings.htm" TargetMode="External"/><Relationship Id="rId977" Type="http://schemas.openxmlformats.org/officeDocument/2006/relationships/hyperlink" Target="https://finance.vietstock.vn/HBE-ctcp-sach-thiet-bi-truong-hoc-ha-tinh.htm" TargetMode="External"/><Relationship Id="rId2658" Type="http://schemas.openxmlformats.org/officeDocument/2006/relationships/hyperlink" Target="https://finance.vietstock.vn/Vinabomi-ctcp-bot-mi-binh-an.htm" TargetMode="External"/><Relationship Id="rId2865" Type="http://schemas.openxmlformats.org/officeDocument/2006/relationships/hyperlink" Target="https://finance.vietstock.vn/XMCOSEVCO-tong-cong-ty-mien-trung-ctcp.htm" TargetMode="External"/><Relationship Id="rId837" Type="http://schemas.openxmlformats.org/officeDocument/2006/relationships/hyperlink" Target="https://finance.vietstock.vn/FUEDCMID-chung-chi-quy-etf-dcvfmvnmidcap.htm" TargetMode="External"/><Relationship Id="rId1467" Type="http://schemas.openxmlformats.org/officeDocument/2006/relationships/hyperlink" Target="https://finance.vietstock.vn/MEBI-ctcp-duoc-pham-va-sinh-hoc-y-te.htm" TargetMode="External"/><Relationship Id="rId1674" Type="http://schemas.openxmlformats.org/officeDocument/2006/relationships/hyperlink" Target="https://finance.vietstock.vn/NXBGDVN-cong-ty-tnhh-mtv-nha-xuat-ban-giao-duc-viet-nam.htm" TargetMode="External"/><Relationship Id="rId1881" Type="http://schemas.openxmlformats.org/officeDocument/2006/relationships/hyperlink" Target="https://finance.vietstock.vn/PVThaiNguyen-ctcp-xang-dau-dau-khi-thai-nguyen.htm" TargetMode="External"/><Relationship Id="rId2518" Type="http://schemas.openxmlformats.org/officeDocument/2006/relationships/hyperlink" Target="https://finance.vietstock.vn/VanDiem-ctcp-thuc-pham-van-diem.htm" TargetMode="External"/><Relationship Id="rId2725" Type="http://schemas.openxmlformats.org/officeDocument/2006/relationships/hyperlink" Target="https://finance.vietstock.vn/VMI-ctcp-khoang-san-va-dau-tu-visaco.htm" TargetMode="External"/><Relationship Id="rId904" Type="http://schemas.openxmlformats.org/officeDocument/2006/relationships/hyperlink" Target="https://finance.vietstock.vn/GLH-ctcp-glexhomes.htm" TargetMode="External"/><Relationship Id="rId1327" Type="http://schemas.openxmlformats.org/officeDocument/2006/relationships/hyperlink" Target="https://finance.vietstock.vn/KTB-ctcp-dau-tu-khoang-san-tay-bac.htm" TargetMode="External"/><Relationship Id="rId1534" Type="http://schemas.openxmlformats.org/officeDocument/2006/relationships/hyperlink" Target="https://finance.vietstock.vn/MTH-ctcp-moi-truong-do-thi-ha-dong.htm" TargetMode="External"/><Relationship Id="rId1741" Type="http://schemas.openxmlformats.org/officeDocument/2006/relationships/hyperlink" Target="https://finance.vietstock.vn/PGN-ctcp-phu-gia-nhua.htm" TargetMode="External"/><Relationship Id="rId33" Type="http://schemas.openxmlformats.org/officeDocument/2006/relationships/hyperlink" Target="https://finance.vietstock.vn/ACSVN-ctcp-acs-viet-nam.htm" TargetMode="External"/><Relationship Id="rId1601" Type="http://schemas.openxmlformats.org/officeDocument/2006/relationships/hyperlink" Target="https://finance.vietstock.vn/NhaSaiGon-ctcp-dau-tu-xay-dung-va-kinh-doanh-nha-sai-gon.htm" TargetMode="External"/><Relationship Id="rId487" Type="http://schemas.openxmlformats.org/officeDocument/2006/relationships/hyperlink" Target="https://finance.vietstock.vn/CST-ctcp-than-cao-son-tkv.htm" TargetMode="External"/><Relationship Id="rId694" Type="http://schemas.openxmlformats.org/officeDocument/2006/relationships/hyperlink" Target="https://finance.vietstock.vn/DTF-ctcp-thuc-pham-va-nuoc-giai-khat-dona-new-tower.htm" TargetMode="External"/><Relationship Id="rId2168" Type="http://schemas.openxmlformats.org/officeDocument/2006/relationships/hyperlink" Target="https://finance.vietstock.vn/SSIEF-quy-dau-tu-kien-tao-tuong-lai-ssi.htm" TargetMode="External"/><Relationship Id="rId2375" Type="http://schemas.openxmlformats.org/officeDocument/2006/relationships/hyperlink" Target="https://finance.vietstock.vn/TMMNThanhHoa-ctcp-thuong-mai-mien-nui-thanh-hoa.htm" TargetMode="External"/><Relationship Id="rId347" Type="http://schemas.openxmlformats.org/officeDocument/2006/relationships/hyperlink" Target="https://finance.vietstock.vn/CCH-ctcp-tu-van-va-dau-tu-xay-dung-ccic-ha-noi.htm" TargetMode="External"/><Relationship Id="rId1184" Type="http://schemas.openxmlformats.org/officeDocument/2006/relationships/hyperlink" Target="https://finance.vietstock.vn/IBN-ctcp-in-bao-nghe-an.htm" TargetMode="External"/><Relationship Id="rId2028" Type="http://schemas.openxmlformats.org/officeDocument/2006/relationships/hyperlink" Target="https://finance.vietstock.vn/SD9-ctcp-song-da-9.htm" TargetMode="External"/><Relationship Id="rId2582" Type="http://schemas.openxmlformats.org/officeDocument/2006/relationships/hyperlink" Target="https://finance.vietstock.vn/VEF-ctcp-trung-tam-hoi-cho-trien-lam-viet-nam.htm" TargetMode="External"/><Relationship Id="rId554" Type="http://schemas.openxmlformats.org/officeDocument/2006/relationships/hyperlink" Target="https://finance.vietstock.vn/DC1-ctcp-dau-tu-phat-trien-xay-dung-so-1.htm" TargetMode="External"/><Relationship Id="rId761" Type="http://schemas.openxmlformats.org/officeDocument/2006/relationships/hyperlink" Target="https://finance.vietstock.vn/EGL-ctcp-moi-truong-do-thi-gia-lam.htm" TargetMode="External"/><Relationship Id="rId1391" Type="http://schemas.openxmlformats.org/officeDocument/2006/relationships/hyperlink" Target="https://finance.vietstock.vn/LinhGas-ctcp-linh-gas-viet-nam.htm" TargetMode="External"/><Relationship Id="rId2235" Type="http://schemas.openxmlformats.org/officeDocument/2006/relationships/hyperlink" Target="https://finance.vietstock.vn/TapPham-ctcp-xuat-nhap-khau-tap-pham.htm" TargetMode="External"/><Relationship Id="rId2442" Type="http://schemas.openxmlformats.org/officeDocument/2006/relationships/hyperlink" Target="https://finance.vietstock.vn/TSJ-ctcp-du-lich-dich-vu-ha-noi.htm" TargetMode="External"/><Relationship Id="rId207" Type="http://schemas.openxmlformats.org/officeDocument/2006/relationships/hyperlink" Target="https://finance.vietstock.vn/BIO-ctcp-vac-xin-va-sinh-pham-nha-trang.htm" TargetMode="External"/><Relationship Id="rId414" Type="http://schemas.openxmlformats.org/officeDocument/2006/relationships/hyperlink" Target="https://finance.vietstock.vn/CKTAYNINH-ctcp-co-khi-tay-ninh.htm" TargetMode="External"/><Relationship Id="rId621" Type="http://schemas.openxmlformats.org/officeDocument/2006/relationships/hyperlink" Target="https://finance.vietstock.vn/DLX-ctcp-delex-viet-nam.htm" TargetMode="External"/><Relationship Id="rId1044" Type="http://schemas.openxmlformats.org/officeDocument/2006/relationships/hyperlink" Target="https://finance.vietstock.vn/HIO-ctcp-helio-energy.htm" TargetMode="External"/><Relationship Id="rId1251" Type="http://schemas.openxmlformats.org/officeDocument/2006/relationships/hyperlink" Target="https://finance.vietstock.vn/JOS-ctcp-che-bien-thuy-san-xuat-khau-minh-hai.htm" TargetMode="External"/><Relationship Id="rId2302" Type="http://schemas.openxmlformats.org/officeDocument/2006/relationships/hyperlink" Target="https://finance.vietstock.vn/ThangLongGTC-ctcp-thang-long-gtc.htm" TargetMode="External"/><Relationship Id="rId1111" Type="http://schemas.openxmlformats.org/officeDocument/2006/relationships/hyperlink" Target="https://finance.vietstock.vn/HPO-ctcp-cong-nghiep-hapulico.htm" TargetMode="External"/><Relationship Id="rId1928" Type="http://schemas.openxmlformats.org/officeDocument/2006/relationships/hyperlink" Target="https://finance.vietstock.vn/RDP-ctcp-rang-dong-holding.htm" TargetMode="External"/><Relationship Id="rId2092" Type="http://schemas.openxmlformats.org/officeDocument/2006/relationships/hyperlink" Target="https://finance.vietstock.vn/SIC-ctcp-ani.htm" TargetMode="External"/><Relationship Id="rId271" Type="http://schemas.openxmlformats.org/officeDocument/2006/relationships/hyperlink" Target="https://finance.vietstock.vn/BTP-ctcp-nhiet-dien-ba-ria.htm" TargetMode="External"/><Relationship Id="rId2397" Type="http://schemas.openxmlformats.org/officeDocument/2006/relationships/hyperlink" Target="https://finance.vietstock.vn/TNW-ctcp-nuoc-sach-thai-nguyen.htm" TargetMode="External"/><Relationship Id="rId131" Type="http://schemas.openxmlformats.org/officeDocument/2006/relationships/hyperlink" Target="https://finance.vietstock.vn/BAM-ctcp-khoang-san-va-luyen-kim-bac-a.htm" TargetMode="External"/><Relationship Id="rId369" Type="http://schemas.openxmlformats.org/officeDocument/2006/relationships/hyperlink" Target="https://finance.vietstock.vn/CEN-ctcp-cencon-viet-nam.htm" TargetMode="External"/><Relationship Id="rId576" Type="http://schemas.openxmlformats.org/officeDocument/2006/relationships/hyperlink" Target="https://finance.vietstock.vn/DeltaTower-ctcp-canh-hung-hai-thanh.htm" TargetMode="External"/><Relationship Id="rId783" Type="http://schemas.openxmlformats.org/officeDocument/2006/relationships/hyperlink" Target="https://finance.vietstock.vn/EVNNPC-tong-cong-ty-dien-luc-mien-bac.htm" TargetMode="External"/><Relationship Id="rId990" Type="http://schemas.openxmlformats.org/officeDocument/2006/relationships/hyperlink" Target="https://finance.vietstock.vn/HCT-ctcp-thuong-mai-dich-vu-van-tai-xi-mang-hai-phong.htm" TargetMode="External"/><Relationship Id="rId2257" Type="http://schemas.openxmlformats.org/officeDocument/2006/relationships/hyperlink" Target="https://finance.vietstock.vn/TCB-ngan-hang-tmcp-ky-thuong-viet-nam.htm" TargetMode="External"/><Relationship Id="rId2464" Type="http://schemas.openxmlformats.org/officeDocument/2006/relationships/hyperlink" Target="https://finance.vietstock.vn/TTZ-ctcp-dau-tu-xay-dung-va-cong-nghe-tien-trung.htm" TargetMode="External"/><Relationship Id="rId2671" Type="http://schemas.openxmlformats.org/officeDocument/2006/relationships/hyperlink" Target="https://finance.vietstock.vn/VinaSaiGon-ctcp-san-xuat-va-xuat-nhap-khau-lam-san-sai-gon.htm" TargetMode="External"/><Relationship Id="rId229" Type="http://schemas.openxmlformats.org/officeDocument/2006/relationships/hyperlink" Target="https://finance.vietstock.vn/BMK-ctcp-ky-thuat-nhiet-meo-den.htm" TargetMode="External"/><Relationship Id="rId436" Type="http://schemas.openxmlformats.org/officeDocument/2006/relationships/hyperlink" Target="https://finance.vietstock.vn/CMV-ctcp-thuong-nghiep-ca-mau.htm" TargetMode="External"/><Relationship Id="rId643" Type="http://schemas.openxmlformats.org/officeDocument/2006/relationships/hyperlink" Target="https://finance.vietstock.vn/DNT-ctcp-du-lich-dong-nai.htm" TargetMode="External"/><Relationship Id="rId1066" Type="http://schemas.openxmlformats.org/officeDocument/2006/relationships/hyperlink" Target="https://finance.vietstock.vn/HMG-ctcp-kim-khi-ha-noi-vnsteel.htm" TargetMode="External"/><Relationship Id="rId1273" Type="http://schemas.openxmlformats.org/officeDocument/2006/relationships/hyperlink" Target="https://finance.vietstock.vn/Khaithacda-ctcp-khai-thac-da-thua-thien-hue.htm" TargetMode="External"/><Relationship Id="rId1480" Type="http://schemas.openxmlformats.org/officeDocument/2006/relationships/hyperlink" Target="https://finance.vietstock.vn/MGC-ctcp-dia-chat-mo-tkv.htm" TargetMode="External"/><Relationship Id="rId2117" Type="http://schemas.openxmlformats.org/officeDocument/2006/relationships/hyperlink" Target="https://finance.vietstock.vn/SMB-ctcp-bia-sai-gon-mien-trung.htm" TargetMode="External"/><Relationship Id="rId2324" Type="http://schemas.openxmlformats.org/officeDocument/2006/relationships/hyperlink" Target="https://finance.vietstock.vn/ThietBiThuyLoi-ctcp-thiet-bi-thuy-loi.htm" TargetMode="External"/><Relationship Id="rId2769" Type="http://schemas.openxmlformats.org/officeDocument/2006/relationships/hyperlink" Target="https://finance.vietstock.vn/VPW-ctcp-cap-thoat-nuoc-so-1-vinh-phuc.htm" TargetMode="External"/><Relationship Id="rId850" Type="http://schemas.openxmlformats.org/officeDocument/2006/relationships/hyperlink" Target="https://finance.vietstock.vn/FUEVFVND-quy-etf-dcvfmvn-diamond.htm" TargetMode="External"/><Relationship Id="rId948" Type="http://schemas.openxmlformats.org/officeDocument/2006/relationships/hyperlink" Target="https://finance.vietstock.vn/HaiPhongMarine-ctcp-dau-tu-va-thuong-mai-hang-hai-hai-phong.htm" TargetMode="External"/><Relationship Id="rId1133" Type="http://schemas.openxmlformats.org/officeDocument/2006/relationships/hyperlink" Target="https://finance.vietstock.vn/HST-ctcp-phat-hanh-sach-va-thiet-bi-truong-hoc-hung-yen.htm" TargetMode="External"/><Relationship Id="rId1578" Type="http://schemas.openxmlformats.org/officeDocument/2006/relationships/hyperlink" Target="https://finance.vietstock.vn/NBW-ctcp-cap-nuoc-nha-be.htm" TargetMode="External"/><Relationship Id="rId1785" Type="http://schemas.openxmlformats.org/officeDocument/2006/relationships/hyperlink" Target="https://finance.vietstock.vn/PMB-ctcp-phan-bon-va-hoa-chat-dau-khi-mien-bac.htm" TargetMode="External"/><Relationship Id="rId1992" Type="http://schemas.openxmlformats.org/officeDocument/2006/relationships/hyperlink" Target="https://finance.vietstock.vn/SBD-ctcp-cong-nghe-sao-bac-dau.htm" TargetMode="External"/><Relationship Id="rId2531" Type="http://schemas.openxmlformats.org/officeDocument/2006/relationships/hyperlink" Target="https://finance.vietstock.vn/VC1-ctcp-xay-dung-so-1.htm" TargetMode="External"/><Relationship Id="rId2629" Type="http://schemas.openxmlformats.org/officeDocument/2006/relationships/hyperlink" Target="https://finance.vietstock.vn/VienThongDongThap-ctcp-dau-tu-xay-dung-vien-thong-dong-thap.htm" TargetMode="External"/><Relationship Id="rId2836" Type="http://schemas.openxmlformats.org/officeDocument/2006/relationships/hyperlink" Target="https://finance.vietstock.vn/WTN-ctcp-cap-thoat-nuoc-tay-ninh.htm" TargetMode="External"/><Relationship Id="rId77" Type="http://schemas.openxmlformats.org/officeDocument/2006/relationships/hyperlink" Target="https://finance.vietstock.vn/AnPhu-ctcp-an-phu.htm" TargetMode="External"/><Relationship Id="rId503" Type="http://schemas.openxmlformats.org/officeDocument/2006/relationships/hyperlink" Target="https://finance.vietstock.vn/CTM-ctcp-dau-tu-xay-dung-va-khai-thac-mo-vinavico.htm" TargetMode="External"/><Relationship Id="rId710" Type="http://schemas.openxmlformats.org/officeDocument/2006/relationships/hyperlink" Target="https://finance.vietstock.vn/DuLichThanhBinh-ctcp-du-lich-thanh-binh.htm" TargetMode="External"/><Relationship Id="rId808" Type="http://schemas.openxmlformats.org/officeDocument/2006/relationships/hyperlink" Target="https://finance.vietstock.vn/FIT-ctcp-tap-doan-f-i-t.htm" TargetMode="External"/><Relationship Id="rId1340" Type="http://schemas.openxmlformats.org/officeDocument/2006/relationships/hyperlink" Target="https://finance.vietstock.vn/L18-ctcp-dau-tu-va-xay-dung-so-18.htm" TargetMode="External"/><Relationship Id="rId1438" Type="http://schemas.openxmlformats.org/officeDocument/2006/relationships/hyperlink" Target="https://finance.vietstock.vn/MBB-ngan-hang-tmcp-quan-doi.htm" TargetMode="External"/><Relationship Id="rId1645" Type="http://schemas.openxmlformats.org/officeDocument/2006/relationships/hyperlink" Target="https://finance.vietstock.vn/NSI-ctcp-chung-khoan-quoc-gia.htm" TargetMode="External"/><Relationship Id="rId1200" Type="http://schemas.openxmlformats.org/officeDocument/2006/relationships/hyperlink" Target="https://finance.vietstock.vn/IDPCo-ctcp-i-d-p.htm" TargetMode="External"/><Relationship Id="rId1852" Type="http://schemas.openxmlformats.org/officeDocument/2006/relationships/hyperlink" Target="https://finance.vietstock.vn/PTT-ctcp-van-tai-dau-khi-dong-duong.htm" TargetMode="External"/><Relationship Id="rId1505" Type="http://schemas.openxmlformats.org/officeDocument/2006/relationships/hyperlink" Target="https://finance.vietstock.vn/MKT-ctcp-det-minh-khai.htm" TargetMode="External"/><Relationship Id="rId1712" Type="http://schemas.openxmlformats.org/officeDocument/2006/relationships/hyperlink" Target="https://finance.vietstock.vn/PCE-ctcp-phan-bon-va-hoa-chat-dau-khi-mien-trung.htm" TargetMode="External"/><Relationship Id="rId293" Type="http://schemas.openxmlformats.org/officeDocument/2006/relationships/hyperlink" Target="https://finance.vietstock.vn/BXD-ctcp-van-tai-va-quan-ly-ben-xe-da-nang.htm" TargetMode="External"/><Relationship Id="rId2181" Type="http://schemas.openxmlformats.org/officeDocument/2006/relationships/hyperlink" Target="https://finance.vietstock.vn/STJ-ctcp-van-tai-sonadezi.htm" TargetMode="External"/><Relationship Id="rId153" Type="http://schemas.openxmlformats.org/officeDocument/2006/relationships/hyperlink" Target="https://finance.vietstock.vn/BCG-ctcp-tap-doan-bamboo-capital.htm" TargetMode="External"/><Relationship Id="rId360" Type="http://schemas.openxmlformats.org/officeDocument/2006/relationships/hyperlink" Target="https://finance.vietstock.vn/CDN-ctcp-cang-da-nang.htm" TargetMode="External"/><Relationship Id="rId598" Type="http://schemas.openxmlformats.org/officeDocument/2006/relationships/hyperlink" Target="https://finance.vietstock.vn/DIC1-ctcp-xay-dung-do-thi-va-khu-cong-nghiep.htm" TargetMode="External"/><Relationship Id="rId2041" Type="http://schemas.openxmlformats.org/officeDocument/2006/relationships/hyperlink" Target="https://finance.vietstock.vn/SDNT-ctcp-song-da-nha-trang.htm" TargetMode="External"/><Relationship Id="rId2279" Type="http://schemas.openxmlformats.org/officeDocument/2006/relationships/hyperlink" Target="https://finance.vietstock.vn/TDI-ctcp-tap-doan-tdi.htm" TargetMode="External"/><Relationship Id="rId2486" Type="http://schemas.openxmlformats.org/officeDocument/2006/relationships/hyperlink" Target="https://finance.vietstock.vn/TVT-tong-cong-ty-viet-thang-ctcp.htm" TargetMode="External"/><Relationship Id="rId2693" Type="http://schemas.openxmlformats.org/officeDocument/2006/relationships/hyperlink" Target="https://finance.vietstock.vn/VIR-ctcp-du-lich-quoc-te-vung-tau.htm" TargetMode="External"/><Relationship Id="rId220" Type="http://schemas.openxmlformats.org/officeDocument/2006/relationships/hyperlink" Target="https://finance.vietstock.vn/BLW-ctcp-cap-nuoc-bac-lieu.htm" TargetMode="External"/><Relationship Id="rId458" Type="http://schemas.openxmlformats.org/officeDocument/2006/relationships/hyperlink" Target="https://finance.vietstock.vn/CongTrinhBuuDien-ctcp-phat-trien-cong-trinh-buu-dien.htm" TargetMode="External"/><Relationship Id="rId665" Type="http://schemas.openxmlformats.org/officeDocument/2006/relationships/hyperlink" Target="https://finance.vietstock.vn/DPH-ctcp-duoc-pham-hai-phong.htm" TargetMode="External"/><Relationship Id="rId872" Type="http://schemas.openxmlformats.org/officeDocument/2006/relationships/hyperlink" Target="https://finance.vietstock.vn/GEL-ctcp-ha-tang-gelex.htm" TargetMode="External"/><Relationship Id="rId1088" Type="http://schemas.openxmlformats.org/officeDocument/2006/relationships/hyperlink" Target="https://finance.vietstock.vn/HoaChatViSinh-ctcp-cong-nghiep-hoa-chat-va-vi-sinh.htm" TargetMode="External"/><Relationship Id="rId1295" Type="http://schemas.openxmlformats.org/officeDocument/2006/relationships/hyperlink" Target="https://finance.vietstock.vn/KimKhiBacThai-ctcp-kim-khi-bac-thai.htm" TargetMode="External"/><Relationship Id="rId2139" Type="http://schemas.openxmlformats.org/officeDocument/2006/relationships/hyperlink" Target="https://finance.vietstock.vn/SonTra-ctcp-dau-tu-phong-phu-son-tra.htm" TargetMode="External"/><Relationship Id="rId2346" Type="http://schemas.openxmlformats.org/officeDocument/2006/relationships/hyperlink" Target="https://finance.vietstock.vn/TinHieu-ctcp-vien-thong-tin-hieu-duong-sat.htm" TargetMode="External"/><Relationship Id="rId2553" Type="http://schemas.openxmlformats.org/officeDocument/2006/relationships/hyperlink" Target="https://finance.vietstock.vn/VCN-ctcp-dau-tu-vcn.htm" TargetMode="External"/><Relationship Id="rId2760" Type="http://schemas.openxmlformats.org/officeDocument/2006/relationships/hyperlink" Target="https://finance.vietstock.vn/VPD-ctcp-phat-trien-dien-luc-viet-nam.htm" TargetMode="External"/><Relationship Id="rId318" Type="http://schemas.openxmlformats.org/officeDocument/2006/relationships/hyperlink" Target="https://finance.vietstock.vn/CaoSuBinhDuong-ctcp-cao-su-binh-duong.htm" TargetMode="External"/><Relationship Id="rId525" Type="http://schemas.openxmlformats.org/officeDocument/2006/relationships/hyperlink" Target="https://finance.vietstock.vn/D17-ctcp-dong-tan.htm" TargetMode="External"/><Relationship Id="rId732" Type="http://schemas.openxmlformats.org/officeDocument/2006/relationships/hyperlink" Target="https://finance.vietstock.vn/DVM-ctcp-duoc-lieu-viet-nam.htm" TargetMode="External"/><Relationship Id="rId1155" Type="http://schemas.openxmlformats.org/officeDocument/2006/relationships/hyperlink" Target="https://finance.vietstock.vn/HU3-ctcp-dau-tu-va-xay-dung-hud3.htm" TargetMode="External"/><Relationship Id="rId1362" Type="http://schemas.openxmlformats.org/officeDocument/2006/relationships/hyperlink" Target="https://finance.vietstock.vn/LBM-ctcp-khoang-san-va-vat-lieu-xay-dung-lam-dong.htm" TargetMode="External"/><Relationship Id="rId2206" Type="http://schemas.openxmlformats.org/officeDocument/2006/relationships/hyperlink" Target="https://finance.vietstock.vn/SZA-ctcp-sonadezi-an-binh.htm" TargetMode="External"/><Relationship Id="rId2413" Type="http://schemas.openxmlformats.org/officeDocument/2006/relationships/hyperlink" Target="https://finance.vietstock.vn/TPS-ctcp-ben-bai-van-tai-sai-gon.htm" TargetMode="External"/><Relationship Id="rId2620" Type="http://schemas.openxmlformats.org/officeDocument/2006/relationships/hyperlink" Target="https://finance.vietstock.vn/VICOSA-ctcp-dai-ly-hang-hai-vinacomin.htm" TargetMode="External"/><Relationship Id="rId2858" Type="http://schemas.openxmlformats.org/officeDocument/2006/relationships/hyperlink" Target="https://finance.vietstock.vn/XHC-ctcp-xuan-hoa-viet-nam.htm" TargetMode="External"/><Relationship Id="rId99" Type="http://schemas.openxmlformats.org/officeDocument/2006/relationships/hyperlink" Target="https://finance.vietstock.vn/ASA-ctcp-asa.htm" TargetMode="External"/><Relationship Id="rId1015" Type="http://schemas.openxmlformats.org/officeDocument/2006/relationships/hyperlink" Target="https://finance.vietstock.vn/HEV-ctcp-sach-dai-hoc-day-nghe.htm" TargetMode="External"/><Relationship Id="rId1222" Type="http://schemas.openxmlformats.org/officeDocument/2006/relationships/hyperlink" Target="https://finance.vietstock.vn/ING-ctcp-dau-tu-va-phat-trien-xay-dung.htm" TargetMode="External"/><Relationship Id="rId1667" Type="http://schemas.openxmlformats.org/officeDocument/2006/relationships/hyperlink" Target="https://finance.vietstock.vn/NVC-ctcp-nam-vang.htm" TargetMode="External"/><Relationship Id="rId1874" Type="http://schemas.openxmlformats.org/officeDocument/2006/relationships/hyperlink" Target="https://finance.vietstock.vn/PVP-ctcp-van-tai-dau-khi-thai-binh-duong.htm" TargetMode="External"/><Relationship Id="rId2718" Type="http://schemas.openxmlformats.org/officeDocument/2006/relationships/hyperlink" Target="https://finance.vietstock.vn/VLS-ctcp-san-xuat-thep-viet-long.htm" TargetMode="External"/><Relationship Id="rId1527" Type="http://schemas.openxmlformats.org/officeDocument/2006/relationships/hyperlink" Target="https://finance.vietstock.vn/MSN-ctcp-tap-doan-masan.htm" TargetMode="External"/><Relationship Id="rId1734" Type="http://schemas.openxmlformats.org/officeDocument/2006/relationships/hyperlink" Target="https://finance.vietstock.vn/PFH-ctcp-dau-tu-tai-chinh-bao-hiem-dau-khi.htm" TargetMode="External"/><Relationship Id="rId1941" Type="http://schemas.openxmlformats.org/officeDocument/2006/relationships/hyperlink" Target="https://finance.vietstock.vn/ROS-ctcp-xay-dung-flc-faros.htm" TargetMode="External"/><Relationship Id="rId26" Type="http://schemas.openxmlformats.org/officeDocument/2006/relationships/hyperlink" Target="https://finance.vietstock.vn/ACE-ctcp-be-tong-ly-tam-an-giang.htm" TargetMode="External"/><Relationship Id="rId175" Type="http://schemas.openxmlformats.org/officeDocument/2006/relationships/hyperlink" Target="https://finance.vietstock.vn/Benthanhhouse-ctcp-phat-trien-va-dich-vu-nha-ben-thanh.htm" TargetMode="External"/><Relationship Id="rId1801" Type="http://schemas.openxmlformats.org/officeDocument/2006/relationships/hyperlink" Target="https://finance.vietstock.vn/POB-ctcp-xang-dau-dau-khi-hung-yen.htm" TargetMode="External"/><Relationship Id="rId382" Type="http://schemas.openxmlformats.org/officeDocument/2006/relationships/hyperlink" Target="https://finance.vietstock.vn/ChoLonTourist-ctcp-dich-vu-du-lich-cho-lon.htm" TargetMode="External"/><Relationship Id="rId687" Type="http://schemas.openxmlformats.org/officeDocument/2006/relationships/hyperlink" Target="https://finance.vietstock.vn/DT319-ctcp-dau-tu-va-thuong-mai-319.htm" TargetMode="External"/><Relationship Id="rId2063" Type="http://schemas.openxmlformats.org/officeDocument/2006/relationships/hyperlink" Target="https://finance.vietstock.vn/SGCG-tong-cong-ty-xay-dung-sai-gon-tnhh-mtv.htm" TargetMode="External"/><Relationship Id="rId2270" Type="http://schemas.openxmlformats.org/officeDocument/2006/relationships/hyperlink" Target="https://finance.vietstock.vn/TCX-ctcp-chung-khoan-ky-thuong.htm" TargetMode="External"/><Relationship Id="rId2368" Type="http://schemas.openxmlformats.org/officeDocument/2006/relationships/hyperlink" Target="https://finance.vietstock.vn/TLMECO-ctcp-co-khi-4-va-xay-dung-thang-long.htm" TargetMode="External"/><Relationship Id="rId242" Type="http://schemas.openxmlformats.org/officeDocument/2006/relationships/hyperlink" Target="https://finance.vietstock.vn/BQB-ctcp-bia-ha-noi-quang-binh.htm" TargetMode="External"/><Relationship Id="rId894" Type="http://schemas.openxmlformats.org/officeDocument/2006/relationships/hyperlink" Target="https://finance.vietstock.vn/GiayDepWEC-ctcp-may-theu-giay-dep-w-e-c-sai-gon.htm" TargetMode="External"/><Relationship Id="rId1177" Type="http://schemas.openxmlformats.org/officeDocument/2006/relationships/hyperlink" Target="https://finance.vietstock.vn/HVT-ctcp-hoa-chat-viet-tri.htm" TargetMode="External"/><Relationship Id="rId2130" Type="http://schemas.openxmlformats.org/officeDocument/2006/relationships/hyperlink" Target="https://finance.vietstock.vn/Sonacon-ctcp-xay-lap-sonacons.htm" TargetMode="External"/><Relationship Id="rId2575" Type="http://schemas.openxmlformats.org/officeDocument/2006/relationships/hyperlink" Target="https://finance.vietstock.vn/VE4-ctcp-xay-dung-dien-vneco4.htm" TargetMode="External"/><Relationship Id="rId2782" Type="http://schemas.openxmlformats.org/officeDocument/2006/relationships/hyperlink" Target="https://finance.vietstock.vn/VSG-ctcp-container-phia-nam.htm" TargetMode="External"/><Relationship Id="rId102" Type="http://schemas.openxmlformats.org/officeDocument/2006/relationships/hyperlink" Target="https://finance.vietstock.vn/ASCSaiGon-ctcp-dau-tu-nong-nghiep-asc-sai-gon.htm" TargetMode="External"/><Relationship Id="rId547" Type="http://schemas.openxmlformats.org/officeDocument/2006/relationships/hyperlink" Target="https://finance.vietstock.vn/DBC-ctcp-tap-doan-dabaco-viet-nam.htm" TargetMode="External"/><Relationship Id="rId754" Type="http://schemas.openxmlformats.org/officeDocument/2006/relationships/hyperlink" Target="https://finance.vietstock.vn/EBS-ctcp-sach-giao-duc-tai-thanh-pho-ha-noi.htm" TargetMode="External"/><Relationship Id="rId961" Type="http://schemas.openxmlformats.org/officeDocument/2006/relationships/hyperlink" Target="https://finance.vietstock.vn/HAP-ctcp-tap-doan-hapaco.htm" TargetMode="External"/><Relationship Id="rId1384" Type="http://schemas.openxmlformats.org/officeDocument/2006/relationships/hyperlink" Target="https://finance.vietstock.vn/Licogi162-ctcp-xay-dung-licogi-16-2.htm" TargetMode="External"/><Relationship Id="rId1591" Type="http://schemas.openxmlformats.org/officeDocument/2006/relationships/hyperlink" Target="https://finance.vietstock.vn/NEM-ctcp-thiet-bi-dien-mien-bac.htm" TargetMode="External"/><Relationship Id="rId1689" Type="http://schemas.openxmlformats.org/officeDocument/2006/relationships/hyperlink" Target="https://finance.vietstock.vn/ORS-ctcp-chung-khoan-tien-phong.htm" TargetMode="External"/><Relationship Id="rId2228" Type="http://schemas.openxmlformats.org/officeDocument/2006/relationships/hyperlink" Target="https://finance.vietstock.vn/TanMai-ctcp-tap-doan-tan-mai.htm" TargetMode="External"/><Relationship Id="rId2435" Type="http://schemas.openxmlformats.org/officeDocument/2006/relationships/hyperlink" Target="https://finance.vietstock.vn/TS4-ctcp-thuy-san-so-4.htm" TargetMode="External"/><Relationship Id="rId2642" Type="http://schemas.openxmlformats.org/officeDocument/2006/relationships/hyperlink" Target="https://finance.vietstock.vn/Vigatexco-ctcp-det-may-thang-loi.htm" TargetMode="External"/><Relationship Id="rId90" Type="http://schemas.openxmlformats.org/officeDocument/2006/relationships/hyperlink" Target="https://finance.vietstock.vn/APRest-ctcp-thuong-mai-dau-tu-bat-dong-san-an-phat.htm" TargetMode="External"/><Relationship Id="rId407" Type="http://schemas.openxmlformats.org/officeDocument/2006/relationships/hyperlink" Target="https://finance.vietstock.vn/CJC203-ctcp-xay-dung-203.htm" TargetMode="External"/><Relationship Id="rId614" Type="http://schemas.openxmlformats.org/officeDocument/2006/relationships/hyperlink" Target="https://finance.vietstock.vn/DLC-ctcp-du-lich-can-tho.htm" TargetMode="External"/><Relationship Id="rId821" Type="http://schemas.openxmlformats.org/officeDocument/2006/relationships/hyperlink" Target="https://finance.vietstock.vn/FritHue-ctcp-frit-hue.htm" TargetMode="External"/><Relationship Id="rId1037" Type="http://schemas.openxmlformats.org/officeDocument/2006/relationships/hyperlink" Target="https://finance.vietstock.vn/HIC-ctcp-dau-tu-va-xay-dung-so-1-ha-noi.htm" TargetMode="External"/><Relationship Id="rId1244" Type="http://schemas.openxmlformats.org/officeDocument/2006/relationships/hyperlink" Target="https://finance.vietstock.vn/ITC-ctcp-dau-tu-va-kinh-doanh-nha.htm" TargetMode="External"/><Relationship Id="rId1451" Type="http://schemas.openxmlformats.org/officeDocument/2006/relationships/hyperlink" Target="https://finance.vietstock.vn/MCH-ctcp-hang-tieu-dung-masan.htm" TargetMode="External"/><Relationship Id="rId1896" Type="http://schemas.openxmlformats.org/officeDocument/2006/relationships/hyperlink" Target="https://finance.vietstock.vn/PXT-ctcp-xay-lap-duong-ong-be-chua-dau-khi.htm" TargetMode="External"/><Relationship Id="rId2502" Type="http://schemas.openxmlformats.org/officeDocument/2006/relationships/hyperlink" Target="https://finance.vietstock.vn/UPC-ctcp-phat-trien-cong-vien-cay-xanh-va-do-thi-vung-tau.htm" TargetMode="External"/><Relationship Id="rId919" Type="http://schemas.openxmlformats.org/officeDocument/2006/relationships/hyperlink" Target="https://finance.vietstock.vn/GSM-ctcp-thuy-dien-huong-son.htm" TargetMode="External"/><Relationship Id="rId1104" Type="http://schemas.openxmlformats.org/officeDocument/2006/relationships/hyperlink" Target="https://finance.vietstock.vn/HPE-ctcp-dien-tu-chuyen-dung-hanel.htm" TargetMode="External"/><Relationship Id="rId1311" Type="http://schemas.openxmlformats.org/officeDocument/2006/relationships/hyperlink" Target="https://finance.vietstock.vn/KOS-ctcp-kosy.htm" TargetMode="External"/><Relationship Id="rId1549" Type="http://schemas.openxmlformats.org/officeDocument/2006/relationships/hyperlink" Target="https://finance.vietstock.vn/MyKhe-ctcp-my-khe-viet-nam.htm" TargetMode="External"/><Relationship Id="rId1756" Type="http://schemas.openxmlformats.org/officeDocument/2006/relationships/hyperlink" Target="https://finance.vietstock.vn/PhuDat-ctcp-dau-tu-va-xay-dung-dau-khi-phu-dat.htm" TargetMode="External"/><Relationship Id="rId1963" Type="http://schemas.openxmlformats.org/officeDocument/2006/relationships/hyperlink" Target="https://finance.vietstock.vn/SAC-ctcp-xep-do-va-dich-vu-cang-sai-gon.htm" TargetMode="External"/><Relationship Id="rId2807" Type="http://schemas.openxmlformats.org/officeDocument/2006/relationships/hyperlink" Target="https://finance.vietstock.vn/VTM-ctcp-van-tai-va-dua-don-tho-mo-vinacomin.htm" TargetMode="External"/><Relationship Id="rId48" Type="http://schemas.openxmlformats.org/officeDocument/2006/relationships/hyperlink" Target="https://finance.vietstock.vn/AGM-ctcp-xuat-nhap-khau-an-giang.htm" TargetMode="External"/><Relationship Id="rId1409" Type="http://schemas.openxmlformats.org/officeDocument/2006/relationships/hyperlink" Target="https://finance.vietstock.vn/LPT-ctcp-thuong-mai-va-san-xuat-lap-phuong-thanh.htm" TargetMode="External"/><Relationship Id="rId1616" Type="http://schemas.openxmlformats.org/officeDocument/2006/relationships/hyperlink" Target="https://finance.vietstock.vn/NIS-ctcp-dich-vu-ha-tang-mang.htm" TargetMode="External"/><Relationship Id="rId1823" Type="http://schemas.openxmlformats.org/officeDocument/2006/relationships/hyperlink" Target="https://finance.vietstock.vn/PROMEXCO-ctcp-san-xuat-bao-bi-va-hang-xuat-khau.htm" TargetMode="External"/><Relationship Id="rId197" Type="http://schemas.openxmlformats.org/officeDocument/2006/relationships/hyperlink" Target="https://finance.vietstock.vn/BiaSaiGonQuyNhon-ctcp-bia-sai-gon-quy-nhon.htm" TargetMode="External"/><Relationship Id="rId2085" Type="http://schemas.openxmlformats.org/officeDocument/2006/relationships/hyperlink" Target="https://finance.vietstock.vn/SHL-ctcp-dau-tu-song-hong-thang-long.htm" TargetMode="External"/><Relationship Id="rId2292" Type="http://schemas.openxmlformats.org/officeDocument/2006/relationships/hyperlink" Target="https://finance.vietstock.vn/TEKCAST-ctcp-cong-nghe-va-truyen-hinh.htm" TargetMode="External"/><Relationship Id="rId264" Type="http://schemas.openxmlformats.org/officeDocument/2006/relationships/hyperlink" Target="https://finance.vietstock.vn/BTCom-ctcp-dau-tu-thuong-mai-ben-thanh.htm" TargetMode="External"/><Relationship Id="rId471" Type="http://schemas.openxmlformats.org/officeDocument/2006/relationships/hyperlink" Target="https://finance.vietstock.vn/COXANO-ctcp-co-khi-xay-dung-cong-trinh-thua-thien-hue.htm" TargetMode="External"/><Relationship Id="rId2152" Type="http://schemas.openxmlformats.org/officeDocument/2006/relationships/hyperlink" Target="https://finance.vietstock.vn/SPP-ctcp-bao-bi-nhua-sai-gon.htm" TargetMode="External"/><Relationship Id="rId2597" Type="http://schemas.openxmlformats.org/officeDocument/2006/relationships/hyperlink" Target="https://finance.vietstock.vn/VGI-tong-cong-ty-co-phan-dau-tu-quoc-te-viettel.htm" TargetMode="External"/><Relationship Id="rId124" Type="http://schemas.openxmlformats.org/officeDocument/2006/relationships/hyperlink" Target="https://finance.vietstock.vn/B82-ctcp-482.htm" TargetMode="External"/><Relationship Id="rId569" Type="http://schemas.openxmlformats.org/officeDocument/2006/relationships/hyperlink" Target="https://finance.vietstock.vn/DDG-ctcp-dau-tu-cong-nghiep-xuat-nhap-khau-dong-duong.htm" TargetMode="External"/><Relationship Id="rId776" Type="http://schemas.openxmlformats.org/officeDocument/2006/relationships/hyperlink" Target="https://finance.vietstock.vn/Eurowindow-ctcp-cua-so-nhua-chau-au.htm" TargetMode="External"/><Relationship Id="rId983" Type="http://schemas.openxmlformats.org/officeDocument/2006/relationships/hyperlink" Target="https://finance.vietstock.vn/HC3-ctcp-xay-dung-so-3-hai-phong.htm" TargetMode="External"/><Relationship Id="rId1199" Type="http://schemas.openxmlformats.org/officeDocument/2006/relationships/hyperlink" Target="https://finance.vietstock.vn/IDP-ctcp-sua-quoc-te-lof.htm" TargetMode="External"/><Relationship Id="rId2457" Type="http://schemas.openxmlformats.org/officeDocument/2006/relationships/hyperlink" Target="https://finance.vietstock.vn/TTL-tong-cong-ty-thang-long-ctcp.htm" TargetMode="External"/><Relationship Id="rId2664" Type="http://schemas.openxmlformats.org/officeDocument/2006/relationships/hyperlink" Target="https://finance.vietstock.vn/VinaconexQT-ctcp-xay-dung-va-xuat-nhap-khau-quyet-thang.htm" TargetMode="External"/><Relationship Id="rId331" Type="http://schemas.openxmlformats.org/officeDocument/2006/relationships/hyperlink" Target="https://finance.vietstock.vn/CAV-ctcp-day-cap-dien-viet-nam.htm" TargetMode="External"/><Relationship Id="rId429" Type="http://schemas.openxmlformats.org/officeDocument/2006/relationships/hyperlink" Target="https://finance.vietstock.vn/CMI-ctcp-cmistone-viet-nam.htm" TargetMode="External"/><Relationship Id="rId636" Type="http://schemas.openxmlformats.org/officeDocument/2006/relationships/hyperlink" Target="https://finance.vietstock.vn/DNH-ctcp-thuy-dien-da-nhim-ham-thuan-da-mi.htm" TargetMode="External"/><Relationship Id="rId1059" Type="http://schemas.openxmlformats.org/officeDocument/2006/relationships/hyperlink" Target="https://finance.vietstock.vn/HLO-ctcp-cong-nghe-ha-lo.htm" TargetMode="External"/><Relationship Id="rId1266" Type="http://schemas.openxmlformats.org/officeDocument/2006/relationships/hyperlink" Target="https://finance.vietstock.vn/KDEF-quy-dau-tu-co-phieu-co-tuc-tang-truong-kim-kdef.htm" TargetMode="External"/><Relationship Id="rId1473" Type="http://schemas.openxmlformats.org/officeDocument/2006/relationships/hyperlink" Target="https://finance.vietstock.vn/MeeyLand-ctcp-tap-doan-meey-land.htm" TargetMode="External"/><Relationship Id="rId2012" Type="http://schemas.openxmlformats.org/officeDocument/2006/relationships/hyperlink" Target="https://finance.vietstock.vn/SCJ-ctcp-xi-mang-sai-son.htm" TargetMode="External"/><Relationship Id="rId2317" Type="http://schemas.openxmlformats.org/officeDocument/2006/relationships/hyperlink" Target="https://finance.vietstock.vn/ThepVanLoi-ctcp-thep-van-loi.htm" TargetMode="External"/><Relationship Id="rId2871" Type="http://schemas.openxmlformats.org/officeDocument/2006/relationships/hyperlink" Target="https://finance.vietstock.vn/XNKSaigontourist-ctcp-xuat-nhap-khau-saigontourist.htm" TargetMode="External"/><Relationship Id="rId843" Type="http://schemas.openxmlformats.org/officeDocument/2006/relationships/hyperlink" Target="https://finance.vietstock.vn/FUEMAV30-quy-etf-mafm-vn30.htm" TargetMode="External"/><Relationship Id="rId1126" Type="http://schemas.openxmlformats.org/officeDocument/2006/relationships/hyperlink" Target="https://finance.vietstock.vn/HSC-ctcp-hacinco.htm" TargetMode="External"/><Relationship Id="rId1680" Type="http://schemas.openxmlformats.org/officeDocument/2006/relationships/hyperlink" Target="https://finance.vietstock.vn/OGC-ctcp-tap-doan-dai-duong.htm" TargetMode="External"/><Relationship Id="rId1778" Type="http://schemas.openxmlformats.org/officeDocument/2006/relationships/hyperlink" Target="https://finance.vietstock.vn/PLA-ctcp-dau-tu-va-dich-vu-ha-tang-xang-dau.htm" TargetMode="External"/><Relationship Id="rId1985" Type="http://schemas.openxmlformats.org/officeDocument/2006/relationships/hyperlink" Target="https://finance.vietstock.vn/SAV-ctcp-hop-tac-kinh-te-va-xuat-nhap-khau-savimex.htm" TargetMode="External"/><Relationship Id="rId2524" Type="http://schemas.openxmlformats.org/officeDocument/2006/relationships/hyperlink" Target="https://finance.vietstock.vn/VASS-ctcp-bao-hiem-vien-dong.htm" TargetMode="External"/><Relationship Id="rId2731" Type="http://schemas.openxmlformats.org/officeDocument/2006/relationships/hyperlink" Target="https://finance.vietstock.vn/VNC-ctcp-tap-doan-vinacontrol.htm" TargetMode="External"/><Relationship Id="rId2829" Type="http://schemas.openxmlformats.org/officeDocument/2006/relationships/hyperlink" Target="https://finance.vietstock.vn/VXB-ctcp-vat-lieu-xay-dung-ben-tre.htm" TargetMode="External"/><Relationship Id="rId703" Type="http://schemas.openxmlformats.org/officeDocument/2006/relationships/hyperlink" Target="https://finance.vietstock.vn/DTSC-ctcp-chung-khoan-delta.htm" TargetMode="External"/><Relationship Id="rId910" Type="http://schemas.openxmlformats.org/officeDocument/2006/relationships/hyperlink" Target="https://finance.vietstock.vn/GMD-ctcp-gemadept.htm" TargetMode="External"/><Relationship Id="rId1333" Type="http://schemas.openxmlformats.org/officeDocument/2006/relationships/hyperlink" Target="https://finance.vietstock.vn/KTU-ctcp-moi-truong-do-thi-kon-tum.htm" TargetMode="External"/><Relationship Id="rId1540" Type="http://schemas.openxmlformats.org/officeDocument/2006/relationships/hyperlink" Target="https://finance.vietstock.vn/MTV-ctcp-dich-vu-moi-truong-va-cong-trinh-do-thi-vung-tau.htm" TargetMode="External"/><Relationship Id="rId1638" Type="http://schemas.openxmlformats.org/officeDocument/2006/relationships/hyperlink" Target="https://finance.vietstock.vn/NRC-ctcp-tap-doan-nrc.htm" TargetMode="External"/><Relationship Id="rId1400" Type="http://schemas.openxmlformats.org/officeDocument/2006/relationships/hyperlink" Target="https://finance.vietstock.vn/LMI-ctcp-dau-tu-xay-dung-lap-may-idico.htm" TargetMode="External"/><Relationship Id="rId1845" Type="http://schemas.openxmlformats.org/officeDocument/2006/relationships/hyperlink" Target="https://finance.vietstock.vn/PTK-ctcp-luyen-kim-phu-thinh.htm" TargetMode="External"/><Relationship Id="rId1705" Type="http://schemas.openxmlformats.org/officeDocument/2006/relationships/hyperlink" Target="https://finance.vietstock.vn/PBC-ctcp-duoc-pham-trung-uong-i-pharbaco.htm" TargetMode="External"/><Relationship Id="rId1912" Type="http://schemas.openxmlformats.org/officeDocument/2006/relationships/hyperlink" Target="https://finance.vietstock.vn/QNW-ctcp-cap-thoat-nuoc-va-xay-dung-quang-ngai.htm" TargetMode="External"/><Relationship Id="rId286" Type="http://schemas.openxmlformats.org/officeDocument/2006/relationships/hyperlink" Target="https://finance.vietstock.vn/BVH-tap-doan-bao-viet.htm" TargetMode="External"/><Relationship Id="rId493" Type="http://schemas.openxmlformats.org/officeDocument/2006/relationships/hyperlink" Target="https://finance.vietstock.vn/CTA-ctcp-vinavico.htm" TargetMode="External"/><Relationship Id="rId2174" Type="http://schemas.openxmlformats.org/officeDocument/2006/relationships/hyperlink" Target="https://finance.vietstock.vn/ST8-ctcp-tap-doan-st8.htm" TargetMode="External"/><Relationship Id="rId2381" Type="http://schemas.openxmlformats.org/officeDocument/2006/relationships/hyperlink" Target="https://finance.vietstock.vn/TMT-ctcp-o-to-tmt.htm" TargetMode="External"/><Relationship Id="rId146" Type="http://schemas.openxmlformats.org/officeDocument/2006/relationships/hyperlink" Target="https://finance.vietstock.vn/BBS-ctcp-vicem-bao-bi-but-son.htm" TargetMode="External"/><Relationship Id="rId353" Type="http://schemas.openxmlformats.org/officeDocument/2006/relationships/hyperlink" Target="https://finance.vietstock.vn/CCR-ctcp-cang-cam-ranh.htm" TargetMode="External"/><Relationship Id="rId560" Type="http://schemas.openxmlformats.org/officeDocument/2006/relationships/hyperlink" Target="https://finance.vietstock.vn/DCH-ctcp-dia-chinh-ha-noi.htm" TargetMode="External"/><Relationship Id="rId798" Type="http://schemas.openxmlformats.org/officeDocument/2006/relationships/hyperlink" Target="https://finance.vietstock.vn/FDT-ctcp-fiditour.htm" TargetMode="External"/><Relationship Id="rId1190" Type="http://schemas.openxmlformats.org/officeDocument/2006/relationships/hyperlink" Target="https://finance.vietstock.vn/ICL-ctcp-xuat-nhap-khau-vinh-long.htm" TargetMode="External"/><Relationship Id="rId2034" Type="http://schemas.openxmlformats.org/officeDocument/2006/relationships/hyperlink" Target="https://finance.vietstock.vn/SDE-ctcp-ky-thuat-dien-song-da.htm" TargetMode="External"/><Relationship Id="rId2241" Type="http://schemas.openxmlformats.org/officeDocument/2006/relationships/hyperlink" Target="https://finance.vietstock.vn/TauCuoc-ctcp-tau-cuoc.htm" TargetMode="External"/><Relationship Id="rId2479" Type="http://schemas.openxmlformats.org/officeDocument/2006/relationships/hyperlink" Target="https://finance.vietstock.vn/TVH-ctcp-tu-van-xay-dung-cong-trinh-hang-hai.htm" TargetMode="External"/><Relationship Id="rId2686" Type="http://schemas.openxmlformats.org/officeDocument/2006/relationships/hyperlink" Target="https://finance.vietstock.vn/VinhLoi-ctcp-xuat-nhap-khau-vinh-loi.htm" TargetMode="External"/><Relationship Id="rId213" Type="http://schemas.openxmlformats.org/officeDocument/2006/relationships/hyperlink" Target="https://finance.vietstock.vn/BKH-ctcp-banh-mut-keo-ha-noi.htm" TargetMode="External"/><Relationship Id="rId420" Type="http://schemas.openxmlformats.org/officeDocument/2006/relationships/hyperlink" Target="https://finance.vietstock.vn/CLM-ctcp-xuat-nhap-khau-than-vinacomin.htm" TargetMode="External"/><Relationship Id="rId658" Type="http://schemas.openxmlformats.org/officeDocument/2006/relationships/hyperlink" Target="https://finance.vietstock.vn/DoThi18-ctcp-dau-tu-ha-tang-18.htm" TargetMode="External"/><Relationship Id="rId865" Type="http://schemas.openxmlformats.org/officeDocument/2006/relationships/hyperlink" Target="https://finance.vietstock.vn/GDT-ctcp-che-bien-go-duc-thanh.htm" TargetMode="External"/><Relationship Id="rId1050" Type="http://schemas.openxmlformats.org/officeDocument/2006/relationships/hyperlink" Target="https://finance.vietstock.vn/HKC-ctcp-det-kim-ha-noi.htm" TargetMode="External"/><Relationship Id="rId1288" Type="http://schemas.openxmlformats.org/officeDocument/2006/relationships/hyperlink" Target="https://finance.vietstock.vn/Kido-ctcp-kido.htm" TargetMode="External"/><Relationship Id="rId1495" Type="http://schemas.openxmlformats.org/officeDocument/2006/relationships/hyperlink" Target="https://finance.vietstock.vn/MIG-tong-cong-ty-co-phan-bao-hiem-quan-doi.htm" TargetMode="External"/><Relationship Id="rId2101" Type="http://schemas.openxmlformats.org/officeDocument/2006/relationships/hyperlink" Target="https://finance.vietstock.vn/SJCG-cong-ty-tnhh-mtv-vang-bac-da-quy-sai-gon-sjc.htm" TargetMode="External"/><Relationship Id="rId2339" Type="http://schemas.openxmlformats.org/officeDocument/2006/relationships/hyperlink" Target="https://finance.vietstock.vn/THV-ctcp-tap-doan-thai-hoa-viet-nam.htm" TargetMode="External"/><Relationship Id="rId2546" Type="http://schemas.openxmlformats.org/officeDocument/2006/relationships/hyperlink" Target="https://finance.vietstock.vn/VCF-ctcp-vinacafe-bien-hoa.htm" TargetMode="External"/><Relationship Id="rId2753" Type="http://schemas.openxmlformats.org/officeDocument/2006/relationships/hyperlink" Target="https://finance.vietstock.vn/VNY-ctcp-thuoc-thu-y-trung-uong-i.htm" TargetMode="External"/><Relationship Id="rId518" Type="http://schemas.openxmlformats.org/officeDocument/2006/relationships/hyperlink" Target="https://finance.vietstock.vn/CVT-ctcp-cmc.htm" TargetMode="External"/><Relationship Id="rId725" Type="http://schemas.openxmlformats.org/officeDocument/2006/relationships/hyperlink" Target="https://finance.vietstock.vn/DuongSocTrang-ctcp-mia-duong-soc-trang.htm" TargetMode="External"/><Relationship Id="rId932" Type="http://schemas.openxmlformats.org/officeDocument/2006/relationships/hyperlink" Target="https://finance.vietstock.vn/H22-ctcp-dau-tu-va-phat-trien-nha-ha-noi-22.htm" TargetMode="External"/><Relationship Id="rId1148" Type="http://schemas.openxmlformats.org/officeDocument/2006/relationships/hyperlink" Target="https://finance.vietstock.vn/HTR-ctcp-duong-sat-ha-thai.htm" TargetMode="External"/><Relationship Id="rId1355" Type="http://schemas.openxmlformats.org/officeDocument/2006/relationships/hyperlink" Target="https://finance.vietstock.vn/Lanmak-ctcp-dau-tu-xay-dung-bat-dong-san-lanmak.htm" TargetMode="External"/><Relationship Id="rId1562" Type="http://schemas.openxmlformats.org/officeDocument/2006/relationships/hyperlink" Target="https://finance.vietstock.vn/NamTrieu-ctcp-cong-nghiep-tau-thuy-va-xay-dung-nam-trieu.htm" TargetMode="External"/><Relationship Id="rId2406" Type="http://schemas.openxmlformats.org/officeDocument/2006/relationships/hyperlink" Target="https://finance.vietstock.vn/TOW-ctcp-cap-nuoc-tra-noc-o-mon.htm" TargetMode="External"/><Relationship Id="rId2613" Type="http://schemas.openxmlformats.org/officeDocument/2006/relationships/hyperlink" Target="https://finance.vietstock.vn/VIA-ctcp-vian.htm" TargetMode="External"/><Relationship Id="rId1008" Type="http://schemas.openxmlformats.org/officeDocument/2006/relationships/hyperlink" Target="https://finance.vietstock.vn/HEC-ctcp-tu-van-xay-dung-thuy-loi-ii.htm" TargetMode="External"/><Relationship Id="rId1215" Type="http://schemas.openxmlformats.org/officeDocument/2006/relationships/hyperlink" Target="https://finance.vietstock.vn/IMP-ctcp-duoc-pham-imexpharm.htm" TargetMode="External"/><Relationship Id="rId1422" Type="http://schemas.openxmlformats.org/officeDocument/2006/relationships/hyperlink" Target="https://finance.vietstock.vn/LYF-ctcp-luong-thuc-luong-yen.htm" TargetMode="External"/><Relationship Id="rId1867" Type="http://schemas.openxmlformats.org/officeDocument/2006/relationships/hyperlink" Target="https://finance.vietstock.vn/PVH-ctcp-xay-lap-dau-khi-thanh-hoa.htm" TargetMode="External"/><Relationship Id="rId2820" Type="http://schemas.openxmlformats.org/officeDocument/2006/relationships/hyperlink" Target="https://finance.vietstock.vn/VUA-ctcp-chung-khoan-stanley-brothers.htm" TargetMode="External"/><Relationship Id="rId61" Type="http://schemas.openxmlformats.org/officeDocument/2006/relationships/hyperlink" Target="https://finance.vietstock.vn/AITS-ctcp-tin-hoc-vien-thong-hang-khong.htm" TargetMode="External"/><Relationship Id="rId1727" Type="http://schemas.openxmlformats.org/officeDocument/2006/relationships/hyperlink" Target="https://finance.vietstock.vn/PEG-tong-cong-ty-thuong-mai-ky-thuat-va-dau-tu-ctcp.htm" TargetMode="External"/><Relationship Id="rId1934" Type="http://schemas.openxmlformats.org/officeDocument/2006/relationships/hyperlink" Target="https://finance.vietstock.vn/RESCO8-ctcp-dia-oc-8.htm" TargetMode="External"/><Relationship Id="rId19" Type="http://schemas.openxmlformats.org/officeDocument/2006/relationships/hyperlink" Target="https://finance.vietstock.vn/ABW-ctcp-chung-khoan-an-binh.htm" TargetMode="External"/><Relationship Id="rId2196" Type="http://schemas.openxmlformats.org/officeDocument/2006/relationships/hyperlink" Target="https://finance.vietstock.vn/SVC-ctcp-dich-vu-tong-hop-sai-gon.htm" TargetMode="External"/><Relationship Id="rId168" Type="http://schemas.openxmlformats.org/officeDocument/2006/relationships/hyperlink" Target="https://finance.vietstock.vn/BDT-ctcp-xay-lap-va-vat-lieu-xay-dung-dong-thap.htm" TargetMode="External"/><Relationship Id="rId375" Type="http://schemas.openxmlformats.org/officeDocument/2006/relationships/hyperlink" Target="https://finance.vietstock.vn/CFV-ctcp-ca-phe-thang-loi.htm" TargetMode="External"/><Relationship Id="rId582" Type="http://schemas.openxmlformats.org/officeDocument/2006/relationships/hyperlink" Target="https://finance.vietstock.vn/DFS-ctcp-che-bien-xuat-nhap-khau-nong-san-thuc-pham-dong-nai.htm" TargetMode="External"/><Relationship Id="rId2056" Type="http://schemas.openxmlformats.org/officeDocument/2006/relationships/hyperlink" Target="https://finance.vietstock.vn/SFC-ctcp-nhien-lieu-sai-gon.htm" TargetMode="External"/><Relationship Id="rId2263" Type="http://schemas.openxmlformats.org/officeDocument/2006/relationships/hyperlink" Target="https://finance.vietstock.vn/TCK-tong-cong-ty-co-khi-xay-dung-ctcp.htm" TargetMode="External"/><Relationship Id="rId2470" Type="http://schemas.openxmlformats.org/officeDocument/2006/relationships/hyperlink" Target="https://finance.vietstock.vn/TV4-ctcp-tu-van-xay-dung-dien-4.htm" TargetMode="External"/><Relationship Id="rId3" Type="http://schemas.openxmlformats.org/officeDocument/2006/relationships/hyperlink" Target="https://finance.vietstock.vn/A32-ctcp-32.htm" TargetMode="External"/><Relationship Id="rId235" Type="http://schemas.openxmlformats.org/officeDocument/2006/relationships/hyperlink" Target="https://finance.vietstock.vn/BNC-ctcp-dich-vu-cap-treo-ba-na.htm" TargetMode="External"/><Relationship Id="rId442" Type="http://schemas.openxmlformats.org/officeDocument/2006/relationships/hyperlink" Target="https://finance.vietstock.vn/CNH-ctcp-cang-nha-trang.htm" TargetMode="External"/><Relationship Id="rId887" Type="http://schemas.openxmlformats.org/officeDocument/2006/relationships/hyperlink" Target="https://finance.vietstock.vn/GiaDinhCo-ctcp-dau-tu-phat-trien-gia-dinh.htm" TargetMode="External"/><Relationship Id="rId1072" Type="http://schemas.openxmlformats.org/officeDocument/2006/relationships/hyperlink" Target="https://finance.vietstock.vn/HNB-ctcp-ben-xe-ha-noi.htm" TargetMode="External"/><Relationship Id="rId2123" Type="http://schemas.openxmlformats.org/officeDocument/2006/relationships/hyperlink" Target="https://finance.vietstock.vn/SMVC-ctcp-seoul-metal-viet-nam.htm" TargetMode="External"/><Relationship Id="rId2330" Type="http://schemas.openxmlformats.org/officeDocument/2006/relationships/hyperlink" Target="https://finance.vietstock.vn/ThongTinEIS-ctcp-cong-nghe-thong-tin-eis.htm" TargetMode="External"/><Relationship Id="rId2568" Type="http://schemas.openxmlformats.org/officeDocument/2006/relationships/hyperlink" Target="https://finance.vietstock.vn/VDP-ctcp-duoc-pham-trung-uong-vidipha.htm" TargetMode="External"/><Relationship Id="rId2775" Type="http://schemas.openxmlformats.org/officeDocument/2006/relationships/hyperlink" Target="https://finance.vietstock.vn/VRG-ctcp-phat-trien-do-thi-va-khu-cong-nghiep-cao-su-viet-nam.htm" TargetMode="External"/><Relationship Id="rId302" Type="http://schemas.openxmlformats.org/officeDocument/2006/relationships/hyperlink" Target="https://finance.vietstock.vn/C47-ctcp-xay-dung-47.htm" TargetMode="External"/><Relationship Id="rId747" Type="http://schemas.openxmlformats.org/officeDocument/2006/relationships/hyperlink" Target="https://finance.vietstock.vn/DXV-ctcp-vicem-vat-lieu-xay-dung-da-nang.htm" TargetMode="External"/><Relationship Id="rId954" Type="http://schemas.openxmlformats.org/officeDocument/2006/relationships/hyperlink" Target="https://finance.vietstock.vn/HaNamNinh-ctcp-luong-thuc-ha-nam-ninh.htm" TargetMode="External"/><Relationship Id="rId1377" Type="http://schemas.openxmlformats.org/officeDocument/2006/relationships/hyperlink" Target="https://finance.vietstock.vn/LGM-ctcp-giay-da-va-may-mac-xuat-khau.htm" TargetMode="External"/><Relationship Id="rId1584" Type="http://schemas.openxmlformats.org/officeDocument/2006/relationships/hyperlink" Target="https://finance.vietstock.vn/NDF-ctcp-che-bien-thuc-pham-nong-san-xuat-khau-nam-dinh.htm" TargetMode="External"/><Relationship Id="rId1791" Type="http://schemas.openxmlformats.org/officeDocument/2006/relationships/hyperlink" Target="https://finance.vietstock.vn/PMP-ctcp-bao-bi-dam-phu-my.htm" TargetMode="External"/><Relationship Id="rId2428" Type="http://schemas.openxmlformats.org/officeDocument/2006/relationships/hyperlink" Target="https://finance.vietstock.vn/TRS-ctcp-van-tai-va-dich-vu-hang-hai.htm" TargetMode="External"/><Relationship Id="rId2635" Type="http://schemas.openxmlformats.org/officeDocument/2006/relationships/hyperlink" Target="https://finance.vietstock.vn/VietSangTao-ctcp-viet-sang-tao.htm" TargetMode="External"/><Relationship Id="rId2842" Type="http://schemas.openxmlformats.org/officeDocument/2006/relationships/hyperlink" Target="https://finance.vietstock.vn/XayDung14-ctcp-xay-dung-so-14.htm" TargetMode="External"/><Relationship Id="rId83" Type="http://schemas.openxmlformats.org/officeDocument/2006/relationships/hyperlink" Target="https://finance.vietstock.vn/APF-ctcp-nong-san-thuc-pham-quang-ngai.htm" TargetMode="External"/><Relationship Id="rId607" Type="http://schemas.openxmlformats.org/officeDocument/2006/relationships/hyperlink" Target="https://finance.vietstock.vn/DKC-ctcp-cho-lang-son.htm" TargetMode="External"/><Relationship Id="rId814" Type="http://schemas.openxmlformats.org/officeDocument/2006/relationships/hyperlink" Target="https://finance.vietstock.vn/Formach-ctcp-formach.htm" TargetMode="External"/><Relationship Id="rId1237" Type="http://schemas.openxmlformats.org/officeDocument/2006/relationships/hyperlink" Target="https://finance.vietstock.vn/IPH-ctcp-in-va-phat-hanh-bieu-mau-thong-ke.htm" TargetMode="External"/><Relationship Id="rId1444" Type="http://schemas.openxmlformats.org/officeDocument/2006/relationships/hyperlink" Target="https://finance.vietstock.vn/MBVF-quy-dau-tu-gia-tri-mb-capital.htm" TargetMode="External"/><Relationship Id="rId1651" Type="http://schemas.openxmlformats.org/officeDocument/2006/relationships/hyperlink" Target="https://finance.vietstock.vn/NT2-ctcp-dien-luc-dau-khi-nhon-trach-2.htm" TargetMode="External"/><Relationship Id="rId1889" Type="http://schemas.openxmlformats.org/officeDocument/2006/relationships/hyperlink" Target="https://finance.vietstock.vn/PXC-ctcp-phat-trien-do-thi-dau-khi.htm" TargetMode="External"/><Relationship Id="rId2702" Type="http://schemas.openxmlformats.org/officeDocument/2006/relationships/hyperlink" Target="https://finance.vietstock.vn/Viwaseen1-ctcp-xay-dung-cap-thoat-nuoc-so-1.htm" TargetMode="External"/><Relationship Id="rId1304" Type="http://schemas.openxmlformats.org/officeDocument/2006/relationships/hyperlink" Target="https://finance.vietstock.vn/KKC-ctcp-tap-doan-thanh-thai.htm" TargetMode="External"/><Relationship Id="rId1511" Type="http://schemas.openxmlformats.org/officeDocument/2006/relationships/hyperlink" Target="https://finance.vietstock.vn/MNB-tong-cong-ty-may-nha-be-ctcp.htm" TargetMode="External"/><Relationship Id="rId1749" Type="http://schemas.openxmlformats.org/officeDocument/2006/relationships/hyperlink" Target="https://finance.vietstock.vn/PHH-ctcp-hong-ha-viet-nam.htm" TargetMode="External"/><Relationship Id="rId1956" Type="http://schemas.openxmlformats.org/officeDocument/2006/relationships/hyperlink" Target="https://finance.vietstock.vn/S96-ctcp-song-da-9-06.htm" TargetMode="External"/><Relationship Id="rId1609" Type="http://schemas.openxmlformats.org/officeDocument/2006/relationships/hyperlink" Target="https://finance.vietstock.vn/NHS-ctcp-duong-ninh-hoa.htm" TargetMode="External"/><Relationship Id="rId1816" Type="http://schemas.openxmlformats.org/officeDocument/2006/relationships/hyperlink" Target="https://finance.vietstock.vn/PPT-ctcp-petro-times.htm" TargetMode="External"/><Relationship Id="rId10" Type="http://schemas.openxmlformats.org/officeDocument/2006/relationships/hyperlink" Target="https://finance.vietstock.vn/AAUS-ctcp-chung-khoan-a-au.htm" TargetMode="External"/><Relationship Id="rId397" Type="http://schemas.openxmlformats.org/officeDocument/2006/relationships/hyperlink" Target="https://finance.vietstock.vn/CIENCO503-ctcp-xay-dung-giao-thong-503.htm" TargetMode="External"/><Relationship Id="rId2078" Type="http://schemas.openxmlformats.org/officeDocument/2006/relationships/hyperlink" Target="https://finance.vietstock.vn/SHB-ngan-hang-tmcp-sai-gon-ha-noi.htm" TargetMode="External"/><Relationship Id="rId2285" Type="http://schemas.openxmlformats.org/officeDocument/2006/relationships/hyperlink" Target="https://finance.vietstock.vn/TDW-ctcp-cap-nuoc-thu-duc.htm" TargetMode="External"/><Relationship Id="rId2492" Type="http://schemas.openxmlformats.org/officeDocument/2006/relationships/hyperlink" Target="https://finance.vietstock.vn/UAMC-ctcp-co-khi-oto-uong-bi.htm" TargetMode="External"/><Relationship Id="rId257" Type="http://schemas.openxmlformats.org/officeDocument/2006/relationships/hyperlink" Target="https://finance.vietstock.vn/BSQ-ctcp-bia-sai-gon-quang-ngai.htm" TargetMode="External"/><Relationship Id="rId464" Type="http://schemas.openxmlformats.org/officeDocument/2006/relationships/hyperlink" Target="https://finance.vietstock.vn/Coresco-ctcp-dau-tu-xay-dung-kinh-doanh-nha-ben-thanh.htm" TargetMode="External"/><Relationship Id="rId1094" Type="http://schemas.openxmlformats.org/officeDocument/2006/relationships/hyperlink" Target="https://finance.vietstock.vn/Honeyboy-ctcp-honeyboy.htm" TargetMode="External"/><Relationship Id="rId2145" Type="http://schemas.openxmlformats.org/officeDocument/2006/relationships/hyperlink" Target="https://finance.vietstock.vn/SPA-ctcp-bao-bi-sai-gon.htm" TargetMode="External"/><Relationship Id="rId2797" Type="http://schemas.openxmlformats.org/officeDocument/2006/relationships/hyperlink" Target="https://finance.vietstock.vn/VTCOnline-ctcp-vtc-truyen-thong-truc-tuyen.htm" TargetMode="External"/><Relationship Id="rId117" Type="http://schemas.openxmlformats.org/officeDocument/2006/relationships/hyperlink" Target="https://finance.vietstock.vn/Auto15-ctcp-o-to-1-5.htm" TargetMode="External"/><Relationship Id="rId671" Type="http://schemas.openxmlformats.org/officeDocument/2006/relationships/hyperlink" Target="https://finance.vietstock.vn/DRC-ctcp-cao-su-da-nang.htm" TargetMode="External"/><Relationship Id="rId769" Type="http://schemas.openxmlformats.org/officeDocument/2006/relationships/hyperlink" Target="https://finance.vietstock.vn/EME-ctcp-dien-co.htm" TargetMode="External"/><Relationship Id="rId976" Type="http://schemas.openxmlformats.org/officeDocument/2006/relationships/hyperlink" Target="https://finance.vietstock.vn/HBD-ctcp-bao-bi-pp-binh-duong.htm" TargetMode="External"/><Relationship Id="rId1399" Type="http://schemas.openxmlformats.org/officeDocument/2006/relationships/hyperlink" Target="https://finance.vietstock.vn/LMH-ctcp-quoc-te-holding.htm" TargetMode="External"/><Relationship Id="rId2352" Type="http://schemas.openxmlformats.org/officeDocument/2006/relationships/hyperlink" Target="https://finance.vietstock.vn/TIX-ctcp-san-xuat-kinh-doanh-xuat-nhap-khau-dich-vu-va-dau-tu-tan-binh.htm" TargetMode="External"/><Relationship Id="rId2657" Type="http://schemas.openxmlformats.org/officeDocument/2006/relationships/hyperlink" Target="https://finance.vietstock.vn/Vinabico-ctcp-banh-keo-vinabico.htm" TargetMode="External"/><Relationship Id="rId324" Type="http://schemas.openxmlformats.org/officeDocument/2006/relationships/hyperlink" Target="https://finance.vietstock.vn/Caric-ctcp-caric.htm" TargetMode="External"/><Relationship Id="rId531" Type="http://schemas.openxmlformats.org/officeDocument/2006/relationships/hyperlink" Target="https://finance.vietstock.vn/DAE-ctcp-sach-giao-duc-tai-thanh-pho-da-nang.htm" TargetMode="External"/><Relationship Id="rId629" Type="http://schemas.openxmlformats.org/officeDocument/2006/relationships/hyperlink" Target="https://finance.vietstock.vn/DNA-ctcp-dien-nuoc-an-giang.htm" TargetMode="External"/><Relationship Id="rId1161" Type="http://schemas.openxmlformats.org/officeDocument/2006/relationships/hyperlink" Target="https://finance.vietstock.vn/Humic-ctcp-phan-huu-co-humic-quang-ngai.htm" TargetMode="External"/><Relationship Id="rId1259" Type="http://schemas.openxmlformats.org/officeDocument/2006/relationships/hyperlink" Target="https://finance.vietstock.vn/KBC-tong-cong-ty-phat-trien-do-thi-kinh-bac-ctcp.htm" TargetMode="External"/><Relationship Id="rId1466" Type="http://schemas.openxmlformats.org/officeDocument/2006/relationships/hyperlink" Target="https://finance.vietstock.vn/MDT-ctcp-co-khi-mo-va-dong-tau-tkv.htm" TargetMode="External"/><Relationship Id="rId2005" Type="http://schemas.openxmlformats.org/officeDocument/2006/relationships/hyperlink" Target="https://finance.vietstock.vn/SCC-ctcp-thuong-mai-dau-tu-shb.htm" TargetMode="External"/><Relationship Id="rId2212" Type="http://schemas.openxmlformats.org/officeDocument/2006/relationships/hyperlink" Target="https://finance.vietstock.vn/T12-ctcp-thuong-mai-dich-vu-trang-thi.htm" TargetMode="External"/><Relationship Id="rId2864" Type="http://schemas.openxmlformats.org/officeDocument/2006/relationships/hyperlink" Target="https://finance.vietstock.vn/XMC-ctcp-dau-tu-va-xay-dung-xuan-mai.htm" TargetMode="External"/><Relationship Id="rId836" Type="http://schemas.openxmlformats.org/officeDocument/2006/relationships/hyperlink" Target="https://finance.vietstock.vn/FUEBFVND-chung-chi-quy-etf-bvfvn-diamond.htm" TargetMode="External"/><Relationship Id="rId1021" Type="http://schemas.openxmlformats.org/officeDocument/2006/relationships/hyperlink" Target="https://finance.vietstock.vn/HGC-trung-tam-quy-hoach-kien-truc-tinh-hau-giang.htm" TargetMode="External"/><Relationship Id="rId1119" Type="http://schemas.openxmlformats.org/officeDocument/2006/relationships/hyperlink" Target="https://finance.vietstock.vn/HQC-ctcp-tu-van-thuong-mai-dich-vu-dia-oc-hoang-quan.htm" TargetMode="External"/><Relationship Id="rId1673" Type="http://schemas.openxmlformats.org/officeDocument/2006/relationships/hyperlink" Target="https://finance.vietstock.vn/NWT-ctcp-van-tai-newway.htm" TargetMode="External"/><Relationship Id="rId1880" Type="http://schemas.openxmlformats.org/officeDocument/2006/relationships/hyperlink" Target="https://finance.vietstock.vn/PVT-tong-cong-ty-co-phan-van-tai-dau-khi.htm" TargetMode="External"/><Relationship Id="rId1978" Type="http://schemas.openxmlformats.org/officeDocument/2006/relationships/hyperlink" Target="https://finance.vietstock.vn/SaiGonXanh-ctcp-dau-tu-phat-trien-dia-oc-sai-gon-xanh.htm" TargetMode="External"/><Relationship Id="rId2517" Type="http://schemas.openxmlformats.org/officeDocument/2006/relationships/hyperlink" Target="https://finance.vietstock.vn/VAF-ctcp-phan-lan-nung-chay-van-dien.htm" TargetMode="External"/><Relationship Id="rId2724" Type="http://schemas.openxmlformats.org/officeDocument/2006/relationships/hyperlink" Target="https://finance.vietstock.vn/VMG-ctcp-thuong-mai-va-dich-vu-dau-khi-vung-tau.htm" TargetMode="External"/><Relationship Id="rId903" Type="http://schemas.openxmlformats.org/officeDocument/2006/relationships/hyperlink" Target="https://finance.vietstock.vn/GLC-ctcp-vang-lao-cai.htm" TargetMode="External"/><Relationship Id="rId1326" Type="http://schemas.openxmlformats.org/officeDocument/2006/relationships/hyperlink" Target="https://finance.vietstock.vn/KSV-tong-cong-ty-khoang-san-tkv-ctcp.htm" TargetMode="External"/><Relationship Id="rId1533" Type="http://schemas.openxmlformats.org/officeDocument/2006/relationships/hyperlink" Target="https://finance.vietstock.vn/MTG-ctcp-mt-gas.htm" TargetMode="External"/><Relationship Id="rId1740" Type="http://schemas.openxmlformats.org/officeDocument/2006/relationships/hyperlink" Target="https://finance.vietstock.vn/PGI-tong-cong-ty-co-phan-bao-hiem-petrolimex.htm" TargetMode="External"/><Relationship Id="rId32" Type="http://schemas.openxmlformats.org/officeDocument/2006/relationships/hyperlink" Target="https://finance.vietstock.vn/ACS-ctcp-xay-lap-thuong-mai-2.htm" TargetMode="External"/><Relationship Id="rId1600" Type="http://schemas.openxmlformats.org/officeDocument/2006/relationships/hyperlink" Target="https://finance.vietstock.vn/NhanLuc-ctcp-phat-trien-nguon-nhan-luc-lod.htm" TargetMode="External"/><Relationship Id="rId1838" Type="http://schemas.openxmlformats.org/officeDocument/2006/relationships/hyperlink" Target="https://finance.vietstock.vn/PTD-ctcp-thiet-ke-xay-dung-thuong-mai-phuc-thinh.htm" TargetMode="External"/><Relationship Id="rId181" Type="http://schemas.openxmlformats.org/officeDocument/2006/relationships/hyperlink" Target="https://finance.vietstock.vn/BGW-ctcp-nuoc-sach-bac-giang.htm" TargetMode="External"/><Relationship Id="rId1905" Type="http://schemas.openxmlformats.org/officeDocument/2006/relationships/hyperlink" Target="https://finance.vietstock.vn/QLT-ctcp-quan-ly-bao-tri-duong-thuy-noi-dia-so-10.htm" TargetMode="External"/><Relationship Id="rId279" Type="http://schemas.openxmlformats.org/officeDocument/2006/relationships/hyperlink" Target="https://finance.vietstock.vn/BUD-ctcp-khoa-hoc-cong-nghe-viet-nam.htm" TargetMode="External"/><Relationship Id="rId486" Type="http://schemas.openxmlformats.org/officeDocument/2006/relationships/hyperlink" Target="https://finance.vietstock.vn/CSM-ctcp-cong-nghiep-cao-su-mien-nam.htm" TargetMode="External"/><Relationship Id="rId693" Type="http://schemas.openxmlformats.org/officeDocument/2006/relationships/hyperlink" Target="https://finance.vietstock.vn/DTE-ctcp-dau-tu-nang-luong-dai-truong-thanh-holdings.htm" TargetMode="External"/><Relationship Id="rId2167" Type="http://schemas.openxmlformats.org/officeDocument/2006/relationships/hyperlink" Target="https://finance.vietstock.vn/SSI-ctcp-chung-khoan-ssi.htm" TargetMode="External"/><Relationship Id="rId2374" Type="http://schemas.openxmlformats.org/officeDocument/2006/relationships/hyperlink" Target="https://finance.vietstock.vn/TMG-ctcp-kim-loai-mau-thai-nguyen-vimico.htm" TargetMode="External"/><Relationship Id="rId2581" Type="http://schemas.openxmlformats.org/officeDocument/2006/relationships/hyperlink" Target="https://finance.vietstock.vn/VEE-ctcp-thiet-bi-dien-cam-pha.htm" TargetMode="External"/><Relationship Id="rId139" Type="http://schemas.openxmlformats.org/officeDocument/2006/relationships/hyperlink" Target="https://finance.vietstock.vn/BaSon-tong-cong-ty-ba-son.htm" TargetMode="External"/><Relationship Id="rId346" Type="http://schemas.openxmlformats.org/officeDocument/2006/relationships/hyperlink" Target="https://finance.vietstock.vn/CCC-ctcp-xay-dung-cdc.htm" TargetMode="External"/><Relationship Id="rId553" Type="http://schemas.openxmlformats.org/officeDocument/2006/relationships/hyperlink" Target="https://finance.vietstock.vn/DBW-ctcp-cap-nuoc-dien-bien.htm" TargetMode="External"/><Relationship Id="rId760" Type="http://schemas.openxmlformats.org/officeDocument/2006/relationships/hyperlink" Target="https://finance.vietstock.vn/EFI-ctcp-dau-tu-tai-chinh-giao-duc.htm" TargetMode="External"/><Relationship Id="rId998" Type="http://schemas.openxmlformats.org/officeDocument/2006/relationships/hyperlink" Target="https://finance.vietstock.vn/HDC-ctcp-phat-trien-nha-ba-ria-vung-tau.htm" TargetMode="External"/><Relationship Id="rId1183" Type="http://schemas.openxmlformats.org/officeDocument/2006/relationships/hyperlink" Target="https://finance.vietstock.vn/IBFM-ctcp-quan-ly-quy-dau-tu-do.htm" TargetMode="External"/><Relationship Id="rId1390" Type="http://schemas.openxmlformats.org/officeDocument/2006/relationships/hyperlink" Target="https://finance.vietstock.vn/LilamaPhaLai-ctcp-lilama-69-1-pha-lai.htm" TargetMode="External"/><Relationship Id="rId2027" Type="http://schemas.openxmlformats.org/officeDocument/2006/relationships/hyperlink" Target="https://finance.vietstock.vn/SD8-ctcp-song-da-8.htm" TargetMode="External"/><Relationship Id="rId2234" Type="http://schemas.openxmlformats.org/officeDocument/2006/relationships/hyperlink" Target="https://finance.vietstock.vn/TAPIOCA-ctcp-khoai-mi-nuoc-trong.htm" TargetMode="External"/><Relationship Id="rId2441" Type="http://schemas.openxmlformats.org/officeDocument/2006/relationships/hyperlink" Target="https://finance.vietstock.vn/TSG-ctcp-thong-tin-tin-hieu-duong-sat-sai-gon.htm" TargetMode="External"/><Relationship Id="rId2679" Type="http://schemas.openxmlformats.org/officeDocument/2006/relationships/hyperlink" Target="https://finance.vietstock.vn/VinaWealth-ctcp-quan-ly-quy-vinacapital.htm" TargetMode="External"/><Relationship Id="rId2886" Type="http://schemas.openxmlformats.org/officeDocument/2006/relationships/table" Target="../tables/table1.xml"/><Relationship Id="rId206" Type="http://schemas.openxmlformats.org/officeDocument/2006/relationships/hyperlink" Target="https://finance.vietstock.vn/BinhTriThien-ctcp-luong-thuc-binh-tri-thien.htm" TargetMode="External"/><Relationship Id="rId413" Type="http://schemas.openxmlformats.org/officeDocument/2006/relationships/hyperlink" Target="https://finance.vietstock.vn/CKI-ctcp-co-khi-nganh-in.htm" TargetMode="External"/><Relationship Id="rId858" Type="http://schemas.openxmlformats.org/officeDocument/2006/relationships/hyperlink" Target="https://finance.vietstock.vn/GBS-ctcp-chung-khoan-golden-bridge-viet-nam.htm" TargetMode="External"/><Relationship Id="rId1043" Type="http://schemas.openxmlformats.org/officeDocument/2006/relationships/hyperlink" Target="https://finance.vietstock.vn/HimLam-ctcp-him-lam.htm" TargetMode="External"/><Relationship Id="rId1488" Type="http://schemas.openxmlformats.org/officeDocument/2006/relationships/hyperlink" Target="https://finance.vietstock.vn/MHY-ctcp-moi-truong-va-cong-trinh-do-thi-hung-yen.htm" TargetMode="External"/><Relationship Id="rId1695" Type="http://schemas.openxmlformats.org/officeDocument/2006/relationships/hyperlink" Target="https://finance.vietstock.vn/PAC-ctcp-pin-ac-quy-mien-nam.htm" TargetMode="External"/><Relationship Id="rId2539" Type="http://schemas.openxmlformats.org/officeDocument/2006/relationships/hyperlink" Target="https://finance.vietstock.vn/VCAMBF-quy-dau-tu-can-bang-ban-viet.htm" TargetMode="External"/><Relationship Id="rId2746" Type="http://schemas.openxmlformats.org/officeDocument/2006/relationships/hyperlink" Target="https://finance.vietstock.vn/VNPAY-ctcp-giai-phap-thanh-toan-viet-nam.htm" TargetMode="External"/><Relationship Id="rId620" Type="http://schemas.openxmlformats.org/officeDocument/2006/relationships/hyperlink" Target="https://finance.vietstock.vn/DLV-ctcp-du-lich-viet-nam-vitours.htm" TargetMode="External"/><Relationship Id="rId718" Type="http://schemas.openxmlformats.org/officeDocument/2006/relationships/hyperlink" Target="https://finance.vietstock.vn/DuocPham32-ctcp-duoc-pham-3-2.htm" TargetMode="External"/><Relationship Id="rId925" Type="http://schemas.openxmlformats.org/officeDocument/2006/relationships/hyperlink" Target="https://finance.vietstock.vn/GTH-ctcp-xay-dung-giao-thong-thua-thien-hue.htm" TargetMode="External"/><Relationship Id="rId1250" Type="http://schemas.openxmlformats.org/officeDocument/2006/relationships/hyperlink" Target="https://finance.vietstock.vn/JBC5-ctcp-vat-lieu-xay-dung-va-xay-lap-so-5.htm" TargetMode="External"/><Relationship Id="rId1348" Type="http://schemas.openxmlformats.org/officeDocument/2006/relationships/hyperlink" Target="https://finance.vietstock.vn/L63-ctcp-lilama-69-3.htm" TargetMode="External"/><Relationship Id="rId1555" Type="http://schemas.openxmlformats.org/officeDocument/2006/relationships/hyperlink" Target="https://finance.vietstock.vn/NAG-ctcp-tap-doan-nagakawa.htm" TargetMode="External"/><Relationship Id="rId1762" Type="http://schemas.openxmlformats.org/officeDocument/2006/relationships/hyperlink" Target="https://finance.vietstock.vn/PhuQuoc-ctcp-du-lich-phu-quoc.htm" TargetMode="External"/><Relationship Id="rId2301" Type="http://schemas.openxmlformats.org/officeDocument/2006/relationships/hyperlink" Target="https://finance.vietstock.vn/ThangLong9-ctcp-xay-dung-so-9-thang-long.htm" TargetMode="External"/><Relationship Id="rId2606" Type="http://schemas.openxmlformats.org/officeDocument/2006/relationships/hyperlink" Target="https://finance.vietstock.vn/VHE-ctcp-duoc-lieu-va-thuc-pham-viet-nam.htm" TargetMode="External"/><Relationship Id="rId1110" Type="http://schemas.openxmlformats.org/officeDocument/2006/relationships/hyperlink" Target="https://finance.vietstock.vn/HPM-ctcp-xay-dung-thuong-mai-va-khoang-san-hoang-phuc.htm" TargetMode="External"/><Relationship Id="rId1208" Type="http://schemas.openxmlformats.org/officeDocument/2006/relationships/hyperlink" Target="https://finance.vietstock.vn/IKH-ctcp-in-khoa-hoc-ky-thuat.htm" TargetMode="External"/><Relationship Id="rId1415" Type="http://schemas.openxmlformats.org/officeDocument/2006/relationships/hyperlink" Target="https://finance.vietstock.vn/LungLo-tong-cong-ty-xay-dung-lung-lo.htm" TargetMode="External"/><Relationship Id="rId2813" Type="http://schemas.openxmlformats.org/officeDocument/2006/relationships/hyperlink" Target="https://finance.vietstock.vn/VTS-ctcp-gach-ngoi-tu-son.htm" TargetMode="External"/><Relationship Id="rId54" Type="http://schemas.openxmlformats.org/officeDocument/2006/relationships/hyperlink" Target="https://finance.vietstock.vn/AGROMAS-ctcp-co-dien-nong-nghiep-va-thuy-loi-ii.htm" TargetMode="External"/><Relationship Id="rId1622" Type="http://schemas.openxmlformats.org/officeDocument/2006/relationships/hyperlink" Target="https://finance.vietstock.vn/NMK-ctcp-xay-dung-cong-trinh-510.htm" TargetMode="External"/><Relationship Id="rId1927" Type="http://schemas.openxmlformats.org/officeDocument/2006/relationships/hyperlink" Target="https://finance.vietstock.vn/RCL-ctcp-dia-oc-cho-lon.htm" TargetMode="External"/><Relationship Id="rId2091" Type="http://schemas.openxmlformats.org/officeDocument/2006/relationships/hyperlink" Target="https://finance.vietstock.vn/SHX-ctcp-sai-gon-hoa-xa.htm" TargetMode="External"/><Relationship Id="rId2189" Type="http://schemas.openxmlformats.org/officeDocument/2006/relationships/hyperlink" Target="https://finance.vietstock.vn/STV-ctcp-che-tac-da-viet-nam.htm" TargetMode="External"/><Relationship Id="rId270" Type="http://schemas.openxmlformats.org/officeDocument/2006/relationships/hyperlink" Target="https://finance.vietstock.vn/BTN-ctcp-dau-tu-bitco-binh-dinh.htm" TargetMode="External"/><Relationship Id="rId2396" Type="http://schemas.openxmlformats.org/officeDocument/2006/relationships/hyperlink" Target="https://finance.vietstock.vn/TNV-ctcp-thong-nhat-ha-noi.htm" TargetMode="External"/><Relationship Id="rId130" Type="http://schemas.openxmlformats.org/officeDocument/2006/relationships/hyperlink" Target="https://finance.vietstock.vn/BAL-ctcp-bao-bi-bia-ruou-nuoc-giai-khat.htm" TargetMode="External"/><Relationship Id="rId368" Type="http://schemas.openxmlformats.org/officeDocument/2006/relationships/hyperlink" Target="https://finance.vietstock.vn/CemacoHanoi-ctcp-hoa-chat-va-vat-tu-khoa-hoc-ky-thuat.htm" TargetMode="External"/><Relationship Id="rId575" Type="http://schemas.openxmlformats.org/officeDocument/2006/relationships/hyperlink" Target="https://finance.vietstock.vn/DeltaCorp-ctcp-dau-tu-chau-tho.htm" TargetMode="External"/><Relationship Id="rId782" Type="http://schemas.openxmlformats.org/officeDocument/2006/relationships/hyperlink" Target="https://finance.vietstock.vn/EVNHCMC-tong-cong-ty-dien-luc-thanh-pho-ho-chi-minh.htm" TargetMode="External"/><Relationship Id="rId2049" Type="http://schemas.openxmlformats.org/officeDocument/2006/relationships/hyperlink" Target="https://finance.vietstock.vn/SEA-tong-cong-ty-thuy-san-viet-nam-ctcp.htm" TargetMode="External"/><Relationship Id="rId2256" Type="http://schemas.openxmlformats.org/officeDocument/2006/relationships/hyperlink" Target="https://finance.vietstock.vn/TCAM-cong-ty-tnhh-quan-ly-quy-thanh-cong.htm" TargetMode="External"/><Relationship Id="rId2463" Type="http://schemas.openxmlformats.org/officeDocument/2006/relationships/hyperlink" Target="https://finance.vietstock.vn/TTV-ctcp-thong-tin-tin-hieu-duong-sat-vinh.htm" TargetMode="External"/><Relationship Id="rId2670" Type="http://schemas.openxmlformats.org/officeDocument/2006/relationships/hyperlink" Target="https://finance.vietstock.vn/VINAMOTOR-tong-cong-ty-cong-nghiep-o-to-viet-nam-ctcp.htm" TargetMode="External"/><Relationship Id="rId228" Type="http://schemas.openxmlformats.org/officeDocument/2006/relationships/hyperlink" Target="https://finance.vietstock.vn/BMJC-ctcp-xay-dung-va-san-xuat-vat-lieu-xay-dung.htm" TargetMode="External"/><Relationship Id="rId435" Type="http://schemas.openxmlformats.org/officeDocument/2006/relationships/hyperlink" Target="https://finance.vietstock.vn/CMT-ctcp-cong-nghe-mang-va-truyen-thong.htm" TargetMode="External"/><Relationship Id="rId642" Type="http://schemas.openxmlformats.org/officeDocument/2006/relationships/hyperlink" Target="https://finance.vietstock.vn/DNS-ctcp-thep-da-nang.htm" TargetMode="External"/><Relationship Id="rId1065" Type="http://schemas.openxmlformats.org/officeDocument/2006/relationships/hyperlink" Target="https://finance.vietstock.vn/HMD-ctcp-hoa-chat-minh-duc.htm" TargetMode="External"/><Relationship Id="rId1272" Type="http://schemas.openxmlformats.org/officeDocument/2006/relationships/hyperlink" Target="https://finance.vietstock.vn/KHA-ctcp-dau-tu-va-dich-vu-khanh-hoi.htm" TargetMode="External"/><Relationship Id="rId2116" Type="http://schemas.openxmlformats.org/officeDocument/2006/relationships/hyperlink" Target="https://finance.vietstock.vn/Smartlink-ctcp-dich-vu-the-smartlink.htm" TargetMode="External"/><Relationship Id="rId2323" Type="http://schemas.openxmlformats.org/officeDocument/2006/relationships/hyperlink" Target="https://finance.vietstock.vn/ThienKim-ctcp-thuong-mai-dich-vu-du-lich-thien-kim.htm" TargetMode="External"/><Relationship Id="rId2530" Type="http://schemas.openxmlformats.org/officeDocument/2006/relationships/hyperlink" Target="https://finance.vietstock.vn/VBH-ctcp-dien-tu-binh-hoa.htm" TargetMode="External"/><Relationship Id="rId2768" Type="http://schemas.openxmlformats.org/officeDocument/2006/relationships/hyperlink" Target="https://finance.vietstock.vn/VPS-ctcp-thuoc-sat-trung-viet-nam.htm" TargetMode="External"/><Relationship Id="rId502" Type="http://schemas.openxmlformats.org/officeDocument/2006/relationships/hyperlink" Target="https://finance.vietstock.vn/CTI-ctcp-dau-tu-phat-trien-cuong-thuan-idico.htm" TargetMode="External"/><Relationship Id="rId947" Type="http://schemas.openxmlformats.org/officeDocument/2006/relationships/hyperlink" Target="https://finance.vietstock.vn/HaiChau-ctcp-banh-keo-hai-chau.htm" TargetMode="External"/><Relationship Id="rId1132" Type="http://schemas.openxmlformats.org/officeDocument/2006/relationships/hyperlink" Target="https://finance.vietstock.vn/HSSC-ctcp-chung-khoan-ha-noi.htm" TargetMode="External"/><Relationship Id="rId1577" Type="http://schemas.openxmlformats.org/officeDocument/2006/relationships/hyperlink" Target="https://finance.vietstock.vn/NBT-ctcp-cap-thoat-nuoc-ben-tre.htm" TargetMode="External"/><Relationship Id="rId1784" Type="http://schemas.openxmlformats.org/officeDocument/2006/relationships/hyperlink" Target="https://finance.vietstock.vn/PLX-tap-doan-xang-dau-viet-nam.htm" TargetMode="External"/><Relationship Id="rId1991" Type="http://schemas.openxmlformats.org/officeDocument/2006/relationships/hyperlink" Target="https://finance.vietstock.vn/SBC-ctcp-van-tai-va-giao-nhan-bia-sai-gon.htm" TargetMode="External"/><Relationship Id="rId2628" Type="http://schemas.openxmlformats.org/officeDocument/2006/relationships/hyperlink" Target="https://finance.vietstock.vn/VienThongDongDo-ctcp-vien-thong-dong-do.htm" TargetMode="External"/><Relationship Id="rId2835" Type="http://schemas.openxmlformats.org/officeDocument/2006/relationships/hyperlink" Target="https://finance.vietstock.vn/WTC-ctcp-van-tai-thuy-vinacomin.htm" TargetMode="External"/><Relationship Id="rId76" Type="http://schemas.openxmlformats.org/officeDocument/2006/relationships/hyperlink" Target="https://finance.vietstock.vn/AnphatCapital-ctcp-quan-ly-quy-ntp.htm" TargetMode="External"/><Relationship Id="rId807" Type="http://schemas.openxmlformats.org/officeDocument/2006/relationships/hyperlink" Target="https://finance.vietstock.vn/FIS-ctcp-he-thong-thong-tin-fpt.htm" TargetMode="External"/><Relationship Id="rId1437" Type="http://schemas.openxmlformats.org/officeDocument/2006/relationships/hyperlink" Target="https://finance.vietstock.vn/MBAM-quy-dau-tu-trai-phieu-dong-tien-linh-hoat-mb.htm" TargetMode="External"/><Relationship Id="rId1644" Type="http://schemas.openxmlformats.org/officeDocument/2006/relationships/hyperlink" Target="https://finance.vietstock.vn/NSH-ctcp-tap-doan-nhom-song-hong-shalumi.htm" TargetMode="External"/><Relationship Id="rId1851" Type="http://schemas.openxmlformats.org/officeDocument/2006/relationships/hyperlink" Target="https://finance.vietstock.vn/PTS-ctcp-van-tai-va-dich-vu-petrolimex-hai-phong.htm" TargetMode="External"/><Relationship Id="rId1504" Type="http://schemas.openxmlformats.org/officeDocument/2006/relationships/hyperlink" Target="https://finance.vietstock.vn/MKP-ctcp-hoa-duoc-pham-mekophar.htm" TargetMode="External"/><Relationship Id="rId1711" Type="http://schemas.openxmlformats.org/officeDocument/2006/relationships/hyperlink" Target="https://finance.vietstock.vn/PCC-ctcp-tap-doan-xay-lap-1-petrolimex.htm" TargetMode="External"/><Relationship Id="rId1949" Type="http://schemas.openxmlformats.org/officeDocument/2006/relationships/hyperlink" Target="https://finance.vietstock.vn/S12-ctcp-song-da-12.htm" TargetMode="External"/><Relationship Id="rId292" Type="http://schemas.openxmlformats.org/officeDocument/2006/relationships/hyperlink" Target="https://finance.vietstock.vn/BWS-ctcp-cap-nuoc-ba-ria-vung-tau.htm" TargetMode="External"/><Relationship Id="rId1809" Type="http://schemas.openxmlformats.org/officeDocument/2006/relationships/hyperlink" Target="https://finance.vietstock.vn/PPC-ctcp-nhiet-dien-pha-lai.htm" TargetMode="External"/><Relationship Id="rId597" Type="http://schemas.openxmlformats.org/officeDocument/2006/relationships/hyperlink" Target="https://finance.vietstock.vn/DIC-ctcp-dau-tu-va-thuong-mai-dic.htm" TargetMode="External"/><Relationship Id="rId2180" Type="http://schemas.openxmlformats.org/officeDocument/2006/relationships/hyperlink" Target="https://finance.vietstock.vn/STI-ctcp-dau-tu-sai-gon-thuong-tin.htm" TargetMode="External"/><Relationship Id="rId2278" Type="http://schemas.openxmlformats.org/officeDocument/2006/relationships/hyperlink" Target="https://finance.vietstock.vn/TDH-ctcp-phat-trien-nha-thu-duc.htm" TargetMode="External"/><Relationship Id="rId2485" Type="http://schemas.openxmlformats.org/officeDocument/2006/relationships/hyperlink" Target="https://finance.vietstock.vn/TVSI-ctcp-chung-khoan-tan-viet.htm" TargetMode="External"/><Relationship Id="rId152" Type="http://schemas.openxmlformats.org/officeDocument/2006/relationships/hyperlink" Target="https://finance.vietstock.vn/BCF-ctcp-thuc-pham-bich-chi.htm" TargetMode="External"/><Relationship Id="rId457" Type="http://schemas.openxmlformats.org/officeDocument/2006/relationships/hyperlink" Target="https://finance.vietstock.vn/CongTrinh525-ctcp-xay-dung-cong-trinh-525.htm" TargetMode="External"/><Relationship Id="rId1087" Type="http://schemas.openxmlformats.org/officeDocument/2006/relationships/hyperlink" Target="https://finance.vietstock.vn/Hoachatmiennam-ctcp-hoa-chat-mien-nam.htm" TargetMode="External"/><Relationship Id="rId1294" Type="http://schemas.openxmlformats.org/officeDocument/2006/relationships/hyperlink" Target="https://finance.vietstock.vn/KimAnh-ctcp-che-kim-anh.htm" TargetMode="External"/><Relationship Id="rId2040" Type="http://schemas.openxmlformats.org/officeDocument/2006/relationships/hyperlink" Target="https://finance.vietstock.vn/SDN-ctcp-son-dong-nai.htm" TargetMode="External"/><Relationship Id="rId2138" Type="http://schemas.openxmlformats.org/officeDocument/2006/relationships/hyperlink" Target="https://finance.vietstock.vn/SongHong-ctcp-nang-luong-song-hong.htm" TargetMode="External"/><Relationship Id="rId2692" Type="http://schemas.openxmlformats.org/officeDocument/2006/relationships/hyperlink" Target="https://finance.vietstock.vn/Viptour-ctcp-du-lich-va-xuc-tien-dau-tu.htm" TargetMode="External"/><Relationship Id="rId664" Type="http://schemas.openxmlformats.org/officeDocument/2006/relationships/hyperlink" Target="https://finance.vietstock.vn/DPG-ctcp-tap-doan-dat-phuong.htm" TargetMode="External"/><Relationship Id="rId871" Type="http://schemas.openxmlformats.org/officeDocument/2006/relationships/hyperlink" Target="https://finance.vietstock.vn/GEG-ctcp-dien-gia-lai.htm" TargetMode="External"/><Relationship Id="rId969" Type="http://schemas.openxmlformats.org/officeDocument/2006/relationships/hyperlink" Target="https://finance.vietstock.vn/HASCOM-ctcp-thep-va-co-khi-vat-lieu-xay-dung-hai-phong.htm" TargetMode="External"/><Relationship Id="rId1599" Type="http://schemas.openxmlformats.org/officeDocument/2006/relationships/hyperlink" Target="https://finance.vietstock.vn/NhaBeTech-ctcp-tu-van-cong-nghe-nha-be.htm" TargetMode="External"/><Relationship Id="rId2345" Type="http://schemas.openxmlformats.org/officeDocument/2006/relationships/hyperlink" Target="https://finance.vietstock.vn/TIN-cong-ty-tai-chinh-tong-hop-co-phan-tin-viet.htm" TargetMode="External"/><Relationship Id="rId2552" Type="http://schemas.openxmlformats.org/officeDocument/2006/relationships/hyperlink" Target="https://finance.vietstock.vn/VCM-ctcp-bv-life.htm" TargetMode="External"/><Relationship Id="rId317" Type="http://schemas.openxmlformats.org/officeDocument/2006/relationships/hyperlink" Target="https://finance.vietstock.vn/CanHoNamLong-ctcp-phat-trien-can-ho-nam-long.htm" TargetMode="External"/><Relationship Id="rId524" Type="http://schemas.openxmlformats.org/officeDocument/2006/relationships/hyperlink" Target="https://finance.vietstock.vn/D11-ctcp-dia-oc-11.htm" TargetMode="External"/><Relationship Id="rId731" Type="http://schemas.openxmlformats.org/officeDocument/2006/relationships/hyperlink" Target="https://finance.vietstock.vn/DVG-ctcp-dai-viet-group-dvg.htm" TargetMode="External"/><Relationship Id="rId1154" Type="http://schemas.openxmlformats.org/officeDocument/2006/relationships/hyperlink" Target="https://finance.vietstock.vn/HU1-ctcp-dau-tu-va-xay-dung-hud1.htm" TargetMode="External"/><Relationship Id="rId1361" Type="http://schemas.openxmlformats.org/officeDocument/2006/relationships/hyperlink" Target="https://finance.vietstock.vn/LBE-ctcp-thuong-mai-va-dich-vu-lva.htm" TargetMode="External"/><Relationship Id="rId1459" Type="http://schemas.openxmlformats.org/officeDocument/2006/relationships/hyperlink" Target="https://finance.vietstock.vn/MCT-ctcp-kinh-doanh-vat-tu-va-xay-dung.htm" TargetMode="External"/><Relationship Id="rId2205" Type="http://schemas.openxmlformats.org/officeDocument/2006/relationships/hyperlink" Target="https://finance.vietstock.vn/SWC-tong-cong-ty-co-phan-duong-song-mien-nam.htm" TargetMode="External"/><Relationship Id="rId2412" Type="http://schemas.openxmlformats.org/officeDocument/2006/relationships/hyperlink" Target="https://finance.vietstock.vn/TPP-ctcp-tan-phu-viet-nam.htm" TargetMode="External"/><Relationship Id="rId2857" Type="http://schemas.openxmlformats.org/officeDocument/2006/relationships/hyperlink" Target="https://finance.vietstock.vn/XeThaiBinh-ctcp-xe-khach-thai-binh.htm" TargetMode="External"/><Relationship Id="rId98" Type="http://schemas.openxmlformats.org/officeDocument/2006/relationships/hyperlink" Target="https://finance.vietstock.vn/ArtexSaigon-ctcp-xuat-nhap-khau-hang-tieu-thu-cong-nghiep-sai-gon.htm" TargetMode="External"/><Relationship Id="rId829" Type="http://schemas.openxmlformats.org/officeDocument/2006/relationships/hyperlink" Target="https://finance.vietstock.vn/FTS-ctcp-chung-khoan-fpt.htm" TargetMode="External"/><Relationship Id="rId1014" Type="http://schemas.openxmlformats.org/officeDocument/2006/relationships/hyperlink" Target="https://finance.vietstock.vn/HES-ctcp-dich-vu-giai-tri-ha-noi.htm" TargetMode="External"/><Relationship Id="rId1221" Type="http://schemas.openxmlformats.org/officeDocument/2006/relationships/hyperlink" Target="https://finance.vietstock.vn/IneximDaklak-ctcp-dau-tu-xuat-nhap-khau-daklak.htm" TargetMode="External"/><Relationship Id="rId1666" Type="http://schemas.openxmlformats.org/officeDocument/2006/relationships/hyperlink" Target="https://finance.vietstock.vn/NVB-ngan-hang-tmcp-quoc-dan.htm" TargetMode="External"/><Relationship Id="rId1873" Type="http://schemas.openxmlformats.org/officeDocument/2006/relationships/hyperlink" Target="https://finance.vietstock.vn/PVO-ctcp-dau-nhon-pv-oil.htm" TargetMode="External"/><Relationship Id="rId2717" Type="http://schemas.openxmlformats.org/officeDocument/2006/relationships/hyperlink" Target="https://finance.vietstock.vn/VLPort-ctcp-cang-vinh-long.htm" TargetMode="External"/><Relationship Id="rId1319" Type="http://schemas.openxmlformats.org/officeDocument/2006/relationships/hyperlink" Target="https://finance.vietstock.vn/KSF-ctcp-tap-doan-sunshine.htm" TargetMode="External"/><Relationship Id="rId1526" Type="http://schemas.openxmlformats.org/officeDocument/2006/relationships/hyperlink" Target="https://finance.vietstock.vn/MSH-ctcp-may-song-hong.htm" TargetMode="External"/><Relationship Id="rId1733" Type="http://schemas.openxmlformats.org/officeDocument/2006/relationships/hyperlink" Target="https://finance.vietstock.vn/PETROMEKONG-ctcp-van-tai-dau-khi-me-kong.htm" TargetMode="External"/><Relationship Id="rId1940" Type="http://schemas.openxmlformats.org/officeDocument/2006/relationships/hyperlink" Target="https://finance.vietstock.vn/RLC-ctcp-duong-bo-lao-cai.htm" TargetMode="External"/><Relationship Id="rId25" Type="http://schemas.openxmlformats.org/officeDocument/2006/relationships/hyperlink" Target="https://finance.vietstock.vn/ACCCO-ctcp-tu-van-kien-truc-va-xay-dung-thanh-pho-ho-chi-minh.htm" TargetMode="External"/><Relationship Id="rId1800" Type="http://schemas.openxmlformats.org/officeDocument/2006/relationships/hyperlink" Target="https://finance.vietstock.vn/PNT-ctcp-ky-thuat-xay-dung-phu-nhuan.htm" TargetMode="External"/><Relationship Id="rId174" Type="http://schemas.openxmlformats.org/officeDocument/2006/relationships/hyperlink" Target="https://finance.vietstock.vn/BenThanhG-tong-cong-ty-ben-thanh-tnhh-mtv.htm" TargetMode="External"/><Relationship Id="rId381" Type="http://schemas.openxmlformats.org/officeDocument/2006/relationships/hyperlink" Target="https://finance.vietstock.vn/CHIN2-ctcp-chin-chin-nui.htm" TargetMode="External"/><Relationship Id="rId2062" Type="http://schemas.openxmlformats.org/officeDocument/2006/relationships/hyperlink" Target="https://finance.vietstock.vn/SGC-ctcp-xuat-nhap-khau-sa-giang.htm" TargetMode="External"/><Relationship Id="rId241" Type="http://schemas.openxmlformats.org/officeDocument/2006/relationships/hyperlink" Target="https://finance.vietstock.vn/BPW-ctcp-cap-thoat-nuoc-binh-phuoc.htm" TargetMode="External"/><Relationship Id="rId479" Type="http://schemas.openxmlformats.org/officeDocument/2006/relationships/hyperlink" Target="https://finance.vietstock.vn/CQT-ctcp-xi-mang-quan-trieu-vvmi.htm" TargetMode="External"/><Relationship Id="rId686" Type="http://schemas.openxmlformats.org/officeDocument/2006/relationships/hyperlink" Target="https://finance.vietstock.vn/DSV-ctcp-duong-sat-vinh-phu.htm" TargetMode="External"/><Relationship Id="rId893" Type="http://schemas.openxmlformats.org/officeDocument/2006/relationships/hyperlink" Target="https://finance.vietstock.vn/GiaSangSteel-ctcp-luyen-can-thep-gia-sang.htm" TargetMode="External"/><Relationship Id="rId2367" Type="http://schemas.openxmlformats.org/officeDocument/2006/relationships/hyperlink" Target="https://finance.vietstock.vn/TLI-ctcp-may-quoc-te-thang-loi.htm" TargetMode="External"/><Relationship Id="rId2574" Type="http://schemas.openxmlformats.org/officeDocument/2006/relationships/hyperlink" Target="https://finance.vietstock.vn/VE3-ctcp-xay-dung-dien-vneco-3.htm" TargetMode="External"/><Relationship Id="rId2781" Type="http://schemas.openxmlformats.org/officeDocument/2006/relationships/hyperlink" Target="https://finance.vietstock.vn/VSF-tong-cong-ty-luong-thuc-mien-nam-ctcp.htm" TargetMode="External"/><Relationship Id="rId339" Type="http://schemas.openxmlformats.org/officeDocument/2006/relationships/hyperlink" Target="https://finance.vietstock.vn/CBC-ctcp-che-bau-can.htm" TargetMode="External"/><Relationship Id="rId546" Type="http://schemas.openxmlformats.org/officeDocument/2006/relationships/hyperlink" Target="https://finance.vietstock.vn/DauTuHaNoi-ctcp-thuong-mai-va-dau-tu-tic-ha-noi.htm" TargetMode="External"/><Relationship Id="rId753" Type="http://schemas.openxmlformats.org/officeDocument/2006/relationships/hyperlink" Target="https://finance.vietstock.vn/EBA-ctcp-dien-bac-na.htm" TargetMode="External"/><Relationship Id="rId1176" Type="http://schemas.openxmlformats.org/officeDocument/2006/relationships/hyperlink" Target="https://finance.vietstock.vn/HVS-ctcp-chung-khoan-hvs-viet-nam.htm" TargetMode="External"/><Relationship Id="rId1383" Type="http://schemas.openxmlformats.org/officeDocument/2006/relationships/hyperlink" Target="https://finance.vietstock.vn/Licogi16-ctcp-licogi-16-mc.htm" TargetMode="External"/><Relationship Id="rId2227" Type="http://schemas.openxmlformats.org/officeDocument/2006/relationships/hyperlink" Target="https://finance.vietstock.vn/TanLam-ctcp-nong-san-tan-lam.htm" TargetMode="External"/><Relationship Id="rId2434" Type="http://schemas.openxmlformats.org/officeDocument/2006/relationships/hyperlink" Target="https://finance.vietstock.vn/TS3-ctcp-truong-son-532.htm" TargetMode="External"/><Relationship Id="rId2879" Type="http://schemas.openxmlformats.org/officeDocument/2006/relationships/hyperlink" Target="https://finance.vietstock.vn/YenBai-ctcp-xay-dung-so-3-yen-bai.htm" TargetMode="External"/><Relationship Id="rId101" Type="http://schemas.openxmlformats.org/officeDocument/2006/relationships/hyperlink" Target="https://finance.vietstock.vn/ASCH-ctcp-hoa-chat-a-chau.htm" TargetMode="External"/><Relationship Id="rId406" Type="http://schemas.openxmlformats.org/officeDocument/2006/relationships/hyperlink" Target="https://finance.vietstock.vn/CJC-ctcp-co-dien-mien-trung.htm" TargetMode="External"/><Relationship Id="rId960" Type="http://schemas.openxmlformats.org/officeDocument/2006/relationships/hyperlink" Target="https://finance.vietstock.vn/Hanosimex-ctcp-thuong-mai-hai-phong-hanosimex.htm" TargetMode="External"/><Relationship Id="rId1036" Type="http://schemas.openxmlformats.org/officeDocument/2006/relationships/hyperlink" Target="https://finance.vietstock.vn/HHV-ctcp-dau-tu-ha-tang-giao-thong-deo-ca.htm" TargetMode="External"/><Relationship Id="rId1243" Type="http://schemas.openxmlformats.org/officeDocument/2006/relationships/hyperlink" Target="https://finance.vietstock.vn/ITA-ctcp-dau-tu-va-cong-nghiep-tan-tao.htm" TargetMode="External"/><Relationship Id="rId1590" Type="http://schemas.openxmlformats.org/officeDocument/2006/relationships/hyperlink" Target="https://finance.vietstock.vn/NED-ctcp-dau-tu-va-phat-trien-dien-tay-bac.htm" TargetMode="External"/><Relationship Id="rId1688" Type="http://schemas.openxmlformats.org/officeDocument/2006/relationships/hyperlink" Target="https://finance.vietstock.vn/ORC-ctcp-ban-le-va-quan-ly-bat-dong-san-dai-duong.htm" TargetMode="External"/><Relationship Id="rId1895" Type="http://schemas.openxmlformats.org/officeDocument/2006/relationships/hyperlink" Target="https://finance.vietstock.vn/PXS-ctcp-ket-cau-kim-loai-va-lap-may-dau-khi.htm" TargetMode="External"/><Relationship Id="rId2641" Type="http://schemas.openxmlformats.org/officeDocument/2006/relationships/hyperlink" Target="https://finance.vietstock.vn/VIG-ctcp-chung-khoan-dau-tu-tai-chinh-viet-nam.htm" TargetMode="External"/><Relationship Id="rId2739" Type="http://schemas.openxmlformats.org/officeDocument/2006/relationships/hyperlink" Target="https://finance.vietstock.vn/VNG-ctcp-du-lich-thanh-thanh-cong.htm" TargetMode="External"/><Relationship Id="rId613" Type="http://schemas.openxmlformats.org/officeDocument/2006/relationships/hyperlink" Target="https://finance.vietstock.vn/DLBD-ctcp-du-lich-buu-dien.htm" TargetMode="External"/><Relationship Id="rId820" Type="http://schemas.openxmlformats.org/officeDocument/2006/relationships/hyperlink" Target="https://finance.vietstock.vn/FRC-ctcp-lam-dac-san-xuat-khau-quang-nam.htm" TargetMode="External"/><Relationship Id="rId918" Type="http://schemas.openxmlformats.org/officeDocument/2006/relationships/hyperlink" Target="https://finance.vietstock.vn/GSC-ctcp-thuy-dien-geruco-song-con.htm" TargetMode="External"/><Relationship Id="rId1450" Type="http://schemas.openxmlformats.org/officeDocument/2006/relationships/hyperlink" Target="https://finance.vietstock.vn/MCG-ctcp-nang-luong-va-bat-dong-san-mcg.htm" TargetMode="External"/><Relationship Id="rId1548" Type="http://schemas.openxmlformats.org/officeDocument/2006/relationships/hyperlink" Target="https://finance.vietstock.vn/MXVExchange-so-giao-dich-hang-hoa-viet-nam.htm" TargetMode="External"/><Relationship Id="rId1755" Type="http://schemas.openxmlformats.org/officeDocument/2006/relationships/hyperlink" Target="https://finance.vietstock.vn/PHS-ctcp-chung-khoan-phu-hung.htm" TargetMode="External"/><Relationship Id="rId2501" Type="http://schemas.openxmlformats.org/officeDocument/2006/relationships/hyperlink" Target="https://finance.vietstock.vn/UOBAM-ctcp-quan-ly-quy-uob-asset-management-viet-nam.htm" TargetMode="External"/><Relationship Id="rId1103" Type="http://schemas.openxmlformats.org/officeDocument/2006/relationships/hyperlink" Target="https://finance.vietstock.vn/HPD-ctcp-thuy-dien-dak-doa.htm" TargetMode="External"/><Relationship Id="rId1310" Type="http://schemas.openxmlformats.org/officeDocument/2006/relationships/hyperlink" Target="https://finance.vietstock.vn/KNITEXIM-ctcp-haprosimex-thang-long.htm" TargetMode="External"/><Relationship Id="rId1408" Type="http://schemas.openxmlformats.org/officeDocument/2006/relationships/hyperlink" Target="https://finance.vietstock.vn/LPBS-ctcp-chung-khoan-lpbank.htm" TargetMode="External"/><Relationship Id="rId1962" Type="http://schemas.openxmlformats.org/officeDocument/2006/relationships/hyperlink" Target="https://finance.vietstock.vn/SabecoTayNguyen-ctcp-thuong-mai-bia-sai-gon-tay-nguyen.htm" TargetMode="External"/><Relationship Id="rId2806" Type="http://schemas.openxmlformats.org/officeDocument/2006/relationships/hyperlink" Target="https://finance.vietstock.vn/VTL-ctcp-vang-thang-long.htm" TargetMode="External"/><Relationship Id="rId47" Type="http://schemas.openxmlformats.org/officeDocument/2006/relationships/hyperlink" Target="https://finance.vietstock.vn/AGG-ctcp-dau-tu-va-phat-trien-bat-dong-san-an-gia.htm" TargetMode="External"/><Relationship Id="rId1615" Type="http://schemas.openxmlformats.org/officeDocument/2006/relationships/hyperlink" Target="https://finance.vietstock.vn/NinhBac-ctcp-dau-tu-tai-chinh-ninh-bac.htm" TargetMode="External"/><Relationship Id="rId1822" Type="http://schemas.openxmlformats.org/officeDocument/2006/relationships/hyperlink" Target="https://finance.vietstock.vn/Proconco-ctcp-viet-phap-san-xuat-thuc-an-gia-suc-proconco.htm" TargetMode="External"/><Relationship Id="rId196" Type="http://schemas.openxmlformats.org/officeDocument/2006/relationships/hyperlink" Target="https://finance.vietstock.vn/BiaSaiGonPhuYen-ctcp-bia-sai-gon-phu-yen.htm" TargetMode="External"/><Relationship Id="rId2084" Type="http://schemas.openxmlformats.org/officeDocument/2006/relationships/hyperlink" Target="https://finance.vietstock.vn/SHINEC-ctcp-cong-nghiep-tau-thuy-shinec.htm" TargetMode="External"/><Relationship Id="rId2291" Type="http://schemas.openxmlformats.org/officeDocument/2006/relationships/hyperlink" Target="https://finance.vietstock.vn/TEG-ctcp-truong-thanh-energy-group.htm" TargetMode="External"/><Relationship Id="rId263" Type="http://schemas.openxmlformats.org/officeDocument/2006/relationships/hyperlink" Target="https://finance.vietstock.vn/BTC-ctcp-co-khi-va-xay-dung-binh-trieu.htm" TargetMode="External"/><Relationship Id="rId470" Type="http://schemas.openxmlformats.org/officeDocument/2006/relationships/hyperlink" Target="https://finance.vietstock.vn/CotecAnpha-ctcp-ky-thuat-xay-dung-anpha.htm" TargetMode="External"/><Relationship Id="rId2151" Type="http://schemas.openxmlformats.org/officeDocument/2006/relationships/hyperlink" Target="https://finance.vietstock.vn/SPM-ctcp-spm.htm" TargetMode="External"/><Relationship Id="rId2389" Type="http://schemas.openxmlformats.org/officeDocument/2006/relationships/hyperlink" Target="https://finance.vietstock.vn/TNG-ctcp-dau-tu-va-thuong-mai-tng.htm" TargetMode="External"/><Relationship Id="rId2596" Type="http://schemas.openxmlformats.org/officeDocument/2006/relationships/hyperlink" Target="https://finance.vietstock.vn/VGG-tong-cong-ty-co-phan-may-viet-tien.htm" TargetMode="External"/><Relationship Id="rId123" Type="http://schemas.openxmlformats.org/officeDocument/2006/relationships/hyperlink" Target="https://finance.vietstock.vn/AzureCity-ctcp-thanh-pho-xanh.htm" TargetMode="External"/><Relationship Id="rId330" Type="http://schemas.openxmlformats.org/officeDocument/2006/relationships/hyperlink" Target="https://finance.vietstock.vn/CauTre-ctcp-thuc-pham-cj-cau-tre.htm" TargetMode="External"/><Relationship Id="rId568" Type="http://schemas.openxmlformats.org/officeDocument/2006/relationships/hyperlink" Target="https://finance.vietstock.vn/DDB-ctcp-thuong-mai-va-xay-dung-dong-duong.htm" TargetMode="External"/><Relationship Id="rId775" Type="http://schemas.openxmlformats.org/officeDocument/2006/relationships/hyperlink" Target="https://finance.vietstock.vn/ETCC-ctcp-cap-va-thiet-bi-vien-thong.htm" TargetMode="External"/><Relationship Id="rId982" Type="http://schemas.openxmlformats.org/officeDocument/2006/relationships/hyperlink" Target="https://finance.vietstock.vn/HC1-ctcp-xay-dung-so-1-ha-noi.htm" TargetMode="External"/><Relationship Id="rId1198" Type="http://schemas.openxmlformats.org/officeDocument/2006/relationships/hyperlink" Target="https://finance.vietstock.vn/IDN-ctcp-in-va-dich-vu-da-nang.htm" TargetMode="External"/><Relationship Id="rId2011" Type="http://schemas.openxmlformats.org/officeDocument/2006/relationships/hyperlink" Target="https://finance.vietstock.vn/SCI-ctcp-sci-ec.htm" TargetMode="External"/><Relationship Id="rId2249" Type="http://schemas.openxmlformats.org/officeDocument/2006/relationships/hyperlink" Target="https://finance.vietstock.vn/TBD-tong-cong-ty-thiet-bi-dien-dong-anh-ctcp.htm" TargetMode="External"/><Relationship Id="rId2456" Type="http://schemas.openxmlformats.org/officeDocument/2006/relationships/hyperlink" Target="https://finance.vietstock.vn/TTJ-ctcp-thuy-ta.htm" TargetMode="External"/><Relationship Id="rId2663" Type="http://schemas.openxmlformats.org/officeDocument/2006/relationships/hyperlink" Target="https://finance.vietstock.vn/VinaconexAlphanam-ctcp-dau-tu-va-phat-trien-ha-tang-vinaconex-alphanam.htm" TargetMode="External"/><Relationship Id="rId2870" Type="http://schemas.openxmlformats.org/officeDocument/2006/relationships/hyperlink" Target="https://finance.vietstock.vn/XNKNongSan-ctcp-dich-vu-xuat-nhap-khau-nong-san-ha-noi.htm" TargetMode="External"/><Relationship Id="rId428" Type="http://schemas.openxmlformats.org/officeDocument/2006/relationships/hyperlink" Target="https://finance.vietstock.vn/CMG-ctcp-tap-doan-cong-nghe-cmc.htm" TargetMode="External"/><Relationship Id="rId635" Type="http://schemas.openxmlformats.org/officeDocument/2006/relationships/hyperlink" Target="https://finance.vietstock.vn/DNG-ctcp-lap-may-dien-nuoc-va-xay-dung.htm" TargetMode="External"/><Relationship Id="rId842" Type="http://schemas.openxmlformats.org/officeDocument/2006/relationships/hyperlink" Target="https://finance.vietstock.vn/FUEKIVND-chung-chi-quy-etf-kim-growth-vn-diamond.htm" TargetMode="External"/><Relationship Id="rId1058" Type="http://schemas.openxmlformats.org/officeDocument/2006/relationships/hyperlink" Target="https://finance.vietstock.vn/HLG-ctcp-tap-doan-hoang-long.htm" TargetMode="External"/><Relationship Id="rId1265" Type="http://schemas.openxmlformats.org/officeDocument/2006/relationships/hyperlink" Target="https://finance.vietstock.vn/KDC-ctcp-tap-doan-kido.htm" TargetMode="External"/><Relationship Id="rId1472" Type="http://schemas.openxmlformats.org/officeDocument/2006/relationships/hyperlink" Target="https://finance.vietstock.vn/Mediplast-ctcp-nhua-y-te-mediplast.htm" TargetMode="External"/><Relationship Id="rId2109" Type="http://schemas.openxmlformats.org/officeDocument/2006/relationships/hyperlink" Target="https://finance.vietstock.vn/SKH-ctcp-nuoc-giai-khat-sanest-khanh-hoa.htm" TargetMode="External"/><Relationship Id="rId2316" Type="http://schemas.openxmlformats.org/officeDocument/2006/relationships/hyperlink" Target="https://finance.vietstock.vn/ThepTanThuan-ctcp-thep-tan-thuan.htm" TargetMode="External"/><Relationship Id="rId2523" Type="http://schemas.openxmlformats.org/officeDocument/2006/relationships/hyperlink" Target="https://finance.vietstock.vn/VASC-ctcp-giao-duc-quoc-te-viet-uc.htm" TargetMode="External"/><Relationship Id="rId2730" Type="http://schemas.openxmlformats.org/officeDocument/2006/relationships/hyperlink" Target="https://finance.vietstock.vn/VNB-ctcp-sach-viet-nam.htm" TargetMode="External"/><Relationship Id="rId702" Type="http://schemas.openxmlformats.org/officeDocument/2006/relationships/hyperlink" Target="https://finance.vietstock.vn/DTS-ctcp-dich-vu-du-lich-da-lat.htm" TargetMode="External"/><Relationship Id="rId1125" Type="http://schemas.openxmlformats.org/officeDocument/2006/relationships/hyperlink" Target="https://finance.vietstock.vn/HSA-ctcp-hestia.htm" TargetMode="External"/><Relationship Id="rId1332" Type="http://schemas.openxmlformats.org/officeDocument/2006/relationships/hyperlink" Target="https://finance.vietstock.vn/KTT-ctcp-tap-doan-dau-tu-ktt.htm" TargetMode="External"/><Relationship Id="rId1777" Type="http://schemas.openxmlformats.org/officeDocument/2006/relationships/hyperlink" Target="https://finance.vietstock.vn/PKR-ctcp-duong-sat-phu-khanh.htm" TargetMode="External"/><Relationship Id="rId1984" Type="http://schemas.openxmlformats.org/officeDocument/2006/relationships/hyperlink" Target="https://finance.vietstock.vn/SAS-ctcp-dich-vu-hang-khong-san-bay-tan-son-nhat.htm" TargetMode="External"/><Relationship Id="rId2828" Type="http://schemas.openxmlformats.org/officeDocument/2006/relationships/hyperlink" Target="https://finance.vietstock.vn/VWS-ctcp-nuoc-va-moi-truong-viet-nam.htm" TargetMode="External"/><Relationship Id="rId69" Type="http://schemas.openxmlformats.org/officeDocument/2006/relationships/hyperlink" Target="https://finance.vietstock.vn/AMD-ctcp-dau-tu-va-khoang-san-flc-stone.htm" TargetMode="External"/><Relationship Id="rId1637" Type="http://schemas.openxmlformats.org/officeDocument/2006/relationships/hyperlink" Target="https://finance.vietstock.vn/NQT-ctcp-nuoc-sach-quang-tri.htm" TargetMode="External"/><Relationship Id="rId1844" Type="http://schemas.openxmlformats.org/officeDocument/2006/relationships/hyperlink" Target="https://finance.vietstock.vn/PTICC-ctcp-tu-van-dau-tu-va-xay-dung-buu-dien.htm" TargetMode="External"/><Relationship Id="rId1704" Type="http://schemas.openxmlformats.org/officeDocument/2006/relationships/hyperlink" Target="https://finance.vietstock.vn/Payoo-ctcp-dich-vu-truc-tuyen-cong-dong-viet.htm" TargetMode="External"/><Relationship Id="rId285" Type="http://schemas.openxmlformats.org/officeDocument/2006/relationships/hyperlink" Target="https://finance.vietstock.vn/BVG-ctcp-group-bac-viet.htm" TargetMode="External"/><Relationship Id="rId1911" Type="http://schemas.openxmlformats.org/officeDocument/2006/relationships/hyperlink" Target="https://finance.vietstock.vn/QNU-ctcp-moi-truong-do-thi-quang-nam.htm" TargetMode="External"/><Relationship Id="rId492" Type="http://schemas.openxmlformats.org/officeDocument/2006/relationships/hyperlink" Target="https://finance.vietstock.vn/CT6-ctcp-cong-trinh-6.htm" TargetMode="External"/><Relationship Id="rId797" Type="http://schemas.openxmlformats.org/officeDocument/2006/relationships/hyperlink" Target="https://finance.vietstock.vn/FDG-ctcp-docimexco.htm" TargetMode="External"/><Relationship Id="rId2173" Type="http://schemas.openxmlformats.org/officeDocument/2006/relationships/hyperlink" Target="https://finance.vietstock.vn/SSU-ctcp-moi-truong-do-thi-soc-son.htm" TargetMode="External"/><Relationship Id="rId2380" Type="http://schemas.openxmlformats.org/officeDocument/2006/relationships/hyperlink" Target="https://finance.vietstock.vn/TMS-ctcp-transimex.htm" TargetMode="External"/><Relationship Id="rId2478" Type="http://schemas.openxmlformats.org/officeDocument/2006/relationships/hyperlink" Target="https://finance.vietstock.vn/TVG-ctcp-tu-van-dau-tu-va-xay-dung-giao-thong-van-tai.htm" TargetMode="External"/><Relationship Id="rId145" Type="http://schemas.openxmlformats.org/officeDocument/2006/relationships/hyperlink" Target="https://finance.vietstock.vn/BBM-ctcp-bia-ha-noi-nam-dinh.htm" TargetMode="External"/><Relationship Id="rId352" Type="http://schemas.openxmlformats.org/officeDocument/2006/relationships/hyperlink" Target="https://finance.vietstock.vn/CCP-ctcp-cang-cua-cam-hai-phong.htm" TargetMode="External"/><Relationship Id="rId1287" Type="http://schemas.openxmlformats.org/officeDocument/2006/relationships/hyperlink" Target="https://finance.vietstock.vn/KHX-ctcp-phat-hanh-sach-khanh-hoa.htm" TargetMode="External"/><Relationship Id="rId2033" Type="http://schemas.openxmlformats.org/officeDocument/2006/relationships/hyperlink" Target="https://finance.vietstock.vn/SDD-ctcp-dau-tu-va-xay-lap-song-da.htm" TargetMode="External"/><Relationship Id="rId2240" Type="http://schemas.openxmlformats.org/officeDocument/2006/relationships/hyperlink" Target="https://finance.vietstock.vn/TauBienHP-ctcp-cung-ung-tau-bien-hai-phong.htm" TargetMode="External"/><Relationship Id="rId2685" Type="http://schemas.openxmlformats.org/officeDocument/2006/relationships/hyperlink" Target="https://finance.vietstock.vn/VinhHue-ctcp-giay-vinh-hue.htm" TargetMode="External"/><Relationship Id="rId212" Type="http://schemas.openxmlformats.org/officeDocument/2006/relationships/hyperlink" Target="https://finance.vietstock.vn/BKG-ctcp-dau-tu-bkg-viet-nam.htm" TargetMode="External"/><Relationship Id="rId657" Type="http://schemas.openxmlformats.org/officeDocument/2006/relationships/hyperlink" Target="https://finance.vietstock.vn/DOP-ctcp-van-tai-xang-dau-dong-thap.htm" TargetMode="External"/><Relationship Id="rId864" Type="http://schemas.openxmlformats.org/officeDocument/2006/relationships/hyperlink" Target="https://finance.vietstock.vn/GDEGF-quy-dau-tu-co-phieu-tang-truong-rong-vang.htm" TargetMode="External"/><Relationship Id="rId1494" Type="http://schemas.openxmlformats.org/officeDocument/2006/relationships/hyperlink" Target="https://finance.vietstock.vn/MienTrung-ctcp-dau-tu-va-phat-trien-mien-trung.htm" TargetMode="External"/><Relationship Id="rId1799" Type="http://schemas.openxmlformats.org/officeDocument/2006/relationships/hyperlink" Target="https://finance.vietstock.vn/PNP-ctcp-tan-cang-phu-huu.htm" TargetMode="External"/><Relationship Id="rId2100" Type="http://schemas.openxmlformats.org/officeDocument/2006/relationships/hyperlink" Target="https://finance.vietstock.vn/SJC-ctcp-song-da-1-01.htm" TargetMode="External"/><Relationship Id="rId2338" Type="http://schemas.openxmlformats.org/officeDocument/2006/relationships/hyperlink" Target="https://finance.vietstock.vn/ThuySanKienGiang-ctcp-khai-thac-thuy-san-kien-giang.htm" TargetMode="External"/><Relationship Id="rId2545" Type="http://schemas.openxmlformats.org/officeDocument/2006/relationships/hyperlink" Target="https://finance.vietstock.vn/VCE-ctcp-xay-lap-moi-truong.htm" TargetMode="External"/><Relationship Id="rId2752" Type="http://schemas.openxmlformats.org/officeDocument/2006/relationships/hyperlink" Target="https://finance.vietstock.vn/VNX-ctcp-quang-cao-va-hoi-cho-thuong-mai.htm" TargetMode="External"/><Relationship Id="rId517" Type="http://schemas.openxmlformats.org/officeDocument/2006/relationships/hyperlink" Target="https://finance.vietstock.vn/CVS-ctcp-chung-khoan-cv.htm" TargetMode="External"/><Relationship Id="rId724" Type="http://schemas.openxmlformats.org/officeDocument/2006/relationships/hyperlink" Target="https://finance.vietstock.vn/DuongSatPhiaNam-ctcp-duong-sat-phia-nam.htm" TargetMode="External"/><Relationship Id="rId931" Type="http://schemas.openxmlformats.org/officeDocument/2006/relationships/hyperlink" Target="https://finance.vietstock.vn/H11-ctcp-xay-dung-hud101.htm" TargetMode="External"/><Relationship Id="rId1147" Type="http://schemas.openxmlformats.org/officeDocument/2006/relationships/hyperlink" Target="https://finance.vietstock.vn/HTP-ctcp-in-sach-giao-khoa-hoa-phat.htm" TargetMode="External"/><Relationship Id="rId1354" Type="http://schemas.openxmlformats.org/officeDocument/2006/relationships/hyperlink" Target="https://finance.vietstock.vn/LaNga-ctcp-dau-tu-la-nga.htm" TargetMode="External"/><Relationship Id="rId1561" Type="http://schemas.openxmlformats.org/officeDocument/2006/relationships/hyperlink" Target="https://finance.vietstock.vn/NamThi-ctcp-thuy-dien-nam-thi-song-da-7.htm" TargetMode="External"/><Relationship Id="rId2405" Type="http://schemas.openxmlformats.org/officeDocument/2006/relationships/hyperlink" Target="https://finance.vietstock.vn/TourismHCM-ctcp-du-lich-viet-nam-thanh-pho-ho-chi-minh.htm" TargetMode="External"/><Relationship Id="rId2612" Type="http://schemas.openxmlformats.org/officeDocument/2006/relationships/hyperlink" Target="https://finance.vietstock.vn/VHM-ctcp-vinhomes.htm" TargetMode="External"/><Relationship Id="rId60" Type="http://schemas.openxmlformats.org/officeDocument/2006/relationships/hyperlink" Target="https://finance.vietstock.vn/AISEC-ctcp-chung-khoan-ais.htm" TargetMode="External"/><Relationship Id="rId1007" Type="http://schemas.openxmlformats.org/officeDocument/2006/relationships/hyperlink" Target="https://finance.vietstock.vn/HDW-ctcp-kinh-doanh-nuoc-sach-hai-duong.htm" TargetMode="External"/><Relationship Id="rId1214" Type="http://schemas.openxmlformats.org/officeDocument/2006/relationships/hyperlink" Target="https://finance.vietstock.vn/IMEXBINHDINH-ctcp-xuat-nhap-khau-binh-dinh.htm" TargetMode="External"/><Relationship Id="rId1421" Type="http://schemas.openxmlformats.org/officeDocument/2006/relationships/hyperlink" Target="https://finance.vietstock.vn/LWS-ctcp-cap-nuoc-tinh-lao-cai.htm" TargetMode="External"/><Relationship Id="rId1659" Type="http://schemas.openxmlformats.org/officeDocument/2006/relationships/hyperlink" Target="https://finance.vietstock.vn/NTS-ctcp-noi-that-shinec.htm" TargetMode="External"/><Relationship Id="rId1866" Type="http://schemas.openxmlformats.org/officeDocument/2006/relationships/hyperlink" Target="https://finance.vietstock.vn/PVG-ctcp-kinh-doanh-lpg-viet-nam.htm" TargetMode="External"/><Relationship Id="rId1519" Type="http://schemas.openxmlformats.org/officeDocument/2006/relationships/hyperlink" Target="https://finance.vietstock.vn/MPT-ctcp-tap-doan-mpt.htm" TargetMode="External"/><Relationship Id="rId1726" Type="http://schemas.openxmlformats.org/officeDocument/2006/relationships/hyperlink" Target="https://finance.vietstock.vn/PEC-ctcp-co-khi-dien-luc.htm" TargetMode="External"/><Relationship Id="rId1933" Type="http://schemas.openxmlformats.org/officeDocument/2006/relationships/hyperlink" Target="https://finance.vietstock.vn/RES10-ctcp-dia-oc-10.htm" TargetMode="External"/><Relationship Id="rId18" Type="http://schemas.openxmlformats.org/officeDocument/2006/relationships/hyperlink" Target="https://finance.vietstock.vn/ABT-ctcp-xuat-nhap-khau-thuy-san-ben-tre.htm" TargetMode="External"/><Relationship Id="rId2195" Type="http://schemas.openxmlformats.org/officeDocument/2006/relationships/hyperlink" Target="https://finance.vietstock.vn/SuThanhHa-ctcp-gom-su-thanh-ha.htm" TargetMode="External"/><Relationship Id="rId167" Type="http://schemas.openxmlformats.org/officeDocument/2006/relationships/hyperlink" Target="https://finance.vietstock.vn/BDSThanhNien-ctcp-bat-dong-san-thanh-nien.htm" TargetMode="External"/><Relationship Id="rId374" Type="http://schemas.openxmlformats.org/officeDocument/2006/relationships/hyperlink" Target="https://finance.vietstock.vn/CFM-ctcp-dau-tu-cfm.htm" TargetMode="External"/><Relationship Id="rId581" Type="http://schemas.openxmlformats.org/officeDocument/2006/relationships/hyperlink" Target="https://finance.vietstock.vn/DFF-ctcp-tap-doan-dua-fat.htm" TargetMode="External"/><Relationship Id="rId2055" Type="http://schemas.openxmlformats.org/officeDocument/2006/relationships/hyperlink" Target="https://finance.vietstock.vn/Serrano-ctcp-serrano-viet-nam.htm" TargetMode="External"/><Relationship Id="rId2262" Type="http://schemas.openxmlformats.org/officeDocument/2006/relationships/hyperlink" Target="https://finance.vietstock.vn/TCJ-ctcp-to-chau.htm" TargetMode="External"/><Relationship Id="rId234" Type="http://schemas.openxmlformats.org/officeDocument/2006/relationships/hyperlink" Target="https://finance.vietstock.vn/BNA-ctcp-tap-doan-dau-tu-bao-ngoc.htm" TargetMode="External"/><Relationship Id="rId679" Type="http://schemas.openxmlformats.org/officeDocument/2006/relationships/hyperlink" Target="https://finance.vietstock.vn/DSE-ctcp-chung-khoan-dnse.htm" TargetMode="External"/><Relationship Id="rId886" Type="http://schemas.openxmlformats.org/officeDocument/2006/relationships/hyperlink" Target="https://finance.vietstock.vn/GHC-ctcp-thuy-dien-gia-lai.htm" TargetMode="External"/><Relationship Id="rId2567" Type="http://schemas.openxmlformats.org/officeDocument/2006/relationships/hyperlink" Target="https://finance.vietstock.vn/VDN-ctcp-vinatex-da-nang.htm" TargetMode="External"/><Relationship Id="rId2774" Type="http://schemas.openxmlformats.org/officeDocument/2006/relationships/hyperlink" Target="https://finance.vietstock.vn/VRE-ctcp-vincom-retail.htm" TargetMode="External"/><Relationship Id="rId2" Type="http://schemas.openxmlformats.org/officeDocument/2006/relationships/hyperlink" Target="https://finance.vietstock.vn/126IBC-ctcp-dau-tu-kinh-doanh-va-xay-dung-126.htm" TargetMode="External"/><Relationship Id="rId441" Type="http://schemas.openxmlformats.org/officeDocument/2006/relationships/hyperlink" Target="https://finance.vietstock.vn/CNG-ctcp-cng-viet-nam.htm" TargetMode="External"/><Relationship Id="rId539" Type="http://schemas.openxmlformats.org/officeDocument/2006/relationships/hyperlink" Target="https://finance.vietstock.vn/DANATEX-ctcp-det-hoa-khanh-da-nang.htm" TargetMode="External"/><Relationship Id="rId746" Type="http://schemas.openxmlformats.org/officeDocument/2006/relationships/hyperlink" Target="https://finance.vietstock.vn/DXS-ctcp-dich-vu-bat-dong-san-dat-xanh.htm" TargetMode="External"/><Relationship Id="rId1071" Type="http://schemas.openxmlformats.org/officeDocument/2006/relationships/hyperlink" Target="https://finance.vietstock.vn/HNA-ctcp-thuy-dien-hua-na.htm" TargetMode="External"/><Relationship Id="rId1169" Type="http://schemas.openxmlformats.org/officeDocument/2006/relationships/hyperlink" Target="https://finance.vietstock.vn/HUX-ctcp-khoang-san-thua-thien-hue.htm" TargetMode="External"/><Relationship Id="rId1376" Type="http://schemas.openxmlformats.org/officeDocument/2006/relationships/hyperlink" Target="https://finance.vietstock.vn/LGL-ctcp-dau-tu-va-phat-trien-do-thi-long-giang.htm" TargetMode="External"/><Relationship Id="rId1583" Type="http://schemas.openxmlformats.org/officeDocument/2006/relationships/hyperlink" Target="https://finance.vietstock.vn/NDC-ctcp-nam-duoc.htm" TargetMode="External"/><Relationship Id="rId2122" Type="http://schemas.openxmlformats.org/officeDocument/2006/relationships/hyperlink" Target="https://finance.vietstock.vn/SMT-ctcp-sametel.htm" TargetMode="External"/><Relationship Id="rId2427" Type="http://schemas.openxmlformats.org/officeDocument/2006/relationships/hyperlink" Target="https://finance.vietstock.vn/TriThucDoanhNghiep-ctcp-tri-thuc-doanh-nghiep-quoc-te.htm" TargetMode="External"/><Relationship Id="rId301" Type="http://schemas.openxmlformats.org/officeDocument/2006/relationships/hyperlink" Target="https://finance.vietstock.vn/C42-ctcp-xay-dung-thuy-loi-42.htm" TargetMode="External"/><Relationship Id="rId953" Type="http://schemas.openxmlformats.org/officeDocument/2006/relationships/hyperlink" Target="https://finance.vietstock.vn/Hanaka-ctcp-tap-doan-hanaka.htm" TargetMode="External"/><Relationship Id="rId1029" Type="http://schemas.openxmlformats.org/officeDocument/2006/relationships/hyperlink" Target="https://finance.vietstock.vn/HHD-ctcp-kinh-doanh-phat-trien-nha-va-do-thi-ha-noi.htm" TargetMode="External"/><Relationship Id="rId1236" Type="http://schemas.openxmlformats.org/officeDocument/2006/relationships/hyperlink" Target="https://finance.vietstock.vn/IPA-ctcp-tap-doan-dau-tu-i-p-a.htm" TargetMode="External"/><Relationship Id="rId1790" Type="http://schemas.openxmlformats.org/officeDocument/2006/relationships/hyperlink" Target="https://finance.vietstock.vn/PMM-ctcp-hang-hai-phu-my.htm" TargetMode="External"/><Relationship Id="rId1888" Type="http://schemas.openxmlformats.org/officeDocument/2006/relationships/hyperlink" Target="https://finance.vietstock.vn/PXA-ctcp-dau-tu-va-thuong-mai-dau-khi-nghe-an.htm" TargetMode="External"/><Relationship Id="rId2634" Type="http://schemas.openxmlformats.org/officeDocument/2006/relationships/hyperlink" Target="https://finance.vietstock.vn/Vietnamtourism-ctcp-du-lich-viet-nam-ha-noi.htm" TargetMode="External"/><Relationship Id="rId2841" Type="http://schemas.openxmlformats.org/officeDocument/2006/relationships/hyperlink" Target="https://finance.vietstock.vn/X78-ctcp-acc-78.htm" TargetMode="External"/><Relationship Id="rId82" Type="http://schemas.openxmlformats.org/officeDocument/2006/relationships/hyperlink" Target="https://finance.vietstock.vn/APC-ctcp-chieu-xa-an-phu.htm" TargetMode="External"/><Relationship Id="rId606" Type="http://schemas.openxmlformats.org/officeDocument/2006/relationships/hyperlink" Target="https://finance.vietstock.vn/DIH-ctcp-dau-tu-phat-trien-xay-dung-hoi-an.htm" TargetMode="External"/><Relationship Id="rId813" Type="http://schemas.openxmlformats.org/officeDocument/2006/relationships/hyperlink" Target="https://finance.vietstock.vn/Foodinco-tong-cong-ty-co-phan-dau-tu-va-xuat-nhap-khau-foodinco.htm" TargetMode="External"/><Relationship Id="rId1443" Type="http://schemas.openxmlformats.org/officeDocument/2006/relationships/hyperlink" Target="https://finance.vietstock.vn/MBT-ctcp-bat-dong-san-cho-thue-minh-bao-tin.htm" TargetMode="External"/><Relationship Id="rId1650" Type="http://schemas.openxmlformats.org/officeDocument/2006/relationships/hyperlink" Target="https://finance.vietstock.vn/NST-ctcp-ngan-son.htm" TargetMode="External"/><Relationship Id="rId1748" Type="http://schemas.openxmlformats.org/officeDocument/2006/relationships/hyperlink" Target="https://finance.vietstock.vn/PHFM-ctcp-quan-ly-quy-phu-hung.htm" TargetMode="External"/><Relationship Id="rId2701" Type="http://schemas.openxmlformats.org/officeDocument/2006/relationships/hyperlink" Target="https://finance.vietstock.vn/VIW-tong-cong-ty-dau-tu-nuoc-va-moi-truong-viet-nam.htm" TargetMode="External"/><Relationship Id="rId1303" Type="http://schemas.openxmlformats.org/officeDocument/2006/relationships/hyperlink" Target="https://finance.vietstock.vn/KISUCO-ctcp-mia-duong-kien-giang.htm" TargetMode="External"/><Relationship Id="rId1510" Type="http://schemas.openxmlformats.org/officeDocument/2006/relationships/hyperlink" Target="https://finance.vietstock.vn/MML-ctcp-masan-meatlife.htm" TargetMode="External"/><Relationship Id="rId1955" Type="http://schemas.openxmlformats.org/officeDocument/2006/relationships/hyperlink" Target="https://finance.vietstock.vn/S74-ctcp-song-da-7-04.htm" TargetMode="External"/><Relationship Id="rId1608" Type="http://schemas.openxmlformats.org/officeDocument/2006/relationships/hyperlink" Target="https://finance.vietstock.vn/NHP-ctcp-san-xuat-xuat-nhap-khau-nhp.htm" TargetMode="External"/><Relationship Id="rId1815" Type="http://schemas.openxmlformats.org/officeDocument/2006/relationships/hyperlink" Target="https://finance.vietstock.vn/PPS-ctcp-dich-vu-ky-thuat-dien-luc-dau-khi-viet-nam.htm" TargetMode="External"/><Relationship Id="rId189" Type="http://schemas.openxmlformats.org/officeDocument/2006/relationships/hyperlink" Target="https://finance.vietstock.vn/BHN-tong-cong-ty-co-phan-bia-ruou-nuoc-giai-khat-ha-noi.htm" TargetMode="External"/><Relationship Id="rId396" Type="http://schemas.openxmlformats.org/officeDocument/2006/relationships/hyperlink" Target="https://finance.vietstock.vn/CIENCO5-tong-cong-ty-xay-dung-cong-trinh-giao-thong-5-ctcp.htm" TargetMode="External"/><Relationship Id="rId2077" Type="http://schemas.openxmlformats.org/officeDocument/2006/relationships/hyperlink" Target="https://finance.vietstock.vn/SHA-ctcp-son-ha-sai-gon.htm" TargetMode="External"/><Relationship Id="rId2284" Type="http://schemas.openxmlformats.org/officeDocument/2006/relationships/hyperlink" Target="https://finance.vietstock.vn/TDT-ctcp-dau-tu-va-phat-trien-tdt.htm" TargetMode="External"/><Relationship Id="rId2491" Type="http://schemas.openxmlformats.org/officeDocument/2006/relationships/hyperlink" Target="https://finance.vietstock.vn/TYA-ctcp-day-va-cap-dien-taya-viet-nam.htm" TargetMode="External"/><Relationship Id="rId256" Type="http://schemas.openxmlformats.org/officeDocument/2006/relationships/hyperlink" Target="https://finance.vietstock.vn/BSP-ctcp-bia-sai-gon-phu-tho.htm" TargetMode="External"/><Relationship Id="rId463" Type="http://schemas.openxmlformats.org/officeDocument/2006/relationships/hyperlink" Target="https://finance.vietstock.vn/COPAC-ctcp-dau-tu-xay-dung-va-thuong-mai-thai-binh-duong.htm" TargetMode="External"/><Relationship Id="rId670" Type="http://schemas.openxmlformats.org/officeDocument/2006/relationships/hyperlink" Target="https://finance.vietstock.vn/DQC-ctcp-tap-doan-dien-quang.htm" TargetMode="External"/><Relationship Id="rId1093" Type="http://schemas.openxmlformats.org/officeDocument/2006/relationships/hyperlink" Target="https://finance.vietstock.vn/HOM-ctcp-xi-mang-vicem-hoang-mai.htm" TargetMode="External"/><Relationship Id="rId2144" Type="http://schemas.openxmlformats.org/officeDocument/2006/relationships/hyperlink" Target="https://finance.vietstock.vn/SP2-ctcp-thuy-dien-su-pan-2.htm" TargetMode="External"/><Relationship Id="rId2351" Type="http://schemas.openxmlformats.org/officeDocument/2006/relationships/hyperlink" Target="https://finance.vietstock.vn/Titco-ctcp-san-xuat-va-thuong-mai-hang-xuat-khau-tan-binh.htm" TargetMode="External"/><Relationship Id="rId2589" Type="http://schemas.openxmlformats.org/officeDocument/2006/relationships/hyperlink" Target="https://finance.vietstock.vn/VFC-ctcp-vinafco.htm" TargetMode="External"/><Relationship Id="rId2796" Type="http://schemas.openxmlformats.org/officeDocument/2006/relationships/hyperlink" Target="https://finance.vietstock.vn/VTCC-ctcp-quan-ly-quy-viet-tin.htm" TargetMode="External"/><Relationship Id="rId116" Type="http://schemas.openxmlformats.org/officeDocument/2006/relationships/hyperlink" Target="https://finance.vietstock.vn/AUM-ctcp-vinacafe-son-thanh.htm" TargetMode="External"/><Relationship Id="rId323" Type="http://schemas.openxmlformats.org/officeDocument/2006/relationships/hyperlink" Target="https://finance.vietstock.vn/CAR-ctcp-tap-doan-giao-duc-tri-viet.htm" TargetMode="External"/><Relationship Id="rId530" Type="http://schemas.openxmlformats.org/officeDocument/2006/relationships/hyperlink" Target="https://finance.vietstock.vn/DAD-ctcp-dau-tu-va-phat-trien-giao-duc-da-nang.htm" TargetMode="External"/><Relationship Id="rId768" Type="http://schemas.openxmlformats.org/officeDocument/2006/relationships/hyperlink" Target="https://finance.vietstock.vn/EMC-ctcp-co-dien-thu-duc.htm" TargetMode="External"/><Relationship Id="rId975" Type="http://schemas.openxmlformats.org/officeDocument/2006/relationships/hyperlink" Target="https://finance.vietstock.vn/HBC-ctcp-tap-doan-xay-dung-hoa-binh.htm" TargetMode="External"/><Relationship Id="rId1160" Type="http://schemas.openxmlformats.org/officeDocument/2006/relationships/hyperlink" Target="https://finance.vietstock.vn/HUG-tong-cong-ty-may-hung-yen-ctcp.htm" TargetMode="External"/><Relationship Id="rId1398" Type="http://schemas.openxmlformats.org/officeDocument/2006/relationships/hyperlink" Target="https://finance.vietstock.vn/LMC-ctcp-long-beach-lmc.htm" TargetMode="External"/><Relationship Id="rId2004" Type="http://schemas.openxmlformats.org/officeDocument/2006/relationships/hyperlink" Target="https://finance.vietstock.vn/SCB-ngan-hang-tmcp-sai-gon.htm" TargetMode="External"/><Relationship Id="rId2211" Type="http://schemas.openxmlformats.org/officeDocument/2006/relationships/hyperlink" Target="https://finance.vietstock.vn/SZL-ctcp-sonadezi-long-thanh.htm" TargetMode="External"/><Relationship Id="rId2449" Type="http://schemas.openxmlformats.org/officeDocument/2006/relationships/hyperlink" Target="https://finance.vietstock.vn/TTC-ctcp-gach-men-thanh-thanh.htm" TargetMode="External"/><Relationship Id="rId2656" Type="http://schemas.openxmlformats.org/officeDocument/2006/relationships/hyperlink" Target="https://finance.vietstock.vn/VIN-ctcp-giao-nhan-kho-van-ngoai-thuong-viet-nam.htm" TargetMode="External"/><Relationship Id="rId2863" Type="http://schemas.openxmlformats.org/officeDocument/2006/relationships/hyperlink" Target="https://finance.vietstock.vn/XLV-ctcp-xay-lap-va-dich-vu-song-da.htm" TargetMode="External"/><Relationship Id="rId628" Type="http://schemas.openxmlformats.org/officeDocument/2006/relationships/hyperlink" Target="https://finance.vietstock.vn/DMX-ctcp-dau-tu-dien-may-xanh.htm" TargetMode="External"/><Relationship Id="rId835" Type="http://schemas.openxmlformats.org/officeDocument/2006/relationships/hyperlink" Target="https://finance.vietstock.vn/FUEABVND-chung-chi-quy-etf-abfvn-diamond.htm" TargetMode="External"/><Relationship Id="rId1258" Type="http://schemas.openxmlformats.org/officeDocument/2006/relationships/hyperlink" Target="https://finance.vietstock.vn/KASJSC-ctcp-xay-lap-va-dich-vu-buu-dien-kien-giang.htm" TargetMode="External"/><Relationship Id="rId1465" Type="http://schemas.openxmlformats.org/officeDocument/2006/relationships/hyperlink" Target="https://finance.vietstock.vn/MDN-ctcp-tong-cong-ty-may-dong-nai.htm" TargetMode="External"/><Relationship Id="rId1672" Type="http://schemas.openxmlformats.org/officeDocument/2006/relationships/hyperlink" Target="https://finance.vietstock.vn/NVT-ctcp-bat-dong-san-du-lich-ninh-van-bay.htm" TargetMode="External"/><Relationship Id="rId2309" Type="http://schemas.openxmlformats.org/officeDocument/2006/relationships/hyperlink" Target="https://finance.vietstock.vn/ThanhNienMedia-ctcp-tap-doan-truyen-thong-thanh-nien.htm" TargetMode="External"/><Relationship Id="rId2516" Type="http://schemas.openxmlformats.org/officeDocument/2006/relationships/hyperlink" Target="https://finance.vietstock.vn/VAB-ngan-hang-tmcp-viet-a.htm" TargetMode="External"/><Relationship Id="rId2723" Type="http://schemas.openxmlformats.org/officeDocument/2006/relationships/hyperlink" Target="https://finance.vietstock.vn/VMD-ctcp-y-duoc-pham-vimedimex.htm" TargetMode="External"/><Relationship Id="rId1020" Type="http://schemas.openxmlformats.org/officeDocument/2006/relationships/hyperlink" Target="https://finance.vietstock.vn/HGA-trung-tam-giong-nong-nghiep-tinh-hau-giang.htm" TargetMode="External"/><Relationship Id="rId1118" Type="http://schemas.openxmlformats.org/officeDocument/2006/relationships/hyperlink" Target="https://finance.vietstock.vn/HPX-ctcp-dau-tu-hai-phat.htm" TargetMode="External"/><Relationship Id="rId1325" Type="http://schemas.openxmlformats.org/officeDocument/2006/relationships/hyperlink" Target="https://finance.vietstock.vn/KST-ctcp-kasati.htm" TargetMode="External"/><Relationship Id="rId1532" Type="http://schemas.openxmlformats.org/officeDocument/2006/relationships/hyperlink" Target="https://finance.vietstock.vn/MTC-ctcp-dich-vu-du-lich-my-tra.htm" TargetMode="External"/><Relationship Id="rId1977" Type="http://schemas.openxmlformats.org/officeDocument/2006/relationships/hyperlink" Target="https://finance.vietstock.vn/Saigontourist-tong-cong-ty-du-lich-sai-gon-cong-ty-tnhh-mtv.htm" TargetMode="External"/><Relationship Id="rId902" Type="http://schemas.openxmlformats.org/officeDocument/2006/relationships/hyperlink" Target="https://finance.vietstock.vn/GKM-ctcp-gkm-holdings.htm" TargetMode="External"/><Relationship Id="rId1837" Type="http://schemas.openxmlformats.org/officeDocument/2006/relationships/hyperlink" Target="https://finance.vietstock.vn/PTC-ctcp-dau-tu-icapital.htm" TargetMode="External"/><Relationship Id="rId31" Type="http://schemas.openxmlformats.org/officeDocument/2006/relationships/hyperlink" Target="https://finance.vietstock.vn/ACM-ctcp-tap-doan-khoang-san-a-cuong.htm" TargetMode="External"/><Relationship Id="rId2099" Type="http://schemas.openxmlformats.org/officeDocument/2006/relationships/hyperlink" Target="https://finance.vietstock.vn/SJ1-ctcp-nong-nghiep-hung-hau.htm" TargetMode="External"/><Relationship Id="rId180" Type="http://schemas.openxmlformats.org/officeDocument/2006/relationships/hyperlink" Target="https://finance.vietstock.vn/BGM-ctcp-khai-thac-va-che-bien-khoang-san-bac-giang.htm" TargetMode="External"/><Relationship Id="rId278" Type="http://schemas.openxmlformats.org/officeDocument/2006/relationships/hyperlink" Target="https://finance.vietstock.vn/BTWASECO-ctcp-cap-thoat-nuoc-binh-thuan.htm" TargetMode="External"/><Relationship Id="rId1904" Type="http://schemas.openxmlformats.org/officeDocument/2006/relationships/hyperlink" Target="https://finance.vietstock.vn/QLD-ctcp-quan-ly-va-xay-dung-giao-thong-lang-son.htm" TargetMode="External"/><Relationship Id="rId485" Type="http://schemas.openxmlformats.org/officeDocument/2006/relationships/hyperlink" Target="https://finance.vietstock.vn/CSI-ctcp-chung-khoan-kien-thiet-viet-nam.htm" TargetMode="External"/><Relationship Id="rId692" Type="http://schemas.openxmlformats.org/officeDocument/2006/relationships/hyperlink" Target="https://finance.vietstock.vn/DTD-ctcp-dau-tu-phat-trien-thanh-dat.htm" TargetMode="External"/><Relationship Id="rId2166" Type="http://schemas.openxmlformats.org/officeDocument/2006/relationships/hyperlink" Target="https://finance.vietstock.vn/SSH-ctcp-phat-trien-sunshine-homes.htm" TargetMode="External"/><Relationship Id="rId2373" Type="http://schemas.openxmlformats.org/officeDocument/2006/relationships/hyperlink" Target="https://finance.vietstock.vn/TMD-ctcp-thuong-mai-va-dai-ly-dau-tinh-ba-ria-vung-tau.htm" TargetMode="External"/><Relationship Id="rId2580" Type="http://schemas.openxmlformats.org/officeDocument/2006/relationships/hyperlink" Target="https://finance.vietstock.vn/VECVN-tong-cong-ty-dau-tu-phat-trien-duong-cao-toc-viet-nam-vec.htm" TargetMode="External"/><Relationship Id="rId138" Type="http://schemas.openxmlformats.org/officeDocument/2006/relationships/hyperlink" Target="https://finance.vietstock.vn/Baseafood-ctcp-che-bien-xuat-nhap-khau-thuy-san-ba-ria-vung-tau.htm" TargetMode="External"/><Relationship Id="rId345" Type="http://schemas.openxmlformats.org/officeDocument/2006/relationships/hyperlink" Target="https://finance.vietstock.vn/CCA-ctcp-xuat-nhap-khau-thuy-san-can-tho.htm" TargetMode="External"/><Relationship Id="rId552" Type="http://schemas.openxmlformats.org/officeDocument/2006/relationships/hyperlink" Target="https://finance.vietstock.vn/DBT-ctcp-duoc-pham-ben-tre.htm" TargetMode="External"/><Relationship Id="rId997" Type="http://schemas.openxmlformats.org/officeDocument/2006/relationships/hyperlink" Target="https://finance.vietstock.vn/HDBS-ctcp-chung-khoan-hd.htm" TargetMode="External"/><Relationship Id="rId1182" Type="http://schemas.openxmlformats.org/officeDocument/2006/relationships/hyperlink" Target="https://finance.vietstock.vn/IBD-ctcp-in-tong-hop-binh-duong.htm" TargetMode="External"/><Relationship Id="rId2026" Type="http://schemas.openxmlformats.org/officeDocument/2006/relationships/hyperlink" Target="https://finance.vietstock.vn/SD7-ctcp-song-da-7.htm" TargetMode="External"/><Relationship Id="rId2233" Type="http://schemas.openxmlformats.org/officeDocument/2006/relationships/hyperlink" Target="https://finance.vietstock.vn/TAP-ctcp-do-thi-tan-an.htm" TargetMode="External"/><Relationship Id="rId2440" Type="http://schemas.openxmlformats.org/officeDocument/2006/relationships/hyperlink" Target="https://finance.vietstock.vn/TSD-ctcp-du-lich-truong-son-coecco.htm" TargetMode="External"/><Relationship Id="rId2678" Type="http://schemas.openxmlformats.org/officeDocument/2006/relationships/hyperlink" Target="https://finance.vietstock.vn/Vinatour-ctcp-du-lich-va-thuong-mai-quoc-te-vinatour.htm" TargetMode="External"/><Relationship Id="rId2885" Type="http://schemas.openxmlformats.org/officeDocument/2006/relationships/drawing" Target="../drawings/drawing1.xml"/><Relationship Id="rId205" Type="http://schemas.openxmlformats.org/officeDocument/2006/relationships/hyperlink" Target="https://finance.vietstock.vn/BinhDinh-ctcp-vat-tu-ky-thuat-nong-nghiep-binh-dinh.htm" TargetMode="External"/><Relationship Id="rId412" Type="http://schemas.openxmlformats.org/officeDocument/2006/relationships/hyperlink" Target="https://finance.vietstock.vn/CKH-ctcp-co-khi-che-tao-hai-phong.htm" TargetMode="External"/><Relationship Id="rId857" Type="http://schemas.openxmlformats.org/officeDocument/2006/relationships/hyperlink" Target="https://finance.vietstock.vn/GAS-tong-cong-ty-khi-viet-nam-ctcp.htm" TargetMode="External"/><Relationship Id="rId1042" Type="http://schemas.openxmlformats.org/officeDocument/2006/relationships/hyperlink" Target="https://finance.vietstock.vn/HII-ctcp-an-tien-industries.htm" TargetMode="External"/><Relationship Id="rId1487" Type="http://schemas.openxmlformats.org/officeDocument/2006/relationships/hyperlink" Target="https://finance.vietstock.vn/MHP-ctcp-moi-truong-va-dich-vu-do-thi-viet-tri.htm" TargetMode="External"/><Relationship Id="rId1694" Type="http://schemas.openxmlformats.org/officeDocument/2006/relationships/hyperlink" Target="https://finance.vietstock.vn/OtoTienGiang-ctcp-van-tai-o-to-tien-giang.htm" TargetMode="External"/><Relationship Id="rId2300" Type="http://schemas.openxmlformats.org/officeDocument/2006/relationships/hyperlink" Target="https://finance.vietstock.vn/ThachBan-ctcp-thach-ban.htm" TargetMode="External"/><Relationship Id="rId2538" Type="http://schemas.openxmlformats.org/officeDocument/2006/relationships/hyperlink" Target="https://finance.vietstock.vn/VCA-ctcp-thep-vicasa.htm" TargetMode="External"/><Relationship Id="rId2745" Type="http://schemas.openxmlformats.org/officeDocument/2006/relationships/hyperlink" Target="https://finance.vietstock.vn/VNP-ctcp-nhua-viet-nam.htm" TargetMode="External"/><Relationship Id="rId717" Type="http://schemas.openxmlformats.org/officeDocument/2006/relationships/hyperlink" Target="https://finance.vietstock.vn/DuocNamHa-ctcp-duoc-pham-nam-ha.htm" TargetMode="External"/><Relationship Id="rId924" Type="http://schemas.openxmlformats.org/officeDocument/2006/relationships/hyperlink" Target="https://finance.vietstock.vn/GTD-ctcp-giay-thuong-dinh.htm" TargetMode="External"/><Relationship Id="rId1347" Type="http://schemas.openxmlformats.org/officeDocument/2006/relationships/hyperlink" Target="https://finance.vietstock.vn/L62-ctcp-lilama-69-2.htm" TargetMode="External"/><Relationship Id="rId1554" Type="http://schemas.openxmlformats.org/officeDocument/2006/relationships/hyperlink" Target="https://finance.vietstock.vn/NAF-ctcp-nafoods-group.htm" TargetMode="External"/><Relationship Id="rId1761" Type="http://schemas.openxmlformats.org/officeDocument/2006/relationships/hyperlink" Target="https://finance.vietstock.vn/PhuongTrang-ctcp-du-lich-va-van-tai-phuong-trang.htm" TargetMode="External"/><Relationship Id="rId1999" Type="http://schemas.openxmlformats.org/officeDocument/2006/relationships/hyperlink" Target="https://finance.vietstock.vn/SBS-ctcp-chung-khoan-sbs.htm" TargetMode="External"/><Relationship Id="rId2605" Type="http://schemas.openxmlformats.org/officeDocument/2006/relationships/hyperlink" Target="https://finance.vietstock.vn/VHD-ctcp-dau-tu-phat-trien-nha-va-do-thi-vinahud.htm" TargetMode="External"/><Relationship Id="rId2812" Type="http://schemas.openxmlformats.org/officeDocument/2006/relationships/hyperlink" Target="https://finance.vietstock.vn/VTR-ctcp-du-lich-vietravel.htm" TargetMode="External"/><Relationship Id="rId53" Type="http://schemas.openxmlformats.org/officeDocument/2006/relationships/hyperlink" Target="https://finance.vietstock.vn/AGRITOUR-ctcp-du-lich-thuong-mai-nong-nghiep-viet-nam.htm" TargetMode="External"/><Relationship Id="rId1207" Type="http://schemas.openxmlformats.org/officeDocument/2006/relationships/hyperlink" Target="https://finance.vietstock.vn/IJC-ctcp-phat-trien-ha-tang-ky-thuat.htm" TargetMode="External"/><Relationship Id="rId1414" Type="http://schemas.openxmlformats.org/officeDocument/2006/relationships/hyperlink" Target="https://finance.vietstock.vn/LTG-ctcp-tap-doan-loc-troi.htm" TargetMode="External"/><Relationship Id="rId1621" Type="http://schemas.openxmlformats.org/officeDocument/2006/relationships/hyperlink" Target="https://finance.vietstock.vn/NLS-ctcp-cap-thoat-nuoc-lang-son.htm" TargetMode="External"/><Relationship Id="rId1859" Type="http://schemas.openxmlformats.org/officeDocument/2006/relationships/hyperlink" Target="https://finance.vietstock.vn/PVCI-ctcp-dau-tu-xay-lap-dau-khi-viet-nam.htm" TargetMode="External"/><Relationship Id="rId1719" Type="http://schemas.openxmlformats.org/officeDocument/2006/relationships/hyperlink" Target="https://finance.vietstock.vn/PDB-ctcp-tap-doan-dau-tu-din-capital.htm" TargetMode="External"/><Relationship Id="rId1926" Type="http://schemas.openxmlformats.org/officeDocument/2006/relationships/hyperlink" Target="https://finance.vietstock.vn/RCD-ctcp-xay-dung-dia-oc-cao-su.htm" TargetMode="External"/><Relationship Id="rId2090" Type="http://schemas.openxmlformats.org/officeDocument/2006/relationships/hyperlink" Target="https://finance.vietstock.vn/SHV-ctcp-hai-viet.htm" TargetMode="External"/><Relationship Id="rId2188" Type="http://schemas.openxmlformats.org/officeDocument/2006/relationships/hyperlink" Target="https://finance.vietstock.vn/STU-ctcp-moi-truong-va-cong-trinh-do-thi-son-tay.htm" TargetMode="External"/><Relationship Id="rId2395" Type="http://schemas.openxmlformats.org/officeDocument/2006/relationships/hyperlink" Target="https://finance.vietstock.vn/TNT-ctcp-tap-doan-tnt.htm" TargetMode="External"/><Relationship Id="rId367" Type="http://schemas.openxmlformats.org/officeDocument/2006/relationships/hyperlink" Target="https://finance.vietstock.vn/CEG-ctcp-tap-doan-xay-dung-va-thiet-bi-cong-nghiep.htm" TargetMode="External"/><Relationship Id="rId574" Type="http://schemas.openxmlformats.org/officeDocument/2006/relationships/hyperlink" Target="https://finance.vietstock.vn/DeltaAgf-ctcp-dau-tu-va-xay-dung-delta-agf.htm" TargetMode="External"/><Relationship Id="rId2048" Type="http://schemas.openxmlformats.org/officeDocument/2006/relationships/hyperlink" Target="https://finance.vietstock.vn/SDY-ctcp-xi-mang-song-da-yaly.htm" TargetMode="External"/><Relationship Id="rId2255" Type="http://schemas.openxmlformats.org/officeDocument/2006/relationships/hyperlink" Target="https://finance.vietstock.vn/TBX-ctcp-xi-mang-thai-binh.htm" TargetMode="External"/><Relationship Id="rId227" Type="http://schemas.openxmlformats.org/officeDocument/2006/relationships/hyperlink" Target="https://finance.vietstock.vn/BMJ-ctcp-khoang-san-mien-dong-ahp.htm" TargetMode="External"/><Relationship Id="rId781" Type="http://schemas.openxmlformats.org/officeDocument/2006/relationships/hyperlink" Target="https://finance.vietstock.vn/EVNGENCO1-tong-cong-ty-phat-dien-1.htm" TargetMode="External"/><Relationship Id="rId879" Type="http://schemas.openxmlformats.org/officeDocument/2006/relationships/hyperlink" Target="https://finance.vietstock.vn/GER-ctcp-the-thao-ngoi-sao-geru.htm" TargetMode="External"/><Relationship Id="rId2462" Type="http://schemas.openxmlformats.org/officeDocument/2006/relationships/hyperlink" Target="https://finance.vietstock.vn/TTT-ctcp-du-lich-thuong-mai-tay-ninh.htm" TargetMode="External"/><Relationship Id="rId2767" Type="http://schemas.openxmlformats.org/officeDocument/2006/relationships/hyperlink" Target="https://finance.vietstock.vn/VPR-ctcp-vinaprint.htm" TargetMode="External"/><Relationship Id="rId434" Type="http://schemas.openxmlformats.org/officeDocument/2006/relationships/hyperlink" Target="https://finance.vietstock.vn/CMS-ctcp-tap-doan-cmh-viet-nam.htm" TargetMode="External"/><Relationship Id="rId641" Type="http://schemas.openxmlformats.org/officeDocument/2006/relationships/hyperlink" Target="https://finance.vietstock.vn/DNR-ctcp-duong-sat-quang-nam-da-nang.htm" TargetMode="External"/><Relationship Id="rId739" Type="http://schemas.openxmlformats.org/officeDocument/2006/relationships/hyperlink" Target="https://finance.vietstock.vn/DWC-ctcp-cap-nuoc-dak-lak.htm" TargetMode="External"/><Relationship Id="rId1064" Type="http://schemas.openxmlformats.org/officeDocument/2006/relationships/hyperlink" Target="https://finance.vietstock.vn/HMC-ctcp-kim-khi-thanh-pho-ho-chi-minh-vnsteel.htm" TargetMode="External"/><Relationship Id="rId1271" Type="http://schemas.openxmlformats.org/officeDocument/2006/relationships/hyperlink" Target="https://finance.vietstock.vn/KGU-ctcp-phat-trien-do-thi-kien-giang.htm" TargetMode="External"/><Relationship Id="rId1369" Type="http://schemas.openxmlformats.org/officeDocument/2006/relationships/hyperlink" Target="https://finance.vietstock.vn/LCW-ctcp-nuoc-sach-lai-chau.htm" TargetMode="External"/><Relationship Id="rId1576" Type="http://schemas.openxmlformats.org/officeDocument/2006/relationships/hyperlink" Target="https://finance.vietstock.vn/NBS-ctcp-ben-xe-nghe-an.htm" TargetMode="External"/><Relationship Id="rId2115" Type="http://schemas.openxmlformats.org/officeDocument/2006/relationships/hyperlink" Target="https://finance.vietstock.vn/SMA-ctcp-thiet-bi-phu-tung-sai-gon.htm" TargetMode="External"/><Relationship Id="rId2322" Type="http://schemas.openxmlformats.org/officeDocument/2006/relationships/hyperlink" Target="https://finance.vietstock.vn/ThienHuong-ctcp-thuc-pham-thien-huong.htm" TargetMode="External"/><Relationship Id="rId501" Type="http://schemas.openxmlformats.org/officeDocument/2006/relationships/hyperlink" Target="https://finance.vietstock.vn/CTGT-ctcp-cong-trinh-giao-thong-tinh-ba-ria-vung-tau.htm" TargetMode="External"/><Relationship Id="rId946" Type="http://schemas.openxmlformats.org/officeDocument/2006/relationships/hyperlink" Target="https://finance.vietstock.vn/Haicatex-ctcp-det-cong-nghiep-ha-noi.htm" TargetMode="External"/><Relationship Id="rId1131" Type="http://schemas.openxmlformats.org/officeDocument/2006/relationships/hyperlink" Target="https://finance.vietstock.vn/HSP-ctcp-son-tong-hop-ha-noi.htm" TargetMode="External"/><Relationship Id="rId1229" Type="http://schemas.openxmlformats.org/officeDocument/2006/relationships/hyperlink" Target="https://finance.vietstock.vn/InTienGiang-ctcp-in-tien-giang.htm" TargetMode="External"/><Relationship Id="rId1783" Type="http://schemas.openxmlformats.org/officeDocument/2006/relationships/hyperlink" Target="https://finance.vietstock.vn/PLP-ctcp-san-xuat-va-cong-nghe-nhua-pha-le.htm" TargetMode="External"/><Relationship Id="rId1990" Type="http://schemas.openxmlformats.org/officeDocument/2006/relationships/hyperlink" Target="https://finance.vietstock.vn/SBBS-ctcp-chung-khoan-sbb.htm" TargetMode="External"/><Relationship Id="rId2627" Type="http://schemas.openxmlformats.org/officeDocument/2006/relationships/hyperlink" Target="https://finance.vietstock.vn/VienthongDaLat-ctcp-dich-vu-thuong-mai-va-xay-lap-vien-thong-da-lat.htm" TargetMode="External"/><Relationship Id="rId2834" Type="http://schemas.openxmlformats.org/officeDocument/2006/relationships/hyperlink" Target="https://finance.vietstock.vn/WSS-ctcp-chung-khoan-pho-wall.htm" TargetMode="External"/><Relationship Id="rId75" Type="http://schemas.openxmlformats.org/officeDocument/2006/relationships/hyperlink" Target="https://finance.vietstock.vn/ANCO-ctcp-dinh-duong-nong-nghiep-quoc-te.htm" TargetMode="External"/><Relationship Id="rId806" Type="http://schemas.openxmlformats.org/officeDocument/2006/relationships/hyperlink" Target="https://finance.vietstock.vn/FIR-ctcp-dia-oc-first-real.htm" TargetMode="External"/><Relationship Id="rId1436" Type="http://schemas.openxmlformats.org/officeDocument/2006/relationships/hyperlink" Target="https://finance.vietstock.vn/MayVietThinh-ctcp-may-viet-thinh.htm" TargetMode="External"/><Relationship Id="rId1643" Type="http://schemas.openxmlformats.org/officeDocument/2006/relationships/hyperlink" Target="https://finance.vietstock.vn/NSG-ctcp-nhua-sai-gon.htm" TargetMode="External"/><Relationship Id="rId1850" Type="http://schemas.openxmlformats.org/officeDocument/2006/relationships/hyperlink" Target="https://finance.vietstock.vn/PTP-ctcp-ptp.htm" TargetMode="External"/><Relationship Id="rId1503" Type="http://schemas.openxmlformats.org/officeDocument/2006/relationships/hyperlink" Target="https://finance.vietstock.vn/MJC-ctcp-thuong-mai-moc-hoa.htm" TargetMode="External"/><Relationship Id="rId1710" Type="http://schemas.openxmlformats.org/officeDocument/2006/relationships/hyperlink" Target="https://finance.vietstock.vn/PC1-ctcp-tap-doan-pc1.htm" TargetMode="External"/><Relationship Id="rId1948" Type="http://schemas.openxmlformats.org/officeDocument/2006/relationships/hyperlink" Target="https://finance.vietstock.vn/RYG-ctcp-san-xuat-va-dau-tu-hoang-gia.htm" TargetMode="External"/><Relationship Id="rId291" Type="http://schemas.openxmlformats.org/officeDocument/2006/relationships/hyperlink" Target="https://finance.vietstock.vn/BWE-ctcp-tong-cong-ty-nuoc-moi-truong-binh-duong.htm" TargetMode="External"/><Relationship Id="rId1808" Type="http://schemas.openxmlformats.org/officeDocument/2006/relationships/hyperlink" Target="https://finance.vietstock.vn/POW-tong-cong-ty-dien-luc-dau-khi-viet-nam-ctcp.htm" TargetMode="External"/><Relationship Id="rId151" Type="http://schemas.openxmlformats.org/officeDocument/2006/relationships/hyperlink" Target="https://finance.vietstock.vn/BCE-ctcp-xay-dung-giao-thong-becamex.htm" TargetMode="External"/><Relationship Id="rId389" Type="http://schemas.openxmlformats.org/officeDocument/2006/relationships/hyperlink" Target="https://finance.vietstock.vn/CIC1-ctcp-xay-dung-dan-dung-cong-nghiep-so-1-dong-nai.htm" TargetMode="External"/><Relationship Id="rId596" Type="http://schemas.openxmlformats.org/officeDocument/2006/relationships/hyperlink" Target="https://finance.vietstock.vn/DiaOcGiaDinh-ctcp-dau-tu-dia-oc-gia-dinh.htm" TargetMode="External"/><Relationship Id="rId2277" Type="http://schemas.openxmlformats.org/officeDocument/2006/relationships/hyperlink" Target="https://finance.vietstock.vn/TDG-ctcp-dau-tu-tdg-global.htm" TargetMode="External"/><Relationship Id="rId2484" Type="http://schemas.openxmlformats.org/officeDocument/2006/relationships/hyperlink" Target="https://finance.vietstock.vn/TVS-ctcp-chung-khoan-thien-viet.htm" TargetMode="External"/><Relationship Id="rId2691" Type="http://schemas.openxmlformats.org/officeDocument/2006/relationships/hyperlink" Target="https://finance.vietstock.vn/Vipaco-ctcp-vipaco.htm" TargetMode="External"/><Relationship Id="rId249" Type="http://schemas.openxmlformats.org/officeDocument/2006/relationships/hyperlink" Target="https://finance.vietstock.vn/BSC-ctcp-dich-vu-ben-thanh.htm" TargetMode="External"/><Relationship Id="rId456" Type="http://schemas.openxmlformats.org/officeDocument/2006/relationships/hyperlink" Target="https://finance.vietstock.vn/CongTrinh134-ctcp-dau-tu-va-xay-dung-cong-trinh-134.htm" TargetMode="External"/><Relationship Id="rId663" Type="http://schemas.openxmlformats.org/officeDocument/2006/relationships/hyperlink" Target="https://finance.vietstock.vn/DPC-ctcp-nhua-da-nang.htm" TargetMode="External"/><Relationship Id="rId870" Type="http://schemas.openxmlformats.org/officeDocument/2006/relationships/hyperlink" Target="https://finance.vietstock.vn/Gefoseco-ctcp-thuc-pham-va-dich-vu-tong-hop.htm" TargetMode="External"/><Relationship Id="rId1086" Type="http://schemas.openxmlformats.org/officeDocument/2006/relationships/hyperlink" Target="https://finance.vietstock.vn/HoaChatCanTho-ctcp-phan-bon-va-hoa-chat-can-tho.htm" TargetMode="External"/><Relationship Id="rId1293" Type="http://schemas.openxmlformats.org/officeDocument/2006/relationships/hyperlink" Target="https://finance.vietstock.vn/KIGIWI-ctcp-van-tai-thuy-bo-kien-giang.htm" TargetMode="External"/><Relationship Id="rId2137" Type="http://schemas.openxmlformats.org/officeDocument/2006/relationships/hyperlink" Target="https://finance.vietstock.vn/SongHau-ctcp-che-bien-thuc-pham-song-hau.htm" TargetMode="External"/><Relationship Id="rId2344" Type="http://schemas.openxmlformats.org/officeDocument/2006/relationships/hyperlink" Target="https://finance.vietstock.vn/TIG-ctcp-tap-doan-dau-tu-thang-long.htm" TargetMode="External"/><Relationship Id="rId2551" Type="http://schemas.openxmlformats.org/officeDocument/2006/relationships/hyperlink" Target="https://finance.vietstock.vn/VCK-ctcp-chung-khoan-vps.htm" TargetMode="External"/><Relationship Id="rId2789" Type="http://schemas.openxmlformats.org/officeDocument/2006/relationships/hyperlink" Target="https://finance.vietstock.vn/VSP-ctcp-van-tai-bien-va-bat-dong-san-viet-hai.htm" TargetMode="External"/><Relationship Id="rId109" Type="http://schemas.openxmlformats.org/officeDocument/2006/relationships/hyperlink" Target="https://finance.vietstock.vn/ATA-ctcp-ntaco.htm" TargetMode="External"/><Relationship Id="rId316" Type="http://schemas.openxmlformats.org/officeDocument/2006/relationships/hyperlink" Target="https://finance.vietstock.vn/CangVatCach-ctcp-cang-vat-cach.htm" TargetMode="External"/><Relationship Id="rId523" Type="http://schemas.openxmlformats.org/officeDocument/2006/relationships/hyperlink" Target="https://finance.vietstock.vn/CZC-ctcp-than-mien-trung.htm" TargetMode="External"/><Relationship Id="rId968" Type="http://schemas.openxmlformats.org/officeDocument/2006/relationships/hyperlink" Target="https://finance.vietstock.vn/HAS-ctcp-hacisco.htm" TargetMode="External"/><Relationship Id="rId1153" Type="http://schemas.openxmlformats.org/officeDocument/2006/relationships/hyperlink" Target="https://finance.vietstock.vn/HTW-ctcp-cap-nuoc-ha-tinh.htm" TargetMode="External"/><Relationship Id="rId1598" Type="http://schemas.openxmlformats.org/officeDocument/2006/relationships/hyperlink" Target="https://finance.vietstock.vn/NHA-tong-cong-ty-dau-tu-phat-trien-nha-va-do-thi-nam-ha-noi.htm" TargetMode="External"/><Relationship Id="rId2204" Type="http://schemas.openxmlformats.org/officeDocument/2006/relationships/hyperlink" Target="https://finance.vietstock.vn/SVT-ctcp-cong-nghe-sai-gon-vien-dong.htm" TargetMode="External"/><Relationship Id="rId2649" Type="http://schemas.openxmlformats.org/officeDocument/2006/relationships/hyperlink" Target="https://finance.vietstock.vn/VikkiBank-ngan-hang-tnhh-mot-thanh-vien-so-vikki.htm" TargetMode="External"/><Relationship Id="rId2856" Type="http://schemas.openxmlformats.org/officeDocument/2006/relationships/hyperlink" Target="https://finance.vietstock.vn/XDVinaconex-ctcp-xay-dung-va-dich-vu-vinaconex.htm" TargetMode="External"/><Relationship Id="rId97" Type="http://schemas.openxmlformats.org/officeDocument/2006/relationships/hyperlink" Target="https://finance.vietstock.vn/Artexport-ctcp-xuat-nhap-khau-thu-cong-my-nghe.htm" TargetMode="External"/><Relationship Id="rId730" Type="http://schemas.openxmlformats.org/officeDocument/2006/relationships/hyperlink" Target="https://finance.vietstock.vn/DVCCBinhDuong-ctcp-xay-dung-va-dich-vu-cong-cong-binh-duong.htm" TargetMode="External"/><Relationship Id="rId828" Type="http://schemas.openxmlformats.org/officeDocument/2006/relationships/hyperlink" Target="https://finance.vietstock.vn/FTM-ctcp-dau-tu-va-phat-trien-duc-quan.htm" TargetMode="External"/><Relationship Id="rId1013" Type="http://schemas.openxmlformats.org/officeDocument/2006/relationships/hyperlink" Target="https://finance.vietstock.vn/HEP-ctcp-moi-truong-va-cong-trinh-do-thi-hue.htm" TargetMode="External"/><Relationship Id="rId1360" Type="http://schemas.openxmlformats.org/officeDocument/2006/relationships/hyperlink" Target="https://finance.vietstock.vn/LBC-ctcp-thuong-mai-dau-tu-long-bien.htm" TargetMode="External"/><Relationship Id="rId1458" Type="http://schemas.openxmlformats.org/officeDocument/2006/relationships/hyperlink" Target="https://finance.vietstock.vn/MCS-ctcp-thi-cong-co-gioi-xay-lap.htm" TargetMode="External"/><Relationship Id="rId1665" Type="http://schemas.openxmlformats.org/officeDocument/2006/relationships/hyperlink" Target="https://finance.vietstock.vn/Nutifood-ctcp-thuc-pham-dinh-duong-dong-tam.htm" TargetMode="External"/><Relationship Id="rId1872" Type="http://schemas.openxmlformats.org/officeDocument/2006/relationships/hyperlink" Target="https://finance.vietstock.vn/PVM-ctcp-may-thiet-bi-dau-khi.htm" TargetMode="External"/><Relationship Id="rId2411" Type="http://schemas.openxmlformats.org/officeDocument/2006/relationships/hyperlink" Target="https://finance.vietstock.vn/TPH-ctcp-in-sach-giao-khoa-tai-thanh-pho-ha-noi.htm" TargetMode="External"/><Relationship Id="rId2509" Type="http://schemas.openxmlformats.org/officeDocument/2006/relationships/hyperlink" Target="https://finance.vietstock.vn/UVDIF-quy-dau-tu-united-thu-nhap-nang-dong-viet-nam-uvdif.htm" TargetMode="External"/><Relationship Id="rId2716" Type="http://schemas.openxmlformats.org/officeDocument/2006/relationships/hyperlink" Target="https://finance.vietstock.vn/VLP-ctcp-cong-trinh-cong-cong-vinh-long.htm" TargetMode="External"/><Relationship Id="rId1220" Type="http://schemas.openxmlformats.org/officeDocument/2006/relationships/hyperlink" Target="https://finance.vietstock.vn/Indeco-ctcp-phat-trien-ha-tang-khu-cong-nghiep-tay-ninh.htm" TargetMode="External"/><Relationship Id="rId1318" Type="http://schemas.openxmlformats.org/officeDocument/2006/relationships/hyperlink" Target="https://finance.vietstock.vn/KSE-ctcp-xuat-khau-thuy-san-khanh-hoa.htm" TargetMode="External"/><Relationship Id="rId1525" Type="http://schemas.openxmlformats.org/officeDocument/2006/relationships/hyperlink" Target="https://finance.vietstock.vn/MSC-ctcp-dich-vu-phu-nhuan.htm" TargetMode="External"/><Relationship Id="rId1732" Type="http://schemas.openxmlformats.org/officeDocument/2006/relationships/hyperlink" Target="https://finance.vietstock.vn/PETROMAT-ctcp-vat-tu-xang-dau-petec.htm" TargetMode="External"/><Relationship Id="rId24" Type="http://schemas.openxmlformats.org/officeDocument/2006/relationships/hyperlink" Target="https://finance.vietstock.vn/ACC-ctcp-dau-tu-va-xay-dung-binh-duong-acc.htm" TargetMode="External"/><Relationship Id="rId2299" Type="http://schemas.openxmlformats.org/officeDocument/2006/relationships/hyperlink" Target="https://finance.vietstock.vn/THA-ctcp-tap-doan-truong-hai.htm" TargetMode="External"/><Relationship Id="rId173" Type="http://schemas.openxmlformats.org/officeDocument/2006/relationships/hyperlink" Target="https://finance.vietstock.vn/BenhVienGiaoThong-ctcp-benh-vien-giao-thong-van-tai.htm" TargetMode="External"/><Relationship Id="rId380" Type="http://schemas.openxmlformats.org/officeDocument/2006/relationships/hyperlink" Target="https://finance.vietstock.vn/CheLamDong-ctcp-che-lam-dong.htm" TargetMode="External"/><Relationship Id="rId2061" Type="http://schemas.openxmlformats.org/officeDocument/2006/relationships/hyperlink" Target="https://finance.vietstock.vn/SGB-ngan-hang-tmcp-sai-gon-cong-thuong.htm" TargetMode="External"/><Relationship Id="rId240" Type="http://schemas.openxmlformats.org/officeDocument/2006/relationships/hyperlink" Target="https://finance.vietstock.vn/BPMC-ctcp-vat-tu-xang-dau-binh-thuan.htm" TargetMode="External"/><Relationship Id="rId478" Type="http://schemas.openxmlformats.org/officeDocument/2006/relationships/hyperlink" Target="https://finance.vietstock.vn/CQN-ctcp-cang-quang-ninh.htm" TargetMode="External"/><Relationship Id="rId685" Type="http://schemas.openxmlformats.org/officeDocument/2006/relationships/hyperlink" Target="https://finance.vietstock.vn/DST-ctcp-dau-tu-sao-thang-long.htm" TargetMode="External"/><Relationship Id="rId892" Type="http://schemas.openxmlformats.org/officeDocument/2006/relationships/hyperlink" Target="https://finance.vietstock.vn/GiaoThongQN-ctcp-xay-dung-giao-thong-quang-nam.htm" TargetMode="External"/><Relationship Id="rId2159" Type="http://schemas.openxmlformats.org/officeDocument/2006/relationships/hyperlink" Target="https://finance.vietstock.vn/SRC-ctcp-cao-su-sao-vang.htm" TargetMode="External"/><Relationship Id="rId2366" Type="http://schemas.openxmlformats.org/officeDocument/2006/relationships/hyperlink" Target="https://finance.vietstock.vn/TLH-ctcp-tap-doan-thep-tien-len.htm" TargetMode="External"/><Relationship Id="rId2573" Type="http://schemas.openxmlformats.org/officeDocument/2006/relationships/hyperlink" Target="https://finance.vietstock.vn/VE2-ctcp-xay-dung-dien-vneco-2.htm" TargetMode="External"/><Relationship Id="rId2780" Type="http://schemas.openxmlformats.org/officeDocument/2006/relationships/hyperlink" Target="https://finance.vietstock.vn/VSETGROUP-ctcp-tap-doan-vsetgroup.htm" TargetMode="External"/><Relationship Id="rId100" Type="http://schemas.openxmlformats.org/officeDocument/2006/relationships/hyperlink" Target="https://finance.vietstock.vn/ASAM-ctcp-chung-khoan-asam.htm" TargetMode="External"/><Relationship Id="rId338" Type="http://schemas.openxmlformats.org/officeDocument/2006/relationships/hyperlink" Target="https://finance.vietstock.vn/CayTrong-ctcp-giong-cay-trong-quang-ninh.htm" TargetMode="External"/><Relationship Id="rId545" Type="http://schemas.openxmlformats.org/officeDocument/2006/relationships/hyperlink" Target="https://finance.vietstock.vn/DatVang-ctcp-song-da-dat-vang.htm" TargetMode="External"/><Relationship Id="rId752" Type="http://schemas.openxmlformats.org/officeDocument/2006/relationships/hyperlink" Target="https://finance.vietstock.vn/EAD-ctcp-thuy-dien-dien-luc-dak-lak.htm" TargetMode="External"/><Relationship Id="rId1175" Type="http://schemas.openxmlformats.org/officeDocument/2006/relationships/hyperlink" Target="https://finance.vietstock.vn/HVN-tong-cong-ty-hang-khong-viet-nam-ctcp.htm" TargetMode="External"/><Relationship Id="rId1382" Type="http://schemas.openxmlformats.org/officeDocument/2006/relationships/hyperlink" Target="https://finance.vietstock.vn/LIC-tong-cong-ty-licogi-ctcp.htm" TargetMode="External"/><Relationship Id="rId2019" Type="http://schemas.openxmlformats.org/officeDocument/2006/relationships/hyperlink" Target="https://finance.vietstock.vn/SCY-ctcp-dong-tau-song-cam.htm" TargetMode="External"/><Relationship Id="rId2226" Type="http://schemas.openxmlformats.org/officeDocument/2006/relationships/hyperlink" Target="https://finance.vietstock.vn/TANISUGAR-ctcp-mia-duong-tay-ninh.htm" TargetMode="External"/><Relationship Id="rId2433" Type="http://schemas.openxmlformats.org/officeDocument/2006/relationships/hyperlink" Target="https://finance.vietstock.vn/TRV-ctcp-van-tai-duong-sat.htm" TargetMode="External"/><Relationship Id="rId2640" Type="http://schemas.openxmlformats.org/officeDocument/2006/relationships/hyperlink" Target="https://finance.vietstock.vn/VIFON-ctcp-ky-nghe-thuc-pham-viet-nam.htm" TargetMode="External"/><Relationship Id="rId2878" Type="http://schemas.openxmlformats.org/officeDocument/2006/relationships/hyperlink" Target="https://finance.vietstock.vn/YEG-ctcp-tap-doan-yeah1.htm" TargetMode="External"/><Relationship Id="rId405" Type="http://schemas.openxmlformats.org/officeDocument/2006/relationships/hyperlink" Target="https://finance.vietstock.vn/CIV-ctcp-dau-tu-vinamotor.htm" TargetMode="External"/><Relationship Id="rId612" Type="http://schemas.openxmlformats.org/officeDocument/2006/relationships/hyperlink" Target="https://finance.vietstock.vn/DL1-ctcp-tap-doan-alpha-seven.htm" TargetMode="External"/><Relationship Id="rId1035" Type="http://schemas.openxmlformats.org/officeDocument/2006/relationships/hyperlink" Target="https://finance.vietstock.vn/HHS-ctcp-dau-tu-dich-vu-hoang-huy.htm" TargetMode="External"/><Relationship Id="rId1242" Type="http://schemas.openxmlformats.org/officeDocument/2006/relationships/hyperlink" Target="https://finance.vietstock.vn/IST-ctcp-icd-tan-cang-song-than.htm" TargetMode="External"/><Relationship Id="rId1687" Type="http://schemas.openxmlformats.org/officeDocument/2006/relationships/hyperlink" Target="https://finance.vietstock.vn/OPC-ctcp-duoc-pham-opc.htm" TargetMode="External"/><Relationship Id="rId1894" Type="http://schemas.openxmlformats.org/officeDocument/2006/relationships/hyperlink" Target="https://finance.vietstock.vn/PXM-ctcp-xay-lap-dau-khi-mien-trung.htm" TargetMode="External"/><Relationship Id="rId2500" Type="http://schemas.openxmlformats.org/officeDocument/2006/relationships/hyperlink" Target="https://finance.vietstock.vn/UNI-ctcp-dau-tu-va-phat-trien-sao-mai-viet.htm" TargetMode="External"/><Relationship Id="rId2738" Type="http://schemas.openxmlformats.org/officeDocument/2006/relationships/hyperlink" Target="https://finance.vietstock.vn/VNF-ctcp-vinafreight.htm" TargetMode="External"/><Relationship Id="rId917" Type="http://schemas.openxmlformats.org/officeDocument/2006/relationships/hyperlink" Target="https://finance.vietstock.vn/GRL-ctcp-tiep-van-xanh.htm" TargetMode="External"/><Relationship Id="rId1102" Type="http://schemas.openxmlformats.org/officeDocument/2006/relationships/hyperlink" Target="https://finance.vietstock.vn/HPB-ctcp-bao-bi-pp.htm" TargetMode="External"/><Relationship Id="rId1547" Type="http://schemas.openxmlformats.org/officeDocument/2006/relationships/hyperlink" Target="https://finance.vietstock.vn/MXC-trung-tam-nong-nghiep-mua-xuan.htm" TargetMode="External"/><Relationship Id="rId1754" Type="http://schemas.openxmlformats.org/officeDocument/2006/relationships/hyperlink" Target="https://finance.vietstock.vn/PHR-ctcp-cao-su-phuoc-hoa.htm" TargetMode="External"/><Relationship Id="rId1961" Type="http://schemas.openxmlformats.org/officeDocument/2006/relationships/hyperlink" Target="https://finance.vietstock.vn/SabecoSongHau-ctcp-thuong-mai-sabeco-song-hau.htm" TargetMode="External"/><Relationship Id="rId2805" Type="http://schemas.openxmlformats.org/officeDocument/2006/relationships/hyperlink" Target="https://finance.vietstock.vn/VTK-ctcp-tu-van-va-dich-vu-viettel.htm" TargetMode="External"/><Relationship Id="rId46" Type="http://schemas.openxmlformats.org/officeDocument/2006/relationships/hyperlink" Target="https://finance.vietstock.vn/AGF-ctcp-xuat-nhap-khau-thuy-san-an-giang.htm" TargetMode="External"/><Relationship Id="rId1407" Type="http://schemas.openxmlformats.org/officeDocument/2006/relationships/hyperlink" Target="https://finance.vietstock.vn/LPBF-quy-dau-tu-trai-phieu-lp.htm" TargetMode="External"/><Relationship Id="rId1614" Type="http://schemas.openxmlformats.org/officeDocument/2006/relationships/hyperlink" Target="https://finance.vietstock.vn/NIC-ctcp-dau-tu-nhon-trach.htm" TargetMode="External"/><Relationship Id="rId1821" Type="http://schemas.openxmlformats.org/officeDocument/2006/relationships/hyperlink" Target="https://finance.vietstock.vn/PRO-ctcp-procimex-viet-nam.htm" TargetMode="External"/><Relationship Id="rId195" Type="http://schemas.openxmlformats.org/officeDocument/2006/relationships/hyperlink" Target="https://finance.vietstock.vn/BiaSaiGonHaNam-ctcp-bia-sai-gon-ha-nam.htm" TargetMode="External"/><Relationship Id="rId1919" Type="http://schemas.openxmlformats.org/officeDocument/2006/relationships/hyperlink" Target="https://finance.vietstock.vn/QuyVCBF-quy-dau-tu-can-bang-chien-luoc-vcbf.htm" TargetMode="External"/><Relationship Id="rId2083" Type="http://schemas.openxmlformats.org/officeDocument/2006/relationships/hyperlink" Target="https://finance.vietstock.vn/SHI-ctcp-quoc-te-son-ha.htm" TargetMode="External"/><Relationship Id="rId2290" Type="http://schemas.openxmlformats.org/officeDocument/2006/relationships/hyperlink" Target="https://finance.vietstock.vn/TediSouth-ctcp-tu-van-thiet-ke-giao-thong-van-tai-phia-nam.htm" TargetMode="External"/><Relationship Id="rId2388" Type="http://schemas.openxmlformats.org/officeDocument/2006/relationships/hyperlink" Target="https://finance.vietstock.vn/TNEX-cong-ty-tai-chinh-tnhh-mtv-tnex.htm" TargetMode="External"/><Relationship Id="rId2595" Type="http://schemas.openxmlformats.org/officeDocument/2006/relationships/hyperlink" Target="https://finance.vietstock.vn/VGC-tong-cong-ty-viglacera-ctcp.htm" TargetMode="External"/><Relationship Id="rId262" Type="http://schemas.openxmlformats.org/officeDocument/2006/relationships/hyperlink" Target="https://finance.vietstock.vn/BTB-ctcp-bia-ha-noi-thai-binh.htm" TargetMode="External"/><Relationship Id="rId567" Type="http://schemas.openxmlformats.org/officeDocument/2006/relationships/hyperlink" Target="https://finance.vietstock.vn/DCV-ctcp-quan-ly-quy-dau-tu-dragon-capital-viet-nam.htm" TargetMode="External"/><Relationship Id="rId1197" Type="http://schemas.openxmlformats.org/officeDocument/2006/relationships/hyperlink" Target="https://finance.vietstock.vn/IDJ-ctcp-dau-tu-idj-viet-nam.htm" TargetMode="External"/><Relationship Id="rId2150" Type="http://schemas.openxmlformats.org/officeDocument/2006/relationships/hyperlink" Target="https://finance.vietstock.vn/SPI-ctcp-spiral-galaxy.htm" TargetMode="External"/><Relationship Id="rId2248" Type="http://schemas.openxmlformats.org/officeDocument/2006/relationships/hyperlink" Target="https://finance.vietstock.vn/TBC-ctcp-thuy-dien-thac-ba.htm" TargetMode="External"/><Relationship Id="rId122" Type="http://schemas.openxmlformats.org/officeDocument/2006/relationships/hyperlink" Target="https://finance.vietstock.vn/AVS-ctcp-chung-khoan-au-viet.htm" TargetMode="External"/><Relationship Id="rId774" Type="http://schemas.openxmlformats.org/officeDocument/2006/relationships/hyperlink" Target="https://finance.vietstock.vn/EPH-ctcp-dich-vu-xuat-ban-giao-duc-ha-noi.htm" TargetMode="External"/><Relationship Id="rId981" Type="http://schemas.openxmlformats.org/officeDocument/2006/relationships/hyperlink" Target="https://finance.vietstock.vn/HBW-ctcp-nuoc-sach-hoa-binh.htm" TargetMode="External"/><Relationship Id="rId1057" Type="http://schemas.openxmlformats.org/officeDocument/2006/relationships/hyperlink" Target="https://finance.vietstock.vn/HLE-ctcp-dien-chieu-sang-hai-phong.htm" TargetMode="External"/><Relationship Id="rId2010" Type="http://schemas.openxmlformats.org/officeDocument/2006/relationships/hyperlink" Target="https://finance.vietstock.vn/SCH-ctcp-thuy-dien-song-chay-5.htm" TargetMode="External"/><Relationship Id="rId2455" Type="http://schemas.openxmlformats.org/officeDocument/2006/relationships/hyperlink" Target="https://finance.vietstock.vn/TTH-ctcp-thuong-mai-va-dich-vu-tien-thanh.htm" TargetMode="External"/><Relationship Id="rId2662" Type="http://schemas.openxmlformats.org/officeDocument/2006/relationships/hyperlink" Target="https://finance.vietstock.vn/vinaconex91-ctcp-xay-dung-so-9-1.htm" TargetMode="External"/><Relationship Id="rId427" Type="http://schemas.openxmlformats.org/officeDocument/2006/relationships/hyperlink" Target="https://finance.vietstock.vn/CMF-ctcp-thuc-pham-cholimex.htm" TargetMode="External"/><Relationship Id="rId634" Type="http://schemas.openxmlformats.org/officeDocument/2006/relationships/hyperlink" Target="https://finance.vietstock.vn/DNF-ctcp-luong-thuc-da-nang.htm" TargetMode="External"/><Relationship Id="rId841" Type="http://schemas.openxmlformats.org/officeDocument/2006/relationships/hyperlink" Target="https://finance.vietstock.vn/FUEKIVFS-chung-chi-quy-etf-kim-growth-vnfinselect.htm" TargetMode="External"/><Relationship Id="rId1264" Type="http://schemas.openxmlformats.org/officeDocument/2006/relationships/hyperlink" Target="https://finance.vietstock.vn/KCE-ctcp-be-tong-ly-tam-dien-luc-khanh-hoa.htm" TargetMode="External"/><Relationship Id="rId1471" Type="http://schemas.openxmlformats.org/officeDocument/2006/relationships/hyperlink" Target="https://finance.vietstock.vn/Medico-ctcp-phat-trien-khoang-san.htm" TargetMode="External"/><Relationship Id="rId1569" Type="http://schemas.openxmlformats.org/officeDocument/2006/relationships/hyperlink" Target="https://finance.vietstock.vn/NAW-ctcp-cap-nuoc-nghe-an.htm" TargetMode="External"/><Relationship Id="rId2108" Type="http://schemas.openxmlformats.org/officeDocument/2006/relationships/hyperlink" Target="https://finance.vietstock.vn/SKG-ctcp-tau-cao-toc-superdong-kien-giang.htm" TargetMode="External"/><Relationship Id="rId2315" Type="http://schemas.openxmlformats.org/officeDocument/2006/relationships/hyperlink" Target="https://finance.vietstock.vn/ThepSongHong-ctcp-thep-song-hong.htm" TargetMode="External"/><Relationship Id="rId2522" Type="http://schemas.openxmlformats.org/officeDocument/2006/relationships/hyperlink" Target="https://finance.vietstock.vn/VanTaiThuy3-ctcp-van-tai-thuy-so-3.htm" TargetMode="External"/><Relationship Id="rId701" Type="http://schemas.openxmlformats.org/officeDocument/2006/relationships/hyperlink" Target="https://finance.vietstock.vn/DTP-ctcp-duoc-pham-cpc1-ha-noi.htm" TargetMode="External"/><Relationship Id="rId939" Type="http://schemas.openxmlformats.org/officeDocument/2006/relationships/hyperlink" Target="https://finance.vietstock.vn/HADIC-ctcp-tu-van-dau-tu-va-phat-trien-buu-dien-ha-noi.htm" TargetMode="External"/><Relationship Id="rId1124" Type="http://schemas.openxmlformats.org/officeDocument/2006/relationships/hyperlink" Target="https://finance.vietstock.vn/HRS-ctcp-chung-khoan-smartmind.htm" TargetMode="External"/><Relationship Id="rId1331" Type="http://schemas.openxmlformats.org/officeDocument/2006/relationships/hyperlink" Target="https://finance.vietstock.vn/KTS-ctcp-duong-kon-tum.htm" TargetMode="External"/><Relationship Id="rId1776" Type="http://schemas.openxmlformats.org/officeDocument/2006/relationships/hyperlink" Target="https://finance.vietstock.vn/PJT-ctcp-van-tai-xang-dau-duong-thuy-petrolimex.htm" TargetMode="External"/><Relationship Id="rId1983" Type="http://schemas.openxmlformats.org/officeDocument/2006/relationships/hyperlink" Target="https://finance.vietstock.vn/Sapasco-ctcp-bao-bi-va-dich-vu-sam-thinh.htm" TargetMode="External"/><Relationship Id="rId2827" Type="http://schemas.openxmlformats.org/officeDocument/2006/relationships/hyperlink" Target="https://finance.vietstock.vn/VW3-ctcp-viwaseen3.htm" TargetMode="External"/><Relationship Id="rId68" Type="http://schemas.openxmlformats.org/officeDocument/2006/relationships/hyperlink" Target="https://finance.vietstock.vn/AMC-ctcp-khoang-san-a-chau.htm" TargetMode="External"/><Relationship Id="rId1429" Type="http://schemas.openxmlformats.org/officeDocument/2006/relationships/hyperlink" Target="https://finance.vietstock.vn/MayDongA-ctcp-det-may-dong-a.htm" TargetMode="External"/><Relationship Id="rId1636" Type="http://schemas.openxmlformats.org/officeDocument/2006/relationships/hyperlink" Target="https://finance.vietstock.vn/NQN-ctcp-nuoc-sach-quang-ninh.htm" TargetMode="External"/><Relationship Id="rId1843" Type="http://schemas.openxmlformats.org/officeDocument/2006/relationships/hyperlink" Target="https://finance.vietstock.vn/PTI-tong-cong-ty-co-phan-bao-hiem-buu-dien.htm" TargetMode="External"/><Relationship Id="rId1703" Type="http://schemas.openxmlformats.org/officeDocument/2006/relationships/hyperlink" Target="https://finance.vietstock.vn/PAT-ctcp-phot-pho-apatit-viet-nam.htm" TargetMode="External"/><Relationship Id="rId1910" Type="http://schemas.openxmlformats.org/officeDocument/2006/relationships/hyperlink" Target="https://finance.vietstock.vn/QNT-ctcp-tu-van-phat-trien-quang-nam.htm" TargetMode="External"/><Relationship Id="rId284" Type="http://schemas.openxmlformats.org/officeDocument/2006/relationships/hyperlink" Target="https://finance.vietstock.vn/BVFED-quy-dau-tu-co-phieu-nang-dong-bao-viet.htm" TargetMode="External"/><Relationship Id="rId491" Type="http://schemas.openxmlformats.org/officeDocument/2006/relationships/hyperlink" Target="https://finance.vietstock.vn/CT5-ctcp-319-5.htm" TargetMode="External"/><Relationship Id="rId2172" Type="http://schemas.openxmlformats.org/officeDocument/2006/relationships/hyperlink" Target="https://finance.vietstock.vn/SST-ctcp-thuong-mai-bia-sai-gon-song-tien.htm" TargetMode="External"/><Relationship Id="rId144" Type="http://schemas.openxmlformats.org/officeDocument/2006/relationships/hyperlink" Target="https://finance.vietstock.vn/BBL-ctcp-bourbon-ben-luc.htm" TargetMode="External"/><Relationship Id="rId589" Type="http://schemas.openxmlformats.org/officeDocument/2006/relationships/hyperlink" Target="https://finance.vietstock.vn/DHD-ctcp-duoc-vat-tu-y-te-hai-duong.htm" TargetMode="External"/><Relationship Id="rId796" Type="http://schemas.openxmlformats.org/officeDocument/2006/relationships/hyperlink" Target="https://finance.vietstock.vn/FDC-ctcp-ngoai-thuong-va-phat-trien-dau-tu-thanh-pho-ho-chi-minh.htm" TargetMode="External"/><Relationship Id="rId2477" Type="http://schemas.openxmlformats.org/officeDocument/2006/relationships/hyperlink" Target="https://finance.vietstock.vn/TVFC-cong-ty-tai-chinh-tnhh-mtv-cong-dong.htm" TargetMode="External"/><Relationship Id="rId2684" Type="http://schemas.openxmlformats.org/officeDocument/2006/relationships/hyperlink" Target="https://finance.vietstock.vn/Vinhhao-ctcp-nuoc-khoang-vinh-hao.htm" TargetMode="External"/><Relationship Id="rId351" Type="http://schemas.openxmlformats.org/officeDocument/2006/relationships/hyperlink" Target="https://finance.vietstock.vn/CCN2-ctcp-xay-dung-so-2-quang-ninh.htm" TargetMode="External"/><Relationship Id="rId449" Type="http://schemas.openxmlformats.org/officeDocument/2006/relationships/hyperlink" Target="https://finance.vietstock.vn/CoKhiOTo32-ctcp-co-khi-o-to-3-2.htm" TargetMode="External"/><Relationship Id="rId656" Type="http://schemas.openxmlformats.org/officeDocument/2006/relationships/hyperlink" Target="https://finance.vietstock.vn/DongXanh-ctcp-dong-xanh.htm" TargetMode="External"/><Relationship Id="rId863" Type="http://schemas.openxmlformats.org/officeDocument/2006/relationships/hyperlink" Target="https://finance.vietstock.vn/GDC-ctcp-xuat-nhap-khau-gia-dinh.htm" TargetMode="External"/><Relationship Id="rId1079" Type="http://schemas.openxmlformats.org/officeDocument/2006/relationships/hyperlink" Target="https://finance.vietstock.vn/HNInvest-ctcp-dau-tu-bat-dong-san-ha-noi.htm" TargetMode="External"/><Relationship Id="rId1286" Type="http://schemas.openxmlformats.org/officeDocument/2006/relationships/hyperlink" Target="https://finance.vietstock.vn/KHW-ctcp-cap-thoat-nuoc-khanh-hoa.htm" TargetMode="External"/><Relationship Id="rId1493" Type="http://schemas.openxmlformats.org/officeDocument/2006/relationships/hyperlink" Target="https://finance.vietstock.vn/MIE-tong-cong-ty-may-va-thiet-bi-cong-nghiep-ctcp.htm" TargetMode="External"/><Relationship Id="rId2032" Type="http://schemas.openxmlformats.org/officeDocument/2006/relationships/hyperlink" Target="https://finance.vietstock.vn/SDC-ctcp-tu-van-song-da.htm" TargetMode="External"/><Relationship Id="rId2337" Type="http://schemas.openxmlformats.org/officeDocument/2006/relationships/hyperlink" Target="https://finance.vietstock.vn/ThuThiemDIC-ctcp-dau-tu-phat-trien-thu-thiem.htm" TargetMode="External"/><Relationship Id="rId2544" Type="http://schemas.openxmlformats.org/officeDocument/2006/relationships/hyperlink" Target="https://finance.vietstock.vn/VCC-ctcp-vinaconex-25.htm" TargetMode="External"/><Relationship Id="rId211" Type="http://schemas.openxmlformats.org/officeDocument/2006/relationships/hyperlink" Target="https://finance.vietstock.vn/BKC-ctcp-khoang-san-bac-kan.htm" TargetMode="External"/><Relationship Id="rId309" Type="http://schemas.openxmlformats.org/officeDocument/2006/relationships/hyperlink" Target="https://finance.vietstock.vn/CADICO-ctcp-cadico.htm" TargetMode="External"/><Relationship Id="rId516" Type="http://schemas.openxmlformats.org/officeDocument/2006/relationships/hyperlink" Target="https://finance.vietstock.vn/CVP-ctcp-cang-cua-viet.htm" TargetMode="External"/><Relationship Id="rId1146" Type="http://schemas.openxmlformats.org/officeDocument/2006/relationships/hyperlink" Target="https://finance.vietstock.vn/HTN-ctcp-hung-thinh-incons.htm" TargetMode="External"/><Relationship Id="rId1798" Type="http://schemas.openxmlformats.org/officeDocument/2006/relationships/hyperlink" Target="https://finance.vietstock.vn/PNJ-ctcp-vang-bac-da-quy-phu-nhuan.htm" TargetMode="External"/><Relationship Id="rId2751" Type="http://schemas.openxmlformats.org/officeDocument/2006/relationships/hyperlink" Target="https://finance.vietstock.vn/VNT-ctcp-giao-nhan-van-tai-ngoai-thuong.htm" TargetMode="External"/><Relationship Id="rId2849" Type="http://schemas.openxmlformats.org/officeDocument/2006/relationships/hyperlink" Target="https://finance.vietstock.vn/XDBD-ctcp-xay-dung-binh-duong.htm" TargetMode="External"/><Relationship Id="rId723" Type="http://schemas.openxmlformats.org/officeDocument/2006/relationships/hyperlink" Target="https://finance.vietstock.vn/DuongLaNga-ctcp-mia-duong-la-nga.htm" TargetMode="External"/><Relationship Id="rId930" Type="http://schemas.openxmlformats.org/officeDocument/2006/relationships/hyperlink" Target="https://finance.vietstock.vn/GVT-ctcp-giay-viet-tri.htm" TargetMode="External"/><Relationship Id="rId1006" Type="http://schemas.openxmlformats.org/officeDocument/2006/relationships/hyperlink" Target="https://finance.vietstock.vn/HDS-ctcp-giong-cay-trong-hai-duong.htm" TargetMode="External"/><Relationship Id="rId1353" Type="http://schemas.openxmlformats.org/officeDocument/2006/relationships/hyperlink" Target="https://finance.vietstock.vn/LamSankienGiang-ctcp-nong-lam-san-kien-giang.htm" TargetMode="External"/><Relationship Id="rId1560" Type="http://schemas.openxmlformats.org/officeDocument/2006/relationships/hyperlink" Target="https://finance.vietstock.vn/NamMuc-ctcp-thuy-dien-nam-muc.htm" TargetMode="External"/><Relationship Id="rId1658" Type="http://schemas.openxmlformats.org/officeDocument/2006/relationships/hyperlink" Target="https://finance.vietstock.vn/NTR-ctcp-duong-sat-nghe-tinh.htm" TargetMode="External"/><Relationship Id="rId1865" Type="http://schemas.openxmlformats.org/officeDocument/2006/relationships/hyperlink" Target="https://finance.vietstock.vn/PVFCCapital-ctcp-quan-ly-quy-ngan-hang-tmcp-dai-chung-viet-nam.htm" TargetMode="External"/><Relationship Id="rId2404" Type="http://schemas.openxmlformats.org/officeDocument/2006/relationships/hyperlink" Target="https://finance.vietstock.vn/TOT-ctcp-transimex-logistics.htm" TargetMode="External"/><Relationship Id="rId2611" Type="http://schemas.openxmlformats.org/officeDocument/2006/relationships/hyperlink" Target="https://finance.vietstock.vn/VHL-ctcp-viglacera-ha-long.htm" TargetMode="External"/><Relationship Id="rId2709" Type="http://schemas.openxmlformats.org/officeDocument/2006/relationships/hyperlink" Target="https://finance.vietstock.vn/VLA-ctcp-dau-tu-va-phat-trien-cong-nghe-van-lang.htm" TargetMode="External"/><Relationship Id="rId1213" Type="http://schemas.openxmlformats.org/officeDocument/2006/relationships/hyperlink" Target="https://finance.vietstock.vn/IME-ctcp-co-khi-va-xay-lap-cong-nghiep.htm" TargetMode="External"/><Relationship Id="rId1420" Type="http://schemas.openxmlformats.org/officeDocument/2006/relationships/hyperlink" Target="https://finance.vietstock.vn/LVN-ctcp-len-viet-nam.htm" TargetMode="External"/><Relationship Id="rId1518" Type="http://schemas.openxmlformats.org/officeDocument/2006/relationships/hyperlink" Target="https://finance.vietstock.vn/MPC-ctcp-tap-doan-thuy-san-minh-phu.htm" TargetMode="External"/><Relationship Id="rId1725" Type="http://schemas.openxmlformats.org/officeDocument/2006/relationships/hyperlink" Target="https://finance.vietstock.vn/PeaceTour-ctcp-du-lich-hoa-binh-viet-nam.htm" TargetMode="External"/><Relationship Id="rId1932" Type="http://schemas.openxmlformats.org/officeDocument/2006/relationships/hyperlink" Target="https://finance.vietstock.vn/REN-ctcp-xay-dung-va-dau-tu-kdl-sinh-thai.htm" TargetMode="External"/><Relationship Id="rId17" Type="http://schemas.openxmlformats.org/officeDocument/2006/relationships/hyperlink" Target="https://finance.vietstock.vn/ABS-ctcp-dich-vu-nong-nghiep-binh-thuan.htm" TargetMode="External"/><Relationship Id="rId2194" Type="http://schemas.openxmlformats.org/officeDocument/2006/relationships/hyperlink" Target="https://finance.vietstock.vn/SunGroup-ctcp-tap-doan-mat-troi-sun-group.htm" TargetMode="External"/><Relationship Id="rId166" Type="http://schemas.openxmlformats.org/officeDocument/2006/relationships/hyperlink" Target="https://finance.vietstock.vn/BDSDKVN-ctcp-bat-dong-san-dau-khi-viet-nam.htm" TargetMode="External"/><Relationship Id="rId373" Type="http://schemas.openxmlformats.org/officeDocument/2006/relationships/hyperlink" Target="https://finance.vietstock.vn/CFC-ctcp-cafico-viet-nam.htm" TargetMode="External"/><Relationship Id="rId580" Type="http://schemas.openxmlformats.org/officeDocument/2006/relationships/hyperlink" Target="https://finance.vietstock.vn/DFC-ctcp-xich-lip-dong-anh.htm" TargetMode="External"/><Relationship Id="rId2054" Type="http://schemas.openxmlformats.org/officeDocument/2006/relationships/hyperlink" Target="https://finance.vietstock.vn/SEP-ctcp-tong-cong-ty-thuong-mai-quang-tri.htm" TargetMode="External"/><Relationship Id="rId2261" Type="http://schemas.openxmlformats.org/officeDocument/2006/relationships/hyperlink" Target="https://finance.vietstock.vn/TCI-ctcp-chung-khoan-thanh-cong.htm" TargetMode="External"/><Relationship Id="rId2499" Type="http://schemas.openxmlformats.org/officeDocument/2006/relationships/hyperlink" Target="https://finance.vietstock.vn/UMC-ctcp-cong-trinh-do-thi-nam-dinh.htm" TargetMode="External"/><Relationship Id="rId1" Type="http://schemas.openxmlformats.org/officeDocument/2006/relationships/hyperlink" Target="https://finance.vietstock.vn/--tong-cong-ty-xay-dung-sai-gon-tnhh-mtv.htm" TargetMode="External"/><Relationship Id="rId233" Type="http://schemas.openxmlformats.org/officeDocument/2006/relationships/hyperlink" Target="https://finance.vietstock.vn/BMV-ctcp-bot-my-vinafood-1.htm" TargetMode="External"/><Relationship Id="rId440" Type="http://schemas.openxmlformats.org/officeDocument/2006/relationships/hyperlink" Target="https://finance.vietstock.vn/CNC-ctcp-cong-nghe-cao-traphaco.htm" TargetMode="External"/><Relationship Id="rId678" Type="http://schemas.openxmlformats.org/officeDocument/2006/relationships/hyperlink" Target="https://finance.vietstock.vn/DSD-ctcp-dhc-suoi-doi.htm" TargetMode="External"/><Relationship Id="rId885" Type="http://schemas.openxmlformats.org/officeDocument/2006/relationships/hyperlink" Target="https://finance.vietstock.vn/GH3-ctcp-cong-trinh-giao-thong-ha-noi.htm" TargetMode="External"/><Relationship Id="rId1070" Type="http://schemas.openxmlformats.org/officeDocument/2006/relationships/hyperlink" Target="https://finance.vietstock.vn/HN184-ctcp-18-4-ha-noi.htm" TargetMode="External"/><Relationship Id="rId2121" Type="http://schemas.openxmlformats.org/officeDocument/2006/relationships/hyperlink" Target="https://finance.vietstock.vn/SMN-ctcp-sach-va-thiet-bi-giao-duc-mien-nam.htm" TargetMode="External"/><Relationship Id="rId2359" Type="http://schemas.openxmlformats.org/officeDocument/2006/relationships/hyperlink" Target="https://finance.vietstock.vn/TKU-ctcp-cong-nghiep-tung-kuang.htm" TargetMode="External"/><Relationship Id="rId2566" Type="http://schemas.openxmlformats.org/officeDocument/2006/relationships/hyperlink" Target="https://finance.vietstock.vn/VDM-vien-det-may.htm" TargetMode="External"/><Relationship Id="rId2773" Type="http://schemas.openxmlformats.org/officeDocument/2006/relationships/hyperlink" Target="https://finance.vietstock.vn/VRC-ctcp-bat-dong-san-va-dau-tu-vrc.htm" TargetMode="External"/><Relationship Id="rId300" Type="http://schemas.openxmlformats.org/officeDocument/2006/relationships/hyperlink" Target="https://finance.vietstock.vn/C36-ctcp-quan-ly-va-xay-dung-cong-trinh-giao-thong-236.htm" TargetMode="External"/><Relationship Id="rId538" Type="http://schemas.openxmlformats.org/officeDocument/2006/relationships/hyperlink" Target="https://finance.vietstock.vn/DaNangXD-ctcp-xay-dung-cong-trinh-giao-thong-da-nang.htm" TargetMode="External"/><Relationship Id="rId745" Type="http://schemas.openxmlformats.org/officeDocument/2006/relationships/hyperlink" Target="https://finance.vietstock.vn/DXP-ctcp-cang-doan-xa.htm" TargetMode="External"/><Relationship Id="rId952" Type="http://schemas.openxmlformats.org/officeDocument/2006/relationships/hyperlink" Target="https://finance.vietstock.vn/HAN-tong-cong-ty-xay-dung-ha-noi-ctcp.htm" TargetMode="External"/><Relationship Id="rId1168" Type="http://schemas.openxmlformats.org/officeDocument/2006/relationships/hyperlink" Target="https://finance.vietstock.vn/HuuToan-ctcp-huu-toan.htm" TargetMode="External"/><Relationship Id="rId1375" Type="http://schemas.openxmlformats.org/officeDocument/2006/relationships/hyperlink" Target="https://finance.vietstock.vn/LGC-ctcp-dau-tu-cau-duong-cii.htm" TargetMode="External"/><Relationship Id="rId1582" Type="http://schemas.openxmlformats.org/officeDocument/2006/relationships/hyperlink" Target="https://finance.vietstock.vn/ND2-ctcp-dau-tu-va-phat-trien-dien-mien-bac-2.htm" TargetMode="External"/><Relationship Id="rId2219" Type="http://schemas.openxmlformats.org/officeDocument/2006/relationships/hyperlink" Target="https://finance.vietstock.vn/TAFM-ctcp-quan-ly-quy-dau-tu-pacific-bridge.htm" TargetMode="External"/><Relationship Id="rId2426" Type="http://schemas.openxmlformats.org/officeDocument/2006/relationships/hyperlink" Target="https://finance.vietstock.vn/TrieuAn-ctcp-benh-vien-da-khoa-tu-nhan-trieu-an.htm" TargetMode="External"/><Relationship Id="rId2633" Type="http://schemas.openxmlformats.org/officeDocument/2006/relationships/hyperlink" Target="https://finance.vietstock.vn/VietHung-ctcp-viet-hung.htm" TargetMode="External"/><Relationship Id="rId81" Type="http://schemas.openxmlformats.org/officeDocument/2006/relationships/hyperlink" Target="https://finance.vietstock.vn/ANV-ctcp-nam-viet.htm" TargetMode="External"/><Relationship Id="rId605" Type="http://schemas.openxmlformats.org/officeDocument/2006/relationships/hyperlink" Target="https://finance.vietstock.vn/Diginet-ctcp-dinh-gia-net.htm" TargetMode="External"/><Relationship Id="rId812" Type="http://schemas.openxmlformats.org/officeDocument/2006/relationships/hyperlink" Target="https://finance.vietstock.vn/FOC-ctcp-dich-vu-truc-tuyen-fpt.htm" TargetMode="External"/><Relationship Id="rId1028" Type="http://schemas.openxmlformats.org/officeDocument/2006/relationships/hyperlink" Target="https://finance.vietstock.vn/HHC-ctcp-banh-keo-hai-ha.htm" TargetMode="External"/><Relationship Id="rId1235" Type="http://schemas.openxmlformats.org/officeDocument/2006/relationships/hyperlink" Target="https://finance.vietstock.vn/INVESTREAL-ctcp-dau-tu-va-kinh-doanh-bat-dong-san.htm" TargetMode="External"/><Relationship Id="rId1442" Type="http://schemas.openxmlformats.org/officeDocument/2006/relationships/hyperlink" Target="https://finance.vietstock.vn/MBS-ctcp-chung-khoan-mb.htm" TargetMode="External"/><Relationship Id="rId1887" Type="http://schemas.openxmlformats.org/officeDocument/2006/relationships/hyperlink" Target="https://finance.vietstock.vn/PX1-ctcp-xi-mang-song-lam-2.htm" TargetMode="External"/><Relationship Id="rId2840" Type="http://schemas.openxmlformats.org/officeDocument/2006/relationships/hyperlink" Target="https://finance.vietstock.vn/X77-ctcp-thanh-an-77.htm" TargetMode="External"/><Relationship Id="rId1302" Type="http://schemas.openxmlformats.org/officeDocument/2006/relationships/hyperlink" Target="https://finance.vietstock.vn/KIS-ctcp-chung-khoan-kis-viet-nam.htm" TargetMode="External"/><Relationship Id="rId1747" Type="http://schemas.openxmlformats.org/officeDocument/2006/relationships/hyperlink" Target="https://finance.vietstock.vn/PHC-ctcp-xay-dung-phuc-hung-holdings.htm" TargetMode="External"/><Relationship Id="rId1954" Type="http://schemas.openxmlformats.org/officeDocument/2006/relationships/hyperlink" Target="https://finance.vietstock.vn/S72-ctcp-song-da-7-02.htm" TargetMode="External"/><Relationship Id="rId2700" Type="http://schemas.openxmlformats.org/officeDocument/2006/relationships/hyperlink" Target="https://finance.vietstock.vn/VIVASO-tong-cong-ty-van-tai-thuy-ctcp.htm" TargetMode="External"/><Relationship Id="rId39" Type="http://schemas.openxmlformats.org/officeDocument/2006/relationships/hyperlink" Target="https://finance.vietstock.vn/AECS-ctcp-tu-van-xay-dung-va-dich-vu-hang-khong.htm" TargetMode="External"/><Relationship Id="rId1607" Type="http://schemas.openxmlformats.org/officeDocument/2006/relationships/hyperlink" Target="https://finance.vietstock.vn/NhoQue1-ctcp-thuy-dien-nho-que-1.htm" TargetMode="External"/><Relationship Id="rId1814" Type="http://schemas.openxmlformats.org/officeDocument/2006/relationships/hyperlink" Target="https://finance.vietstock.vn/PPP-ctcp-duoc-pham-phong-phu.htm" TargetMode="External"/><Relationship Id="rId188" Type="http://schemas.openxmlformats.org/officeDocument/2006/relationships/hyperlink" Target="https://finance.vietstock.vn/BHK-ctcp-bia-ha-noi-kim-bai.htm" TargetMode="External"/><Relationship Id="rId395" Type="http://schemas.openxmlformats.org/officeDocument/2006/relationships/hyperlink" Target="https://finance.vietstock.vn/CIENCO473-ctcp-473.htm" TargetMode="External"/><Relationship Id="rId2076" Type="http://schemas.openxmlformats.org/officeDocument/2006/relationships/hyperlink" Target="https://finance.vietstock.vn/SGT-ctcp-cong-nghe-vien-thong-sai-gon.htm" TargetMode="External"/><Relationship Id="rId2283" Type="http://schemas.openxmlformats.org/officeDocument/2006/relationships/hyperlink" Target="https://finance.vietstock.vn/TDS-ctcp-thep-thu-duc-vnsteel.htm" TargetMode="External"/><Relationship Id="rId2490" Type="http://schemas.openxmlformats.org/officeDocument/2006/relationships/hyperlink" Target="https://finance.vietstock.vn/TXM-ctcp-vicem-thach-cao-xi-mang.htm" TargetMode="External"/><Relationship Id="rId2588" Type="http://schemas.openxmlformats.org/officeDocument/2006/relationships/hyperlink" Target="https://finance.vietstock.vn/VET-ctcp-thuoc-thu-y-trung-uong-navetco.htm" TargetMode="External"/><Relationship Id="rId255" Type="http://schemas.openxmlformats.org/officeDocument/2006/relationships/hyperlink" Target="https://finance.vietstock.vn/BSMCorp-ctcp-phan-mem-giai-phap-quan-ly-ma-vach.htm" TargetMode="External"/><Relationship Id="rId462" Type="http://schemas.openxmlformats.org/officeDocument/2006/relationships/hyperlink" Target="https://finance.vietstock.vn/CONSTRAD423-ctcp-xay-dung-va-thuong-mai-423.htm" TargetMode="External"/><Relationship Id="rId1092" Type="http://schemas.openxmlformats.org/officeDocument/2006/relationships/hyperlink" Target="https://finance.vietstock.vn/HoBon-ctcp-thuy-dien-ho-bon.htm" TargetMode="External"/><Relationship Id="rId1397" Type="http://schemas.openxmlformats.org/officeDocument/2006/relationships/hyperlink" Target="https://finance.vietstock.vn/LM8-ctcp-lilama-18.htm" TargetMode="External"/><Relationship Id="rId2143" Type="http://schemas.openxmlformats.org/officeDocument/2006/relationships/hyperlink" Target="https://finance.vietstock.vn/SovicoC-ctcp-sovico.htm" TargetMode="External"/><Relationship Id="rId2350" Type="http://schemas.openxmlformats.org/officeDocument/2006/relationships/hyperlink" Target="https://finance.vietstock.vn/TIS-ctcp-gang-thep-thai-nguyen.htm" TargetMode="External"/><Relationship Id="rId2795" Type="http://schemas.openxmlformats.org/officeDocument/2006/relationships/hyperlink" Target="https://finance.vietstock.vn/VTC-ctcp-vien-thong-vtc.htm" TargetMode="External"/><Relationship Id="rId115" Type="http://schemas.openxmlformats.org/officeDocument/2006/relationships/hyperlink" Target="https://finance.vietstock.vn/ATSC-ctcp-chung-khoan-an-thanh.htm" TargetMode="External"/><Relationship Id="rId322" Type="http://schemas.openxmlformats.org/officeDocument/2006/relationships/hyperlink" Target="https://finance.vietstock.vn/CapVietNhat-ctcp-dau-tu-thuong-mai-viet-nhat.htm" TargetMode="External"/><Relationship Id="rId767" Type="http://schemas.openxmlformats.org/officeDocument/2006/relationships/hyperlink" Target="https://finance.vietstock.vn/ELINCO-ctcp-dien-tu-tin-hoc-hoa-chat.htm" TargetMode="External"/><Relationship Id="rId974" Type="http://schemas.openxmlformats.org/officeDocument/2006/relationships/hyperlink" Target="https://finance.vietstock.vn/HAX-ctcp-dich-vu-o-to-hang-xanh.htm" TargetMode="External"/><Relationship Id="rId2003" Type="http://schemas.openxmlformats.org/officeDocument/2006/relationships/hyperlink" Target="https://finance.vietstock.vn/SCA-ctcp-nong-nghiep-song-con.htm" TargetMode="External"/><Relationship Id="rId2210" Type="http://schemas.openxmlformats.org/officeDocument/2006/relationships/hyperlink" Target="https://finance.vietstock.vn/SZG-ctcp-sonadezi-giang-dien.htm" TargetMode="External"/><Relationship Id="rId2448" Type="http://schemas.openxmlformats.org/officeDocument/2006/relationships/hyperlink" Target="https://finance.vietstock.vn/TTB-ctcp-ttbgroup.htm" TargetMode="External"/><Relationship Id="rId2655" Type="http://schemas.openxmlformats.org/officeDocument/2006/relationships/hyperlink" Target="https://finance.vietstock.vn/Vimo-ctcp-cong-nghe-vi-mo.htm" TargetMode="External"/><Relationship Id="rId2862" Type="http://schemas.openxmlformats.org/officeDocument/2006/relationships/hyperlink" Target="https://finance.vietstock.vn/XimangTayDo-ctcp-xi-mang-tay-do.htm" TargetMode="External"/><Relationship Id="rId627" Type="http://schemas.openxmlformats.org/officeDocument/2006/relationships/hyperlink" Target="https://finance.vietstock.vn/DMTC-ctcp-khoan-va-dich-vu-ky-thuat-khai-thac-mo.htm" TargetMode="External"/><Relationship Id="rId834" Type="http://schemas.openxmlformats.org/officeDocument/2006/relationships/hyperlink" Target="https://finance.vietstock.vn/FUCVREIT-quy-dau-tu-bat-dong-san-techcom-viet-nam.htm" TargetMode="External"/><Relationship Id="rId1257" Type="http://schemas.openxmlformats.org/officeDocument/2006/relationships/hyperlink" Target="https://finance.vietstock.vn/KAL-ctcp-nhom-khanh-hoa.htm" TargetMode="External"/><Relationship Id="rId1464" Type="http://schemas.openxmlformats.org/officeDocument/2006/relationships/hyperlink" Target="https://finance.vietstock.vn/MDG-ctcp-mien-dong.htm" TargetMode="External"/><Relationship Id="rId1671" Type="http://schemas.openxmlformats.org/officeDocument/2006/relationships/hyperlink" Target="https://finance.vietstock.vn/NVS-ctcp-chung-khoan-navibank.htm" TargetMode="External"/><Relationship Id="rId2308" Type="http://schemas.openxmlformats.org/officeDocument/2006/relationships/hyperlink" Target="https://finance.vietstock.vn/ThanhLe-ctcp-bao-bi-thanh-le.htm" TargetMode="External"/><Relationship Id="rId2515" Type="http://schemas.openxmlformats.org/officeDocument/2006/relationships/hyperlink" Target="https://finance.vietstock.vn/V45-ctcp-dau-tu-va-xay-dung-so-45.htm" TargetMode="External"/><Relationship Id="rId2722" Type="http://schemas.openxmlformats.org/officeDocument/2006/relationships/hyperlink" Target="https://finance.vietstock.vn/VMCCo-ctcp-vat-tu-tong-hop-vinh-phu.htm" TargetMode="External"/><Relationship Id="rId901" Type="http://schemas.openxmlformats.org/officeDocument/2006/relationships/hyperlink" Target="https://finance.vietstock.vn/GIL-ctcp-san-xuat-kinh-doanh-va-xuat-nhap-khau-binh-thanh.htm" TargetMode="External"/><Relationship Id="rId1117" Type="http://schemas.openxmlformats.org/officeDocument/2006/relationships/hyperlink" Target="https://finance.vietstock.vn/HPW-ctcp-cap-nuoc-hai-phong.htm" TargetMode="External"/><Relationship Id="rId1324" Type="http://schemas.openxmlformats.org/officeDocument/2006/relationships/hyperlink" Target="https://finance.vietstock.vn/KSS-ctcp-khoang-san-na-ri-hamico.htm" TargetMode="External"/><Relationship Id="rId1531" Type="http://schemas.openxmlformats.org/officeDocument/2006/relationships/hyperlink" Target="https://finance.vietstock.vn/MTB-ctcp-moi-truong-va-cong-trinh-do-thi-tinh-thai-binh.htm" TargetMode="External"/><Relationship Id="rId1769" Type="http://schemas.openxmlformats.org/officeDocument/2006/relationships/hyperlink" Target="https://finance.vietstock.vn/PIS-tong-cong-ty-pisico-binh-dinh-ctcp.htm" TargetMode="External"/><Relationship Id="rId1976" Type="http://schemas.openxmlformats.org/officeDocument/2006/relationships/hyperlink" Target="https://finance.vietstock.vn/SaigonRatings-ctcp-sai-gon-phat-thinh-ratings.htm" TargetMode="External"/><Relationship Id="rId30" Type="http://schemas.openxmlformats.org/officeDocument/2006/relationships/hyperlink" Target="https://finance.vietstock.vn/Aclii-ctcp-cho-thue-tai-chinh-ii-ngan-hang-nong-nghiep-va-phat-trien-nong-thon-viet-nam.htm" TargetMode="External"/><Relationship Id="rId1629" Type="http://schemas.openxmlformats.org/officeDocument/2006/relationships/hyperlink" Target="https://finance.vietstock.vn/NoiHoiVN-ctcp-noi-hoi-viet-nam.htm" TargetMode="External"/><Relationship Id="rId1836" Type="http://schemas.openxmlformats.org/officeDocument/2006/relationships/hyperlink" Target="https://finance.vietstock.vn/PTB-ctcp-phu-tai.htm" TargetMode="External"/><Relationship Id="rId1903" Type="http://schemas.openxmlformats.org/officeDocument/2006/relationships/hyperlink" Target="https://finance.vietstock.vn/QHW-ctcp-nuoc-khoang-quang-ninh.htm" TargetMode="External"/><Relationship Id="rId2098" Type="http://schemas.openxmlformats.org/officeDocument/2006/relationships/hyperlink" Target="https://finance.vietstock.vn/SIV-ctcp-sivico.htm" TargetMode="External"/><Relationship Id="rId277" Type="http://schemas.openxmlformats.org/officeDocument/2006/relationships/hyperlink" Target="https://finance.vietstock.vn/BTW-ctcp-cap-nuoc-ben-thanh.htm" TargetMode="External"/><Relationship Id="rId484" Type="http://schemas.openxmlformats.org/officeDocument/2006/relationships/hyperlink" Target="https://finance.vietstock.vn/CSCJ-ctcp-chung-khoan-capital.htm" TargetMode="External"/><Relationship Id="rId2165" Type="http://schemas.openxmlformats.org/officeDocument/2006/relationships/hyperlink" Target="https://finance.vietstock.vn/SSGGroup-ctcp-tap-doan-s-s-g.htm" TargetMode="External"/><Relationship Id="rId137" Type="http://schemas.openxmlformats.org/officeDocument/2006/relationships/hyperlink" Target="https://finance.vietstock.vn/BAS-ctcp-basa.htm" TargetMode="External"/><Relationship Id="rId344" Type="http://schemas.openxmlformats.org/officeDocument/2006/relationships/hyperlink" Target="https://finance.vietstock.vn/CC7-ctcp-xay-dung-cong-trinh-giao-thong-710.htm" TargetMode="External"/><Relationship Id="rId691" Type="http://schemas.openxmlformats.org/officeDocument/2006/relationships/hyperlink" Target="https://finance.vietstock.vn/DTC-ctcp-viglacera-dong-trieu.htm" TargetMode="External"/><Relationship Id="rId789" Type="http://schemas.openxmlformats.org/officeDocument/2006/relationships/hyperlink" Target="https://finance.vietstock.vn/FBA-ctcp-tap-doan-quoc-te-fba.htm" TargetMode="External"/><Relationship Id="rId996" Type="http://schemas.openxmlformats.org/officeDocument/2006/relationships/hyperlink" Target="https://finance.vietstock.vn/HDB-ngan-hang-tmcp-phat-trien-thanh-pho-ho-chi-minh.htm" TargetMode="External"/><Relationship Id="rId2025" Type="http://schemas.openxmlformats.org/officeDocument/2006/relationships/hyperlink" Target="https://finance.vietstock.vn/SD6-ctcp-song-da-6.htm" TargetMode="External"/><Relationship Id="rId2372" Type="http://schemas.openxmlformats.org/officeDocument/2006/relationships/hyperlink" Target="https://finance.vietstock.vn/TMC-ctcp-thuong-mai-xuat-nhap-khau-thu-duc.htm" TargetMode="External"/><Relationship Id="rId2677" Type="http://schemas.openxmlformats.org/officeDocument/2006/relationships/hyperlink" Target="https://finance.vietstock.vn/VinatexPhuHung-cong-ty-cp-vinatex-phu-hung.htm" TargetMode="External"/><Relationship Id="rId2884" Type="http://schemas.openxmlformats.org/officeDocument/2006/relationships/printerSettings" Target="../printerSettings/printerSettings1.bin"/><Relationship Id="rId551" Type="http://schemas.openxmlformats.org/officeDocument/2006/relationships/hyperlink" Target="https://finance.vietstock.vn/DBM-ctcp-duoc-vat-tu-y-te-dak-lak.htm" TargetMode="External"/><Relationship Id="rId649" Type="http://schemas.openxmlformats.org/officeDocument/2006/relationships/hyperlink" Target="https://finance.vietstock.vn/Dofico-tong-cong-ty-cong-nghiep-thuc-pham-dong-nai.htm" TargetMode="External"/><Relationship Id="rId856" Type="http://schemas.openxmlformats.org/officeDocument/2006/relationships/hyperlink" Target="https://finance.vietstock.vn/GANGTHEPLAOCAI-ctcp-dau-tu-gang-thep-lao-cai-vimico.htm" TargetMode="External"/><Relationship Id="rId1181" Type="http://schemas.openxmlformats.org/officeDocument/2006/relationships/hyperlink" Target="https://finance.vietstock.vn/IBC-ctcp-dau-tu-apax-holdings.htm" TargetMode="External"/><Relationship Id="rId1279" Type="http://schemas.openxmlformats.org/officeDocument/2006/relationships/hyperlink" Target="https://finance.vietstock.vn/KHL-ctcp-khoang-san-va-vat-lieu-xay-dung-hung-long.htm" TargetMode="External"/><Relationship Id="rId1486" Type="http://schemas.openxmlformats.org/officeDocument/2006/relationships/hyperlink" Target="https://finance.vietstock.vn/MHL-ctcp-minh-huu-lien.htm" TargetMode="External"/><Relationship Id="rId2232" Type="http://schemas.openxmlformats.org/officeDocument/2006/relationships/hyperlink" Target="https://finance.vietstock.vn/TanTien-ctcp-det-tan-tien.htm" TargetMode="External"/><Relationship Id="rId2537" Type="http://schemas.openxmlformats.org/officeDocument/2006/relationships/hyperlink" Target="https://finance.vietstock.vn/VC9-ctcp-xay-dung-so-9-vc9.htm" TargetMode="External"/><Relationship Id="rId204" Type="http://schemas.openxmlformats.org/officeDocument/2006/relationships/hyperlink" Target="https://finance.vietstock.vn/BinhDien-ctcp-thuy-dien-bi%60nh-dien.htm" TargetMode="External"/><Relationship Id="rId411" Type="http://schemas.openxmlformats.org/officeDocument/2006/relationships/hyperlink" Target="https://finance.vietstock.vn/CKG-ctcp-tap-doan-cic.htm" TargetMode="External"/><Relationship Id="rId509" Type="http://schemas.openxmlformats.org/officeDocument/2006/relationships/hyperlink" Target="https://finance.vietstock.vn/CTV-ctcp-dau-tu-san-xuat-va-thuong-mai-viet-nam.htm" TargetMode="External"/><Relationship Id="rId1041" Type="http://schemas.openxmlformats.org/officeDocument/2006/relationships/hyperlink" Target="https://finance.vietstock.vn/HIG-ctcp-tap-doan-hipt.htm" TargetMode="External"/><Relationship Id="rId1139" Type="http://schemas.openxmlformats.org/officeDocument/2006/relationships/hyperlink" Target="https://finance.vietstock.vn/HTE-ctcp-dau-tu-kinh-doanh-dien-luc-thanh-pho-ho-chi-minh.htm" TargetMode="External"/><Relationship Id="rId1346" Type="http://schemas.openxmlformats.org/officeDocument/2006/relationships/hyperlink" Target="https://finance.vietstock.vn/L61-ctcp-lilama-69-1.htm" TargetMode="External"/><Relationship Id="rId1693" Type="http://schemas.openxmlformats.org/officeDocument/2006/relationships/hyperlink" Target="https://finance.vietstock.vn/OTG-ctcp-otran-logistics.htm" TargetMode="External"/><Relationship Id="rId1998" Type="http://schemas.openxmlformats.org/officeDocument/2006/relationships/hyperlink" Target="https://finance.vietstock.vn/SBR-ctcp-cao-su-song-be.htm" TargetMode="External"/><Relationship Id="rId2744" Type="http://schemas.openxmlformats.org/officeDocument/2006/relationships/hyperlink" Target="https://finance.vietstock.vn/VNN-ctcp-dau-tu-thuong-mai-vnn.htm" TargetMode="External"/><Relationship Id="rId716" Type="http://schemas.openxmlformats.org/officeDocument/2006/relationships/hyperlink" Target="https://finance.vietstock.vn/DuocLieuTW2-ctcp-duoc-lieu-trung-uong-2.htm" TargetMode="External"/><Relationship Id="rId923" Type="http://schemas.openxmlformats.org/officeDocument/2006/relationships/hyperlink" Target="https://finance.vietstock.vn/GTC-ctcp-tra-rong-vang.htm" TargetMode="External"/><Relationship Id="rId1553" Type="http://schemas.openxmlformats.org/officeDocument/2006/relationships/hyperlink" Target="https://finance.vietstock.vn/NAC-ctcp-tu-van-xay-dung-tong-hop.htm" TargetMode="External"/><Relationship Id="rId1760" Type="http://schemas.openxmlformats.org/officeDocument/2006/relationships/hyperlink" Target="https://finance.vietstock.vn/PhuongNamSF-ctcp-che-bien-thuc-pham-phuong-nam.htm" TargetMode="External"/><Relationship Id="rId1858" Type="http://schemas.openxmlformats.org/officeDocument/2006/relationships/hyperlink" Target="https://finance.vietstock.vn/PVC-tong-cong-ty-hoa-chat-va-dich-vu-dau-khi-ctcp.htm" TargetMode="External"/><Relationship Id="rId2604" Type="http://schemas.openxmlformats.org/officeDocument/2006/relationships/hyperlink" Target="https://finance.vietstock.vn/VHC-ctcp-vinh-hoan.htm" TargetMode="External"/><Relationship Id="rId2811" Type="http://schemas.openxmlformats.org/officeDocument/2006/relationships/hyperlink" Target="https://finance.vietstock.vn/VTQ-ctcp-viet-trung-quang-binh.htm" TargetMode="External"/><Relationship Id="rId52" Type="http://schemas.openxmlformats.org/officeDocument/2006/relationships/hyperlink" Target="https://finance.vietstock.vn/AgrimexcoCaMau-ctcp-xuat-nhap-khau-nong-san-thuc-pham-ca-mau.htm" TargetMode="External"/><Relationship Id="rId1206" Type="http://schemas.openxmlformats.org/officeDocument/2006/relationships/hyperlink" Target="https://finance.vietstock.vn/IHK-ctcp-in-hang-khong.htm" TargetMode="External"/><Relationship Id="rId1413" Type="http://schemas.openxmlformats.org/officeDocument/2006/relationships/hyperlink" Target="https://finance.vietstock.vn/LTC-ctcp-dien-nhe-vien-thong.htm" TargetMode="External"/><Relationship Id="rId1620" Type="http://schemas.openxmlformats.org/officeDocument/2006/relationships/hyperlink" Target="https://finance.vietstock.vn/NLG-ctcp-dau-tu-nam-long.htm" TargetMode="External"/><Relationship Id="rId1718" Type="http://schemas.openxmlformats.org/officeDocument/2006/relationships/hyperlink" Target="https://finance.vietstock.vn/PCT-ctcp-van-tai-bien-global-pacific.htm" TargetMode="External"/><Relationship Id="rId1925" Type="http://schemas.openxmlformats.org/officeDocument/2006/relationships/hyperlink" Target="https://finance.vietstock.vn/RCC-ctcp-tong-cong-ty-cong-trinh-duong-sat-viet-nam.htm" TargetMode="External"/><Relationship Id="rId299" Type="http://schemas.openxmlformats.org/officeDocument/2006/relationships/hyperlink" Target="https://finance.vietstock.vn/C32-ctcp-dau-tu-va-xay-dung-3-2.htm" TargetMode="External"/><Relationship Id="rId2187" Type="http://schemas.openxmlformats.org/officeDocument/2006/relationships/hyperlink" Target="https://finance.vietstock.vn/STT-ctcp-van-chuyen-sai-gon-tourist.htm" TargetMode="External"/><Relationship Id="rId2394" Type="http://schemas.openxmlformats.org/officeDocument/2006/relationships/hyperlink" Target="https://finance.vietstock.vn/TNS-ctcp-thep-tam-la-thong-nhat.htm" TargetMode="External"/><Relationship Id="rId159" Type="http://schemas.openxmlformats.org/officeDocument/2006/relationships/hyperlink" Target="https://finance.vietstock.vn/BDB-ctcp-sach-va-thiet-bi-binh-dinh.htm" TargetMode="External"/><Relationship Id="rId366" Type="http://schemas.openxmlformats.org/officeDocument/2006/relationships/hyperlink" Target="https://finance.vietstock.vn/CEE-ctcp-xay-dung-ha-tang-cii.htm" TargetMode="External"/><Relationship Id="rId573" Type="http://schemas.openxmlformats.org/officeDocument/2006/relationships/hyperlink" Target="https://finance.vietstock.vn/DDV-ctcp-dap-vinachem.htm" TargetMode="External"/><Relationship Id="rId780" Type="http://schemas.openxmlformats.org/officeDocument/2006/relationships/hyperlink" Target="https://finance.vietstock.vn/EVG-ctcp-tap-doan-everland.htm" TargetMode="External"/><Relationship Id="rId2047" Type="http://schemas.openxmlformats.org/officeDocument/2006/relationships/hyperlink" Target="https://finance.vietstock.vn/SDX-ctcp-phong-chay-chua-chay-va-dau-tu-xay-dung-song-da.htm" TargetMode="External"/><Relationship Id="rId2254" Type="http://schemas.openxmlformats.org/officeDocument/2006/relationships/hyperlink" Target="https://finance.vietstock.vn/TBW-ctcp-nuoc-sach-thai-binh.htm" TargetMode="External"/><Relationship Id="rId2461" Type="http://schemas.openxmlformats.org/officeDocument/2006/relationships/hyperlink" Target="https://finance.vietstock.vn/TTS-ctcp-can-thep-thai-trung.htm" TargetMode="External"/><Relationship Id="rId2699" Type="http://schemas.openxmlformats.org/officeDocument/2006/relationships/hyperlink" Target="https://finance.vietstock.vn/Vitranimex-ctcp-van-tai-va-thuong-mai.htm" TargetMode="External"/><Relationship Id="rId226" Type="http://schemas.openxmlformats.org/officeDocument/2006/relationships/hyperlink" Target="https://finance.vietstock.vn/BMI-tong-cong-ty-co-phan-bao-minh.htm" TargetMode="External"/><Relationship Id="rId433" Type="http://schemas.openxmlformats.org/officeDocument/2006/relationships/hyperlink" Target="https://finance.vietstock.vn/CMP-ctcp-cang-chan-may.htm" TargetMode="External"/><Relationship Id="rId878" Type="http://schemas.openxmlformats.org/officeDocument/2006/relationships/hyperlink" Target="https://finance.vietstock.vn/Gentraco-ctcp-gentraco.htm" TargetMode="External"/><Relationship Id="rId1063" Type="http://schemas.openxmlformats.org/officeDocument/2006/relationships/hyperlink" Target="https://finance.vietstock.vn/HLY-ctcp-gom-xay-dung-yen-hung.htm" TargetMode="External"/><Relationship Id="rId1270" Type="http://schemas.openxmlformats.org/officeDocument/2006/relationships/hyperlink" Target="https://finance.vietstock.vn/KGTICJC-ctcp-xay-dung-giao-thong-thuy-loi-kien-giang.htm" TargetMode="External"/><Relationship Id="rId2114" Type="http://schemas.openxmlformats.org/officeDocument/2006/relationships/hyperlink" Target="https://finance.vietstock.vn/SLS-ctcp-mia-duong-son-la.htm" TargetMode="External"/><Relationship Id="rId2559" Type="http://schemas.openxmlformats.org/officeDocument/2006/relationships/hyperlink" Target="https://finance.vietstock.vn/VCV-ctcp-van-tai-vinaconex.htm" TargetMode="External"/><Relationship Id="rId2766" Type="http://schemas.openxmlformats.org/officeDocument/2006/relationships/hyperlink" Target="https://finance.vietstock.vn/VPL-ctcp-vinpearl.htm" TargetMode="External"/><Relationship Id="rId640" Type="http://schemas.openxmlformats.org/officeDocument/2006/relationships/hyperlink" Target="https://finance.vietstock.vn/DNP-ctcp-dnp-holding.htm" TargetMode="External"/><Relationship Id="rId738" Type="http://schemas.openxmlformats.org/officeDocument/2006/relationships/hyperlink" Target="https://finance.vietstock.vn/DVW-ctcp-dich-vu-va-xay-dung-cap-nuoc-dong-nai.htm" TargetMode="External"/><Relationship Id="rId945" Type="http://schemas.openxmlformats.org/officeDocument/2006/relationships/hyperlink" Target="https://finance.vietstock.vn/HaiAn-ctcp-dong-tau-hai-an.htm" TargetMode="External"/><Relationship Id="rId1368" Type="http://schemas.openxmlformats.org/officeDocument/2006/relationships/hyperlink" Target="https://finance.vietstock.vn/LCS-ctcp-licogi-166.htm" TargetMode="External"/><Relationship Id="rId1575" Type="http://schemas.openxmlformats.org/officeDocument/2006/relationships/hyperlink" Target="https://finance.vietstock.vn/NBR-ctcp-duong-sat-nghia-binh.htm" TargetMode="External"/><Relationship Id="rId1782" Type="http://schemas.openxmlformats.org/officeDocument/2006/relationships/hyperlink" Target="https://finance.vietstock.vn/PLO-ctcp-kho-van-petec.htm" TargetMode="External"/><Relationship Id="rId2321" Type="http://schemas.openxmlformats.org/officeDocument/2006/relationships/hyperlink" Target="https://finance.vietstock.vn/ThienHoa-ctcp-dau-tu-tai-chinh-thien-hoa.htm" TargetMode="External"/><Relationship Id="rId2419" Type="http://schemas.openxmlformats.org/officeDocument/2006/relationships/hyperlink" Target="https://finance.vietstock.vn/TRACIMEXCO-ctcp-xuat-nhap-khau-va-hop-tac-dau-tu-gtvt.htm" TargetMode="External"/><Relationship Id="rId2626" Type="http://schemas.openxmlformats.org/officeDocument/2006/relationships/hyperlink" Target="https://finance.vietstock.vn/VienthongCT-ctcp-dau-tu-xay-dung-vien-thong-can-tho.htm" TargetMode="External"/><Relationship Id="rId2833" Type="http://schemas.openxmlformats.org/officeDocument/2006/relationships/hyperlink" Target="https://finance.vietstock.vn/WSB-ctcp-bia-sai-gon-mien-tay.htm" TargetMode="External"/><Relationship Id="rId74" Type="http://schemas.openxmlformats.org/officeDocument/2006/relationships/hyperlink" Target="https://finance.vietstock.vn/AMV-ctcp-san-xuat-kinh-doanh-duoc-va-trang-thiet-bi-y-te-viet-my.htm" TargetMode="External"/><Relationship Id="rId500" Type="http://schemas.openxmlformats.org/officeDocument/2006/relationships/hyperlink" Target="https://finance.vietstock.vn/CTG-ngan-hang-tmcp-cong-thuong-viet-nam.htm" TargetMode="External"/><Relationship Id="rId805" Type="http://schemas.openxmlformats.org/officeDocument/2006/relationships/hyperlink" Target="https://finance.vietstock.vn/FiinRatings-ctcp-fiinratings.htm" TargetMode="External"/><Relationship Id="rId1130" Type="http://schemas.openxmlformats.org/officeDocument/2006/relationships/hyperlink" Target="https://finance.vietstock.vn/HSM-tong-cong-ty-co-phan-det-may-ha-noi.htm" TargetMode="External"/><Relationship Id="rId1228" Type="http://schemas.openxmlformats.org/officeDocument/2006/relationships/hyperlink" Target="https://finance.vietstock.vn/InThongNhat-ctcp-in-va-thuong-mai-thong-nhat.htm" TargetMode="External"/><Relationship Id="rId1435" Type="http://schemas.openxmlformats.org/officeDocument/2006/relationships/hyperlink" Target="https://finance.vietstock.vn/MayVietThang-ctcp-may-viet-thang.htm" TargetMode="External"/><Relationship Id="rId1642" Type="http://schemas.openxmlformats.org/officeDocument/2006/relationships/hyperlink" Target="https://finance.vietstock.vn/NSCTech-ctcp-cong-nghe-ncs.htm" TargetMode="External"/><Relationship Id="rId1947" Type="http://schemas.openxmlformats.org/officeDocument/2006/relationships/hyperlink" Target="https://finance.vietstock.vn/RVPIF-quy-dau-tu-thinh-vuong-rong-viet.htm" TargetMode="External"/><Relationship Id="rId1502" Type="http://schemas.openxmlformats.org/officeDocument/2006/relationships/hyperlink" Target="https://finance.vietstock.vn/MIWACO-ctcp-nuoc-khoang-va-du-lich-son-kim.htm" TargetMode="External"/><Relationship Id="rId1807" Type="http://schemas.openxmlformats.org/officeDocument/2006/relationships/hyperlink" Target="https://finance.vietstock.vn/POV-ctcp-xang-dau-dau-khi-vung-ang.htm" TargetMode="External"/><Relationship Id="rId290" Type="http://schemas.openxmlformats.org/officeDocument/2006/relationships/hyperlink" Target="https://finance.vietstock.vn/BWA-ctcp-cap-thoat-nuoc-va-xay-dung-bao-loc.htm" TargetMode="External"/><Relationship Id="rId388" Type="http://schemas.openxmlformats.org/officeDocument/2006/relationships/hyperlink" Target="https://finance.vietstock.vn/CIC-ctcp-dau-tu-va-xay-dung-cotec.htm" TargetMode="External"/><Relationship Id="rId2069" Type="http://schemas.openxmlformats.org/officeDocument/2006/relationships/hyperlink" Target="https://finance.vietstock.vn/SGIC-ctcp-quan-ly-quy-dau-tu-sgi.htm" TargetMode="External"/><Relationship Id="rId150" Type="http://schemas.openxmlformats.org/officeDocument/2006/relationships/hyperlink" Target="https://finance.vietstock.vn/BCC-ctcp-xi-mang-bim-son.htm" TargetMode="External"/><Relationship Id="rId595" Type="http://schemas.openxmlformats.org/officeDocument/2006/relationships/hyperlink" Target="https://finance.vietstock.vn/DIAOC3-ctcp-xay-dung-va-kinh-doanh-dia-oc-iii.htm" TargetMode="External"/><Relationship Id="rId2276" Type="http://schemas.openxmlformats.org/officeDocument/2006/relationships/hyperlink" Target="https://finance.vietstock.vn/TDF-ctcp-trung-do.htm" TargetMode="External"/><Relationship Id="rId2483" Type="http://schemas.openxmlformats.org/officeDocument/2006/relationships/hyperlink" Target="https://finance.vietstock.vn/TVP-ctcp-duoc-pham-tv-pharm.htm" TargetMode="External"/><Relationship Id="rId2690" Type="http://schemas.openxmlformats.org/officeDocument/2006/relationships/hyperlink" Target="https://finance.vietstock.vn/VIP-ctcp-van-tai-xang-dau-vipco.htm" TargetMode="External"/><Relationship Id="rId248" Type="http://schemas.openxmlformats.org/officeDocument/2006/relationships/hyperlink" Target="https://finance.vietstock.vn/BSA-ctcp-thuy-dien-buon-don.htm" TargetMode="External"/><Relationship Id="rId455" Type="http://schemas.openxmlformats.org/officeDocument/2006/relationships/hyperlink" Target="https://finance.vietstock.vn/CongThanh-ctcp-xi-mang-cong-thanh.htm" TargetMode="External"/><Relationship Id="rId662" Type="http://schemas.openxmlformats.org/officeDocument/2006/relationships/hyperlink" Target="https://finance.vietstock.vn/DP3-ctcp-duoc-pham-trung-uong-3.htm" TargetMode="External"/><Relationship Id="rId1085" Type="http://schemas.openxmlformats.org/officeDocument/2006/relationships/hyperlink" Target="https://finance.vietstock.vn/HoaChat-ctcp-hoa-chat.htm" TargetMode="External"/><Relationship Id="rId1292" Type="http://schemas.openxmlformats.org/officeDocument/2006/relationships/hyperlink" Target="https://finance.vietstock.vn/Kigitraco-ctcp-kinh-doanh-nong-san-kien-giang.htm" TargetMode="External"/><Relationship Id="rId2136" Type="http://schemas.openxmlformats.org/officeDocument/2006/relationships/hyperlink" Target="https://finance.vietstock.vn/SongDaHoangLien-ctcp-thuy-dien-song-da-hoang-lien.htm" TargetMode="External"/><Relationship Id="rId2343" Type="http://schemas.openxmlformats.org/officeDocument/2006/relationships/hyperlink" Target="https://finance.vietstock.vn/TIE-ctcp-tie.htm" TargetMode="External"/><Relationship Id="rId2550" Type="http://schemas.openxmlformats.org/officeDocument/2006/relationships/hyperlink" Target="https://finance.vietstock.vn/VCI-ctcp-chung-khoan-vietcap.htm" TargetMode="External"/><Relationship Id="rId2788" Type="http://schemas.openxmlformats.org/officeDocument/2006/relationships/hyperlink" Target="https://finance.vietstock.vn/VSN-ctcp-viet-nam-ky-nghe-suc-san.htm" TargetMode="External"/><Relationship Id="rId108" Type="http://schemas.openxmlformats.org/officeDocument/2006/relationships/hyperlink" Target="https://finance.vietstock.vn/AST-ctcp-dich-vu-hang-khong-taseco.htm" TargetMode="External"/><Relationship Id="rId315" Type="http://schemas.openxmlformats.org/officeDocument/2006/relationships/hyperlink" Target="https://finance.vietstock.vn/CAN-ctcp-do-hop-ha-long.htm" TargetMode="External"/><Relationship Id="rId522" Type="http://schemas.openxmlformats.org/officeDocument/2006/relationships/hyperlink" Target="https://finance.vietstock.vn/CYC-ctcp-gach-men-chang-yih.htm" TargetMode="External"/><Relationship Id="rId967" Type="http://schemas.openxmlformats.org/officeDocument/2006/relationships/hyperlink" Target="https://finance.vietstock.vn/HARUTOUR-ctcp-du-lich-cao-su-ham-rong.htm" TargetMode="External"/><Relationship Id="rId1152" Type="http://schemas.openxmlformats.org/officeDocument/2006/relationships/hyperlink" Target="https://finance.vietstock.vn/HTV-ctcp-logistics-vicem.htm" TargetMode="External"/><Relationship Id="rId1597" Type="http://schemas.openxmlformats.org/officeDocument/2006/relationships/hyperlink" Target="https://finance.vietstock.vn/NgoVietNam-ctcp-dau-tu-phat-trien-ngo-viet-nam.htm" TargetMode="External"/><Relationship Id="rId2203" Type="http://schemas.openxmlformats.org/officeDocument/2006/relationships/hyperlink" Target="https://finance.vietstock.vn/SVN-ctcp-tap-doan-vexilla-viet-nam.htm" TargetMode="External"/><Relationship Id="rId2410" Type="http://schemas.openxmlformats.org/officeDocument/2006/relationships/hyperlink" Target="https://finance.vietstock.vn/TPF-cong-ty-tnhh-quan-ly-quy-mirae-asset-viet-nam.htm" TargetMode="External"/><Relationship Id="rId2648" Type="http://schemas.openxmlformats.org/officeDocument/2006/relationships/hyperlink" Target="https://finance.vietstock.vn/Vikhaco-ctcp-thuong-mai-va-dau-tu-viet-khanh.htm" TargetMode="External"/><Relationship Id="rId2855" Type="http://schemas.openxmlformats.org/officeDocument/2006/relationships/hyperlink" Target="https://finance.vietstock.vn/XDHTCanTho-ctcp-xay-dung-ha-tang-khu-cong-nghiep-can-tho.htm" TargetMode="External"/><Relationship Id="rId96" Type="http://schemas.openxmlformats.org/officeDocument/2006/relationships/hyperlink" Target="https://finance.vietstock.vn/ART-ctcp-chung-khoan-artex.htm" TargetMode="External"/><Relationship Id="rId827" Type="http://schemas.openxmlformats.org/officeDocument/2006/relationships/hyperlink" Target="https://finance.vietstock.vn/FTI-ctcp-cong-nghiep-thuong-mai-huu-nghi.htm" TargetMode="External"/><Relationship Id="rId1012" Type="http://schemas.openxmlformats.org/officeDocument/2006/relationships/hyperlink" Target="https://finance.vietstock.vn/Hemco-ctcp-hoc-lieu-giao-duc-ha-noi.htm" TargetMode="External"/><Relationship Id="rId1457" Type="http://schemas.openxmlformats.org/officeDocument/2006/relationships/hyperlink" Target="https://finance.vietstock.vn/MCP-ctcp-in-va-bao-bi-my-chau.htm" TargetMode="External"/><Relationship Id="rId1664" Type="http://schemas.openxmlformats.org/officeDocument/2006/relationships/hyperlink" Target="https://finance.vietstock.vn/NuocQuangNam-ctcp-cap-thoat-nuoc-quang-nam.htm" TargetMode="External"/><Relationship Id="rId1871" Type="http://schemas.openxmlformats.org/officeDocument/2006/relationships/hyperlink" Target="https://finance.vietstock.vn/PVL-ctcp-dia-oc-dau-khi.htm" TargetMode="External"/><Relationship Id="rId2508" Type="http://schemas.openxmlformats.org/officeDocument/2006/relationships/hyperlink" Target="https://finance.vietstock.vn/UTT-ctcp-moi-truong-do-thi-thanh-tri.htm" TargetMode="External"/><Relationship Id="rId2715" Type="http://schemas.openxmlformats.org/officeDocument/2006/relationships/hyperlink" Target="https://finance.vietstock.vn/VLG-ctcp-vimc-logistics.htm" TargetMode="External"/><Relationship Id="rId1317" Type="http://schemas.openxmlformats.org/officeDocument/2006/relationships/hyperlink" Target="https://finance.vietstock.vn/KSD-ctcp-dau-tu-dna.htm" TargetMode="External"/><Relationship Id="rId1524" Type="http://schemas.openxmlformats.org/officeDocument/2006/relationships/hyperlink" Target="https://finance.vietstock.vn/MSB-ngan-hang-tmcp-hang-hai-viet-nam.htm" TargetMode="External"/><Relationship Id="rId1731" Type="http://schemas.openxmlformats.org/officeDocument/2006/relationships/hyperlink" Target="https://finance.vietstock.vn/PetroKienGiang-ctcp-xang-dau-dau-khi-kien-giang.htm" TargetMode="External"/><Relationship Id="rId1969" Type="http://schemas.openxmlformats.org/officeDocument/2006/relationships/hyperlink" Target="https://finance.vietstock.vn/SAGEL-ctcp-dien-tu-va-dich-vu-cong-nghiep-sai-gon.htm" TargetMode="External"/><Relationship Id="rId23" Type="http://schemas.openxmlformats.org/officeDocument/2006/relationships/hyperlink" Target="https://finance.vietstock.vn/ACBBGF-quy-dau-tu-tang-truong-on-dinh-acbc.htm" TargetMode="External"/><Relationship Id="rId1829" Type="http://schemas.openxmlformats.org/officeDocument/2006/relationships/hyperlink" Target="https://finance.vietstock.vn/PSG-ctcp-dau-tu-va-xay-lap-dau-khi-sai-gon.htm" TargetMode="External"/><Relationship Id="rId2298" Type="http://schemas.openxmlformats.org/officeDocument/2006/relationships/hyperlink" Target="https://finance.vietstock.vn/TH1-ctcp-xuat-nhap-khau-tong-hop-i-viet-nam.htm" TargetMode="External"/><Relationship Id="rId172" Type="http://schemas.openxmlformats.org/officeDocument/2006/relationships/hyperlink" Target="https://finance.vietstock.vn/BEL-ctcp-dien-tu-bien-hoa.htm" TargetMode="External"/><Relationship Id="rId477" Type="http://schemas.openxmlformats.org/officeDocument/2006/relationships/hyperlink" Target="https://finance.vietstock.vn/CPW-ctcp-cong-trinh-giao-thong-cong-chanh.htm" TargetMode="External"/><Relationship Id="rId684" Type="http://schemas.openxmlformats.org/officeDocument/2006/relationships/hyperlink" Target="https://finance.vietstock.vn/DSS-ctcp-duong-sat-sai-gon.htm" TargetMode="External"/><Relationship Id="rId2060" Type="http://schemas.openxmlformats.org/officeDocument/2006/relationships/hyperlink" Target="https://finance.vietstock.vn/SFT-ctcp-softech.htm" TargetMode="External"/><Relationship Id="rId2158" Type="http://schemas.openxmlformats.org/officeDocument/2006/relationships/hyperlink" Target="https://finance.vietstock.vn/SRB-ctcp-tap-doan-sara.htm" TargetMode="External"/><Relationship Id="rId2365" Type="http://schemas.openxmlformats.org/officeDocument/2006/relationships/hyperlink" Target="https://finance.vietstock.vn/TLG6-ctcp-xay-dung-so-6-thang-long.htm" TargetMode="External"/><Relationship Id="rId337" Type="http://schemas.openxmlformats.org/officeDocument/2006/relationships/hyperlink" Target="https://finance.vietstock.vn/CavicoVN-ctcp-xay-dung-va-dau-tu-cavico-viet-nam.htm" TargetMode="External"/><Relationship Id="rId891" Type="http://schemas.openxmlformats.org/officeDocument/2006/relationships/hyperlink" Target="https://finance.vietstock.vn/GiaoThong2-ctcp-cong-trinh-giao-thong-2.htm" TargetMode="External"/><Relationship Id="rId989" Type="http://schemas.openxmlformats.org/officeDocument/2006/relationships/hyperlink" Target="https://finance.vietstock.vn/HCS-ctcp-thong-tin-tin-hieu-duong-sat-ha-noi.htm" TargetMode="External"/><Relationship Id="rId2018" Type="http://schemas.openxmlformats.org/officeDocument/2006/relationships/hyperlink" Target="https://finance.vietstock.vn/SCV-ctcp-muoi-viet-nam.htm" TargetMode="External"/><Relationship Id="rId2572" Type="http://schemas.openxmlformats.org/officeDocument/2006/relationships/hyperlink" Target="https://finance.vietstock.vn/VE1-ctcp-xay-dung-dien-vneco-1.htm" TargetMode="External"/><Relationship Id="rId2877" Type="http://schemas.openxmlformats.org/officeDocument/2006/relationships/hyperlink" Target="https://finance.vietstock.vn/Yeah1Edigital-ctcp-yeah1-edigital.htm" TargetMode="External"/><Relationship Id="rId544" Type="http://schemas.openxmlformats.org/officeDocument/2006/relationships/hyperlink" Target="https://finance.vietstock.vn/DaTayDo-ctcp-da-tay-do.htm" TargetMode="External"/><Relationship Id="rId751" Type="http://schemas.openxmlformats.org/officeDocument/2006/relationships/hyperlink" Target="https://finance.vietstock.vn/E29-ctcp-dau-tu-xay-dung-va-ky-thuat-29.htm" TargetMode="External"/><Relationship Id="rId849" Type="http://schemas.openxmlformats.org/officeDocument/2006/relationships/hyperlink" Target="https://finance.vietstock.vn/FUETPVND-chung-chi-quy-etf-vfcvn-diamond.htm" TargetMode="External"/><Relationship Id="rId1174" Type="http://schemas.openxmlformats.org/officeDocument/2006/relationships/hyperlink" Target="https://finance.vietstock.vn/HVH-ctcp-dau-tu-va-cong-nghe-hvc.htm" TargetMode="External"/><Relationship Id="rId1381" Type="http://schemas.openxmlformats.org/officeDocument/2006/relationships/hyperlink" Target="https://finance.vietstock.vn/Liberty-ctcp-que-huong-liberty.htm" TargetMode="External"/><Relationship Id="rId1479" Type="http://schemas.openxmlformats.org/officeDocument/2006/relationships/hyperlink" Target="https://finance.vietstock.vn/MFS-ctcp-dich-vu-ky-thuat-mobifone.htm" TargetMode="External"/><Relationship Id="rId1686" Type="http://schemas.openxmlformats.org/officeDocument/2006/relationships/hyperlink" Target="https://finance.vietstock.vn/ONW-ctcp-dich-vu-mot-the-gioi.htm" TargetMode="External"/><Relationship Id="rId2225" Type="http://schemas.openxmlformats.org/officeDocument/2006/relationships/hyperlink" Target="https://finance.vietstock.vn/TanHung-ctcp-dau-tu-tan-hung.htm" TargetMode="External"/><Relationship Id="rId2432" Type="http://schemas.openxmlformats.org/officeDocument/2006/relationships/hyperlink" Target="https://finance.vietstock.vn/TruongSonJSC-ctcp-truong-son.htm" TargetMode="External"/><Relationship Id="rId404" Type="http://schemas.openxmlformats.org/officeDocument/2006/relationships/hyperlink" Target="https://finance.vietstock.vn/Cistra-ctcp-dich-vu-thuong-mai-thanh-pho.htm" TargetMode="External"/><Relationship Id="rId611" Type="http://schemas.openxmlformats.org/officeDocument/2006/relationships/hyperlink" Target="https://finance.vietstock.vn/DKW-ctcp-cap-nuoc-sinh-hoat-chau-thanh.htm" TargetMode="External"/><Relationship Id="rId1034" Type="http://schemas.openxmlformats.org/officeDocument/2006/relationships/hyperlink" Target="https://finance.vietstock.vn/HHR-ctcp-duong-sat-ha-hai.htm" TargetMode="External"/><Relationship Id="rId1241" Type="http://schemas.openxmlformats.org/officeDocument/2006/relationships/hyperlink" Target="https://finance.vietstock.vn/ISH-ctcp-thuy-dien-srok-phu-mieng-idico.htm" TargetMode="External"/><Relationship Id="rId1339" Type="http://schemas.openxmlformats.org/officeDocument/2006/relationships/hyperlink" Target="https://finance.vietstock.vn/L14-ctcp-licogi-14.htm" TargetMode="External"/><Relationship Id="rId1893" Type="http://schemas.openxmlformats.org/officeDocument/2006/relationships/hyperlink" Target="https://finance.vietstock.vn/PXL-ctcp-dau-tu-khu-cong-nghiep-dau-khi-long-son.htm" TargetMode="External"/><Relationship Id="rId2737" Type="http://schemas.openxmlformats.org/officeDocument/2006/relationships/hyperlink" Target="https://finance.vietstock.vn/Vneco7-ctcp-xay-dung-dien-vneco-7.htm" TargetMode="External"/><Relationship Id="rId709" Type="http://schemas.openxmlformats.org/officeDocument/2006/relationships/hyperlink" Target="https://finance.vietstock.vn/DuLichTaCu-ctcp-du-lich-nui-ta-cu.htm" TargetMode="External"/><Relationship Id="rId916" Type="http://schemas.openxmlformats.org/officeDocument/2006/relationships/hyperlink" Target="https://finance.vietstock.vn/GQN-trung-tam-giong-thuy-san-quang-nam.htm" TargetMode="External"/><Relationship Id="rId1101" Type="http://schemas.openxmlformats.org/officeDocument/2006/relationships/hyperlink" Target="https://finance.vietstock.vn/HPA-ctcp-phat-trien-nong-nghiep-hoa-phat.htm" TargetMode="External"/><Relationship Id="rId1546" Type="http://schemas.openxmlformats.org/officeDocument/2006/relationships/hyperlink" Target="https://finance.vietstock.vn/MWG-ctcp-dau-tu-the-gioi-di-dong.htm" TargetMode="External"/><Relationship Id="rId1753" Type="http://schemas.openxmlformats.org/officeDocument/2006/relationships/hyperlink" Target="https://finance.vietstock.vn/PHP-ctcp-cang-hai-phong.htm" TargetMode="External"/><Relationship Id="rId1960" Type="http://schemas.openxmlformats.org/officeDocument/2006/relationships/hyperlink" Target="https://finance.vietstock.vn/SabecoNTB-ctcp-thuong-mai-bia-sai-gon-nam-trung-bo.htm" TargetMode="External"/><Relationship Id="rId2804" Type="http://schemas.openxmlformats.org/officeDocument/2006/relationships/hyperlink" Target="https://finance.vietstock.vn/VTJ-ctcp-thuong-mai-va-dau-tu-vi-na-ta-ba.htm" TargetMode="External"/><Relationship Id="rId45" Type="http://schemas.openxmlformats.org/officeDocument/2006/relationships/hyperlink" Target="https://finance.vietstock.vn/AGE-ctcp-moi-truong-do-thi-an-giang.htm" TargetMode="External"/><Relationship Id="rId1406" Type="http://schemas.openxmlformats.org/officeDocument/2006/relationships/hyperlink" Target="https://finance.vietstock.vn/LPB-ngan-hang-tmcp-loc-phat-viet-nam.htm" TargetMode="External"/><Relationship Id="rId1613" Type="http://schemas.openxmlformats.org/officeDocument/2006/relationships/hyperlink" Target="https://finance.vietstock.vn/NHW-ctcp-ngo-han.htm" TargetMode="External"/><Relationship Id="rId1820" Type="http://schemas.openxmlformats.org/officeDocument/2006/relationships/hyperlink" Target="https://finance.vietstock.vn/PRE-tong-cong-ty-co-phan-tai-bao-hiem-ha-noi.htm" TargetMode="External"/><Relationship Id="rId194" Type="http://schemas.openxmlformats.org/officeDocument/2006/relationships/hyperlink" Target="https://finance.vietstock.vn/BiaSaiGonDongNai-ctcp-bia-sai-gon-dong-nai.htm" TargetMode="External"/><Relationship Id="rId1918" Type="http://schemas.openxmlformats.org/officeDocument/2006/relationships/hyperlink" Target="https://finance.vietstock.vn/QuangtruongQT-ctcp-thuong-mai-dich-vu-quang-truong-quoc-te.htm" TargetMode="External"/><Relationship Id="rId2082" Type="http://schemas.openxmlformats.org/officeDocument/2006/relationships/hyperlink" Target="https://finance.vietstock.vn/SHG-tong-cong-ty-co-phan-song-hong.htm" TargetMode="External"/><Relationship Id="rId261" Type="http://schemas.openxmlformats.org/officeDocument/2006/relationships/hyperlink" Target="https://finance.vietstock.vn/BT6-ctcp-beton-6.htm" TargetMode="External"/><Relationship Id="rId499" Type="http://schemas.openxmlformats.org/officeDocument/2006/relationships/hyperlink" Target="https://finance.vietstock.vn/CTF-ctcp-city-auto.htm" TargetMode="External"/><Relationship Id="rId2387" Type="http://schemas.openxmlformats.org/officeDocument/2006/relationships/hyperlink" Target="https://finance.vietstock.vn/TNC-ctcp-cao-su-thong-nhat.htm" TargetMode="External"/><Relationship Id="rId2594" Type="http://schemas.openxmlformats.org/officeDocument/2006/relationships/hyperlink" Target="https://finance.vietstock.vn/VFS-ctcp-chung-khoan-nhat-viet.htm" TargetMode="External"/><Relationship Id="rId359" Type="http://schemas.openxmlformats.org/officeDocument/2006/relationships/hyperlink" Target="https://finance.vietstock.vn/CDH-ctcp-cong-trinh-cong-cong-va-dich-vu-du-lich-hai-phong.htm" TargetMode="External"/><Relationship Id="rId566" Type="http://schemas.openxmlformats.org/officeDocument/2006/relationships/hyperlink" Target="https://finance.vietstock.vn/DCT-ctcp-tam-lop-vat-lieu-xay-dung-dong-nai.htm" TargetMode="External"/><Relationship Id="rId773" Type="http://schemas.openxmlformats.org/officeDocument/2006/relationships/hyperlink" Target="https://finance.vietstock.vn/EPC-ctcp-ca-phe-ea-pok.htm" TargetMode="External"/><Relationship Id="rId1196" Type="http://schemas.openxmlformats.org/officeDocument/2006/relationships/hyperlink" Target="https://finance.vietstock.vn/IDICOICT-ctcp-dau-tu-xay-dung-va-du-lich-idico.htm" TargetMode="External"/><Relationship Id="rId2247" Type="http://schemas.openxmlformats.org/officeDocument/2006/relationships/hyperlink" Target="https://finance.vietstock.vn/TB8-ctcp-san-xuat-va-kinh-doanh-vat-tu-thiet-bi-vvmi.htm" TargetMode="External"/><Relationship Id="rId2454" Type="http://schemas.openxmlformats.org/officeDocument/2006/relationships/hyperlink" Target="https://finance.vietstock.vn/TTG-ctcp-may-thanh-tri.htm" TargetMode="External"/><Relationship Id="rId121" Type="http://schemas.openxmlformats.org/officeDocument/2006/relationships/hyperlink" Target="https://finance.vietstock.vn/Avicon-ctcp-cong-trinh-hang-khong.htm" TargetMode="External"/><Relationship Id="rId219" Type="http://schemas.openxmlformats.org/officeDocument/2006/relationships/hyperlink" Target="https://finance.vietstock.vn/Bluechipfund-quy-dau-tu-co-phieu-hang-dau-vcbf.htm" TargetMode="External"/><Relationship Id="rId426" Type="http://schemas.openxmlformats.org/officeDocument/2006/relationships/hyperlink" Target="https://finance.vietstock.vn/CMD-ctcp-vat-lieu-xay-dung-va-trang-tri-noi-that-thanh-pho-ho-chi-minh.htm" TargetMode="External"/><Relationship Id="rId633" Type="http://schemas.openxmlformats.org/officeDocument/2006/relationships/hyperlink" Target="https://finance.vietstock.vn/DNE-ctcp-moi-truong-do-thi-da-nang.htm" TargetMode="External"/><Relationship Id="rId980" Type="http://schemas.openxmlformats.org/officeDocument/2006/relationships/hyperlink" Target="https://finance.vietstock.vn/HBS-ctcp-chung-khoan-hoa-binh.htm" TargetMode="External"/><Relationship Id="rId1056" Type="http://schemas.openxmlformats.org/officeDocument/2006/relationships/hyperlink" Target="https://finance.vietstock.vn/HLD-ctcp-dau-tu-va-phat-trien-bat-dong-san-hudland.htm" TargetMode="External"/><Relationship Id="rId1263" Type="http://schemas.openxmlformats.org/officeDocument/2006/relationships/hyperlink" Target="https://finance.vietstock.vn/KCB-ctcp-khoang-san-va-luyen-kim-cao-bang.htm" TargetMode="External"/><Relationship Id="rId2107" Type="http://schemas.openxmlformats.org/officeDocument/2006/relationships/hyperlink" Target="https://finance.vietstock.vn/SJS-ctcp-sj-group.htm" TargetMode="External"/><Relationship Id="rId2314" Type="http://schemas.openxmlformats.org/officeDocument/2006/relationships/hyperlink" Target="https://finance.vietstock.vn/ThepNinhBinh-ctcp-be-tong-thep-ninh-binh.htm" TargetMode="External"/><Relationship Id="rId2661" Type="http://schemas.openxmlformats.org/officeDocument/2006/relationships/hyperlink" Target="https://finance.vietstock.vn/Vinaconex17-ctcp-xay-dung-so-17.htm" TargetMode="External"/><Relationship Id="rId2759" Type="http://schemas.openxmlformats.org/officeDocument/2006/relationships/hyperlink" Target="https://finance.vietstock.vn/VPC-ctcp-dau-tu-va-phat-trien-nang-luong-viet-nam.htm" TargetMode="External"/><Relationship Id="rId840" Type="http://schemas.openxmlformats.org/officeDocument/2006/relationships/hyperlink" Target="https://finance.vietstock.vn/FUEKIV30-chung-chi-quy-etf-kim-growth-vn30.htm" TargetMode="External"/><Relationship Id="rId938" Type="http://schemas.openxmlformats.org/officeDocument/2006/relationships/hyperlink" Target="https://finance.vietstock.vn/HAD-ctcp-bia-ha-noi-hai-duong.htm" TargetMode="External"/><Relationship Id="rId1470" Type="http://schemas.openxmlformats.org/officeDocument/2006/relationships/hyperlink" Target="https://finance.vietstock.vn/MED-ctcp-duoc-trung-uong-mediplantex.htm" TargetMode="External"/><Relationship Id="rId1568" Type="http://schemas.openxmlformats.org/officeDocument/2006/relationships/hyperlink" Target="https://finance.vietstock.vn/NAV-ctcp-nam-viet.htm" TargetMode="External"/><Relationship Id="rId1775" Type="http://schemas.openxmlformats.org/officeDocument/2006/relationships/hyperlink" Target="https://finance.vietstock.vn/PJS-ctcp-cap-nuoc-phu-hoa-tan.htm" TargetMode="External"/><Relationship Id="rId2521" Type="http://schemas.openxmlformats.org/officeDocument/2006/relationships/hyperlink" Target="https://finance.vietstock.vn/VanPhucGia-ctcp-dau-tu-van-phuc-gia.htm" TargetMode="External"/><Relationship Id="rId2619" Type="http://schemas.openxmlformats.org/officeDocument/2006/relationships/hyperlink" Target="https://finance.vietstock.vn/Vicopharm-ctcp-duoc-vacopharm.htm" TargetMode="External"/><Relationship Id="rId2826" Type="http://schemas.openxmlformats.org/officeDocument/2006/relationships/hyperlink" Target="https://finance.vietstock.vn/VVS-ctcp-dau-tu-phat-trien-may-viet-nam.htm" TargetMode="External"/><Relationship Id="rId67" Type="http://schemas.openxmlformats.org/officeDocument/2006/relationships/hyperlink" Target="https://finance.vietstock.vn/ALV-ctcp-tap-doan-mcst.htm" TargetMode="External"/><Relationship Id="rId700" Type="http://schemas.openxmlformats.org/officeDocument/2006/relationships/hyperlink" Target="https://finance.vietstock.vn/DTN-ctcp-diem-thong-nhat.htm" TargetMode="External"/><Relationship Id="rId1123" Type="http://schemas.openxmlformats.org/officeDocument/2006/relationships/hyperlink" Target="https://finance.vietstock.vn/HRG-ctcp-cao-su-ha-noi.htm" TargetMode="External"/><Relationship Id="rId1330" Type="http://schemas.openxmlformats.org/officeDocument/2006/relationships/hyperlink" Target="https://finance.vietstock.vn/KTL-ctcp-kim-khi-thang-long.htm" TargetMode="External"/><Relationship Id="rId1428" Type="http://schemas.openxmlformats.org/officeDocument/2006/relationships/hyperlink" Target="https://finance.vietstock.vn/MAX-ctcp-khai-khoang-va-co-khi-huu-nghi-vinh-sinh.htm" TargetMode="External"/><Relationship Id="rId1635" Type="http://schemas.openxmlformats.org/officeDocument/2006/relationships/hyperlink" Target="https://finance.vietstock.vn/NQB-ctcp-cap-nuoc-quang-binh.htm" TargetMode="External"/><Relationship Id="rId1982" Type="http://schemas.openxmlformats.org/officeDocument/2006/relationships/hyperlink" Target="https://finance.vietstock.vn/SAP-ctcp-in-sach-giao-khoa-thanh-pho-ho-chi-minh.htm" TargetMode="External"/><Relationship Id="rId1842" Type="http://schemas.openxmlformats.org/officeDocument/2006/relationships/hyperlink" Target="https://finance.vietstock.vn/PTHTKCNThaiNguyen-ctcp-pha&#180;t-trien-ha-tang-khu-cong-nghiep-thai-nguyen.htm" TargetMode="External"/><Relationship Id="rId1702" Type="http://schemas.openxmlformats.org/officeDocument/2006/relationships/hyperlink" Target="https://finance.vietstock.vn/PAS-ctcp-quoc-te-phuong-anh.htm" TargetMode="External"/><Relationship Id="rId283" Type="http://schemas.openxmlformats.org/officeDocument/2006/relationships/hyperlink" Target="https://finance.vietstock.vn/BVC-ctcp-nhua-bao-van.htm" TargetMode="External"/><Relationship Id="rId490" Type="http://schemas.openxmlformats.org/officeDocument/2006/relationships/hyperlink" Target="https://finance.vietstock.vn/CT3-ctcp-dau-tu-va-xay-dung-cong-trinh-3.htm" TargetMode="External"/><Relationship Id="rId2171" Type="http://schemas.openxmlformats.org/officeDocument/2006/relationships/hyperlink" Target="https://finance.vietstock.vn/SSN-ctcp-xuat-nhap-khau-thuy-san-sai-gon.htm" TargetMode="External"/><Relationship Id="rId143" Type="http://schemas.openxmlformats.org/officeDocument/2006/relationships/hyperlink" Target="https://finance.vietstock.vn/BBH-ctcp-bao-bi-hoang-thach.htm" TargetMode="External"/><Relationship Id="rId350" Type="http://schemas.openxmlformats.org/officeDocument/2006/relationships/hyperlink" Target="https://finance.vietstock.vn/CCM-ctcp-khoang-san-va-xi-mang-can-tho.htm" TargetMode="External"/><Relationship Id="rId588" Type="http://schemas.openxmlformats.org/officeDocument/2006/relationships/hyperlink" Target="https://finance.vietstock.vn/DHC-ctcp-dong-hai-ben-tre.htm" TargetMode="External"/><Relationship Id="rId795" Type="http://schemas.openxmlformats.org/officeDocument/2006/relationships/hyperlink" Target="https://finance.vietstock.vn/FCS-ctcp-luong-thuc-thanh-pho-ho-chi-minh.htm" TargetMode="External"/><Relationship Id="rId2031" Type="http://schemas.openxmlformats.org/officeDocument/2006/relationships/hyperlink" Target="https://finance.vietstock.vn/SDBP-ctcp-song-da-binh-phuoc.htm" TargetMode="External"/><Relationship Id="rId2269" Type="http://schemas.openxmlformats.org/officeDocument/2006/relationships/hyperlink" Target="https://finance.vietstock.vn/TCW-ctcp-kho-van-tan-cang.htm" TargetMode="External"/><Relationship Id="rId2476" Type="http://schemas.openxmlformats.org/officeDocument/2006/relationships/hyperlink" Target="https://finance.vietstock.vn/TVD-ctcp-than-vang-danh-vinacomin.htm" TargetMode="External"/><Relationship Id="rId2683" Type="http://schemas.openxmlformats.org/officeDocument/2006/relationships/hyperlink" Target="https://finance.vietstock.vn/VinhCuu-ctcp-vinh-cuu.htm" TargetMode="External"/><Relationship Id="rId9" Type="http://schemas.openxmlformats.org/officeDocument/2006/relationships/hyperlink" Target="https://finance.vietstock.vn/AAT-ctcp-tap-doan-tien-son-thanh-hoa.htm" TargetMode="External"/><Relationship Id="rId210" Type="http://schemas.openxmlformats.org/officeDocument/2006/relationships/hyperlink" Target="https://finance.vietstock.vn/BJC-ctcp-vrg-bao-loc.htm" TargetMode="External"/><Relationship Id="rId448" Type="http://schemas.openxmlformats.org/officeDocument/2006/relationships/hyperlink" Target="https://finance.vietstock.vn/CokhiNgoGiaTu-ctcp-co-khi-ngo-gia-tu.htm" TargetMode="External"/><Relationship Id="rId655" Type="http://schemas.openxmlformats.org/officeDocument/2006/relationships/hyperlink" Target="https://finance.vietstock.vn/DongTien-ctcp-dong-tien.htm" TargetMode="External"/><Relationship Id="rId862" Type="http://schemas.openxmlformats.org/officeDocument/2006/relationships/hyperlink" Target="https://finance.vietstock.vn/GDA-ctcp-ton-dong-a.htm" TargetMode="External"/><Relationship Id="rId1078" Type="http://schemas.openxmlformats.org/officeDocument/2006/relationships/hyperlink" Target="https://finance.vietstock.vn/HNI-ctcp-may-huu-nghi.htm" TargetMode="External"/><Relationship Id="rId1285" Type="http://schemas.openxmlformats.org/officeDocument/2006/relationships/hyperlink" Target="https://finance.vietstock.vn/KHS-ctcp-kien-hung.htm" TargetMode="External"/><Relationship Id="rId1492" Type="http://schemas.openxmlformats.org/officeDocument/2006/relationships/hyperlink" Target="https://finance.vietstock.vn/MIC-ctcp-ky-nghe-khoang-san-quang-nam.htm" TargetMode="External"/><Relationship Id="rId2129" Type="http://schemas.openxmlformats.org/officeDocument/2006/relationships/hyperlink" Target="https://finance.vietstock.vn/SON-ctcp-cung-ung-nhan-luc-quoc-te-va-thuong-mai.htm" TargetMode="External"/><Relationship Id="rId2336" Type="http://schemas.openxmlformats.org/officeDocument/2006/relationships/hyperlink" Target="https://finance.vietstock.vn/ThuanAn-ctcp-thuong-mai-tong-hop-thuan-an.htm" TargetMode="External"/><Relationship Id="rId2543" Type="http://schemas.openxmlformats.org/officeDocument/2006/relationships/hyperlink" Target="https://finance.vietstock.vn/VCBFTBF-quy-dau-tu-can-bang-vcbf.htm" TargetMode="External"/><Relationship Id="rId2750" Type="http://schemas.openxmlformats.org/officeDocument/2006/relationships/hyperlink" Target="https://finance.vietstock.vn/VNSC-ctcp-chung-khoan-finhay.htm" TargetMode="External"/><Relationship Id="rId308" Type="http://schemas.openxmlformats.org/officeDocument/2006/relationships/hyperlink" Target="https://finance.vietstock.vn/CAD-ctcp-che-bien-va-xuat-nhap-khau-thuy-san-cadovimex.htm" TargetMode="External"/><Relationship Id="rId515" Type="http://schemas.openxmlformats.org/officeDocument/2006/relationships/hyperlink" Target="https://finance.vietstock.vn/CVN-ctcp-vinam.htm" TargetMode="External"/><Relationship Id="rId722" Type="http://schemas.openxmlformats.org/officeDocument/2006/relationships/hyperlink" Target="https://finance.vietstock.vn/DuongCanTho-ctcp-mia-duong-can-tho.htm" TargetMode="External"/><Relationship Id="rId1145" Type="http://schemas.openxmlformats.org/officeDocument/2006/relationships/hyperlink" Target="https://finance.vietstock.vn/HTM-tong-cong-ty-thuong-mai-ha-noi-ctcp.htm" TargetMode="External"/><Relationship Id="rId1352" Type="http://schemas.openxmlformats.org/officeDocument/2006/relationships/hyperlink" Target="https://finance.vietstock.vn/LamDong-ctcp-xay-dung-so-1-lam-dong.htm" TargetMode="External"/><Relationship Id="rId1797" Type="http://schemas.openxmlformats.org/officeDocument/2006/relationships/hyperlink" Target="https://finance.vietstock.vn/PNG-ctcp-thuong-mai-phu-nhuan.htm" TargetMode="External"/><Relationship Id="rId2403" Type="http://schemas.openxmlformats.org/officeDocument/2006/relationships/hyperlink" Target="https://finance.vietstock.vn/TOS-ctcp-dich-vu-bien-tan-cang.htm" TargetMode="External"/><Relationship Id="rId2848" Type="http://schemas.openxmlformats.org/officeDocument/2006/relationships/hyperlink" Target="https://finance.vietstock.vn/XayLapHoangLien-ctcp-xay-lap-song-da-hoang-lien.htm" TargetMode="External"/><Relationship Id="rId89" Type="http://schemas.openxmlformats.org/officeDocument/2006/relationships/hyperlink" Target="https://finance.vietstock.vn/APP-ctcp-phat-trien-phu-gia-va-san-pham-dau-mo.htm" TargetMode="External"/><Relationship Id="rId1005" Type="http://schemas.openxmlformats.org/officeDocument/2006/relationships/hyperlink" Target="https://finance.vietstock.vn/HDP-ctcp-duoc-ha-tinh.htm" TargetMode="External"/><Relationship Id="rId1212" Type="http://schemas.openxmlformats.org/officeDocument/2006/relationships/hyperlink" Target="https://finance.vietstock.vn/ILS-ctcp-dau-tu-thuong-mai-va-dich-vu-quoc-te.htm" TargetMode="External"/><Relationship Id="rId1657" Type="http://schemas.openxmlformats.org/officeDocument/2006/relationships/hyperlink" Target="https://finance.vietstock.vn/NTP-ctcp-nhua-thieu-nien-tien-phong.htm" TargetMode="External"/><Relationship Id="rId1864" Type="http://schemas.openxmlformats.org/officeDocument/2006/relationships/hyperlink" Target="https://finance.vietstock.vn/PVEIC-tong-cong-ty-bao-duong-sua-chua-cong-trinh-dau-khi-ctcp.htm" TargetMode="External"/><Relationship Id="rId2610" Type="http://schemas.openxmlformats.org/officeDocument/2006/relationships/hyperlink" Target="https://finance.vietstock.vn/VHI-ctcp-kinh-doanh-va-dau-tu-viet-ha.htm" TargetMode="External"/><Relationship Id="rId2708" Type="http://schemas.openxmlformats.org/officeDocument/2006/relationships/hyperlink" Target="https://finance.vietstock.vn/VKP-ctcp-nhua-tan-hoa.htm" TargetMode="External"/><Relationship Id="rId1517" Type="http://schemas.openxmlformats.org/officeDocument/2006/relationships/hyperlink" Target="https://finance.vietstock.vn/MotorVN-ctcp-united-motor-viet-nam.htm" TargetMode="External"/><Relationship Id="rId1724" Type="http://schemas.openxmlformats.org/officeDocument/2006/relationships/hyperlink" Target="https://finance.vietstock.vn/PDV-ctcp-van-tai-va-tiep-van-phuong-dong-viet.htm" TargetMode="External"/><Relationship Id="rId16" Type="http://schemas.openxmlformats.org/officeDocument/2006/relationships/hyperlink" Target="https://finance.vietstock.vn/ABR-ctcp-dau-tu-nhan-hieu-viet.htm" TargetMode="External"/><Relationship Id="rId1931" Type="http://schemas.openxmlformats.org/officeDocument/2006/relationships/hyperlink" Target="https://finance.vietstock.vn/REM-ctcp-tu-bo-di-tich-trung-uong-vinaremon.htm" TargetMode="External"/><Relationship Id="rId2193" Type="http://schemas.openxmlformats.org/officeDocument/2006/relationships/hyperlink" Target="https://finance.vietstock.vn/SunCo-ctcp-xay-dung-thuong-mai-thai-duong.htm" TargetMode="External"/><Relationship Id="rId2498" Type="http://schemas.openxmlformats.org/officeDocument/2006/relationships/hyperlink" Target="https://finance.vietstock.vn/UIC-ctcp-dau-tu-phat-trien-nha-va-do-thi-idico.htm" TargetMode="External"/><Relationship Id="rId165" Type="http://schemas.openxmlformats.org/officeDocument/2006/relationships/hyperlink" Target="https://finance.vietstock.vn/BDS-ctcp-duong-binh-dinh.htm" TargetMode="External"/><Relationship Id="rId372" Type="http://schemas.openxmlformats.org/officeDocument/2006/relationships/hyperlink" Target="https://finance.vietstock.vn/CET-ctcp-htc-holding.htm" TargetMode="External"/><Relationship Id="rId677" Type="http://schemas.openxmlformats.org/officeDocument/2006/relationships/hyperlink" Target="https://finance.vietstock.vn/DSC-ctcp-chung-khoan-dsc.htm" TargetMode="External"/><Relationship Id="rId2053" Type="http://schemas.openxmlformats.org/officeDocument/2006/relationships/hyperlink" Target="https://finance.vietstock.vn/SED-ctcp-dau-tu-va-phat-trien-giao-duc-phuong-nam.htm" TargetMode="External"/><Relationship Id="rId2260" Type="http://schemas.openxmlformats.org/officeDocument/2006/relationships/hyperlink" Target="https://finance.vietstock.vn/TCH-ctcp-dau-tu-dich-vu-tai-chinh-hoang-huy.htm" TargetMode="External"/><Relationship Id="rId2358" Type="http://schemas.openxmlformats.org/officeDocument/2006/relationships/hyperlink" Target="https://finance.vietstock.vn/TKSC-ctcp-chung-khoan-tonkin.htm" TargetMode="External"/><Relationship Id="rId232" Type="http://schemas.openxmlformats.org/officeDocument/2006/relationships/hyperlink" Target="https://finance.vietstock.vn/BMS-ctcp-chung-khoan-bao-minh.htm" TargetMode="External"/><Relationship Id="rId884" Type="http://schemas.openxmlformats.org/officeDocument/2006/relationships/hyperlink" Target="https://finance.vietstock.vn/GGS-ctcp-giong-gia-suc-ha-noi.htm" TargetMode="External"/><Relationship Id="rId2120" Type="http://schemas.openxmlformats.org/officeDocument/2006/relationships/hyperlink" Target="https://finance.vietstock.vn/SMES-ctcp-chung-khoan-sme.htm" TargetMode="External"/><Relationship Id="rId2565" Type="http://schemas.openxmlformats.org/officeDocument/2006/relationships/hyperlink" Target="https://finance.vietstock.vn/VDL-ctcp-thuc-pham-lam-dong.htm" TargetMode="External"/><Relationship Id="rId2772" Type="http://schemas.openxmlformats.org/officeDocument/2006/relationships/hyperlink" Target="https://finance.vietstock.vn/VQSC-ctcp-chung-khoan-viet-quoc.htm" TargetMode="External"/><Relationship Id="rId537" Type="http://schemas.openxmlformats.org/officeDocument/2006/relationships/hyperlink" Target="https://finance.vietstock.vn/DAN-ctcp-duoc-danapha.htm" TargetMode="External"/><Relationship Id="rId744" Type="http://schemas.openxmlformats.org/officeDocument/2006/relationships/hyperlink" Target="https://finance.vietstock.vn/DXL-ctcp-du-lich-va-xuat-nhap-khau-lang-son.htm" TargetMode="External"/><Relationship Id="rId951" Type="http://schemas.openxmlformats.org/officeDocument/2006/relationships/hyperlink" Target="https://finance.vietstock.vn/HAMC-ctcp-co-khi-o-to-hoa-binh.htm" TargetMode="External"/><Relationship Id="rId1167" Type="http://schemas.openxmlformats.org/officeDocument/2006/relationships/hyperlink" Target="https://finance.vietstock.vn/HuuNghiNgheAn-ctcp-huu-nghi-nghe-an.htm" TargetMode="External"/><Relationship Id="rId1374" Type="http://schemas.openxmlformats.org/officeDocument/2006/relationships/hyperlink" Target="https://finance.vietstock.vn/LG9-ctcp-co-gioi-va-xay-lap-so-9.htm" TargetMode="External"/><Relationship Id="rId1581" Type="http://schemas.openxmlformats.org/officeDocument/2006/relationships/hyperlink" Target="https://finance.vietstock.vn/NCT-ctcp-dich-vu-hang-hoa-noi-bai.htm" TargetMode="External"/><Relationship Id="rId1679" Type="http://schemas.openxmlformats.org/officeDocument/2006/relationships/hyperlink" Target="https://finance.vietstock.vn/ODE-ctcp-tap-doan-truyen-thong-va-giai-tri-ode.htm" TargetMode="External"/><Relationship Id="rId2218" Type="http://schemas.openxmlformats.org/officeDocument/2006/relationships/hyperlink" Target="https://finance.vietstock.vn/TAFiCO-ctcp-xi-mang-fico-tay-ninh.htm" TargetMode="External"/><Relationship Id="rId2425" Type="http://schemas.openxmlformats.org/officeDocument/2006/relationships/hyperlink" Target="https://finance.vietstock.vn/TRICO-ctcp-dau-tu-thuong-mai-va-xay-dung-giao-thong-i.htm" TargetMode="External"/><Relationship Id="rId2632" Type="http://schemas.openxmlformats.org/officeDocument/2006/relationships/hyperlink" Target="https://finance.vietstock.vn/VietCeramics-ctcp-quoc-te-gom-su-viet.htm" TargetMode="External"/><Relationship Id="rId80" Type="http://schemas.openxmlformats.org/officeDocument/2006/relationships/hyperlink" Target="https://finance.vietstock.vn/ANT-ctcp-rau-qua-thuc-pham-an-giang.htm" TargetMode="External"/><Relationship Id="rId604" Type="http://schemas.openxmlformats.org/officeDocument/2006/relationships/hyperlink" Target="https://finance.vietstock.vn/DIG-tong-cong-ty-co-phan-dau-tu-phat-trien-xay-dung.htm" TargetMode="External"/><Relationship Id="rId811" Type="http://schemas.openxmlformats.org/officeDocument/2006/relationships/hyperlink" Target="https://finance.vietstock.vn/FNS-ctcp-chung-khoan-funan.htm" TargetMode="External"/><Relationship Id="rId1027" Type="http://schemas.openxmlformats.org/officeDocument/2006/relationships/hyperlink" Target="https://finance.vietstock.vn/HHB-ctcp-bia-ha-noi-hong-ha.htm" TargetMode="External"/><Relationship Id="rId1234" Type="http://schemas.openxmlformats.org/officeDocument/2006/relationships/hyperlink" Target="https://finance.vietstock.vn/INVESTCOM-ctcp-dau-tu-investcom.htm" TargetMode="External"/><Relationship Id="rId1441" Type="http://schemas.openxmlformats.org/officeDocument/2006/relationships/hyperlink" Target="https://finance.vietstock.vn/MBN-ctcp-moi-truong-va-cong-trinh-do-thi-bac-ninh.htm" TargetMode="External"/><Relationship Id="rId1886" Type="http://schemas.openxmlformats.org/officeDocument/2006/relationships/hyperlink" Target="https://finance.vietstock.vn/PWS-ctcp-cap-thoat-nuoc-phu-yen.htm" TargetMode="External"/><Relationship Id="rId909" Type="http://schemas.openxmlformats.org/officeDocument/2006/relationships/hyperlink" Target="https://finance.vietstock.vn/GMC-ctcp-garmex-sai-gon.htm" TargetMode="External"/><Relationship Id="rId1301" Type="http://schemas.openxmlformats.org/officeDocument/2006/relationships/hyperlink" Target="https://finance.vietstock.vn/KIP-ctcp-k-i-p-viet-nam.htm" TargetMode="External"/><Relationship Id="rId1539" Type="http://schemas.openxmlformats.org/officeDocument/2006/relationships/hyperlink" Target="https://finance.vietstock.vn/MTS-ctcp-vat-tu-tkv.htm" TargetMode="External"/><Relationship Id="rId1746" Type="http://schemas.openxmlformats.org/officeDocument/2006/relationships/hyperlink" Target="https://finance.vietstock.vn/PhanVu-ctcp-dau-tu-phan-vu.htm" TargetMode="External"/><Relationship Id="rId1953" Type="http://schemas.openxmlformats.org/officeDocument/2006/relationships/hyperlink" Target="https://finance.vietstock.vn/S55-ctcp-song-da-505.htm" TargetMode="External"/><Relationship Id="rId38" Type="http://schemas.openxmlformats.org/officeDocument/2006/relationships/hyperlink" Target="https://finance.vietstock.vn/ADS-ctcp-damsan.htm" TargetMode="External"/><Relationship Id="rId1606" Type="http://schemas.openxmlformats.org/officeDocument/2006/relationships/hyperlink" Target="https://finance.vietstock.vn/NHN-ctcp-phat-trien-do-thi-nam-ha-noi.htm" TargetMode="External"/><Relationship Id="rId1813" Type="http://schemas.openxmlformats.org/officeDocument/2006/relationships/hyperlink" Target="https://finance.vietstock.vn/PPI-ctcp-dau-tu-va-phat-trien-du-an-ha-tang-thai-binh-duong.htm" TargetMode="External"/><Relationship Id="rId187" Type="http://schemas.openxmlformats.org/officeDocument/2006/relationships/hyperlink" Target="https://finance.vietstock.vn/BHI-tong-cong-ty-co-phan-bao-hiem-sai-gon-ha-noi.htm" TargetMode="External"/><Relationship Id="rId394" Type="http://schemas.openxmlformats.org/officeDocument/2006/relationships/hyperlink" Target="https://finance.vietstock.vn/CIENCO1-tong-cong-ty-xay-dung-cong-trinh-giao-thong-1-ctcp.htm" TargetMode="External"/><Relationship Id="rId2075" Type="http://schemas.openxmlformats.org/officeDocument/2006/relationships/hyperlink" Target="https://finance.vietstock.vn/SGS-ctcp-van-tai-bien-sai-gon.htm" TargetMode="External"/><Relationship Id="rId2282" Type="http://schemas.openxmlformats.org/officeDocument/2006/relationships/hyperlink" Target="https://finance.vietstock.vn/TDP-ctcp-thuan-duc.htm" TargetMode="External"/><Relationship Id="rId254" Type="http://schemas.openxmlformats.org/officeDocument/2006/relationships/hyperlink" Target="https://finance.vietstock.vn/BSL-ctcp-bia-sai-gon-song-lam.htm" TargetMode="External"/><Relationship Id="rId699" Type="http://schemas.openxmlformats.org/officeDocument/2006/relationships/hyperlink" Target="https://finance.vietstock.vn/DTL-ctcp-dai-thien-loc.htm" TargetMode="External"/><Relationship Id="rId1091" Type="http://schemas.openxmlformats.org/officeDocument/2006/relationships/hyperlink" Target="https://finance.vietstock.vn/HoangLongAn-ctcp-hoang-long-long-an.htm" TargetMode="External"/><Relationship Id="rId2587" Type="http://schemas.openxmlformats.org/officeDocument/2006/relationships/hyperlink" Target="https://finance.vietstock.vn/VES-ctcp-dau-tu-va-xay-dung-dien-me-ca-vneco.htm" TargetMode="External"/><Relationship Id="rId2794" Type="http://schemas.openxmlformats.org/officeDocument/2006/relationships/hyperlink" Target="https://finance.vietstock.vn/VTB-ctcp-viettronics-tan-binh.htm" TargetMode="External"/><Relationship Id="rId114" Type="http://schemas.openxmlformats.org/officeDocument/2006/relationships/hyperlink" Target="https://finance.vietstock.vn/ATS-ctcp-tap-doan-dau-tu-ats.htm" TargetMode="External"/><Relationship Id="rId461" Type="http://schemas.openxmlformats.org/officeDocument/2006/relationships/hyperlink" Target="https://finance.vietstock.vn/CongTy118-ctcp-118.htm" TargetMode="External"/><Relationship Id="rId559" Type="http://schemas.openxmlformats.org/officeDocument/2006/relationships/hyperlink" Target="https://finance.vietstock.vn/DCG-ctcp-tong-cong-ty-may-dap-cau.htm" TargetMode="External"/><Relationship Id="rId766" Type="http://schemas.openxmlformats.org/officeDocument/2006/relationships/hyperlink" Target="https://finance.vietstock.vn/ELC-ctcp-cong-nghe-vien-thong-elcom.htm" TargetMode="External"/><Relationship Id="rId1189" Type="http://schemas.openxmlformats.org/officeDocument/2006/relationships/hyperlink" Target="https://finance.vietstock.vn/ICJC-ctcp-dau-tu-xay-lap-thuong-mai-1.htm" TargetMode="External"/><Relationship Id="rId1396" Type="http://schemas.openxmlformats.org/officeDocument/2006/relationships/hyperlink" Target="https://finance.vietstock.vn/LM7-ctcp-lilama-7.htm" TargetMode="External"/><Relationship Id="rId2142" Type="http://schemas.openxmlformats.org/officeDocument/2006/relationships/hyperlink" Target="https://finance.vietstock.vn/Sovico-ctcp-tap-doan-sovico.htm" TargetMode="External"/><Relationship Id="rId2447" Type="http://schemas.openxmlformats.org/officeDocument/2006/relationships/hyperlink" Target="https://finance.vietstock.vn/TTA-ctcp-dau-tu-xay-dung-va-phat-trien-truong-thanh.htm" TargetMode="External"/><Relationship Id="rId321" Type="http://schemas.openxmlformats.org/officeDocument/2006/relationships/hyperlink" Target="https://finance.vietstock.vn/CapQuang-ctcp-cong-nghe-cap-quang-va-thiet-bi-buu-dien.htm" TargetMode="External"/><Relationship Id="rId419" Type="http://schemas.openxmlformats.org/officeDocument/2006/relationships/hyperlink" Target="https://finance.vietstock.vn/CLL-ctcp-cang-cat-lai.htm" TargetMode="External"/><Relationship Id="rId626" Type="http://schemas.openxmlformats.org/officeDocument/2006/relationships/hyperlink" Target="https://finance.vietstock.vn/DMS-ctcp-hoa-pham-dau-khi-dmc-mien-nam.htm" TargetMode="External"/><Relationship Id="rId973" Type="http://schemas.openxmlformats.org/officeDocument/2006/relationships/hyperlink" Target="https://finance.vietstock.vn/HAW-trung-tam-nuoc-sach-va-ve-sinh-moi-truong-nong-thon.htm" TargetMode="External"/><Relationship Id="rId1049" Type="http://schemas.openxmlformats.org/officeDocument/2006/relationships/hyperlink" Target="https://finance.vietstock.vn/HKB-ctcp-nong-nghiep-va-thuc-pham-ha-noi-kinh-bac.htm" TargetMode="External"/><Relationship Id="rId1256" Type="http://schemas.openxmlformats.org/officeDocument/2006/relationships/hyperlink" Target="https://finance.vietstock.vn/KAFI-ctcp-chung-khoan-kafi.htm" TargetMode="External"/><Relationship Id="rId2002" Type="http://schemas.openxmlformats.org/officeDocument/2006/relationships/hyperlink" Target="https://finance.vietstock.vn/SC5-ctcp-xay-dung-so-5.htm" TargetMode="External"/><Relationship Id="rId2307" Type="http://schemas.openxmlformats.org/officeDocument/2006/relationships/hyperlink" Target="https://finance.vietstock.vn/ThanhHoaPort-ctcp-cang-thanh-hoa.htm" TargetMode="External"/><Relationship Id="rId2654" Type="http://schemas.openxmlformats.org/officeDocument/2006/relationships/hyperlink" Target="https://finance.vietstock.vn/VimecMedical-ctcp-thiet-bi-y-te-vimec.htm" TargetMode="External"/><Relationship Id="rId2861" Type="http://schemas.openxmlformats.org/officeDocument/2006/relationships/hyperlink" Target="https://finance.vietstock.vn/XiMangKienGiang-ctcp-xi-mang-kien-giang.htm" TargetMode="External"/><Relationship Id="rId833" Type="http://schemas.openxmlformats.org/officeDocument/2006/relationships/hyperlink" Target="https://finance.vietstock.vn/FUCTVGF5-quy-dau-tu-tang-truong-thien-viet-5.htm" TargetMode="External"/><Relationship Id="rId1116" Type="http://schemas.openxmlformats.org/officeDocument/2006/relationships/hyperlink" Target="https://finance.vietstock.vn/HPU-ctcp-28-hung-phu.htm" TargetMode="External"/><Relationship Id="rId1463" Type="http://schemas.openxmlformats.org/officeDocument/2006/relationships/hyperlink" Target="https://finance.vietstock.vn/MDF-ctcp-go-mdf-vrg-quang-tri.htm" TargetMode="External"/><Relationship Id="rId1670" Type="http://schemas.openxmlformats.org/officeDocument/2006/relationships/hyperlink" Target="https://finance.vietstock.vn/NVP-ctcp-nuoc-sach-vinh-phuc.htm" TargetMode="External"/><Relationship Id="rId1768" Type="http://schemas.openxmlformats.org/officeDocument/2006/relationships/hyperlink" Target="https://finance.vietstock.vn/Pinetree-ctcp-chung-khoan-pinetree.htm" TargetMode="External"/><Relationship Id="rId2514" Type="http://schemas.openxmlformats.org/officeDocument/2006/relationships/hyperlink" Target="https://finance.vietstock.vn/V21-ctcp-vinaconex-21.htm" TargetMode="External"/><Relationship Id="rId2721" Type="http://schemas.openxmlformats.org/officeDocument/2006/relationships/hyperlink" Target="https://finance.vietstock.vn/VMC-ctcp-vimeco.htm" TargetMode="External"/><Relationship Id="rId2819" Type="http://schemas.openxmlformats.org/officeDocument/2006/relationships/hyperlink" Target="https://finance.vietstock.vn/VTZ-ctcp-san-xuat-va-thuong-mai-nhua-viet-thanh.htm" TargetMode="External"/><Relationship Id="rId900" Type="http://schemas.openxmlformats.org/officeDocument/2006/relationships/hyperlink" Target="https://finance.vietstock.vn/GID-ctcp-det-may-gia-dinh.htm" TargetMode="External"/><Relationship Id="rId1323" Type="http://schemas.openxmlformats.org/officeDocument/2006/relationships/hyperlink" Target="https://finance.vietstock.vn/KSQ-ctcp-cnc-capital-viet-nam.htm" TargetMode="External"/><Relationship Id="rId1530" Type="http://schemas.openxmlformats.org/officeDocument/2006/relationships/hyperlink" Target="https://finance.vietstock.vn/MTA-tong-cong-ty-khoang-san-va-thuong-mai-ha-tinh-ctcp.htm" TargetMode="External"/><Relationship Id="rId1628" Type="http://schemas.openxmlformats.org/officeDocument/2006/relationships/hyperlink" Target="https://finance.vietstock.vn/NO1-ctcp-tap-doan-911.htm" TargetMode="External"/><Relationship Id="rId1975" Type="http://schemas.openxmlformats.org/officeDocument/2006/relationships/hyperlink" Target="https://finance.vietstock.vn/SaiGonNinhChu-ctcp-du-lich-sai-gon-ninh-chu.htm" TargetMode="External"/><Relationship Id="rId1835" Type="http://schemas.openxmlformats.org/officeDocument/2006/relationships/hyperlink" Target="https://finance.vietstock.vn/PSW-ctcp-phan-bon-va-hoa-chat-dau-khi-tay-nam-bo.htm" TargetMode="External"/><Relationship Id="rId1902" Type="http://schemas.openxmlformats.org/officeDocument/2006/relationships/hyperlink" Target="https://finance.vietstock.vn/QHD-ctcp-que-han-dien-viet-duc.htm" TargetMode="External"/><Relationship Id="rId2097" Type="http://schemas.openxmlformats.org/officeDocument/2006/relationships/hyperlink" Target="https://finance.vietstock.vn/SIRatings-ctcp-xep-hang-tin-nhiem-si.htm" TargetMode="External"/><Relationship Id="rId276" Type="http://schemas.openxmlformats.org/officeDocument/2006/relationships/hyperlink" Target="https://finance.vietstock.vn/BTV-ctcp-dich-vu-du-lich-ben-thanh.htm" TargetMode="External"/><Relationship Id="rId483" Type="http://schemas.openxmlformats.org/officeDocument/2006/relationships/hyperlink" Target="https://finance.vietstock.vn/CSC-ctcp-tap-doan-cotana.htm" TargetMode="External"/><Relationship Id="rId690" Type="http://schemas.openxmlformats.org/officeDocument/2006/relationships/hyperlink" Target="https://finance.vietstock.vn/DTB-ctcp-cong-trinh-do-thi-bao-loc.htm" TargetMode="External"/><Relationship Id="rId2164" Type="http://schemas.openxmlformats.org/officeDocument/2006/relationships/hyperlink" Target="https://finance.vietstock.vn/SSG-ctcp-van-tai-bien-hai-au.htm" TargetMode="External"/><Relationship Id="rId2371" Type="http://schemas.openxmlformats.org/officeDocument/2006/relationships/hyperlink" Target="https://finance.vietstock.vn/TMB-ctcp-kinh-doanh-than-mien-bac-vinacomin.htm" TargetMode="External"/><Relationship Id="rId136" Type="http://schemas.openxmlformats.org/officeDocument/2006/relationships/hyperlink" Target="https://finance.vietstock.vn/Barotex-ctcp-thuong-mai-va-dau-tu-barotex-viet-nam.htm" TargetMode="External"/><Relationship Id="rId343" Type="http://schemas.openxmlformats.org/officeDocument/2006/relationships/hyperlink" Target="https://finance.vietstock.vn/CC4-ctcp-dau-tu-va-xay-dung-so-4.htm" TargetMode="External"/><Relationship Id="rId550" Type="http://schemas.openxmlformats.org/officeDocument/2006/relationships/hyperlink" Target="https://finance.vietstock.vn/DBH-ctcp-duong-bo-hai-phong.htm" TargetMode="External"/><Relationship Id="rId788" Type="http://schemas.openxmlformats.org/officeDocument/2006/relationships/hyperlink" Target="https://finance.vietstock.vn/Falcon-ctcp-van-tai-dau-khi-viet-nam.htm" TargetMode="External"/><Relationship Id="rId995" Type="http://schemas.openxmlformats.org/officeDocument/2006/relationships/hyperlink" Target="https://finance.vietstock.vn/HDA-ctcp-hang-son-dong-a.htm" TargetMode="External"/><Relationship Id="rId1180" Type="http://schemas.openxmlformats.org/officeDocument/2006/relationships/hyperlink" Target="https://finance.vietstock.vn/I10-ctcp-dau-tu-xay-dung-so-10-idico.htm" TargetMode="External"/><Relationship Id="rId2024" Type="http://schemas.openxmlformats.org/officeDocument/2006/relationships/hyperlink" Target="https://finance.vietstock.vn/SD5-ctcp-song-da-5.htm" TargetMode="External"/><Relationship Id="rId2231" Type="http://schemas.openxmlformats.org/officeDocument/2006/relationships/hyperlink" Target="https://finance.vietstock.vn/TanThanhMy-ctcp-tan-thanh-my.htm" TargetMode="External"/><Relationship Id="rId2469" Type="http://schemas.openxmlformats.org/officeDocument/2006/relationships/hyperlink" Target="https://finance.vietstock.vn/TV3-ctcp-tu-van-xay-dung-dien-3.htm" TargetMode="External"/><Relationship Id="rId2676" Type="http://schemas.openxmlformats.org/officeDocument/2006/relationships/hyperlink" Target="https://finance.vietstock.vn/Vinatea-tong-cong-ty-che-viet-nam-ctcp.htm" TargetMode="External"/><Relationship Id="rId2883" Type="http://schemas.openxmlformats.org/officeDocument/2006/relationships/hyperlink" Target="https://finance.vietstock.vn/ZaloPay-ctcp-zion.htm" TargetMode="External"/><Relationship Id="rId203" Type="http://schemas.openxmlformats.org/officeDocument/2006/relationships/hyperlink" Target="https://finance.vietstock.vn/BinhAnSeaFood-ctcp-thuy-san-binh-an.htm" TargetMode="External"/><Relationship Id="rId648" Type="http://schemas.openxmlformats.org/officeDocument/2006/relationships/hyperlink" Target="https://finance.vietstock.vn/DOC-ctcp-vat-tu-nong-nghiep-dong-nai.htm" TargetMode="External"/><Relationship Id="rId855" Type="http://schemas.openxmlformats.org/officeDocument/2006/relationships/hyperlink" Target="https://finance.vietstock.vn/GachThaiBinh-ctcp-gach-op-lat-thai-binh.htm" TargetMode="External"/><Relationship Id="rId1040" Type="http://schemas.openxmlformats.org/officeDocument/2006/relationships/hyperlink" Target="https://finance.vietstock.vn/HiepThanh-ctcp-hiep-thanh.htm" TargetMode="External"/><Relationship Id="rId1278" Type="http://schemas.openxmlformats.org/officeDocument/2006/relationships/hyperlink" Target="https://finance.vietstock.vn/KHG-ctcp-tap-doan-khai-hoan-land.htm" TargetMode="External"/><Relationship Id="rId1485" Type="http://schemas.openxmlformats.org/officeDocument/2006/relationships/hyperlink" Target="https://finance.vietstock.vn/MHC-ctcp-mhc.htm" TargetMode="External"/><Relationship Id="rId1692" Type="http://schemas.openxmlformats.org/officeDocument/2006/relationships/hyperlink" Target="https://finance.vietstock.vn/Oseven-ctcp-oseven.htm" TargetMode="External"/><Relationship Id="rId2329" Type="http://schemas.openxmlformats.org/officeDocument/2006/relationships/hyperlink" Target="https://finance.vietstock.vn/THN-ctcp-cap-nuoc-thanh-hoa.htm" TargetMode="External"/><Relationship Id="rId2536" Type="http://schemas.openxmlformats.org/officeDocument/2006/relationships/hyperlink" Target="https://finance.vietstock.vn/VC7-ctcp-tap-doan-bgi.htm" TargetMode="External"/><Relationship Id="rId2743" Type="http://schemas.openxmlformats.org/officeDocument/2006/relationships/hyperlink" Target="https://finance.vietstock.vn/VNM-ctcp-sua-viet-nam.htm" TargetMode="External"/><Relationship Id="rId410" Type="http://schemas.openxmlformats.org/officeDocument/2006/relationships/hyperlink" Target="https://finance.vietstock.vn/CKD-ctcp-co-khi-dong-anh-licogi.htm" TargetMode="External"/><Relationship Id="rId508" Type="http://schemas.openxmlformats.org/officeDocument/2006/relationships/hyperlink" Target="https://finance.vietstock.vn/CTT-ctcp-che-tao-may-vinacomin.htm" TargetMode="External"/><Relationship Id="rId715" Type="http://schemas.openxmlformats.org/officeDocument/2006/relationships/hyperlink" Target="https://finance.vietstock.vn/DuocICA-ctcp-cong-nghe-sinh-hoc-duoc-pham-ica.htm" TargetMode="External"/><Relationship Id="rId922" Type="http://schemas.openxmlformats.org/officeDocument/2006/relationships/hyperlink" Target="https://finance.vietstock.vn/GTA-ctcp-che-bien-go-thuan-an.htm" TargetMode="External"/><Relationship Id="rId1138" Type="http://schemas.openxmlformats.org/officeDocument/2006/relationships/hyperlink" Target="https://finance.vietstock.vn/HTCJC2-ctcp-cong-trinh-giao-thong-2-ha-noi.htm" TargetMode="External"/><Relationship Id="rId1345" Type="http://schemas.openxmlformats.org/officeDocument/2006/relationships/hyperlink" Target="https://finance.vietstock.vn/L45-ctcp-lilama-45-1.htm" TargetMode="External"/><Relationship Id="rId1552" Type="http://schemas.openxmlformats.org/officeDocument/2006/relationships/hyperlink" Target="https://finance.vietstock.vn/NAB-ngan-hang-tmcp-nam-a.htm" TargetMode="External"/><Relationship Id="rId1997" Type="http://schemas.openxmlformats.org/officeDocument/2006/relationships/hyperlink" Target="https://finance.vietstock.vn/SBM-ctcp-dau-tu-phat-trien-bac-minh.htm" TargetMode="External"/><Relationship Id="rId2603" Type="http://schemas.openxmlformats.org/officeDocument/2006/relationships/hyperlink" Target="https://finance.vietstock.vn/VGV-tong-cong-ty-tu-van-xay-dung-viet-nam-ctcp.htm" TargetMode="External"/><Relationship Id="rId1205" Type="http://schemas.openxmlformats.org/officeDocument/2006/relationships/hyperlink" Target="https://finance.vietstock.vn/IFS-ctcp-thuc-pham-quoc-te.htm" TargetMode="External"/><Relationship Id="rId1857" Type="http://schemas.openxmlformats.org/officeDocument/2006/relationships/hyperlink" Target="https://finance.vietstock.vn/PVB-ctcp-boc-ong-dau-khi-viet-nam.htm" TargetMode="External"/><Relationship Id="rId2810" Type="http://schemas.openxmlformats.org/officeDocument/2006/relationships/hyperlink" Target="https://finance.vietstock.vn/VTPGroup-ctcp-tap-doan-van-thinh-phat.htm" TargetMode="External"/><Relationship Id="rId51" Type="http://schemas.openxmlformats.org/officeDocument/2006/relationships/hyperlink" Target="https://finance.vietstock.vn/AGRIMECO-tong-cong-ty-co-dien-xay-dung-ctcp.htm" TargetMode="External"/><Relationship Id="rId1412" Type="http://schemas.openxmlformats.org/officeDocument/2006/relationships/hyperlink" Target="https://finance.vietstock.vn/LSS-ctcp-mia-duong-lam-son.htm" TargetMode="External"/><Relationship Id="rId1717" Type="http://schemas.openxmlformats.org/officeDocument/2006/relationships/hyperlink" Target="https://finance.vietstock.vn/PCN-ctcp-hoa-pham-dau-khi-dmc-mien-bac.htm" TargetMode="External"/><Relationship Id="rId1924" Type="http://schemas.openxmlformats.org/officeDocument/2006/relationships/hyperlink" Target="https://finance.vietstock.vn/RBC-ctcp-cong-nghiep-va-xuat-nhap-khau-cao-su.htm" TargetMode="External"/><Relationship Id="rId298" Type="http://schemas.openxmlformats.org/officeDocument/2006/relationships/hyperlink" Target="https://finance.vietstock.vn/C22-ctcp-22.htm" TargetMode="External"/><Relationship Id="rId158" Type="http://schemas.openxmlformats.org/officeDocument/2006/relationships/hyperlink" Target="https://finance.vietstock.vn/BCV-ctcp-du-lich-va-thuong-mai-bang-giang-cao-bang-vimico.htm" TargetMode="External"/><Relationship Id="rId2186" Type="http://schemas.openxmlformats.org/officeDocument/2006/relationships/hyperlink" Target="https://finance.vietstock.vn/STSC-ctcp-chung-khoan-stsc.htm" TargetMode="External"/><Relationship Id="rId2393" Type="http://schemas.openxmlformats.org/officeDocument/2006/relationships/hyperlink" Target="https://finance.vietstock.vn/TNP-ctcp-cang-thi-nai.htm" TargetMode="External"/><Relationship Id="rId2698" Type="http://schemas.openxmlformats.org/officeDocument/2006/relationships/hyperlink" Target="https://finance.vietstock.vn/VIT-ctcp-viglacera-tien-son.htm" TargetMode="External"/><Relationship Id="rId365" Type="http://schemas.openxmlformats.org/officeDocument/2006/relationships/hyperlink" Target="https://finance.vietstock.vn/CEC-ctcp-thiet-ke-cong-nghiep-hoa-chat.htm" TargetMode="External"/><Relationship Id="rId572" Type="http://schemas.openxmlformats.org/officeDocument/2006/relationships/hyperlink" Target="https://finance.vietstock.vn/DDN-ctcp-duoc-va-thiet-bi-y-te-da-nang.htm" TargetMode="External"/><Relationship Id="rId2046" Type="http://schemas.openxmlformats.org/officeDocument/2006/relationships/hyperlink" Target="https://finance.vietstock.vn/SDV-ctcp-dich-vu-sonadezi.htm" TargetMode="External"/><Relationship Id="rId2253" Type="http://schemas.openxmlformats.org/officeDocument/2006/relationships/hyperlink" Target="https://finance.vietstock.vn/TBT-ctcp-xay-dung-cong-trinh-giao-thong-ben-tre.htm" TargetMode="External"/><Relationship Id="rId2460" Type="http://schemas.openxmlformats.org/officeDocument/2006/relationships/hyperlink" Target="https://finance.vietstock.vn/TTR-ctcp-du-lich-thuong-mai-va-dau-tu.htm" TargetMode="External"/><Relationship Id="rId225" Type="http://schemas.openxmlformats.org/officeDocument/2006/relationships/hyperlink" Target="https://finance.vietstock.vn/BMG-ctcp-may-binh-minh.htm" TargetMode="External"/><Relationship Id="rId432" Type="http://schemas.openxmlformats.org/officeDocument/2006/relationships/hyperlink" Target="https://finance.vietstock.vn/CMN-ctcp-luong-thuc-thuc-pham-colusa-miliket.htm" TargetMode="External"/><Relationship Id="rId877" Type="http://schemas.openxmlformats.org/officeDocument/2006/relationships/hyperlink" Target="https://finance.vietstock.vn/Genexim-ctcp-vat-tu-tong-hop-thanh-pho-ho-chi-minh.htm" TargetMode="External"/><Relationship Id="rId1062" Type="http://schemas.openxmlformats.org/officeDocument/2006/relationships/hyperlink" Target="https://finance.vietstock.vn/HLT-ctcp-det-may-hoang-thi-loan.htm" TargetMode="External"/><Relationship Id="rId2113" Type="http://schemas.openxmlformats.org/officeDocument/2006/relationships/hyperlink" Target="https://finance.vietstock.vn/SLD-ctcp-dia-oc-sacom.htm" TargetMode="External"/><Relationship Id="rId2320" Type="http://schemas.openxmlformats.org/officeDocument/2006/relationships/hyperlink" Target="https://finance.vietstock.vn/THI-ctcp-thiet-bi-dien.htm" TargetMode="External"/><Relationship Id="rId2558" Type="http://schemas.openxmlformats.org/officeDocument/2006/relationships/hyperlink" Target="https://finance.vietstock.vn/VCTN-ctcp-tap-doan-vat-lieu-chiu-lua-thai-nguyen.htm" TargetMode="External"/><Relationship Id="rId2765" Type="http://schemas.openxmlformats.org/officeDocument/2006/relationships/hyperlink" Target="https://finance.vietstock.vn/VPJSC-ctcp-dau-tu-xay-dung-buu-chinh-vien-thong-vung-tau.htm" TargetMode="External"/><Relationship Id="rId737" Type="http://schemas.openxmlformats.org/officeDocument/2006/relationships/hyperlink" Target="https://finance.vietstock.vn/DVVTKHANHHOA-ctcp-khai-thac-ben-xe-va-dich-vu-van-tai-khanh-hoa.htm" TargetMode="External"/><Relationship Id="rId944" Type="http://schemas.openxmlformats.org/officeDocument/2006/relationships/hyperlink" Target="https://finance.vietstock.vn/HAI-ctcp-nong-duoc-h-a-i.htm" TargetMode="External"/><Relationship Id="rId1367" Type="http://schemas.openxmlformats.org/officeDocument/2006/relationships/hyperlink" Target="https://finance.vietstock.vn/LCO-ctcp-licogi-16-1.htm" TargetMode="External"/><Relationship Id="rId1574" Type="http://schemas.openxmlformats.org/officeDocument/2006/relationships/hyperlink" Target="https://finance.vietstock.vn/NBP-ctcp-nhiet-dien-ninh-binh.htm" TargetMode="External"/><Relationship Id="rId1781" Type="http://schemas.openxmlformats.org/officeDocument/2006/relationships/hyperlink" Target="https://finance.vietstock.vn/PLE-ctcp-tu-van-xay-dung-petrolimex.htm" TargetMode="External"/><Relationship Id="rId2418" Type="http://schemas.openxmlformats.org/officeDocument/2006/relationships/hyperlink" Target="https://finance.vietstock.vn/TraBac-ctcp-tra-bac.htm" TargetMode="External"/><Relationship Id="rId2625" Type="http://schemas.openxmlformats.org/officeDocument/2006/relationships/hyperlink" Target="https://finance.vietstock.vn/VienthongBacMT-ctcp-phat-trien-vien-thong-bac-mien-trung.htm" TargetMode="External"/><Relationship Id="rId2832" Type="http://schemas.openxmlformats.org/officeDocument/2006/relationships/hyperlink" Target="https://finance.vietstock.vn/WCS-ctcp-ben-xe-mien-tay.htm" TargetMode="External"/><Relationship Id="rId73" Type="http://schemas.openxmlformats.org/officeDocument/2006/relationships/hyperlink" Target="https://finance.vietstock.vn/AMS-ctcp-co-khi-xay-dung-amecc.htm" TargetMode="External"/><Relationship Id="rId804" Type="http://schemas.openxmlformats.org/officeDocument/2006/relationships/hyperlink" Target="https://finance.vietstock.vn/FID-ctcp-dau-tu-va-phat-trien-doanh-nghiep-viet-nam.htm" TargetMode="External"/><Relationship Id="rId1227" Type="http://schemas.openxmlformats.org/officeDocument/2006/relationships/hyperlink" Target="https://finance.vietstock.vn/InTaiChinh-ctcp-in-tai-chinh.htm" TargetMode="External"/><Relationship Id="rId1434" Type="http://schemas.openxmlformats.org/officeDocument/2006/relationships/hyperlink" Target="https://finance.vietstock.vn/MayThangLong-ctcp-may-thang-long.htm" TargetMode="External"/><Relationship Id="rId1641" Type="http://schemas.openxmlformats.org/officeDocument/2006/relationships/hyperlink" Target="https://finance.vietstock.vn/NSC-ctcp-tap-doan-giong-cay-trong-viet-nam.htm" TargetMode="External"/><Relationship Id="rId1879" Type="http://schemas.openxmlformats.org/officeDocument/2006/relationships/hyperlink" Target="https://finance.vietstock.vn/PVST-ctcp-du-lich-dau-khi-sapa.htm" TargetMode="External"/><Relationship Id="rId1501" Type="http://schemas.openxmlformats.org/officeDocument/2006/relationships/hyperlink" Target="https://finance.vietstock.vn/MIREX-ctcp-khoang-san-va-luyen-kim-viet-nam.htm" TargetMode="External"/><Relationship Id="rId1739" Type="http://schemas.openxmlformats.org/officeDocument/2006/relationships/hyperlink" Target="https://finance.vietstock.vn/PGD-ctcp-phan-phoi-khi-thap-ap-dau-khi-viet-nam.htm" TargetMode="External"/><Relationship Id="rId1946" Type="http://schemas.openxmlformats.org/officeDocument/2006/relationships/hyperlink" Target="https://finance.vietstock.vn/RUSCO-ctcp-kho-van-va-dich-vu-hang-hoa-cao-su.htm" TargetMode="External"/><Relationship Id="rId1806" Type="http://schemas.openxmlformats.org/officeDocument/2006/relationships/hyperlink" Target="https://finance.vietstock.vn/POTRACO-ctcp-van-tai-va-dich-vu-dien-luc.htm" TargetMode="External"/><Relationship Id="rId387" Type="http://schemas.openxmlformats.org/officeDocument/2006/relationships/hyperlink" Target="https://finance.vietstock.vn/CIA-ctcp-dich-vu-san-bay-quoc-te-cam-ranh.htm" TargetMode="External"/><Relationship Id="rId594" Type="http://schemas.openxmlformats.org/officeDocument/2006/relationships/hyperlink" Target="https://finance.vietstock.vn/DHT-ctcp-duoc-pham-ha-tay.htm" TargetMode="External"/><Relationship Id="rId2068" Type="http://schemas.openxmlformats.org/officeDocument/2006/relationships/hyperlink" Target="https://finance.vietstock.vn/SGI-ctcp-dau-tu-sgi-holdings.htm" TargetMode="External"/><Relationship Id="rId2275" Type="http://schemas.openxmlformats.org/officeDocument/2006/relationships/hyperlink" Target="https://finance.vietstock.vn/TDCorp-ctcp-phat-trien-ky-thuat-xay-dung.htm" TargetMode="External"/><Relationship Id="rId247" Type="http://schemas.openxmlformats.org/officeDocument/2006/relationships/hyperlink" Target="https://finance.vietstock.vn/BRS-ctcp-dich-vu-do-thi-ba-ria.htm" TargetMode="External"/><Relationship Id="rId899" Type="http://schemas.openxmlformats.org/officeDocument/2006/relationships/hyperlink" Target="https://finance.vietstock.vn/GIC-ctcp-vsc-green-logistics.htm" TargetMode="External"/><Relationship Id="rId1084" Type="http://schemas.openxmlformats.org/officeDocument/2006/relationships/hyperlink" Target="https://finance.vietstock.vn/HoaBinh-ctcp-hoa-binh.htm" TargetMode="External"/><Relationship Id="rId2482" Type="http://schemas.openxmlformats.org/officeDocument/2006/relationships/hyperlink" Target="https://finance.vietstock.vn/TVN-tong-cong-ty-thep-viet-nam-ctcp.htm" TargetMode="External"/><Relationship Id="rId2787" Type="http://schemas.openxmlformats.org/officeDocument/2006/relationships/hyperlink" Target="https://finance.vietstock.vn/VSMS-ctcp-chung-khoan-vsm.htm" TargetMode="External"/><Relationship Id="rId107" Type="http://schemas.openxmlformats.org/officeDocument/2006/relationships/hyperlink" Target="https://finance.vietstock.vn/ASP-ctcp-tap-doan-dau-khi-an-pha.htm" TargetMode="External"/><Relationship Id="rId454" Type="http://schemas.openxmlformats.org/officeDocument/2006/relationships/hyperlink" Target="https://finance.vietstock.vn/CongNghiepPhuYen-ctcp-cong-nghiep-phu-yen.htm" TargetMode="External"/><Relationship Id="rId661" Type="http://schemas.openxmlformats.org/officeDocument/2006/relationships/hyperlink" Target="https://finance.vietstock.vn/DP2-ctcp-duoc-pham-trung-uong-2.htm" TargetMode="External"/><Relationship Id="rId759" Type="http://schemas.openxmlformats.org/officeDocument/2006/relationships/hyperlink" Target="https://finance.vietstock.vn/EDX-ctcp-tap-doan-edx.htm" TargetMode="External"/><Relationship Id="rId966" Type="http://schemas.openxmlformats.org/officeDocument/2006/relationships/hyperlink" Target="https://finance.vietstock.vn/HARATOUR-ctcp-dich-vu-du-lich-duong-sat-ha-noi.htm" TargetMode="External"/><Relationship Id="rId1291" Type="http://schemas.openxmlformats.org/officeDocument/2006/relationships/hyperlink" Target="https://finance.vietstock.vn/KienTrucADC-ctcp-xay-dung-trang-tri-kien-truc-adc.htm" TargetMode="External"/><Relationship Id="rId1389" Type="http://schemas.openxmlformats.org/officeDocument/2006/relationships/hyperlink" Target="https://finance.vietstock.vn/LilamaHN-ctcp-lilama-ha-noi.htm" TargetMode="External"/><Relationship Id="rId1596" Type="http://schemas.openxmlformats.org/officeDocument/2006/relationships/hyperlink" Target="https://finance.vietstock.vn/NgocTung-ctcp-san-xuat-thuong-mai-dich-vu-ngoc-tung.htm" TargetMode="External"/><Relationship Id="rId2135" Type="http://schemas.openxmlformats.org/officeDocument/2006/relationships/hyperlink" Target="https://finance.vietstock.vn/SongDa17-ctcp-song-da-17.htm" TargetMode="External"/><Relationship Id="rId2342" Type="http://schemas.openxmlformats.org/officeDocument/2006/relationships/hyperlink" Target="https://finance.vietstock.vn/TID-ctcp-tong-cong-ty-tin-nghia.htm" TargetMode="External"/><Relationship Id="rId2647" Type="http://schemas.openxmlformats.org/officeDocument/2006/relationships/hyperlink" Target="https://finance.vietstock.vn/Viha-ctcp-viha-thong-nhat.htm" TargetMode="External"/><Relationship Id="rId314" Type="http://schemas.openxmlformats.org/officeDocument/2006/relationships/hyperlink" Target="https://finance.vietstock.vn/CamRanh-ctcp-thuong-mai-hang-khong-cam-ranh.htm" TargetMode="External"/><Relationship Id="rId521" Type="http://schemas.openxmlformats.org/officeDocument/2006/relationships/hyperlink" Target="https://finance.vietstock.vn/CXH-ctcp-xe-khach-ha-noi.htm" TargetMode="External"/><Relationship Id="rId619" Type="http://schemas.openxmlformats.org/officeDocument/2006/relationships/hyperlink" Target="https://finance.vietstock.vn/DLT-ctcp-du-lich-va-thuong-mai-vinacomin.htm" TargetMode="External"/><Relationship Id="rId1151" Type="http://schemas.openxmlformats.org/officeDocument/2006/relationships/hyperlink" Target="https://finance.vietstock.vn/HTU-ctcp-moi-truong-va-cong-trinh-do-thi-ha-tinh.htm" TargetMode="External"/><Relationship Id="rId1249" Type="http://schemas.openxmlformats.org/officeDocument/2006/relationships/hyperlink" Target="https://finance.vietstock.vn/IVS-ctcp-chung-khoan-guotai-junan-viet-nam.htm" TargetMode="External"/><Relationship Id="rId2202" Type="http://schemas.openxmlformats.org/officeDocument/2006/relationships/hyperlink" Target="https://finance.vietstock.vn/SVL-ctcp-nhan-luc-quoc-te-sovilaco.htm" TargetMode="External"/><Relationship Id="rId2854" Type="http://schemas.openxmlformats.org/officeDocument/2006/relationships/hyperlink" Target="https://finance.vietstock.vn/XDH-ctcp-dau-tu-xay-dung-dan-dung-ha-noi.htm" TargetMode="External"/><Relationship Id="rId95" Type="http://schemas.openxmlformats.org/officeDocument/2006/relationships/hyperlink" Target="https://finance.vietstock.vn/ARM-ctcp-xuat-nhap-khau-hang-khong.htm" TargetMode="External"/><Relationship Id="rId826" Type="http://schemas.openxmlformats.org/officeDocument/2006/relationships/hyperlink" Target="https://finance.vietstock.vn/FT1-ctcp-phu-tung-may-so-1.htm" TargetMode="External"/><Relationship Id="rId1011" Type="http://schemas.openxmlformats.org/officeDocument/2006/relationships/hyperlink" Target="https://finance.vietstock.vn/HEM-ctcp-che-tao-dien-co-ha-noi.htm" TargetMode="External"/><Relationship Id="rId1109" Type="http://schemas.openxmlformats.org/officeDocument/2006/relationships/hyperlink" Target="https://finance.vietstock.vn/HPL-ctcp-ben-xe-tau-pha-can-tho.htm" TargetMode="External"/><Relationship Id="rId1456" Type="http://schemas.openxmlformats.org/officeDocument/2006/relationships/hyperlink" Target="https://finance.vietstock.vn/MCO-ctcp-dau-tu-va-xay-dung-bdc-viet-nam.htm" TargetMode="External"/><Relationship Id="rId1663" Type="http://schemas.openxmlformats.org/officeDocument/2006/relationships/hyperlink" Target="https://finance.vietstock.vn/Nuocdathuysan-ctcp-nuoc-da-thuy-san-kien-giang.htm" TargetMode="External"/><Relationship Id="rId1870" Type="http://schemas.openxmlformats.org/officeDocument/2006/relationships/hyperlink" Target="https://finance.vietstock.vn/PVID-ctcp-dau-tu-va-xay-lap-khi.htm" TargetMode="External"/><Relationship Id="rId1968" Type="http://schemas.openxmlformats.org/officeDocument/2006/relationships/hyperlink" Target="https://finance.vietstock.vn/SAF-ctcp-luong-thuc-thuc-pham-safoco.htm" TargetMode="External"/><Relationship Id="rId2507" Type="http://schemas.openxmlformats.org/officeDocument/2006/relationships/hyperlink" Target="https://finance.vietstock.vn/USD-ctcp-cong-trinh-do-thi-soc-trang.htm" TargetMode="External"/><Relationship Id="rId2714" Type="http://schemas.openxmlformats.org/officeDocument/2006/relationships/hyperlink" Target="https://finance.vietstock.vn/VLFM-ctcp-quan-ly-quy-rong-viet.htm" TargetMode="External"/><Relationship Id="rId1316" Type="http://schemas.openxmlformats.org/officeDocument/2006/relationships/hyperlink" Target="https://finance.vietstock.vn/KSC-ctcp-muoi-khanh-hoa.htm" TargetMode="External"/><Relationship Id="rId1523" Type="http://schemas.openxmlformats.org/officeDocument/2006/relationships/hyperlink" Target="https://finance.vietstock.vn/MRF-ctcp-merufa.htm" TargetMode="External"/><Relationship Id="rId1730" Type="http://schemas.openxmlformats.org/officeDocument/2006/relationships/hyperlink" Target="https://finance.vietstock.vn/PET-tong-cong-ty-co-phan-dich-vu-tong-hop-dau-khi.htm" TargetMode="External"/><Relationship Id="rId22" Type="http://schemas.openxmlformats.org/officeDocument/2006/relationships/hyperlink" Target="https://finance.vietstock.vn/ACBAGF-quy-dau-tu-tang-truong-chu-dong-acbc.htm" TargetMode="External"/><Relationship Id="rId1828" Type="http://schemas.openxmlformats.org/officeDocument/2006/relationships/hyperlink" Target="https://finance.vietstock.vn/PSE-ctcp-phan-bon-va-hoa-chat-dau-khi-dong-nam-bo.htm" TargetMode="External"/><Relationship Id="rId171" Type="http://schemas.openxmlformats.org/officeDocument/2006/relationships/hyperlink" Target="https://finance.vietstock.vn/BED-ctcp-sach-va-thiet-bi-truong-hoc-da-nang.htm" TargetMode="External"/><Relationship Id="rId2297" Type="http://schemas.openxmlformats.org/officeDocument/2006/relationships/hyperlink" Target="https://finance.vietstock.vn/TGP-ctcp-truong-phu.htm" TargetMode="External"/><Relationship Id="rId269" Type="http://schemas.openxmlformats.org/officeDocument/2006/relationships/hyperlink" Target="https://finance.vietstock.vn/BTL-ctcp-tap-doan-capella.htm" TargetMode="External"/><Relationship Id="rId476" Type="http://schemas.openxmlformats.org/officeDocument/2006/relationships/hyperlink" Target="https://finance.vietstock.vn/CPT-ctcp-xay-lap-buu-dien.htm" TargetMode="External"/><Relationship Id="rId683" Type="http://schemas.openxmlformats.org/officeDocument/2006/relationships/hyperlink" Target="https://finance.vietstock.vn/DSP-ctcp-dich-vu-du-lich-phu-tho.htm" TargetMode="External"/><Relationship Id="rId890" Type="http://schemas.openxmlformats.org/officeDocument/2006/relationships/hyperlink" Target="https://finance.vietstock.vn/GiaoThong-ctcp-thiet-bi-xay-lap-giao-thong.htm" TargetMode="External"/><Relationship Id="rId2157" Type="http://schemas.openxmlformats.org/officeDocument/2006/relationships/hyperlink" Target="https://finance.vietstock.vn/SRA-ctcp-sara-viet-nam.htm" TargetMode="External"/><Relationship Id="rId2364" Type="http://schemas.openxmlformats.org/officeDocument/2006/relationships/hyperlink" Target="https://finance.vietstock.vn/TLG-ctcp-tap-doan-thien-long.htm" TargetMode="External"/><Relationship Id="rId2571" Type="http://schemas.openxmlformats.org/officeDocument/2006/relationships/hyperlink" Target="https://finance.vietstock.vn/VDT-ctcp-luoi-thep-binh-tay.htm" TargetMode="External"/><Relationship Id="rId129" Type="http://schemas.openxmlformats.org/officeDocument/2006/relationships/hyperlink" Target="https://finance.vietstock.vn/BAFECO-ctcp-thuc-an-chan-nuoi-bac-lieu.htm" TargetMode="External"/><Relationship Id="rId336" Type="http://schemas.openxmlformats.org/officeDocument/2006/relationships/hyperlink" Target="https://finance.vietstock.vn/CavicoHC-ctcp-cavico-xay-dung-thuy-dien.htm" TargetMode="External"/><Relationship Id="rId543" Type="http://schemas.openxmlformats.org/officeDocument/2006/relationships/hyperlink" Target="https://finance.vietstock.vn/DAT-ctcp-dau-tu-du-lich-va-phat-trien-thuy-san.htm" TargetMode="External"/><Relationship Id="rId988" Type="http://schemas.openxmlformats.org/officeDocument/2006/relationships/hyperlink" Target="https://finance.vietstock.vn/HCM-ctcp-chung-khoan-thanh-pho-ho-chi-minh.htm" TargetMode="External"/><Relationship Id="rId1173" Type="http://schemas.openxmlformats.org/officeDocument/2006/relationships/hyperlink" Target="https://finance.vietstock.vn/HVG-ctcp-hung-vuong.htm" TargetMode="External"/><Relationship Id="rId1380" Type="http://schemas.openxmlformats.org/officeDocument/2006/relationships/hyperlink" Target="https://finance.vietstock.vn/LHG-ctcp-long-hau.htm" TargetMode="External"/><Relationship Id="rId2017" Type="http://schemas.openxmlformats.org/officeDocument/2006/relationships/hyperlink" Target="https://finance.vietstock.vn/SCS-ctcp-dich-vu-hang-hoa-sai-gon.htm" TargetMode="External"/><Relationship Id="rId2224" Type="http://schemas.openxmlformats.org/officeDocument/2006/relationships/hyperlink" Target="https://finance.vietstock.vn/TAN-ctcp-ca-phe-thuan-an.htm" TargetMode="External"/><Relationship Id="rId2669" Type="http://schemas.openxmlformats.org/officeDocument/2006/relationships/hyperlink" Target="https://finance.vietstock.vn/Vinamit-ctcp-vinamit.htm" TargetMode="External"/><Relationship Id="rId2876" Type="http://schemas.openxmlformats.org/officeDocument/2006/relationships/hyperlink" Target="https://finance.vietstock.vn/YBM-ctcp-khoang-san-cong-nghiep-yen-bai.htm" TargetMode="External"/><Relationship Id="rId403" Type="http://schemas.openxmlformats.org/officeDocument/2006/relationships/hyperlink" Target="https://finance.vietstock.vn/CIP-ctcp-xay-lap-va-san-xuat-cong-nghiep.htm" TargetMode="External"/><Relationship Id="rId750" Type="http://schemas.openxmlformats.org/officeDocument/2006/relationships/hyperlink" Target="https://finance.vietstock.vn/E1VFVN30-quy-etf-dcvfmvn30.htm" TargetMode="External"/><Relationship Id="rId848" Type="http://schemas.openxmlformats.org/officeDocument/2006/relationships/hyperlink" Target="https://finance.vietstock.vn/FUETCC50-chung-chi-quy-etf-techcom-capital-vnx50.htm" TargetMode="External"/><Relationship Id="rId1033" Type="http://schemas.openxmlformats.org/officeDocument/2006/relationships/hyperlink" Target="https://finance.vietstock.vn/HHP-ctcp-hhp-global.htm" TargetMode="External"/><Relationship Id="rId1478" Type="http://schemas.openxmlformats.org/officeDocument/2006/relationships/hyperlink" Target="https://finance.vietstock.vn/MES-ctcp-co-dien-cong-trinh.htm" TargetMode="External"/><Relationship Id="rId1685" Type="http://schemas.openxmlformats.org/officeDocument/2006/relationships/hyperlink" Target="https://finance.vietstock.vn/OneMount-ctcp-one-mount-group.htm" TargetMode="External"/><Relationship Id="rId1892" Type="http://schemas.openxmlformats.org/officeDocument/2006/relationships/hyperlink" Target="https://finance.vietstock.vn/PXK-ctcp-dau-tu-va-xay-lap-dau-khi-kinh-bac.htm" TargetMode="External"/><Relationship Id="rId2431" Type="http://schemas.openxmlformats.org/officeDocument/2006/relationships/hyperlink" Target="https://finance.vietstock.vn/TruongSon-ctcp-truong-son-ha-noi.htm" TargetMode="External"/><Relationship Id="rId2529" Type="http://schemas.openxmlformats.org/officeDocument/2006/relationships/hyperlink" Target="https://finance.vietstock.vn/VBG-ctcp-dia-chat-viet-bac-tkv.htm" TargetMode="External"/><Relationship Id="rId2736" Type="http://schemas.openxmlformats.org/officeDocument/2006/relationships/hyperlink" Target="https://finance.vietstock.vn/Vneco6-ctcp-xay-dung-dien-vneco-6.htm" TargetMode="External"/><Relationship Id="rId610" Type="http://schemas.openxmlformats.org/officeDocument/2006/relationships/hyperlink" Target="https://finance.vietstock.vn/DKP-ctcp-duoc-khoa.htm" TargetMode="External"/><Relationship Id="rId708" Type="http://schemas.openxmlformats.org/officeDocument/2006/relationships/hyperlink" Target="https://finance.vietstock.vn/DULICHKHANHHOA-ctcp-du-lich-khanh-hoa.htm" TargetMode="External"/><Relationship Id="rId915" Type="http://schemas.openxmlformats.org/officeDocument/2006/relationships/hyperlink" Target="https://finance.vietstock.vn/GPC-ctcp-tap-doan-green+.htm" TargetMode="External"/><Relationship Id="rId1240" Type="http://schemas.openxmlformats.org/officeDocument/2006/relationships/hyperlink" Target="https://finance.vietstock.vn/ISG-ctcp-van-tai-bien-va-hop-tac-lao-dong-quoc-te.htm" TargetMode="External"/><Relationship Id="rId1338" Type="http://schemas.openxmlformats.org/officeDocument/2006/relationships/hyperlink" Target="https://finance.vietstock.vn/L12-ctcp-licogi-12.htm" TargetMode="External"/><Relationship Id="rId1545" Type="http://schemas.openxmlformats.org/officeDocument/2006/relationships/hyperlink" Target="https://finance.vietstock.vn/MVY-ctcp-moi-truong-va-dich-vu-do-thi-vinh-yen.htm" TargetMode="External"/><Relationship Id="rId1100" Type="http://schemas.openxmlformats.org/officeDocument/2006/relationships/hyperlink" Target="https://finance.vietstock.vn/HOT-ctcp-du-lich-dich-vu-hoi-an.htm" TargetMode="External"/><Relationship Id="rId1405" Type="http://schemas.openxmlformats.org/officeDocument/2006/relationships/hyperlink" Target="https://finance.vietstock.vn/LotusIMC-ctcp-quan-ly-quy-bong-sen.htm" TargetMode="External"/><Relationship Id="rId1752" Type="http://schemas.openxmlformats.org/officeDocument/2006/relationships/hyperlink" Target="https://finance.vietstock.vn/PHN-ctcp-pin-ha-noi.htm" TargetMode="External"/><Relationship Id="rId2803" Type="http://schemas.openxmlformats.org/officeDocument/2006/relationships/hyperlink" Target="https://finance.vietstock.vn/VTI-ctcp-san-xuat-xuat-nhap-khau-det-may.htm" TargetMode="External"/><Relationship Id="rId44" Type="http://schemas.openxmlformats.org/officeDocument/2006/relationships/hyperlink" Target="https://finance.vietstock.vn/AGD-ctcp-go-dang.htm" TargetMode="External"/><Relationship Id="rId1612" Type="http://schemas.openxmlformats.org/officeDocument/2006/relationships/hyperlink" Target="https://finance.vietstock.vn/NHV-ctcp-suc-khoe-hoi-sinh-viet-nam.htm" TargetMode="External"/><Relationship Id="rId1917" Type="http://schemas.openxmlformats.org/officeDocument/2006/relationships/hyperlink" Target="https://finance.vietstock.vn/QTP-ctcp-nhiet-dien-quang-ninh.htm" TargetMode="External"/><Relationship Id="rId193" Type="http://schemas.openxmlformats.org/officeDocument/2006/relationships/hyperlink" Target="https://finance.vietstock.vn/BiaCanTho-ctcp-bia-nuoc-giai-khat-can-tho.htm" TargetMode="External"/><Relationship Id="rId498" Type="http://schemas.openxmlformats.org/officeDocument/2006/relationships/hyperlink" Target="https://finance.vietstock.vn/CTE-ctcp-ha-tang-vien-thong-cmc.htm" TargetMode="External"/><Relationship Id="rId2081" Type="http://schemas.openxmlformats.org/officeDocument/2006/relationships/hyperlink" Target="https://finance.vietstock.vn/SHE-ctcp-phat-trien-nang-luong-son-ha.htm" TargetMode="External"/><Relationship Id="rId2179" Type="http://schemas.openxmlformats.org/officeDocument/2006/relationships/hyperlink" Target="https://finance.vietstock.vn/STH-ctcp-phat-hanh-sach-thai-nguyen.htm" TargetMode="External"/><Relationship Id="rId260" Type="http://schemas.openxmlformats.org/officeDocument/2006/relationships/hyperlink" Target="https://finance.vietstock.vn/BT1-ctcp-bao-ve-thuc-vat-1-trung-uong.htm" TargetMode="External"/><Relationship Id="rId2386" Type="http://schemas.openxmlformats.org/officeDocument/2006/relationships/hyperlink" Target="https://finance.vietstock.vn/TNB-ctcp-thep-nha-be-vnsteel.htm" TargetMode="External"/><Relationship Id="rId2593" Type="http://schemas.openxmlformats.org/officeDocument/2006/relationships/hyperlink" Target="https://finance.vietstock.vn/VFR-ctcp-van-tai-va-thue-tau.htm" TargetMode="External"/><Relationship Id="rId120" Type="http://schemas.openxmlformats.org/officeDocument/2006/relationships/hyperlink" Target="https://finance.vietstock.vn/AVG-ctcp-phan-bon-quoc-te-au-viet.htm" TargetMode="External"/><Relationship Id="rId358" Type="http://schemas.openxmlformats.org/officeDocument/2006/relationships/hyperlink" Target="https://finance.vietstock.vn/CDG-ctcp-cau-duong.htm" TargetMode="External"/><Relationship Id="rId565" Type="http://schemas.openxmlformats.org/officeDocument/2006/relationships/hyperlink" Target="https://finance.vietstock.vn/DCS-ctcp-tap-doan-edx.htm" TargetMode="External"/><Relationship Id="rId772" Type="http://schemas.openxmlformats.org/officeDocument/2006/relationships/hyperlink" Target="https://finance.vietstock.vn/ENF-quy-dau-tu-nang-dong-eastspring-investments-viet-nam.htm" TargetMode="External"/><Relationship Id="rId1195" Type="http://schemas.openxmlformats.org/officeDocument/2006/relationships/hyperlink" Target="https://finance.vietstock.vn/IDI-ctcp-dau-tu-va-phat-trien-da-quoc-gia-idi.htm" TargetMode="External"/><Relationship Id="rId2039" Type="http://schemas.openxmlformats.org/officeDocument/2006/relationships/hyperlink" Target="https://finance.vietstock.vn/SDL-ctcp-song-da-hoang-long.htm" TargetMode="External"/><Relationship Id="rId2246" Type="http://schemas.openxmlformats.org/officeDocument/2006/relationships/hyperlink" Target="https://finance.vietstock.vn/TayNinh-ctcp-do-dac-dia-chinh-tay-ninh.htm" TargetMode="External"/><Relationship Id="rId2453" Type="http://schemas.openxmlformats.org/officeDocument/2006/relationships/hyperlink" Target="https://finance.vietstock.vn/TTF-ctcp-tap-doan-ky-nghe-go-truong-thanh.htm" TargetMode="External"/><Relationship Id="rId2660" Type="http://schemas.openxmlformats.org/officeDocument/2006/relationships/hyperlink" Target="https://finance.vietstock.vn/Vinachimex-ctcp-vat-tu-va-xuat-nhap-khau-hoa-chat.htm" TargetMode="External"/><Relationship Id="rId218" Type="http://schemas.openxmlformats.org/officeDocument/2006/relationships/hyperlink" Target="https://finance.vietstock.vn/BLU-trung-tam-dich-vu-do-thi-tinh-bac-lieu.htm" TargetMode="External"/><Relationship Id="rId425" Type="http://schemas.openxmlformats.org/officeDocument/2006/relationships/hyperlink" Target="https://finance.vietstock.vn/CMCHanoi-ctcp-vat-lieu-xay-dung-ha-noi.htm" TargetMode="External"/><Relationship Id="rId632" Type="http://schemas.openxmlformats.org/officeDocument/2006/relationships/hyperlink" Target="https://finance.vietstock.vn/DND-ctcp-dau-tu-xay-dung-va-vat-lieu-dong-nai.htm" TargetMode="External"/><Relationship Id="rId1055" Type="http://schemas.openxmlformats.org/officeDocument/2006/relationships/hyperlink" Target="https://finance.vietstock.vn/HLC-ctcp-than-ha-lam-vinacomin.htm" TargetMode="External"/><Relationship Id="rId1262" Type="http://schemas.openxmlformats.org/officeDocument/2006/relationships/hyperlink" Target="https://finance.vietstock.vn/KBT-ctcp-gach-ngoi-kien-giang.htm" TargetMode="External"/><Relationship Id="rId2106" Type="http://schemas.openxmlformats.org/officeDocument/2006/relationships/hyperlink" Target="https://finance.vietstock.vn/SJM-ctcp-sunspace-holdings.htm" TargetMode="External"/><Relationship Id="rId2313" Type="http://schemas.openxmlformats.org/officeDocument/2006/relationships/hyperlink" Target="https://finance.vietstock.vn/ThepDinhVu-ctcp-thep-dinh-vu.htm" TargetMode="External"/><Relationship Id="rId2520" Type="http://schemas.openxmlformats.org/officeDocument/2006/relationships/hyperlink" Target="https://finance.vietstock.vn/VangBacNJC-ctcp-thuong-mai-vang-bac-da-quy-phuong-nam-njc.htm" TargetMode="External"/><Relationship Id="rId2758" Type="http://schemas.openxmlformats.org/officeDocument/2006/relationships/hyperlink" Target="https://finance.vietstock.vn/VPB-ngan-hang-tmcp-viet-nam-thinh-vuong.htm" TargetMode="External"/><Relationship Id="rId937" Type="http://schemas.openxmlformats.org/officeDocument/2006/relationships/hyperlink" Target="https://finance.vietstock.vn/HACO-ctcp-kien-truc-ha-noi.htm" TargetMode="External"/><Relationship Id="rId1122" Type="http://schemas.openxmlformats.org/officeDocument/2006/relationships/hyperlink" Target="https://finance.vietstock.vn/HRC-ctcp-cao-su-hoa-binh.htm" TargetMode="External"/><Relationship Id="rId1567" Type="http://schemas.openxmlformats.org/officeDocument/2006/relationships/hyperlink" Target="https://finance.vietstock.vn/NAU-ctcp-moi-truong-va-cong-trinh-do-thi-nghe-an.htm" TargetMode="External"/><Relationship Id="rId1774" Type="http://schemas.openxmlformats.org/officeDocument/2006/relationships/hyperlink" Target="https://finance.vietstock.vn/PJC-ctcp-thuong-mai-va-van-tai-petrolimex-ha-noi.htm" TargetMode="External"/><Relationship Id="rId1981" Type="http://schemas.openxmlformats.org/officeDocument/2006/relationships/hyperlink" Target="https://finance.vietstock.vn/SamSet-ctcp-van-tai-va-dich-vu-hang-hai-cang-sai-gon.htm" TargetMode="External"/><Relationship Id="rId2618" Type="http://schemas.openxmlformats.org/officeDocument/2006/relationships/hyperlink" Target="https://finance.vietstock.vn/VICEM-tong-cong-ty-xi-mang-viet-nam.htm" TargetMode="External"/><Relationship Id="rId2825" Type="http://schemas.openxmlformats.org/officeDocument/2006/relationships/hyperlink" Target="https://finance.vietstock.vn/VVN-tong-cong-ty-co-phan-xay-dung-cong-nghiep-viet-nam.htm" TargetMode="External"/><Relationship Id="rId66" Type="http://schemas.openxmlformats.org/officeDocument/2006/relationships/hyperlink" Target="https://finance.vietstock.vn/ALT-ctcp-van-hoa-tan-binh.htm" TargetMode="External"/><Relationship Id="rId1427" Type="http://schemas.openxmlformats.org/officeDocument/2006/relationships/hyperlink" Target="https://finance.vietstock.vn/MAS-ctcp-dich-vu-hang-khong-san-bay-da-nang.htm" TargetMode="External"/><Relationship Id="rId1634" Type="http://schemas.openxmlformats.org/officeDocument/2006/relationships/hyperlink" Target="https://finance.vietstock.vn/NPS-ctcp-may-phu-thinh-nha-be.htm" TargetMode="External"/><Relationship Id="rId1841" Type="http://schemas.openxmlformats.org/officeDocument/2006/relationships/hyperlink" Target="https://finance.vietstock.vn/PTH-ctcp-van-tai-va-dich-vu-petrolimex-ha-tay.htm" TargetMode="External"/><Relationship Id="rId1939" Type="http://schemas.openxmlformats.org/officeDocument/2006/relationships/hyperlink" Target="https://finance.vietstock.vn/Ricons-ctcp-dau-tu-xay-dung-ricons.htm" TargetMode="External"/><Relationship Id="rId1701" Type="http://schemas.openxmlformats.org/officeDocument/2006/relationships/hyperlink" Target="https://finance.vietstock.vn/PAP-ctcp-dau-khi-dau-tu-khai-thac-cang-phuoc-an.htm" TargetMode="External"/><Relationship Id="rId282" Type="http://schemas.openxmlformats.org/officeDocument/2006/relationships/hyperlink" Target="https://finance.vietstock.vn/BVB-ngan-hang-tmcp-ban-viet.htm" TargetMode="External"/><Relationship Id="rId587" Type="http://schemas.openxmlformats.org/officeDocument/2006/relationships/hyperlink" Target="https://finance.vietstock.vn/DHB-ctcp-phan-dam-va-hoa-chat-ha-bac.htm" TargetMode="External"/><Relationship Id="rId2170" Type="http://schemas.openxmlformats.org/officeDocument/2006/relationships/hyperlink" Target="https://finance.vietstock.vn/SSM-ctcp-che-tao-ket-cau-thep-vneco-ssm.htm" TargetMode="External"/><Relationship Id="rId2268" Type="http://schemas.openxmlformats.org/officeDocument/2006/relationships/hyperlink" Target="https://finance.vietstock.vn/TCT-ctcp-cap-treo-nui-ba-tay-ninh.htm" TargetMode="External"/><Relationship Id="rId8" Type="http://schemas.openxmlformats.org/officeDocument/2006/relationships/hyperlink" Target="https://finance.vietstock.vn/AAS-ctcp-chung-khoan-smartinvest.htm" TargetMode="External"/><Relationship Id="rId142" Type="http://schemas.openxmlformats.org/officeDocument/2006/relationships/hyperlink" Target="https://finance.vietstock.vn/BBC-ctcp-bibica.htm" TargetMode="External"/><Relationship Id="rId447" Type="http://schemas.openxmlformats.org/officeDocument/2006/relationships/hyperlink" Target="https://finance.vietstock.vn/CoKhiHonGai-ctcp-co-khi&#180;-ho%60n-gai-vinacomin.htm" TargetMode="External"/><Relationship Id="rId794" Type="http://schemas.openxmlformats.org/officeDocument/2006/relationships/hyperlink" Target="https://finance.vietstock.vn/FCN-ctcp-fecon.htm" TargetMode="External"/><Relationship Id="rId1077" Type="http://schemas.openxmlformats.org/officeDocument/2006/relationships/hyperlink" Target="https://finance.vietstock.vn/HNG-ctcp-nong-nghiep-quoc-te-hoang-anh-gia-lai.htm" TargetMode="External"/><Relationship Id="rId2030" Type="http://schemas.openxmlformats.org/officeDocument/2006/relationships/hyperlink" Target="https://finance.vietstock.vn/SDB-ctcp-song-da-207.htm" TargetMode="External"/><Relationship Id="rId2128" Type="http://schemas.openxmlformats.org/officeDocument/2006/relationships/hyperlink" Target="https://finance.vietstock.vn/SoiTraLy-ctcp-soi-tra-ly.htm" TargetMode="External"/><Relationship Id="rId2475" Type="http://schemas.openxmlformats.org/officeDocument/2006/relationships/hyperlink" Target="https://finance.vietstock.vn/TVC-ctcp-tap-doan-quan-ly-tai-san-t-corp.htm" TargetMode="External"/><Relationship Id="rId2682" Type="http://schemas.openxmlformats.org/officeDocument/2006/relationships/hyperlink" Target="https://finance.vietstock.vn/VinEnergo-ctcp-nang-luong-vinenergo.htm" TargetMode="External"/><Relationship Id="rId654" Type="http://schemas.openxmlformats.org/officeDocument/2006/relationships/hyperlink" Target="https://finance.vietstock.vn/DongThapTourist-ctcp-du-lich-dong-thap.htm" TargetMode="External"/><Relationship Id="rId861" Type="http://schemas.openxmlformats.org/officeDocument/2006/relationships/hyperlink" Target="https://finance.vietstock.vn/GCF-ctcp-thuc-pham-g-c.htm" TargetMode="External"/><Relationship Id="rId959" Type="http://schemas.openxmlformats.org/officeDocument/2006/relationships/hyperlink" Target="https://finance.vietstock.vn/HaNoiTD-ctcp-phat-trien-thuong-mai-ha-noi.htm" TargetMode="External"/><Relationship Id="rId1284" Type="http://schemas.openxmlformats.org/officeDocument/2006/relationships/hyperlink" Target="https://finance.vietstock.vn/KHP-ctcp-dien-luc-khanh-hoa.htm" TargetMode="External"/><Relationship Id="rId1491" Type="http://schemas.openxmlformats.org/officeDocument/2006/relationships/hyperlink" Target="https://finance.vietstock.vn/MiaDuongSonDuong-ctcp-mia-duong-son-duong.htm" TargetMode="External"/><Relationship Id="rId1589" Type="http://schemas.openxmlformats.org/officeDocument/2006/relationships/hyperlink" Target="https://finance.vietstock.vn/NDX-ctcp-xay-lap-phat-trien-nha-da-nang.htm" TargetMode="External"/><Relationship Id="rId2335" Type="http://schemas.openxmlformats.org/officeDocument/2006/relationships/hyperlink" Target="https://finance.vietstock.vn/THU-ctcp-moi-truong-va-cong-trinh-do-thi-thanh-hoa.htm" TargetMode="External"/><Relationship Id="rId2542" Type="http://schemas.openxmlformats.org/officeDocument/2006/relationships/hyperlink" Target="https://finance.vietstock.vn/VCBFAIF-quy-dau-tu-thu-nhap-chu-dong-vcbf.htm" TargetMode="External"/><Relationship Id="rId307" Type="http://schemas.openxmlformats.org/officeDocument/2006/relationships/hyperlink" Target="https://finance.vietstock.vn/CAB-ctcp-tong-cong-ty-truyen-hinh-cap-viet-nam.htm" TargetMode="External"/><Relationship Id="rId514" Type="http://schemas.openxmlformats.org/officeDocument/2006/relationships/hyperlink" Target="https://finance.vietstock.vn/CVH-ctcp-cong-vien-cay-xanh-hai-phong.htm" TargetMode="External"/><Relationship Id="rId721" Type="http://schemas.openxmlformats.org/officeDocument/2006/relationships/hyperlink" Target="https://finance.vietstock.vn/DuongBo234-ctcp-quan-ly-va-xay-dung-duong-bo-234.htm" TargetMode="External"/><Relationship Id="rId1144" Type="http://schemas.openxmlformats.org/officeDocument/2006/relationships/hyperlink" Target="https://finance.vietstock.vn/HTL-ctcp-ky-thuat-va-o-to-truong-long.htm" TargetMode="External"/><Relationship Id="rId1351" Type="http://schemas.openxmlformats.org/officeDocument/2006/relationships/hyperlink" Target="https://finance.vietstock.vn/LAI-ctcp-dau-tu-xay-dung-long-an-idico.htm" TargetMode="External"/><Relationship Id="rId1449" Type="http://schemas.openxmlformats.org/officeDocument/2006/relationships/hyperlink" Target="https://finance.vietstock.vn/MCF-ctcp-xay-lap-co-khi-va-luong-thuc-thuc-pham.htm" TargetMode="External"/><Relationship Id="rId1796" Type="http://schemas.openxmlformats.org/officeDocument/2006/relationships/hyperlink" Target="https://finance.vietstock.vn/PND-ctcp-xang-dau-dau-khi-nam-dinh.htm" TargetMode="External"/><Relationship Id="rId2402" Type="http://schemas.openxmlformats.org/officeDocument/2006/relationships/hyperlink" Target="https://finance.vietstock.vn/TOP-ctcp-phan-phoi-top-one.htm" TargetMode="External"/><Relationship Id="rId2847" Type="http://schemas.openxmlformats.org/officeDocument/2006/relationships/hyperlink" Target="https://finance.vietstock.vn/XaylapGialai-ctcp-xay-lap-va-phat-trien-buu-dien-gia-lai.htm" TargetMode="External"/><Relationship Id="rId88" Type="http://schemas.openxmlformats.org/officeDocument/2006/relationships/hyperlink" Target="https://finance.vietstock.vn/Aplaco-ctcp-nhua-cao-cap-hang-khong.htm" TargetMode="External"/><Relationship Id="rId819" Type="http://schemas.openxmlformats.org/officeDocument/2006/relationships/hyperlink" Target="https://finance.vietstock.vn/FPTTrading-ctcp-thuong-mai-fpt.htm" TargetMode="External"/><Relationship Id="rId1004" Type="http://schemas.openxmlformats.org/officeDocument/2006/relationships/hyperlink" Target="https://finance.vietstock.vn/HDO-ctcp-hung-dao-container.htm" TargetMode="External"/><Relationship Id="rId1211" Type="http://schemas.openxmlformats.org/officeDocument/2006/relationships/hyperlink" Target="https://finance.vietstock.vn/ILC-ctcp-hop-tac-lao-dong-voi-nuoc-ngoai.htm" TargetMode="External"/><Relationship Id="rId1656" Type="http://schemas.openxmlformats.org/officeDocument/2006/relationships/hyperlink" Target="https://finance.vietstock.vn/NTL-ctcp-phat-trien-do-thi-tu-liem.htm" TargetMode="External"/><Relationship Id="rId1863" Type="http://schemas.openxmlformats.org/officeDocument/2006/relationships/hyperlink" Target="https://finance.vietstock.vn/PVE-tong-cong-ty-tu-van-thiet-ke-dau-khi-ctcp.htm" TargetMode="External"/><Relationship Id="rId2707" Type="http://schemas.openxmlformats.org/officeDocument/2006/relationships/hyperlink" Target="https://finance.vietstock.vn/VKD-ctcp-nuoc-khoang-khanh-hoa.htm" TargetMode="External"/><Relationship Id="rId1309" Type="http://schemas.openxmlformats.org/officeDocument/2006/relationships/hyperlink" Target="https://finance.vietstock.vn/KMT-ctcp-kim-khi-mien-trung.htm" TargetMode="External"/><Relationship Id="rId1516" Type="http://schemas.openxmlformats.org/officeDocument/2006/relationships/hyperlink" Target="https://finance.vietstock.vn/MOMO-ctcp-dich-vu-di-dong-truc-tuyen.htm" TargetMode="External"/><Relationship Id="rId1723" Type="http://schemas.openxmlformats.org/officeDocument/2006/relationships/hyperlink" Target="https://finance.vietstock.vn/PDT-ctcp-thuong-mai-dau-khi-dong-thap.htm" TargetMode="External"/><Relationship Id="rId1930" Type="http://schemas.openxmlformats.org/officeDocument/2006/relationships/hyperlink" Target="https://finance.vietstock.vn/REE-ctcp-co-dien-lanh.htm" TargetMode="External"/><Relationship Id="rId15" Type="http://schemas.openxmlformats.org/officeDocument/2006/relationships/hyperlink" Target="https://finance.vietstock.vn/ABI-ctcp-bao-hiem-ngan-hang-nong-nghiep-viet-nam.htm" TargetMode="External"/><Relationship Id="rId2192" Type="http://schemas.openxmlformats.org/officeDocument/2006/relationships/hyperlink" Target="https://finance.vietstock.vn/SunCapital-ctcp-quan-ly-quy-dau-tu-chung-khoan-thai-duong.htm" TargetMode="External"/><Relationship Id="rId164" Type="http://schemas.openxmlformats.org/officeDocument/2006/relationships/hyperlink" Target="https://finance.vietstock.vn/BDP-ctcp-biet-thu-va-khach-san-bien-dong-phuong.htm" TargetMode="External"/><Relationship Id="rId371" Type="http://schemas.openxmlformats.org/officeDocument/2006/relationships/hyperlink" Target="https://finance.vietstock.vn/CER-ctcp-dia-chinh-va-tai-nguyen-moi-truong.htm" TargetMode="External"/><Relationship Id="rId2052" Type="http://schemas.openxmlformats.org/officeDocument/2006/relationships/hyperlink" Target="https://finance.vietstock.vn/SEB-ctcp-dau-tu-va-phat-trien-dien-mien-trung.htm" TargetMode="External"/><Relationship Id="rId2497" Type="http://schemas.openxmlformats.org/officeDocument/2006/relationships/hyperlink" Target="https://finance.vietstock.vn/UEM-ctcp-co-dien-uong-bi-vinacomin.htm" TargetMode="External"/><Relationship Id="rId469" Type="http://schemas.openxmlformats.org/officeDocument/2006/relationships/hyperlink" Target="https://finance.vietstock.vn/Cotec-ctcp-ky-thuat-xay-dung-va-vat-lieu-xay-dung-cotec.htm" TargetMode="External"/><Relationship Id="rId676" Type="http://schemas.openxmlformats.org/officeDocument/2006/relationships/hyperlink" Target="https://finance.vietstock.vn/DS3-ctcp-ds3.htm" TargetMode="External"/><Relationship Id="rId883" Type="http://schemas.openxmlformats.org/officeDocument/2006/relationships/hyperlink" Target="https://finance.vietstock.vn/GGG-ctcp-o-to-giai-phong.htm" TargetMode="External"/><Relationship Id="rId1099" Type="http://schemas.openxmlformats.org/officeDocument/2006/relationships/hyperlink" Target="https://finance.vietstock.vn/HopThinh-ctcp-viglacera-hop-thinh.htm" TargetMode="External"/><Relationship Id="rId2357" Type="http://schemas.openxmlformats.org/officeDocument/2006/relationships/hyperlink" Target="https://finance.vietstock.vn/TKR-ctcp-cao-su-tan-bien-kampongthom.htm" TargetMode="External"/><Relationship Id="rId2564" Type="http://schemas.openxmlformats.org/officeDocument/2006/relationships/hyperlink" Target="https://finance.vietstock.vn/VDG-ctcp-van-dat-group.htm" TargetMode="External"/><Relationship Id="rId231" Type="http://schemas.openxmlformats.org/officeDocument/2006/relationships/hyperlink" Target="https://finance.vietstock.vn/BMP-ctcp-nhua-binh-minh.htm" TargetMode="External"/><Relationship Id="rId329" Type="http://schemas.openxmlformats.org/officeDocument/2006/relationships/hyperlink" Target="https://finance.vietstock.vn/CauGiay-ctcp-dau-tu-thuong-mai-dich-vu-cau-giay.htm" TargetMode="External"/><Relationship Id="rId536" Type="http://schemas.openxmlformats.org/officeDocument/2006/relationships/hyperlink" Target="https://finance.vietstock.vn/DaiMo-ctcp-co-khi-xay-dung-dai-mo.htm" TargetMode="External"/><Relationship Id="rId1166" Type="http://schemas.openxmlformats.org/officeDocument/2006/relationships/hyperlink" Target="https://finance.vietstock.vn/HuuNghiDaNang-ctcp-san-xuat-thuong-mai-huu-nghi-da-nang.htm" TargetMode="External"/><Relationship Id="rId1373" Type="http://schemas.openxmlformats.org/officeDocument/2006/relationships/hyperlink" Target="https://finance.vietstock.vn/LEC-ctcp-bat-dong-san-dien-luc-mien-trung.htm" TargetMode="External"/><Relationship Id="rId2217" Type="http://schemas.openxmlformats.org/officeDocument/2006/relationships/hyperlink" Target="https://finance.vietstock.vn/TAC-ctcp-dau-thuc-vat-tuong-an.htm" TargetMode="External"/><Relationship Id="rId2771" Type="http://schemas.openxmlformats.org/officeDocument/2006/relationships/hyperlink" Target="https://finance.vietstock.vn/VQC-ctcp-giam-dinh-vinacomin.htm" TargetMode="External"/><Relationship Id="rId2869" Type="http://schemas.openxmlformats.org/officeDocument/2006/relationships/hyperlink" Target="https://finance.vietstock.vn/XNKNinhBinh-ctcp-san-xuat-xuat-nhap-khau-ninh-binh.htm" TargetMode="External"/><Relationship Id="rId743" Type="http://schemas.openxmlformats.org/officeDocument/2006/relationships/hyperlink" Target="https://finance.vietstock.vn/DXG-ctcp-tap-doan-dat-xanh.htm" TargetMode="External"/><Relationship Id="rId950" Type="http://schemas.openxmlformats.org/officeDocument/2006/relationships/hyperlink" Target="https://finance.vietstock.vn/HAM-ctcp-vat-tu-hau-giang.htm" TargetMode="External"/><Relationship Id="rId1026" Type="http://schemas.openxmlformats.org/officeDocument/2006/relationships/hyperlink" Target="https://finance.vietstock.vn/HHA-ctcp-van-phong-pham-hong-ha.htm" TargetMode="External"/><Relationship Id="rId1580" Type="http://schemas.openxmlformats.org/officeDocument/2006/relationships/hyperlink" Target="https://finance.vietstock.vn/NCS-ctcp-suat-an-hang-khong-noi-bai.htm" TargetMode="External"/><Relationship Id="rId1678" Type="http://schemas.openxmlformats.org/officeDocument/2006/relationships/hyperlink" Target="https://finance.vietstock.vn/OCH-ctcp-one-capital-hospitality.htm" TargetMode="External"/><Relationship Id="rId1885" Type="http://schemas.openxmlformats.org/officeDocument/2006/relationships/hyperlink" Target="https://finance.vietstock.vn/PWA-ctcp-bat-dong-san-dau-khi.htm" TargetMode="External"/><Relationship Id="rId2424" Type="http://schemas.openxmlformats.org/officeDocument/2006/relationships/hyperlink" Target="https://finance.vietstock.vn/TRI-ctcp-nuoc-giai-khat-sai-gon.htm" TargetMode="External"/><Relationship Id="rId2631" Type="http://schemas.openxmlformats.org/officeDocument/2006/relationships/hyperlink" Target="https://finance.vietstock.vn/VietCapital-ctcp-quan-ly-quy-dau-tu-chung-khoan-ban-viet.htm" TargetMode="External"/><Relationship Id="rId2729" Type="http://schemas.openxmlformats.org/officeDocument/2006/relationships/hyperlink" Target="https://finance.vietstock.vn/VNA-ctcp-van-tai-bien-vinaship.htm" TargetMode="External"/><Relationship Id="rId603" Type="http://schemas.openxmlformats.org/officeDocument/2006/relationships/hyperlink" Target="https://finance.vietstock.vn/DienThuBon-ctcp-thuy-dien-thu-bon.htm" TargetMode="External"/><Relationship Id="rId810" Type="http://schemas.openxmlformats.org/officeDocument/2006/relationships/hyperlink" Target="https://finance.vietstock.vn/FMC-ctcp-thuc-pham-sao-ta.htm" TargetMode="External"/><Relationship Id="rId908" Type="http://schemas.openxmlformats.org/officeDocument/2006/relationships/hyperlink" Target="https://finance.vietstock.vn/GMA-ctcp-g-automobile.htm" TargetMode="External"/><Relationship Id="rId1233" Type="http://schemas.openxmlformats.org/officeDocument/2006/relationships/hyperlink" Target="https://finance.vietstock.vn/InVanHoaPham-ctcp-in-va-van-hoa-pham.htm" TargetMode="External"/><Relationship Id="rId1440" Type="http://schemas.openxmlformats.org/officeDocument/2006/relationships/hyperlink" Target="https://finance.vietstock.vn/MBG-ctcp-tap-doan-mbg.htm" TargetMode="External"/><Relationship Id="rId1538" Type="http://schemas.openxmlformats.org/officeDocument/2006/relationships/hyperlink" Target="https://finance.vietstock.vn/MTP-ctcp-duoc-medipharco.htm" TargetMode="External"/><Relationship Id="rId1300" Type="http://schemas.openxmlformats.org/officeDocument/2006/relationships/hyperlink" Target="https://finance.vietstock.vn/KinhDoLand-ctcp-dia-oc-kinh-do.htm" TargetMode="External"/><Relationship Id="rId1745" Type="http://schemas.openxmlformats.org/officeDocument/2006/relationships/hyperlink" Target="https://finance.vietstock.vn/PhanPhoiVietnam-ctcp-dau-tu-va-phat-trien-he-thong-phan-phoi-viet-nam.htm" TargetMode="External"/><Relationship Id="rId1952" Type="http://schemas.openxmlformats.org/officeDocument/2006/relationships/hyperlink" Target="https://finance.vietstock.vn/S4A-ctcp-thuy-dien-se-san-4a.htm" TargetMode="External"/><Relationship Id="rId37" Type="http://schemas.openxmlformats.org/officeDocument/2006/relationships/hyperlink" Target="https://finance.vietstock.vn/ADP-ctcp-son-a-dong.htm" TargetMode="External"/><Relationship Id="rId1605" Type="http://schemas.openxmlformats.org/officeDocument/2006/relationships/hyperlink" Target="https://finance.vietstock.vn/NhietDienMienBac-ctcp-dich-vu-sua-chua-nhiet-dien-mien-bac.htm" TargetMode="External"/><Relationship Id="rId1812" Type="http://schemas.openxmlformats.org/officeDocument/2006/relationships/hyperlink" Target="https://finance.vietstock.vn/PPH-tong-cong-ty-co-phan-phong-phu.htm" TargetMode="External"/><Relationship Id="rId186" Type="http://schemas.openxmlformats.org/officeDocument/2006/relationships/hyperlink" Target="https://finance.vietstock.vn/BHH-ctcp-bia-ha-noi-hung-yen-89.htm" TargetMode="External"/><Relationship Id="rId393" Type="http://schemas.openxmlformats.org/officeDocument/2006/relationships/hyperlink" Target="https://finance.vietstock.vn/CIE-ctcp-dau-tu-va-xay-dung-cong-trinh-128.htm" TargetMode="External"/><Relationship Id="rId2074" Type="http://schemas.openxmlformats.org/officeDocument/2006/relationships/hyperlink" Target="https://finance.vietstock.vn/SGR-ctcp-tong-ctcp-dia-oc-sai-gon.htm" TargetMode="External"/><Relationship Id="rId2281" Type="http://schemas.openxmlformats.org/officeDocument/2006/relationships/hyperlink" Target="https://finance.vietstock.vn/TDM-ctcp-nuoc-thu-dau-mot.htm" TargetMode="External"/><Relationship Id="rId253" Type="http://schemas.openxmlformats.org/officeDocument/2006/relationships/hyperlink" Target="https://finance.vietstock.vn/BSI-ctcp-chung-khoan-bidv.htm" TargetMode="External"/><Relationship Id="rId460" Type="http://schemas.openxmlformats.org/officeDocument/2006/relationships/hyperlink" Target="https://finance.vietstock.vn/CongTrinhHaNoi-ctcp-dau-tu-cong-trinh-ha-noi.htm" TargetMode="External"/><Relationship Id="rId698" Type="http://schemas.openxmlformats.org/officeDocument/2006/relationships/hyperlink" Target="https://finance.vietstock.vn/DTK-tong-cong-ty-dien-luc-tkv-ctcp.htm" TargetMode="External"/><Relationship Id="rId1090" Type="http://schemas.openxmlformats.org/officeDocument/2006/relationships/hyperlink" Target="https://finance.vietstock.vn/HoangHac-ctcp-hoang-hac.htm" TargetMode="External"/><Relationship Id="rId2141" Type="http://schemas.openxmlformats.org/officeDocument/2006/relationships/hyperlink" Target="https://finance.vietstock.vn/SOV-ctcp-mat-kinh-sai-gon.htm" TargetMode="External"/><Relationship Id="rId2379" Type="http://schemas.openxmlformats.org/officeDocument/2006/relationships/hyperlink" Target="https://finance.vietstock.vn/TMRating-ctcp-xep-hang-tin-nhiem-thien-minh.htm" TargetMode="External"/><Relationship Id="rId2586" Type="http://schemas.openxmlformats.org/officeDocument/2006/relationships/hyperlink" Target="https://finance.vietstock.vn/VEOF-quy-dau-tu-co-phieu-hung-thinh-vinacapital.htm" TargetMode="External"/><Relationship Id="rId2793" Type="http://schemas.openxmlformats.org/officeDocument/2006/relationships/hyperlink" Target="https://finance.vietstock.vn/VTA-ctcp-vitaly.htm" TargetMode="External"/><Relationship Id="rId113" Type="http://schemas.openxmlformats.org/officeDocument/2006/relationships/hyperlink" Target="https://finance.vietstock.vn/ATG-ctcp-atg-planet.htm" TargetMode="External"/><Relationship Id="rId320" Type="http://schemas.openxmlformats.org/officeDocument/2006/relationships/hyperlink" Target="https://finance.vietstock.vn/CapNuocCanTho2-ctcp-cap-nuoc-can-tho-ii.htm" TargetMode="External"/><Relationship Id="rId558" Type="http://schemas.openxmlformats.org/officeDocument/2006/relationships/hyperlink" Target="https://finance.vietstock.vn/DCF-ctcp-xay-dung-va-thiet-ke-so-1.htm" TargetMode="External"/><Relationship Id="rId765" Type="http://schemas.openxmlformats.org/officeDocument/2006/relationships/hyperlink" Target="https://finance.vietstock.vn/EIN-ctcp-dau-tu-thuong-mai-dich-vu-dien-luc.htm" TargetMode="External"/><Relationship Id="rId972" Type="http://schemas.openxmlformats.org/officeDocument/2006/relationships/hyperlink" Target="https://finance.vietstock.vn/HAV-ctcp-ruou-hapro.htm" TargetMode="External"/><Relationship Id="rId1188" Type="http://schemas.openxmlformats.org/officeDocument/2006/relationships/hyperlink" Target="https://finance.vietstock.vn/ICI-ctcp-dau-tu-va-xay-dung-cong-nghiep.htm" TargetMode="External"/><Relationship Id="rId1395" Type="http://schemas.openxmlformats.org/officeDocument/2006/relationships/hyperlink" Target="https://finance.vietstock.vn/LM3-ctcp-lilama-3.htm" TargetMode="External"/><Relationship Id="rId2001" Type="http://schemas.openxmlformats.org/officeDocument/2006/relationships/hyperlink" Target="https://finance.vietstock.vn/SBV-ctcp-siam-brothers-viet-nam.htm" TargetMode="External"/><Relationship Id="rId2239" Type="http://schemas.openxmlformats.org/officeDocument/2006/relationships/hyperlink" Target="https://finance.vietstock.vn/TAS-ctcp-chung-khoan-trang-an.htm" TargetMode="External"/><Relationship Id="rId2446" Type="http://schemas.openxmlformats.org/officeDocument/2006/relationships/hyperlink" Target="https://finance.vietstock.vn/TT6-ctcp-tap-doan-tien-thinh.htm" TargetMode="External"/><Relationship Id="rId2653" Type="http://schemas.openxmlformats.org/officeDocument/2006/relationships/hyperlink" Target="https://finance.vietstock.vn/Vimec-ctcp-thuong-mai-dau-tu-vimec.htm" TargetMode="External"/><Relationship Id="rId2860" Type="http://schemas.openxmlformats.org/officeDocument/2006/relationships/hyperlink" Target="https://finance.vietstock.vn/XiMangGiaLai-ctcp-xi-mang-gia-lai.htm" TargetMode="External"/><Relationship Id="rId418" Type="http://schemas.openxmlformats.org/officeDocument/2006/relationships/hyperlink" Target="https://finance.vietstock.vn/CLH-ctcp-xi-mang-la-hien-vvmi.htm" TargetMode="External"/><Relationship Id="rId625" Type="http://schemas.openxmlformats.org/officeDocument/2006/relationships/hyperlink" Target="https://finance.vietstock.vn/DMN-ctcp-domenal.htm" TargetMode="External"/><Relationship Id="rId832" Type="http://schemas.openxmlformats.org/officeDocument/2006/relationships/hyperlink" Target="https://finance.vietstock.vn/FUCTVGF4-quy-dau-tu-tang-truong-thien-viet-4.htm" TargetMode="External"/><Relationship Id="rId1048" Type="http://schemas.openxmlformats.org/officeDocument/2006/relationships/hyperlink" Target="https://finance.vietstock.vn/HJS-ctcp-thuy-dien-nam-mu.htm" TargetMode="External"/><Relationship Id="rId1255" Type="http://schemas.openxmlformats.org/officeDocument/2006/relationships/hyperlink" Target="https://finance.vietstock.vn/KAC-ctcp-dau-tu-dia-oc-khang-an.htm" TargetMode="External"/><Relationship Id="rId1462" Type="http://schemas.openxmlformats.org/officeDocument/2006/relationships/hyperlink" Target="https://finance.vietstock.vn/MDC-ctcp-than-mong-duong-vinacomin.htm" TargetMode="External"/><Relationship Id="rId2306" Type="http://schemas.openxmlformats.org/officeDocument/2006/relationships/hyperlink" Target="https://finance.vietstock.vn/ThanhCong-ctcp-thanh-cong.htm" TargetMode="External"/><Relationship Id="rId2513" Type="http://schemas.openxmlformats.org/officeDocument/2006/relationships/hyperlink" Target="https://finance.vietstock.vn/V15-ctcp-xay-dung-so-15.htm" TargetMode="External"/><Relationship Id="rId1115" Type="http://schemas.openxmlformats.org/officeDocument/2006/relationships/hyperlink" Target="https://finance.vietstock.vn/HPTourism-ctcp-du-lich-hai-phong.htm" TargetMode="External"/><Relationship Id="rId1322" Type="http://schemas.openxmlformats.org/officeDocument/2006/relationships/hyperlink" Target="https://finance.vietstock.vn/KSK-ctcp-khoang-san-luyen-kim-mau.htm" TargetMode="External"/><Relationship Id="rId1767" Type="http://schemas.openxmlformats.org/officeDocument/2006/relationships/hyperlink" Target="https://finance.vietstock.vn/PIDIC-ctcp-dau-tu-phat-trien-ha-tang-phu-quoc.htm" TargetMode="External"/><Relationship Id="rId1974" Type="http://schemas.openxmlformats.org/officeDocument/2006/relationships/hyperlink" Target="https://finance.vietstock.vn/SaiGonCapital-ctcp-quan-ly-quy-sai-gon.htm" TargetMode="External"/><Relationship Id="rId2720" Type="http://schemas.openxmlformats.org/officeDocument/2006/relationships/hyperlink" Target="https://finance.vietstock.vn/VMA-ctcp-cong-nghiep-o-to-vinacomin.htm" TargetMode="External"/><Relationship Id="rId2818" Type="http://schemas.openxmlformats.org/officeDocument/2006/relationships/hyperlink" Target="https://finance.vietstock.vn/VTX-ctcp-van-tai-da-phuong-thuc-vietranstimex.htm" TargetMode="External"/><Relationship Id="rId59" Type="http://schemas.openxmlformats.org/officeDocument/2006/relationships/hyperlink" Target="https://finance.vietstock.vn/Airserco-ctcp-cung-ung-dich-vu-hang-khong.htm" TargetMode="External"/><Relationship Id="rId1627" Type="http://schemas.openxmlformats.org/officeDocument/2006/relationships/hyperlink" Target="https://finance.vietstock.vn/NNT-ctcp-cap-nuoc-ninh-thuan.htm" TargetMode="External"/><Relationship Id="rId1834" Type="http://schemas.openxmlformats.org/officeDocument/2006/relationships/hyperlink" Target="https://finance.vietstock.vn/PSP-ctcp-cang-dich-vu-dau-khi-dinh-vu.htm" TargetMode="External"/><Relationship Id="rId2096" Type="http://schemas.openxmlformats.org/officeDocument/2006/relationships/hyperlink" Target="https://finance.vietstock.vn/SIP-ctcp-dau-tu-sai-gon-vrg.htm" TargetMode="External"/><Relationship Id="rId1901" Type="http://schemas.openxmlformats.org/officeDocument/2006/relationships/hyperlink" Target="https://finance.vietstock.vn/QCG-ctcp-quoc-cuong-gia-lai.htm" TargetMode="External"/><Relationship Id="rId275" Type="http://schemas.openxmlformats.org/officeDocument/2006/relationships/hyperlink" Target="https://finance.vietstock.vn/BTU-ctcp-cong-trinh-do-thi-ben-tre.htm" TargetMode="External"/><Relationship Id="rId482" Type="http://schemas.openxmlformats.org/officeDocument/2006/relationships/hyperlink" Target="https://finance.vietstock.vn/CRV-ctcp-tap-doan-bat-dong-san-crv.htm" TargetMode="External"/><Relationship Id="rId2163" Type="http://schemas.openxmlformats.org/officeDocument/2006/relationships/hyperlink" Target="https://finance.vietstock.vn/SSF-ctcp-giao-duc-g-sai-gon.htm" TargetMode="External"/><Relationship Id="rId2370" Type="http://schemas.openxmlformats.org/officeDocument/2006/relationships/hyperlink" Target="https://finance.vietstock.vn/TLT-ctcp-viglacera-thang-long.htm" TargetMode="External"/><Relationship Id="rId135" Type="http://schemas.openxmlformats.org/officeDocument/2006/relationships/hyperlink" Target="https://finance.vietstock.vn/BaoVietResort-ctcp-khach-san-va-du-lich-bao-viet.htm" TargetMode="External"/><Relationship Id="rId342" Type="http://schemas.openxmlformats.org/officeDocument/2006/relationships/hyperlink" Target="https://finance.vietstock.vn/CC1-tong-cong-ty-xay-dung-so-1-ctcp.htm" TargetMode="External"/><Relationship Id="rId787" Type="http://schemas.openxmlformats.org/officeDocument/2006/relationships/hyperlink" Target="https://finance.vietstock.vn/F88-ctcp-dau-tu-f88.htm" TargetMode="External"/><Relationship Id="rId994" Type="http://schemas.openxmlformats.org/officeDocument/2006/relationships/hyperlink" Target="https://finance.vietstock.vn/HD8-ctcp-dau-tu-phat-trien-nha-va-do-thi-hud8.htm" TargetMode="External"/><Relationship Id="rId2023" Type="http://schemas.openxmlformats.org/officeDocument/2006/relationships/hyperlink" Target="https://finance.vietstock.vn/SD4-ctcp-song-da-4.htm" TargetMode="External"/><Relationship Id="rId2230" Type="http://schemas.openxmlformats.org/officeDocument/2006/relationships/hyperlink" Target="https://finance.vietstock.vn/TanTan-ctcp-tan-tan.htm" TargetMode="External"/><Relationship Id="rId2468" Type="http://schemas.openxmlformats.org/officeDocument/2006/relationships/hyperlink" Target="https://finance.vietstock.vn/TV2-ctcp-tu-van-xay-dung-dien-2.htm" TargetMode="External"/><Relationship Id="rId2675" Type="http://schemas.openxmlformats.org/officeDocument/2006/relationships/hyperlink" Target="https://finance.vietstock.vn/VinasugarII-tong-cong-ty-mia-duong-ii-ctcp.htm" TargetMode="External"/><Relationship Id="rId2882" Type="http://schemas.openxmlformats.org/officeDocument/2006/relationships/hyperlink" Target="https://finance.vietstock.vn/YTC-ctcp-xuat-nhap-khau-y-te-thanh-pho-ho-chi-minh.htm" TargetMode="External"/><Relationship Id="rId202" Type="http://schemas.openxmlformats.org/officeDocument/2006/relationships/hyperlink" Target="https://finance.vietstock.vn/BII-ctcp-dau-tu-va-phat-trien-cong-nghiep-bao-thu.htm" TargetMode="External"/><Relationship Id="rId647" Type="http://schemas.openxmlformats.org/officeDocument/2006/relationships/hyperlink" Target="https://finance.vietstock.vn/DNY-ctcp-thep-dana-y.htm" TargetMode="External"/><Relationship Id="rId854" Type="http://schemas.openxmlformats.org/officeDocument/2006/relationships/hyperlink" Target="https://finance.vietstock.vn/GAB-ctcp-dau-tu-khai-khoang-va-quan-ly-tai-san-flc.htm" TargetMode="External"/><Relationship Id="rId1277" Type="http://schemas.openxmlformats.org/officeDocument/2006/relationships/hyperlink" Target="https://finance.vietstock.vn/KHD-ctcp-khai-thac-che-bien-khoang-san-hai-duong.htm" TargetMode="External"/><Relationship Id="rId1484" Type="http://schemas.openxmlformats.org/officeDocument/2006/relationships/hyperlink" Target="https://finance.vietstock.vn/MHBS-ctcp-chung-khoan-mhb.htm" TargetMode="External"/><Relationship Id="rId1691" Type="http://schemas.openxmlformats.org/officeDocument/2006/relationships/hyperlink" Target="https://finance.vietstock.vn/OSCVN-ctcp-du-lich-dich-vu-dau-khi-viet-nam.htm" TargetMode="External"/><Relationship Id="rId2328" Type="http://schemas.openxmlformats.org/officeDocument/2006/relationships/hyperlink" Target="https://finance.vietstock.vn/THMilk-ctcp-chuoi-thuc-pham-th.htm" TargetMode="External"/><Relationship Id="rId2535" Type="http://schemas.openxmlformats.org/officeDocument/2006/relationships/hyperlink" Target="https://finance.vietstock.vn/VC6-ctcp-xay-dung-va-dau-tu-visicons.htm" TargetMode="External"/><Relationship Id="rId2742" Type="http://schemas.openxmlformats.org/officeDocument/2006/relationships/hyperlink" Target="https://finance.vietstock.vn/VNL-ctcp-logistics-vinalink.htm" TargetMode="External"/><Relationship Id="rId507" Type="http://schemas.openxmlformats.org/officeDocument/2006/relationships/hyperlink" Target="https://finance.vietstock.vn/CTS-ctcp-chung-khoan-vietinbank.htm" TargetMode="External"/><Relationship Id="rId714" Type="http://schemas.openxmlformats.org/officeDocument/2006/relationships/hyperlink" Target="https://finance.vietstock.vn/DuocDomedic-ctcp-y-duoc-domedic.htm" TargetMode="External"/><Relationship Id="rId921" Type="http://schemas.openxmlformats.org/officeDocument/2006/relationships/hyperlink" Target="https://finance.vietstock.vn/GT6-tong-cong-ty-xay-dung-cong-trinh-giao-thong-6-ctcp.htm" TargetMode="External"/><Relationship Id="rId1137" Type="http://schemas.openxmlformats.org/officeDocument/2006/relationships/hyperlink" Target="https://finance.vietstock.vn/HTC-ctcp-thuong-mai-hoc-mon.htm" TargetMode="External"/><Relationship Id="rId1344" Type="http://schemas.openxmlformats.org/officeDocument/2006/relationships/hyperlink" Target="https://finance.vietstock.vn/L44-ctcp-lilama-45-4.htm" TargetMode="External"/><Relationship Id="rId1551" Type="http://schemas.openxmlformats.org/officeDocument/2006/relationships/hyperlink" Target="https://finance.vietstock.vn/MZG-ctcp-miza.htm" TargetMode="External"/><Relationship Id="rId1789" Type="http://schemas.openxmlformats.org/officeDocument/2006/relationships/hyperlink" Target="https://finance.vietstock.vn/PMJ-ctcp-vat-tu-buu-dien.htm" TargetMode="External"/><Relationship Id="rId1996" Type="http://schemas.openxmlformats.org/officeDocument/2006/relationships/hyperlink" Target="https://finance.vietstock.vn/SBL-ctcp-bia-sai-gon-bac-lieu.htm" TargetMode="External"/><Relationship Id="rId2602" Type="http://schemas.openxmlformats.org/officeDocument/2006/relationships/hyperlink" Target="https://finance.vietstock.vn/VGT-tap-doan-det-may-viet-nam.htm" TargetMode="External"/><Relationship Id="rId50" Type="http://schemas.openxmlformats.org/officeDocument/2006/relationships/hyperlink" Target="https://finance.vietstock.vn/AGR-ctcp-chung-khoan-agribank.htm" TargetMode="External"/><Relationship Id="rId1204" Type="http://schemas.openxmlformats.org/officeDocument/2006/relationships/hyperlink" Target="https://finance.vietstock.vn/IFMC-ctcp-quan-ly-quy-quoc-te.htm" TargetMode="External"/><Relationship Id="rId1411" Type="http://schemas.openxmlformats.org/officeDocument/2006/relationships/hyperlink" Target="https://finance.vietstock.vn/LSG-ctcp-bat-dong-san-sai-gon-vina.htm" TargetMode="External"/><Relationship Id="rId1649" Type="http://schemas.openxmlformats.org/officeDocument/2006/relationships/hyperlink" Target="https://finance.vietstock.vn/NSS-ctcp-nong-suc-san-dong-nai.htm" TargetMode="External"/><Relationship Id="rId1856" Type="http://schemas.openxmlformats.org/officeDocument/2006/relationships/hyperlink" Target="https://finance.vietstock.vn/PVA-ctcp-tong-cong-ty-xay-lap-dau-khi-nghe-an.htm" TargetMode="External"/><Relationship Id="rId1509" Type="http://schemas.openxmlformats.org/officeDocument/2006/relationships/hyperlink" Target="https://finance.vietstock.vn/MLS-ctcp-chan-nuoi-mitraco.htm" TargetMode="External"/><Relationship Id="rId1716" Type="http://schemas.openxmlformats.org/officeDocument/2006/relationships/hyperlink" Target="https://finance.vietstock.vn/PCM-ctcp-vat-lieu-xay-dung-buu-dien.htm" TargetMode="External"/><Relationship Id="rId1923" Type="http://schemas.openxmlformats.org/officeDocument/2006/relationships/hyperlink" Target="https://finance.vietstock.vn/RauQua1-ctcp-xuat-nhap-khau-rau-qua-i.htm" TargetMode="External"/><Relationship Id="rId297" Type="http://schemas.openxmlformats.org/officeDocument/2006/relationships/hyperlink" Target="https://finance.vietstock.vn/C21-ctcp-the-ky-21.htm" TargetMode="External"/><Relationship Id="rId2185" Type="http://schemas.openxmlformats.org/officeDocument/2006/relationships/hyperlink" Target="https://finance.vietstock.vn/STS-ctcp-dich-vu-van-tai-sai-gon.htm" TargetMode="External"/><Relationship Id="rId2392" Type="http://schemas.openxmlformats.org/officeDocument/2006/relationships/hyperlink" Target="https://finance.vietstock.vn/TNM-ctcp-xuat-nhap-khau-va-xay-dung-cong-trinh.htm" TargetMode="External"/><Relationship Id="rId157" Type="http://schemas.openxmlformats.org/officeDocument/2006/relationships/hyperlink" Target="https://finance.vietstock.vn/BCR-ctcp-bcg-land.htm" TargetMode="External"/><Relationship Id="rId364" Type="http://schemas.openxmlformats.org/officeDocument/2006/relationships/hyperlink" Target="https://finance.vietstock.vn/CE1-ctcp-xay-dung-va-thiet-bi-cong-nghiep-cie1.htm" TargetMode="External"/><Relationship Id="rId2045" Type="http://schemas.openxmlformats.org/officeDocument/2006/relationships/hyperlink" Target="https://finance.vietstock.vn/SDU-ctcp-dau-tu-xay-dung-va-phat-trien-do-thi-song-da.htm" TargetMode="External"/><Relationship Id="rId2697" Type="http://schemas.openxmlformats.org/officeDocument/2006/relationships/hyperlink" Target="https://finance.vietstock.vn/Visrating-ctcp-xep-hang-tin-nhiem-dau-tu-viet-nam.htm" TargetMode="External"/><Relationship Id="rId571" Type="http://schemas.openxmlformats.org/officeDocument/2006/relationships/hyperlink" Target="https://finance.vietstock.vn/DDM-ctcp-hang-hai-dong-do.htm" TargetMode="External"/><Relationship Id="rId669" Type="http://schemas.openxmlformats.org/officeDocument/2006/relationships/hyperlink" Target="https://finance.vietstock.vn/DPS-ctcp-dau-tu-phat-trien-soc-son.htm" TargetMode="External"/><Relationship Id="rId876" Type="http://schemas.openxmlformats.org/officeDocument/2006/relationships/hyperlink" Target="https://finance.vietstock.vn/Genesis-ctcp-quan-ly-quy-lpb.htm" TargetMode="External"/><Relationship Id="rId1299" Type="http://schemas.openxmlformats.org/officeDocument/2006/relationships/hyperlink" Target="https://finance.vietstock.vn/KIMVN-cong-ty-tnhh-quan-ly-quy-kim-viet-nam.htm" TargetMode="External"/><Relationship Id="rId2252" Type="http://schemas.openxmlformats.org/officeDocument/2006/relationships/hyperlink" Target="https://finance.vietstock.vn/TBR-ctcp-dia-oc-tan-binh.htm" TargetMode="External"/><Relationship Id="rId2557" Type="http://schemas.openxmlformats.org/officeDocument/2006/relationships/hyperlink" Target="https://finance.vietstock.vn/VCT-ctcp-tu-van-xay-dung-vinaconex.htm" TargetMode="External"/><Relationship Id="rId224" Type="http://schemas.openxmlformats.org/officeDocument/2006/relationships/hyperlink" Target="https://finance.vietstock.vn/BMF-ctcp-vat-lieu-xay-dung-va-chat-dot-dong-nai.htm" TargetMode="External"/><Relationship Id="rId431" Type="http://schemas.openxmlformats.org/officeDocument/2006/relationships/hyperlink" Target="https://finance.vietstock.vn/CMM-ctcp-camimex.htm" TargetMode="External"/><Relationship Id="rId529" Type="http://schemas.openxmlformats.org/officeDocument/2006/relationships/hyperlink" Target="https://finance.vietstock.vn/DAC-ctcp-382-dong-anh.htm" TargetMode="External"/><Relationship Id="rId736" Type="http://schemas.openxmlformats.org/officeDocument/2006/relationships/hyperlink" Target="https://finance.vietstock.vn/DVT-trung-tam-dao-tao-nghiep-vu-giao-thong-van-tai-binh-dinh.htm" TargetMode="External"/><Relationship Id="rId1061" Type="http://schemas.openxmlformats.org/officeDocument/2006/relationships/hyperlink" Target="https://finance.vietstock.vn/HLS-ctcp-su-ky-thuat-hoang-lien-son.htm" TargetMode="External"/><Relationship Id="rId1159" Type="http://schemas.openxmlformats.org/officeDocument/2006/relationships/hyperlink" Target="https://finance.vietstock.vn/Hudeco-ctcp-dau-tu-va-phat-trien-giao-duc-hudeco.htm" TargetMode="External"/><Relationship Id="rId1366" Type="http://schemas.openxmlformats.org/officeDocument/2006/relationships/hyperlink" Target="https://finance.vietstock.vn/LCM-ctcp-khai-thac-va-che-bien-khoang-san-lao-cai.htm" TargetMode="External"/><Relationship Id="rId2112" Type="http://schemas.openxmlformats.org/officeDocument/2006/relationships/hyperlink" Target="https://finance.vietstock.vn/SLC-ctcp-dich-vu-xuat-khau-lao-dong-va-chuyen-gia.htm" TargetMode="External"/><Relationship Id="rId2417" Type="http://schemas.openxmlformats.org/officeDocument/2006/relationships/hyperlink" Target="https://finance.vietstock.vn/TRA-ctcp-traphaco.htm" TargetMode="External"/><Relationship Id="rId2764" Type="http://schemas.openxmlformats.org/officeDocument/2006/relationships/hyperlink" Target="https://finance.vietstock.vn/VPIG-ctcp-tap-doan-dau-tu-viet-phuong.htm" TargetMode="External"/><Relationship Id="rId943" Type="http://schemas.openxmlformats.org/officeDocument/2006/relationships/hyperlink" Target="https://finance.vietstock.vn/HAH-ctcp-van-tai-va-xep-do-hai-an.htm" TargetMode="External"/><Relationship Id="rId1019" Type="http://schemas.openxmlformats.org/officeDocument/2006/relationships/hyperlink" Target="https://finance.vietstock.vn/HFX-ctcp-san-xuat-xuat-nhap-khau-thanh-ha.htm" TargetMode="External"/><Relationship Id="rId1573" Type="http://schemas.openxmlformats.org/officeDocument/2006/relationships/hyperlink" Target="https://finance.vietstock.vn/NBN-ctcp-xay-dung-cong-trinh-545.htm" TargetMode="External"/><Relationship Id="rId1780" Type="http://schemas.openxmlformats.org/officeDocument/2006/relationships/hyperlink" Target="https://finance.vietstock.vn/PLCC-tong-cong-ty-xay-lap-va-thuong-mai-petrolimex.htm" TargetMode="External"/><Relationship Id="rId1878" Type="http://schemas.openxmlformats.org/officeDocument/2006/relationships/hyperlink" Target="https://finance.vietstock.vn/PVSH-ctcp-van-khoi-thanh.htm" TargetMode="External"/><Relationship Id="rId2624" Type="http://schemas.openxmlformats.org/officeDocument/2006/relationships/hyperlink" Target="https://finance.vietstock.vn/VienthongBacLieu-ctcp-dau-tu-xay-lap-vien-thong-bac-lieu.htm" TargetMode="External"/><Relationship Id="rId2831" Type="http://schemas.openxmlformats.org/officeDocument/2006/relationships/hyperlink" Target="https://finance.vietstock.vn/VXT-ctcp-kho-van-va-dich-vu-thuong-mai.htm" TargetMode="External"/><Relationship Id="rId72" Type="http://schemas.openxmlformats.org/officeDocument/2006/relationships/hyperlink" Target="https://finance.vietstock.vn/AMP-ctcp-armephaco.htm" TargetMode="External"/><Relationship Id="rId803" Type="http://schemas.openxmlformats.org/officeDocument/2006/relationships/hyperlink" Target="https://finance.vietstock.vn/FIC-tong-cong-ty-vat-lieu-xay-dung-so-1-ctcp.htm" TargetMode="External"/><Relationship Id="rId1226" Type="http://schemas.openxmlformats.org/officeDocument/2006/relationships/hyperlink" Target="https://finance.vietstock.vn/InSo7-ctcp-in-so-7.htm" TargetMode="External"/><Relationship Id="rId1433" Type="http://schemas.openxmlformats.org/officeDocument/2006/relationships/hyperlink" Target="https://finance.vietstock.vn/MaySaiGon3-ctcp-may-sai-gon-3.htm" TargetMode="External"/><Relationship Id="rId1640" Type="http://schemas.openxmlformats.org/officeDocument/2006/relationships/hyperlink" Target="https://finance.vietstock.vn/NS3-ctcp-san-xuat-kinh-doanh-nuoc-sach-so-3-ha-noi.htm" TargetMode="External"/><Relationship Id="rId1738" Type="http://schemas.openxmlformats.org/officeDocument/2006/relationships/hyperlink" Target="https://finance.vietstock.vn/PGC-tong-cong-ty-gas-petrolimex-ctcp.htm" TargetMode="External"/><Relationship Id="rId1500" Type="http://schemas.openxmlformats.org/officeDocument/2006/relationships/hyperlink" Target="https://finance.vietstock.vn/MinhVietCapital-ctcp-quan-ly-quy-pavo-capital.htm" TargetMode="External"/><Relationship Id="rId1945" Type="http://schemas.openxmlformats.org/officeDocument/2006/relationships/hyperlink" Target="https://finance.vietstock.vn/RUID-ctcp-dau-tu-phat-trien-ha-tang-va-do-thi-duong-sat.htm" TargetMode="External"/><Relationship Id="rId1805" Type="http://schemas.openxmlformats.org/officeDocument/2006/relationships/hyperlink" Target="https://finance.vietstock.vn/POT-ctcp-thiet-bi-buu-dien.htm" TargetMode="External"/><Relationship Id="rId179" Type="http://schemas.openxmlformats.org/officeDocument/2006/relationships/hyperlink" Target="https://finance.vietstock.vn/BGE-ctcp-bcg-energy.htm" TargetMode="External"/><Relationship Id="rId386" Type="http://schemas.openxmlformats.org/officeDocument/2006/relationships/hyperlink" Target="https://finance.vietstock.vn/CI5-ctcp-dau-tu-xay-dung-so-5.htm" TargetMode="External"/><Relationship Id="rId593" Type="http://schemas.openxmlformats.org/officeDocument/2006/relationships/hyperlink" Target="https://finance.vietstock.vn/DHP-ctcp-dien-co-hai-phong.htm" TargetMode="External"/><Relationship Id="rId2067" Type="http://schemas.openxmlformats.org/officeDocument/2006/relationships/hyperlink" Target="https://finance.vietstock.vn/SGH-ctcp-khach-san-sai-gon.htm" TargetMode="External"/><Relationship Id="rId2274" Type="http://schemas.openxmlformats.org/officeDocument/2006/relationships/hyperlink" Target="https://finance.vietstock.vn/TDC-ctcp-kinh-doanh-va-phat-trien-binh-duong.htm" TargetMode="External"/><Relationship Id="rId2481" Type="http://schemas.openxmlformats.org/officeDocument/2006/relationships/hyperlink" Target="https://finance.vietstock.vn/TVM-ctcp-tu-van-dau-tu-mo-va-cong-nghiep-vinacomin.htm" TargetMode="External"/><Relationship Id="rId246" Type="http://schemas.openxmlformats.org/officeDocument/2006/relationships/hyperlink" Target="https://finance.vietstock.vn/BRR-ctcp-cao-su-ba-ria.htm" TargetMode="External"/><Relationship Id="rId453" Type="http://schemas.openxmlformats.org/officeDocument/2006/relationships/hyperlink" Target="https://finance.vietstock.vn/CongNghiepMasan-ctcp-cong-nghiep-masan.htm" TargetMode="External"/><Relationship Id="rId660" Type="http://schemas.openxmlformats.org/officeDocument/2006/relationships/hyperlink" Target="https://finance.vietstock.vn/DP1-ctcp-duoc-pham-trung-uong-cpc1.htm" TargetMode="External"/><Relationship Id="rId898" Type="http://schemas.openxmlformats.org/officeDocument/2006/relationships/hyperlink" Target="https://finance.vietstock.vn/GiayLeHoa-ctcp-giay-tap-le-hoa.htm" TargetMode="External"/><Relationship Id="rId1083" Type="http://schemas.openxmlformats.org/officeDocument/2006/relationships/hyperlink" Target="https://finance.vietstock.vn/HNT-ctcp-xe-dien-ha-noi.htm" TargetMode="External"/><Relationship Id="rId1290" Type="http://schemas.openxmlformats.org/officeDocument/2006/relationships/hyperlink" Target="https://finance.vietstock.vn/KienGiangPetro-ctcp-dau-khi-duong-dong-kien-giang.htm" TargetMode="External"/><Relationship Id="rId2134" Type="http://schemas.openxmlformats.org/officeDocument/2006/relationships/hyperlink" Target="https://finance.vietstock.vn/SongDa109-ctcp-song-da-10-9.htm" TargetMode="External"/><Relationship Id="rId2341" Type="http://schemas.openxmlformats.org/officeDocument/2006/relationships/hyperlink" Target="https://finance.vietstock.vn/Tico-ctcp-tico.htm" TargetMode="External"/><Relationship Id="rId2579" Type="http://schemas.openxmlformats.org/officeDocument/2006/relationships/hyperlink" Target="https://finance.vietstock.vn/VEC-tong-cong-ty-co-phan-dien-tu-va-tin-hoc-viet-nam.htm" TargetMode="External"/><Relationship Id="rId2786" Type="http://schemas.openxmlformats.org/officeDocument/2006/relationships/hyperlink" Target="https://finance.vietstock.vn/VSM-ctcp-container-mien-trung.htm" TargetMode="External"/><Relationship Id="rId106" Type="http://schemas.openxmlformats.org/officeDocument/2006/relationships/hyperlink" Target="https://finance.vietstock.vn/ASM-ctcp-tap-doan-sao-mai.htm" TargetMode="External"/><Relationship Id="rId313" Type="http://schemas.openxmlformats.org/officeDocument/2006/relationships/hyperlink" Target="https://finance.vietstock.vn/CAM-ctcp-moi-truong-do-thi-ca-mau.htm" TargetMode="External"/><Relationship Id="rId758" Type="http://schemas.openxmlformats.org/officeDocument/2006/relationships/hyperlink" Target="https://finance.vietstock.vn/Eden-ctcp-e-den.htm" TargetMode="External"/><Relationship Id="rId965" Type="http://schemas.openxmlformats.org/officeDocument/2006/relationships/hyperlink" Target="https://finance.vietstock.vn/HAR-ctcp-dau-tu-thuong-mai-bat-dong-san-an-duong-thao-dien.htm" TargetMode="External"/><Relationship Id="rId1150" Type="http://schemas.openxmlformats.org/officeDocument/2006/relationships/hyperlink" Target="https://finance.vietstock.vn/HTT-ctcp-thuong-mai-ha-tay.htm" TargetMode="External"/><Relationship Id="rId1388" Type="http://schemas.openxmlformats.org/officeDocument/2006/relationships/hyperlink" Target="https://finance.vietstock.vn/LIG-ctcp-licogi-13.htm" TargetMode="External"/><Relationship Id="rId1595" Type="http://schemas.openxmlformats.org/officeDocument/2006/relationships/hyperlink" Target="https://finance.vietstock.vn/NgocHy-ctcp-dich-vu-in-tran-ngoc-hy-ca-mau.htm" TargetMode="External"/><Relationship Id="rId2439" Type="http://schemas.openxmlformats.org/officeDocument/2006/relationships/hyperlink" Target="https://finance.vietstock.vn/TSC-ctcp-vat-tu-ky-thuat-nong-nghiep-can-tho.htm" TargetMode="External"/><Relationship Id="rId2646" Type="http://schemas.openxmlformats.org/officeDocument/2006/relationships/hyperlink" Target="https://finance.vietstock.vn/VIH-ctcp-viglacera-ha-noi.htm" TargetMode="External"/><Relationship Id="rId2853" Type="http://schemas.openxmlformats.org/officeDocument/2006/relationships/hyperlink" Target="https://finance.vietstock.vn/XDCT507-ctcp-xay-dung-cong-trinh-507.htm" TargetMode="External"/><Relationship Id="rId94" Type="http://schemas.openxmlformats.org/officeDocument/2006/relationships/hyperlink" Target="https://finance.vietstock.vn/AQN-ctcp-28-quang-ngai.htm" TargetMode="External"/><Relationship Id="rId520" Type="http://schemas.openxmlformats.org/officeDocument/2006/relationships/hyperlink" Target="https://finance.vietstock.vn/CXC-ctcp-cau-xay.htm" TargetMode="External"/><Relationship Id="rId618" Type="http://schemas.openxmlformats.org/officeDocument/2006/relationships/hyperlink" Target="https://finance.vietstock.vn/DLR-ctcp-dia-oc-da-lat.htm" TargetMode="External"/><Relationship Id="rId825" Type="http://schemas.openxmlformats.org/officeDocument/2006/relationships/hyperlink" Target="https://finance.vietstock.vn/FSS-ctcp-giai-phap-phan-mem-tai-chinh.htm" TargetMode="External"/><Relationship Id="rId1248" Type="http://schemas.openxmlformats.org/officeDocument/2006/relationships/hyperlink" Target="https://finance.vietstock.vn/IVAM-ctcp-quan-ly-quy-tri-tue-viet-nam.htm" TargetMode="External"/><Relationship Id="rId1455" Type="http://schemas.openxmlformats.org/officeDocument/2006/relationships/hyperlink" Target="https://finance.vietstock.vn/MCM-ctcp-giong-bo-sua-moc-chau.htm" TargetMode="External"/><Relationship Id="rId1662" Type="http://schemas.openxmlformats.org/officeDocument/2006/relationships/hyperlink" Target="https://finance.vietstock.vn/NUE-ctcp-moi-truong-do-thi-nha-trang.htm" TargetMode="External"/><Relationship Id="rId2201" Type="http://schemas.openxmlformats.org/officeDocument/2006/relationships/hyperlink" Target="https://finance.vietstock.vn/SVJ-ctcp-santomas-viet-nam.htm" TargetMode="External"/><Relationship Id="rId2506" Type="http://schemas.openxmlformats.org/officeDocument/2006/relationships/hyperlink" Target="https://finance.vietstock.vn/USC-ctcp-khao-sat-va-xay-dung-usco.htm" TargetMode="External"/><Relationship Id="rId1010" Type="http://schemas.openxmlformats.org/officeDocument/2006/relationships/hyperlink" Target="https://finance.vietstock.vn/HEJ-tong-cong-ty-tu-van-xay-dung-thuy-loi-viet-nam-ctcp.htm" TargetMode="External"/><Relationship Id="rId1108" Type="http://schemas.openxmlformats.org/officeDocument/2006/relationships/hyperlink" Target="https://finance.vietstock.vn/HPI-ctcp-khu-cong-nghiep-hiep-phuoc.htm" TargetMode="External"/><Relationship Id="rId1315" Type="http://schemas.openxmlformats.org/officeDocument/2006/relationships/hyperlink" Target="https://finance.vietstock.vn/KSB-ctcp-khoang-san-va-xay-dung-binh-duong.htm" TargetMode="External"/><Relationship Id="rId1967" Type="http://schemas.openxmlformats.org/officeDocument/2006/relationships/hyperlink" Target="https://finance.vietstock.vn/Sadaco-ctcp-phat-trien-san-xuat-thuong-mai-sai-gon.htm" TargetMode="External"/><Relationship Id="rId2713" Type="http://schemas.openxmlformats.org/officeDocument/2006/relationships/hyperlink" Target="https://finance.vietstock.vn/VLF-ctcp-luong-thuc-thuc-pham-vinh-long.htm" TargetMode="External"/><Relationship Id="rId1522" Type="http://schemas.openxmlformats.org/officeDocument/2006/relationships/hyperlink" Target="https://finance.vietstock.vn/MQN-ctcp-moi-truong-do-thi-quang-ngai.htm" TargetMode="External"/><Relationship Id="rId21" Type="http://schemas.openxmlformats.org/officeDocument/2006/relationships/hyperlink" Target="https://finance.vietstock.vn/ACB-ngan-hang-tmcp-a-chau.htm" TargetMode="External"/><Relationship Id="rId2089" Type="http://schemas.openxmlformats.org/officeDocument/2006/relationships/hyperlink" Target="https://finance.vietstock.vn/SHS-ctcp-chung-khoan-sai-gon-ha-noi.htm" TargetMode="External"/><Relationship Id="rId2296" Type="http://schemas.openxmlformats.org/officeDocument/2006/relationships/hyperlink" Target="https://finance.vietstock.vn/TGG-ctcp-the-golden-group.htm" TargetMode="External"/><Relationship Id="rId268" Type="http://schemas.openxmlformats.org/officeDocument/2006/relationships/hyperlink" Target="https://finance.vietstock.vn/BTJ-ctcp-vang-bac-da-quy-ben-thanh.htm" TargetMode="External"/><Relationship Id="rId475" Type="http://schemas.openxmlformats.org/officeDocument/2006/relationships/hyperlink" Target="https://finance.vietstock.vn/CPI-ctcp-dau-tu-cang-cai-lan.htm" TargetMode="External"/><Relationship Id="rId682" Type="http://schemas.openxmlformats.org/officeDocument/2006/relationships/hyperlink" Target="https://finance.vietstock.vn/DSN-ctcp-cong-vien-nuoc-dam-sen.htm" TargetMode="External"/><Relationship Id="rId2156" Type="http://schemas.openxmlformats.org/officeDocument/2006/relationships/hyperlink" Target="https://finance.vietstock.vn/SQC-ctcp-khoang-san-sai-gon-quy-nhon.htm" TargetMode="External"/><Relationship Id="rId2363" Type="http://schemas.openxmlformats.org/officeDocument/2006/relationships/hyperlink" Target="https://finance.vietstock.vn/TLD-ctcp-dau-tu-xay-dung-va-phat-trien-do-thi-thang-long.htm" TargetMode="External"/><Relationship Id="rId2570" Type="http://schemas.openxmlformats.org/officeDocument/2006/relationships/hyperlink" Target="https://finance.vietstock.vn/VDSE-ctcp-chung-khoan-vien-dong.htm" TargetMode="External"/><Relationship Id="rId128" Type="http://schemas.openxmlformats.org/officeDocument/2006/relationships/hyperlink" Target="https://finance.vietstock.vn/BAF-ctcp-nong-nghiep-baf-viet-nam.htm" TargetMode="External"/><Relationship Id="rId335" Type="http://schemas.openxmlformats.org/officeDocument/2006/relationships/hyperlink" Target="https://finance.vietstock.vn/CavicoHaTang-ctcp-cavico-xay-dung-ha-tang.htm" TargetMode="External"/><Relationship Id="rId542" Type="http://schemas.openxmlformats.org/officeDocument/2006/relationships/hyperlink" Target="https://finance.vietstock.vn/DAS-ctcp-may-thiet-bi-dau-khi-da-nang.htm" TargetMode="External"/><Relationship Id="rId1172" Type="http://schemas.openxmlformats.org/officeDocument/2006/relationships/hyperlink" Target="https://finance.vietstock.vn/HVC-ctcp-hung-vuong.htm" TargetMode="External"/><Relationship Id="rId2016" Type="http://schemas.openxmlformats.org/officeDocument/2006/relationships/hyperlink" Target="https://finance.vietstock.vn/SCR-ctcp-dia-oc-sai-gon-thuong-tin.htm" TargetMode="External"/><Relationship Id="rId2223" Type="http://schemas.openxmlformats.org/officeDocument/2006/relationships/hyperlink" Target="https://finance.vietstock.vn/TAL-ctcp-dau-tu-bat-dong-san-taseco.htm" TargetMode="External"/><Relationship Id="rId2430" Type="http://schemas.openxmlformats.org/officeDocument/2006/relationships/hyperlink" Target="https://finance.vietstock.vn/TrungNguyenInvest-ctcp-dau-tu-trung-nguyen.htm" TargetMode="External"/><Relationship Id="rId402" Type="http://schemas.openxmlformats.org/officeDocument/2006/relationships/hyperlink" Target="https://finance.vietstock.vn/CII-ctcp-dau-tu-ha-tang-ky-thuat-thanh-pho-ho-chi-minh.htm" TargetMode="External"/><Relationship Id="rId1032" Type="http://schemas.openxmlformats.org/officeDocument/2006/relationships/hyperlink" Target="https://finance.vietstock.vn/HHN-ctcp-van-tai-va-dich-vu-hang-hoa-ha-noi.htm" TargetMode="External"/><Relationship Id="rId1989" Type="http://schemas.openxmlformats.org/officeDocument/2006/relationships/hyperlink" Target="https://finance.vietstock.vn/SBB-ctcp-tap-doan-bia-sai-gon-binh-tay.htm" TargetMode="External"/><Relationship Id="rId1849" Type="http://schemas.openxmlformats.org/officeDocument/2006/relationships/hyperlink" Target="https://finance.vietstock.vn/PTO-ctcp-dich-vu-xay-dung-cong-trinh-buu-dien.htm" TargetMode="External"/><Relationship Id="rId192" Type="http://schemas.openxmlformats.org/officeDocument/2006/relationships/hyperlink" Target="https://finance.vietstock.vn/BHV-ctcp-ba-hien.htm" TargetMode="External"/><Relationship Id="rId1709" Type="http://schemas.openxmlformats.org/officeDocument/2006/relationships/hyperlink" Target="https://finance.vietstock.vn/PBT-ctcp-bao-bi-va-thuong-mai-dau-khi-binh-son.htm" TargetMode="External"/><Relationship Id="rId1916" Type="http://schemas.openxmlformats.org/officeDocument/2006/relationships/hyperlink" Target="https://finance.vietstock.vn/QTC-ctcp-cong-trinh-giao-thong-van-tai-quang-nam.htm" TargetMode="External"/><Relationship Id="rId2080" Type="http://schemas.openxmlformats.org/officeDocument/2006/relationships/hyperlink" Target="https://finance.vietstock.vn/SHC-ctcp-hang-hai-sai-gon.htm" TargetMode="External"/><Relationship Id="rId869" Type="http://schemas.openxmlformats.org/officeDocument/2006/relationships/hyperlink" Target="https://finance.vietstock.vn/GEE-ctcp-dien-luc-gelex.htm" TargetMode="External"/><Relationship Id="rId1499" Type="http://schemas.openxmlformats.org/officeDocument/2006/relationships/hyperlink" Target="https://finance.vietstock.vn/MinhPhuc-ctcp-san-xuat-va-thuong-mai-minh-phuc.htm" TargetMode="External"/><Relationship Id="rId729" Type="http://schemas.openxmlformats.org/officeDocument/2006/relationships/hyperlink" Target="https://finance.vietstock.vn/DVC-ctcp-thuong-mai-dich-vu-tong-hop-cang-hai-phong.htm" TargetMode="External"/><Relationship Id="rId1359" Type="http://schemas.openxmlformats.org/officeDocument/2006/relationships/hyperlink" Target="https://finance.vietstock.vn/LAW-ctcp-cap-thoat-nuoc-long-an.htm" TargetMode="External"/><Relationship Id="rId2757" Type="http://schemas.openxmlformats.org/officeDocument/2006/relationships/hyperlink" Target="https://finance.vietstock.vn/VPA-ctcp-van-tai-hoa-dau-vp.htm" TargetMode="External"/><Relationship Id="rId936" Type="http://schemas.openxmlformats.org/officeDocument/2006/relationships/hyperlink" Target="https://finance.vietstock.vn/HaChau-ctcp-ha-chau.htm" TargetMode="External"/><Relationship Id="rId1219" Type="http://schemas.openxmlformats.org/officeDocument/2006/relationships/hyperlink" Target="https://finance.vietstock.vn/Inconess-ctcp-dich-vu-ho-tro-doanh-nghiep-va-tu-van-dau-tu.htm" TargetMode="External"/><Relationship Id="rId1566" Type="http://schemas.openxmlformats.org/officeDocument/2006/relationships/hyperlink" Target="https://finance.vietstock.vn/Natraco-ctcp-thuong-mai-nghe-an.htm" TargetMode="External"/><Relationship Id="rId1773" Type="http://schemas.openxmlformats.org/officeDocument/2006/relationships/hyperlink" Target="https://finance.vietstock.vn/PIV-ctcp-piv.htm" TargetMode="External"/><Relationship Id="rId1980" Type="http://schemas.openxmlformats.org/officeDocument/2006/relationships/hyperlink" Target="https://finance.vietstock.vn/SAM-ctcp-sam-holdings.htm" TargetMode="External"/><Relationship Id="rId2617" Type="http://schemas.openxmlformats.org/officeDocument/2006/relationships/hyperlink" Target="https://finance.vietstock.vn/VIC-tap-doan-vingroup-ctcp.htm" TargetMode="External"/><Relationship Id="rId2824" Type="http://schemas.openxmlformats.org/officeDocument/2006/relationships/hyperlink" Target="https://finance.vietstock.vn/VVF-cong-tai-chinh-co-phan-vinaconex-viettel.htm" TargetMode="External"/><Relationship Id="rId65" Type="http://schemas.openxmlformats.org/officeDocument/2006/relationships/hyperlink" Target="https://finance.vietstock.vn/ALS-ctcp-logistics-hang-khong.htm" TargetMode="External"/><Relationship Id="rId1426" Type="http://schemas.openxmlformats.org/officeDocument/2006/relationships/hyperlink" Target="https://finance.vietstock.vn/MAFEQI-quy-dau-tu-co-phieu-manulife.htm" TargetMode="External"/><Relationship Id="rId1633" Type="http://schemas.openxmlformats.org/officeDocument/2006/relationships/hyperlink" Target="https://finance.vietstock.vn/NPH-ctcp-khach-san-buu-dien-nha-trang.htm" TargetMode="External"/><Relationship Id="rId1840" Type="http://schemas.openxmlformats.org/officeDocument/2006/relationships/hyperlink" Target="https://finance.vietstock.vn/PTG-ctcp-may-xuat-khau-phan-thiet.htm" TargetMode="External"/><Relationship Id="rId1700" Type="http://schemas.openxmlformats.org/officeDocument/2006/relationships/hyperlink" Target="https://finance.vietstock.vn/PAN-ctcp-tap-doan-pan.htm" TargetMode="External"/><Relationship Id="rId379" Type="http://schemas.openxmlformats.org/officeDocument/2006/relationships/hyperlink" Target="https://finance.vietstock.vn/CHC-ctcp-cam-ha.htm" TargetMode="External"/><Relationship Id="rId586" Type="http://schemas.openxmlformats.org/officeDocument/2006/relationships/hyperlink" Target="https://finance.vietstock.vn/DHA-ctcp-hoa-an.htm" TargetMode="External"/><Relationship Id="rId793" Type="http://schemas.openxmlformats.org/officeDocument/2006/relationships/hyperlink" Target="https://finance.vietstock.vn/FCM-ctcp-be-tong-phan-vu-ha-nam.htm" TargetMode="External"/><Relationship Id="rId2267" Type="http://schemas.openxmlformats.org/officeDocument/2006/relationships/hyperlink" Target="https://finance.vietstock.vn/TCR-ctcp-cong-nghiep-gom-su-taicera.htm" TargetMode="External"/><Relationship Id="rId2474" Type="http://schemas.openxmlformats.org/officeDocument/2006/relationships/hyperlink" Target="https://finance.vietstock.vn/TVB-ctcp-chung-khoan-t-cap.htm" TargetMode="External"/><Relationship Id="rId2681" Type="http://schemas.openxmlformats.org/officeDocument/2006/relationships/hyperlink" Target="https://finance.vietstock.vn/Vineco5-ctcp-xay-dung-dien-vneco-5.htm" TargetMode="External"/><Relationship Id="rId239" Type="http://schemas.openxmlformats.org/officeDocument/2006/relationships/hyperlink" Target="https://finance.vietstock.vn/BPC-ctcp-vicem-bao-bi-bim-son.htm" TargetMode="External"/><Relationship Id="rId446" Type="http://schemas.openxmlformats.org/officeDocument/2006/relationships/hyperlink" Target="https://finance.vietstock.vn/CO122-ctcp-xay-dung-va-dau-tu-122-cienco-1.htm" TargetMode="External"/><Relationship Id="rId653" Type="http://schemas.openxmlformats.org/officeDocument/2006/relationships/hyperlink" Target="https://finance.vietstock.vn/DongTauAnPhu-ctcp-dong-tau-an-phu.htm" TargetMode="External"/><Relationship Id="rId1076" Type="http://schemas.openxmlformats.org/officeDocument/2006/relationships/hyperlink" Target="https://finance.vietstock.vn/HNF-ctcp-thuc-pham-huu-nghi.htm" TargetMode="External"/><Relationship Id="rId1283" Type="http://schemas.openxmlformats.org/officeDocument/2006/relationships/hyperlink" Target="https://finance.vietstock.vn/KhoaVietTiep-ctcp-khoa-viet-tiep.htm" TargetMode="External"/><Relationship Id="rId1490" Type="http://schemas.openxmlformats.org/officeDocument/2006/relationships/hyperlink" Target="https://finance.vietstock.vn/MiaDuongNongCong-ctcp-mia-duong-nong-cong.htm" TargetMode="External"/><Relationship Id="rId2127" Type="http://schemas.openxmlformats.org/officeDocument/2006/relationships/hyperlink" Target="https://finance.vietstock.vn/SocTrang-ctcp-thuy-san-soc-trang.htm" TargetMode="External"/><Relationship Id="rId2334" Type="http://schemas.openxmlformats.org/officeDocument/2006/relationships/hyperlink" Target="https://finance.vietstock.vn/THT-ctcp-than-ha-tu-vinacomin.htm" TargetMode="External"/><Relationship Id="rId306" Type="http://schemas.openxmlformats.org/officeDocument/2006/relationships/hyperlink" Target="https://finance.vietstock.vn/C92-ctcp-xay-dung-va-dau-tu-492.htm" TargetMode="External"/><Relationship Id="rId860" Type="http://schemas.openxmlformats.org/officeDocument/2006/relationships/hyperlink" Target="https://finance.vietstock.vn/GCC-ctcp-van-hoa-tong-hop-ben-thanh.htm" TargetMode="External"/><Relationship Id="rId1143" Type="http://schemas.openxmlformats.org/officeDocument/2006/relationships/hyperlink" Target="https://finance.vietstock.vn/HTK-ctcp-dang-kiem-xe-co-gioi-hai-duong.htm" TargetMode="External"/><Relationship Id="rId2541" Type="http://schemas.openxmlformats.org/officeDocument/2006/relationships/hyperlink" Target="https://finance.vietstock.vn/VCB-ngan-hang-tmcp-ngoai-thuong-viet-nam.htm" TargetMode="External"/><Relationship Id="rId513" Type="http://schemas.openxmlformats.org/officeDocument/2006/relationships/hyperlink" Target="https://finance.vietstock.vn/CVC-ctcp-co-dien-vat-tu.htm" TargetMode="External"/><Relationship Id="rId720" Type="http://schemas.openxmlformats.org/officeDocument/2006/relationships/hyperlink" Target="https://finance.vietstock.vn/DuocYenBai-ctcp-duoc-pham-yen-bai.htm" TargetMode="External"/><Relationship Id="rId1350" Type="http://schemas.openxmlformats.org/officeDocument/2006/relationships/hyperlink" Target="https://finance.vietstock.vn/LAF-ctcp-che-bien-hang-xuat-khau-long-an.htm" TargetMode="External"/><Relationship Id="rId2401" Type="http://schemas.openxmlformats.org/officeDocument/2006/relationships/hyperlink" Target="https://finance.vietstock.vn/Todimax-ctcp-dien-may-thanh-pho-ho-chi-minh.htm" TargetMode="External"/><Relationship Id="rId1003" Type="http://schemas.openxmlformats.org/officeDocument/2006/relationships/hyperlink" Target="https://finance.vietstock.vn/HDM-ctcp-det-may-hue.htm" TargetMode="External"/><Relationship Id="rId1210" Type="http://schemas.openxmlformats.org/officeDocument/2006/relationships/hyperlink" Target="https://finance.vietstock.vn/ILB-ctcp-icd-tan-cang-long-binh.htm" TargetMode="External"/><Relationship Id="rId2191" Type="http://schemas.openxmlformats.org/officeDocument/2006/relationships/hyperlink" Target="https://finance.vietstock.vn/SUM-ctcp-do-dac-va-khoang-san.htm" TargetMode="External"/><Relationship Id="rId163" Type="http://schemas.openxmlformats.org/officeDocument/2006/relationships/hyperlink" Target="https://finance.vietstock.vn/BDMienTrung-ctcp-xay-lap-buu-dien-mien-trung.htm" TargetMode="External"/><Relationship Id="rId370" Type="http://schemas.openxmlformats.org/officeDocument/2006/relationships/hyperlink" Target="https://finance.vietstock.vn/CEO-ctcp-tap-doan-c-e-o.htm" TargetMode="External"/><Relationship Id="rId2051" Type="http://schemas.openxmlformats.org/officeDocument/2006/relationships/hyperlink" Target="https://finance.vietstock.vn/SeASecurities-ctcp-chung-khoan-asean.htm" TargetMode="External"/><Relationship Id="rId230" Type="http://schemas.openxmlformats.org/officeDocument/2006/relationships/hyperlink" Target="https://finance.vietstock.vn/BMN-ctcp-715.htm" TargetMode="External"/><Relationship Id="rId2868" Type="http://schemas.openxmlformats.org/officeDocument/2006/relationships/hyperlink" Target="https://finance.vietstock.vn/XMTuyenQuang-ctcp-xi-mang-tuyen-quang.htm" TargetMode="External"/><Relationship Id="rId1677" Type="http://schemas.openxmlformats.org/officeDocument/2006/relationships/hyperlink" Target="https://finance.vietstock.vn/OCBS-ctcp-chung-khoan-ocbs.htm" TargetMode="External"/><Relationship Id="rId1884" Type="http://schemas.openxmlformats.org/officeDocument/2006/relationships/hyperlink" Target="https://finance.vietstock.vn/PVY-ctcp-che-tao-gian-khoan-dau-khi.htm" TargetMode="External"/><Relationship Id="rId2728" Type="http://schemas.openxmlformats.org/officeDocument/2006/relationships/hyperlink" Target="https://finance.vietstock.vn/VMT-ctcp-giao-nhan-van-tai-mien-trung.htm" TargetMode="External"/><Relationship Id="rId907" Type="http://schemas.openxmlformats.org/officeDocument/2006/relationships/hyperlink" Target="https://finance.vietstock.vn/GLW-ctcp-cap-thoat-nuoc-gia-lai.htm" TargetMode="External"/><Relationship Id="rId1537" Type="http://schemas.openxmlformats.org/officeDocument/2006/relationships/hyperlink" Target="https://finance.vietstock.vn/MTM-ctcp-mo-va-xuat-nhap-khau-khoang-san-mien-trung.htm" TargetMode="External"/><Relationship Id="rId1744" Type="http://schemas.openxmlformats.org/officeDocument/2006/relationships/hyperlink" Target="https://finance.vietstock.vn/PGV-tong-cong-ty-phat-dien-3-ctcp.htm" TargetMode="External"/><Relationship Id="rId1951" Type="http://schemas.openxmlformats.org/officeDocument/2006/relationships/hyperlink" Target="https://finance.vietstock.vn/S33-ctcp-mia-duong-333.htm" TargetMode="External"/><Relationship Id="rId36" Type="http://schemas.openxmlformats.org/officeDocument/2006/relationships/hyperlink" Target="https://finance.vietstock.vn/ADG-ctcp-clever-group.htm" TargetMode="External"/><Relationship Id="rId1604" Type="http://schemas.openxmlformats.org/officeDocument/2006/relationships/hyperlink" Target="https://finance.vietstock.vn/NHH-ctcp-nhua-ha-noi.htm" TargetMode="External"/><Relationship Id="rId1811" Type="http://schemas.openxmlformats.org/officeDocument/2006/relationships/hyperlink" Target="https://finance.vietstock.vn/PPG-ctcp-san-xuat-thuong-mai-dich-vu-phu-phong.htm" TargetMode="External"/><Relationship Id="rId697" Type="http://schemas.openxmlformats.org/officeDocument/2006/relationships/hyperlink" Target="https://finance.vietstock.vn/DTI-ctcp-dau-tu-duc-trung.htm" TargetMode="External"/><Relationship Id="rId2378" Type="http://schemas.openxmlformats.org/officeDocument/2006/relationships/hyperlink" Target="https://finance.vietstock.vn/TMQN-ctcp-thuong-mai-quang-ninh.htm" TargetMode="External"/><Relationship Id="rId1187" Type="http://schemas.openxmlformats.org/officeDocument/2006/relationships/hyperlink" Target="https://finance.vietstock.vn/ICG-ctcp-xay-dung-song-hong.htm" TargetMode="External"/><Relationship Id="rId2585" Type="http://schemas.openxmlformats.org/officeDocument/2006/relationships/hyperlink" Target="https://finance.vietstock.vn/Vemedim-ctcp-san-xuat-kinh-doanh-vat-tu-va-thuoc-thu-y.htm" TargetMode="External"/><Relationship Id="rId2792" Type="http://schemas.openxmlformats.org/officeDocument/2006/relationships/hyperlink" Target="https://finance.vietstock.vn/VT8-ctcp-dich-vu-van-tai-o-to-so-8.htm" TargetMode="External"/><Relationship Id="rId557" Type="http://schemas.openxmlformats.org/officeDocument/2006/relationships/hyperlink" Target="https://finance.vietstock.vn/DCC-ctcp-xay-dung-cong-nghiep-descon.htm" TargetMode="External"/><Relationship Id="rId764" Type="http://schemas.openxmlformats.org/officeDocument/2006/relationships/hyperlink" Target="https://finance.vietstock.vn/EID-ctcp-dau-tu-va-phat-trien-giao-duc-ha-noi.htm" TargetMode="External"/><Relationship Id="rId971" Type="http://schemas.openxmlformats.org/officeDocument/2006/relationships/hyperlink" Target="https://finance.vietstock.vn/HaTienKienGiang-ctcp-xi-mang-ha-tien-kien-giang.htm" TargetMode="External"/><Relationship Id="rId1394" Type="http://schemas.openxmlformats.org/officeDocument/2006/relationships/hyperlink" Target="https://finance.vietstock.vn/LLM-tong-cong-ty-lap-may-viet-nam-ctcp.htm" TargetMode="External"/><Relationship Id="rId2238" Type="http://schemas.openxmlformats.org/officeDocument/2006/relationships/hyperlink" Target="https://finance.vietstock.vn/TARCO-ctcp-dang-kiem-xe-co-gioi-tay-ninh.htm" TargetMode="External"/><Relationship Id="rId2445" Type="http://schemas.openxmlformats.org/officeDocument/2006/relationships/hyperlink" Target="https://finance.vietstock.vn/TST-ctcp-dich-vu-ky-thuat-vien-thong.htm" TargetMode="External"/><Relationship Id="rId2652" Type="http://schemas.openxmlformats.org/officeDocument/2006/relationships/hyperlink" Target="https://finance.vietstock.vn/VIM-ctcp-khoang-san-viglacera.htm" TargetMode="External"/><Relationship Id="rId417" Type="http://schemas.openxmlformats.org/officeDocument/2006/relationships/hyperlink" Target="https://finance.vietstock.vn/CLG-ctcp-dau-tu-va-phat-trien-nha-dat-cotec.htm" TargetMode="External"/><Relationship Id="rId624" Type="http://schemas.openxmlformats.org/officeDocument/2006/relationships/hyperlink" Target="https://finance.vietstock.vn/DMH-ctcp-duoc-minh-hai.htm" TargetMode="External"/><Relationship Id="rId831" Type="http://schemas.openxmlformats.org/officeDocument/2006/relationships/hyperlink" Target="https://finance.vietstock.vn/FUCTVGF3-quy-dau-tu-tang-truong-thien-viet-3.htm" TargetMode="External"/><Relationship Id="rId1047" Type="http://schemas.openxmlformats.org/officeDocument/2006/relationships/hyperlink" Target="https://finance.vietstock.vn/HJC-ctcp-hoa-viet.htm" TargetMode="External"/><Relationship Id="rId1254" Type="http://schemas.openxmlformats.org/officeDocument/2006/relationships/hyperlink" Target="https://finance.vietstock.vn/JVC-ctcp-dau-tu-y-te-duoc-pham-viet-nam.htm" TargetMode="External"/><Relationship Id="rId1461" Type="http://schemas.openxmlformats.org/officeDocument/2006/relationships/hyperlink" Target="https://finance.vietstock.vn/MDA-ctcp-moi-truong-do-thi-dong-anh.htm" TargetMode="External"/><Relationship Id="rId2305" Type="http://schemas.openxmlformats.org/officeDocument/2006/relationships/hyperlink" Target="https://finance.vietstock.vn/ThanhBinh-ctcp-thanh-binh.htm" TargetMode="External"/><Relationship Id="rId2512" Type="http://schemas.openxmlformats.org/officeDocument/2006/relationships/hyperlink" Target="https://finance.vietstock.vn/V12-ctcp-xay-dung-so-12.htm" TargetMode="External"/><Relationship Id="rId1114" Type="http://schemas.openxmlformats.org/officeDocument/2006/relationships/hyperlink" Target="https://finance.vietstock.vn/HPT-ctcp-dich-vu-cong-nghe-tin-hoc-hpt.htm" TargetMode="External"/><Relationship Id="rId1321" Type="http://schemas.openxmlformats.org/officeDocument/2006/relationships/hyperlink" Target="https://finance.vietstock.vn/KSH-ctcp-damac-gls.htm" TargetMode="External"/><Relationship Id="rId2095" Type="http://schemas.openxmlformats.org/officeDocument/2006/relationships/hyperlink" Target="https://finance.vietstock.vn/SII-ctcp-ha-tang-nuoc-sai-gon.htm" TargetMode="External"/><Relationship Id="rId274" Type="http://schemas.openxmlformats.org/officeDocument/2006/relationships/hyperlink" Target="https://finance.vietstock.vn/BTT-ctcp-thuong-mai-dich-vu-ben-thanh.htm" TargetMode="External"/><Relationship Id="rId481" Type="http://schemas.openxmlformats.org/officeDocument/2006/relationships/hyperlink" Target="https://finance.vietstock.vn/CRE-ctcp-bat-dong-san-the-ky.htm" TargetMode="External"/><Relationship Id="rId2162" Type="http://schemas.openxmlformats.org/officeDocument/2006/relationships/hyperlink" Target="https://finance.vietstock.vn/SSC-ctcp-giong-cay-trong-mien-nam.htm" TargetMode="External"/><Relationship Id="rId134" Type="http://schemas.openxmlformats.org/officeDocument/2006/relationships/hyperlink" Target="https://finance.vietstock.vn/BaoVietBank-ngan-hang-tmcp-bao-viet.htm" TargetMode="External"/><Relationship Id="rId341" Type="http://schemas.openxmlformats.org/officeDocument/2006/relationships/hyperlink" Target="https://finance.vietstock.vn/CBS-ctcp-mia-duong-cao-bang.htm" TargetMode="External"/><Relationship Id="rId2022" Type="http://schemas.openxmlformats.org/officeDocument/2006/relationships/hyperlink" Target="https://finance.vietstock.vn/SD3-ctcp-song-da-3.htm" TargetMode="External"/><Relationship Id="rId201" Type="http://schemas.openxmlformats.org/officeDocument/2006/relationships/hyperlink" Target="https://finance.vietstock.vn/BIG-ctcp-dau-tu-big-group-holdings.htm" TargetMode="External"/><Relationship Id="rId1788" Type="http://schemas.openxmlformats.org/officeDocument/2006/relationships/hyperlink" Target="https://finance.vietstock.vn/PMG-ctcp-dau-tu-va-san-xuat-petro-mien-trung.htm" TargetMode="External"/><Relationship Id="rId1995" Type="http://schemas.openxmlformats.org/officeDocument/2006/relationships/hyperlink" Target="https://finance.vietstock.vn/SBIC-tong-cong-ty-cong-nghiep-tau-thuy.htm" TargetMode="External"/><Relationship Id="rId2839" Type="http://schemas.openxmlformats.org/officeDocument/2006/relationships/hyperlink" Target="https://finance.vietstock.vn/X26-ctcp-26.htm" TargetMode="External"/><Relationship Id="rId1648" Type="http://schemas.openxmlformats.org/officeDocument/2006/relationships/hyperlink" Target="https://finance.vietstock.vn/NSP-ctcp-nhua-sam-phu.htm" TargetMode="External"/><Relationship Id="rId1508" Type="http://schemas.openxmlformats.org/officeDocument/2006/relationships/hyperlink" Target="https://finance.vietstock.vn/MLG-ctcp-tap-doan-mai-linh.htm" TargetMode="External"/><Relationship Id="rId1855" Type="http://schemas.openxmlformats.org/officeDocument/2006/relationships/hyperlink" Target="https://finance.vietstock.vn/PV2-ctcp-dau-tu-pv2.htm" TargetMode="External"/><Relationship Id="rId1715" Type="http://schemas.openxmlformats.org/officeDocument/2006/relationships/hyperlink" Target="https://finance.vietstock.vn/PCH-ctcp-nhua-picomat.htm" TargetMode="External"/><Relationship Id="rId1922" Type="http://schemas.openxmlformats.org/officeDocument/2006/relationships/hyperlink" Target="https://finance.vietstock.vn/RAT-ctcp-van-tai-va-thuong-mai-duong-sat.htm" TargetMode="External"/><Relationship Id="rId2489" Type="http://schemas.openxmlformats.org/officeDocument/2006/relationships/hyperlink" Target="https://finance.vietstock.vn/TW3-ctcp-duoc-trung-uong-3.htm" TargetMode="External"/><Relationship Id="rId2696" Type="http://schemas.openxmlformats.org/officeDocument/2006/relationships/hyperlink" Target="https://finance.vietstock.vn/VISECO-ctcp-chung-khoan-viet.htm" TargetMode="External"/><Relationship Id="rId668" Type="http://schemas.openxmlformats.org/officeDocument/2006/relationships/hyperlink" Target="https://finance.vietstock.vn/DPR-ctcp-cao-su-dong-phu.htm" TargetMode="External"/><Relationship Id="rId875" Type="http://schemas.openxmlformats.org/officeDocument/2006/relationships/hyperlink" Target="https://finance.vietstock.vn/Generalimex-ctcp-xuat-nhap-khau-tong-hop-ii.htm" TargetMode="External"/><Relationship Id="rId1298" Type="http://schemas.openxmlformats.org/officeDocument/2006/relationships/hyperlink" Target="https://finance.vietstock.vn/KimTuThap-ctcp-cong-nghe-moi-kim-tu-thap-viet-nam.htm" TargetMode="External"/><Relationship Id="rId2349" Type="http://schemas.openxmlformats.org/officeDocument/2006/relationships/hyperlink" Target="https://finance.vietstock.vn/TIP-ctcp-phat-trien-khu-cong-nghiep-tin-nghia.htm" TargetMode="External"/><Relationship Id="rId2556" Type="http://schemas.openxmlformats.org/officeDocument/2006/relationships/hyperlink" Target="https://finance.vietstock.vn/VCS-ctcp-vicostone.htm" TargetMode="External"/><Relationship Id="rId2763" Type="http://schemas.openxmlformats.org/officeDocument/2006/relationships/hyperlink" Target="https://finance.vietstock.vn/VPI-ctcp-phat-trien-bat-dong-san-van-phu.htm" TargetMode="External"/><Relationship Id="rId528" Type="http://schemas.openxmlformats.org/officeDocument/2006/relationships/hyperlink" Target="https://finance.vietstock.vn/DaBinhDinh-ctcp-vrg-da-binh-dinh.htm" TargetMode="External"/><Relationship Id="rId735" Type="http://schemas.openxmlformats.org/officeDocument/2006/relationships/hyperlink" Target="https://finance.vietstock.vn/DVSC-ctcp-chung-khoan-dai-viet.htm" TargetMode="External"/><Relationship Id="rId942" Type="http://schemas.openxmlformats.org/officeDocument/2006/relationships/hyperlink" Target="https://finance.vietstock.vn/HAG-ctcp-hoang-anh-gia-lai.htm" TargetMode="External"/><Relationship Id="rId1158" Type="http://schemas.openxmlformats.org/officeDocument/2006/relationships/hyperlink" Target="https://finance.vietstock.vn/HUB-ctcp-xay-lap-thua-thien-hue.htm" TargetMode="External"/><Relationship Id="rId1365" Type="http://schemas.openxmlformats.org/officeDocument/2006/relationships/hyperlink" Target="https://finance.vietstock.vn/LCG-ctcp-lizen.htm" TargetMode="External"/><Relationship Id="rId1572" Type="http://schemas.openxmlformats.org/officeDocument/2006/relationships/hyperlink" Target="https://finance.vietstock.vn/NBE-ctcp-sach-va-thiet-bi-giao-duc-mien-bac.htm" TargetMode="External"/><Relationship Id="rId2209" Type="http://schemas.openxmlformats.org/officeDocument/2006/relationships/hyperlink" Target="https://finance.vietstock.vn/SZE-ctcp-moi-truong-sonadezi.htm" TargetMode="External"/><Relationship Id="rId2416" Type="http://schemas.openxmlformats.org/officeDocument/2006/relationships/hyperlink" Target="https://finance.vietstock.vn/TR1-ctcp-van-tai-1-traco.htm" TargetMode="External"/><Relationship Id="rId2623" Type="http://schemas.openxmlformats.org/officeDocument/2006/relationships/hyperlink" Target="https://finance.vietstock.vn/VIE-ctcp-cong-nghe-vien-thong-viteco.htm" TargetMode="External"/><Relationship Id="rId1018" Type="http://schemas.openxmlformats.org/officeDocument/2006/relationships/hyperlink" Target="https://finance.vietstock.vn/HFS-ctcp-thuong-mai-dich-vu-thoi-trang-ha-noi.htm" TargetMode="External"/><Relationship Id="rId1225" Type="http://schemas.openxmlformats.org/officeDocument/2006/relationships/hyperlink" Target="https://finance.vietstock.vn/InSaiGon-ctcp-thuong-mai-dich-vu-quang-cao-in-sai-gon.htm" TargetMode="External"/><Relationship Id="rId1432" Type="http://schemas.openxmlformats.org/officeDocument/2006/relationships/hyperlink" Target="https://finance.vietstock.vn/MaySaiGon2-ctcp-may-sai-gon-2.htm" TargetMode="External"/><Relationship Id="rId2830" Type="http://schemas.openxmlformats.org/officeDocument/2006/relationships/hyperlink" Target="https://finance.vietstock.vn/VXP-ctcp-thuoc-thu-y-trung-uong-vetvaco.htm" TargetMode="External"/><Relationship Id="rId71" Type="http://schemas.openxmlformats.org/officeDocument/2006/relationships/hyperlink" Target="https://finance.vietstock.vn/AMIC-ctcp-dau-tu-amic.htm" TargetMode="External"/><Relationship Id="rId802" Type="http://schemas.openxmlformats.org/officeDocument/2006/relationships/hyperlink" Target="https://finance.vietstock.vn/FHS-ctcp-phat-hanh-sach-thanh-pho-ho-chi-minh.htm" TargetMode="External"/><Relationship Id="rId178" Type="http://schemas.openxmlformats.org/officeDocument/2006/relationships/hyperlink" Target="https://finance.vietstock.vn/BFC-ctcp-phan-bon-binh-dien.htm" TargetMode="External"/><Relationship Id="rId385" Type="http://schemas.openxmlformats.org/officeDocument/2006/relationships/hyperlink" Target="https://finance.vietstock.vn/CHULAIQN-ctcp-dau-tu-va-phat-trien-ky-ha-chu-lai-quang-nam.htm" TargetMode="External"/><Relationship Id="rId592" Type="http://schemas.openxmlformats.org/officeDocument/2006/relationships/hyperlink" Target="https://finance.vietstock.vn/DHN-ctcp-duoc-pham-ha-noi.htm" TargetMode="External"/><Relationship Id="rId2066" Type="http://schemas.openxmlformats.org/officeDocument/2006/relationships/hyperlink" Target="https://finance.vietstock.vn/SGDiamond-ctcp-sai-gon-kim-cuong.htm" TargetMode="External"/><Relationship Id="rId2273" Type="http://schemas.openxmlformats.org/officeDocument/2006/relationships/hyperlink" Target="https://finance.vietstock.vn/TDB-ctcp-thuy-dien-dinh-binh.htm" TargetMode="External"/><Relationship Id="rId2480" Type="http://schemas.openxmlformats.org/officeDocument/2006/relationships/hyperlink" Target="https://finance.vietstock.vn/TVI-ctcp-dau-tu-truyen-hinh.htm" TargetMode="External"/><Relationship Id="rId245" Type="http://schemas.openxmlformats.org/officeDocument/2006/relationships/hyperlink" Target="https://finance.vietstock.vn/Britec-ctcp-tu-van-thiet-ke-cau-lon-ham.htm" TargetMode="External"/><Relationship Id="rId452" Type="http://schemas.openxmlformats.org/officeDocument/2006/relationships/hyperlink" Target="https://finance.vietstock.vn/CongNgheCao-ctcp-cong-nghe-cao.htm" TargetMode="External"/><Relationship Id="rId1082" Type="http://schemas.openxmlformats.org/officeDocument/2006/relationships/hyperlink" Target="https://finance.vietstock.vn/HNR-ctcp-ruou-va-nuoc-giai-khat-ha-noi.htm" TargetMode="External"/><Relationship Id="rId2133" Type="http://schemas.openxmlformats.org/officeDocument/2006/relationships/hyperlink" Target="https://finance.vietstock.vn/SongDa-ctcp-vat-lieu-xay-dung-song-da.htm" TargetMode="External"/><Relationship Id="rId2340" Type="http://schemas.openxmlformats.org/officeDocument/2006/relationships/hyperlink" Target="https://finance.vietstock.vn/THW-ctcp-cap-nuoc-tan-hoa.htm" TargetMode="External"/><Relationship Id="rId105" Type="http://schemas.openxmlformats.org/officeDocument/2006/relationships/hyperlink" Target="https://finance.vietstock.vn/ASIACorp-ctcp-chau-a.htm" TargetMode="External"/><Relationship Id="rId312" Type="http://schemas.openxmlformats.org/officeDocument/2006/relationships/hyperlink" Target="https://finance.vietstock.vn/CAG-ctcp-cang-an-giang.htm" TargetMode="External"/><Relationship Id="rId2200" Type="http://schemas.openxmlformats.org/officeDocument/2006/relationships/hyperlink" Target="https://finance.vietstock.vn/SVI-ctcp-bao-bi-bien-hoa.htm" TargetMode="External"/><Relationship Id="rId1899" Type="http://schemas.openxmlformats.org/officeDocument/2006/relationships/hyperlink" Target="https://finance.vietstock.vn/QBS-ctcp-xuat-nhap-khau-quang-binh.htm" TargetMode="External"/><Relationship Id="rId1759" Type="http://schemas.openxmlformats.org/officeDocument/2006/relationships/hyperlink" Target="https://finance.vietstock.vn/PHUMYOIL-ctcp-san-xuat-va-che-bien-dau-khi-phu-my.htm" TargetMode="External"/><Relationship Id="rId1966" Type="http://schemas.openxmlformats.org/officeDocument/2006/relationships/hyperlink" Target="https://finance.vietstock.vn/SachThanhHoa-ctcp-sach-va-thiet-bi-truong-hoc-thanh-hoa.htm" TargetMode="External"/><Relationship Id="rId1619" Type="http://schemas.openxmlformats.org/officeDocument/2006/relationships/hyperlink" Target="https://finance.vietstock.vn/NKG-ctcp-thep-nam-kim.htm" TargetMode="External"/><Relationship Id="rId1826" Type="http://schemas.openxmlformats.org/officeDocument/2006/relationships/hyperlink" Target="https://finance.vietstock.vn/PSC-ctcp-van-tai-va-dich-vu-petrolimex-sai-gon.htm" TargetMode="External"/><Relationship Id="rId779" Type="http://schemas.openxmlformats.org/officeDocument/2006/relationships/hyperlink" Target="https://finance.vietstock.vn/EVF-cong-ty-tai-chinh-tong-hop-co-phan-dien-luc.htm" TargetMode="External"/><Relationship Id="rId986" Type="http://schemas.openxmlformats.org/officeDocument/2006/relationships/hyperlink" Target="https://finance.vietstock.vn/HCD-ctcp-dau-tu-san-xuat-va-thuong-mai-hcd.htm" TargetMode="External"/><Relationship Id="rId2667" Type="http://schemas.openxmlformats.org/officeDocument/2006/relationships/hyperlink" Target="https://finance.vietstock.vn/VinafoodHD-ctcp-vinafood-1-hai-duong.htm" TargetMode="External"/><Relationship Id="rId639" Type="http://schemas.openxmlformats.org/officeDocument/2006/relationships/hyperlink" Target="https://finance.vietstock.vn/DNN-ctcp-cap-nuoc-da-nang.htm" TargetMode="External"/><Relationship Id="rId1269" Type="http://schemas.openxmlformats.org/officeDocument/2006/relationships/hyperlink" Target="https://finance.vietstock.vn/KGM-ctcp-xuat-nhap-khau-kien-giang.htm" TargetMode="External"/><Relationship Id="rId1476" Type="http://schemas.openxmlformats.org/officeDocument/2006/relationships/hyperlink" Target="https://finance.vietstock.vn/MEKONIMEX-ctcp-nong-san-thuc-pham-xuat-khau-can-tho.htm" TargetMode="External"/><Relationship Id="rId2874" Type="http://schemas.openxmlformats.org/officeDocument/2006/relationships/hyperlink" Target="https://finance.vietstock.vn/XuatKhauLongAn-ctcp-may-xuat-khau-long-an.htm" TargetMode="External"/><Relationship Id="rId846" Type="http://schemas.openxmlformats.org/officeDocument/2006/relationships/hyperlink" Target="https://finance.vietstock.vn/FUESSV50-quy-etf-ssiam-vnx50.htm" TargetMode="External"/><Relationship Id="rId1129" Type="http://schemas.openxmlformats.org/officeDocument/2006/relationships/hyperlink" Target="https://finance.vietstock.vn/HSL-ctcp-dau-tu-phat-trien-thuc-pham-hong-ha.htm" TargetMode="External"/><Relationship Id="rId1683" Type="http://schemas.openxmlformats.org/officeDocument/2006/relationships/hyperlink" Target="https://finance.vietstock.vn/OMC-ctcp-quan-ly-quy-dau-tu-lighthouse.htm" TargetMode="External"/><Relationship Id="rId1890" Type="http://schemas.openxmlformats.org/officeDocument/2006/relationships/hyperlink" Target="https://finance.vietstock.vn/PXH-ctcp-xay-lap-dau-khi-ha-noi.htm" TargetMode="External"/><Relationship Id="rId2527" Type="http://schemas.openxmlformats.org/officeDocument/2006/relationships/hyperlink" Target="https://finance.vietstock.vn/VBB-ngan-hang-tmcp-viet-nam-thuong-tin.htm" TargetMode="External"/><Relationship Id="rId2734" Type="http://schemas.openxmlformats.org/officeDocument/2006/relationships/hyperlink" Target="https://finance.vietstock.vn/VNE-tong-cong-ty-co-phan-xay-dung-dien-viet-nam.htm" TargetMode="External"/><Relationship Id="rId706" Type="http://schemas.openxmlformats.org/officeDocument/2006/relationships/hyperlink" Target="https://finance.vietstock.vn/DucTanLong-ctcp-duc-tan-long-constrexim.htm" TargetMode="External"/><Relationship Id="rId913" Type="http://schemas.openxmlformats.org/officeDocument/2006/relationships/hyperlink" Target="https://finance.vietstock.vn/GND-ctcp-gach-ngoi-dong-nai.htm" TargetMode="External"/><Relationship Id="rId1336" Type="http://schemas.openxmlformats.org/officeDocument/2006/relationships/hyperlink" Target="https://finance.vietstock.vn/KWA-ctcp-cap-thoat-nuoc-va-moi-truong-kien-tuong.htm" TargetMode="External"/><Relationship Id="rId1543" Type="http://schemas.openxmlformats.org/officeDocument/2006/relationships/hyperlink" Target="https://finance.vietstock.vn/MVC-ctcp-vat-lieu-va-xay-dung-binh-duong.htm" TargetMode="External"/><Relationship Id="rId1750" Type="http://schemas.openxmlformats.org/officeDocument/2006/relationships/hyperlink" Target="https://finance.vietstock.vn/PhimGiaiPhong-ctcp-phim-giai-phong.htm" TargetMode="External"/><Relationship Id="rId2801" Type="http://schemas.openxmlformats.org/officeDocument/2006/relationships/hyperlink" Target="https://finance.vietstock.vn/VTG-ctcp-du-lich-tinh-ba-ria-vung-tau.htm" TargetMode="External"/><Relationship Id="rId42" Type="http://schemas.openxmlformats.org/officeDocument/2006/relationships/hyperlink" Target="https://finance.vietstock.vn/AG1-ctcp-28-1.htm" TargetMode="External"/><Relationship Id="rId1403" Type="http://schemas.openxmlformats.org/officeDocument/2006/relationships/hyperlink" Target="https://finance.vietstock.vn/LO5-ctcp-lilama-5.htm" TargetMode="External"/><Relationship Id="rId1610" Type="http://schemas.openxmlformats.org/officeDocument/2006/relationships/hyperlink" Target="https://finance.vietstock.vn/NHT-ctcp-san-xuat-va-thuong-mai-nam-hoa.htm" TargetMode="External"/><Relationship Id="rId289" Type="http://schemas.openxmlformats.org/officeDocument/2006/relationships/hyperlink" Target="https://finance.vietstock.vn/BVS-ctcp-chung-khoan-bao-viet.htm" TargetMode="External"/><Relationship Id="rId496" Type="http://schemas.openxmlformats.org/officeDocument/2006/relationships/hyperlink" Target="https://finance.vietstock.vn/CTCCorp-ctcp-do-thi-du-lich-can-gio.htm" TargetMode="External"/><Relationship Id="rId2177" Type="http://schemas.openxmlformats.org/officeDocument/2006/relationships/hyperlink" Target="https://finance.vietstock.vn/STD-ctcp-bia-nuoc-giai-khat-sai-gon-tay-do.htm" TargetMode="External"/><Relationship Id="rId2384" Type="http://schemas.openxmlformats.org/officeDocument/2006/relationships/hyperlink" Target="https://finance.vietstock.vn/TN1-ctcp-rox-key-holdings.htm" TargetMode="External"/><Relationship Id="rId2591" Type="http://schemas.openxmlformats.org/officeDocument/2006/relationships/hyperlink" Target="https://finance.vietstock.vn/VFMVF4-quy-dau-tu-co-phieu-tap-trung-co-tuc-dc.htm" TargetMode="External"/><Relationship Id="rId149" Type="http://schemas.openxmlformats.org/officeDocument/2006/relationships/hyperlink" Target="https://finance.vietstock.vn/BCB-ctcp-397.htm" TargetMode="External"/><Relationship Id="rId356" Type="http://schemas.openxmlformats.org/officeDocument/2006/relationships/hyperlink" Target="https://finance.vietstock.vn/CCV-ctcp-tu-van-xay-dung-cong-nghiep-va-do-thi-viet-nam.htm" TargetMode="External"/><Relationship Id="rId563" Type="http://schemas.openxmlformats.org/officeDocument/2006/relationships/hyperlink" Target="https://finance.vietstock.vn/DCM-ctcp-tong-cong-ty-phan-bon-dau-khi-ca-mau.htm" TargetMode="External"/><Relationship Id="rId770" Type="http://schemas.openxmlformats.org/officeDocument/2006/relationships/hyperlink" Target="https://finance.vietstock.vn/EMG-ctcp-thiet-bi-phu-tung-co-dien.htm" TargetMode="External"/><Relationship Id="rId1193" Type="http://schemas.openxmlformats.org/officeDocument/2006/relationships/hyperlink" Target="https://finance.vietstock.vn/ICT-ctcp-vien-thong-tin-hoc-buu-dien.htm" TargetMode="External"/><Relationship Id="rId2037" Type="http://schemas.openxmlformats.org/officeDocument/2006/relationships/hyperlink" Target="https://finance.vietstock.vn/SDJ-ctcp-song-da-25.htm" TargetMode="External"/><Relationship Id="rId2244" Type="http://schemas.openxmlformats.org/officeDocument/2006/relationships/hyperlink" Target="https://finance.vietstock.vn/TayHoHousing-ctcp-dau-tu-phat-trien-nha-va-xay-dung-tay-ho.htm" TargetMode="External"/><Relationship Id="rId2451" Type="http://schemas.openxmlformats.org/officeDocument/2006/relationships/hyperlink" Target="https://finance.vietstock.vn/TTD-ctcp-benh-vien-tim-tam-duc.htm" TargetMode="External"/><Relationship Id="rId216" Type="http://schemas.openxmlformats.org/officeDocument/2006/relationships/hyperlink" Target="https://finance.vietstock.vn/BLN-ctcp-van-tai-va-dich-vu-lien-ninh.htm" TargetMode="External"/><Relationship Id="rId423" Type="http://schemas.openxmlformats.org/officeDocument/2006/relationships/hyperlink" Target="https://finance.vietstock.vn/CLX-ctcp-xuat-nhap-khau-va-dau-tu-cho-lon-cholimex.htm" TargetMode="External"/><Relationship Id="rId1053" Type="http://schemas.openxmlformats.org/officeDocument/2006/relationships/hyperlink" Target="https://finance.vietstock.vn/HLA-ctcp-huu-lien-a-chau.htm" TargetMode="External"/><Relationship Id="rId1260" Type="http://schemas.openxmlformats.org/officeDocument/2006/relationships/hyperlink" Target="https://finance.vietstock.vn/KBE-ctcp-sach-thiet-bi-truong-hoc-kien-giang.htm" TargetMode="External"/><Relationship Id="rId2104" Type="http://schemas.openxmlformats.org/officeDocument/2006/relationships/hyperlink" Target="https://finance.vietstock.vn/SJF-ctcp-dau-tu-sao-thai-duong.htm" TargetMode="External"/><Relationship Id="rId630" Type="http://schemas.openxmlformats.org/officeDocument/2006/relationships/hyperlink" Target="https://finance.vietstock.vn/DNB-ctcp-sach-va-thiet-bi-truong-hoc-tinh-dak-nong.htm" TargetMode="External"/><Relationship Id="rId2311" Type="http://schemas.openxmlformats.org/officeDocument/2006/relationships/hyperlink" Target="https://finance.vietstock.vn/THB-ctcp-bia-ha-noi-thanh-hoa.htm" TargetMode="External"/><Relationship Id="rId1120" Type="http://schemas.openxmlformats.org/officeDocument/2006/relationships/hyperlink" Target="https://finance.vietstock.vn/HQM-ctcp-tu-van-thuong-mai-dich-vu-dia-oc-hoang-quan-me-kong.htm" TargetMode="External"/><Relationship Id="rId1937" Type="http://schemas.openxmlformats.org/officeDocument/2006/relationships/hyperlink" Target="https://finance.vietstock.vn/RHN-ctcp-duong-sat-ha-ninh.htm" TargetMode="External"/><Relationship Id="rId280" Type="http://schemas.openxmlformats.org/officeDocument/2006/relationships/hyperlink" Target="https://finance.vietstock.vn/BuuDienCM-ctcp-xay-lap-va-dich-vu-buu-dien-ca-mau.htm" TargetMode="External"/><Relationship Id="rId140" Type="http://schemas.openxmlformats.org/officeDocument/2006/relationships/hyperlink" Target="https://finance.vietstock.vn/BAV-ctcp-hang-khong-tre-viet.htm" TargetMode="External"/><Relationship Id="rId6" Type="http://schemas.openxmlformats.org/officeDocument/2006/relationships/hyperlink" Target="https://finance.vietstock.vn/AAH-ctcp-hop-nhat.htm" TargetMode="External"/><Relationship Id="rId2778" Type="http://schemas.openxmlformats.org/officeDocument/2006/relationships/hyperlink" Target="https://finance.vietstock.vn/VSC-ctcp-container-viet-nam.htm" TargetMode="External"/><Relationship Id="rId957" Type="http://schemas.openxmlformats.org/officeDocument/2006/relationships/hyperlink" Target="https://finance.vietstock.vn/HaNoiNonNuoc-ctcp-dau-tu-du-lich-ha-noi-non-nuoc.htm" TargetMode="External"/><Relationship Id="rId1587" Type="http://schemas.openxmlformats.org/officeDocument/2006/relationships/hyperlink" Target="https://finance.vietstock.vn/NDT-tong-cong-ty-co-phan-det-may-nam-dinh.htm" TargetMode="External"/><Relationship Id="rId1794" Type="http://schemas.openxmlformats.org/officeDocument/2006/relationships/hyperlink" Target="https://finance.vietstock.vn/PMW-ctcp-cap-nuoc-phu-my.htm" TargetMode="External"/><Relationship Id="rId2638" Type="http://schemas.openxmlformats.org/officeDocument/2006/relationships/hyperlink" Target="https://finance.vietstock.vn/VietY-ctcp-gach-graint-nam-dinh.htm" TargetMode="External"/><Relationship Id="rId2845" Type="http://schemas.openxmlformats.org/officeDocument/2006/relationships/hyperlink" Target="https://finance.vietstock.vn/XayDung40-ctcp-xay-dung-40.htm" TargetMode="External"/><Relationship Id="rId86" Type="http://schemas.openxmlformats.org/officeDocument/2006/relationships/hyperlink" Target="https://finance.vietstock.vn/API-ctcp-dau-tu-chau-a-thai-binh-duong.htm" TargetMode="External"/><Relationship Id="rId817" Type="http://schemas.openxmlformats.org/officeDocument/2006/relationships/hyperlink" Target="https://finance.vietstock.vn/FPT-ctcp-fpt.htm" TargetMode="External"/><Relationship Id="rId1447" Type="http://schemas.openxmlformats.org/officeDocument/2006/relationships/hyperlink" Target="https://finance.vietstock.vn/Mccons-ctcp-thi-cong-co-gioi-va-dich-vu.htm" TargetMode="External"/><Relationship Id="rId1654" Type="http://schemas.openxmlformats.org/officeDocument/2006/relationships/hyperlink" Target="https://finance.vietstock.vn/NTF-ctcp-duoc-vat-tu-y-te-nghe-an.htm" TargetMode="External"/><Relationship Id="rId1861" Type="http://schemas.openxmlformats.org/officeDocument/2006/relationships/hyperlink" Target="https://finance.vietstock.vn/PVcomBank-ngan-hang-tmcp-dai-chung-viet-nam.htm" TargetMode="External"/><Relationship Id="rId2705" Type="http://schemas.openxmlformats.org/officeDocument/2006/relationships/hyperlink" Target="https://finance.vietstock.vn/VJC-ctcp-hang-khong-vietjet.htm" TargetMode="External"/><Relationship Id="rId1307" Type="http://schemas.openxmlformats.org/officeDocument/2006/relationships/hyperlink" Target="https://finance.vietstock.vn/KLM-ctcp-kim-loai-mau-nghe-tinh.htm" TargetMode="External"/><Relationship Id="rId1514" Type="http://schemas.openxmlformats.org/officeDocument/2006/relationships/hyperlink" Target="https://finance.vietstock.vn/MOBITECHS-ctcp-dich-vu-ky-thuat-va-ha-tang-mang-thong-tin-di-dong.htm" TargetMode="External"/><Relationship Id="rId1721" Type="http://schemas.openxmlformats.org/officeDocument/2006/relationships/hyperlink" Target="https://finance.vietstock.vn/PDN-ctcp-cang-dong-nai.htm" TargetMode="External"/><Relationship Id="rId13" Type="http://schemas.openxmlformats.org/officeDocument/2006/relationships/hyperlink" Target="https://finance.vietstock.vn/ABC-ctcp-truyen-thong-vmg.htm" TargetMode="External"/><Relationship Id="rId2288" Type="http://schemas.openxmlformats.org/officeDocument/2006/relationships/hyperlink" Target="https://finance.vietstock.vn/Tecserco-ctcp-ky-thuat-thuong-mai-dich-vu-cang-sai-gon.htm" TargetMode="External"/><Relationship Id="rId2495" Type="http://schemas.openxmlformats.org/officeDocument/2006/relationships/hyperlink" Target="https://finance.vietstock.vn/UDJ-ctcp-phat-trien-do-thi.htm" TargetMode="External"/><Relationship Id="rId467" Type="http://schemas.openxmlformats.org/officeDocument/2006/relationships/hyperlink" Target="https://finance.vietstock.vn/Cosevco75-ctcp-cosevco-75.htm" TargetMode="External"/><Relationship Id="rId1097" Type="http://schemas.openxmlformats.org/officeDocument/2006/relationships/hyperlink" Target="https://finance.vietstock.vn/HOPACO-ctcp-giay-hoang-van-thu.htm" TargetMode="External"/><Relationship Id="rId2148" Type="http://schemas.openxmlformats.org/officeDocument/2006/relationships/hyperlink" Target="https://finance.vietstock.vn/SPD-ctcp-xuat-nhap-khau-thuy-san-mien-trung.htm" TargetMode="External"/><Relationship Id="rId674" Type="http://schemas.openxmlformats.org/officeDocument/2006/relationships/hyperlink" Target="https://finance.vietstock.vn/DRI-ctcp-dau-tu-cao-su-dak-lak.htm" TargetMode="External"/><Relationship Id="rId881" Type="http://schemas.openxmlformats.org/officeDocument/2006/relationships/hyperlink" Target="https://finance.vietstock.vn/GEX-ctcp-tap-doan-gelex.htm" TargetMode="External"/><Relationship Id="rId2355" Type="http://schemas.openxmlformats.org/officeDocument/2006/relationships/hyperlink" Target="https://finance.vietstock.vn/TKC-ctcp-xay-dung-va-kinh-doanh-dia-oc-tan-ky.htm" TargetMode="External"/><Relationship Id="rId2562" Type="http://schemas.openxmlformats.org/officeDocument/2006/relationships/hyperlink" Target="https://finance.vietstock.vn/VDB-ctcp-van-tai-va-che-bien-than-dong-bac.htm" TargetMode="External"/><Relationship Id="rId327" Type="http://schemas.openxmlformats.org/officeDocument/2006/relationships/hyperlink" Target="https://finance.vietstock.vn/CAT-ctcp-thuy-san-ca-mau.htm" TargetMode="External"/><Relationship Id="rId534" Type="http://schemas.openxmlformats.org/officeDocument/2006/relationships/hyperlink" Target="https://finance.vietstock.vn/DaGiayVietNam-ctcp-da-giay-viet-nam.htm" TargetMode="External"/><Relationship Id="rId741" Type="http://schemas.openxmlformats.org/officeDocument/2006/relationships/hyperlink" Target="https://finance.vietstock.vn/DX2-ctcp-dau-tu-va-xay-dung-319-2.htm" TargetMode="External"/><Relationship Id="rId1164" Type="http://schemas.openxmlformats.org/officeDocument/2006/relationships/hyperlink" Target="https://finance.vietstock.vn/HUT-ctcp-tasco.htm" TargetMode="External"/><Relationship Id="rId1371" Type="http://schemas.openxmlformats.org/officeDocument/2006/relationships/hyperlink" Target="https://finance.vietstock.vn/LDP-ctcp-duoc-lam-dong-ladophar.htm" TargetMode="External"/><Relationship Id="rId2008" Type="http://schemas.openxmlformats.org/officeDocument/2006/relationships/hyperlink" Target="https://finance.vietstock.vn/SCFC-ctcp-luong-thuc-nam-trung-bo.htm" TargetMode="External"/><Relationship Id="rId2215" Type="http://schemas.openxmlformats.org/officeDocument/2006/relationships/hyperlink" Target="https://finance.vietstock.vn/TA9-ctcp-xay-lap-thanh-an-96.htm" TargetMode="External"/><Relationship Id="rId2422" Type="http://schemas.openxmlformats.org/officeDocument/2006/relationships/hyperlink" Target="https://finance.vietstock.vn/TranPhu-ctcp-co-dien-tran-phu.htm" TargetMode="External"/><Relationship Id="rId601" Type="http://schemas.openxmlformats.org/officeDocument/2006/relationships/hyperlink" Target="https://finance.vietstock.vn/DienLucDaNang-ctcp-thuy-dien-dien-luc-da-nang.htm" TargetMode="External"/><Relationship Id="rId1024" Type="http://schemas.openxmlformats.org/officeDocument/2006/relationships/hyperlink" Target="https://finance.vietstock.vn/HGT-ctcp-du-lich-huong-giang.htm" TargetMode="External"/><Relationship Id="rId1231" Type="http://schemas.openxmlformats.org/officeDocument/2006/relationships/hyperlink" Target="https://finance.vietstock.vn/Intimexco-ctcp-intimex-viet-nam.htm" TargetMode="External"/><Relationship Id="rId184" Type="http://schemas.openxmlformats.org/officeDocument/2006/relationships/hyperlink" Target="https://finance.vietstock.vn/BHDienMay-ctcp-bach-hoa-dien-may-sai-gon.htm" TargetMode="External"/><Relationship Id="rId391" Type="http://schemas.openxmlformats.org/officeDocument/2006/relationships/hyperlink" Target="https://finance.vietstock.vn/CICP1-ctcp-tu-van-dau-tu-va-xay-dung-cong-trinh-1.htm" TargetMode="External"/><Relationship Id="rId1908" Type="http://schemas.openxmlformats.org/officeDocument/2006/relationships/hyperlink" Target="https://finance.vietstock.vn/QNS-ctcp-duong-quang-ngai.htm" TargetMode="External"/><Relationship Id="rId2072" Type="http://schemas.openxmlformats.org/officeDocument/2006/relationships/hyperlink" Target="https://finance.vietstock.vn/SGP-ctcp-cang-sai-gon.htm" TargetMode="External"/><Relationship Id="rId251" Type="http://schemas.openxmlformats.org/officeDocument/2006/relationships/hyperlink" Target="https://finance.vietstock.vn/BSG-ctcp-xe-khach-sai-gon.htm" TargetMode="External"/><Relationship Id="rId111" Type="http://schemas.openxmlformats.org/officeDocument/2006/relationships/hyperlink" Target="https://finance.vietstock.vn/ATC-ctcp-san-xuat-thuong-mai-xuat-nhap-khau-vien-thong-a.htm" TargetMode="External"/><Relationship Id="rId1698" Type="http://schemas.openxmlformats.org/officeDocument/2006/relationships/hyperlink" Target="https://finance.vietstock.vn/PAI-ctcp-cong-nghe-thong-tin-vien-thong-va-tu-dong-hoa-dau-khi.htm" TargetMode="External"/><Relationship Id="rId2749" Type="http://schemas.openxmlformats.org/officeDocument/2006/relationships/hyperlink" Target="https://finance.vietstock.vn/VNS-ctcp-anh-duong-viet-nam.htm" TargetMode="External"/><Relationship Id="rId928" Type="http://schemas.openxmlformats.org/officeDocument/2006/relationships/hyperlink" Target="https://finance.vietstock.vn/GTT-ctcp-thuan-thao.htm" TargetMode="External"/><Relationship Id="rId1558" Type="http://schemas.openxmlformats.org/officeDocument/2006/relationships/hyperlink" Target="https://finance.vietstock.vn/NAMCO-ctcp-khoang-san-nghe-an.htm" TargetMode="External"/><Relationship Id="rId1765" Type="http://schemas.openxmlformats.org/officeDocument/2006/relationships/hyperlink" Target="https://finance.vietstock.vn/PIC-ctcp-dau-tu-dien-luc-3.htm" TargetMode="External"/><Relationship Id="rId2609" Type="http://schemas.openxmlformats.org/officeDocument/2006/relationships/hyperlink" Target="https://finance.vietstock.vn/VHH-ctcp-dau-tu-kinh-doanh-nha-thanh-dat.htm" TargetMode="External"/><Relationship Id="rId57" Type="http://schemas.openxmlformats.org/officeDocument/2006/relationships/hyperlink" Target="https://finance.vietstock.vn/AIC-tong-cong-ty-co-phan-bao-hiem-dbv.htm" TargetMode="External"/><Relationship Id="rId1418" Type="http://schemas.openxmlformats.org/officeDocument/2006/relationships/hyperlink" Target="https://finance.vietstock.vn/LUT-ctcp-dau-tu-xay-dung-luong-tai.htm" TargetMode="External"/><Relationship Id="rId1972" Type="http://schemas.openxmlformats.org/officeDocument/2006/relationships/hyperlink" Target="https://finance.vietstock.vn/SaiGonAir-ctcp-sai-gon-san-bay.htm" TargetMode="External"/><Relationship Id="rId2816" Type="http://schemas.openxmlformats.org/officeDocument/2006/relationships/hyperlink" Target="https://finance.vietstock.vn/VTT-ctcp-cong-nghe-viet-thanh.htm" TargetMode="External"/><Relationship Id="rId1625" Type="http://schemas.openxmlformats.org/officeDocument/2006/relationships/hyperlink" Target="https://finance.vietstock.vn/NNG-ctcp-cong-nghiep-dich-vu-thuong-mai-ngoc-nghia.htm" TargetMode="External"/><Relationship Id="rId1832" Type="http://schemas.openxmlformats.org/officeDocument/2006/relationships/hyperlink" Target="https://finance.vietstock.vn/PSL-ctcp-chan-nuoi-phu-son.htm" TargetMode="External"/><Relationship Id="rId2399" Type="http://schemas.openxmlformats.org/officeDocument/2006/relationships/hyperlink" Target="https://finance.vietstock.vn/ToanCau-tong-cong-ty-co-phan-bao-hiem-toan-cau.htm" TargetMode="External"/><Relationship Id="rId578" Type="http://schemas.openxmlformats.org/officeDocument/2006/relationships/hyperlink" Target="https://finance.vietstock.vn/DetPhongPhu-ctcp-det-vai-phong-phu.htm" TargetMode="External"/><Relationship Id="rId785" Type="http://schemas.openxmlformats.org/officeDocument/2006/relationships/hyperlink" Target="https://finance.vietstock.vn/EVS-ctcp-chung-khoan-evs.htm" TargetMode="External"/><Relationship Id="rId992" Type="http://schemas.openxmlformats.org/officeDocument/2006/relationships/hyperlink" Target="https://finance.vietstock.vn/HD3-ctcp-dau-tu-phat-trien-nha-va-do-thi-mhdi3.htm" TargetMode="External"/><Relationship Id="rId2259" Type="http://schemas.openxmlformats.org/officeDocument/2006/relationships/hyperlink" Target="https://finance.vietstock.vn/TCGF-quy-dau-tu-tang-truong-thanh-cong.htm" TargetMode="External"/><Relationship Id="rId2466" Type="http://schemas.openxmlformats.org/officeDocument/2006/relationships/hyperlink" Target="https://finance.vietstock.vn/TuyPhuoc-ctcp-xay-lap-dien-tuy-phuoc.htm" TargetMode="External"/><Relationship Id="rId2673" Type="http://schemas.openxmlformats.org/officeDocument/2006/relationships/hyperlink" Target="https://finance.vietstock.vn/VINASINO-ctcp-thiet-bi-dien-vinasinio.htm" TargetMode="External"/><Relationship Id="rId2880" Type="http://schemas.openxmlformats.org/officeDocument/2006/relationships/hyperlink" Target="https://finance.vietstock.vn/YRC-ctcp-duong-sat-yen-lao.htm" TargetMode="External"/><Relationship Id="rId438" Type="http://schemas.openxmlformats.org/officeDocument/2006/relationships/hyperlink" Target="https://finance.vietstock.vn/CMX-ctcp-camimex-group.htm" TargetMode="External"/><Relationship Id="rId645" Type="http://schemas.openxmlformats.org/officeDocument/2006/relationships/hyperlink" Target="https://finance.vietstock.vn/DNV-ctcp-thuong-mai-dich-vu-vda-da-nang.htm" TargetMode="External"/><Relationship Id="rId852" Type="http://schemas.openxmlformats.org/officeDocument/2006/relationships/hyperlink" Target="https://finance.vietstock.vn/G20-ctcp-dau-tu-det-may-vinh-phuc.htm" TargetMode="External"/><Relationship Id="rId1068" Type="http://schemas.openxmlformats.org/officeDocument/2006/relationships/hyperlink" Target="https://finance.vietstock.vn/HMR-ctcp-da-hoang-mai.htm" TargetMode="External"/><Relationship Id="rId1275" Type="http://schemas.openxmlformats.org/officeDocument/2006/relationships/hyperlink" Target="https://finance.vietstock.vn/KHATOCO-ctcp-in-bao-bi-khatoco.htm" TargetMode="External"/><Relationship Id="rId1482" Type="http://schemas.openxmlformats.org/officeDocument/2006/relationships/hyperlink" Target="https://finance.vietstock.vn/MGR-ctcp-tap-doan-mgroup.htm" TargetMode="External"/><Relationship Id="rId2119" Type="http://schemas.openxmlformats.org/officeDocument/2006/relationships/hyperlink" Target="https://finance.vietstock.vn/SMEC-ctcp-quan-ly-quy-amber.htm" TargetMode="External"/><Relationship Id="rId2326" Type="http://schemas.openxmlformats.org/officeDocument/2006/relationships/hyperlink" Target="https://finance.vietstock.vn/ThinhLiet-ctcp-dau-tu-va-be-tong-thinh-liet.htm" TargetMode="External"/><Relationship Id="rId2533" Type="http://schemas.openxmlformats.org/officeDocument/2006/relationships/hyperlink" Target="https://finance.vietstock.vn/VC3-ctcp-tap-doan-nam-me-kong.htm" TargetMode="External"/><Relationship Id="rId2740" Type="http://schemas.openxmlformats.org/officeDocument/2006/relationships/hyperlink" Target="https://finance.vietstock.vn/VNH-ctcp-dau-tu-viet-viet-nhat.htm" TargetMode="External"/><Relationship Id="rId505" Type="http://schemas.openxmlformats.org/officeDocument/2006/relationships/hyperlink" Target="https://finance.vietstock.vn/CTP-ctcp-tap-doan-ctp-group.htm" TargetMode="External"/><Relationship Id="rId712" Type="http://schemas.openxmlformats.org/officeDocument/2006/relationships/hyperlink" Target="https://finance.vietstock.vn/DuLichThuongMai-ctcp-du-lich-va-thuong-mai-vinacomin.htm" TargetMode="External"/><Relationship Id="rId1135" Type="http://schemas.openxmlformats.org/officeDocument/2006/relationships/hyperlink" Target="https://finance.vietstock.vn/HT1-ctcp-xi-mang-vicem-ha-tien.htm" TargetMode="External"/><Relationship Id="rId1342" Type="http://schemas.openxmlformats.org/officeDocument/2006/relationships/hyperlink" Target="https://finance.vietstock.vn/L40-ctcp-dau-tu-va-xay-dung-40.htm" TargetMode="External"/><Relationship Id="rId1202" Type="http://schemas.openxmlformats.org/officeDocument/2006/relationships/hyperlink" Target="https://finance.vietstock.vn/IETC-ctcp-kinh-doanh-thiet-bi-cong-nghiep.htm" TargetMode="External"/><Relationship Id="rId2600" Type="http://schemas.openxmlformats.org/officeDocument/2006/relationships/hyperlink" Target="https://finance.vietstock.vn/VGR-ctcp-cang-xanh-vip.htm" TargetMode="External"/><Relationship Id="rId295" Type="http://schemas.openxmlformats.org/officeDocument/2006/relationships/hyperlink" Target="https://finance.vietstock.vn/BXT-ctcp-ben-xe-tau-hau-giang.htm" TargetMode="External"/><Relationship Id="rId2183" Type="http://schemas.openxmlformats.org/officeDocument/2006/relationships/hyperlink" Target="https://finance.vietstock.vn/STL-ctcp-song-da-thang-long.htm" TargetMode="External"/><Relationship Id="rId2390" Type="http://schemas.openxmlformats.org/officeDocument/2006/relationships/hyperlink" Target="https://finance.vietstock.vn/TNH-ctcp-tap-doan-benh-vien-tnh.htm" TargetMode="External"/><Relationship Id="rId155" Type="http://schemas.openxmlformats.org/officeDocument/2006/relationships/hyperlink" Target="https://finance.vietstock.vn/BCO-ctcp-xay-dung-binh-phuoc.htm" TargetMode="External"/><Relationship Id="rId362" Type="http://schemas.openxmlformats.org/officeDocument/2006/relationships/hyperlink" Target="https://finance.vietstock.vn/CDP-ctcp-duoc-pham-trung-uong-codupha.htm" TargetMode="External"/><Relationship Id="rId2043" Type="http://schemas.openxmlformats.org/officeDocument/2006/relationships/hyperlink" Target="https://finance.vietstock.vn/SDS-ctcp-xay-lap-va-dau-tu-song-da.htm" TargetMode="External"/><Relationship Id="rId2250" Type="http://schemas.openxmlformats.org/officeDocument/2006/relationships/hyperlink" Target="https://finance.vietstock.vn/TBH-ctcp-tong-bach-hoa.htm" TargetMode="External"/><Relationship Id="rId222" Type="http://schemas.openxmlformats.org/officeDocument/2006/relationships/hyperlink" Target="https://finance.vietstock.vn/BMC-ctcp-khoang-san-binh-dinh.htm" TargetMode="External"/><Relationship Id="rId2110" Type="http://schemas.openxmlformats.org/officeDocument/2006/relationships/hyperlink" Target="https://finance.vietstock.vn/SKN-ctcp-nuoc-giai-khat-sanna-khanh-hoa.htm" TargetMode="External"/><Relationship Id="rId1669" Type="http://schemas.openxmlformats.org/officeDocument/2006/relationships/hyperlink" Target="https://finance.vietstock.vn/NVN-ctcp-nha-viet-nam.htm" TargetMode="External"/><Relationship Id="rId1876" Type="http://schemas.openxmlformats.org/officeDocument/2006/relationships/hyperlink" Target="https://finance.vietstock.vn/PVR-ctcp-dau-tu-pvr-ha-noi.htm" TargetMode="External"/><Relationship Id="rId1529" Type="http://schemas.openxmlformats.org/officeDocument/2006/relationships/hyperlink" Target="https://finance.vietstock.vn/MST-ctcp-dau-tu-mst.htm" TargetMode="External"/><Relationship Id="rId1736" Type="http://schemas.openxmlformats.org/officeDocument/2006/relationships/hyperlink" Target="https://finance.vietstock.vn/PFL-ctcp-dau-khi-dong-do.htm" TargetMode="External"/><Relationship Id="rId1943" Type="http://schemas.openxmlformats.org/officeDocument/2006/relationships/hyperlink" Target="https://finance.vietstock.vn/RTH-ctcp-duong-sat-thanh-hoa.htm" TargetMode="External"/><Relationship Id="rId28" Type="http://schemas.openxmlformats.org/officeDocument/2006/relationships/hyperlink" Target="https://finance.vietstock.vn/ACHAU-ctcp-to-tam-a-chau.htm" TargetMode="External"/><Relationship Id="rId1803" Type="http://schemas.openxmlformats.org/officeDocument/2006/relationships/hyperlink" Target="https://finance.vietstock.vn/Porycoast-ctcp-tu-van-thiet-ke-cang-ky-thuat-bien.htm" TargetMode="External"/><Relationship Id="rId689" Type="http://schemas.openxmlformats.org/officeDocument/2006/relationships/hyperlink" Target="https://finance.vietstock.vn/DTA-ctcp-de-tam.htm" TargetMode="External"/><Relationship Id="rId896" Type="http://schemas.openxmlformats.org/officeDocument/2006/relationships/hyperlink" Target="https://finance.vietstock.vn/GiayHaNoi-ctcp-dau-tu-xuat-nhap-khau-da-giay-ha-noi.htm" TargetMode="External"/><Relationship Id="rId2577" Type="http://schemas.openxmlformats.org/officeDocument/2006/relationships/hyperlink" Target="https://finance.vietstock.vn/VE9-ctcp-dau-tu-va-xay-dung-vneco-9.htm" TargetMode="External"/><Relationship Id="rId2784" Type="http://schemas.openxmlformats.org/officeDocument/2006/relationships/hyperlink" Target="https://finance.vietstock.vn/VSI-ctcp-dau-tu-va-xay-dung-cap-thoat-nuoc.htm" TargetMode="External"/><Relationship Id="rId549" Type="http://schemas.openxmlformats.org/officeDocument/2006/relationships/hyperlink" Target="https://finance.vietstock.vn/DBF-ctcp-luong-thuc-dong-bac.htm" TargetMode="External"/><Relationship Id="rId756" Type="http://schemas.openxmlformats.org/officeDocument/2006/relationships/hyperlink" Target="https://finance.vietstock.vn/ECI-ctcp-tap-doan-eci.htm" TargetMode="External"/><Relationship Id="rId1179" Type="http://schemas.openxmlformats.org/officeDocument/2006/relationships/hyperlink" Target="https://finance.vietstock.vn/HWS-ctcp-cap-nuoc-hue.htm" TargetMode="External"/><Relationship Id="rId1386" Type="http://schemas.openxmlformats.org/officeDocument/2006/relationships/hyperlink" Target="https://finance.vietstock.vn/Licogi169-ctcp-licogi-16-9.htm" TargetMode="External"/><Relationship Id="rId1593" Type="http://schemas.openxmlformats.org/officeDocument/2006/relationships/hyperlink" Target="https://finance.vietstock.vn/NFC-ctcp-phan-lan-ninh-binh.htm" TargetMode="External"/><Relationship Id="rId2437" Type="http://schemas.openxmlformats.org/officeDocument/2006/relationships/hyperlink" Target="https://finance.vietstock.vn/TSA-ctcp-dau-tu-va-xay-lap-truong-son.htm" TargetMode="External"/><Relationship Id="rId409" Type="http://schemas.openxmlformats.org/officeDocument/2006/relationships/hyperlink" Target="https://finance.vietstock.vn/CKA-ctcp-co-khi-an-giang.htm" TargetMode="External"/><Relationship Id="rId963" Type="http://schemas.openxmlformats.org/officeDocument/2006/relationships/hyperlink" Target="https://finance.vietstock.vn/Hapoco-ctcp-su-hai-duong.htm" TargetMode="External"/><Relationship Id="rId1039" Type="http://schemas.openxmlformats.org/officeDocument/2006/relationships/hyperlink" Target="https://finance.vietstock.vn/Hidico-ctcp-dau-tu-phat-trien-nha-va-khu-cong-nghiep-dong-thap.htm" TargetMode="External"/><Relationship Id="rId1246" Type="http://schemas.openxmlformats.org/officeDocument/2006/relationships/hyperlink" Target="https://finance.vietstock.vn/ITQ-ctcp-tap-doan-thien-quang.htm" TargetMode="External"/><Relationship Id="rId2644" Type="http://schemas.openxmlformats.org/officeDocument/2006/relationships/hyperlink" Target="https://finance.vietstock.vn/ViglaceraPB-ctcp-bao-bi-va-ma-phanh-viglacera.htm" TargetMode="External"/><Relationship Id="rId2851" Type="http://schemas.openxmlformats.org/officeDocument/2006/relationships/hyperlink" Target="https://finance.vietstock.vn/XDBinhDuong-ctcp-tu-van-xay-dung-tong-hop-binh-duong.htm" TargetMode="External"/><Relationship Id="rId92" Type="http://schemas.openxmlformats.org/officeDocument/2006/relationships/hyperlink" Target="https://finance.vietstock.vn/APSC-ctcp-chung-khoan-alpha.htm" TargetMode="External"/><Relationship Id="rId616" Type="http://schemas.openxmlformats.org/officeDocument/2006/relationships/hyperlink" Target="https://finance.vietstock.vn/DLG-ctcp-tap-doan-duc-long-gia-lai.htm" TargetMode="External"/><Relationship Id="rId823" Type="http://schemas.openxmlformats.org/officeDocument/2006/relationships/hyperlink" Target="https://finance.vietstock.vn/FRT-ctcp-ban-le-ky-thuat-so-fpt.htm" TargetMode="External"/><Relationship Id="rId1453" Type="http://schemas.openxmlformats.org/officeDocument/2006/relationships/hyperlink" Target="https://finance.vietstock.vn/MCJ-ctcp-thiet-bi-phu-tung.htm" TargetMode="External"/><Relationship Id="rId1660" Type="http://schemas.openxmlformats.org/officeDocument/2006/relationships/hyperlink" Target="https://finance.vietstock.vn/NTT-ctcp-det-may-nha-trang.htm" TargetMode="External"/><Relationship Id="rId2504" Type="http://schemas.openxmlformats.org/officeDocument/2006/relationships/hyperlink" Target="https://finance.vietstock.vn/UPH-ctcp-duoc-pham-tw-25.htm" TargetMode="External"/><Relationship Id="rId2711" Type="http://schemas.openxmlformats.org/officeDocument/2006/relationships/hyperlink" Target="https://finance.vietstock.vn/VLC-tong-cong-ty-chan-nuoi-viet-nam-ctcp.htm" TargetMode="External"/><Relationship Id="rId1106" Type="http://schemas.openxmlformats.org/officeDocument/2006/relationships/hyperlink" Target="https://finance.vietstock.vn/HPGlass-ctcp-thuy-tinh-hung-phu.htm" TargetMode="External"/><Relationship Id="rId1313" Type="http://schemas.openxmlformats.org/officeDocument/2006/relationships/hyperlink" Target="https://finance.vietstock.vn/KPF-ctcp-dau-tu-tai-san-koji.htm" TargetMode="External"/><Relationship Id="rId1520" Type="http://schemas.openxmlformats.org/officeDocument/2006/relationships/hyperlink" Target="https://finance.vietstock.vn/MPY-ctcp-moi-truong-do-thi-phu-yen.htm" TargetMode="External"/><Relationship Id="rId199" Type="http://schemas.openxmlformats.org/officeDocument/2006/relationships/hyperlink" Target="https://finance.vietstock.vn/BIC-tong-cong-ty-co-phan-bao-hiem-ngan-hang-dau-tu-va-phat-trien-viet-nam.htm" TargetMode="External"/><Relationship Id="rId2087" Type="http://schemas.openxmlformats.org/officeDocument/2006/relationships/hyperlink" Target="https://finance.vietstock.vn/ShopeePay-ctcp-shopeepay.htm" TargetMode="External"/><Relationship Id="rId2294" Type="http://schemas.openxmlformats.org/officeDocument/2006/relationships/hyperlink" Target="https://finance.vietstock.vn/TET-ctcp-vai-soi-may-mac-mien-bac.htm" TargetMode="External"/><Relationship Id="rId266" Type="http://schemas.openxmlformats.org/officeDocument/2006/relationships/hyperlink" Target="https://finance.vietstock.vn/BTG-ctcp-bao-bi-tien-giang.htm" TargetMode="External"/><Relationship Id="rId473" Type="http://schemas.openxmlformats.org/officeDocument/2006/relationships/hyperlink" Target="https://finance.vietstock.vn/CPC-ctcp-thuoc-sat-trung-can-tho.htm" TargetMode="External"/><Relationship Id="rId680" Type="http://schemas.openxmlformats.org/officeDocument/2006/relationships/hyperlink" Target="https://finance.vietstock.vn/DSG-ctcp-kinh-dap-cau.htm" TargetMode="External"/><Relationship Id="rId2154" Type="http://schemas.openxmlformats.org/officeDocument/2006/relationships/hyperlink" Target="https://finance.vietstock.vn/SPT-ctcp-dich-vu-buu-chinh-vien-thong-sai-gon.htm" TargetMode="External"/><Relationship Id="rId2361" Type="http://schemas.openxmlformats.org/officeDocument/2006/relationships/hyperlink" Target="https://finance.vietstock.vn/TLC-ctcp-vien-thong-thang-long.htm" TargetMode="External"/><Relationship Id="rId126" Type="http://schemas.openxmlformats.org/officeDocument/2006/relationships/hyperlink" Target="https://finance.vietstock.vn/BacGiang-ctcp-xuat-nhap-khau-bac-giang.htm" TargetMode="External"/><Relationship Id="rId333" Type="http://schemas.openxmlformats.org/officeDocument/2006/relationships/hyperlink" Target="https://finance.vietstock.vn/CavicoEc-ctcp-xay-dung-nang-luong.htm" TargetMode="External"/><Relationship Id="rId540" Type="http://schemas.openxmlformats.org/officeDocument/2006/relationships/hyperlink" Target="https://finance.vietstock.vn/DAP-ctcp-dong-a.htm" TargetMode="External"/><Relationship Id="rId1170" Type="http://schemas.openxmlformats.org/officeDocument/2006/relationships/hyperlink" Target="https://finance.vietstock.vn/HVA-ctcp-dau-tu-hva.htm" TargetMode="External"/><Relationship Id="rId2014" Type="http://schemas.openxmlformats.org/officeDocument/2006/relationships/hyperlink" Target="https://finance.vietstock.vn/SCL-ctcp-song-da-cao-cuong.htm" TargetMode="External"/><Relationship Id="rId2221" Type="http://schemas.openxmlformats.org/officeDocument/2006/relationships/hyperlink" Target="https://finance.vietstock.vn/TAHUE-ctcp-thuan-an.htm" TargetMode="External"/><Relationship Id="rId1030" Type="http://schemas.openxmlformats.org/officeDocument/2006/relationships/hyperlink" Target="https://finance.vietstock.vn/HHG-ctcp-hoang-ha.htm" TargetMode="External"/><Relationship Id="rId400" Type="http://schemas.openxmlformats.org/officeDocument/2006/relationships/hyperlink" Target="https://finance.vietstock.vn/Ciencoland-ctcp-dau-tu-xay-dung-va-kinh-doanh-bat-dong-san-tong-sau.htm" TargetMode="External"/><Relationship Id="rId1987" Type="http://schemas.openxmlformats.org/officeDocument/2006/relationships/hyperlink" Target="https://finance.vietstock.vn/SB1-ctcp-bia-sai-gon-nghe-tinh.htm" TargetMode="External"/><Relationship Id="rId1847" Type="http://schemas.openxmlformats.org/officeDocument/2006/relationships/hyperlink" Target="https://finance.vietstock.vn/PTM-ctcp-san-xuat-thuong-mai-va-dich-vu-o-to-ptm.htm" TargetMode="External"/><Relationship Id="rId1707" Type="http://schemas.openxmlformats.org/officeDocument/2006/relationships/hyperlink" Target="https://finance.vietstock.vn/PBP-ctcp-bao-bi-dau-khi-viet-nam.htm" TargetMode="External"/><Relationship Id="rId190" Type="http://schemas.openxmlformats.org/officeDocument/2006/relationships/hyperlink" Target="https://finance.vietstock.vn/BHP-ctcp-bia-ha-noi-hai-phong.htm" TargetMode="External"/><Relationship Id="rId1914" Type="http://schemas.openxmlformats.org/officeDocument/2006/relationships/hyperlink" Target="https://finance.vietstock.vn/QSP-ctcp-tan-cang-quy-nhon.htm" TargetMode="External"/><Relationship Id="rId2688" Type="http://schemas.openxmlformats.org/officeDocument/2006/relationships/hyperlink" Target="https://finance.vietstock.vn/Vinphaco-ctcp-duoc-pham-vinh-phuc.htm" TargetMode="External"/><Relationship Id="rId867" Type="http://schemas.openxmlformats.org/officeDocument/2006/relationships/hyperlink" Target="https://finance.vietstock.vn/GE2-tong-cong-ty-phat-dien-2-ctcp.htm" TargetMode="External"/><Relationship Id="rId1497" Type="http://schemas.openxmlformats.org/officeDocument/2006/relationships/hyperlink" Target="https://finance.vietstock.vn/MIM-ctcp-khoang-san-va-co-khi.htm" TargetMode="External"/><Relationship Id="rId2548" Type="http://schemas.openxmlformats.org/officeDocument/2006/relationships/hyperlink" Target="https://finance.vietstock.vn/VCG-tong-cong-ty-co-phan-xuat-nhap-khau-va-xay-dung-viet-nam.htm" TargetMode="External"/><Relationship Id="rId2755" Type="http://schemas.openxmlformats.org/officeDocument/2006/relationships/hyperlink" Target="https://finance.vietstock.vn/VOC-tong-cong-ty-cong-nghiep-dau-thuc-vat-viet-nam-ctcp.htm" TargetMode="External"/><Relationship Id="rId727" Type="http://schemas.openxmlformats.org/officeDocument/2006/relationships/hyperlink" Target="https://finance.vietstock.vn/DuyHoang07-ctcp-duy-hoang-07.htm" TargetMode="External"/><Relationship Id="rId934" Type="http://schemas.openxmlformats.org/officeDocument/2006/relationships/hyperlink" Target="https://finance.vietstock.vn/Habac-ctcp-co-khi-xay-dung-so-2-ha-bac.htm" TargetMode="External"/><Relationship Id="rId1357" Type="http://schemas.openxmlformats.org/officeDocument/2006/relationships/hyperlink" Target="https://finance.vietstock.vn/LAS-ctcp-supe-phot-phat-va-hoa-chat-lam-thao.htm" TargetMode="External"/><Relationship Id="rId1564" Type="http://schemas.openxmlformats.org/officeDocument/2006/relationships/hyperlink" Target="https://finance.vietstock.vn/NAP-ctcp-cang-nghe-tinh.htm" TargetMode="External"/><Relationship Id="rId1771" Type="http://schemas.openxmlformats.org/officeDocument/2006/relationships/hyperlink" Target="https://finance.vietstock.vn/PisicoDongAn-ctcp-che-bien-go-pisico-dong-an.htm" TargetMode="External"/><Relationship Id="rId2408" Type="http://schemas.openxmlformats.org/officeDocument/2006/relationships/hyperlink" Target="https://finance.vietstock.vn/TPB-ngan-hang-tmcp-tien-phong.htm" TargetMode="External"/><Relationship Id="rId2615" Type="http://schemas.openxmlformats.org/officeDocument/2006/relationships/hyperlink" Target="https://finance.vietstock.vn/VIB-ngan-hang-tmcp-quoc-te-viet-nam.htm" TargetMode="External"/><Relationship Id="rId2822" Type="http://schemas.openxmlformats.org/officeDocument/2006/relationships/hyperlink" Target="https://finance.vietstock.vn/VUG-ctcp-thuy-san-viet-uc.htm" TargetMode="External"/><Relationship Id="rId63" Type="http://schemas.openxmlformats.org/officeDocument/2006/relationships/hyperlink" Target="https://finance.vietstock.vn/Aletech-ctcp-giai-phap-cong-nghe-aletech.htm" TargetMode="External"/><Relationship Id="rId1217" Type="http://schemas.openxmlformats.org/officeDocument/2006/relationships/hyperlink" Target="https://finance.vietstock.vn/IN4-ctcp-in-so-4.htm" TargetMode="External"/><Relationship Id="rId1424" Type="http://schemas.openxmlformats.org/officeDocument/2006/relationships/hyperlink" Target="https://finance.vietstock.vn/MA1-ctcp-thiet-bi.htm" TargetMode="External"/><Relationship Id="rId1631" Type="http://schemas.openxmlformats.org/officeDocument/2006/relationships/hyperlink" Target="https://finance.vietstock.vn/NOS-ctcp-van-tai-bien-va-thuong-mai-phuong-dong.htm" TargetMode="External"/><Relationship Id="rId2198" Type="http://schemas.openxmlformats.org/officeDocument/2006/relationships/hyperlink" Target="https://finance.vietstock.vn/SVG-ctcp-hoi-ky-nghe-que-han.htm" TargetMode="External"/><Relationship Id="rId377" Type="http://schemas.openxmlformats.org/officeDocument/2006/relationships/hyperlink" Target="https://finance.vietstock.vn/CGV-ctcp-vinaceglass.htm" TargetMode="External"/><Relationship Id="rId584" Type="http://schemas.openxmlformats.org/officeDocument/2006/relationships/hyperlink" Target="https://finance.vietstock.vn/DGT-ctcp-cong-trinh-giao-thong-dong-nai.htm" TargetMode="External"/><Relationship Id="rId2058" Type="http://schemas.openxmlformats.org/officeDocument/2006/relationships/hyperlink" Target="https://finance.vietstock.vn/SFI-ctcp-dai-ly-van-tai-safi.htm" TargetMode="External"/><Relationship Id="rId2265" Type="http://schemas.openxmlformats.org/officeDocument/2006/relationships/hyperlink" Target="https://finance.vietstock.vn/TCM-ctcp-det-may-dau-tu-thuong-mai-thanh-cong.htm" TargetMode="External"/><Relationship Id="rId237" Type="http://schemas.openxmlformats.org/officeDocument/2006/relationships/hyperlink" Target="https://finance.vietstock.vn/BongSen-ctcp-bong-sen.htm" TargetMode="External"/><Relationship Id="rId791" Type="http://schemas.openxmlformats.org/officeDocument/2006/relationships/hyperlink" Target="https://finance.vietstock.vn/FBT-ctcp-xuat-nhap-khau-lam-thuy-san-ben-tre.htm" TargetMode="External"/><Relationship Id="rId1074" Type="http://schemas.openxmlformats.org/officeDocument/2006/relationships/hyperlink" Target="https://finance.vietstock.vn/HND-ctcp-nhiet-dien-hai-phong.htm" TargetMode="External"/><Relationship Id="rId2472" Type="http://schemas.openxmlformats.org/officeDocument/2006/relationships/hyperlink" Target="https://finance.vietstock.vn/TVA-ctcp-su-viglacera-thanh-tri.htm" TargetMode="External"/><Relationship Id="rId444" Type="http://schemas.openxmlformats.org/officeDocument/2006/relationships/hyperlink" Target="https://finance.vietstock.vn/CNSG-tong-cong-ty-cong-nghiep-sai-gon.htm" TargetMode="External"/><Relationship Id="rId651" Type="http://schemas.openxmlformats.org/officeDocument/2006/relationships/hyperlink" Target="https://finance.vietstock.vn/DongAnhSteel-ctcp-ket-cau-thep-xay-dung.htm" TargetMode="External"/><Relationship Id="rId1281" Type="http://schemas.openxmlformats.org/officeDocument/2006/relationships/hyperlink" Target="https://finance.vietstock.vn/KhoangSanPhuYen-ctcp-khoang-san-phu-yen.htm" TargetMode="External"/><Relationship Id="rId2125" Type="http://schemas.openxmlformats.org/officeDocument/2006/relationships/hyperlink" Target="https://finance.vietstock.vn/SNPP-tong-cong-ty-tan-cang-sai-gon.htm" TargetMode="External"/><Relationship Id="rId2332" Type="http://schemas.openxmlformats.org/officeDocument/2006/relationships/hyperlink" Target="https://finance.vietstock.vn/THR-ctcp-duong-sat-thuan-hai.htm" TargetMode="External"/><Relationship Id="rId304" Type="http://schemas.openxmlformats.org/officeDocument/2006/relationships/hyperlink" Target="https://finance.vietstock.vn/C69-ctcp-xay-dung-1369.htm" TargetMode="External"/><Relationship Id="rId511" Type="http://schemas.openxmlformats.org/officeDocument/2006/relationships/hyperlink" Target="https://finance.vietstock.vn/CTX-tong-cong-ty-co-phan-dau-tu-xay-dung-va-thuong-mai-viet-nam.htm" TargetMode="External"/><Relationship Id="rId1141" Type="http://schemas.openxmlformats.org/officeDocument/2006/relationships/hyperlink" Target="https://finance.vietstock.vn/HTH-ctcp-hoa-tieu-hang-hai-tkv.htm" TargetMode="External"/><Relationship Id="rId1001" Type="http://schemas.openxmlformats.org/officeDocument/2006/relationships/hyperlink" Target="https://finance.vietstock.vn/HDG-ctcp-tap-doan-ha-do.htm" TargetMode="External"/><Relationship Id="rId1958" Type="http://schemas.openxmlformats.org/officeDocument/2006/relationships/hyperlink" Target="https://finance.vietstock.vn/SAB-tong-cong-ty-co-phan-bia-ruou-nuoc-giai-khat-sai-gon.htm" TargetMode="External"/><Relationship Id="rId1818" Type="http://schemas.openxmlformats.org/officeDocument/2006/relationships/hyperlink" Target="https://finance.vietstock.vn/PQN-ctcp-dich-vu-dau-khi-quang-ngai-ptsc.htm" TargetMode="External"/><Relationship Id="rId161" Type="http://schemas.openxmlformats.org/officeDocument/2006/relationships/hyperlink" Target="https://finance.vietstock.vn/BDF-ctcp-giay-binh-dinh.htm" TargetMode="External"/><Relationship Id="rId2799" Type="http://schemas.openxmlformats.org/officeDocument/2006/relationships/hyperlink" Target="https://finance.vietstock.vn/VTE-ctcp-vinacap-kim-long.htm" TargetMode="External"/><Relationship Id="rId978" Type="http://schemas.openxmlformats.org/officeDocument/2006/relationships/hyperlink" Target="https://finance.vietstock.vn/HBH-ctcp-habeco-hai-phong.htm" TargetMode="External"/><Relationship Id="rId2659" Type="http://schemas.openxmlformats.org/officeDocument/2006/relationships/hyperlink" Target="https://finance.vietstock.vn/VINACAFE-ctcp-vinacafe-mien-bac.htm" TargetMode="External"/><Relationship Id="rId2866" Type="http://schemas.openxmlformats.org/officeDocument/2006/relationships/hyperlink" Target="https://finance.vietstock.vn/XMD-ctcp-xuan-mai-dao-tu.htm" TargetMode="External"/><Relationship Id="rId838" Type="http://schemas.openxmlformats.org/officeDocument/2006/relationships/hyperlink" Target="https://finance.vietstock.vn/FUEFCV50-chung-chi-quy-etf-fpt-capital-vnx50.htm" TargetMode="External"/><Relationship Id="rId1468" Type="http://schemas.openxmlformats.org/officeDocument/2006/relationships/hyperlink" Target="https://finance.vietstock.vn/MEC-ctcp-co-khi-lap-may-song-da.htm" TargetMode="External"/><Relationship Id="rId1675" Type="http://schemas.openxmlformats.org/officeDocument/2006/relationships/hyperlink" Target="https://finance.vietstock.vn/NXT-ctcp-san-xuat-va-cung-ung-vat-lieu-xay-dung-kon-tum.htm" TargetMode="External"/><Relationship Id="rId1882" Type="http://schemas.openxmlformats.org/officeDocument/2006/relationships/hyperlink" Target="https://finance.vietstock.vn/PVV-ctcp-vinaconex-39.htm" TargetMode="External"/><Relationship Id="rId2519" Type="http://schemas.openxmlformats.org/officeDocument/2006/relationships/hyperlink" Target="https://finance.vietstock.vn/VangAgribank-ctcp-vang-bac-da-quy-asean.htm" TargetMode="External"/><Relationship Id="rId2726" Type="http://schemas.openxmlformats.org/officeDocument/2006/relationships/hyperlink" Target="https://finance.vietstock.vn/VMK-ctcp-vimarko.htm" TargetMode="External"/><Relationship Id="rId1328" Type="http://schemas.openxmlformats.org/officeDocument/2006/relationships/hyperlink" Target="https://finance.vietstock.vn/KTBX-ctcp-ben-xe-kontum.htm" TargetMode="External"/><Relationship Id="rId1535" Type="http://schemas.openxmlformats.org/officeDocument/2006/relationships/hyperlink" Target="https://finance.vietstock.vn/MTJ-ctcp-tu-van-va-xay-dung-cong-trinh-mien-trung.htm" TargetMode="External"/><Relationship Id="rId905" Type="http://schemas.openxmlformats.org/officeDocument/2006/relationships/hyperlink" Target="https://finance.vietstock.vn/GLS-ctcp-chung-khoan-xuan-thien.htm" TargetMode="External"/><Relationship Id="rId1742" Type="http://schemas.openxmlformats.org/officeDocument/2006/relationships/hyperlink" Target="https://finance.vietstock.vn/PGS-ctcp-kinh-doanh-khi-mien-nam.htm" TargetMode="External"/><Relationship Id="rId34" Type="http://schemas.openxmlformats.org/officeDocument/2006/relationships/hyperlink" Target="https://finance.vietstock.vn/ACV-tong-cong-ty-cang-hang-khong-viet-nam-ctcp.htm" TargetMode="External"/><Relationship Id="rId1602" Type="http://schemas.openxmlformats.org/officeDocument/2006/relationships/hyperlink" Target="https://finance.vietstock.vn/NhatNam-ctcp-nhat-nam.htm" TargetMode="External"/><Relationship Id="rId488" Type="http://schemas.openxmlformats.org/officeDocument/2006/relationships/hyperlink" Target="https://finance.vietstock.vn/CST124-ctcp-xay-dung-giao-thong-va-thuong-mai-124.htm" TargetMode="External"/><Relationship Id="rId695" Type="http://schemas.openxmlformats.org/officeDocument/2006/relationships/hyperlink" Target="https://finance.vietstock.vn/DTG-ctcp-duoc-pham-tipharco.htm" TargetMode="External"/><Relationship Id="rId2169" Type="http://schemas.openxmlformats.org/officeDocument/2006/relationships/hyperlink" Target="https://finance.vietstock.vn/SSISCA-quy-dau-tu-loi-the-canh-tranh-ben-vung-ssi.htm" TargetMode="External"/><Relationship Id="rId2376" Type="http://schemas.openxmlformats.org/officeDocument/2006/relationships/hyperlink" Target="https://finance.vietstock.vn/TMP-ctcp-thuy-dien-thac-mo.htm" TargetMode="External"/><Relationship Id="rId2583" Type="http://schemas.openxmlformats.org/officeDocument/2006/relationships/hyperlink" Target="https://finance.vietstock.vn/Vegetexco-tong-cong-ty-rau-qua-nong-san-ctcp.htm" TargetMode="External"/><Relationship Id="rId2790" Type="http://schemas.openxmlformats.org/officeDocument/2006/relationships/hyperlink" Target="https://finance.vietstock.vn/VST-ctcp-van-tai-va-thue-tau-bien-viet-nam.htm" TargetMode="External"/><Relationship Id="rId348" Type="http://schemas.openxmlformats.org/officeDocument/2006/relationships/hyperlink" Target="https://finance.vietstock.vn/CCI-ctcp-dau-tu-phat-trien-cong-nghiep-thuong-mai-cu-chi.htm" TargetMode="External"/><Relationship Id="rId555" Type="http://schemas.openxmlformats.org/officeDocument/2006/relationships/hyperlink" Target="https://finance.vietstock.vn/DC2-ctcp-dau-tu-phat-trien-xay-dung-dic-so-2.htm" TargetMode="External"/><Relationship Id="rId762" Type="http://schemas.openxmlformats.org/officeDocument/2006/relationships/hyperlink" Target="https://finance.vietstock.vn/EIB-ngan-hang-tmcp-xuat-nhap-khau-viet-nam.htm" TargetMode="External"/><Relationship Id="rId1185" Type="http://schemas.openxmlformats.org/officeDocument/2006/relationships/hyperlink" Target="https://finance.vietstock.vn/ICC-ctcp-xay-dung-cong-nghiep-icc.htm" TargetMode="External"/><Relationship Id="rId1392" Type="http://schemas.openxmlformats.org/officeDocument/2006/relationships/hyperlink" Target="https://finance.vietstock.vn/LIX-ctcp-bot-giat-lix.htm" TargetMode="External"/><Relationship Id="rId2029" Type="http://schemas.openxmlformats.org/officeDocument/2006/relationships/hyperlink" Target="https://finance.vietstock.vn/SDA-ctcp-simco-song-da.htm" TargetMode="External"/><Relationship Id="rId2236" Type="http://schemas.openxmlformats.org/officeDocument/2006/relationships/hyperlink" Target="https://finance.vietstock.vn/TapPhamSG-ctcp-dau-tu-va-thuong-mai-tap-pham-sai-gon.htm" TargetMode="External"/><Relationship Id="rId2443" Type="http://schemas.openxmlformats.org/officeDocument/2006/relationships/hyperlink" Target="https://finance.vietstock.vn/TSM-ctcp-xi-mang-tien-son-ha-tay.htm" TargetMode="External"/><Relationship Id="rId2650" Type="http://schemas.openxmlformats.org/officeDocument/2006/relationships/hyperlink" Target="https://finance.vietstock.vn/VIKOR-ctcp-ton-vikor.htm" TargetMode="External"/><Relationship Id="rId208" Type="http://schemas.openxmlformats.org/officeDocument/2006/relationships/hyperlink" Target="https://finance.vietstock.vn/Biprica-ctcp-in-va-bao-bi-binh-dinh.htm" TargetMode="External"/><Relationship Id="rId415" Type="http://schemas.openxmlformats.org/officeDocument/2006/relationships/hyperlink" Target="https://finance.vietstock.vn/CKV-ctcp-cokyvina.htm" TargetMode="External"/><Relationship Id="rId622" Type="http://schemas.openxmlformats.org/officeDocument/2006/relationships/hyperlink" Target="https://finance.vietstock.vn/DM7-ctcp-det-may-7.htm" TargetMode="External"/><Relationship Id="rId1045" Type="http://schemas.openxmlformats.org/officeDocument/2006/relationships/hyperlink" Target="https://finance.vietstock.vn/HIS-ctcp-dau-tu-va-kinh-doanh-thuong-mai-vinaconex.htm" TargetMode="External"/><Relationship Id="rId1252" Type="http://schemas.openxmlformats.org/officeDocument/2006/relationships/hyperlink" Target="https://finance.vietstock.vn/JSC-ctcp-dau-tu-va-xay-dung-cau-duong-ha-noi.htm" TargetMode="External"/><Relationship Id="rId2303" Type="http://schemas.openxmlformats.org/officeDocument/2006/relationships/hyperlink" Target="https://finance.vietstock.vn/ThangLongTSC-ctcp-co-gioi-va-xay-dung-thang-long.htm" TargetMode="External"/><Relationship Id="rId2510" Type="http://schemas.openxmlformats.org/officeDocument/2006/relationships/hyperlink" Target="https://finance.vietstock.vn/UXC-ctcp-che-bien-thuy-san-ut-xi.htm" TargetMode="External"/><Relationship Id="rId1112" Type="http://schemas.openxmlformats.org/officeDocument/2006/relationships/hyperlink" Target="https://finance.vietstock.vn/HPP-ctcp-son-hai-phong.htm" TargetMode="External"/><Relationship Id="rId1929" Type="http://schemas.openxmlformats.org/officeDocument/2006/relationships/hyperlink" Target="https://finance.vietstock.vn/RECO-ctcp-co-khi-cao-su.htm" TargetMode="External"/><Relationship Id="rId2093" Type="http://schemas.openxmlformats.org/officeDocument/2006/relationships/hyperlink" Target="https://finance.vietstock.vn/SID-ctcp-dau-tu-phat-trien-sai-gon-co-op.htm" TargetMode="External"/><Relationship Id="rId272" Type="http://schemas.openxmlformats.org/officeDocument/2006/relationships/hyperlink" Target="https://finance.vietstock.vn/BTR-ctcp-duong-sat-binh-tri-thien.htm" TargetMode="External"/><Relationship Id="rId2160" Type="http://schemas.openxmlformats.org/officeDocument/2006/relationships/hyperlink" Target="https://finance.vietstock.vn/SRF-ctcp-searefico.htm" TargetMode="External"/><Relationship Id="rId132" Type="http://schemas.openxmlformats.org/officeDocument/2006/relationships/hyperlink" Target="https://finance.vietstock.vn/BaoBiDuoc-ctcp-bao-bi-duoc.htm" TargetMode="External"/><Relationship Id="rId2020" Type="http://schemas.openxmlformats.org/officeDocument/2006/relationships/hyperlink" Target="https://finance.vietstock.vn/SD1-ctcp-song-da-1.htm" TargetMode="External"/><Relationship Id="rId1579" Type="http://schemas.openxmlformats.org/officeDocument/2006/relationships/hyperlink" Target="https://finance.vietstock.vn/NCG-ctcp-tap-doan-nova-consumer.htm" TargetMode="External"/><Relationship Id="rId949" Type="http://schemas.openxmlformats.org/officeDocument/2006/relationships/hyperlink" Target="https://finance.vietstock.vn/HaiVanNam-ctcp-hai-van-nam.htm" TargetMode="External"/><Relationship Id="rId1786" Type="http://schemas.openxmlformats.org/officeDocument/2006/relationships/hyperlink" Target="https://finance.vietstock.vn/PMC-ctcp-duoc-pham-duoc-lieu-pharmedic.htm" TargetMode="External"/><Relationship Id="rId1993" Type="http://schemas.openxmlformats.org/officeDocument/2006/relationships/hyperlink" Target="https://finance.vietstock.vn/SBG-ctcp-tap-doan-co-khi-cong-nghe-cao-siba.htm" TargetMode="External"/><Relationship Id="rId2837" Type="http://schemas.openxmlformats.org/officeDocument/2006/relationships/hyperlink" Target="https://finance.vietstock.vn/X18-ctcp-xi-mang-x18.htm" TargetMode="External"/><Relationship Id="rId78" Type="http://schemas.openxmlformats.org/officeDocument/2006/relationships/hyperlink" Target="https://finance.vietstock.vn/AnPhuCorp-ctcp-dau-tu-bat-dong-san-an-phu.htm" TargetMode="External"/><Relationship Id="rId809" Type="http://schemas.openxmlformats.org/officeDocument/2006/relationships/hyperlink" Target="https://finance.vietstock.vn/FLC-ctcp-tap-doan-flc.htm" TargetMode="External"/><Relationship Id="rId1439" Type="http://schemas.openxmlformats.org/officeDocument/2006/relationships/hyperlink" Target="https://finance.vietstock.vn/MBCapital-ctcp-quan-ly-quy-dau-tu-mb.htm" TargetMode="External"/><Relationship Id="rId1646" Type="http://schemas.openxmlformats.org/officeDocument/2006/relationships/hyperlink" Target="https://finance.vietstock.vn/NSL-ctcp-cap-nuoc-son-la.htm" TargetMode="External"/><Relationship Id="rId1853" Type="http://schemas.openxmlformats.org/officeDocument/2006/relationships/hyperlink" Target="https://finance.vietstock.vn/PTV-ctcp-thuong-mai-dau-khi.htm" TargetMode="External"/><Relationship Id="rId1506" Type="http://schemas.openxmlformats.org/officeDocument/2006/relationships/hyperlink" Target="https://finance.vietstock.vn/MKV-ctcp-duoc-thu-y-cai-lay.htm" TargetMode="External"/><Relationship Id="rId1713" Type="http://schemas.openxmlformats.org/officeDocument/2006/relationships/hyperlink" Target="https://finance.vietstock.vn/PCF-ctcp-ca-phe-petec.htm" TargetMode="External"/><Relationship Id="rId1920" Type="http://schemas.openxmlformats.org/officeDocument/2006/relationships/hyperlink" Target="https://finance.vietstock.vn/QuyVietCat-ctcp-quan-ly-quy-viet-cat.htm" TargetMode="External"/><Relationship Id="rId599" Type="http://schemas.openxmlformats.org/officeDocument/2006/relationships/hyperlink" Target="https://finance.vietstock.vn/DICThanhBinh-ctcp-dau-tu-phat-trien-xay-dung-thanh-binh.htm" TargetMode="External"/><Relationship Id="rId2487" Type="http://schemas.openxmlformats.org/officeDocument/2006/relationships/hyperlink" Target="https://finance.vietstock.vn/TVU-ctcp-cong-trinh-do-thi-tra-vinh.htm" TargetMode="External"/><Relationship Id="rId2694" Type="http://schemas.openxmlformats.org/officeDocument/2006/relationships/hyperlink" Target="https://finance.vietstock.vn/VIRESCO-ctcp-dia-oc-vinh-long.htm" TargetMode="External"/><Relationship Id="rId459" Type="http://schemas.openxmlformats.org/officeDocument/2006/relationships/hyperlink" Target="https://finance.vietstock.vn/CongTrinhGTDB-ctcp-cong-trinh-giao-thong-tinh-dien-bien.htm" TargetMode="External"/><Relationship Id="rId666" Type="http://schemas.openxmlformats.org/officeDocument/2006/relationships/hyperlink" Target="https://finance.vietstock.vn/DPM-tong-cong-ty-phan-bon-va-hoa-chat-dau-khi-ctcp.htm" TargetMode="External"/><Relationship Id="rId873" Type="http://schemas.openxmlformats.org/officeDocument/2006/relationships/hyperlink" Target="https://finance.vietstock.vn/Geleximco-tap-doan-geleximco-ctcp.htm" TargetMode="External"/><Relationship Id="rId1089" Type="http://schemas.openxmlformats.org/officeDocument/2006/relationships/hyperlink" Target="https://finance.vietstock.vn/HoaDuocVN-ctcp-hoa-duoc-viet-nam.htm" TargetMode="External"/><Relationship Id="rId1296" Type="http://schemas.openxmlformats.org/officeDocument/2006/relationships/hyperlink" Target="https://finance.vietstock.vn/KimLien-ctcp-du-lich-kim-lien.htm" TargetMode="External"/><Relationship Id="rId2347" Type="http://schemas.openxmlformats.org/officeDocument/2006/relationships/hyperlink" Target="https://finance.vietstock.vn/TinHoang-ctcp-khoang-san-tin-hoang.htm" TargetMode="External"/><Relationship Id="rId2554" Type="http://schemas.openxmlformats.org/officeDocument/2006/relationships/hyperlink" Target="https://finance.vietstock.vn/VCP-ctcp-xay-dung-va-nang-luong-vcp.htm" TargetMode="External"/><Relationship Id="rId319" Type="http://schemas.openxmlformats.org/officeDocument/2006/relationships/hyperlink" Target="https://finance.vietstock.vn/CAP-ctcp-lam-nong-san-thuc-pham-yen-bai.htm" TargetMode="External"/><Relationship Id="rId526" Type="http://schemas.openxmlformats.org/officeDocument/2006/relationships/hyperlink" Target="https://finance.vietstock.vn/D26-ctcp-quan-ly-va-xay-dung-duong-bo-26.htm" TargetMode="External"/><Relationship Id="rId1156" Type="http://schemas.openxmlformats.org/officeDocument/2006/relationships/hyperlink" Target="https://finance.vietstock.vn/HU4-ctcp-dau-tu-va-xay-dung-hud4.htm" TargetMode="External"/><Relationship Id="rId1363" Type="http://schemas.openxmlformats.org/officeDocument/2006/relationships/hyperlink" Target="https://finance.vietstock.vn/LCC-ctcp-xi-mang-hong-phong.htm" TargetMode="External"/><Relationship Id="rId2207" Type="http://schemas.openxmlformats.org/officeDocument/2006/relationships/hyperlink" Target="https://finance.vietstock.vn/SZB-ctcp-sonadezi-long-binh.htm" TargetMode="External"/><Relationship Id="rId2761" Type="http://schemas.openxmlformats.org/officeDocument/2006/relationships/hyperlink" Target="https://finance.vietstock.vn/VPG-ctcp-dau-tu-thuong-mai-xuat-nhap-khau-viet-phat.htm" TargetMode="External"/><Relationship Id="rId733" Type="http://schemas.openxmlformats.org/officeDocument/2006/relationships/hyperlink" Target="https://finance.vietstock.vn/DVN-tong-cong-ty-duoc-viet-nam-ctcp.htm" TargetMode="External"/><Relationship Id="rId940" Type="http://schemas.openxmlformats.org/officeDocument/2006/relationships/hyperlink" Target="https://finance.vietstock.vn/HAF-ctcp-thuc-pham-ha-noi.htm" TargetMode="External"/><Relationship Id="rId1016" Type="http://schemas.openxmlformats.org/officeDocument/2006/relationships/hyperlink" Target="https://finance.vietstock.vn/HFB-ctcp-cong-trinh-cau-pha-thanh-pho-ho-chi-minh.htm" TargetMode="External"/><Relationship Id="rId1570" Type="http://schemas.openxmlformats.org/officeDocument/2006/relationships/hyperlink" Target="https://finance.vietstock.vn/NBB-ctcp-dau-tu-nam-bay-bay.htm" TargetMode="External"/><Relationship Id="rId2414" Type="http://schemas.openxmlformats.org/officeDocument/2006/relationships/hyperlink" Target="https://finance.vietstock.vn/TQN-ctcp-thong-quang-ninh.htm" TargetMode="External"/><Relationship Id="rId2621" Type="http://schemas.openxmlformats.org/officeDocument/2006/relationships/hyperlink" Target="https://finance.vietstock.vn/VID-ctcp-dau-tu-phat-trien-thuong-mai-vien-dong.htm" TargetMode="External"/><Relationship Id="rId800" Type="http://schemas.openxmlformats.org/officeDocument/2006/relationships/hyperlink" Target="https://finance.vietstock.vn/FHH-ctcp-dau-tu-kinh-doanh-phat-trien-bat-dong-san-flchomes.htm" TargetMode="External"/><Relationship Id="rId1223" Type="http://schemas.openxmlformats.org/officeDocument/2006/relationships/hyperlink" Target="https://finance.vietstock.vn/INN-ctcp-bao-bi-va-in-nong-nghiep.htm" TargetMode="External"/><Relationship Id="rId1430" Type="http://schemas.openxmlformats.org/officeDocument/2006/relationships/hyperlink" Target="https://finance.vietstock.vn/MayLongAn-ctcp-co-khi-va-che-tao-may-long-an.htm" TargetMode="External"/><Relationship Id="rId176" Type="http://schemas.openxmlformats.org/officeDocument/2006/relationships/hyperlink" Target="https://finance.vietstock.vn/Beta-ctcp-chung-khoan-beta.htm" TargetMode="External"/><Relationship Id="rId383" Type="http://schemas.openxmlformats.org/officeDocument/2006/relationships/hyperlink" Target="https://finance.vietstock.vn/CHP-ctcp-thuy-dien-mien-trung.htm" TargetMode="External"/><Relationship Id="rId590" Type="http://schemas.openxmlformats.org/officeDocument/2006/relationships/hyperlink" Target="https://finance.vietstock.vn/DHG-ctcp-duoc-hau-giang.htm" TargetMode="External"/><Relationship Id="rId2064" Type="http://schemas.openxmlformats.org/officeDocument/2006/relationships/hyperlink" Target="https://finance.vietstock.vn/SGCLInresco-ctcp-dau-tu-va-dia-oc-sai-gon-cho-lon.htm" TargetMode="External"/><Relationship Id="rId2271" Type="http://schemas.openxmlformats.org/officeDocument/2006/relationships/hyperlink" Target="https://finance.vietstock.vn/TD6-ctcp-than-deo-nai-coc-sau-tkv.htm" TargetMode="External"/><Relationship Id="rId243" Type="http://schemas.openxmlformats.org/officeDocument/2006/relationships/hyperlink" Target="https://finance.vietstock.vn/BQP-ctcp-nhua-chat-luong-cao-binh-thuan.htm" TargetMode="External"/><Relationship Id="rId450" Type="http://schemas.openxmlformats.org/officeDocument/2006/relationships/hyperlink" Target="https://finance.vietstock.vn/COM-ctcp-vat-tu-xang-dau.htm" TargetMode="External"/><Relationship Id="rId1080" Type="http://schemas.openxmlformats.org/officeDocument/2006/relationships/hyperlink" Target="https://finance.vietstock.vn/HNM-ctcp-sua-ha-noi.htm" TargetMode="External"/><Relationship Id="rId2131" Type="http://schemas.openxmlformats.org/officeDocument/2006/relationships/hyperlink" Target="https://finance.vietstock.vn/SonBachTuyet-ctcp-son-bach-tuyet.htm" TargetMode="External"/><Relationship Id="rId103" Type="http://schemas.openxmlformats.org/officeDocument/2006/relationships/hyperlink" Target="https://finance.vietstock.vn/ASD-ctcp-song-da-ha-noi.htm" TargetMode="External"/><Relationship Id="rId310" Type="http://schemas.openxmlformats.org/officeDocument/2006/relationships/hyperlink" Target="https://finance.vietstock.vn/Cafatex-ctcp-thuy-san-cafatex.htm" TargetMode="External"/><Relationship Id="rId1897" Type="http://schemas.openxmlformats.org/officeDocument/2006/relationships/hyperlink" Target="https://finance.vietstock.vn/PYU-ctcp-moi-truong-va-cong-trinh-do-thi-phuc-yen.htm" TargetMode="External"/><Relationship Id="rId1757" Type="http://schemas.openxmlformats.org/officeDocument/2006/relationships/hyperlink" Target="https://finance.vietstock.vn/PhuHung-ctcp-bao-hiem-phu-hung.htm" TargetMode="External"/><Relationship Id="rId1964" Type="http://schemas.openxmlformats.org/officeDocument/2006/relationships/hyperlink" Target="https://finance.vietstock.vn/SachBinhDuong-ctcp-sach-thiet-bi-giao-duc-binh-duong.htm" TargetMode="External"/><Relationship Id="rId2808" Type="http://schemas.openxmlformats.org/officeDocument/2006/relationships/hyperlink" Target="https://finance.vietstock.vn/VTO-ctcp-van-tai-xang-dau-vitaco.htm" TargetMode="External"/><Relationship Id="rId49" Type="http://schemas.openxmlformats.org/officeDocument/2006/relationships/hyperlink" Target="https://finance.vietstock.vn/AGP-ctcp-duoc-pham-agimexpharm.htm" TargetMode="External"/><Relationship Id="rId1617" Type="http://schemas.openxmlformats.org/officeDocument/2006/relationships/hyperlink" Target="https://finance.vietstock.vn/NISACO-ctcp-muoi-ninh-thuan.htm" TargetMode="External"/><Relationship Id="rId1824" Type="http://schemas.openxmlformats.org/officeDocument/2006/relationships/hyperlink" Target="https://finance.vietstock.vn/PRT-tong-cong-ty-san-xuat-xuat-nhap-khau-binh-duong-ctcp.htm" TargetMode="External"/><Relationship Id="rId2598" Type="http://schemas.openxmlformats.org/officeDocument/2006/relationships/hyperlink" Target="https://finance.vietstock.vn/VGL-ctcp-ma-kem-cong-nghiep-vingal-vnsteel.htm" TargetMode="External"/><Relationship Id="rId777" Type="http://schemas.openxmlformats.org/officeDocument/2006/relationships/hyperlink" Target="https://finance.vietstock.vn/EVE-ctcp-everpia.htm" TargetMode="External"/><Relationship Id="rId984" Type="http://schemas.openxmlformats.org/officeDocument/2006/relationships/hyperlink" Target="https://finance.vietstock.vn/HCB-ctcp-det-may-29-3.htm" TargetMode="External"/><Relationship Id="rId2458" Type="http://schemas.openxmlformats.org/officeDocument/2006/relationships/hyperlink" Target="https://finance.vietstock.vn/TTN-ctcp-cong-nghe-va-truyen-thong-viet-nam.htm" TargetMode="External"/><Relationship Id="rId2665" Type="http://schemas.openxmlformats.org/officeDocument/2006/relationships/hyperlink" Target="https://finance.vietstock.vn/VinaconexSG-ctcp-vinaconex-sai-gon.htm" TargetMode="External"/><Relationship Id="rId2872" Type="http://schemas.openxmlformats.org/officeDocument/2006/relationships/hyperlink" Target="https://finance.vietstock.vn/XNKThaiBinh-ctcp-xuat-nhap-khau-tinh-thai-binh.htm" TargetMode="External"/><Relationship Id="rId637" Type="http://schemas.openxmlformats.org/officeDocument/2006/relationships/hyperlink" Target="https://finance.vietstock.vn/DNL-ctcp-logistics-cang-da-nang.htm" TargetMode="External"/><Relationship Id="rId844" Type="http://schemas.openxmlformats.org/officeDocument/2006/relationships/hyperlink" Target="https://finance.vietstock.vn/FUEMAVND-chung-chi-quy-etf-mafm-vndiamond.htm" TargetMode="External"/><Relationship Id="rId1267" Type="http://schemas.openxmlformats.org/officeDocument/2006/relationships/hyperlink" Target="https://finance.vietstock.vn/KDH-ctcp-dau-tu-va-kinh-doanh-nha-khang-dien.htm" TargetMode="External"/><Relationship Id="rId1474" Type="http://schemas.openxmlformats.org/officeDocument/2006/relationships/hyperlink" Target="https://finance.vietstock.vn/MEF-ctcp-meinfa.htm" TargetMode="External"/><Relationship Id="rId1681" Type="http://schemas.openxmlformats.org/officeDocument/2006/relationships/hyperlink" Target="https://finance.vietstock.vn/OIL-tong-cong-ty-dau-viet-nam-ctcp.htm" TargetMode="External"/><Relationship Id="rId2318" Type="http://schemas.openxmlformats.org/officeDocument/2006/relationships/hyperlink" Target="https://finance.vietstock.vn/ThethaoHanoi-cong-ty-tnhh-nha-nuoc-mtv-dau-tu-phat-trien-the-thao-ha-noi.htm" TargetMode="External"/><Relationship Id="rId2525" Type="http://schemas.openxmlformats.org/officeDocument/2006/relationships/hyperlink" Target="https://finance.vietstock.vn/VAT-ctcp-vien-thong-van-xuan.htm" TargetMode="External"/><Relationship Id="rId2732" Type="http://schemas.openxmlformats.org/officeDocument/2006/relationships/hyperlink" Target="https://finance.vietstock.vn/VNCafe-tong-cong-ty-ca-phe-viet-nam.htm" TargetMode="External"/><Relationship Id="rId704" Type="http://schemas.openxmlformats.org/officeDocument/2006/relationships/hyperlink" Target="https://finance.vietstock.vn/DTT-ctcp-ky-nghe-do-thanh.htm" TargetMode="External"/><Relationship Id="rId911" Type="http://schemas.openxmlformats.org/officeDocument/2006/relationships/hyperlink" Target="https://finance.vietstock.vn/GMH-ctcp-minh-hung-quang-tri.htm" TargetMode="External"/><Relationship Id="rId1127" Type="http://schemas.openxmlformats.org/officeDocument/2006/relationships/hyperlink" Target="https://finance.vietstock.vn/HSG-ctcp-tap-doan-hoa-sen.htm" TargetMode="External"/><Relationship Id="rId1334" Type="http://schemas.openxmlformats.org/officeDocument/2006/relationships/hyperlink" Target="https://finance.vietstock.vn/KTW-ctcp-cap-nuoc-kon-tum.htm" TargetMode="External"/><Relationship Id="rId1541" Type="http://schemas.openxmlformats.org/officeDocument/2006/relationships/hyperlink" Target="https://finance.vietstock.vn/MTX-ctcp-cong-trinh-do-thi-go-cong.htm" TargetMode="External"/><Relationship Id="rId40" Type="http://schemas.openxmlformats.org/officeDocument/2006/relationships/hyperlink" Target="https://finance.vietstock.vn/AFC-ctcp-nong-lam-nghiep-binh-duong.htm" TargetMode="External"/><Relationship Id="rId1401" Type="http://schemas.openxmlformats.org/officeDocument/2006/relationships/hyperlink" Target="https://finance.vietstock.vn/LMR-ctcp-lien-minh.htm" TargetMode="External"/><Relationship Id="rId287" Type="http://schemas.openxmlformats.org/officeDocument/2006/relationships/hyperlink" Target="https://finance.vietstock.vn/BVL-ctcp-bv-land.htm" TargetMode="External"/><Relationship Id="rId494" Type="http://schemas.openxmlformats.org/officeDocument/2006/relationships/hyperlink" Target="https://finance.vietstock.vn/CTB-ctcp-che-tao-bom-hai-duong.htm" TargetMode="External"/><Relationship Id="rId2175" Type="http://schemas.openxmlformats.org/officeDocument/2006/relationships/hyperlink" Target="https://finance.vietstock.vn/STB-ngan-hang-tmcp-sai-gon-thuong-tin.htm" TargetMode="External"/><Relationship Id="rId2382" Type="http://schemas.openxmlformats.org/officeDocument/2006/relationships/hyperlink" Target="https://finance.vietstock.vn/TMW-ctcp-tong-hop-go-tan-mai.htm" TargetMode="External"/><Relationship Id="rId147" Type="http://schemas.openxmlformats.org/officeDocument/2006/relationships/hyperlink" Target="https://finance.vietstock.vn/BBT-ctcp-bong-bach-tuyet.htm" TargetMode="External"/><Relationship Id="rId354" Type="http://schemas.openxmlformats.org/officeDocument/2006/relationships/hyperlink" Target="https://finance.vietstock.vn/CCS-ctcp-chip-sang.htm" TargetMode="External"/><Relationship Id="rId1191" Type="http://schemas.openxmlformats.org/officeDocument/2006/relationships/hyperlink" Target="https://finance.vietstock.vn/ICN-ctcp-dau-tu-xay-dung-dau-khi-idico.htm" TargetMode="External"/><Relationship Id="rId2035" Type="http://schemas.openxmlformats.org/officeDocument/2006/relationships/hyperlink" Target="https://finance.vietstock.vn/SDG-ctcp-sadico-can-tho.htm" TargetMode="External"/><Relationship Id="rId561" Type="http://schemas.openxmlformats.org/officeDocument/2006/relationships/hyperlink" Target="https://finance.vietstock.vn/DCI-ctcp-cong-nghiep-hoa-chat-da-nang.htm" TargetMode="External"/><Relationship Id="rId2242" Type="http://schemas.openxmlformats.org/officeDocument/2006/relationships/hyperlink" Target="https://finance.vietstock.vn/TAW-ctcp-cap-nuoc-trung-an.htm" TargetMode="External"/><Relationship Id="rId214" Type="http://schemas.openxmlformats.org/officeDocument/2006/relationships/hyperlink" Target="https://finance.vietstock.vn/BLF-ctcp-thuy-san-bac-lieu.htm" TargetMode="External"/><Relationship Id="rId421" Type="http://schemas.openxmlformats.org/officeDocument/2006/relationships/hyperlink" Target="https://finance.vietstock.vn/CLP-ctcp-thuy-san-cuu-long.htm" TargetMode="External"/><Relationship Id="rId1051" Type="http://schemas.openxmlformats.org/officeDocument/2006/relationships/hyperlink" Target="https://finance.vietstock.vn/HKP-ctcp-bao-bi-ha-tien.htm" TargetMode="External"/><Relationship Id="rId2102" Type="http://schemas.openxmlformats.org/officeDocument/2006/relationships/hyperlink" Target="https://finance.vietstock.vn/SJD-ctcp-thuy-dien-can-don.htm" TargetMode="External"/><Relationship Id="rId1868" Type="http://schemas.openxmlformats.org/officeDocument/2006/relationships/hyperlink" Target="https://finance.vietstock.vn/PVI-ctcp-pvi.htm" TargetMode="External"/><Relationship Id="rId1728" Type="http://schemas.openxmlformats.org/officeDocument/2006/relationships/hyperlink" Target="https://finance.vietstock.vn/PEN-ctcp-xay-lap-iii-petrolimex.htm" TargetMode="External"/><Relationship Id="rId1935" Type="http://schemas.openxmlformats.org/officeDocument/2006/relationships/hyperlink" Target="https://finance.vietstock.vn/RGC-ctcp-dau-tu-pv-inconess.htm" TargetMode="External"/><Relationship Id="rId4" Type="http://schemas.openxmlformats.org/officeDocument/2006/relationships/hyperlink" Target="https://finance.vietstock.vn/AAA-ctcp-nhua-an-phat-xanh.htm" TargetMode="External"/><Relationship Id="rId888" Type="http://schemas.openxmlformats.org/officeDocument/2006/relationships/hyperlink" Target="https://finance.vietstock.vn/GiaDungPhongPhu-ctcp-det-gia-dung-phong-phu.htm" TargetMode="External"/><Relationship Id="rId2569" Type="http://schemas.openxmlformats.org/officeDocument/2006/relationships/hyperlink" Target="https://finance.vietstock.vn/VDS-ctcp-chung-khoan-rong-viet.htm" TargetMode="External"/><Relationship Id="rId2776" Type="http://schemas.openxmlformats.org/officeDocument/2006/relationships/hyperlink" Target="https://finance.vietstock.vn/VRTS-ctcp-dich-vu-van-tai-duong-sat.htm" TargetMode="External"/><Relationship Id="rId748" Type="http://schemas.openxmlformats.org/officeDocument/2006/relationships/hyperlink" Target="https://finance.vietstock.vn/DZM-ctcp-co-dien-dzi-an.htm" TargetMode="External"/><Relationship Id="rId955" Type="http://schemas.openxmlformats.org/officeDocument/2006/relationships/hyperlink" Target="https://finance.vietstock.vn/Hanexim-ctcp-xuat-nhap-khau-ha-anh.htm" TargetMode="External"/><Relationship Id="rId1378" Type="http://schemas.openxmlformats.org/officeDocument/2006/relationships/hyperlink" Target="https://finance.vietstock.vn/LHC-ctcp-dau-tu-va-xay-dung-thuy-loi-lam-dong.htm" TargetMode="External"/><Relationship Id="rId1585" Type="http://schemas.openxmlformats.org/officeDocument/2006/relationships/hyperlink" Target="https://finance.vietstock.vn/NDN-ctcp-dau-tu-phat-trien-nha-da-nang.htm" TargetMode="External"/><Relationship Id="rId1792" Type="http://schemas.openxmlformats.org/officeDocument/2006/relationships/hyperlink" Target="https://finance.vietstock.vn/PMS-ctcp-co-khi-xang-dau.htm" TargetMode="External"/><Relationship Id="rId2429" Type="http://schemas.openxmlformats.org/officeDocument/2006/relationships/hyperlink" Target="https://finance.vietstock.vn/TRT-ctcp-redstarcera.htm" TargetMode="External"/><Relationship Id="rId2636" Type="http://schemas.openxmlformats.org/officeDocument/2006/relationships/hyperlink" Target="https://finance.vietstock.vn/Viettel-tap-doan-cong-nghiep-vien-thong-quan-doi-viettel.htm" TargetMode="External"/><Relationship Id="rId2843" Type="http://schemas.openxmlformats.org/officeDocument/2006/relationships/hyperlink" Target="https://finance.vietstock.vn/XayDung204-ctcp-xay-dung-204.htm" TargetMode="External"/><Relationship Id="rId84" Type="http://schemas.openxmlformats.org/officeDocument/2006/relationships/hyperlink" Target="https://finance.vietstock.vn/APG-ctcp-chung-khoan-apg.htm" TargetMode="External"/><Relationship Id="rId608" Type="http://schemas.openxmlformats.org/officeDocument/2006/relationships/hyperlink" Target="https://finance.vietstock.vn/DKG-ctcp-tap-doan-damik.htm" TargetMode="External"/><Relationship Id="rId815" Type="http://schemas.openxmlformats.org/officeDocument/2006/relationships/hyperlink" Target="https://finance.vietstock.vn/FOX-ctcp-vien-thong-fpt.htm" TargetMode="External"/><Relationship Id="rId1238" Type="http://schemas.openxmlformats.org/officeDocument/2006/relationships/hyperlink" Target="https://finance.vietstock.vn/IRC-ctcp-cao-su-cong-nghiep.htm" TargetMode="External"/><Relationship Id="rId1445" Type="http://schemas.openxmlformats.org/officeDocument/2006/relationships/hyperlink" Target="https://finance.vietstock.vn/MC3-ctcp-khoang-san-3-vimico.htm" TargetMode="External"/><Relationship Id="rId1652" Type="http://schemas.openxmlformats.org/officeDocument/2006/relationships/hyperlink" Target="https://finance.vietstock.vn/NTB-ctcp-dau-tu-xay-dung-va-khai-thac-cong-trinh-giao-thong-584.htm" TargetMode="External"/><Relationship Id="rId1305" Type="http://schemas.openxmlformats.org/officeDocument/2006/relationships/hyperlink" Target="https://finance.vietstock.vn/KLB-ngan-hang-tmcp-kien-long.htm" TargetMode="External"/><Relationship Id="rId2703" Type="http://schemas.openxmlformats.org/officeDocument/2006/relationships/hyperlink" Target="https://finance.vietstock.vn/Viwaseen2-ctcp-co-khi-xay-dung-cap-thoat-nuoc-viwaseen-2.htm" TargetMode="External"/><Relationship Id="rId1512" Type="http://schemas.openxmlformats.org/officeDocument/2006/relationships/hyperlink" Target="https://finance.vietstock.vn/MND-ctcp-moi-truong-nam-dinh.htm" TargetMode="External"/><Relationship Id="rId11" Type="http://schemas.openxmlformats.org/officeDocument/2006/relationships/hyperlink" Target="https://finance.vietstock.vn/AAV-ctcp-aav-group.htm" TargetMode="External"/><Relationship Id="rId398" Type="http://schemas.openxmlformats.org/officeDocument/2006/relationships/hyperlink" Target="https://finance.vietstock.vn/CIENCO610-ctcp-xay-dung-cong-trinh-giao-thong-610.htm" TargetMode="External"/><Relationship Id="rId2079" Type="http://schemas.openxmlformats.org/officeDocument/2006/relationships/hyperlink" Target="https://finance.vietstock.vn/SHBS-ctcp-chung-khoan-shb.htm" TargetMode="External"/><Relationship Id="rId2286" Type="http://schemas.openxmlformats.org/officeDocument/2006/relationships/hyperlink" Target="https://finance.vietstock.vn/TEC-ctcp-traenco.htm" TargetMode="External"/><Relationship Id="rId2493" Type="http://schemas.openxmlformats.org/officeDocument/2006/relationships/hyperlink" Target="https://finance.vietstock.vn/UCT-ctcp-do-thi-can-tho.htm" TargetMode="External"/><Relationship Id="rId258" Type="http://schemas.openxmlformats.org/officeDocument/2006/relationships/hyperlink" Target="https://finance.vietstock.vn/BSR-ctcp-loc-hoa-dau-binh-son.htm" TargetMode="External"/><Relationship Id="rId465" Type="http://schemas.openxmlformats.org/officeDocument/2006/relationships/hyperlink" Target="https://finance.vietstock.vn/Cosaco-ctcp-sai-gon-xay-dung.htm" TargetMode="External"/><Relationship Id="rId672" Type="http://schemas.openxmlformats.org/officeDocument/2006/relationships/hyperlink" Target="https://finance.vietstock.vn/DRG-ctcp-cao-su-dak-lak.htm" TargetMode="External"/><Relationship Id="rId1095" Type="http://schemas.openxmlformats.org/officeDocument/2006/relationships/hyperlink" Target="https://finance.vietstock.vn/HongHaInvest-ctcp-dau-tu-va-phat-trien-hong-ha.htm" TargetMode="External"/><Relationship Id="rId2146" Type="http://schemas.openxmlformats.org/officeDocument/2006/relationships/hyperlink" Target="https://finance.vietstock.vn/SPB-ctcp-soi-phu-bai.htm" TargetMode="External"/><Relationship Id="rId2353" Type="http://schemas.openxmlformats.org/officeDocument/2006/relationships/hyperlink" Target="https://finance.vietstock.vn/TJC-ctcp-dich-vu-van-tai-va-thuong-mai.htm" TargetMode="External"/><Relationship Id="rId2560" Type="http://schemas.openxmlformats.org/officeDocument/2006/relationships/hyperlink" Target="https://finance.vietstock.vn/VCW-ctcp-dau-tu-nuoc-sach-song-da.htm" TargetMode="External"/><Relationship Id="rId118" Type="http://schemas.openxmlformats.org/officeDocument/2006/relationships/hyperlink" Target="https://finance.vietstock.vn/AVC-ctcp-thuy-dien-a-vuong.htm" TargetMode="External"/><Relationship Id="rId325" Type="http://schemas.openxmlformats.org/officeDocument/2006/relationships/hyperlink" Target="https://finance.vietstock.vn/CASHIN-ctcp-cong-nghiep-tau-thuy-va-van-tai-can-tho.htm" TargetMode="External"/><Relationship Id="rId532" Type="http://schemas.openxmlformats.org/officeDocument/2006/relationships/hyperlink" Target="https://finance.vietstock.vn/DAG-ctcp-tap-doan-nhua-dong-a.htm" TargetMode="External"/><Relationship Id="rId1162" Type="http://schemas.openxmlformats.org/officeDocument/2006/relationships/hyperlink" Target="https://finance.vietstock.vn/HungPhu-ctcp-hung-phu.htm" TargetMode="External"/><Relationship Id="rId2006" Type="http://schemas.openxmlformats.org/officeDocument/2006/relationships/hyperlink" Target="https://finance.vietstock.vn/SCCV-ctcp-than-mien-nam-vinacomin.htm" TargetMode="External"/><Relationship Id="rId2213" Type="http://schemas.openxmlformats.org/officeDocument/2006/relationships/hyperlink" Target="https://finance.vietstock.vn/TA3-ctcp-dau-tu-va-xay-lap-thanh-an-386.htm" TargetMode="External"/><Relationship Id="rId2420" Type="http://schemas.openxmlformats.org/officeDocument/2006/relationships/hyperlink" Target="https://finance.vietstock.vn/Tracomeco-ctcp-co-khi-xay-dung-giao-thong.htm" TargetMode="External"/><Relationship Id="rId1022" Type="http://schemas.openxmlformats.org/officeDocument/2006/relationships/hyperlink" Target="https://finance.vietstock.vn/HGM-ctcp-co-khi-va-khoang-san-ha-giang.htm" TargetMode="External"/><Relationship Id="rId1979" Type="http://schemas.openxmlformats.org/officeDocument/2006/relationships/hyperlink" Target="https://finance.vietstock.vn/SAL-ctcp-truc-vot-cuu-ho-viet-nam.htm" TargetMode="External"/><Relationship Id="rId1839" Type="http://schemas.openxmlformats.org/officeDocument/2006/relationships/hyperlink" Target="https://finance.vietstock.vn/PTE-ctcp-xi-mang-phu-tho.htm" TargetMode="External"/><Relationship Id="rId182" Type="http://schemas.openxmlformats.org/officeDocument/2006/relationships/hyperlink" Target="https://finance.vietstock.vn/BHA-ctcp-thuy-dien-bac-ha.htm" TargetMode="External"/><Relationship Id="rId1906" Type="http://schemas.openxmlformats.org/officeDocument/2006/relationships/hyperlink" Target="https://finance.vietstock.vn/QNC-ctcp-xi-mang-va-xay-dung-quang-ninh.htm" TargetMode="External"/><Relationship Id="rId2070" Type="http://schemas.openxmlformats.org/officeDocument/2006/relationships/hyperlink" Target="https://finance.vietstock.vn/SGN-ctcp-phuc-vu-mat-dat-sai-gon.htm" TargetMode="External"/><Relationship Id="rId999" Type="http://schemas.openxmlformats.org/officeDocument/2006/relationships/hyperlink" Target="https://finance.vietstock.vn/HDCap-ctcp-quan-ly-quy-hd.htm" TargetMode="External"/><Relationship Id="rId859" Type="http://schemas.openxmlformats.org/officeDocument/2006/relationships/hyperlink" Target="https://finance.vietstock.vn/GCB-ctcp-petec-binh-dinh.htm" TargetMode="External"/><Relationship Id="rId1489" Type="http://schemas.openxmlformats.org/officeDocument/2006/relationships/hyperlink" Target="https://finance.vietstock.vn/MiaDuongBenTre-ctcp-mia-duong-ben-tre.htm" TargetMode="External"/><Relationship Id="rId1696" Type="http://schemas.openxmlformats.org/officeDocument/2006/relationships/hyperlink" Target="https://finance.vietstock.vn/PACKEXIM-ctcp-san-xuat-va-xuat-nhap-khau-bao-bi.htm" TargetMode="External"/><Relationship Id="rId1349" Type="http://schemas.openxmlformats.org/officeDocument/2006/relationships/hyperlink" Target="https://finance.vietstock.vn/LacHong-ctcp-dau-tu-lac-hong.htm" TargetMode="External"/><Relationship Id="rId2747" Type="http://schemas.openxmlformats.org/officeDocument/2006/relationships/hyperlink" Target="https://finance.vietstock.vn/VNPTLAND-ctcp-bat-dong-san-buu-chinh-vien-thong-viet-nam.htm" TargetMode="External"/><Relationship Id="rId719" Type="http://schemas.openxmlformats.org/officeDocument/2006/relationships/hyperlink" Target="https://finance.vietstock.vn/DuocTanPhat-ctcp-duoc-trang-thiet-bi-y-te-tan-phat.htm" TargetMode="External"/><Relationship Id="rId926" Type="http://schemas.openxmlformats.org/officeDocument/2006/relationships/hyperlink" Target="https://finance.vietstock.vn/GTK-ctcp-giay-thuy-khe.htm" TargetMode="External"/><Relationship Id="rId1556" Type="http://schemas.openxmlformats.org/officeDocument/2006/relationships/hyperlink" Target="https://finance.vietstock.vn/Nakydaco-ctcp-dau-thuc-vat-tan-binh.htm" TargetMode="External"/><Relationship Id="rId1763" Type="http://schemas.openxmlformats.org/officeDocument/2006/relationships/hyperlink" Target="https://finance.vietstock.vn/PhuTung-ctcp-xuat-nhap-khau-may-va-phu-tung.htm" TargetMode="External"/><Relationship Id="rId1970" Type="http://schemas.openxmlformats.org/officeDocument/2006/relationships/hyperlink" Target="https://finance.vietstock.vn/Saicom-ctcp-dau-tu-va-xay-dung-buu-chinh-vien-thong.htm" TargetMode="External"/><Relationship Id="rId2607" Type="http://schemas.openxmlformats.org/officeDocument/2006/relationships/hyperlink" Target="https://finance.vietstock.vn/VHF-ctcp-xay-dung-va-che-bien-luong-thuc-vinh-ha.htm" TargetMode="External"/><Relationship Id="rId2814" Type="http://schemas.openxmlformats.org/officeDocument/2006/relationships/hyperlink" Target="https://finance.vietstock.vn/VTSC-ctcp-chung-khoan-viet-thanh.htm" TargetMode="External"/><Relationship Id="rId55" Type="http://schemas.openxmlformats.org/officeDocument/2006/relationships/hyperlink" Target="https://finance.vietstock.vn/AGTourimex-ctcp-du-lich-an-giang.htm" TargetMode="External"/><Relationship Id="rId1209" Type="http://schemas.openxmlformats.org/officeDocument/2006/relationships/hyperlink" Target="https://finance.vietstock.vn/ILA-ctcp-ila.htm" TargetMode="External"/><Relationship Id="rId1416" Type="http://schemas.openxmlformats.org/officeDocument/2006/relationships/hyperlink" Target="https://finance.vietstock.vn/LuongMyPoultry-ctcp-giong-gia-cam-luong-my.htm" TargetMode="External"/><Relationship Id="rId1623" Type="http://schemas.openxmlformats.org/officeDocument/2006/relationships/hyperlink" Target="https://finance.vietstock.vn/NNB-ctcp-cap-thoat-nuoc-ninh-binh.htm" TargetMode="External"/><Relationship Id="rId1830" Type="http://schemas.openxmlformats.org/officeDocument/2006/relationships/hyperlink" Target="https://finance.vietstock.vn/PSH-ctcp-thuong-mai-dau-tu-dau-khi-nam-song-hau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W2902"/>
  <sheetViews>
    <sheetView tabSelected="1" topLeftCell="S1" zoomScale="77" workbookViewId="0">
      <pane ySplit="6" topLeftCell="A10" activePane="bottomLeft" state="frozen"/>
      <selection pane="bottomLeft" activeCell="V10" sqref="V10"/>
    </sheetView>
  </sheetViews>
  <sheetFormatPr defaultColWidth="9.1328125" defaultRowHeight="14.25" x14ac:dyDescent="0.45"/>
  <cols>
    <col min="1" max="2" width="9.06640625" style="3" customWidth="1"/>
    <col min="3" max="3" width="30.1328125" style="3" customWidth="1"/>
    <col min="4" max="4" width="9.1328125" style="3" customWidth="1"/>
    <col min="5" max="16" width="34.265625" style="3" customWidth="1"/>
    <col min="17" max="16384" width="9.1328125" style="3"/>
  </cols>
  <sheetData>
    <row r="3" spans="1:23" ht="25.15" x14ac:dyDescent="0.7">
      <c r="E3" s="1" t="s">
        <v>0</v>
      </c>
      <c r="F3" s="2"/>
      <c r="G3" s="2"/>
      <c r="H3" s="2"/>
      <c r="I3" s="2"/>
      <c r="J3" s="2"/>
    </row>
    <row r="4" spans="1:23" ht="15.4" x14ac:dyDescent="0.45">
      <c r="E4" s="4" t="s">
        <v>1</v>
      </c>
      <c r="F4" s="4"/>
      <c r="G4" s="4"/>
      <c r="H4" s="4"/>
      <c r="I4" s="4"/>
      <c r="J4" s="4"/>
    </row>
    <row r="6" spans="1:23" ht="26.25" x14ac:dyDescent="0.45">
      <c r="A6" s="11" t="s">
        <v>2</v>
      </c>
      <c r="B6" s="11" t="s">
        <v>3</v>
      </c>
      <c r="C6" s="11" t="s">
        <v>4</v>
      </c>
      <c r="D6" s="11" t="s">
        <v>5</v>
      </c>
      <c r="E6" s="11" t="s">
        <v>5785</v>
      </c>
      <c r="F6" s="11" t="s">
        <v>5786</v>
      </c>
      <c r="G6" s="11" t="s">
        <v>5787</v>
      </c>
      <c r="H6" s="11" t="s">
        <v>5788</v>
      </c>
      <c r="I6" s="11" t="s">
        <v>5789</v>
      </c>
      <c r="J6" s="11" t="s">
        <v>6</v>
      </c>
      <c r="K6" s="11" t="s">
        <v>5790</v>
      </c>
      <c r="L6" s="11" t="s">
        <v>5791</v>
      </c>
      <c r="M6" s="11" t="s">
        <v>7</v>
      </c>
      <c r="N6" s="11" t="s">
        <v>8</v>
      </c>
      <c r="O6" s="11" t="s">
        <v>9</v>
      </c>
      <c r="P6" s="11" t="s">
        <v>10</v>
      </c>
      <c r="Q6" s="16" t="s">
        <v>5792</v>
      </c>
      <c r="R6" s="16" t="s">
        <v>5793</v>
      </c>
      <c r="S6" s="11" t="s">
        <v>5794</v>
      </c>
      <c r="T6" s="11" t="s">
        <v>5795</v>
      </c>
      <c r="U6" s="11" t="s">
        <v>5796</v>
      </c>
      <c r="V6" s="11" t="s">
        <v>5797</v>
      </c>
      <c r="W6" s="11" t="s">
        <v>5798</v>
      </c>
    </row>
    <row r="7" spans="1:23" ht="26.25" hidden="1" x14ac:dyDescent="0.45">
      <c r="A7" s="7">
        <v>1</v>
      </c>
      <c r="B7" s="5" t="s">
        <v>11</v>
      </c>
      <c r="C7" s="6" t="s">
        <v>12</v>
      </c>
      <c r="D7" s="6" t="s">
        <v>13</v>
      </c>
      <c r="E7" s="6"/>
      <c r="F7" s="6"/>
      <c r="G7" s="6"/>
      <c r="H7" s="6"/>
      <c r="I7" s="6"/>
      <c r="J7" s="8"/>
      <c r="K7" s="6"/>
      <c r="L7" s="6"/>
      <c r="M7" s="8"/>
      <c r="N7" s="8"/>
      <c r="O7" s="8"/>
      <c r="P7" s="8"/>
      <c r="Q7" s="17" t="e">
        <f>(Table1[[#This Row],[A. TÀI SẢN NGẮN HẠN]]-Table1[[#This Row],[I. Nợ ngắn hạn]])/Table1[[#This Row],[TỔNG CỘNG TÀI SẢN]]</f>
        <v>#DIV/0!</v>
      </c>
      <c r="R7" s="17" t="e">
        <f>Table1[[#This Row],[- LNST chưa phân phối kỳ này]]/Table1[[#This Row],[TỔNG CỘNG TÀI SẢN]]</f>
        <v>#DIV/0!</v>
      </c>
      <c r="S7" s="20" t="e">
        <f>Table1[[#This Row],[5. Lợi nhuận gộp về bán hàng và cung cấp dịch vụ]]/Table1[[#This Row],[TỔNG CỘNG TÀI SẢN]]</f>
        <v>#DIV/0!</v>
      </c>
      <c r="T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7" s="23" t="e">
        <f>Table1[[#This Row],[1. Doanh thu bán hàng và cung cấp dịch vụ ]]/Table1[[#This Row],[TỔNG CỘNG TÀI SẢN]]</f>
        <v>#DIV/0!</v>
      </c>
      <c r="V7" s="23" t="e">
        <f>1.2*Table1[[#This Row],[X1]] + 1.4*Table1[[#This Row],[X2]] + 3.3*Table1[[#This Row],[x3]] + 0.6*Table1[[#This Row],[x4]] + 1*Table1[[#This Row],[x5]]</f>
        <v>#DIV/0!</v>
      </c>
      <c r="W7" s="23" t="e">
        <f>IF(Table1[[#This Row],[Zscore]]&lt;1.81,1,0)</f>
        <v>#DIV/0!</v>
      </c>
    </row>
    <row r="8" spans="1:23" ht="26.25" hidden="1" x14ac:dyDescent="0.45">
      <c r="A8" s="7">
        <v>2</v>
      </c>
      <c r="B8" s="5" t="s">
        <v>14</v>
      </c>
      <c r="C8" s="6" t="s">
        <v>15</v>
      </c>
      <c r="D8" s="6" t="s">
        <v>13</v>
      </c>
      <c r="E8" s="6"/>
      <c r="F8" s="6"/>
      <c r="G8" s="6"/>
      <c r="H8" s="6"/>
      <c r="I8" s="6"/>
      <c r="J8" s="8"/>
      <c r="K8" s="6"/>
      <c r="L8" s="6"/>
      <c r="M8" s="8"/>
      <c r="N8" s="8"/>
      <c r="O8" s="8"/>
      <c r="P8" s="8"/>
      <c r="Q8" s="18" t="e">
        <f>(Table1[[#This Row],[A. TÀI SẢN NGẮN HẠN]]-Table1[[#This Row],[I. Nợ ngắn hạn]])/Table1[[#This Row],[TỔNG CỘNG TÀI SẢN]]</f>
        <v>#DIV/0!</v>
      </c>
      <c r="R8" s="18" t="e">
        <f>Table1[[#This Row],[- LNST chưa phân phối kỳ này]]/Table1[[#This Row],[TỔNG CỘNG TÀI SẢN]]</f>
        <v>#DIV/0!</v>
      </c>
      <c r="S8" s="21" t="e">
        <f>Table1[[#This Row],[5. Lợi nhuận gộp về bán hàng và cung cấp dịch vụ]]/Table1[[#This Row],[TỔNG CỘNG TÀI SẢN]]</f>
        <v>#DIV/0!</v>
      </c>
      <c r="T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8" s="23" t="e">
        <f>Table1[[#This Row],[1. Doanh thu bán hàng và cung cấp dịch vụ ]]/Table1[[#This Row],[TỔNG CỘNG TÀI SẢN]]</f>
        <v>#DIV/0!</v>
      </c>
      <c r="V8" s="23" t="e">
        <f>1.2*Table1[[#This Row],[X1]] + 1.4*Table1[[#This Row],[X2]] + 3.3*Table1[[#This Row],[x3]] + 0.6*Table1[[#This Row],[x4]] + 1*Table1[[#This Row],[x5]]</f>
        <v>#DIV/0!</v>
      </c>
      <c r="W8" s="23" t="e">
        <f>IF(Table1[[#This Row],[Zscore]]&lt;1.81,1,0)</f>
        <v>#DIV/0!</v>
      </c>
    </row>
    <row r="9" spans="1:23" hidden="1" x14ac:dyDescent="0.45">
      <c r="A9" s="7">
        <v>3</v>
      </c>
      <c r="B9" s="5" t="s">
        <v>16</v>
      </c>
      <c r="C9" s="6" t="s">
        <v>17</v>
      </c>
      <c r="D9" s="6" t="s">
        <v>18</v>
      </c>
      <c r="E9" s="6"/>
      <c r="F9" s="6"/>
      <c r="G9" s="6"/>
      <c r="H9" s="6"/>
      <c r="I9" s="6"/>
      <c r="J9" s="8"/>
      <c r="K9" s="6"/>
      <c r="L9" s="6"/>
      <c r="M9" s="8"/>
      <c r="N9" s="8"/>
      <c r="O9" s="8"/>
      <c r="P9" s="8"/>
      <c r="Q9" s="18" t="e">
        <f>(Table1[[#This Row],[A. TÀI SẢN NGẮN HẠN]]-Table1[[#This Row],[I. Nợ ngắn hạn]])/Table1[[#This Row],[TỔNG CỘNG TÀI SẢN]]</f>
        <v>#DIV/0!</v>
      </c>
      <c r="R9" s="18" t="e">
        <f>Table1[[#This Row],[- LNST chưa phân phối kỳ này]]/Table1[[#This Row],[TỔNG CỘNG TÀI SẢN]]</f>
        <v>#DIV/0!</v>
      </c>
      <c r="S9" s="21" t="e">
        <f>Table1[[#This Row],[5. Lợi nhuận gộp về bán hàng và cung cấp dịch vụ]]/Table1[[#This Row],[TỔNG CỘNG TÀI SẢN]]</f>
        <v>#DIV/0!</v>
      </c>
      <c r="T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9" s="23" t="e">
        <f>Table1[[#This Row],[1. Doanh thu bán hàng và cung cấp dịch vụ ]]/Table1[[#This Row],[TỔNG CỘNG TÀI SẢN]]</f>
        <v>#DIV/0!</v>
      </c>
      <c r="V9" s="23" t="e">
        <f>1.2*Table1[[#This Row],[X1]] + 1.4*Table1[[#This Row],[X2]] + 3.3*Table1[[#This Row],[x3]] + 0.6*Table1[[#This Row],[x4]] + 1*Table1[[#This Row],[x5]]</f>
        <v>#DIV/0!</v>
      </c>
      <c r="W9" s="23" t="e">
        <f>IF(Table1[[#This Row],[Zscore]]&lt;1.81,1,0)</f>
        <v>#DIV/0!</v>
      </c>
    </row>
    <row r="10" spans="1:23" x14ac:dyDescent="0.45">
      <c r="A10" s="7">
        <v>4</v>
      </c>
      <c r="B10" s="5" t="s">
        <v>19</v>
      </c>
      <c r="C10" s="6" t="s">
        <v>20</v>
      </c>
      <c r="D10" s="6" t="s">
        <v>21</v>
      </c>
      <c r="E10" s="8">
        <v>12891604733753</v>
      </c>
      <c r="F10" s="8">
        <v>4532817492410</v>
      </c>
      <c r="G10" s="8">
        <v>3279775954320</v>
      </c>
      <c r="H10" s="8">
        <v>296300312631</v>
      </c>
      <c r="I10" s="8">
        <v>1492833438349</v>
      </c>
      <c r="J10" s="8"/>
      <c r="K10" s="8">
        <v>6812374373990</v>
      </c>
      <c r="L10" s="8">
        <v>10733779474757</v>
      </c>
      <c r="M10" s="8">
        <v>3241687726080</v>
      </c>
      <c r="N10" s="8">
        <v>3102692712400</v>
      </c>
      <c r="O10" s="8">
        <v>2771490096000</v>
      </c>
      <c r="P10" s="8">
        <v>3228690386000</v>
      </c>
      <c r="Q10" s="18">
        <f>(Table1[[#This Row],[A. TÀI SẢN NGẮN HẠN]]-Table1[[#This Row],[I. Nợ ngắn hạn]])/Table1[[#This Row],[TỔNG CỘNG TÀI SẢN]]</f>
        <v>9.7198259174768764E-2</v>
      </c>
      <c r="R10" s="18">
        <f>Table1[[#This Row],[- LNST chưa phân phối kỳ này]]/Table1[[#This Row],[TỔNG CỘNG TÀI SẢN]]</f>
        <v>2.2983974357763382E-2</v>
      </c>
      <c r="S10" s="21">
        <f>Table1[[#This Row],[5. Lợi nhuận gộp về bán hàng và cung cấp dịch vụ]]/Table1[[#This Row],[TỔNG CỘNG TÀI SẢN]]</f>
        <v>0.11579888378367979</v>
      </c>
      <c r="T1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0.45301976384372594</v>
      </c>
      <c r="U10" s="23">
        <f>Table1[[#This Row],[1. Doanh thu bán hàng và cung cấp dịch vụ ]]/Table1[[#This Row],[TỔNG CỘNG TÀI SẢN]]</f>
        <v>0.83261779246563861</v>
      </c>
      <c r="V10" s="23">
        <f>1.2*Table1[[#This Row],[X1]] + 1.4*Table1[[#This Row],[X2]] + 3.3*Table1[[#This Row],[x3]] + 0.6*Table1[[#This Row],[x4]] + 1*Table1[[#This Row],[x5]]</f>
        <v>1.6353814423686086</v>
      </c>
      <c r="W10" s="23">
        <f>IF(Table1[[#This Row],[Zscore]]&lt;1.81,1,0)</f>
        <v>1</v>
      </c>
    </row>
    <row r="11" spans="1:23" hidden="1" x14ac:dyDescent="0.45">
      <c r="A11" s="7">
        <v>5</v>
      </c>
      <c r="B11" s="5" t="s">
        <v>22</v>
      </c>
      <c r="C11" s="6" t="s">
        <v>23</v>
      </c>
      <c r="D11" s="6" t="s">
        <v>13</v>
      </c>
      <c r="E11" s="6"/>
      <c r="F11" s="6"/>
      <c r="G11" s="6"/>
      <c r="H11" s="6"/>
      <c r="I11" s="6"/>
      <c r="J11" s="8"/>
      <c r="K11" s="6"/>
      <c r="L11" s="6"/>
      <c r="M11" s="8"/>
      <c r="N11" s="8"/>
      <c r="O11" s="8"/>
      <c r="P11" s="8"/>
      <c r="Q11" s="18" t="e">
        <f>(Table1[[#This Row],[A. TÀI SẢN NGẮN HẠN]]-Table1[[#This Row],[I. Nợ ngắn hạn]])/Table1[[#This Row],[TỔNG CỘNG TÀI SẢN]]</f>
        <v>#DIV/0!</v>
      </c>
      <c r="R11" s="18" t="e">
        <f>Table1[[#This Row],[- LNST chưa phân phối kỳ này]]/Table1[[#This Row],[TỔNG CỘNG TÀI SẢN]]</f>
        <v>#DIV/0!</v>
      </c>
      <c r="S11" s="21" t="e">
        <f>Table1[[#This Row],[5. Lợi nhuận gộp về bán hàng và cung cấp dịch vụ]]/Table1[[#This Row],[TỔNG CỘNG TÀI SẢN]]</f>
        <v>#DIV/0!</v>
      </c>
      <c r="T1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1" s="23" t="e">
        <f>Table1[[#This Row],[1. Doanh thu bán hàng và cung cấp dịch vụ ]]/Table1[[#This Row],[TỔNG CỘNG TÀI SẢN]]</f>
        <v>#DIV/0!</v>
      </c>
      <c r="V11" s="23" t="e">
        <f>1.2*Table1[[#This Row],[X1]] + 1.4*Table1[[#This Row],[X2]] + 3.3*Table1[[#This Row],[x3]] + 0.6*Table1[[#This Row],[x4]] + 1*Table1[[#This Row],[x5]]</f>
        <v>#DIV/0!</v>
      </c>
      <c r="W11" s="23" t="e">
        <f>IF(Table1[[#This Row],[Zscore]]&lt;1.81,1,0)</f>
        <v>#DIV/0!</v>
      </c>
    </row>
    <row r="12" spans="1:23" x14ac:dyDescent="0.45">
      <c r="A12" s="7">
        <v>6</v>
      </c>
      <c r="B12" s="5" t="s">
        <v>24</v>
      </c>
      <c r="C12" s="6" t="s">
        <v>25</v>
      </c>
      <c r="D12" s="6" t="s">
        <v>18</v>
      </c>
      <c r="E12" s="8">
        <v>1450362374818</v>
      </c>
      <c r="F12" s="8">
        <v>427475698871</v>
      </c>
      <c r="G12" s="8">
        <v>260800914445</v>
      </c>
      <c r="H12" s="8">
        <v>-2318923425</v>
      </c>
      <c r="I12" s="8">
        <v>28514078001</v>
      </c>
      <c r="J12" s="8"/>
      <c r="K12" s="8">
        <v>261511195677</v>
      </c>
      <c r="L12" s="8">
        <v>844346681090</v>
      </c>
      <c r="M12" s="8">
        <v>518760000000</v>
      </c>
      <c r="N12" s="8">
        <v>424440000000</v>
      </c>
      <c r="O12" s="8">
        <v>459810000000</v>
      </c>
      <c r="P12" s="8">
        <v>483390000000</v>
      </c>
      <c r="Q12" s="18">
        <f>(Table1[[#This Row],[A. TÀI SẢN NGẮN HẠN]]-Table1[[#This Row],[I. Nợ ngắn hạn]])/Table1[[#This Row],[TỔNG CỘNG TÀI SẢN]]</f>
        <v>0.1149194072597997</v>
      </c>
      <c r="R12" s="18">
        <f>Table1[[#This Row],[- LNST chưa phân phối kỳ này]]/Table1[[#This Row],[TỔNG CỘNG TÀI SẢN]]</f>
        <v>-1.5988579580265188E-3</v>
      </c>
      <c r="S12" s="21">
        <f>Table1[[#This Row],[5. Lợi nhuận gộp về bán hàng và cung cấp dịch vụ]]/Table1[[#This Row],[TỔNG CỘNG TÀI SẢN]]</f>
        <v>1.9659968085271182E-2</v>
      </c>
      <c r="T1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1.8033644746226725</v>
      </c>
      <c r="U12" s="23">
        <f>Table1[[#This Row],[1. Doanh thu bán hàng và cung cấp dịch vụ ]]/Table1[[#This Row],[TỔNG CỘNG TÀI SẢN]]</f>
        <v>0.58216256554225188</v>
      </c>
      <c r="V12" s="23">
        <f>1.2*Table1[[#This Row],[X1]] + 1.4*Table1[[#This Row],[X2]] + 3.3*Table1[[#This Row],[x3]] + 0.6*Table1[[#This Row],[x4]] + 1*Table1[[#This Row],[x5]]</f>
        <v>1.8647240325677727</v>
      </c>
      <c r="W12" s="23">
        <f>IF(Table1[[#This Row],[Zscore]]&lt;1.81,1,0)</f>
        <v>0</v>
      </c>
    </row>
    <row r="13" spans="1:23" x14ac:dyDescent="0.45">
      <c r="A13" s="7">
        <v>7</v>
      </c>
      <c r="B13" s="5" t="s">
        <v>26</v>
      </c>
      <c r="C13" s="6" t="s">
        <v>27</v>
      </c>
      <c r="D13" s="6" t="s">
        <v>21</v>
      </c>
      <c r="E13" s="8">
        <v>201059637425</v>
      </c>
      <c r="F13" s="8">
        <v>170425844120</v>
      </c>
      <c r="G13" s="8">
        <v>1863199302</v>
      </c>
      <c r="H13" s="8">
        <v>1754414717</v>
      </c>
      <c r="I13" s="8">
        <v>21189501414</v>
      </c>
      <c r="J13" s="8"/>
      <c r="K13" s="8">
        <v>2965127522</v>
      </c>
      <c r="L13" s="8">
        <v>170456280065</v>
      </c>
      <c r="M13" s="8">
        <v>73158274000</v>
      </c>
      <c r="N13" s="8">
        <v>72113155800</v>
      </c>
      <c r="O13" s="8">
        <v>70231943040</v>
      </c>
      <c r="P13" s="8">
        <v>74203392200</v>
      </c>
      <c r="Q13" s="18">
        <f>(Table1[[#This Row],[A. TÀI SẢN NGẮN HẠN]]-Table1[[#This Row],[I. Nợ ngắn hạn]])/Table1[[#This Row],[TỔNG CỘNG TÀI SẢN]]</f>
        <v>0.83837137566150166</v>
      </c>
      <c r="R13" s="18">
        <f>Table1[[#This Row],[- LNST chưa phân phối kỳ này]]/Table1[[#This Row],[TỔNG CỘNG TÀI SẢN]]</f>
        <v>8.7258424389352555E-3</v>
      </c>
      <c r="S13" s="21">
        <f>Table1[[#This Row],[5. Lợi nhuận gộp về bán hàng và cung cấp dịch vụ]]/Table1[[#This Row],[TỔNG CỘNG TÀI SẢN]]</f>
        <v>0.10538913570807659</v>
      </c>
      <c r="T1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24.426164042734889</v>
      </c>
      <c r="U13" s="23">
        <f>Table1[[#This Row],[1. Doanh thu bán hàng và cung cấp dịch vụ ]]/Table1[[#This Row],[TỔNG CỘNG TÀI SẢN]]</f>
        <v>0.84778965210550639</v>
      </c>
      <c r="V13" s="23">
        <f>1.2*Table1[[#This Row],[X1]] + 1.4*Table1[[#This Row],[X2]] + 3.3*Table1[[#This Row],[x3]] + 0.6*Table1[[#This Row],[x4]] + 1*Table1[[#This Row],[x5]]</f>
        <v>16.869534055791405</v>
      </c>
      <c r="W13" s="23">
        <f>IF(Table1[[#This Row],[Zscore]]&lt;1.81,1,0)</f>
        <v>0</v>
      </c>
    </row>
    <row r="14" spans="1:23" x14ac:dyDescent="0.45">
      <c r="A14" s="7">
        <v>8</v>
      </c>
      <c r="B14" s="5" t="s">
        <v>28</v>
      </c>
      <c r="C14" s="6" t="s">
        <v>29</v>
      </c>
      <c r="D14" s="6" t="s">
        <v>18</v>
      </c>
      <c r="E14" s="8">
        <v>4266277494937</v>
      </c>
      <c r="F14" s="8">
        <v>4023922290130</v>
      </c>
      <c r="G14" s="8">
        <v>1526937310231</v>
      </c>
      <c r="H14" s="8">
        <v>20710745000</v>
      </c>
      <c r="I14" s="8">
        <v>416367280924</v>
      </c>
      <c r="J14" s="8"/>
      <c r="K14" s="8">
        <v>1615189784461</v>
      </c>
      <c r="L14" s="8">
        <v>541229265634</v>
      </c>
      <c r="M14" s="8">
        <v>1931995976400</v>
      </c>
      <c r="N14" s="8">
        <v>2391995018400</v>
      </c>
      <c r="O14" s="8">
        <v>2046995736900</v>
      </c>
      <c r="P14" s="8">
        <v>2483994826800</v>
      </c>
      <c r="Q14" s="18">
        <f>(Table1[[#This Row],[A. TÀI SẢN NGẮN HẠN]]-Table1[[#This Row],[I. Nợ ngắn hạn]])/Table1[[#This Row],[TỔNG CỘNG TÀI SẢN]]</f>
        <v>0.58528423968255561</v>
      </c>
      <c r="R14" s="18">
        <f>Table1[[#This Row],[- LNST chưa phân phối kỳ này]]/Table1[[#This Row],[TỔNG CỘNG TÀI SẢN]]</f>
        <v>4.8545236507888797E-3</v>
      </c>
      <c r="S14" s="21">
        <f>Table1[[#This Row],[5. Lợi nhuận gộp về bán hàng và cung cấp dịch vụ]]/Table1[[#This Row],[TỔNG CỘNG TÀI SẢN]]</f>
        <v>9.759498331229588E-2</v>
      </c>
      <c r="T1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1.3705791176507114</v>
      </c>
      <c r="U14" s="23">
        <f>Table1[[#This Row],[1. Doanh thu bán hàng và cung cấp dịch vụ ]]/Table1[[#This Row],[TỔNG CỘNG TÀI SẢN]]</f>
        <v>0.12686218050192544</v>
      </c>
      <c r="V14" s="23">
        <f>1.2*Table1[[#This Row],[X1]] + 1.4*Table1[[#This Row],[X2]] + 3.3*Table1[[#This Row],[x3]] + 0.6*Table1[[#This Row],[x4]] + 1*Table1[[#This Row],[x5]]</f>
        <v>1.9804105167530996</v>
      </c>
      <c r="W14" s="23">
        <f>IF(Table1[[#This Row],[Zscore]]&lt;1.81,1,0)</f>
        <v>0</v>
      </c>
    </row>
    <row r="15" spans="1:23" ht="26.25" x14ac:dyDescent="0.45">
      <c r="A15" s="7">
        <v>9</v>
      </c>
      <c r="B15" s="5" t="s">
        <v>30</v>
      </c>
      <c r="C15" s="6" t="s">
        <v>31</v>
      </c>
      <c r="D15" s="6" t="s">
        <v>21</v>
      </c>
      <c r="E15" s="8">
        <v>1476082020585</v>
      </c>
      <c r="F15" s="8">
        <v>503170360447</v>
      </c>
      <c r="G15" s="8">
        <v>343078264885</v>
      </c>
      <c r="H15" s="8">
        <v>20096499006</v>
      </c>
      <c r="I15" s="8">
        <v>87788607810</v>
      </c>
      <c r="J15" s="8"/>
      <c r="K15" s="8">
        <v>711538692524</v>
      </c>
      <c r="L15" s="8">
        <v>1008800601424</v>
      </c>
      <c r="M15" s="8">
        <v>228745702690</v>
      </c>
      <c r="N15" s="8">
        <v>228745702690</v>
      </c>
      <c r="O15" s="8">
        <v>218122837240</v>
      </c>
      <c r="P15" s="8">
        <v>268404400370</v>
      </c>
      <c r="Q15" s="18">
        <f>(Table1[[#This Row],[A. TÀI SẢN NGẮN HẠN]]-Table1[[#This Row],[I. Nợ ngắn hạn]])/Table1[[#This Row],[TỔNG CỘNG TÀI SẢN]]</f>
        <v>0.10845745245142434</v>
      </c>
      <c r="R15" s="18">
        <f>Table1[[#This Row],[- LNST chưa phân phối kỳ này]]/Table1[[#This Row],[TỔNG CỘNG TÀI SẢN]]</f>
        <v>1.3614757666403502E-2</v>
      </c>
      <c r="S15" s="21">
        <f>Table1[[#This Row],[5. Lợi nhuận gộp về bán hàng và cung cấp dịch vụ]]/Table1[[#This Row],[TỔNG CỘNG TÀI SẢN]]</f>
        <v>5.9474071620496852E-2</v>
      </c>
      <c r="T1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0.33168211824199517</v>
      </c>
      <c r="U15" s="23">
        <f>Table1[[#This Row],[1. Doanh thu bán hàng và cung cấp dịch vụ ]]/Table1[[#This Row],[TỔNG CỘNG TÀI SẢN]]</f>
        <v>0.68343126422215528</v>
      </c>
      <c r="V15" s="23">
        <f>1.2*Table1[[#This Row],[X1]] + 1.4*Table1[[#This Row],[X2]] + 3.3*Table1[[#This Row],[x3]] + 0.6*Table1[[#This Row],[x4]] + 1*Table1[[#This Row],[x5]]</f>
        <v>1.2279145751896661</v>
      </c>
      <c r="W15" s="23">
        <f>IF(Table1[[#This Row],[Zscore]]&lt;1.81,1,0)</f>
        <v>1</v>
      </c>
    </row>
    <row r="16" spans="1:23" hidden="1" x14ac:dyDescent="0.45">
      <c r="A16" s="7">
        <v>10</v>
      </c>
      <c r="B16" s="5" t="s">
        <v>32</v>
      </c>
      <c r="C16" s="6" t="s">
        <v>33</v>
      </c>
      <c r="D16" s="6" t="s">
        <v>13</v>
      </c>
      <c r="E16" s="6"/>
      <c r="F16" s="6"/>
      <c r="G16" s="6"/>
      <c r="H16" s="6"/>
      <c r="I16" s="6"/>
      <c r="J16" s="8"/>
      <c r="K16" s="6"/>
      <c r="L16" s="6"/>
      <c r="M16" s="8"/>
      <c r="N16" s="8"/>
      <c r="O16" s="8"/>
      <c r="P16" s="8"/>
      <c r="Q16" s="18" t="e">
        <f>(Table1[[#This Row],[A. TÀI SẢN NGẮN HẠN]]-Table1[[#This Row],[I. Nợ ngắn hạn]])/Table1[[#This Row],[TỔNG CỘNG TÀI SẢN]]</f>
        <v>#DIV/0!</v>
      </c>
      <c r="R16" s="18" t="e">
        <f>Table1[[#This Row],[- LNST chưa phân phối kỳ này]]/Table1[[#This Row],[TỔNG CỘNG TÀI SẢN]]</f>
        <v>#DIV/0!</v>
      </c>
      <c r="S16" s="21" t="e">
        <f>Table1[[#This Row],[5. Lợi nhuận gộp về bán hàng và cung cấp dịch vụ]]/Table1[[#This Row],[TỔNG CỘNG TÀI SẢN]]</f>
        <v>#DIV/0!</v>
      </c>
      <c r="T1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6" s="23" t="e">
        <f>Table1[[#This Row],[1. Doanh thu bán hàng và cung cấp dịch vụ ]]/Table1[[#This Row],[TỔNG CỘNG TÀI SẢN]]</f>
        <v>#DIV/0!</v>
      </c>
      <c r="V16" s="23" t="e">
        <f>1.2*Table1[[#This Row],[X1]] + 1.4*Table1[[#This Row],[X2]] + 3.3*Table1[[#This Row],[x3]] + 0.6*Table1[[#This Row],[x4]] + 1*Table1[[#This Row],[x5]]</f>
        <v>#DIV/0!</v>
      </c>
      <c r="W16" s="23" t="e">
        <f>IF(Table1[[#This Row],[Zscore]]&lt;1.81,1,0)</f>
        <v>#DIV/0!</v>
      </c>
    </row>
    <row r="17" spans="1:23" x14ac:dyDescent="0.45">
      <c r="A17" s="7">
        <v>11</v>
      </c>
      <c r="B17" s="5" t="s">
        <v>34</v>
      </c>
      <c r="C17" s="6" t="s">
        <v>35</v>
      </c>
      <c r="D17" s="6" t="s">
        <v>36</v>
      </c>
      <c r="E17" s="8">
        <v>1433204645250</v>
      </c>
      <c r="F17" s="8">
        <v>646408569952</v>
      </c>
      <c r="G17" s="8">
        <v>351132116118</v>
      </c>
      <c r="H17" s="8">
        <v>-23077550819</v>
      </c>
      <c r="I17" s="8">
        <v>11212644945</v>
      </c>
      <c r="J17" s="8"/>
      <c r="K17" s="8">
        <v>689583792643</v>
      </c>
      <c r="L17" s="8">
        <v>318415287149</v>
      </c>
      <c r="M17" s="8">
        <v>476014860900</v>
      </c>
      <c r="N17" s="8">
        <v>434622264300</v>
      </c>
      <c r="O17" s="8">
        <v>455318562600</v>
      </c>
      <c r="P17" s="8">
        <v>386330901600</v>
      </c>
      <c r="Q17" s="18">
        <f>(Table1[[#This Row],[A. TÀI SẢN NGẮN HẠN]]-Table1[[#This Row],[I. Nợ ngắn hạn]])/Table1[[#This Row],[TỔNG CỘNG TÀI SẢN]]</f>
        <v>0.20602532570112739</v>
      </c>
      <c r="R17" s="18">
        <f>Table1[[#This Row],[- LNST chưa phân phối kỳ này]]/Table1[[#This Row],[TỔNG CỘNG TÀI SẢN]]</f>
        <v>-1.6102062532022066E-2</v>
      </c>
      <c r="S17" s="21">
        <f>Table1[[#This Row],[5. Lợi nhuận gộp về bán hàng và cung cấp dịch vụ]]/Table1[[#This Row],[TỔNG CỘNG TÀI SẢN]]</f>
        <v>7.8234779535229105E-3</v>
      </c>
      <c r="T1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0.63526963948932491</v>
      </c>
      <c r="U17" s="23">
        <f>Table1[[#This Row],[1. Doanh thu bán hàng và cung cấp dịch vụ ]]/Table1[[#This Row],[TỔNG CỘNG TÀI SẢN]]</f>
        <v>0.22217014730192802</v>
      </c>
      <c r="V17" s="23">
        <f>1.2*Table1[[#This Row],[X1]] + 1.4*Table1[[#This Row],[X2]] + 3.3*Table1[[#This Row],[x3]] + 0.6*Table1[[#This Row],[x4]] + 1*Table1[[#This Row],[x5]]</f>
        <v>0.85383691153867058</v>
      </c>
      <c r="W17" s="23">
        <f>IF(Table1[[#This Row],[Zscore]]&lt;1.81,1,0)</f>
        <v>1</v>
      </c>
    </row>
    <row r="18" spans="1:23" x14ac:dyDescent="0.45">
      <c r="A18" s="7">
        <v>12</v>
      </c>
      <c r="B18" s="5" t="s">
        <v>37</v>
      </c>
      <c r="C18" s="6" t="s">
        <v>38</v>
      </c>
      <c r="D18" s="6" t="s">
        <v>18</v>
      </c>
      <c r="E18" s="8">
        <v>220494731000000</v>
      </c>
      <c r="F18" s="6"/>
      <c r="G18" s="6"/>
      <c r="H18" s="6"/>
      <c r="I18" s="6"/>
      <c r="J18" s="8"/>
      <c r="K18" s="8">
        <v>203694036000000</v>
      </c>
      <c r="L18" s="8">
        <v>13604093000000</v>
      </c>
      <c r="M18" s="8">
        <v>8073286743600</v>
      </c>
      <c r="N18" s="8">
        <v>16664091868200</v>
      </c>
      <c r="O18" s="8">
        <v>8694308800800</v>
      </c>
      <c r="P18" s="8">
        <v>12730952172600</v>
      </c>
      <c r="Q18" s="18">
        <f>(Table1[[#This Row],[A. TÀI SẢN NGẮN HẠN]]-Table1[[#This Row],[I. Nợ ngắn hạn]])/Table1[[#This Row],[TỔNG CỘNG TÀI SẢN]]</f>
        <v>0</v>
      </c>
      <c r="R18" s="18">
        <f>Table1[[#This Row],[- LNST chưa phân phối kỳ này]]/Table1[[#This Row],[TỔNG CỘNG TÀI SẢN]]</f>
        <v>0</v>
      </c>
      <c r="S18" s="21">
        <f>Table1[[#This Row],[5. Lợi nhuận gộp về bán hàng và cung cấp dịch vụ]]/Table1[[#This Row],[TỔNG CỘNG TÀI SẢN]]</f>
        <v>0</v>
      </c>
      <c r="T1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5.6656837494741374E-2</v>
      </c>
      <c r="U18" s="23">
        <f>Table1[[#This Row],[1. Doanh thu bán hàng và cung cấp dịch vụ ]]/Table1[[#This Row],[TỔNG CỘNG TÀI SẢN]]</f>
        <v>6.1698041210789749E-2</v>
      </c>
      <c r="V18" s="23">
        <f>1.2*Table1[[#This Row],[X1]] + 1.4*Table1[[#This Row],[X2]] + 3.3*Table1[[#This Row],[x3]] + 0.6*Table1[[#This Row],[x4]] + 1*Table1[[#This Row],[x5]]</f>
        <v>9.5692143707634569E-2</v>
      </c>
      <c r="W18" s="23">
        <f>IF(Table1[[#This Row],[Zscore]]&lt;1.81,1,0)</f>
        <v>1</v>
      </c>
    </row>
    <row r="19" spans="1:23" x14ac:dyDescent="0.45">
      <c r="A19" s="7">
        <v>13</v>
      </c>
      <c r="B19" s="5" t="s">
        <v>39</v>
      </c>
      <c r="C19" s="6" t="s">
        <v>40</v>
      </c>
      <c r="D19" s="6" t="s">
        <v>18</v>
      </c>
      <c r="E19" s="8">
        <v>783029067013</v>
      </c>
      <c r="F19" s="8">
        <v>718897045170</v>
      </c>
      <c r="G19" s="8">
        <v>279742657178</v>
      </c>
      <c r="H19" s="8">
        <v>10869030929</v>
      </c>
      <c r="I19" s="8">
        <v>24926368587</v>
      </c>
      <c r="J19" s="8"/>
      <c r="K19" s="8">
        <v>281282081053</v>
      </c>
      <c r="L19" s="8">
        <v>1320436654028</v>
      </c>
      <c r="M19" s="8">
        <v>234473500000</v>
      </c>
      <c r="N19" s="8">
        <v>226317900000</v>
      </c>
      <c r="O19" s="8">
        <v>214084500000</v>
      </c>
      <c r="P19" s="8">
        <v>218162300000</v>
      </c>
      <c r="Q19" s="18">
        <f>(Table1[[#This Row],[A. TÀI SẢN NGẮN HẠN]]-Table1[[#This Row],[I. Nợ ngắn hạn]])/Table1[[#This Row],[TỔNG CỘNG TÀI SẢN]]</f>
        <v>0.56084046747744687</v>
      </c>
      <c r="R19" s="18">
        <f>Table1[[#This Row],[- LNST chưa phân phối kỳ này]]/Table1[[#This Row],[TỔNG CỘNG TÀI SẢN]]</f>
        <v>1.3880750264433734E-2</v>
      </c>
      <c r="S19" s="21">
        <f>Table1[[#This Row],[5. Lợi nhuận gộp về bán hàng và cung cấp dịch vụ]]/Table1[[#This Row],[TỔNG CỘNG TÀI SẢN]]</f>
        <v>3.1833260905736169E-2</v>
      </c>
      <c r="T1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0.79372119675811403</v>
      </c>
      <c r="U19" s="23">
        <f>Table1[[#This Row],[1. Doanh thu bán hàng và cung cấp dịch vụ ]]/Table1[[#This Row],[TỔNG CỘNG TÀI SẢN]]</f>
        <v>1.6863188221926861</v>
      </c>
      <c r="V19" s="23">
        <f>1.2*Table1[[#This Row],[X1]] + 1.4*Table1[[#This Row],[X2]] + 3.3*Table1[[#This Row],[x3]] + 0.6*Table1[[#This Row],[x4]] + 1*Table1[[#This Row],[x5]]</f>
        <v>2.9600429125796275</v>
      </c>
      <c r="W19" s="23">
        <f>IF(Table1[[#This Row],[Zscore]]&lt;1.81,1,0)</f>
        <v>0</v>
      </c>
    </row>
    <row r="20" spans="1:23" ht="26.25" hidden="1" x14ac:dyDescent="0.45">
      <c r="A20" s="7">
        <v>14</v>
      </c>
      <c r="B20" s="5" t="s">
        <v>41</v>
      </c>
      <c r="C20" s="6" t="s">
        <v>42</v>
      </c>
      <c r="D20" s="6" t="s">
        <v>13</v>
      </c>
      <c r="E20" s="6"/>
      <c r="F20" s="6"/>
      <c r="G20" s="6"/>
      <c r="H20" s="6"/>
      <c r="I20" s="6"/>
      <c r="J20" s="8"/>
      <c r="K20" s="6"/>
      <c r="L20" s="6"/>
      <c r="M20" s="8"/>
      <c r="N20" s="8"/>
      <c r="O20" s="8"/>
      <c r="P20" s="8"/>
      <c r="Q20" s="18" t="e">
        <f>(Table1[[#This Row],[A. TÀI SẢN NGẮN HẠN]]-Table1[[#This Row],[I. Nợ ngắn hạn]])/Table1[[#This Row],[TỔNG CỘNG TÀI SẢN]]</f>
        <v>#DIV/0!</v>
      </c>
      <c r="R20" s="18" t="e">
        <f>Table1[[#This Row],[- LNST chưa phân phối kỳ này]]/Table1[[#This Row],[TỔNG CỘNG TÀI SẢN]]</f>
        <v>#DIV/0!</v>
      </c>
      <c r="S20" s="21" t="e">
        <f>Table1[[#This Row],[5. Lợi nhuận gộp về bán hàng và cung cấp dịch vụ]]/Table1[[#This Row],[TỔNG CỘNG TÀI SẢN]]</f>
        <v>#DIV/0!</v>
      </c>
      <c r="T2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0" s="23" t="e">
        <f>Table1[[#This Row],[1. Doanh thu bán hàng và cung cấp dịch vụ ]]/Table1[[#This Row],[TỔNG CỘNG TÀI SẢN]]</f>
        <v>#DIV/0!</v>
      </c>
      <c r="V20" s="23" t="e">
        <f>1.2*Table1[[#This Row],[X1]] + 1.4*Table1[[#This Row],[X2]] + 3.3*Table1[[#This Row],[x3]] + 0.6*Table1[[#This Row],[x4]] + 1*Table1[[#This Row],[x5]]</f>
        <v>#DIV/0!</v>
      </c>
      <c r="W20" s="23" t="e">
        <f>IF(Table1[[#This Row],[Zscore]]&lt;1.81,1,0)</f>
        <v>#DIV/0!</v>
      </c>
    </row>
    <row r="21" spans="1:23" ht="26.25" x14ac:dyDescent="0.45">
      <c r="A21" s="7">
        <v>15</v>
      </c>
      <c r="B21" s="5" t="s">
        <v>43</v>
      </c>
      <c r="C21" s="6" t="s">
        <v>44</v>
      </c>
      <c r="D21" s="6" t="s">
        <v>18</v>
      </c>
      <c r="E21" s="8">
        <v>4771980517070</v>
      </c>
      <c r="F21" s="8">
        <v>4615333975289</v>
      </c>
      <c r="G21" s="8">
        <v>3016335421234</v>
      </c>
      <c r="H21" s="6"/>
      <c r="I21" s="8">
        <v>779291681884</v>
      </c>
      <c r="J21" s="8"/>
      <c r="K21" s="8">
        <v>3016335421234</v>
      </c>
      <c r="L21" s="8">
        <v>2747278293304</v>
      </c>
      <c r="M21" s="8">
        <v>2157382175000</v>
      </c>
      <c r="N21" s="8">
        <v>2016817876800</v>
      </c>
      <c r="O21" s="8">
        <v>2222426725000</v>
      </c>
      <c r="P21" s="8">
        <v>1665010250000</v>
      </c>
      <c r="Q21" s="18">
        <f>(Table1[[#This Row],[A. TÀI SẢN NGẮN HẠN]]-Table1[[#This Row],[I. Nợ ngắn hạn]])/Table1[[#This Row],[TỔNG CỘNG TÀI SẢN]]</f>
        <v>0.33508069622983006</v>
      </c>
      <c r="R21" s="18">
        <f>Table1[[#This Row],[- LNST chưa phân phối kỳ này]]/Table1[[#This Row],[TỔNG CỘNG TÀI SẢN]]</f>
        <v>0</v>
      </c>
      <c r="S21" s="21">
        <f>Table1[[#This Row],[5. Lợi nhuận gộp về bán hàng và cung cấp dịch vụ]]/Table1[[#This Row],[TỔNG CỘNG TÀI SẢN]]</f>
        <v>0.16330571323507534</v>
      </c>
      <c r="T2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0.66816483422638873</v>
      </c>
      <c r="U21" s="23">
        <f>Table1[[#This Row],[1. Doanh thu bán hàng và cung cấp dịch vụ ]]/Table1[[#This Row],[TỔNG CỘNG TÀI SẢN]]</f>
        <v>0.57571029124629181</v>
      </c>
      <c r="V21" s="23">
        <f>1.2*Table1[[#This Row],[X1]] + 1.4*Table1[[#This Row],[X2]] + 3.3*Table1[[#This Row],[x3]] + 0.6*Table1[[#This Row],[x4]] + 1*Table1[[#This Row],[x5]]</f>
        <v>1.9176148809336695</v>
      </c>
      <c r="W21" s="23">
        <f>IF(Table1[[#This Row],[Zscore]]&lt;1.81,1,0)</f>
        <v>0</v>
      </c>
    </row>
    <row r="22" spans="1:23" x14ac:dyDescent="0.45">
      <c r="A22" s="7">
        <v>16</v>
      </c>
      <c r="B22" s="5" t="s">
        <v>45</v>
      </c>
      <c r="C22" s="6" t="s">
        <v>46</v>
      </c>
      <c r="D22" s="6" t="s">
        <v>21</v>
      </c>
      <c r="E22" s="8">
        <v>284923645031</v>
      </c>
      <c r="F22" s="8">
        <v>152687336537</v>
      </c>
      <c r="G22" s="8">
        <v>46574737501</v>
      </c>
      <c r="H22" s="8">
        <v>6008879885</v>
      </c>
      <c r="I22" s="8">
        <v>23913792301</v>
      </c>
      <c r="J22" s="8"/>
      <c r="K22" s="8">
        <v>53542382422</v>
      </c>
      <c r="L22" s="8">
        <v>25651868351</v>
      </c>
      <c r="M22" s="8">
        <v>257000000000</v>
      </c>
      <c r="N22" s="8">
        <v>258000000000</v>
      </c>
      <c r="O22" s="8">
        <v>258000000000</v>
      </c>
      <c r="P22" s="8">
        <v>299000000000</v>
      </c>
      <c r="Q22" s="18">
        <f>(Table1[[#This Row],[A. TÀI SẢN NGẮN HẠN]]-Table1[[#This Row],[I. Nợ ngắn hạn]])/Table1[[#This Row],[TỔNG CỘNG TÀI SẢN]]</f>
        <v>0.37242468600475342</v>
      </c>
      <c r="R22" s="18">
        <f>Table1[[#This Row],[- LNST chưa phân phối kỳ này]]/Table1[[#This Row],[TỔNG CỘNG TÀI SẢN]]</f>
        <v>2.108943918763298E-2</v>
      </c>
      <c r="S22" s="21">
        <f>Table1[[#This Row],[5. Lợi nhuận gộp về bán hàng và cung cấp dịch vụ]]/Table1[[#This Row],[TỔNG CỘNG TÀI SẢN]]</f>
        <v>8.3930529171765134E-2</v>
      </c>
      <c r="T2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5.0053805579238038</v>
      </c>
      <c r="U22" s="23">
        <f>Table1[[#This Row],[1. Doanh thu bán hàng và cung cấp dịch vụ ]]/Table1[[#This Row],[TỔNG CỘNG TÀI SẢN]]</f>
        <v>9.0030675931472973E-2</v>
      </c>
      <c r="V22" s="23">
        <f>1.2*Table1[[#This Row],[X1]] + 1.4*Table1[[#This Row],[X2]] + 3.3*Table1[[#This Row],[x3]] + 0.6*Table1[[#This Row],[x4]] + 1*Table1[[#This Row],[x5]]</f>
        <v>3.8466645950209704</v>
      </c>
      <c r="W22" s="23">
        <f>IF(Table1[[#This Row],[Zscore]]&lt;1.81,1,0)</f>
        <v>0</v>
      </c>
    </row>
    <row r="23" spans="1:23" ht="26.25" x14ac:dyDescent="0.45">
      <c r="A23" s="7">
        <v>17</v>
      </c>
      <c r="B23" s="5" t="s">
        <v>47</v>
      </c>
      <c r="C23" s="6" t="s">
        <v>48</v>
      </c>
      <c r="D23" s="6" t="s">
        <v>21</v>
      </c>
      <c r="E23" s="8">
        <v>492692411054</v>
      </c>
      <c r="F23" s="8">
        <v>456760234736</v>
      </c>
      <c r="G23" s="8">
        <v>87071456460</v>
      </c>
      <c r="H23" s="8">
        <v>-511237659764</v>
      </c>
      <c r="I23" s="8">
        <v>5978301971</v>
      </c>
      <c r="J23" s="8"/>
      <c r="K23" s="8">
        <v>87531456460</v>
      </c>
      <c r="L23" s="8">
        <v>170024478985</v>
      </c>
      <c r="M23" s="8">
        <v>340800000000</v>
      </c>
      <c r="N23" s="8">
        <v>248800000000</v>
      </c>
      <c r="O23" s="8">
        <v>279200000000</v>
      </c>
      <c r="P23" s="8">
        <v>290400000000</v>
      </c>
      <c r="Q23" s="18">
        <f>(Table1[[#This Row],[A. TÀI SẢN NGẮN HẠN]]-Table1[[#This Row],[I. Nợ ngắn hạn]])/Table1[[#This Row],[TỔNG CỘNG TÀI SẢN]]</f>
        <v>0.75034396711152396</v>
      </c>
      <c r="R23" s="18">
        <f>Table1[[#This Row],[- LNST chưa phân phối kỳ này]]/Table1[[#This Row],[TỔNG CỘNG TÀI SẢN]]</f>
        <v>-1.0376406218036254</v>
      </c>
      <c r="S23" s="21">
        <f>Table1[[#This Row],[5. Lợi nhuận gộp về bán hàng và cung cấp dịch vụ]]/Table1[[#This Row],[TỔNG CỘNG TÀI SẢN]]</f>
        <v>1.2133943687524684E-2</v>
      </c>
      <c r="T2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3.3108097559467935</v>
      </c>
      <c r="U23" s="23">
        <f>Table1[[#This Row],[1. Doanh thu bán hàng và cung cấp dịch vụ ]]/Table1[[#This Row],[TỔNG CỘNG TÀI SẢN]]</f>
        <v>0.34509254693262364</v>
      </c>
      <c r="V23" s="23">
        <f>1.2*Table1[[#This Row],[X1]] + 1.4*Table1[[#This Row],[X2]] + 3.3*Table1[[#This Row],[x3]] + 0.6*Table1[[#This Row],[x4]] + 1*Table1[[#This Row],[x5]]</f>
        <v>1.8193363046782844</v>
      </c>
      <c r="W23" s="23">
        <f>IF(Table1[[#This Row],[Zscore]]&lt;1.81,1,0)</f>
        <v>0</v>
      </c>
    </row>
    <row r="24" spans="1:23" ht="26.25" x14ac:dyDescent="0.45">
      <c r="A24" s="7">
        <v>18</v>
      </c>
      <c r="B24" s="5" t="s">
        <v>49</v>
      </c>
      <c r="C24" s="6" t="s">
        <v>50</v>
      </c>
      <c r="D24" s="6" t="s">
        <v>21</v>
      </c>
      <c r="E24" s="8">
        <v>901752461863</v>
      </c>
      <c r="F24" s="8">
        <v>559170464423</v>
      </c>
      <c r="G24" s="8">
        <v>212869713390</v>
      </c>
      <c r="H24" s="8">
        <v>156103664631</v>
      </c>
      <c r="I24" s="8">
        <v>189831422139</v>
      </c>
      <c r="J24" s="8"/>
      <c r="K24" s="8">
        <v>232283920890</v>
      </c>
      <c r="L24" s="8">
        <v>706986262685</v>
      </c>
      <c r="M24" s="8">
        <v>533509742100</v>
      </c>
      <c r="N24" s="8">
        <v>824407990000</v>
      </c>
      <c r="O24" s="8">
        <v>588862850000</v>
      </c>
      <c r="P24" s="8">
        <v>810275281600</v>
      </c>
      <c r="Q24" s="18">
        <f>(Table1[[#This Row],[A. TÀI SẢN NGẮN HẠN]]-Table1[[#This Row],[I. Nợ ngắn hạn]])/Table1[[#This Row],[TỔNG CỘNG TÀI SẢN]]</f>
        <v>0.38403083515574837</v>
      </c>
      <c r="R24" s="18">
        <f>Table1[[#This Row],[- LNST chưa phân phối kỳ này]]/Table1[[#This Row],[TỔNG CỘNG TÀI SẢN]]</f>
        <v>0.17311143715481894</v>
      </c>
      <c r="S24" s="21">
        <f>Table1[[#This Row],[5. Lợi nhuận gộp về bán hàng và cung cấp dịch vụ]]/Table1[[#This Row],[TỔNG CỘNG TÀI SẢN]]</f>
        <v>0.21051389396466144</v>
      </c>
      <c r="T2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2.9673339561519056</v>
      </c>
      <c r="U24" s="23">
        <f>Table1[[#This Row],[1. Doanh thu bán hàng và cung cấp dịch vụ ]]/Table1[[#This Row],[TỔNG CỘNG TÀI SẢN]]</f>
        <v>0.78401367624146268</v>
      </c>
      <c r="V24" s="23">
        <f>1.2*Table1[[#This Row],[X1]] + 1.4*Table1[[#This Row],[X2]] + 3.3*Table1[[#This Row],[x3]] + 0.6*Table1[[#This Row],[x4]] + 1*Table1[[#This Row],[x5]]</f>
        <v>3.9623029142196335</v>
      </c>
      <c r="W24" s="23">
        <f>IF(Table1[[#This Row],[Zscore]]&lt;1.81,1,0)</f>
        <v>0</v>
      </c>
    </row>
    <row r="25" spans="1:23" x14ac:dyDescent="0.45">
      <c r="A25" s="7">
        <v>19</v>
      </c>
      <c r="B25" s="5" t="s">
        <v>51</v>
      </c>
      <c r="C25" s="6" t="s">
        <v>52</v>
      </c>
      <c r="D25" s="6" t="s">
        <v>18</v>
      </c>
      <c r="E25" s="8">
        <v>4714032275888</v>
      </c>
      <c r="F25" s="8">
        <v>4032869894864</v>
      </c>
      <c r="G25" s="8">
        <v>3107307369379</v>
      </c>
      <c r="H25" s="8">
        <v>41856809289</v>
      </c>
      <c r="I25" s="8">
        <v>425882940351</v>
      </c>
      <c r="J25" s="8"/>
      <c r="K25" s="8">
        <v>3117771571701</v>
      </c>
      <c r="L25" s="8">
        <v>537023929923</v>
      </c>
      <c r="M25" s="8">
        <v>880005000000</v>
      </c>
      <c r="N25" s="8">
        <v>1203685000000</v>
      </c>
      <c r="O25" s="8">
        <v>809200000000</v>
      </c>
      <c r="P25" s="8">
        <v>1112650000000</v>
      </c>
      <c r="Q25" s="18">
        <f>(Table1[[#This Row],[A. TÀI SẢN NGẮN HẠN]]-Table1[[#This Row],[I. Nợ ngắn hạn]])/Table1[[#This Row],[TỔNG CỘNG TÀI SẢN]]</f>
        <v>0.19634200007904026</v>
      </c>
      <c r="R25" s="18">
        <f>Table1[[#This Row],[- LNST chưa phân phối kỳ này]]/Table1[[#This Row],[TỔNG CỘNG TÀI SẢN]]</f>
        <v>8.8791944643856462E-3</v>
      </c>
      <c r="S25" s="21">
        <f>Table1[[#This Row],[5. Lợi nhuận gộp về bán hàng và cung cấp dịch vụ]]/Table1[[#This Row],[TỔNG CỘNG TÀI SẢN]]</f>
        <v>9.0343662373583308E-2</v>
      </c>
      <c r="T2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0.32118613470250562</v>
      </c>
      <c r="U25" s="23">
        <f>Table1[[#This Row],[1. Doanh thu bán hàng và cung cấp dịch vụ ]]/Table1[[#This Row],[TỔNG CỘNG TÀI SẢN]]</f>
        <v>0.11392029126950319</v>
      </c>
      <c r="V25" s="23">
        <f>1.2*Table1[[#This Row],[X1]] + 1.4*Table1[[#This Row],[X2]] + 3.3*Table1[[#This Row],[x3]] + 0.6*Table1[[#This Row],[x4]] + 1*Table1[[#This Row],[x5]]</f>
        <v>0.85280733026881961</v>
      </c>
      <c r="W25" s="23">
        <f>IF(Table1[[#This Row],[Zscore]]&lt;1.81,1,0)</f>
        <v>1</v>
      </c>
    </row>
    <row r="26" spans="1:23" hidden="1" x14ac:dyDescent="0.45">
      <c r="A26" s="7">
        <v>20</v>
      </c>
      <c r="B26" s="5" t="s">
        <v>53</v>
      </c>
      <c r="C26" s="6" t="s">
        <v>54</v>
      </c>
      <c r="D26" s="6" t="s">
        <v>13</v>
      </c>
      <c r="E26" s="6"/>
      <c r="F26" s="6"/>
      <c r="G26" s="6"/>
      <c r="H26" s="6"/>
      <c r="I26" s="6"/>
      <c r="J26" s="8"/>
      <c r="K26" s="6"/>
      <c r="L26" s="6"/>
      <c r="M26" s="8"/>
      <c r="N26" s="8"/>
      <c r="O26" s="8"/>
      <c r="P26" s="8"/>
      <c r="Q26" s="18" t="e">
        <f>(Table1[[#This Row],[A. TÀI SẢN NGẮN HẠN]]-Table1[[#This Row],[I. Nợ ngắn hạn]])/Table1[[#This Row],[TỔNG CỘNG TÀI SẢN]]</f>
        <v>#DIV/0!</v>
      </c>
      <c r="R26" s="18" t="e">
        <f>Table1[[#This Row],[- LNST chưa phân phối kỳ này]]/Table1[[#This Row],[TỔNG CỘNG TÀI SẢN]]</f>
        <v>#DIV/0!</v>
      </c>
      <c r="S26" s="21" t="e">
        <f>Table1[[#This Row],[5. Lợi nhuận gộp về bán hàng và cung cấp dịch vụ]]/Table1[[#This Row],[TỔNG CỘNG TÀI SẢN]]</f>
        <v>#DIV/0!</v>
      </c>
      <c r="T2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6" s="23" t="e">
        <f>Table1[[#This Row],[1. Doanh thu bán hàng và cung cấp dịch vụ ]]/Table1[[#This Row],[TỔNG CỘNG TÀI SẢN]]</f>
        <v>#DIV/0!</v>
      </c>
      <c r="V26" s="23" t="e">
        <f>1.2*Table1[[#This Row],[X1]] + 1.4*Table1[[#This Row],[X2]] + 3.3*Table1[[#This Row],[x3]] + 0.6*Table1[[#This Row],[x4]] + 1*Table1[[#This Row],[x5]]</f>
        <v>#DIV/0!</v>
      </c>
      <c r="W26" s="23" t="e">
        <f>IF(Table1[[#This Row],[Zscore]]&lt;1.81,1,0)</f>
        <v>#DIV/0!</v>
      </c>
    </row>
    <row r="27" spans="1:23" x14ac:dyDescent="0.45">
      <c r="A27" s="7">
        <v>21</v>
      </c>
      <c r="B27" s="5" t="s">
        <v>55</v>
      </c>
      <c r="C27" s="6" t="s">
        <v>56</v>
      </c>
      <c r="D27" s="6" t="s">
        <v>21</v>
      </c>
      <c r="E27" s="8">
        <v>1025850127000000</v>
      </c>
      <c r="F27" s="6"/>
      <c r="G27" s="6"/>
      <c r="H27" s="6"/>
      <c r="I27" s="6"/>
      <c r="J27" s="8"/>
      <c r="K27" s="8">
        <v>931330408000000</v>
      </c>
      <c r="L27" s="8">
        <v>58755829000000</v>
      </c>
      <c r="M27" s="8">
        <v>116133105712000</v>
      </c>
      <c r="N27" s="8">
        <v>123279758376000</v>
      </c>
      <c r="O27" s="8">
        <v>109410785558700</v>
      </c>
      <c r="P27" s="8">
        <v>130984743274500</v>
      </c>
      <c r="Q27" s="18">
        <f>(Table1[[#This Row],[A. TÀI SẢN NGẮN HẠN]]-Table1[[#This Row],[I. Nợ ngắn hạn]])/Table1[[#This Row],[TỔNG CỘNG TÀI SẢN]]</f>
        <v>0</v>
      </c>
      <c r="R27" s="18">
        <f>Table1[[#This Row],[- LNST chưa phân phối kỳ này]]/Table1[[#This Row],[TỔNG CỘNG TÀI SẢN]]</f>
        <v>0</v>
      </c>
      <c r="S27" s="21">
        <f>Table1[[#This Row],[5. Lợi nhuận gộp về bán hàng và cung cấp dịch vụ]]/Table1[[#This Row],[TỔNG CỘNG TÀI SẢN]]</f>
        <v>0</v>
      </c>
      <c r="T2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0.12879650143485918</v>
      </c>
      <c r="U27" s="23">
        <f>Table1[[#This Row],[1. Doanh thu bán hàng và cung cấp dịch vụ ]]/Table1[[#This Row],[TỔNG CỘNG TÀI SẢN]]</f>
        <v>5.7275256349410192E-2</v>
      </c>
      <c r="V27" s="23">
        <f>1.2*Table1[[#This Row],[X1]] + 1.4*Table1[[#This Row],[X2]] + 3.3*Table1[[#This Row],[x3]] + 0.6*Table1[[#This Row],[x4]] + 1*Table1[[#This Row],[x5]]</f>
        <v>0.13455315721032568</v>
      </c>
      <c r="W27" s="23">
        <f>IF(Table1[[#This Row],[Zscore]]&lt;1.81,1,0)</f>
        <v>1</v>
      </c>
    </row>
    <row r="28" spans="1:23" ht="26.25" hidden="1" x14ac:dyDescent="0.45">
      <c r="A28" s="7">
        <v>22</v>
      </c>
      <c r="B28" s="5" t="s">
        <v>57</v>
      </c>
      <c r="C28" s="6" t="s">
        <v>58</v>
      </c>
      <c r="D28" s="6" t="s">
        <v>13</v>
      </c>
      <c r="E28" s="6"/>
      <c r="F28" s="6"/>
      <c r="G28" s="6"/>
      <c r="H28" s="6"/>
      <c r="I28" s="6"/>
      <c r="J28" s="8"/>
      <c r="K28" s="6"/>
      <c r="L28" s="6"/>
      <c r="M28" s="8"/>
      <c r="N28" s="8"/>
      <c r="O28" s="8"/>
      <c r="P28" s="8"/>
      <c r="Q28" s="18" t="e">
        <f>(Table1[[#This Row],[A. TÀI SẢN NGẮN HẠN]]-Table1[[#This Row],[I. Nợ ngắn hạn]])/Table1[[#This Row],[TỔNG CỘNG TÀI SẢN]]</f>
        <v>#DIV/0!</v>
      </c>
      <c r="R28" s="18" t="e">
        <f>Table1[[#This Row],[- LNST chưa phân phối kỳ này]]/Table1[[#This Row],[TỔNG CỘNG TÀI SẢN]]</f>
        <v>#DIV/0!</v>
      </c>
      <c r="S28" s="21" t="e">
        <f>Table1[[#This Row],[5. Lợi nhuận gộp về bán hàng và cung cấp dịch vụ]]/Table1[[#This Row],[TỔNG CỘNG TÀI SẢN]]</f>
        <v>#DIV/0!</v>
      </c>
      <c r="T2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8" s="23" t="e">
        <f>Table1[[#This Row],[1. Doanh thu bán hàng và cung cấp dịch vụ ]]/Table1[[#This Row],[TỔNG CỘNG TÀI SẢN]]</f>
        <v>#DIV/0!</v>
      </c>
      <c r="V28" s="23" t="e">
        <f>1.2*Table1[[#This Row],[X1]] + 1.4*Table1[[#This Row],[X2]] + 3.3*Table1[[#This Row],[x3]] + 0.6*Table1[[#This Row],[x4]] + 1*Table1[[#This Row],[x5]]</f>
        <v>#DIV/0!</v>
      </c>
      <c r="W28" s="23" t="e">
        <f>IF(Table1[[#This Row],[Zscore]]&lt;1.81,1,0)</f>
        <v>#DIV/0!</v>
      </c>
    </row>
    <row r="29" spans="1:23" ht="26.25" hidden="1" x14ac:dyDescent="0.45">
      <c r="A29" s="7">
        <v>23</v>
      </c>
      <c r="B29" s="5" t="s">
        <v>59</v>
      </c>
      <c r="C29" s="6" t="s">
        <v>60</v>
      </c>
      <c r="D29" s="6" t="s">
        <v>13</v>
      </c>
      <c r="E29" s="6"/>
      <c r="F29" s="6"/>
      <c r="G29" s="6"/>
      <c r="H29" s="6"/>
      <c r="I29" s="6"/>
      <c r="J29" s="8"/>
      <c r="K29" s="6"/>
      <c r="L29" s="6"/>
      <c r="M29" s="8"/>
      <c r="N29" s="8"/>
      <c r="O29" s="8"/>
      <c r="P29" s="8"/>
      <c r="Q29" s="18" t="e">
        <f>(Table1[[#This Row],[A. TÀI SẢN NGẮN HẠN]]-Table1[[#This Row],[I. Nợ ngắn hạn]])/Table1[[#This Row],[TỔNG CỘNG TÀI SẢN]]</f>
        <v>#DIV/0!</v>
      </c>
      <c r="R29" s="18" t="e">
        <f>Table1[[#This Row],[- LNST chưa phân phối kỳ này]]/Table1[[#This Row],[TỔNG CỘNG TÀI SẢN]]</f>
        <v>#DIV/0!</v>
      </c>
      <c r="S29" s="21" t="e">
        <f>Table1[[#This Row],[5. Lợi nhuận gộp về bán hàng và cung cấp dịch vụ]]/Table1[[#This Row],[TỔNG CỘNG TÀI SẢN]]</f>
        <v>#DIV/0!</v>
      </c>
      <c r="T2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9" s="23" t="e">
        <f>Table1[[#This Row],[1. Doanh thu bán hàng và cung cấp dịch vụ ]]/Table1[[#This Row],[TỔNG CỘNG TÀI SẢN]]</f>
        <v>#DIV/0!</v>
      </c>
      <c r="V29" s="23" t="e">
        <f>1.2*Table1[[#This Row],[X1]] + 1.4*Table1[[#This Row],[X2]] + 3.3*Table1[[#This Row],[x3]] + 0.6*Table1[[#This Row],[x4]] + 1*Table1[[#This Row],[x5]]</f>
        <v>#DIV/0!</v>
      </c>
      <c r="W29" s="23" t="e">
        <f>IF(Table1[[#This Row],[Zscore]]&lt;1.81,1,0)</f>
        <v>#DIV/0!</v>
      </c>
    </row>
    <row r="30" spans="1:23" ht="26.25" x14ac:dyDescent="0.45">
      <c r="A30" s="7">
        <v>24</v>
      </c>
      <c r="B30" s="5" t="s">
        <v>61</v>
      </c>
      <c r="C30" s="6" t="s">
        <v>62</v>
      </c>
      <c r="D30" s="6" t="s">
        <v>21</v>
      </c>
      <c r="E30" s="8">
        <v>2819289230667</v>
      </c>
      <c r="F30" s="8">
        <v>1542874599035</v>
      </c>
      <c r="G30" s="8">
        <v>882136133596</v>
      </c>
      <c r="H30" s="8">
        <v>52068496271</v>
      </c>
      <c r="I30" s="8">
        <v>111987571105</v>
      </c>
      <c r="J30" s="8"/>
      <c r="K30" s="8">
        <v>1430735803979</v>
      </c>
      <c r="L30" s="8">
        <v>768543904014</v>
      </c>
      <c r="M30" s="8">
        <v>1543499897100</v>
      </c>
      <c r="N30" s="8">
        <v>1454249903050</v>
      </c>
      <c r="O30" s="8">
        <v>1475249901650</v>
      </c>
      <c r="P30" s="8">
        <v>1443749903750</v>
      </c>
      <c r="Q30" s="18">
        <f>(Table1[[#This Row],[A. TÀI SẢN NGẮN HẠN]]-Table1[[#This Row],[I. Nợ ngắn hạn]])/Table1[[#This Row],[TỔNG CỘNG TÀI SẢN]]</f>
        <v>0.23436349071665824</v>
      </c>
      <c r="R30" s="18">
        <f>Table1[[#This Row],[- LNST chưa phân phối kỳ này]]/Table1[[#This Row],[TỔNG CỘNG TÀI SẢN]]</f>
        <v>1.8468660719383304E-2</v>
      </c>
      <c r="S30" s="21">
        <f>Table1[[#This Row],[5. Lợi nhuận gộp về bán hàng và cung cấp dịch vụ]]/Table1[[#This Row],[TỔNG CỘNG TÀI SẢN]]</f>
        <v>3.9721916391850819E-2</v>
      </c>
      <c r="T3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1.0338648108712678</v>
      </c>
      <c r="U30" s="23">
        <f>Table1[[#This Row],[1. Doanh thu bán hàng và cung cấp dịch vụ ]]/Table1[[#This Row],[TỔNG CỘNG TÀI SẢN]]</f>
        <v>0.27260200750391772</v>
      </c>
      <c r="V30" s="23">
        <f>1.2*Table1[[#This Row],[X1]] + 1.4*Table1[[#This Row],[X2]] + 3.3*Table1[[#This Row],[x3]] + 0.6*Table1[[#This Row],[x4]] + 1*Table1[[#This Row],[x5]]</f>
        <v>1.3310955319869124</v>
      </c>
      <c r="W30" s="23">
        <f>IF(Table1[[#This Row],[Zscore]]&lt;1.81,1,0)</f>
        <v>1</v>
      </c>
    </row>
    <row r="31" spans="1:23" ht="26.25" hidden="1" x14ac:dyDescent="0.45">
      <c r="A31" s="7">
        <v>25</v>
      </c>
      <c r="B31" s="5" t="s">
        <v>63</v>
      </c>
      <c r="C31" s="6" t="s">
        <v>64</v>
      </c>
      <c r="D31" s="6" t="s">
        <v>13</v>
      </c>
      <c r="E31" s="6"/>
      <c r="F31" s="6"/>
      <c r="G31" s="6"/>
      <c r="H31" s="6"/>
      <c r="I31" s="6"/>
      <c r="J31" s="8"/>
      <c r="K31" s="6"/>
      <c r="L31" s="6"/>
      <c r="M31" s="8"/>
      <c r="N31" s="8"/>
      <c r="O31" s="8"/>
      <c r="P31" s="8"/>
      <c r="Q31" s="18" t="e">
        <f>(Table1[[#This Row],[A. TÀI SẢN NGẮN HẠN]]-Table1[[#This Row],[I. Nợ ngắn hạn]])/Table1[[#This Row],[TỔNG CỘNG TÀI SẢN]]</f>
        <v>#DIV/0!</v>
      </c>
      <c r="R31" s="18" t="e">
        <f>Table1[[#This Row],[- LNST chưa phân phối kỳ này]]/Table1[[#This Row],[TỔNG CỘNG TÀI SẢN]]</f>
        <v>#DIV/0!</v>
      </c>
      <c r="S31" s="21" t="e">
        <f>Table1[[#This Row],[5. Lợi nhuận gộp về bán hàng và cung cấp dịch vụ]]/Table1[[#This Row],[TỔNG CỘNG TÀI SẢN]]</f>
        <v>#DIV/0!</v>
      </c>
      <c r="T3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31" s="23" t="e">
        <f>Table1[[#This Row],[1. Doanh thu bán hàng và cung cấp dịch vụ ]]/Table1[[#This Row],[TỔNG CỘNG TÀI SẢN]]</f>
        <v>#DIV/0!</v>
      </c>
      <c r="V31" s="23" t="e">
        <f>1.2*Table1[[#This Row],[X1]] + 1.4*Table1[[#This Row],[X2]] + 3.3*Table1[[#This Row],[x3]] + 0.6*Table1[[#This Row],[x4]] + 1*Table1[[#This Row],[x5]]</f>
        <v>#DIV/0!</v>
      </c>
      <c r="W31" s="23" t="e">
        <f>IF(Table1[[#This Row],[Zscore]]&lt;1.81,1,0)</f>
        <v>#DIV/0!</v>
      </c>
    </row>
    <row r="32" spans="1:23" hidden="1" x14ac:dyDescent="0.45">
      <c r="A32" s="7">
        <v>26</v>
      </c>
      <c r="B32" s="5" t="s">
        <v>65</v>
      </c>
      <c r="C32" s="6" t="s">
        <v>66</v>
      </c>
      <c r="D32" s="6" t="s">
        <v>18</v>
      </c>
      <c r="E32" s="8">
        <v>161646758861</v>
      </c>
      <c r="F32" s="8">
        <v>138406403063</v>
      </c>
      <c r="G32" s="8">
        <v>86860605859</v>
      </c>
      <c r="H32" s="8">
        <v>17181299563</v>
      </c>
      <c r="I32" s="8">
        <v>62238692268</v>
      </c>
      <c r="J32" s="8"/>
      <c r="K32" s="8">
        <v>87916432859</v>
      </c>
      <c r="L32" s="8">
        <v>359975345140</v>
      </c>
      <c r="M32" s="8"/>
      <c r="N32" s="8"/>
      <c r="O32" s="8"/>
      <c r="P32" s="8"/>
      <c r="Q32" s="18">
        <f>(Table1[[#This Row],[A. TÀI SẢN NGẮN HẠN]]-Table1[[#This Row],[I. Nợ ngắn hạn]])/Table1[[#This Row],[TỔNG CỘNG TÀI SẢN]]</f>
        <v>0.31887924983589816</v>
      </c>
      <c r="R32" s="18">
        <f>Table1[[#This Row],[- LNST chưa phân phối kỳ này]]/Table1[[#This Row],[TỔNG CỘNG TÀI SẢN]]</f>
        <v>0.10628916833262456</v>
      </c>
      <c r="S32" s="21">
        <f>Table1[[#This Row],[5. Lợi nhuận gộp về bán hàng và cung cấp dịch vụ]]/Table1[[#This Row],[TỔNG CỘNG TÀI SẢN]]</f>
        <v>0.38502901454101551</v>
      </c>
      <c r="T3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32" s="23">
        <f>Table1[[#This Row],[1. Doanh thu bán hàng và cung cấp dịch vụ ]]/Table1[[#This Row],[TỔNG CỘNG TÀI SẢN]]</f>
        <v>2.2269258454451455</v>
      </c>
      <c r="V32" s="23" t="e">
        <f>1.2*Table1[[#This Row],[X1]] + 1.4*Table1[[#This Row],[X2]] + 3.3*Table1[[#This Row],[x3]] + 0.6*Table1[[#This Row],[x4]] + 1*Table1[[#This Row],[x5]]</f>
        <v>#DIV/0!</v>
      </c>
      <c r="W32" s="23" t="e">
        <f>IF(Table1[[#This Row],[Zscore]]&lt;1.81,1,0)</f>
        <v>#DIV/0!</v>
      </c>
    </row>
    <row r="33" spans="1:23" x14ac:dyDescent="0.45">
      <c r="A33" s="7">
        <v>27</v>
      </c>
      <c r="B33" s="5" t="s">
        <v>67</v>
      </c>
      <c r="C33" s="6" t="s">
        <v>68</v>
      </c>
      <c r="D33" s="6" t="s">
        <v>21</v>
      </c>
      <c r="E33" s="8">
        <v>6971999972968</v>
      </c>
      <c r="F33" s="8">
        <v>5150094439590</v>
      </c>
      <c r="G33" s="8">
        <v>2489191555790</v>
      </c>
      <c r="H33" s="8">
        <v>503989024378</v>
      </c>
      <c r="I33" s="8">
        <v>1345311950074</v>
      </c>
      <c r="J33" s="8"/>
      <c r="K33" s="8">
        <v>2562962434202</v>
      </c>
      <c r="L33" s="8">
        <v>4647959533708</v>
      </c>
      <c r="M33" s="8">
        <v>5858111702100</v>
      </c>
      <c r="N33" s="8">
        <v>5360511480300</v>
      </c>
      <c r="O33" s="8">
        <v>5428366056000</v>
      </c>
      <c r="P33" s="8">
        <v>5398208466800</v>
      </c>
      <c r="Q33" s="18">
        <f>(Table1[[#This Row],[A. TÀI SẢN NGẮN HẠN]]-Table1[[#This Row],[I. Nợ ngắn hạn]])/Table1[[#This Row],[TỔNG CỘNG TÀI SẢN]]</f>
        <v>0.38165560730305714</v>
      </c>
      <c r="R33" s="18">
        <f>Table1[[#This Row],[- LNST chưa phân phối kỳ này]]/Table1[[#This Row],[TỔNG CỘNG TÀI SẢN]]</f>
        <v>7.2287582663809233E-2</v>
      </c>
      <c r="S33" s="21">
        <f>Table1[[#This Row],[5. Lợi nhuận gộp về bán hàng và cung cấp dịch vụ]]/Table1[[#This Row],[TỔNG CỘNG TÀI SẢN]]</f>
        <v>0.19295925922118112</v>
      </c>
      <c r="T3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2.1503629365586039</v>
      </c>
      <c r="U33" s="23">
        <f>Table1[[#This Row],[1. Doanh thu bán hàng và cung cấp dịch vụ ]]/Table1[[#This Row],[TỔNG CỘNG TÀI SẢN]]</f>
        <v>0.6666608651361412</v>
      </c>
      <c r="V33" s="23">
        <f>1.2*Table1[[#This Row],[X1]] + 1.4*Table1[[#This Row],[X2]] + 3.3*Table1[[#This Row],[x3]] + 0.6*Table1[[#This Row],[x4]] + 1*Table1[[#This Row],[x5]]</f>
        <v>3.1528335269942027</v>
      </c>
      <c r="W33" s="23">
        <f>IF(Table1[[#This Row],[Zscore]]&lt;1.81,1,0)</f>
        <v>0</v>
      </c>
    </row>
    <row r="34" spans="1:23" hidden="1" x14ac:dyDescent="0.45">
      <c r="A34" s="7">
        <v>28</v>
      </c>
      <c r="B34" s="5" t="s">
        <v>69</v>
      </c>
      <c r="C34" s="6" t="s">
        <v>70</v>
      </c>
      <c r="D34" s="6" t="s">
        <v>13</v>
      </c>
      <c r="E34" s="6"/>
      <c r="F34" s="6"/>
      <c r="G34" s="6"/>
      <c r="H34" s="6"/>
      <c r="I34" s="6"/>
      <c r="J34" s="8"/>
      <c r="K34" s="6"/>
      <c r="L34" s="6"/>
      <c r="M34" s="8"/>
      <c r="N34" s="8"/>
      <c r="O34" s="8"/>
      <c r="P34" s="8"/>
      <c r="Q34" s="18" t="e">
        <f>(Table1[[#This Row],[A. TÀI SẢN NGẮN HẠN]]-Table1[[#This Row],[I. Nợ ngắn hạn]])/Table1[[#This Row],[TỔNG CỘNG TÀI SẢN]]</f>
        <v>#DIV/0!</v>
      </c>
      <c r="R34" s="18" t="e">
        <f>Table1[[#This Row],[- LNST chưa phân phối kỳ này]]/Table1[[#This Row],[TỔNG CỘNG TÀI SẢN]]</f>
        <v>#DIV/0!</v>
      </c>
      <c r="S34" s="21" t="e">
        <f>Table1[[#This Row],[5. Lợi nhuận gộp về bán hàng và cung cấp dịch vụ]]/Table1[[#This Row],[TỔNG CỘNG TÀI SẢN]]</f>
        <v>#DIV/0!</v>
      </c>
      <c r="T3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34" s="23" t="e">
        <f>Table1[[#This Row],[1. Doanh thu bán hàng và cung cấp dịch vụ ]]/Table1[[#This Row],[TỔNG CỘNG TÀI SẢN]]</f>
        <v>#DIV/0!</v>
      </c>
      <c r="V34" s="23" t="e">
        <f>1.2*Table1[[#This Row],[X1]] + 1.4*Table1[[#This Row],[X2]] + 3.3*Table1[[#This Row],[x3]] + 0.6*Table1[[#This Row],[x4]] + 1*Table1[[#This Row],[x5]]</f>
        <v>#DIV/0!</v>
      </c>
      <c r="W34" s="23" t="e">
        <f>IF(Table1[[#This Row],[Zscore]]&lt;1.81,1,0)</f>
        <v>#DIV/0!</v>
      </c>
    </row>
    <row r="35" spans="1:23" ht="26.25" x14ac:dyDescent="0.45">
      <c r="A35" s="7">
        <v>29</v>
      </c>
      <c r="B35" s="5" t="s">
        <v>71</v>
      </c>
      <c r="C35" s="6" t="s">
        <v>72</v>
      </c>
      <c r="D35" s="6" t="s">
        <v>21</v>
      </c>
      <c r="E35" s="8">
        <v>1560534032035</v>
      </c>
      <c r="F35" s="8">
        <v>1293740454779</v>
      </c>
      <c r="G35" s="8">
        <v>712200563238</v>
      </c>
      <c r="H35" s="8">
        <v>38426324932</v>
      </c>
      <c r="I35" s="8">
        <v>265985084673</v>
      </c>
      <c r="J35" s="8"/>
      <c r="K35" s="8">
        <v>712200563238</v>
      </c>
      <c r="L35" s="8">
        <v>2122252726597</v>
      </c>
      <c r="M35" s="8">
        <v>556765110900</v>
      </c>
      <c r="N35" s="8">
        <v>727305775500</v>
      </c>
      <c r="O35" s="8">
        <v>554257159950</v>
      </c>
      <c r="P35" s="8">
        <v>667114952700</v>
      </c>
      <c r="Q35" s="18">
        <f>(Table1[[#This Row],[A. TÀI SẢN NGẮN HẠN]]-Table1[[#This Row],[I. Nợ ngắn hạn]])/Table1[[#This Row],[TỔNG CỘNG TÀI SẢN]]</f>
        <v>0.37265441163282309</v>
      </c>
      <c r="R35" s="18">
        <f>Table1[[#This Row],[- LNST chưa phân phối kỳ này]]/Table1[[#This Row],[TỔNG CỘNG TÀI SẢN]]</f>
        <v>2.4623830139667319E-2</v>
      </c>
      <c r="S35" s="21">
        <f>Table1[[#This Row],[5. Lợi nhuận gộp về bán hàng và cung cấp dịch vụ]]/Table1[[#This Row],[TỔNG CỘNG TÀI SẢN]]</f>
        <v>0.17044491130138612</v>
      </c>
      <c r="T3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0.87947241562793532</v>
      </c>
      <c r="U35" s="23">
        <f>Table1[[#This Row],[1. Doanh thu bán hàng và cung cấp dịch vụ ]]/Table1[[#This Row],[TỔNG CỘNG TÀI SẢN]]</f>
        <v>1.3599528642316732</v>
      </c>
      <c r="V35" s="23">
        <f>1.2*Table1[[#This Row],[X1]] + 1.4*Table1[[#This Row],[X2]] + 3.3*Table1[[#This Row],[x3]] + 0.6*Table1[[#This Row],[x4]] + 1*Table1[[#This Row],[x5]]</f>
        <v>2.9317631770579307</v>
      </c>
      <c r="W35" s="23">
        <f>IF(Table1[[#This Row],[Zscore]]&lt;1.81,1,0)</f>
        <v>0</v>
      </c>
    </row>
    <row r="36" spans="1:23" ht="39" hidden="1" x14ac:dyDescent="0.45">
      <c r="A36" s="7">
        <v>30</v>
      </c>
      <c r="B36" s="5" t="s">
        <v>73</v>
      </c>
      <c r="C36" s="6" t="s">
        <v>74</v>
      </c>
      <c r="D36" s="6" t="s">
        <v>13</v>
      </c>
      <c r="E36" s="6"/>
      <c r="F36" s="6"/>
      <c r="G36" s="6"/>
      <c r="H36" s="6"/>
      <c r="I36" s="6"/>
      <c r="J36" s="8"/>
      <c r="K36" s="6"/>
      <c r="L36" s="6"/>
      <c r="M36" s="8"/>
      <c r="N36" s="8"/>
      <c r="O36" s="8"/>
      <c r="P36" s="8"/>
      <c r="Q36" s="18" t="e">
        <f>(Table1[[#This Row],[A. TÀI SẢN NGẮN HẠN]]-Table1[[#This Row],[I. Nợ ngắn hạn]])/Table1[[#This Row],[TỔNG CỘNG TÀI SẢN]]</f>
        <v>#DIV/0!</v>
      </c>
      <c r="R36" s="18" t="e">
        <f>Table1[[#This Row],[- LNST chưa phân phối kỳ này]]/Table1[[#This Row],[TỔNG CỘNG TÀI SẢN]]</f>
        <v>#DIV/0!</v>
      </c>
      <c r="S36" s="21" t="e">
        <f>Table1[[#This Row],[5. Lợi nhuận gộp về bán hàng và cung cấp dịch vụ]]/Table1[[#This Row],[TỔNG CỘNG TÀI SẢN]]</f>
        <v>#DIV/0!</v>
      </c>
      <c r="T3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36" s="23" t="e">
        <f>Table1[[#This Row],[1. Doanh thu bán hàng và cung cấp dịch vụ ]]/Table1[[#This Row],[TỔNG CỘNG TÀI SẢN]]</f>
        <v>#DIV/0!</v>
      </c>
      <c r="V36" s="23" t="e">
        <f>1.2*Table1[[#This Row],[X1]] + 1.4*Table1[[#This Row],[X2]] + 3.3*Table1[[#This Row],[x3]] + 0.6*Table1[[#This Row],[x4]] + 1*Table1[[#This Row],[x5]]</f>
        <v>#DIV/0!</v>
      </c>
      <c r="W36" s="23" t="e">
        <f>IF(Table1[[#This Row],[Zscore]]&lt;1.81,1,0)</f>
        <v>#DIV/0!</v>
      </c>
    </row>
    <row r="37" spans="1:23" ht="26.25" x14ac:dyDescent="0.45">
      <c r="A37" s="7">
        <v>31</v>
      </c>
      <c r="B37" s="5" t="s">
        <v>75</v>
      </c>
      <c r="C37" s="6" t="s">
        <v>76</v>
      </c>
      <c r="D37" s="6" t="s">
        <v>18</v>
      </c>
      <c r="E37" s="8">
        <v>530887691947</v>
      </c>
      <c r="F37" s="8">
        <v>204419970063</v>
      </c>
      <c r="G37" s="8">
        <v>207883101644</v>
      </c>
      <c r="H37" s="8">
        <v>-9818893300</v>
      </c>
      <c r="I37" s="6"/>
      <c r="J37" s="8"/>
      <c r="K37" s="8">
        <v>207883101644</v>
      </c>
      <c r="L37" s="6"/>
      <c r="M37" s="8"/>
      <c r="N37" s="8">
        <v>25500000000</v>
      </c>
      <c r="O37" s="8">
        <v>30600000000</v>
      </c>
      <c r="P37" s="8"/>
      <c r="Q37" s="18">
        <f>(Table1[[#This Row],[A. TÀI SẢN NGẮN HẠN]]-Table1[[#This Row],[I. Nợ ngắn hạn]])/Table1[[#This Row],[TỔNG CỘNG TÀI SẢN]]</f>
        <v>-6.5232847427657715E-3</v>
      </c>
      <c r="R37" s="18">
        <f>Table1[[#This Row],[- LNST chưa phân phối kỳ này]]/Table1[[#This Row],[TỔNG CỘNG TÀI SẢN]]</f>
        <v>-1.8495236278674637E-2</v>
      </c>
      <c r="S37" s="21">
        <f>Table1[[#This Row],[5. Lợi nhuận gộp về bán hàng và cung cấp dịch vụ]]/Table1[[#This Row],[TỔNG CỘNG TÀI SẢN]]</f>
        <v>0</v>
      </c>
      <c r="T3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0.13493160231963275</v>
      </c>
      <c r="U37" s="23">
        <f>Table1[[#This Row],[1. Doanh thu bán hàng và cung cấp dịch vụ ]]/Table1[[#This Row],[TỔNG CỘNG TÀI SẢN]]</f>
        <v>0</v>
      </c>
      <c r="V37" s="23">
        <f>1.2*Table1[[#This Row],[X1]] + 1.4*Table1[[#This Row],[X2]] + 3.3*Table1[[#This Row],[x3]] + 0.6*Table1[[#This Row],[x4]] + 1*Table1[[#This Row],[x5]]</f>
        <v>4.7237688910316232E-2</v>
      </c>
      <c r="W37" s="23">
        <f>IF(Table1[[#This Row],[Zscore]]&lt;1.81,1,0)</f>
        <v>1</v>
      </c>
    </row>
    <row r="38" spans="1:23" hidden="1" x14ac:dyDescent="0.45">
      <c r="A38" s="7">
        <v>32</v>
      </c>
      <c r="B38" s="5" t="s">
        <v>77</v>
      </c>
      <c r="C38" s="6" t="s">
        <v>78</v>
      </c>
      <c r="D38" s="6" t="s">
        <v>18</v>
      </c>
      <c r="E38" s="6"/>
      <c r="F38" s="6"/>
      <c r="G38" s="6"/>
      <c r="H38" s="6"/>
      <c r="I38" s="6"/>
      <c r="J38" s="8"/>
      <c r="K38" s="6"/>
      <c r="L38" s="6"/>
      <c r="M38" s="8"/>
      <c r="N38" s="8"/>
      <c r="O38" s="8"/>
      <c r="P38" s="8"/>
      <c r="Q38" s="18" t="e">
        <f>(Table1[[#This Row],[A. TÀI SẢN NGẮN HẠN]]-Table1[[#This Row],[I. Nợ ngắn hạn]])/Table1[[#This Row],[TỔNG CỘNG TÀI SẢN]]</f>
        <v>#DIV/0!</v>
      </c>
      <c r="R38" s="18" t="e">
        <f>Table1[[#This Row],[- LNST chưa phân phối kỳ này]]/Table1[[#This Row],[TỔNG CỘNG TÀI SẢN]]</f>
        <v>#DIV/0!</v>
      </c>
      <c r="S38" s="21" t="e">
        <f>Table1[[#This Row],[5. Lợi nhuận gộp về bán hàng và cung cấp dịch vụ]]/Table1[[#This Row],[TỔNG CỘNG TÀI SẢN]]</f>
        <v>#DIV/0!</v>
      </c>
      <c r="T3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38" s="23" t="e">
        <f>Table1[[#This Row],[1. Doanh thu bán hàng và cung cấp dịch vụ ]]/Table1[[#This Row],[TỔNG CỘNG TÀI SẢN]]</f>
        <v>#DIV/0!</v>
      </c>
      <c r="V38" s="23" t="e">
        <f>1.2*Table1[[#This Row],[X1]] + 1.4*Table1[[#This Row],[X2]] + 3.3*Table1[[#This Row],[x3]] + 0.6*Table1[[#This Row],[x4]] + 1*Table1[[#This Row],[x5]]</f>
        <v>#DIV/0!</v>
      </c>
      <c r="W38" s="23" t="e">
        <f>IF(Table1[[#This Row],[Zscore]]&lt;1.81,1,0)</f>
        <v>#DIV/0!</v>
      </c>
    </row>
    <row r="39" spans="1:23" hidden="1" x14ac:dyDescent="0.45">
      <c r="A39" s="7">
        <v>33</v>
      </c>
      <c r="B39" s="5" t="s">
        <v>79</v>
      </c>
      <c r="C39" s="6" t="s">
        <v>80</v>
      </c>
      <c r="D39" s="6" t="s">
        <v>13</v>
      </c>
      <c r="E39" s="6"/>
      <c r="F39" s="6"/>
      <c r="G39" s="6"/>
      <c r="H39" s="6"/>
      <c r="I39" s="6"/>
      <c r="J39" s="8"/>
      <c r="K39" s="6"/>
      <c r="L39" s="6"/>
      <c r="M39" s="8"/>
      <c r="N39" s="8"/>
      <c r="O39" s="8"/>
      <c r="P39" s="8"/>
      <c r="Q39" s="18" t="e">
        <f>(Table1[[#This Row],[A. TÀI SẢN NGẮN HẠN]]-Table1[[#This Row],[I. Nợ ngắn hạn]])/Table1[[#This Row],[TỔNG CỘNG TÀI SẢN]]</f>
        <v>#DIV/0!</v>
      </c>
      <c r="R39" s="18" t="e">
        <f>Table1[[#This Row],[- LNST chưa phân phối kỳ này]]/Table1[[#This Row],[TỔNG CỘNG TÀI SẢN]]</f>
        <v>#DIV/0!</v>
      </c>
      <c r="S39" s="21" t="e">
        <f>Table1[[#This Row],[5. Lợi nhuận gộp về bán hàng và cung cấp dịch vụ]]/Table1[[#This Row],[TỔNG CỘNG TÀI SẢN]]</f>
        <v>#DIV/0!</v>
      </c>
      <c r="T3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39" s="23" t="e">
        <f>Table1[[#This Row],[1. Doanh thu bán hàng và cung cấp dịch vụ ]]/Table1[[#This Row],[TỔNG CỘNG TÀI SẢN]]</f>
        <v>#DIV/0!</v>
      </c>
      <c r="V39" s="23" t="e">
        <f>1.2*Table1[[#This Row],[X1]] + 1.4*Table1[[#This Row],[X2]] + 3.3*Table1[[#This Row],[x3]] + 0.6*Table1[[#This Row],[x4]] + 1*Table1[[#This Row],[x5]]</f>
        <v>#DIV/0!</v>
      </c>
      <c r="W39" s="23" t="e">
        <f>IF(Table1[[#This Row],[Zscore]]&lt;1.81,1,0)</f>
        <v>#DIV/0!</v>
      </c>
    </row>
    <row r="40" spans="1:23" ht="26.25" x14ac:dyDescent="0.45">
      <c r="A40" s="7">
        <v>34</v>
      </c>
      <c r="B40" s="5" t="s">
        <v>81</v>
      </c>
      <c r="C40" s="6" t="s">
        <v>82</v>
      </c>
      <c r="D40" s="6" t="s">
        <v>18</v>
      </c>
      <c r="E40" s="8">
        <v>90918273875643</v>
      </c>
      <c r="F40" s="8">
        <v>26842000757214</v>
      </c>
      <c r="G40" s="8">
        <v>11316895959583</v>
      </c>
      <c r="H40" s="8">
        <v>10842069431497</v>
      </c>
      <c r="I40" s="8">
        <v>15785245520228</v>
      </c>
      <c r="J40" s="8"/>
      <c r="K40" s="8">
        <v>20988633371095</v>
      </c>
      <c r="L40" s="8">
        <v>26035428903057</v>
      </c>
      <c r="M40" s="8">
        <v>215518093164000</v>
      </c>
      <c r="N40" s="8">
        <v>175175644724700</v>
      </c>
      <c r="O40" s="8">
        <v>214429617946000</v>
      </c>
      <c r="P40" s="8">
        <v>121674720242400</v>
      </c>
      <c r="Q40" s="18">
        <f>(Table1[[#This Row],[A. TÀI SẢN NGẮN HẠN]]-Table1[[#This Row],[I. Nợ ngắn hạn]])/Table1[[#This Row],[TỔNG CỘNG TÀI SẢN]]</f>
        <v>0.17075890396760132</v>
      </c>
      <c r="R40" s="18">
        <f>Table1[[#This Row],[- LNST chưa phân phối kỳ này]]/Table1[[#This Row],[TỔNG CỘNG TÀI SẢN]]</f>
        <v>0.11925071791757355</v>
      </c>
      <c r="S40" s="21">
        <f>Table1[[#This Row],[5. Lợi nhuận gộp về bán hàng và cung cấp dịch vụ]]/Table1[[#This Row],[TỔNG CỘNG TÀI SẢN]]</f>
        <v>0.17362016289287324</v>
      </c>
      <c r="T4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8.6570438297096022</v>
      </c>
      <c r="U40" s="23">
        <f>Table1[[#This Row],[1. Doanh thu bán hàng và cung cấp dịch vụ ]]/Table1[[#This Row],[TỔNG CỘNG TÀI SẢN]]</f>
        <v>0.28636079187631708</v>
      </c>
      <c r="V40" s="23">
        <f>1.2*Table1[[#This Row],[X1]] + 1.4*Table1[[#This Row],[X2]] + 3.3*Table1[[#This Row],[x3]] + 0.6*Table1[[#This Row],[x4]] + 1*Table1[[#This Row],[x5]]</f>
        <v>6.4253953170942841</v>
      </c>
      <c r="W40" s="23">
        <f>IF(Table1[[#This Row],[Zscore]]&lt;1.81,1,0)</f>
        <v>0</v>
      </c>
    </row>
    <row r="41" spans="1:23" x14ac:dyDescent="0.45">
      <c r="A41" s="7">
        <v>35</v>
      </c>
      <c r="B41" s="5" t="s">
        <v>83</v>
      </c>
      <c r="C41" s="6" t="s">
        <v>84</v>
      </c>
      <c r="D41" s="6" t="s">
        <v>36</v>
      </c>
      <c r="E41" s="8">
        <v>194696823865</v>
      </c>
      <c r="F41" s="8">
        <v>164210903738</v>
      </c>
      <c r="G41" s="8">
        <v>108719555938</v>
      </c>
      <c r="H41" s="8">
        <v>11554661708</v>
      </c>
      <c r="I41" s="8">
        <v>141326934131</v>
      </c>
      <c r="J41" s="8"/>
      <c r="K41" s="8">
        <v>108719555938</v>
      </c>
      <c r="L41" s="8">
        <v>367287708081</v>
      </c>
      <c r="M41" s="8">
        <v>85127830400</v>
      </c>
      <c r="N41" s="8">
        <v>73989609600</v>
      </c>
      <c r="O41" s="8">
        <v>77171958400</v>
      </c>
      <c r="P41" s="8">
        <v>73989609600</v>
      </c>
      <c r="Q41" s="18">
        <f>(Table1[[#This Row],[A. TÀI SẢN NGẮN HẠN]]-Table1[[#This Row],[I. Nợ ngắn hạn]])/Table1[[#This Row],[TỔNG CỘNG TÀI SẢN]]</f>
        <v>0.2850141399249374</v>
      </c>
      <c r="R41" s="18">
        <f>Table1[[#This Row],[- LNST chưa phân phối kỳ này]]/Table1[[#This Row],[TỔNG CỘNG TÀI SẢN]]</f>
        <v>5.9346945053463419E-2</v>
      </c>
      <c r="S41" s="21">
        <f>Table1[[#This Row],[5. Lợi nhuận gộp về bán hàng và cung cấp dịch vụ]]/Table1[[#This Row],[TỔNG CỘNG TÀI SẢN]]</f>
        <v>0.72588207308915365</v>
      </c>
      <c r="T4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0.7134848126517005</v>
      </c>
      <c r="U41" s="23">
        <f>Table1[[#This Row],[1. Doanh thu bán hàng và cung cấp dịch vụ ]]/Table1[[#This Row],[TỔNG CỘNG TÀI SẢN]]</f>
        <v>1.8864596801829292</v>
      </c>
      <c r="V41" s="23">
        <f>1.2*Table1[[#This Row],[X1]] + 1.4*Table1[[#This Row],[X2]] + 3.3*Table1[[#This Row],[x3]] + 0.6*Table1[[#This Row],[x4]] + 1*Table1[[#This Row],[x5]]</f>
        <v>5.1350640999529302</v>
      </c>
      <c r="W41" s="23">
        <f>IF(Table1[[#This Row],[Zscore]]&lt;1.81,1,0)</f>
        <v>0</v>
      </c>
    </row>
    <row r="42" spans="1:23" x14ac:dyDescent="0.45">
      <c r="A42" s="7">
        <v>36</v>
      </c>
      <c r="B42" s="5" t="s">
        <v>85</v>
      </c>
      <c r="C42" s="6" t="s">
        <v>86</v>
      </c>
      <c r="D42" s="6" t="s">
        <v>21</v>
      </c>
      <c r="E42" s="8">
        <v>564078501247</v>
      </c>
      <c r="F42" s="8">
        <v>220209819083</v>
      </c>
      <c r="G42" s="8">
        <v>146506340427</v>
      </c>
      <c r="H42" s="8">
        <v>20618293115</v>
      </c>
      <c r="I42" s="8">
        <v>84382116844</v>
      </c>
      <c r="J42" s="8"/>
      <c r="K42" s="8">
        <v>149765357349</v>
      </c>
      <c r="L42" s="8">
        <v>499246600540</v>
      </c>
      <c r="M42" s="8">
        <v>220219366300</v>
      </c>
      <c r="N42" s="8">
        <v>183872480600</v>
      </c>
      <c r="O42" s="8">
        <v>190286636900</v>
      </c>
      <c r="P42" s="8">
        <v>202045923450</v>
      </c>
      <c r="Q42" s="18">
        <f>(Table1[[#This Row],[A. TÀI SẢN NGẮN HẠN]]-Table1[[#This Row],[I. Nợ ngắn hạn]])/Table1[[#This Row],[TỔNG CỘNG TÀI SẢN]]</f>
        <v>0.13066174033058309</v>
      </c>
      <c r="R42" s="18">
        <f>Table1[[#This Row],[- LNST chưa phân phối kỳ này]]/Table1[[#This Row],[TỔNG CỘNG TÀI SẢN]]</f>
        <v>3.6552169723574723E-2</v>
      </c>
      <c r="S42" s="21">
        <f>Table1[[#This Row],[5. Lợi nhuận gộp về bán hàng và cung cấp dịch vụ]]/Table1[[#This Row],[TỔNG CỘNG TÀI SẢN]]</f>
        <v>0.14959286102458735</v>
      </c>
      <c r="T4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1.3294536556175716</v>
      </c>
      <c r="U42" s="23">
        <f>Table1[[#This Row],[1. Doanh thu bán hàng và cung cấp dịch vụ ]]/Table1[[#This Row],[TỔNG CỘNG TÀI SẢN]]</f>
        <v>0.88506581874034007</v>
      </c>
      <c r="V42" s="23">
        <f>1.2*Table1[[#This Row],[X1]] + 1.4*Table1[[#This Row],[X2]] + 3.3*Table1[[#This Row],[x3]] + 0.6*Table1[[#This Row],[x4]] + 1*Table1[[#This Row],[x5]]</f>
        <v>2.3843615795017254</v>
      </c>
      <c r="W42" s="23">
        <f>IF(Table1[[#This Row],[Zscore]]&lt;1.81,1,0)</f>
        <v>0</v>
      </c>
    </row>
    <row r="43" spans="1:23" x14ac:dyDescent="0.45">
      <c r="A43" s="7">
        <v>37</v>
      </c>
      <c r="B43" s="5" t="s">
        <v>87</v>
      </c>
      <c r="C43" s="6" t="s">
        <v>88</v>
      </c>
      <c r="D43" s="6" t="s">
        <v>21</v>
      </c>
      <c r="E43" s="8">
        <v>347641277188</v>
      </c>
      <c r="F43" s="8">
        <v>317082724978</v>
      </c>
      <c r="G43" s="8">
        <v>82755382184</v>
      </c>
      <c r="H43" s="8">
        <v>25772867616</v>
      </c>
      <c r="I43" s="8">
        <v>128722938485</v>
      </c>
      <c r="J43" s="8"/>
      <c r="K43" s="8">
        <v>82755382184</v>
      </c>
      <c r="L43" s="8">
        <v>653276510478</v>
      </c>
      <c r="M43" s="8">
        <v>725755275000</v>
      </c>
      <c r="N43" s="8">
        <v>532220535000</v>
      </c>
      <c r="O43" s="8">
        <v>686587530000</v>
      </c>
      <c r="P43" s="8">
        <v>603644070000</v>
      </c>
      <c r="Q43" s="18">
        <f>(Table1[[#This Row],[A. TÀI SẢN NGẮN HẠN]]-Table1[[#This Row],[I. Nợ ngắn hạn]])/Table1[[#This Row],[TỔNG CỘNG TÀI SẢN]]</f>
        <v>0.67404925183058384</v>
      </c>
      <c r="R43" s="18">
        <f>Table1[[#This Row],[- LNST chưa phân phối kỳ này]]/Table1[[#This Row],[TỔNG CỘNG TÀI SẢN]]</f>
        <v>7.4136385139507932E-2</v>
      </c>
      <c r="S43" s="21">
        <f>Table1[[#This Row],[5. Lợi nhuận gộp về bán hàng và cung cấp dịch vụ]]/Table1[[#This Row],[TỔNG CỘNG TÀI SẢN]]</f>
        <v>0.3702751857495572</v>
      </c>
      <c r="T4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7.6980111225100254</v>
      </c>
      <c r="U43" s="23">
        <f>Table1[[#This Row],[1. Doanh thu bán hàng và cung cấp dịch vụ ]]/Table1[[#This Row],[TỔNG CỘNG TÀI SẢN]]</f>
        <v>1.8791684225826737</v>
      </c>
      <c r="V43" s="23">
        <f>1.2*Table1[[#This Row],[X1]] + 1.4*Table1[[#This Row],[X2]] + 3.3*Table1[[#This Row],[x3]] + 0.6*Table1[[#This Row],[x4]] + 1*Table1[[#This Row],[x5]]</f>
        <v>8.6325332504542374</v>
      </c>
      <c r="W43" s="23">
        <f>IF(Table1[[#This Row],[Zscore]]&lt;1.81,1,0)</f>
        <v>0</v>
      </c>
    </row>
    <row r="44" spans="1:23" x14ac:dyDescent="0.45">
      <c r="A44" s="7">
        <v>38</v>
      </c>
      <c r="B44" s="5" t="s">
        <v>89</v>
      </c>
      <c r="C44" s="6" t="s">
        <v>90</v>
      </c>
      <c r="D44" s="6" t="s">
        <v>21</v>
      </c>
      <c r="E44" s="8">
        <v>2514471256883</v>
      </c>
      <c r="F44" s="8">
        <v>1900513107491</v>
      </c>
      <c r="G44" s="8">
        <v>1366484687171</v>
      </c>
      <c r="H44" s="8">
        <v>99297485724</v>
      </c>
      <c r="I44" s="8">
        <v>230229184429</v>
      </c>
      <c r="J44" s="8"/>
      <c r="K44" s="8">
        <v>1491444058359</v>
      </c>
      <c r="L44" s="8">
        <v>1848405471759</v>
      </c>
      <c r="M44" s="8">
        <v>712762802910</v>
      </c>
      <c r="N44" s="8">
        <v>605046237840</v>
      </c>
      <c r="O44" s="8">
        <v>605810185110</v>
      </c>
      <c r="P44" s="8">
        <v>678385175760</v>
      </c>
      <c r="Q44" s="18">
        <f>(Table1[[#This Row],[A. TÀI SẢN NGẮN HẠN]]-Table1[[#This Row],[I. Nợ ngắn hạn]])/Table1[[#This Row],[TỔNG CỘNG TÀI SẢN]]</f>
        <v>0.21238199436886571</v>
      </c>
      <c r="R44" s="18">
        <f>Table1[[#This Row],[- LNST chưa phân phối kỳ này]]/Table1[[#This Row],[TỔNG CỘNG TÀI SẢN]]</f>
        <v>3.9490403977451544E-2</v>
      </c>
      <c r="S44" s="21">
        <f>Table1[[#This Row],[5. Lợi nhuận gộp về bán hàng và cung cấp dịch vụ]]/Table1[[#This Row],[TỔNG CỘNG TÀI SẢN]]</f>
        <v>9.1561668799665555E-2</v>
      </c>
      <c r="T4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0.43615521263380852</v>
      </c>
      <c r="U44" s="23">
        <f>Table1[[#This Row],[1. Doanh thu bán hàng và cung cấp dịch vụ ]]/Table1[[#This Row],[TỔNG CỘNG TÀI SẢN]]</f>
        <v>0.73510701969619197</v>
      </c>
      <c r="V44" s="23">
        <f>1.2*Table1[[#This Row],[X1]] + 1.4*Table1[[#This Row],[X2]] + 3.3*Table1[[#This Row],[x3]] + 0.6*Table1[[#This Row],[x4]] + 1*Table1[[#This Row],[x5]]</f>
        <v>1.6090986131264444</v>
      </c>
      <c r="W44" s="23">
        <f>IF(Table1[[#This Row],[Zscore]]&lt;1.81,1,0)</f>
        <v>1</v>
      </c>
    </row>
    <row r="45" spans="1:23" ht="26.25" hidden="1" x14ac:dyDescent="0.45">
      <c r="A45" s="7">
        <v>39</v>
      </c>
      <c r="B45" s="5" t="s">
        <v>91</v>
      </c>
      <c r="C45" s="6" t="s">
        <v>92</v>
      </c>
      <c r="D45" s="6" t="s">
        <v>13</v>
      </c>
      <c r="E45" s="6"/>
      <c r="F45" s="6"/>
      <c r="G45" s="6"/>
      <c r="H45" s="6"/>
      <c r="I45" s="6"/>
      <c r="J45" s="8"/>
      <c r="K45" s="6"/>
      <c r="L45" s="6"/>
      <c r="M45" s="8"/>
      <c r="N45" s="8"/>
      <c r="O45" s="8"/>
      <c r="P45" s="8"/>
      <c r="Q45" s="18" t="e">
        <f>(Table1[[#This Row],[A. TÀI SẢN NGẮN HẠN]]-Table1[[#This Row],[I. Nợ ngắn hạn]])/Table1[[#This Row],[TỔNG CỘNG TÀI SẢN]]</f>
        <v>#DIV/0!</v>
      </c>
      <c r="R45" s="18" t="e">
        <f>Table1[[#This Row],[- LNST chưa phân phối kỳ này]]/Table1[[#This Row],[TỔNG CỘNG TÀI SẢN]]</f>
        <v>#DIV/0!</v>
      </c>
      <c r="S45" s="21" t="e">
        <f>Table1[[#This Row],[5. Lợi nhuận gộp về bán hàng và cung cấp dịch vụ]]/Table1[[#This Row],[TỔNG CỘNG TÀI SẢN]]</f>
        <v>#DIV/0!</v>
      </c>
      <c r="T4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45" s="23" t="e">
        <f>Table1[[#This Row],[1. Doanh thu bán hàng và cung cấp dịch vụ ]]/Table1[[#This Row],[TỔNG CỘNG TÀI SẢN]]</f>
        <v>#DIV/0!</v>
      </c>
      <c r="V45" s="23" t="e">
        <f>1.2*Table1[[#This Row],[X1]] + 1.4*Table1[[#This Row],[X2]] + 3.3*Table1[[#This Row],[x3]] + 0.6*Table1[[#This Row],[x4]] + 1*Table1[[#This Row],[x5]]</f>
        <v>#DIV/0!</v>
      </c>
      <c r="W45" s="23" t="e">
        <f>IF(Table1[[#This Row],[Zscore]]&lt;1.81,1,0)</f>
        <v>#DIV/0!</v>
      </c>
    </row>
    <row r="46" spans="1:23" ht="26.25" hidden="1" x14ac:dyDescent="0.45">
      <c r="A46" s="7">
        <v>40</v>
      </c>
      <c r="B46" s="5" t="s">
        <v>93</v>
      </c>
      <c r="C46" s="6" t="s">
        <v>94</v>
      </c>
      <c r="D46" s="6" t="s">
        <v>13</v>
      </c>
      <c r="E46" s="6"/>
      <c r="F46" s="6"/>
      <c r="G46" s="6"/>
      <c r="H46" s="6"/>
      <c r="I46" s="6"/>
      <c r="J46" s="8"/>
      <c r="K46" s="6"/>
      <c r="L46" s="6"/>
      <c r="M46" s="8"/>
      <c r="N46" s="8"/>
      <c r="O46" s="8"/>
      <c r="P46" s="8"/>
      <c r="Q46" s="18" t="e">
        <f>(Table1[[#This Row],[A. TÀI SẢN NGẮN HẠN]]-Table1[[#This Row],[I. Nợ ngắn hạn]])/Table1[[#This Row],[TỔNG CỘNG TÀI SẢN]]</f>
        <v>#DIV/0!</v>
      </c>
      <c r="R46" s="18" t="e">
        <f>Table1[[#This Row],[- LNST chưa phân phối kỳ này]]/Table1[[#This Row],[TỔNG CỘNG TÀI SẢN]]</f>
        <v>#DIV/0!</v>
      </c>
      <c r="S46" s="21" t="e">
        <f>Table1[[#This Row],[5. Lợi nhuận gộp về bán hàng và cung cấp dịch vụ]]/Table1[[#This Row],[TỔNG CỘNG TÀI SẢN]]</f>
        <v>#DIV/0!</v>
      </c>
      <c r="T4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46" s="23" t="e">
        <f>Table1[[#This Row],[1. Doanh thu bán hàng và cung cấp dịch vụ ]]/Table1[[#This Row],[TỔNG CỘNG TÀI SẢN]]</f>
        <v>#DIV/0!</v>
      </c>
      <c r="V46" s="23" t="e">
        <f>1.2*Table1[[#This Row],[X1]] + 1.4*Table1[[#This Row],[X2]] + 3.3*Table1[[#This Row],[x3]] + 0.6*Table1[[#This Row],[x4]] + 1*Table1[[#This Row],[x5]]</f>
        <v>#DIV/0!</v>
      </c>
      <c r="W46" s="23" t="e">
        <f>IF(Table1[[#This Row],[Zscore]]&lt;1.81,1,0)</f>
        <v>#DIV/0!</v>
      </c>
    </row>
    <row r="47" spans="1:23" ht="26.25" x14ac:dyDescent="0.45">
      <c r="A47" s="7">
        <v>41</v>
      </c>
      <c r="B47" s="5" t="s">
        <v>95</v>
      </c>
      <c r="C47" s="6" t="s">
        <v>96</v>
      </c>
      <c r="D47" s="6" t="s">
        <v>21</v>
      </c>
      <c r="E47" s="8">
        <v>1570958754487</v>
      </c>
      <c r="F47" s="8">
        <v>1365525944813</v>
      </c>
      <c r="G47" s="8">
        <v>1048102790908</v>
      </c>
      <c r="H47" s="8">
        <v>47319704573</v>
      </c>
      <c r="I47" s="8">
        <v>62184425898</v>
      </c>
      <c r="J47" s="8"/>
      <c r="K47" s="8">
        <v>1049618690908</v>
      </c>
      <c r="L47" s="8">
        <v>2822379812472</v>
      </c>
      <c r="M47" s="8">
        <v>252000000000</v>
      </c>
      <c r="N47" s="8">
        <v>413000000000</v>
      </c>
      <c r="O47" s="8">
        <v>269500000000</v>
      </c>
      <c r="P47" s="8">
        <v>346500000000</v>
      </c>
      <c r="Q47" s="18">
        <f>(Table1[[#This Row],[A. TÀI SẢN NGẮN HẠN]]-Table1[[#This Row],[I. Nợ ngắn hạn]])/Table1[[#This Row],[TỔNG CỘNG TÀI SẢN]]</f>
        <v>0.20205696234759213</v>
      </c>
      <c r="R47" s="18">
        <f>Table1[[#This Row],[- LNST chưa phân phối kỳ này]]/Table1[[#This Row],[TỔNG CỘNG TÀI SẢN]]</f>
        <v>3.0121544845047414E-2</v>
      </c>
      <c r="S47" s="21">
        <f>Table1[[#This Row],[5. Lợi nhuận gộp về bán hàng và cung cấp dịch vụ]]/Table1[[#This Row],[TỔNG CỘNG TÀI SẢN]]</f>
        <v>3.9583741915812716E-2</v>
      </c>
      <c r="T4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0.30511080145015274</v>
      </c>
      <c r="U47" s="23">
        <f>Table1[[#This Row],[1. Doanh thu bán hàng và cung cấp dịch vụ ]]/Table1[[#This Row],[TỔNG CỘNG TÀI SẢN]]</f>
        <v>1.7965970172104577</v>
      </c>
      <c r="V47" s="23">
        <f>1.2*Table1[[#This Row],[X1]] + 1.4*Table1[[#This Row],[X2]] + 3.3*Table1[[#This Row],[x3]] + 0.6*Table1[[#This Row],[x4]] + 1*Table1[[#This Row],[x5]]</f>
        <v>2.394928364002908</v>
      </c>
      <c r="W47" s="23">
        <f>IF(Table1[[#This Row],[Zscore]]&lt;1.81,1,0)</f>
        <v>0</v>
      </c>
    </row>
    <row r="48" spans="1:23" hidden="1" x14ac:dyDescent="0.45">
      <c r="A48" s="7">
        <v>42</v>
      </c>
      <c r="B48" s="5" t="s">
        <v>97</v>
      </c>
      <c r="C48" s="6" t="s">
        <v>98</v>
      </c>
      <c r="D48" s="6" t="s">
        <v>18</v>
      </c>
      <c r="E48" s="8">
        <v>160263788547</v>
      </c>
      <c r="F48" s="8">
        <v>145047321035</v>
      </c>
      <c r="G48" s="8">
        <v>101901124031</v>
      </c>
      <c r="H48" s="8">
        <v>8593546897</v>
      </c>
      <c r="I48" s="8">
        <v>44521696710</v>
      </c>
      <c r="J48" s="8"/>
      <c r="K48" s="8">
        <v>101901124031</v>
      </c>
      <c r="L48" s="8">
        <v>384757383278</v>
      </c>
      <c r="M48" s="8"/>
      <c r="N48" s="8"/>
      <c r="O48" s="8"/>
      <c r="P48" s="8"/>
      <c r="Q48" s="18">
        <f>(Table1[[#This Row],[A. TÀI SẢN NGẮN HẠN]]-Table1[[#This Row],[I. Nợ ngắn hạn]])/Table1[[#This Row],[TỔNG CỘNG TÀI SẢN]]</f>
        <v>0.26921987427837862</v>
      </c>
      <c r="R48" s="18">
        <f>Table1[[#This Row],[- LNST chưa phân phối kỳ này]]/Table1[[#This Row],[TỔNG CỘNG TÀI SẢN]]</f>
        <v>5.3621263885695554E-2</v>
      </c>
      <c r="S48" s="21">
        <f>Table1[[#This Row],[5. Lợi nhuận gộp về bán hàng và cung cấp dịch vụ]]/Table1[[#This Row],[TỔNG CỘNG TÀI SẢN]]</f>
        <v>0.27780259729067419</v>
      </c>
      <c r="T4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48" s="23">
        <f>Table1[[#This Row],[1. Doanh thu bán hàng và cung cấp dịch vụ ]]/Table1[[#This Row],[TỔNG CỘNG TÀI SẢN]]</f>
        <v>2.400775538668634</v>
      </c>
      <c r="V48" s="23" t="e">
        <f>1.2*Table1[[#This Row],[X1]] + 1.4*Table1[[#This Row],[X2]] + 3.3*Table1[[#This Row],[x3]] + 0.6*Table1[[#This Row],[x4]] + 1*Table1[[#This Row],[x5]]</f>
        <v>#DIV/0!</v>
      </c>
      <c r="W48" s="23" t="e">
        <f>IF(Table1[[#This Row],[Zscore]]&lt;1.81,1,0)</f>
        <v>#DIV/0!</v>
      </c>
    </row>
    <row r="49" spans="1:23" hidden="1" x14ac:dyDescent="0.45">
      <c r="A49" s="7">
        <v>43</v>
      </c>
      <c r="B49" s="5" t="s">
        <v>99</v>
      </c>
      <c r="C49" s="6" t="s">
        <v>100</v>
      </c>
      <c r="D49" s="6" t="s">
        <v>13</v>
      </c>
      <c r="E49" s="6"/>
      <c r="F49" s="6"/>
      <c r="G49" s="6"/>
      <c r="H49" s="6"/>
      <c r="I49" s="6"/>
      <c r="J49" s="8"/>
      <c r="K49" s="6"/>
      <c r="L49" s="6"/>
      <c r="M49" s="8"/>
      <c r="N49" s="8"/>
      <c r="O49" s="8"/>
      <c r="P49" s="8"/>
      <c r="Q49" s="18" t="e">
        <f>(Table1[[#This Row],[A. TÀI SẢN NGẮN HẠN]]-Table1[[#This Row],[I. Nợ ngắn hạn]])/Table1[[#This Row],[TỔNG CỘNG TÀI SẢN]]</f>
        <v>#DIV/0!</v>
      </c>
      <c r="R49" s="18" t="e">
        <f>Table1[[#This Row],[- LNST chưa phân phối kỳ này]]/Table1[[#This Row],[TỔNG CỘNG TÀI SẢN]]</f>
        <v>#DIV/0!</v>
      </c>
      <c r="S49" s="21" t="e">
        <f>Table1[[#This Row],[5. Lợi nhuận gộp về bán hàng và cung cấp dịch vụ]]/Table1[[#This Row],[TỔNG CỘNG TÀI SẢN]]</f>
        <v>#DIV/0!</v>
      </c>
      <c r="T4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49" s="23" t="e">
        <f>Table1[[#This Row],[1. Doanh thu bán hàng và cung cấp dịch vụ ]]/Table1[[#This Row],[TỔNG CỘNG TÀI SẢN]]</f>
        <v>#DIV/0!</v>
      </c>
      <c r="V49" s="23" t="e">
        <f>1.2*Table1[[#This Row],[X1]] + 1.4*Table1[[#This Row],[X2]] + 3.3*Table1[[#This Row],[x3]] + 0.6*Table1[[#This Row],[x4]] + 1*Table1[[#This Row],[x5]]</f>
        <v>#DIV/0!</v>
      </c>
      <c r="W49" s="23" t="e">
        <f>IF(Table1[[#This Row],[Zscore]]&lt;1.81,1,0)</f>
        <v>#DIV/0!</v>
      </c>
    </row>
    <row r="50" spans="1:23" hidden="1" x14ac:dyDescent="0.45">
      <c r="A50" s="7">
        <v>44</v>
      </c>
      <c r="B50" s="5" t="s">
        <v>101</v>
      </c>
      <c r="C50" s="6" t="s">
        <v>102</v>
      </c>
      <c r="D50" s="6" t="s">
        <v>13</v>
      </c>
      <c r="E50" s="6"/>
      <c r="F50" s="6"/>
      <c r="G50" s="6"/>
      <c r="H50" s="6"/>
      <c r="I50" s="6"/>
      <c r="J50" s="8"/>
      <c r="K50" s="6"/>
      <c r="L50" s="6"/>
      <c r="M50" s="8"/>
      <c r="N50" s="8"/>
      <c r="O50" s="8"/>
      <c r="P50" s="8"/>
      <c r="Q50" s="18" t="e">
        <f>(Table1[[#This Row],[A. TÀI SẢN NGẮN HẠN]]-Table1[[#This Row],[I. Nợ ngắn hạn]])/Table1[[#This Row],[TỔNG CỘNG TÀI SẢN]]</f>
        <v>#DIV/0!</v>
      </c>
      <c r="R50" s="18" t="e">
        <f>Table1[[#This Row],[- LNST chưa phân phối kỳ này]]/Table1[[#This Row],[TỔNG CỘNG TÀI SẢN]]</f>
        <v>#DIV/0!</v>
      </c>
      <c r="S50" s="21" t="e">
        <f>Table1[[#This Row],[5. Lợi nhuận gộp về bán hàng và cung cấp dịch vụ]]/Table1[[#This Row],[TỔNG CỘNG TÀI SẢN]]</f>
        <v>#DIV/0!</v>
      </c>
      <c r="T5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50" s="23" t="e">
        <f>Table1[[#This Row],[1. Doanh thu bán hàng và cung cấp dịch vụ ]]/Table1[[#This Row],[TỔNG CỘNG TÀI SẢN]]</f>
        <v>#DIV/0!</v>
      </c>
      <c r="V50" s="23" t="e">
        <f>1.2*Table1[[#This Row],[X1]] + 1.4*Table1[[#This Row],[X2]] + 3.3*Table1[[#This Row],[x3]] + 0.6*Table1[[#This Row],[x4]] + 1*Table1[[#This Row],[x5]]</f>
        <v>#DIV/0!</v>
      </c>
      <c r="W50" s="23" t="e">
        <f>IF(Table1[[#This Row],[Zscore]]&lt;1.81,1,0)</f>
        <v>#DIV/0!</v>
      </c>
    </row>
    <row r="51" spans="1:23" hidden="1" x14ac:dyDescent="0.45">
      <c r="A51" s="7">
        <v>45</v>
      </c>
      <c r="B51" s="5" t="s">
        <v>103</v>
      </c>
      <c r="C51" s="6" t="s">
        <v>104</v>
      </c>
      <c r="D51" s="6" t="s">
        <v>13</v>
      </c>
      <c r="E51" s="6"/>
      <c r="F51" s="6"/>
      <c r="G51" s="6"/>
      <c r="H51" s="6"/>
      <c r="I51" s="6"/>
      <c r="J51" s="8"/>
      <c r="K51" s="6"/>
      <c r="L51" s="6"/>
      <c r="M51" s="8"/>
      <c r="N51" s="8"/>
      <c r="O51" s="8"/>
      <c r="P51" s="8"/>
      <c r="Q51" s="18" t="e">
        <f>(Table1[[#This Row],[A. TÀI SẢN NGẮN HẠN]]-Table1[[#This Row],[I. Nợ ngắn hạn]])/Table1[[#This Row],[TỔNG CỘNG TÀI SẢN]]</f>
        <v>#DIV/0!</v>
      </c>
      <c r="R51" s="18" t="e">
        <f>Table1[[#This Row],[- LNST chưa phân phối kỳ này]]/Table1[[#This Row],[TỔNG CỘNG TÀI SẢN]]</f>
        <v>#DIV/0!</v>
      </c>
      <c r="S51" s="21" t="e">
        <f>Table1[[#This Row],[5. Lợi nhuận gộp về bán hàng và cung cấp dịch vụ]]/Table1[[#This Row],[TỔNG CỘNG TÀI SẢN]]</f>
        <v>#DIV/0!</v>
      </c>
      <c r="T5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51" s="23" t="e">
        <f>Table1[[#This Row],[1. Doanh thu bán hàng và cung cấp dịch vụ ]]/Table1[[#This Row],[TỔNG CỘNG TÀI SẢN]]</f>
        <v>#DIV/0!</v>
      </c>
      <c r="V51" s="23" t="e">
        <f>1.2*Table1[[#This Row],[X1]] + 1.4*Table1[[#This Row],[X2]] + 3.3*Table1[[#This Row],[x3]] + 0.6*Table1[[#This Row],[x4]] + 1*Table1[[#This Row],[x5]]</f>
        <v>#DIV/0!</v>
      </c>
      <c r="W51" s="23" t="e">
        <f>IF(Table1[[#This Row],[Zscore]]&lt;1.81,1,0)</f>
        <v>#DIV/0!</v>
      </c>
    </row>
    <row r="52" spans="1:23" ht="26.25" x14ac:dyDescent="0.45">
      <c r="A52" s="7">
        <v>46</v>
      </c>
      <c r="B52" s="5" t="s">
        <v>105</v>
      </c>
      <c r="C52" s="6" t="s">
        <v>106</v>
      </c>
      <c r="D52" s="6" t="s">
        <v>18</v>
      </c>
      <c r="E52" s="8">
        <v>255274543773</v>
      </c>
      <c r="F52" s="8">
        <v>140013156425</v>
      </c>
      <c r="G52" s="8">
        <v>433386547742</v>
      </c>
      <c r="H52" s="8">
        <v>-2549093898</v>
      </c>
      <c r="I52" s="8">
        <v>44356270107</v>
      </c>
      <c r="J52" s="8"/>
      <c r="K52" s="8">
        <v>440004887205</v>
      </c>
      <c r="L52" s="8">
        <v>523291818414</v>
      </c>
      <c r="M52" s="8">
        <v>56219486000</v>
      </c>
      <c r="N52" s="8">
        <v>56219486000</v>
      </c>
      <c r="O52" s="8">
        <v>59030460300</v>
      </c>
      <c r="P52" s="8">
        <v>64652408900</v>
      </c>
      <c r="Q52" s="18">
        <f>(Table1[[#This Row],[A. TÀI SẢN NGẮN HẠN]]-Table1[[#This Row],[I. Nợ ngắn hạn]])/Table1[[#This Row],[TỔNG CỘNG TÀI SẢN]]</f>
        <v>-1.1492465601187363</v>
      </c>
      <c r="R52" s="18">
        <f>Table1[[#This Row],[- LNST chưa phân phối kỳ này]]/Table1[[#This Row],[TỔNG CỘNG TÀI SẢN]]</f>
        <v>-9.985695637034428E-3</v>
      </c>
      <c r="S52" s="21">
        <f>Table1[[#This Row],[5. Lợi nhuận gộp về bán hàng và cung cấp dịch vụ]]/Table1[[#This Row],[TỔNG CỘNG TÀI SẢN]]</f>
        <v>0.1737590809150297</v>
      </c>
      <c r="T5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0.1341586469072501</v>
      </c>
      <c r="U52" s="23">
        <f>Table1[[#This Row],[1. Doanh thu bán hàng và cung cấp dịch vụ ]]/Table1[[#This Row],[TỔNG CỘNG TÀI SẢN]]</f>
        <v>2.0499177500414274</v>
      </c>
      <c r="V52" s="23">
        <f>1.2*Table1[[#This Row],[X1]] + 1.4*Table1[[#This Row],[X2]] + 3.3*Table1[[#This Row],[x3]] + 0.6*Table1[[#This Row],[x4]] + 1*Table1[[#This Row],[x5]]</f>
        <v>1.3107420591710437</v>
      </c>
      <c r="W52" s="23">
        <f>IF(Table1[[#This Row],[Zscore]]&lt;1.81,1,0)</f>
        <v>1</v>
      </c>
    </row>
    <row r="53" spans="1:23" ht="26.25" x14ac:dyDescent="0.45">
      <c r="A53" s="7">
        <v>47</v>
      </c>
      <c r="B53" s="5" t="s">
        <v>107</v>
      </c>
      <c r="C53" s="6" t="s">
        <v>108</v>
      </c>
      <c r="D53" s="6" t="s">
        <v>21</v>
      </c>
      <c r="E53" s="8">
        <v>5476945005978</v>
      </c>
      <c r="F53" s="8">
        <v>1610367769615</v>
      </c>
      <c r="G53" s="8">
        <v>1591376546864</v>
      </c>
      <c r="H53" s="8">
        <v>379195499373</v>
      </c>
      <c r="I53" s="8">
        <v>583341455329</v>
      </c>
      <c r="J53" s="8"/>
      <c r="K53" s="8">
        <v>1961947389780</v>
      </c>
      <c r="L53" s="8">
        <v>829088530750</v>
      </c>
      <c r="M53" s="8">
        <v>2665460528400</v>
      </c>
      <c r="N53" s="8">
        <v>2316025154250</v>
      </c>
      <c r="O53" s="8">
        <v>2689839740550</v>
      </c>
      <c r="P53" s="8">
        <v>3201803195700</v>
      </c>
      <c r="Q53" s="18">
        <f>(Table1[[#This Row],[A. TÀI SẢN NGẮN HẠN]]-Table1[[#This Row],[I. Nợ ngắn hạn]])/Table1[[#This Row],[TỔNG CỘNG TÀI SẢN]]</f>
        <v>3.4674846525337348E-3</v>
      </c>
      <c r="R53" s="18">
        <f>Table1[[#This Row],[- LNST chưa phân phối kỳ này]]/Table1[[#This Row],[TỔNG CỘNG TÀI SẢN]]</f>
        <v>6.923485610301254E-2</v>
      </c>
      <c r="S53" s="21">
        <f>Table1[[#This Row],[5. Lợi nhuận gộp về bán hàng và cung cấp dịch vụ]]/Table1[[#This Row],[TỔNG CỘNG TÀI SẢN]]</f>
        <v>0.10650854713572838</v>
      </c>
      <c r="T5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1.3855020623309429</v>
      </c>
      <c r="U53" s="23">
        <f>Table1[[#This Row],[1. Doanh thu bán hàng và cung cấp dịch vụ ]]/Table1[[#This Row],[TỔNG CỘNG TÀI SẢN]]</f>
        <v>0.151377917770776</v>
      </c>
      <c r="V53" s="23">
        <f>1.2*Table1[[#This Row],[X1]] + 1.4*Table1[[#This Row],[X2]] + 3.3*Table1[[#This Row],[x3]] + 0.6*Table1[[#This Row],[x4]] + 1*Table1[[#This Row],[x5]]</f>
        <v>1.4352471408445033</v>
      </c>
      <c r="W53" s="23">
        <f>IF(Table1[[#This Row],[Zscore]]&lt;1.81,1,0)</f>
        <v>1</v>
      </c>
    </row>
    <row r="54" spans="1:23" x14ac:dyDescent="0.45">
      <c r="A54" s="7">
        <v>48</v>
      </c>
      <c r="B54" s="5" t="s">
        <v>109</v>
      </c>
      <c r="C54" s="6" t="s">
        <v>110</v>
      </c>
      <c r="D54" s="6" t="s">
        <v>18</v>
      </c>
      <c r="E54" s="8">
        <v>933566369066</v>
      </c>
      <c r="F54" s="8">
        <v>149016277190</v>
      </c>
      <c r="G54" s="8">
        <v>1264600890217</v>
      </c>
      <c r="H54" s="8">
        <v>-104669638327</v>
      </c>
      <c r="I54" s="8">
        <v>-11640759925</v>
      </c>
      <c r="J54" s="8"/>
      <c r="K54" s="8">
        <v>1273761442154</v>
      </c>
      <c r="L54" s="8">
        <v>21502993334</v>
      </c>
      <c r="M54" s="8">
        <v>50414000000</v>
      </c>
      <c r="N54" s="8">
        <v>45500000000</v>
      </c>
      <c r="O54" s="8">
        <v>58240000000</v>
      </c>
      <c r="P54" s="8">
        <v>60060000000</v>
      </c>
      <c r="Q54" s="18">
        <f>(Table1[[#This Row],[A. TÀI SẢN NGẮN HẠN]]-Table1[[#This Row],[I. Nợ ngắn hạn]])/Table1[[#This Row],[TỔNG CỘNG TÀI SẢN]]</f>
        <v>-1.1949708665524261</v>
      </c>
      <c r="R54" s="18">
        <f>Table1[[#This Row],[- LNST chưa phân phối kỳ này]]/Table1[[#This Row],[TỔNG CỘNG TÀI SẢN]]</f>
        <v>-0.11211804730253754</v>
      </c>
      <c r="S54" s="21">
        <f>Table1[[#This Row],[5. Lợi nhuận gộp về bán hàng và cung cấp dịch vụ]]/Table1[[#This Row],[TỔNG CỘNG TÀI SẢN]]</f>
        <v>-1.2469129470298043E-2</v>
      </c>
      <c r="T5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4.2043586991798179E-2</v>
      </c>
      <c r="U54" s="23">
        <f>Table1[[#This Row],[1. Doanh thu bán hàng và cung cấp dịch vụ ]]/Table1[[#This Row],[TỔNG CỘNG TÀI SẢN]]</f>
        <v>2.3033170480972854E-2</v>
      </c>
      <c r="V54" s="23">
        <f>1.2*Table1[[#This Row],[X1]] + 1.4*Table1[[#This Row],[X2]] + 3.3*Table1[[#This Row],[x3]] + 0.6*Table1[[#This Row],[x4]] + 1*Table1[[#This Row],[x5]]</f>
        <v>-1.5838191106623958</v>
      </c>
      <c r="W54" s="23">
        <f>IF(Table1[[#This Row],[Zscore]]&lt;1.81,1,0)</f>
        <v>1</v>
      </c>
    </row>
    <row r="55" spans="1:23" x14ac:dyDescent="0.45">
      <c r="A55" s="7">
        <v>49</v>
      </c>
      <c r="B55" s="5" t="s">
        <v>111</v>
      </c>
      <c r="C55" s="6" t="s">
        <v>112</v>
      </c>
      <c r="D55" s="6" t="s">
        <v>18</v>
      </c>
      <c r="E55" s="8">
        <v>1363660262959</v>
      </c>
      <c r="F55" s="8">
        <v>777726903970</v>
      </c>
      <c r="G55" s="8">
        <v>792607200373</v>
      </c>
      <c r="H55" s="8">
        <v>52041437613</v>
      </c>
      <c r="I55" s="8">
        <v>255540289051</v>
      </c>
      <c r="J55" s="8"/>
      <c r="K55" s="8">
        <v>909239635478</v>
      </c>
      <c r="L55" s="8">
        <v>848135753173</v>
      </c>
      <c r="M55" s="8">
        <v>948901581000</v>
      </c>
      <c r="N55" s="8">
        <v>971457282000</v>
      </c>
      <c r="O55" s="8">
        <v>1168410265200</v>
      </c>
      <c r="P55" s="8">
        <v>1085902934400</v>
      </c>
      <c r="Q55" s="18">
        <f>(Table1[[#This Row],[A. TÀI SẢN NGẮN HẠN]]-Table1[[#This Row],[I. Nợ ngắn hạn]])/Table1[[#This Row],[TỔNG CỘNG TÀI SẢN]]</f>
        <v>-1.0912026116175972E-2</v>
      </c>
      <c r="R55" s="18">
        <f>Table1[[#This Row],[- LNST chưa phân phối kỳ này]]/Table1[[#This Row],[TỔNG CỘNG TÀI SẢN]]</f>
        <v>3.8163052064064354E-2</v>
      </c>
      <c r="S55" s="21">
        <f>Table1[[#This Row],[5. Lợi nhuận gộp về bán hàng và cung cấp dịch vụ]]/Table1[[#This Row],[TỔNG CỘNG TÀI SẢN]]</f>
        <v>0.18739292769043833</v>
      </c>
      <c r="T5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1.1478470305590331</v>
      </c>
      <c r="U55" s="23">
        <f>Table1[[#This Row],[1. Doanh thu bán hàng và cung cấp dịch vụ ]]/Table1[[#This Row],[TỔNG CỘNG TÀI SẢN]]</f>
        <v>0.62195531849893038</v>
      </c>
      <c r="V55" s="23">
        <f>1.2*Table1[[#This Row],[X1]] + 1.4*Table1[[#This Row],[X2]] + 3.3*Table1[[#This Row],[x3]] + 0.6*Table1[[#This Row],[x4]] + 1*Table1[[#This Row],[x5]]</f>
        <v>1.9693940397630756</v>
      </c>
      <c r="W55" s="23">
        <f>IF(Table1[[#This Row],[Zscore]]&lt;1.81,1,0)</f>
        <v>0</v>
      </c>
    </row>
    <row r="56" spans="1:23" x14ac:dyDescent="0.45">
      <c r="A56" s="7">
        <v>50</v>
      </c>
      <c r="B56" s="5" t="s">
        <v>113</v>
      </c>
      <c r="C56" s="6" t="s">
        <v>114</v>
      </c>
      <c r="D56" s="6" t="s">
        <v>21</v>
      </c>
      <c r="E56" s="8">
        <v>4433829412812</v>
      </c>
      <c r="F56" s="8">
        <v>3898135174210</v>
      </c>
      <c r="G56" s="8">
        <v>1864037910224</v>
      </c>
      <c r="H56" s="8">
        <v>5631129312</v>
      </c>
      <c r="I56" s="8">
        <v>320184374224</v>
      </c>
      <c r="J56" s="8"/>
      <c r="K56" s="8">
        <v>1865945391591</v>
      </c>
      <c r="L56" s="8">
        <v>482011451311</v>
      </c>
      <c r="M56" s="8">
        <v>3833964463600</v>
      </c>
      <c r="N56" s="8">
        <v>3675819593600</v>
      </c>
      <c r="O56" s="8">
        <v>3379014284800</v>
      </c>
      <c r="P56" s="8">
        <v>3972624902400</v>
      </c>
      <c r="Q56" s="18">
        <f>(Table1[[#This Row],[A. TÀI SẢN NGẮN HẠN]]-Table1[[#This Row],[I. Nợ ngắn hạn]])/Table1[[#This Row],[TỔNG CỘNG TÀI SẢN]]</f>
        <v>0.45876759672085476</v>
      </c>
      <c r="R56" s="18">
        <f>Table1[[#This Row],[- LNST chưa phân phối kỳ này]]/Table1[[#This Row],[TỔNG CỘNG TÀI SẢN]]</f>
        <v>1.270037429885841E-3</v>
      </c>
      <c r="S56" s="21">
        <f>Table1[[#This Row],[5. Lợi nhuận gộp về bán hàng và cung cấp dịch vụ]]/Table1[[#This Row],[TỔNG CỘNG TÀI SẢN]]</f>
        <v>7.2213958728045508E-2</v>
      </c>
      <c r="T5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1.9911385552028928</v>
      </c>
      <c r="U56" s="23">
        <f>Table1[[#This Row],[1. Doanh thu bán hàng và cung cấp dịch vụ ]]/Table1[[#This Row],[TỔNG CỘNG TÀI SẢN]]</f>
        <v>0.10871222287401924</v>
      </c>
      <c r="V56" s="23">
        <f>1.2*Table1[[#This Row],[X1]] + 1.4*Table1[[#This Row],[X2]] + 3.3*Table1[[#This Row],[x3]] + 0.6*Table1[[#This Row],[x4]] + 1*Table1[[#This Row],[x5]]</f>
        <v>2.0940005882651711</v>
      </c>
      <c r="W56" s="23">
        <f>IF(Table1[[#This Row],[Zscore]]&lt;1.81,1,0)</f>
        <v>0</v>
      </c>
    </row>
    <row r="57" spans="1:23" ht="26.25" hidden="1" x14ac:dyDescent="0.45">
      <c r="A57" s="7">
        <v>51</v>
      </c>
      <c r="B57" s="5" t="s">
        <v>115</v>
      </c>
      <c r="C57" s="6" t="s">
        <v>116</v>
      </c>
      <c r="D57" s="6" t="s">
        <v>13</v>
      </c>
      <c r="E57" s="6"/>
      <c r="F57" s="6"/>
      <c r="G57" s="6"/>
      <c r="H57" s="6"/>
      <c r="I57" s="6"/>
      <c r="J57" s="8"/>
      <c r="K57" s="6"/>
      <c r="L57" s="6"/>
      <c r="M57" s="8"/>
      <c r="N57" s="8"/>
      <c r="O57" s="8"/>
      <c r="P57" s="8"/>
      <c r="Q57" s="18" t="e">
        <f>(Table1[[#This Row],[A. TÀI SẢN NGẮN HẠN]]-Table1[[#This Row],[I. Nợ ngắn hạn]])/Table1[[#This Row],[TỔNG CỘNG TÀI SẢN]]</f>
        <v>#DIV/0!</v>
      </c>
      <c r="R57" s="18" t="e">
        <f>Table1[[#This Row],[- LNST chưa phân phối kỳ này]]/Table1[[#This Row],[TỔNG CỘNG TÀI SẢN]]</f>
        <v>#DIV/0!</v>
      </c>
      <c r="S57" s="21" t="e">
        <f>Table1[[#This Row],[5. Lợi nhuận gộp về bán hàng và cung cấp dịch vụ]]/Table1[[#This Row],[TỔNG CỘNG TÀI SẢN]]</f>
        <v>#DIV/0!</v>
      </c>
      <c r="T5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57" s="23" t="e">
        <f>Table1[[#This Row],[1. Doanh thu bán hàng và cung cấp dịch vụ ]]/Table1[[#This Row],[TỔNG CỘNG TÀI SẢN]]</f>
        <v>#DIV/0!</v>
      </c>
      <c r="V57" s="23" t="e">
        <f>1.2*Table1[[#This Row],[X1]] + 1.4*Table1[[#This Row],[X2]] + 3.3*Table1[[#This Row],[x3]] + 0.6*Table1[[#This Row],[x4]] + 1*Table1[[#This Row],[x5]]</f>
        <v>#DIV/0!</v>
      </c>
      <c r="W57" s="23" t="e">
        <f>IF(Table1[[#This Row],[Zscore]]&lt;1.81,1,0)</f>
        <v>#DIV/0!</v>
      </c>
    </row>
    <row r="58" spans="1:23" ht="26.25" hidden="1" x14ac:dyDescent="0.45">
      <c r="A58" s="7">
        <v>52</v>
      </c>
      <c r="B58" s="5" t="s">
        <v>117</v>
      </c>
      <c r="C58" s="6" t="s">
        <v>118</v>
      </c>
      <c r="D58" s="6" t="s">
        <v>13</v>
      </c>
      <c r="E58" s="6"/>
      <c r="F58" s="6"/>
      <c r="G58" s="6"/>
      <c r="H58" s="6"/>
      <c r="I58" s="6"/>
      <c r="J58" s="8"/>
      <c r="K58" s="6"/>
      <c r="L58" s="6"/>
      <c r="M58" s="8"/>
      <c r="N58" s="8"/>
      <c r="O58" s="8"/>
      <c r="P58" s="8"/>
      <c r="Q58" s="18" t="e">
        <f>(Table1[[#This Row],[A. TÀI SẢN NGẮN HẠN]]-Table1[[#This Row],[I. Nợ ngắn hạn]])/Table1[[#This Row],[TỔNG CỘNG TÀI SẢN]]</f>
        <v>#DIV/0!</v>
      </c>
      <c r="R58" s="18" t="e">
        <f>Table1[[#This Row],[- LNST chưa phân phối kỳ này]]/Table1[[#This Row],[TỔNG CỘNG TÀI SẢN]]</f>
        <v>#DIV/0!</v>
      </c>
      <c r="S58" s="21" t="e">
        <f>Table1[[#This Row],[5. Lợi nhuận gộp về bán hàng và cung cấp dịch vụ]]/Table1[[#This Row],[TỔNG CỘNG TÀI SẢN]]</f>
        <v>#DIV/0!</v>
      </c>
      <c r="T5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58" s="23" t="e">
        <f>Table1[[#This Row],[1. Doanh thu bán hàng và cung cấp dịch vụ ]]/Table1[[#This Row],[TỔNG CỘNG TÀI SẢN]]</f>
        <v>#DIV/0!</v>
      </c>
      <c r="V58" s="23" t="e">
        <f>1.2*Table1[[#This Row],[X1]] + 1.4*Table1[[#This Row],[X2]] + 3.3*Table1[[#This Row],[x3]] + 0.6*Table1[[#This Row],[x4]] + 1*Table1[[#This Row],[x5]]</f>
        <v>#DIV/0!</v>
      </c>
      <c r="W58" s="23" t="e">
        <f>IF(Table1[[#This Row],[Zscore]]&lt;1.81,1,0)</f>
        <v>#DIV/0!</v>
      </c>
    </row>
    <row r="59" spans="1:23" ht="26.25" hidden="1" x14ac:dyDescent="0.45">
      <c r="A59" s="7">
        <v>53</v>
      </c>
      <c r="B59" s="5" t="s">
        <v>119</v>
      </c>
      <c r="C59" s="6" t="s">
        <v>120</v>
      </c>
      <c r="D59" s="6" t="s">
        <v>13</v>
      </c>
      <c r="E59" s="6"/>
      <c r="F59" s="6"/>
      <c r="G59" s="6"/>
      <c r="H59" s="6"/>
      <c r="I59" s="6"/>
      <c r="J59" s="8"/>
      <c r="K59" s="6"/>
      <c r="L59" s="6"/>
      <c r="M59" s="8"/>
      <c r="N59" s="8"/>
      <c r="O59" s="8"/>
      <c r="P59" s="8"/>
      <c r="Q59" s="18" t="e">
        <f>(Table1[[#This Row],[A. TÀI SẢN NGẮN HẠN]]-Table1[[#This Row],[I. Nợ ngắn hạn]])/Table1[[#This Row],[TỔNG CỘNG TÀI SẢN]]</f>
        <v>#DIV/0!</v>
      </c>
      <c r="R59" s="18" t="e">
        <f>Table1[[#This Row],[- LNST chưa phân phối kỳ này]]/Table1[[#This Row],[TỔNG CỘNG TÀI SẢN]]</f>
        <v>#DIV/0!</v>
      </c>
      <c r="S59" s="21" t="e">
        <f>Table1[[#This Row],[5. Lợi nhuận gộp về bán hàng và cung cấp dịch vụ]]/Table1[[#This Row],[TỔNG CỘNG TÀI SẢN]]</f>
        <v>#DIV/0!</v>
      </c>
      <c r="T5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59" s="23" t="e">
        <f>Table1[[#This Row],[1. Doanh thu bán hàng và cung cấp dịch vụ ]]/Table1[[#This Row],[TỔNG CỘNG TÀI SẢN]]</f>
        <v>#DIV/0!</v>
      </c>
      <c r="V59" s="23" t="e">
        <f>1.2*Table1[[#This Row],[X1]] + 1.4*Table1[[#This Row],[X2]] + 3.3*Table1[[#This Row],[x3]] + 0.6*Table1[[#This Row],[x4]] + 1*Table1[[#This Row],[x5]]</f>
        <v>#DIV/0!</v>
      </c>
      <c r="W59" s="23" t="e">
        <f>IF(Table1[[#This Row],[Zscore]]&lt;1.81,1,0)</f>
        <v>#DIV/0!</v>
      </c>
    </row>
    <row r="60" spans="1:23" ht="26.25" hidden="1" x14ac:dyDescent="0.45">
      <c r="A60" s="7">
        <v>54</v>
      </c>
      <c r="B60" s="5" t="s">
        <v>121</v>
      </c>
      <c r="C60" s="6" t="s">
        <v>122</v>
      </c>
      <c r="D60" s="6" t="s">
        <v>13</v>
      </c>
      <c r="E60" s="6"/>
      <c r="F60" s="6"/>
      <c r="G60" s="6"/>
      <c r="H60" s="6"/>
      <c r="I60" s="6"/>
      <c r="J60" s="8"/>
      <c r="K60" s="6"/>
      <c r="L60" s="6"/>
      <c r="M60" s="8"/>
      <c r="N60" s="8"/>
      <c r="O60" s="8"/>
      <c r="P60" s="8"/>
      <c r="Q60" s="18" t="e">
        <f>(Table1[[#This Row],[A. TÀI SẢN NGẮN HẠN]]-Table1[[#This Row],[I. Nợ ngắn hạn]])/Table1[[#This Row],[TỔNG CỘNG TÀI SẢN]]</f>
        <v>#DIV/0!</v>
      </c>
      <c r="R60" s="18" t="e">
        <f>Table1[[#This Row],[- LNST chưa phân phối kỳ này]]/Table1[[#This Row],[TỔNG CỘNG TÀI SẢN]]</f>
        <v>#DIV/0!</v>
      </c>
      <c r="S60" s="21" t="e">
        <f>Table1[[#This Row],[5. Lợi nhuận gộp về bán hàng và cung cấp dịch vụ]]/Table1[[#This Row],[TỔNG CỘNG TÀI SẢN]]</f>
        <v>#DIV/0!</v>
      </c>
      <c r="T6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60" s="23" t="e">
        <f>Table1[[#This Row],[1. Doanh thu bán hàng và cung cấp dịch vụ ]]/Table1[[#This Row],[TỔNG CỘNG TÀI SẢN]]</f>
        <v>#DIV/0!</v>
      </c>
      <c r="V60" s="23" t="e">
        <f>1.2*Table1[[#This Row],[X1]] + 1.4*Table1[[#This Row],[X2]] + 3.3*Table1[[#This Row],[x3]] + 0.6*Table1[[#This Row],[x4]] + 1*Table1[[#This Row],[x5]]</f>
        <v>#DIV/0!</v>
      </c>
      <c r="W60" s="23" t="e">
        <f>IF(Table1[[#This Row],[Zscore]]&lt;1.81,1,0)</f>
        <v>#DIV/0!</v>
      </c>
    </row>
    <row r="61" spans="1:23" hidden="1" x14ac:dyDescent="0.45">
      <c r="A61" s="7">
        <v>55</v>
      </c>
      <c r="B61" s="5" t="s">
        <v>123</v>
      </c>
      <c r="C61" s="6" t="s">
        <v>124</v>
      </c>
      <c r="D61" s="6" t="s">
        <v>13</v>
      </c>
      <c r="E61" s="6"/>
      <c r="F61" s="6"/>
      <c r="G61" s="6"/>
      <c r="H61" s="6"/>
      <c r="I61" s="6"/>
      <c r="J61" s="8"/>
      <c r="K61" s="6"/>
      <c r="L61" s="6"/>
      <c r="M61" s="8"/>
      <c r="N61" s="8"/>
      <c r="O61" s="8"/>
      <c r="P61" s="8"/>
      <c r="Q61" s="18" t="e">
        <f>(Table1[[#This Row],[A. TÀI SẢN NGẮN HẠN]]-Table1[[#This Row],[I. Nợ ngắn hạn]])/Table1[[#This Row],[TỔNG CỘNG TÀI SẢN]]</f>
        <v>#DIV/0!</v>
      </c>
      <c r="R61" s="18" t="e">
        <f>Table1[[#This Row],[- LNST chưa phân phối kỳ này]]/Table1[[#This Row],[TỔNG CỘNG TÀI SẢN]]</f>
        <v>#DIV/0!</v>
      </c>
      <c r="S61" s="21" t="e">
        <f>Table1[[#This Row],[5. Lợi nhuận gộp về bán hàng và cung cấp dịch vụ]]/Table1[[#This Row],[TỔNG CỘNG TÀI SẢN]]</f>
        <v>#DIV/0!</v>
      </c>
      <c r="T6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61" s="23" t="e">
        <f>Table1[[#This Row],[1. Doanh thu bán hàng và cung cấp dịch vụ ]]/Table1[[#This Row],[TỔNG CỘNG TÀI SẢN]]</f>
        <v>#DIV/0!</v>
      </c>
      <c r="V61" s="23" t="e">
        <f>1.2*Table1[[#This Row],[X1]] + 1.4*Table1[[#This Row],[X2]] + 3.3*Table1[[#This Row],[x3]] + 0.6*Table1[[#This Row],[x4]] + 1*Table1[[#This Row],[x5]]</f>
        <v>#DIV/0!</v>
      </c>
      <c r="W61" s="23" t="e">
        <f>IF(Table1[[#This Row],[Zscore]]&lt;1.81,1,0)</f>
        <v>#DIV/0!</v>
      </c>
    </row>
    <row r="62" spans="1:23" ht="26.25" hidden="1" x14ac:dyDescent="0.45">
      <c r="A62" s="7">
        <v>56</v>
      </c>
      <c r="B62" s="5" t="s">
        <v>125</v>
      </c>
      <c r="C62" s="6" t="s">
        <v>126</v>
      </c>
      <c r="D62" s="6" t="s">
        <v>18</v>
      </c>
      <c r="E62" s="6"/>
      <c r="F62" s="6"/>
      <c r="G62" s="6"/>
      <c r="H62" s="6"/>
      <c r="I62" s="6"/>
      <c r="J62" s="8"/>
      <c r="K62" s="6"/>
      <c r="L62" s="6"/>
      <c r="M62" s="8"/>
      <c r="N62" s="8"/>
      <c r="O62" s="8"/>
      <c r="P62" s="8"/>
      <c r="Q62" s="18" t="e">
        <f>(Table1[[#This Row],[A. TÀI SẢN NGẮN HẠN]]-Table1[[#This Row],[I. Nợ ngắn hạn]])/Table1[[#This Row],[TỔNG CỘNG TÀI SẢN]]</f>
        <v>#DIV/0!</v>
      </c>
      <c r="R62" s="18" t="e">
        <f>Table1[[#This Row],[- LNST chưa phân phối kỳ này]]/Table1[[#This Row],[TỔNG CỘNG TÀI SẢN]]</f>
        <v>#DIV/0!</v>
      </c>
      <c r="S62" s="21" t="e">
        <f>Table1[[#This Row],[5. Lợi nhuận gộp về bán hàng và cung cấp dịch vụ]]/Table1[[#This Row],[TỔNG CỘNG TÀI SẢN]]</f>
        <v>#DIV/0!</v>
      </c>
      <c r="T6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62" s="23" t="e">
        <f>Table1[[#This Row],[1. Doanh thu bán hàng và cung cấp dịch vụ ]]/Table1[[#This Row],[TỔNG CỘNG TÀI SẢN]]</f>
        <v>#DIV/0!</v>
      </c>
      <c r="V62" s="23" t="e">
        <f>1.2*Table1[[#This Row],[X1]] + 1.4*Table1[[#This Row],[X2]] + 3.3*Table1[[#This Row],[x3]] + 0.6*Table1[[#This Row],[x4]] + 1*Table1[[#This Row],[x5]]</f>
        <v>#DIV/0!</v>
      </c>
      <c r="W62" s="23" t="e">
        <f>IF(Table1[[#This Row],[Zscore]]&lt;1.81,1,0)</f>
        <v>#DIV/0!</v>
      </c>
    </row>
    <row r="63" spans="1:23" ht="26.25" x14ac:dyDescent="0.45">
      <c r="A63" s="7">
        <v>57</v>
      </c>
      <c r="B63" s="5" t="s">
        <v>127</v>
      </c>
      <c r="C63" s="6" t="s">
        <v>128</v>
      </c>
      <c r="D63" s="6" t="s">
        <v>18</v>
      </c>
      <c r="E63" s="8">
        <v>5852706214168</v>
      </c>
      <c r="F63" s="8">
        <v>4528601628966</v>
      </c>
      <c r="G63" s="8">
        <v>4713830202857</v>
      </c>
      <c r="H63" s="6"/>
      <c r="I63" s="8">
        <v>334594926101</v>
      </c>
      <c r="J63" s="8"/>
      <c r="K63" s="8">
        <v>4713755922279</v>
      </c>
      <c r="L63" s="8">
        <v>3570055458096</v>
      </c>
      <c r="M63" s="8">
        <v>1240000000000</v>
      </c>
      <c r="N63" s="8">
        <v>1000000000000</v>
      </c>
      <c r="O63" s="8">
        <v>1060000000000</v>
      </c>
      <c r="P63" s="8">
        <v>1050000000000</v>
      </c>
      <c r="Q63" s="18">
        <f>(Table1[[#This Row],[A. TÀI SẢN NGẮN HẠN]]-Table1[[#This Row],[I. Nợ ngắn hạn]])/Table1[[#This Row],[TỔNG CỘNG TÀI SẢN]]</f>
        <v>-3.1648363528414596E-2</v>
      </c>
      <c r="R63" s="18">
        <f>Table1[[#This Row],[- LNST chưa phân phối kỳ này]]/Table1[[#This Row],[TỔNG CỘNG TÀI SẢN]]</f>
        <v>0</v>
      </c>
      <c r="S63" s="21">
        <f>Table1[[#This Row],[5. Lợi nhuận gộp về bán hàng và cung cấp dịch vụ]]/Table1[[#This Row],[TỔNG CỘNG TÀI SẢN]]</f>
        <v>5.7169267319624864E-2</v>
      </c>
      <c r="T6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0.23070774514651091</v>
      </c>
      <c r="U63" s="23">
        <f>Table1[[#This Row],[1. Doanh thu bán hàng và cung cấp dịch vụ ]]/Table1[[#This Row],[TỔNG CỘNG TÀI SẢN]]</f>
        <v>0.60998371137333884</v>
      </c>
      <c r="V63" s="23">
        <f>1.2*Table1[[#This Row],[X1]] + 1.4*Table1[[#This Row],[X2]] + 3.3*Table1[[#This Row],[x3]] + 0.6*Table1[[#This Row],[x4]] + 1*Table1[[#This Row],[x5]]</f>
        <v>0.89908890438190991</v>
      </c>
      <c r="W63" s="23">
        <f>IF(Table1[[#This Row],[Zscore]]&lt;1.81,1,0)</f>
        <v>1</v>
      </c>
    </row>
    <row r="64" spans="1:23" x14ac:dyDescent="0.45">
      <c r="A64" s="7">
        <v>58</v>
      </c>
      <c r="B64" s="5" t="s">
        <v>129</v>
      </c>
      <c r="C64" s="6" t="s">
        <v>130</v>
      </c>
      <c r="D64" s="6" t="s">
        <v>18</v>
      </c>
      <c r="E64" s="8">
        <v>12255996141882</v>
      </c>
      <c r="F64" s="8">
        <v>8745114384289</v>
      </c>
      <c r="G64" s="8">
        <v>4414600106585</v>
      </c>
      <c r="H64" s="8">
        <v>900588360030</v>
      </c>
      <c r="I64" s="8">
        <v>2382865336302</v>
      </c>
      <c r="J64" s="8"/>
      <c r="K64" s="8">
        <v>4719830933384</v>
      </c>
      <c r="L64" s="8">
        <v>15597219942573</v>
      </c>
      <c r="M64" s="8">
        <v>7523517241800</v>
      </c>
      <c r="N64" s="8">
        <v>8530064900000</v>
      </c>
      <c r="O64" s="8">
        <v>7591757761000</v>
      </c>
      <c r="P64" s="8">
        <v>7557637501400</v>
      </c>
      <c r="Q64" s="18">
        <f>(Table1[[#This Row],[A. TÀI SẢN NGẮN HẠN]]-Table1[[#This Row],[I. Nợ ngắn hạn]])/Table1[[#This Row],[TỔNG CỘNG TÀI SẢN]]</f>
        <v>0.353338417177326</v>
      </c>
      <c r="R64" s="18">
        <f>Table1[[#This Row],[- LNST chưa phân phối kỳ này]]/Table1[[#This Row],[TỔNG CỘNG TÀI SẢN]]</f>
        <v>7.3481449374192431E-2</v>
      </c>
      <c r="S64" s="21">
        <f>Table1[[#This Row],[5. Lợi nhuận gộp về bán hàng và cung cấp dịch vụ]]/Table1[[#This Row],[TỔNG CỘNG TÀI SẢN]]</f>
        <v>0.1944244522205025</v>
      </c>
      <c r="T6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1.6527592748872177</v>
      </c>
      <c r="U64" s="23">
        <f>Table1[[#This Row],[1. Doanh thu bán hàng và cung cấp dịch vụ ]]/Table1[[#This Row],[TỔNG CỘNG TÀI SẢN]]</f>
        <v>1.272619521254021</v>
      </c>
      <c r="V64" s="23">
        <f>1.2*Table1[[#This Row],[X1]] + 1.4*Table1[[#This Row],[X2]] + 3.3*Table1[[#This Row],[x3]] + 0.6*Table1[[#This Row],[x4]] + 1*Table1[[#This Row],[x5]]</f>
        <v>3.4327559082506705</v>
      </c>
      <c r="W64" s="23">
        <f>IF(Table1[[#This Row],[Zscore]]&lt;1.81,1,0)</f>
        <v>0</v>
      </c>
    </row>
    <row r="65" spans="1:23" ht="26.25" hidden="1" x14ac:dyDescent="0.45">
      <c r="A65" s="7">
        <v>59</v>
      </c>
      <c r="B65" s="5" t="s">
        <v>131</v>
      </c>
      <c r="C65" s="6" t="s">
        <v>132</v>
      </c>
      <c r="D65" s="6" t="s">
        <v>13</v>
      </c>
      <c r="E65" s="6"/>
      <c r="F65" s="6"/>
      <c r="G65" s="6"/>
      <c r="H65" s="6"/>
      <c r="I65" s="6"/>
      <c r="J65" s="8"/>
      <c r="K65" s="6"/>
      <c r="L65" s="6"/>
      <c r="M65" s="8"/>
      <c r="N65" s="8"/>
      <c r="O65" s="8"/>
      <c r="P65" s="8"/>
      <c r="Q65" s="18" t="e">
        <f>(Table1[[#This Row],[A. TÀI SẢN NGẮN HẠN]]-Table1[[#This Row],[I. Nợ ngắn hạn]])/Table1[[#This Row],[TỔNG CỘNG TÀI SẢN]]</f>
        <v>#DIV/0!</v>
      </c>
      <c r="R65" s="18" t="e">
        <f>Table1[[#This Row],[- LNST chưa phân phối kỳ này]]/Table1[[#This Row],[TỔNG CỘNG TÀI SẢN]]</f>
        <v>#DIV/0!</v>
      </c>
      <c r="S65" s="21" t="e">
        <f>Table1[[#This Row],[5. Lợi nhuận gộp về bán hàng và cung cấp dịch vụ]]/Table1[[#This Row],[TỔNG CỘNG TÀI SẢN]]</f>
        <v>#DIV/0!</v>
      </c>
      <c r="T6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65" s="23" t="e">
        <f>Table1[[#This Row],[1. Doanh thu bán hàng và cung cấp dịch vụ ]]/Table1[[#This Row],[TỔNG CỘNG TÀI SẢN]]</f>
        <v>#DIV/0!</v>
      </c>
      <c r="V65" s="23" t="e">
        <f>1.2*Table1[[#This Row],[X1]] + 1.4*Table1[[#This Row],[X2]] + 3.3*Table1[[#This Row],[x3]] + 0.6*Table1[[#This Row],[x4]] + 1*Table1[[#This Row],[x5]]</f>
        <v>#DIV/0!</v>
      </c>
      <c r="W65" s="23" t="e">
        <f>IF(Table1[[#This Row],[Zscore]]&lt;1.81,1,0)</f>
        <v>#DIV/0!</v>
      </c>
    </row>
    <row r="66" spans="1:23" hidden="1" x14ac:dyDescent="0.45">
      <c r="A66" s="7">
        <v>60</v>
      </c>
      <c r="B66" s="5" t="s">
        <v>133</v>
      </c>
      <c r="C66" s="6" t="s">
        <v>134</v>
      </c>
      <c r="D66" s="6" t="s">
        <v>13</v>
      </c>
      <c r="E66" s="8">
        <v>2787835374373</v>
      </c>
      <c r="F66" s="8">
        <v>2743458107506</v>
      </c>
      <c r="G66" s="8">
        <v>819571127806</v>
      </c>
      <c r="H66" s="8">
        <v>-31494516913</v>
      </c>
      <c r="I66" s="8">
        <v>103376849122</v>
      </c>
      <c r="J66" s="8"/>
      <c r="K66" s="8">
        <v>819571127806</v>
      </c>
      <c r="L66" s="8">
        <v>175340844839</v>
      </c>
      <c r="M66" s="8"/>
      <c r="N66" s="8"/>
      <c r="O66" s="8"/>
      <c r="P66" s="8"/>
      <c r="Q66" s="18">
        <f>(Table1[[#This Row],[A. TÀI SẢN NGẮN HẠN]]-Table1[[#This Row],[I. Nợ ngắn hạn]])/Table1[[#This Row],[TỔNG CỘNG TÀI SẢN]]</f>
        <v>0.69010064130228388</v>
      </c>
      <c r="R66" s="18">
        <f>Table1[[#This Row],[- LNST chưa phân phối kỳ này]]/Table1[[#This Row],[TỔNG CỘNG TÀI SẢN]]</f>
        <v>-1.1297122205461396E-2</v>
      </c>
      <c r="S66" s="21">
        <f>Table1[[#This Row],[5. Lợi nhuận gộp về bán hàng và cung cấp dịch vụ]]/Table1[[#This Row],[TỔNG CỘNG TÀI SẢN]]</f>
        <v>3.7081403755862032E-2</v>
      </c>
      <c r="T6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66" s="23">
        <f>Table1[[#This Row],[1. Doanh thu bán hàng và cung cấp dịch vụ ]]/Table1[[#This Row],[TỔNG CỘNG TÀI SẢN]]</f>
        <v>6.2894978107677954E-2</v>
      </c>
      <c r="V66" s="23" t="e">
        <f>1.2*Table1[[#This Row],[X1]] + 1.4*Table1[[#This Row],[X2]] + 3.3*Table1[[#This Row],[x3]] + 0.6*Table1[[#This Row],[x4]] + 1*Table1[[#This Row],[x5]]</f>
        <v>#DIV/0!</v>
      </c>
      <c r="W66" s="23" t="e">
        <f>IF(Table1[[#This Row],[Zscore]]&lt;1.81,1,0)</f>
        <v>#DIV/0!</v>
      </c>
    </row>
    <row r="67" spans="1:23" ht="26.25" hidden="1" x14ac:dyDescent="0.45">
      <c r="A67" s="7">
        <v>61</v>
      </c>
      <c r="B67" s="5" t="s">
        <v>135</v>
      </c>
      <c r="C67" s="6" t="s">
        <v>136</v>
      </c>
      <c r="D67" s="6" t="s">
        <v>13</v>
      </c>
      <c r="E67" s="6"/>
      <c r="F67" s="6"/>
      <c r="G67" s="6"/>
      <c r="H67" s="6"/>
      <c r="I67" s="6"/>
      <c r="J67" s="8"/>
      <c r="K67" s="6"/>
      <c r="L67" s="6"/>
      <c r="M67" s="8"/>
      <c r="N67" s="8"/>
      <c r="O67" s="8"/>
      <c r="P67" s="8"/>
      <c r="Q67" s="18" t="e">
        <f>(Table1[[#This Row],[A. TÀI SẢN NGẮN HẠN]]-Table1[[#This Row],[I. Nợ ngắn hạn]])/Table1[[#This Row],[TỔNG CỘNG TÀI SẢN]]</f>
        <v>#DIV/0!</v>
      </c>
      <c r="R67" s="18" t="e">
        <f>Table1[[#This Row],[- LNST chưa phân phối kỳ này]]/Table1[[#This Row],[TỔNG CỘNG TÀI SẢN]]</f>
        <v>#DIV/0!</v>
      </c>
      <c r="S67" s="21" t="e">
        <f>Table1[[#This Row],[5. Lợi nhuận gộp về bán hàng và cung cấp dịch vụ]]/Table1[[#This Row],[TỔNG CỘNG TÀI SẢN]]</f>
        <v>#DIV/0!</v>
      </c>
      <c r="T6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67" s="23" t="e">
        <f>Table1[[#This Row],[1. Doanh thu bán hàng và cung cấp dịch vụ ]]/Table1[[#This Row],[TỔNG CỘNG TÀI SẢN]]</f>
        <v>#DIV/0!</v>
      </c>
      <c r="V67" s="23" t="e">
        <f>1.2*Table1[[#This Row],[X1]] + 1.4*Table1[[#This Row],[X2]] + 3.3*Table1[[#This Row],[x3]] + 0.6*Table1[[#This Row],[x4]] + 1*Table1[[#This Row],[x5]]</f>
        <v>#DIV/0!</v>
      </c>
      <c r="W67" s="23" t="e">
        <f>IF(Table1[[#This Row],[Zscore]]&lt;1.81,1,0)</f>
        <v>#DIV/0!</v>
      </c>
    </row>
    <row r="68" spans="1:23" hidden="1" x14ac:dyDescent="0.45">
      <c r="A68" s="7">
        <v>62</v>
      </c>
      <c r="B68" s="5" t="s">
        <v>137</v>
      </c>
      <c r="C68" s="6" t="s">
        <v>138</v>
      </c>
      <c r="D68" s="6" t="s">
        <v>18</v>
      </c>
      <c r="E68" s="8">
        <v>2258203384993</v>
      </c>
      <c r="F68" s="8">
        <v>1042915400090</v>
      </c>
      <c r="G68" s="8">
        <v>295871951482</v>
      </c>
      <c r="H68" s="8">
        <v>238586671204</v>
      </c>
      <c r="I68" s="8">
        <v>433861090177</v>
      </c>
      <c r="J68" s="8"/>
      <c r="K68" s="8">
        <v>636226481482</v>
      </c>
      <c r="L68" s="8">
        <v>1312491961169</v>
      </c>
      <c r="M68" s="8"/>
      <c r="N68" s="8"/>
      <c r="O68" s="8"/>
      <c r="P68" s="8"/>
      <c r="Q68" s="18">
        <f>(Table1[[#This Row],[A. TÀI SẢN NGẮN HẠN]]-Table1[[#This Row],[I. Nợ ngắn hạn]])/Table1[[#This Row],[TỔNG CỘNG TÀI SẢN]]</f>
        <v>0.33081318253816883</v>
      </c>
      <c r="R68" s="18">
        <f>Table1[[#This Row],[- LNST chưa phân phối kỳ này]]/Table1[[#This Row],[TỔNG CỘNG TÀI SẢN]]</f>
        <v>0.10565331395282608</v>
      </c>
      <c r="S68" s="21">
        <f>Table1[[#This Row],[5. Lợi nhuận gộp về bán hàng và cung cấp dịch vụ]]/Table1[[#This Row],[TỔNG CỘNG TÀI SẢN]]</f>
        <v>0.19212666718163868</v>
      </c>
      <c r="T6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68" s="23">
        <f>Table1[[#This Row],[1. Doanh thu bán hàng và cung cấp dịch vụ ]]/Table1[[#This Row],[TỔNG CỘNG TÀI SẢN]]</f>
        <v>0.581210696029963</v>
      </c>
      <c r="V68" s="23" t="e">
        <f>1.2*Table1[[#This Row],[X1]] + 1.4*Table1[[#This Row],[X2]] + 3.3*Table1[[#This Row],[x3]] + 0.6*Table1[[#This Row],[x4]] + 1*Table1[[#This Row],[x5]]</f>
        <v>#DIV/0!</v>
      </c>
      <c r="W68" s="23" t="e">
        <f>IF(Table1[[#This Row],[Zscore]]&lt;1.81,1,0)</f>
        <v>#DIV/0!</v>
      </c>
    </row>
    <row r="69" spans="1:23" ht="26.25" hidden="1" x14ac:dyDescent="0.45">
      <c r="A69" s="7">
        <v>63</v>
      </c>
      <c r="B69" s="5" t="s">
        <v>139</v>
      </c>
      <c r="C69" s="6" t="s">
        <v>140</v>
      </c>
      <c r="D69" s="6" t="s">
        <v>13</v>
      </c>
      <c r="E69" s="6"/>
      <c r="F69" s="6"/>
      <c r="G69" s="6"/>
      <c r="H69" s="6"/>
      <c r="I69" s="6"/>
      <c r="J69" s="8"/>
      <c r="K69" s="6"/>
      <c r="L69" s="6"/>
      <c r="M69" s="8"/>
      <c r="N69" s="8"/>
      <c r="O69" s="8"/>
      <c r="P69" s="8"/>
      <c r="Q69" s="18" t="e">
        <f>(Table1[[#This Row],[A. TÀI SẢN NGẮN HẠN]]-Table1[[#This Row],[I. Nợ ngắn hạn]])/Table1[[#This Row],[TỔNG CỘNG TÀI SẢN]]</f>
        <v>#DIV/0!</v>
      </c>
      <c r="R69" s="18" t="e">
        <f>Table1[[#This Row],[- LNST chưa phân phối kỳ này]]/Table1[[#This Row],[TỔNG CỘNG TÀI SẢN]]</f>
        <v>#DIV/0!</v>
      </c>
      <c r="S69" s="21" t="e">
        <f>Table1[[#This Row],[5. Lợi nhuận gộp về bán hàng và cung cấp dịch vụ]]/Table1[[#This Row],[TỔNG CỘNG TÀI SẢN]]</f>
        <v>#DIV/0!</v>
      </c>
      <c r="T6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69" s="23" t="e">
        <f>Table1[[#This Row],[1. Doanh thu bán hàng và cung cấp dịch vụ ]]/Table1[[#This Row],[TỔNG CỘNG TÀI SẢN]]</f>
        <v>#DIV/0!</v>
      </c>
      <c r="V69" s="23" t="e">
        <f>1.2*Table1[[#This Row],[X1]] + 1.4*Table1[[#This Row],[X2]] + 3.3*Table1[[#This Row],[x3]] + 0.6*Table1[[#This Row],[x4]] + 1*Table1[[#This Row],[x5]]</f>
        <v>#DIV/0!</v>
      </c>
      <c r="W69" s="23" t="e">
        <f>IF(Table1[[#This Row],[Zscore]]&lt;1.81,1,0)</f>
        <v>#DIV/0!</v>
      </c>
    </row>
    <row r="70" spans="1:23" hidden="1" x14ac:dyDescent="0.45">
      <c r="A70" s="7">
        <v>64</v>
      </c>
      <c r="B70" s="5" t="s">
        <v>141</v>
      </c>
      <c r="C70" s="6" t="s">
        <v>142</v>
      </c>
      <c r="D70" s="6" t="s">
        <v>13</v>
      </c>
      <c r="E70" s="6"/>
      <c r="F70" s="6"/>
      <c r="G70" s="6"/>
      <c r="H70" s="6"/>
      <c r="I70" s="6"/>
      <c r="J70" s="8"/>
      <c r="K70" s="6"/>
      <c r="L70" s="6"/>
      <c r="M70" s="8"/>
      <c r="N70" s="8"/>
      <c r="O70" s="8"/>
      <c r="P70" s="8"/>
      <c r="Q70" s="18" t="e">
        <f>(Table1[[#This Row],[A. TÀI SẢN NGẮN HẠN]]-Table1[[#This Row],[I. Nợ ngắn hạn]])/Table1[[#This Row],[TỔNG CỘNG TÀI SẢN]]</f>
        <v>#DIV/0!</v>
      </c>
      <c r="R70" s="18" t="e">
        <f>Table1[[#This Row],[- LNST chưa phân phối kỳ này]]/Table1[[#This Row],[TỔNG CỘNG TÀI SẢN]]</f>
        <v>#DIV/0!</v>
      </c>
      <c r="S70" s="21" t="e">
        <f>Table1[[#This Row],[5. Lợi nhuận gộp về bán hàng và cung cấp dịch vụ]]/Table1[[#This Row],[TỔNG CỘNG TÀI SẢN]]</f>
        <v>#DIV/0!</v>
      </c>
      <c r="T7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70" s="23" t="e">
        <f>Table1[[#This Row],[1. Doanh thu bán hàng và cung cấp dịch vụ ]]/Table1[[#This Row],[TỔNG CỘNG TÀI SẢN]]</f>
        <v>#DIV/0!</v>
      </c>
      <c r="V70" s="23" t="e">
        <f>1.2*Table1[[#This Row],[X1]] + 1.4*Table1[[#This Row],[X2]] + 3.3*Table1[[#This Row],[x3]] + 0.6*Table1[[#This Row],[x4]] + 1*Table1[[#This Row],[x5]]</f>
        <v>#DIV/0!</v>
      </c>
      <c r="W70" s="23" t="e">
        <f>IF(Table1[[#This Row],[Zscore]]&lt;1.81,1,0)</f>
        <v>#DIV/0!</v>
      </c>
    </row>
    <row r="71" spans="1:23" hidden="1" x14ac:dyDescent="0.45">
      <c r="A71" s="7">
        <v>65</v>
      </c>
      <c r="B71" s="5" t="s">
        <v>143</v>
      </c>
      <c r="C71" s="6" t="s">
        <v>144</v>
      </c>
      <c r="D71" s="6" t="s">
        <v>13</v>
      </c>
      <c r="E71" s="6"/>
      <c r="F71" s="6"/>
      <c r="G71" s="6"/>
      <c r="H71" s="6"/>
      <c r="I71" s="6"/>
      <c r="J71" s="8"/>
      <c r="K71" s="6"/>
      <c r="L71" s="6"/>
      <c r="M71" s="8"/>
      <c r="N71" s="8"/>
      <c r="O71" s="8"/>
      <c r="P71" s="8"/>
      <c r="Q71" s="18" t="e">
        <f>(Table1[[#This Row],[A. TÀI SẢN NGẮN HẠN]]-Table1[[#This Row],[I. Nợ ngắn hạn]])/Table1[[#This Row],[TỔNG CỘNG TÀI SẢN]]</f>
        <v>#DIV/0!</v>
      </c>
      <c r="R71" s="18" t="e">
        <f>Table1[[#This Row],[- LNST chưa phân phối kỳ này]]/Table1[[#This Row],[TỔNG CỘNG TÀI SẢN]]</f>
        <v>#DIV/0!</v>
      </c>
      <c r="S71" s="21" t="e">
        <f>Table1[[#This Row],[5. Lợi nhuận gộp về bán hàng và cung cấp dịch vụ]]/Table1[[#This Row],[TỔNG CỘNG TÀI SẢN]]</f>
        <v>#DIV/0!</v>
      </c>
      <c r="T7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71" s="23" t="e">
        <f>Table1[[#This Row],[1. Doanh thu bán hàng và cung cấp dịch vụ ]]/Table1[[#This Row],[TỔNG CỘNG TÀI SẢN]]</f>
        <v>#DIV/0!</v>
      </c>
      <c r="V71" s="23" t="e">
        <f>1.2*Table1[[#This Row],[X1]] + 1.4*Table1[[#This Row],[X2]] + 3.3*Table1[[#This Row],[x3]] + 0.6*Table1[[#This Row],[x4]] + 1*Table1[[#This Row],[x5]]</f>
        <v>#DIV/0!</v>
      </c>
      <c r="W71" s="23" t="e">
        <f>IF(Table1[[#This Row],[Zscore]]&lt;1.81,1,0)</f>
        <v>#DIV/0!</v>
      </c>
    </row>
    <row r="72" spans="1:23" x14ac:dyDescent="0.45">
      <c r="A72" s="7">
        <v>66</v>
      </c>
      <c r="B72" s="5" t="s">
        <v>145</v>
      </c>
      <c r="C72" s="6" t="s">
        <v>146</v>
      </c>
      <c r="D72" s="6" t="s">
        <v>36</v>
      </c>
      <c r="E72" s="8">
        <v>354946462761</v>
      </c>
      <c r="F72" s="8">
        <v>212962083490</v>
      </c>
      <c r="G72" s="8">
        <v>122331205457</v>
      </c>
      <c r="H72" s="8">
        <v>9764726047</v>
      </c>
      <c r="I72" s="8">
        <v>63932879539</v>
      </c>
      <c r="J72" s="8"/>
      <c r="K72" s="8">
        <v>134650066228</v>
      </c>
      <c r="L72" s="8">
        <v>426407428166</v>
      </c>
      <c r="M72" s="8">
        <v>69414178900</v>
      </c>
      <c r="N72" s="8">
        <v>74577217000</v>
      </c>
      <c r="O72" s="8">
        <v>73429875200</v>
      </c>
      <c r="P72" s="8">
        <v>69987849800</v>
      </c>
      <c r="Q72" s="18">
        <f>(Table1[[#This Row],[A. TÀI SẢN NGẮN HẠN]]-Table1[[#This Row],[I. Nợ ngắn hạn]])/Table1[[#This Row],[TỔNG CỘNG TÀI SẢN]]</f>
        <v>0.25533675509262782</v>
      </c>
      <c r="R72" s="18">
        <f>Table1[[#This Row],[- LNST chưa phân phối kỳ này]]/Table1[[#This Row],[TỔNG CỘNG TÀI SẢN]]</f>
        <v>2.7510419377175171E-2</v>
      </c>
      <c r="S72" s="21">
        <f>Table1[[#This Row],[5. Lợi nhuận gộp về bán hàng và cung cấp dịch vụ]]/Table1[[#This Row],[TỔNG CỘNG TÀI SẢN]]</f>
        <v>0.1801197821262657</v>
      </c>
      <c r="T7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0.53362231625890266</v>
      </c>
      <c r="U72" s="23">
        <f>Table1[[#This Row],[1. Doanh thu bán hàng và cung cấp dịch vụ ]]/Table1[[#This Row],[TỔNG CỘNG TÀI SẢN]]</f>
        <v>1.2013288563270388</v>
      </c>
      <c r="V72" s="23">
        <f>1.2*Table1[[#This Row],[X1]] + 1.4*Table1[[#This Row],[X2]] + 3.3*Table1[[#This Row],[x3]] + 0.6*Table1[[#This Row],[x4]] + 1*Table1[[#This Row],[x5]]</f>
        <v>2.4608162203382555</v>
      </c>
      <c r="W72" s="23">
        <f>IF(Table1[[#This Row],[Zscore]]&lt;1.81,1,0)</f>
        <v>0</v>
      </c>
    </row>
    <row r="73" spans="1:23" hidden="1" x14ac:dyDescent="0.45">
      <c r="A73" s="7">
        <v>67</v>
      </c>
      <c r="B73" s="5" t="s">
        <v>147</v>
      </c>
      <c r="C73" s="6" t="s">
        <v>148</v>
      </c>
      <c r="D73" s="6" t="s">
        <v>18</v>
      </c>
      <c r="E73" s="6"/>
      <c r="F73" s="6"/>
      <c r="G73" s="6"/>
      <c r="H73" s="6"/>
      <c r="I73" s="6"/>
      <c r="J73" s="8"/>
      <c r="K73" s="6"/>
      <c r="L73" s="6"/>
      <c r="M73" s="8"/>
      <c r="N73" s="8"/>
      <c r="O73" s="8"/>
      <c r="P73" s="8"/>
      <c r="Q73" s="18" t="e">
        <f>(Table1[[#This Row],[A. TÀI SẢN NGẮN HẠN]]-Table1[[#This Row],[I. Nợ ngắn hạn]])/Table1[[#This Row],[TỔNG CỘNG TÀI SẢN]]</f>
        <v>#DIV/0!</v>
      </c>
      <c r="R73" s="18" t="e">
        <f>Table1[[#This Row],[- LNST chưa phân phối kỳ này]]/Table1[[#This Row],[TỔNG CỘNG TÀI SẢN]]</f>
        <v>#DIV/0!</v>
      </c>
      <c r="S73" s="21" t="e">
        <f>Table1[[#This Row],[5. Lợi nhuận gộp về bán hàng và cung cấp dịch vụ]]/Table1[[#This Row],[TỔNG CỘNG TÀI SẢN]]</f>
        <v>#DIV/0!</v>
      </c>
      <c r="T7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73" s="23" t="e">
        <f>Table1[[#This Row],[1. Doanh thu bán hàng và cung cấp dịch vụ ]]/Table1[[#This Row],[TỔNG CỘNG TÀI SẢN]]</f>
        <v>#DIV/0!</v>
      </c>
      <c r="V73" s="23" t="e">
        <f>1.2*Table1[[#This Row],[X1]] + 1.4*Table1[[#This Row],[X2]] + 3.3*Table1[[#This Row],[x3]] + 0.6*Table1[[#This Row],[x4]] + 1*Table1[[#This Row],[x5]]</f>
        <v>#DIV/0!</v>
      </c>
      <c r="W73" s="23" t="e">
        <f>IF(Table1[[#This Row],[Zscore]]&lt;1.81,1,0)</f>
        <v>#DIV/0!</v>
      </c>
    </row>
    <row r="74" spans="1:23" x14ac:dyDescent="0.45">
      <c r="A74" s="7">
        <v>68</v>
      </c>
      <c r="B74" s="5" t="s">
        <v>149</v>
      </c>
      <c r="C74" s="6" t="s">
        <v>150</v>
      </c>
      <c r="D74" s="6" t="s">
        <v>36</v>
      </c>
      <c r="E74" s="8">
        <v>105830669637</v>
      </c>
      <c r="F74" s="8">
        <v>50988643969</v>
      </c>
      <c r="G74" s="8">
        <v>38903715376</v>
      </c>
      <c r="H74" s="8">
        <v>6425396049</v>
      </c>
      <c r="I74" s="8">
        <v>71024336142</v>
      </c>
      <c r="J74" s="8"/>
      <c r="K74" s="8">
        <v>50997654818</v>
      </c>
      <c r="L74" s="8">
        <v>169865621961</v>
      </c>
      <c r="M74" s="8">
        <v>48735000000</v>
      </c>
      <c r="N74" s="8">
        <v>37050000000</v>
      </c>
      <c r="O74" s="8">
        <v>52725000000</v>
      </c>
      <c r="P74" s="8">
        <v>49875000000</v>
      </c>
      <c r="Q74" s="18">
        <f>(Table1[[#This Row],[A. TÀI SẢN NGẮN HẠN]]-Table1[[#This Row],[I. Nợ ngắn hạn]])/Table1[[#This Row],[TỔNG CỘNG TÀI SẢN]]</f>
        <v>0.11419117571920689</v>
      </c>
      <c r="R74" s="18">
        <f>Table1[[#This Row],[- LNST chưa phân phối kỳ này]]/Table1[[#This Row],[TỔNG CỘNG TÀI SẢN]]</f>
        <v>6.0713931708446682E-2</v>
      </c>
      <c r="S74" s="21">
        <f>Table1[[#This Row],[5. Lợi nhuận gộp về bán hàng và cung cấp dịch vụ]]/Table1[[#This Row],[TỔNG CỘNG TÀI SẢN]]</f>
        <v>0.67111298062852676</v>
      </c>
      <c r="T7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0.9234983484647814</v>
      </c>
      <c r="U74" s="23">
        <f>Table1[[#This Row],[1. Doanh thu bán hàng và cung cấp dịch vụ ]]/Table1[[#This Row],[TỔNG CỘNG TÀI SẢN]]</f>
        <v>1.6050698965020289</v>
      </c>
      <c r="V74" s="23">
        <f>1.2*Table1[[#This Row],[X1]] + 1.4*Table1[[#This Row],[X2]] + 3.3*Table1[[#This Row],[x3]] + 0.6*Table1[[#This Row],[x4]] + 1*Table1[[#This Row],[x5]]</f>
        <v>4.5958706569099093</v>
      </c>
      <c r="W74" s="23">
        <f>IF(Table1[[#This Row],[Zscore]]&lt;1.81,1,0)</f>
        <v>0</v>
      </c>
    </row>
    <row r="75" spans="1:23" ht="26.25" hidden="1" x14ac:dyDescent="0.45">
      <c r="A75" s="7">
        <v>69</v>
      </c>
      <c r="B75" s="5" t="s">
        <v>151</v>
      </c>
      <c r="C75" s="6" t="s">
        <v>152</v>
      </c>
      <c r="D75" s="6" t="s">
        <v>13</v>
      </c>
      <c r="E75" s="6"/>
      <c r="F75" s="6"/>
      <c r="G75" s="6"/>
      <c r="H75" s="6"/>
      <c r="I75" s="6"/>
      <c r="J75" s="8"/>
      <c r="K75" s="6"/>
      <c r="L75" s="6"/>
      <c r="M75" s="8"/>
      <c r="N75" s="8"/>
      <c r="O75" s="8"/>
      <c r="P75" s="8"/>
      <c r="Q75" s="18" t="e">
        <f>(Table1[[#This Row],[A. TÀI SẢN NGẮN HẠN]]-Table1[[#This Row],[I. Nợ ngắn hạn]])/Table1[[#This Row],[TỔNG CỘNG TÀI SẢN]]</f>
        <v>#DIV/0!</v>
      </c>
      <c r="R75" s="18" t="e">
        <f>Table1[[#This Row],[- LNST chưa phân phối kỳ này]]/Table1[[#This Row],[TỔNG CỘNG TÀI SẢN]]</f>
        <v>#DIV/0!</v>
      </c>
      <c r="S75" s="21" t="e">
        <f>Table1[[#This Row],[5. Lợi nhuận gộp về bán hàng và cung cấp dịch vụ]]/Table1[[#This Row],[TỔNG CỘNG TÀI SẢN]]</f>
        <v>#DIV/0!</v>
      </c>
      <c r="T7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75" s="23" t="e">
        <f>Table1[[#This Row],[1. Doanh thu bán hàng và cung cấp dịch vụ ]]/Table1[[#This Row],[TỔNG CỘNG TÀI SẢN]]</f>
        <v>#DIV/0!</v>
      </c>
      <c r="V75" s="23" t="e">
        <f>1.2*Table1[[#This Row],[X1]] + 1.4*Table1[[#This Row],[X2]] + 3.3*Table1[[#This Row],[x3]] + 0.6*Table1[[#This Row],[x4]] + 1*Table1[[#This Row],[x5]]</f>
        <v>#DIV/0!</v>
      </c>
      <c r="W75" s="23" t="e">
        <f>IF(Table1[[#This Row],[Zscore]]&lt;1.81,1,0)</f>
        <v>#DIV/0!</v>
      </c>
    </row>
    <row r="76" spans="1:23" x14ac:dyDescent="0.45">
      <c r="A76" s="7">
        <v>70</v>
      </c>
      <c r="B76" s="5" t="s">
        <v>153</v>
      </c>
      <c r="C76" s="6" t="s">
        <v>154</v>
      </c>
      <c r="D76" s="6" t="s">
        <v>36</v>
      </c>
      <c r="E76" s="8">
        <v>3901781682884</v>
      </c>
      <c r="F76" s="8">
        <v>3716392241474</v>
      </c>
      <c r="G76" s="8">
        <v>2979961168120</v>
      </c>
      <c r="H76" s="8">
        <v>40621833391</v>
      </c>
      <c r="I76" s="8">
        <v>236617050038</v>
      </c>
      <c r="J76" s="8"/>
      <c r="K76" s="8">
        <v>2989131916799</v>
      </c>
      <c r="L76" s="8">
        <v>4994109145790</v>
      </c>
      <c r="M76" s="8">
        <v>384680000000</v>
      </c>
      <c r="N76" s="8">
        <v>475960000000</v>
      </c>
      <c r="O76" s="8">
        <v>339040000000</v>
      </c>
      <c r="P76" s="8">
        <v>586800000000</v>
      </c>
      <c r="Q76" s="18">
        <f>(Table1[[#This Row],[A. TÀI SẢN NGẮN HẠN]]-Table1[[#This Row],[I. Nợ ngắn hạn]])/Table1[[#This Row],[TỔNG CỘNG TÀI SẢN]]</f>
        <v>0.18874225500224998</v>
      </c>
      <c r="R76" s="18">
        <f>Table1[[#This Row],[- LNST chưa phân phối kỳ này]]/Table1[[#This Row],[TỔNG CỘNG TÀI SẢN]]</f>
        <v>1.0411098491029461E-2</v>
      </c>
      <c r="S76" s="21">
        <f>Table1[[#This Row],[5. Lợi nhuận gộp về bán hàng và cung cấp dịch vụ]]/Table1[[#This Row],[TỔNG CỘNG TÀI SẢN]]</f>
        <v>6.0643334063505222E-2</v>
      </c>
      <c r="T7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0.14941461682904789</v>
      </c>
      <c r="U76" s="23">
        <f>Table1[[#This Row],[1. Doanh thu bán hàng và cung cấp dịch vụ ]]/Table1[[#This Row],[TỔNG CỘNG TÀI SẢN]]</f>
        <v>1.2799560692228702</v>
      </c>
      <c r="V76" s="23">
        <f>1.2*Table1[[#This Row],[X1]] + 1.4*Table1[[#This Row],[X2]] + 3.3*Table1[[#This Row],[x3]] + 0.6*Table1[[#This Row],[x4]] + 1*Table1[[#This Row],[x5]]</f>
        <v>1.8107940856200075</v>
      </c>
      <c r="W76" s="23">
        <f>IF(Table1[[#This Row],[Zscore]]&lt;1.81,1,0)</f>
        <v>0</v>
      </c>
    </row>
    <row r="77" spans="1:23" hidden="1" x14ac:dyDescent="0.45">
      <c r="A77" s="7">
        <v>71</v>
      </c>
      <c r="B77" s="5" t="s">
        <v>155</v>
      </c>
      <c r="C77" s="6" t="s">
        <v>156</v>
      </c>
      <c r="D77" s="6" t="s">
        <v>13</v>
      </c>
      <c r="E77" s="6"/>
      <c r="F77" s="6"/>
      <c r="G77" s="6"/>
      <c r="H77" s="6"/>
      <c r="I77" s="6"/>
      <c r="J77" s="8"/>
      <c r="K77" s="6"/>
      <c r="L77" s="6"/>
      <c r="M77" s="8"/>
      <c r="N77" s="8"/>
      <c r="O77" s="8"/>
      <c r="P77" s="8"/>
      <c r="Q77" s="18" t="e">
        <f>(Table1[[#This Row],[A. TÀI SẢN NGẮN HẠN]]-Table1[[#This Row],[I. Nợ ngắn hạn]])/Table1[[#This Row],[TỔNG CỘNG TÀI SẢN]]</f>
        <v>#DIV/0!</v>
      </c>
      <c r="R77" s="18" t="e">
        <f>Table1[[#This Row],[- LNST chưa phân phối kỳ này]]/Table1[[#This Row],[TỔNG CỘNG TÀI SẢN]]</f>
        <v>#DIV/0!</v>
      </c>
      <c r="S77" s="21" t="e">
        <f>Table1[[#This Row],[5. Lợi nhuận gộp về bán hàng và cung cấp dịch vụ]]/Table1[[#This Row],[TỔNG CỘNG TÀI SẢN]]</f>
        <v>#DIV/0!</v>
      </c>
      <c r="T7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77" s="23" t="e">
        <f>Table1[[#This Row],[1. Doanh thu bán hàng và cung cấp dịch vụ ]]/Table1[[#This Row],[TỔNG CỘNG TÀI SẢN]]</f>
        <v>#DIV/0!</v>
      </c>
      <c r="V77" s="23" t="e">
        <f>1.2*Table1[[#This Row],[X1]] + 1.4*Table1[[#This Row],[X2]] + 3.3*Table1[[#This Row],[x3]] + 0.6*Table1[[#This Row],[x4]] + 1*Table1[[#This Row],[x5]]</f>
        <v>#DIV/0!</v>
      </c>
      <c r="W77" s="23" t="e">
        <f>IF(Table1[[#This Row],[Zscore]]&lt;1.81,1,0)</f>
        <v>#DIV/0!</v>
      </c>
    </row>
    <row r="78" spans="1:23" x14ac:dyDescent="0.45">
      <c r="A78" s="7">
        <v>72</v>
      </c>
      <c r="B78" s="5" t="s">
        <v>157</v>
      </c>
      <c r="C78" s="6" t="s">
        <v>158</v>
      </c>
      <c r="D78" s="6" t="s">
        <v>18</v>
      </c>
      <c r="E78" s="8">
        <v>1527827571071</v>
      </c>
      <c r="F78" s="8">
        <v>1401362687935</v>
      </c>
      <c r="G78" s="8">
        <v>1322078078985</v>
      </c>
      <c r="H78" s="8">
        <v>4007119743</v>
      </c>
      <c r="I78" s="8">
        <v>88370406370</v>
      </c>
      <c r="J78" s="8"/>
      <c r="K78" s="8">
        <v>1323012530985</v>
      </c>
      <c r="L78" s="8">
        <v>1385290910105</v>
      </c>
      <c r="M78" s="8">
        <v>156000000000</v>
      </c>
      <c r="N78" s="8">
        <v>193700000000</v>
      </c>
      <c r="O78" s="8">
        <v>175500000000</v>
      </c>
      <c r="P78" s="8">
        <v>169000000000</v>
      </c>
      <c r="Q78" s="18">
        <f>(Table1[[#This Row],[A. TÀI SẢN NGẮN HẠN]]-Table1[[#This Row],[I. Nợ ngắn hạn]])/Table1[[#This Row],[TỔNG CỘNG TÀI SẢN]]</f>
        <v>5.1893689085884119E-2</v>
      </c>
      <c r="R78" s="18">
        <f>Table1[[#This Row],[- LNST chưa phân phối kỳ này]]/Table1[[#This Row],[TỔNG CỘNG TÀI SẢN]]</f>
        <v>2.6227565327879426E-3</v>
      </c>
      <c r="S78" s="21">
        <f>Table1[[#This Row],[5. Lợi nhuận gộp về bán hàng và cung cấp dịch vụ]]/Table1[[#This Row],[TỔNG CỘNG TÀI SẢN]]</f>
        <v>5.7840562667718295E-2</v>
      </c>
      <c r="T7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0.13117789585166648</v>
      </c>
      <c r="U78" s="23">
        <f>Table1[[#This Row],[1. Doanh thu bán hàng và cung cấp dịch vụ ]]/Table1[[#This Row],[TỔNG CỘNG TÀI SẢN]]</f>
        <v>0.90670631708388238</v>
      </c>
      <c r="V78" s="23">
        <f>1.2*Table1[[#This Row],[X1]] + 1.4*Table1[[#This Row],[X2]] + 3.3*Table1[[#This Row],[x3]] + 0.6*Table1[[#This Row],[x4]] + 1*Table1[[#This Row],[x5]]</f>
        <v>1.2422311974473166</v>
      </c>
      <c r="W78" s="23">
        <f>IF(Table1[[#This Row],[Zscore]]&lt;1.81,1,0)</f>
        <v>1</v>
      </c>
    </row>
    <row r="79" spans="1:23" x14ac:dyDescent="0.45">
      <c r="A79" s="7">
        <v>73</v>
      </c>
      <c r="B79" s="5" t="s">
        <v>159</v>
      </c>
      <c r="C79" s="6" t="s">
        <v>160</v>
      </c>
      <c r="D79" s="6" t="s">
        <v>18</v>
      </c>
      <c r="E79" s="8">
        <v>3998828263458</v>
      </c>
      <c r="F79" s="8">
        <v>2779020050291</v>
      </c>
      <c r="G79" s="8">
        <v>2646573389550</v>
      </c>
      <c r="H79" s="8">
        <v>59469064460</v>
      </c>
      <c r="I79" s="8">
        <v>266131883277</v>
      </c>
      <c r="J79" s="8"/>
      <c r="K79" s="8">
        <v>3134506835268</v>
      </c>
      <c r="L79" s="8">
        <v>3525905304235</v>
      </c>
      <c r="M79" s="8">
        <v>504000000000</v>
      </c>
      <c r="N79" s="8">
        <v>456000000000</v>
      </c>
      <c r="O79" s="8">
        <v>480000000000</v>
      </c>
      <c r="P79" s="8">
        <v>468000000000</v>
      </c>
      <c r="Q79" s="18">
        <f>(Table1[[#This Row],[A. TÀI SẢN NGẮN HẠN]]-Table1[[#This Row],[I. Nợ ngắn hạn]])/Table1[[#This Row],[TỔNG CỘNG TÀI SẢN]]</f>
        <v>3.3121367564424062E-2</v>
      </c>
      <c r="R79" s="18">
        <f>Table1[[#This Row],[- LNST chưa phân phối kỳ này]]/Table1[[#This Row],[TỔNG CỘNG TÀI SẢN]]</f>
        <v>1.4871622520886639E-2</v>
      </c>
      <c r="S79" s="21">
        <f>Table1[[#This Row],[5. Lợi nhuận gộp về bán hàng và cung cấp dịch vụ]]/Table1[[#This Row],[TỔNG CỘNG TÀI SẢN]]</f>
        <v>6.655246630843345E-2</v>
      </c>
      <c r="T7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0.15217704891660144</v>
      </c>
      <c r="U79" s="23">
        <f>Table1[[#This Row],[1. Doanh thu bán hàng và cung cấp dịch vụ ]]/Table1[[#This Row],[TỔNG CỘNG TÀI SẢN]]</f>
        <v>0.88173461622629468</v>
      </c>
      <c r="V79" s="23">
        <f>1.2*Table1[[#This Row],[X1]] + 1.4*Table1[[#This Row],[X2]] + 3.3*Table1[[#This Row],[x3]] + 0.6*Table1[[#This Row],[x4]] + 1*Table1[[#This Row],[x5]]</f>
        <v>1.2532298970006361</v>
      </c>
      <c r="W79" s="23">
        <f>IF(Table1[[#This Row],[Zscore]]&lt;1.81,1,0)</f>
        <v>1</v>
      </c>
    </row>
    <row r="80" spans="1:23" ht="26.25" x14ac:dyDescent="0.45">
      <c r="A80" s="7">
        <v>74</v>
      </c>
      <c r="B80" s="5" t="s">
        <v>161</v>
      </c>
      <c r="C80" s="6" t="s">
        <v>162</v>
      </c>
      <c r="D80" s="6" t="s">
        <v>36</v>
      </c>
      <c r="E80" s="8">
        <v>1905760203871</v>
      </c>
      <c r="F80" s="8">
        <v>657929057604</v>
      </c>
      <c r="G80" s="8">
        <v>156906855040</v>
      </c>
      <c r="H80" s="8">
        <v>-53049434865</v>
      </c>
      <c r="I80" s="8">
        <v>21696033405</v>
      </c>
      <c r="J80" s="8"/>
      <c r="K80" s="8">
        <v>286379413784</v>
      </c>
      <c r="L80" s="8">
        <v>154395902630</v>
      </c>
      <c r="M80" s="8">
        <v>262211300000</v>
      </c>
      <c r="N80" s="8">
        <v>262211300000</v>
      </c>
      <c r="O80" s="8">
        <v>262211300000</v>
      </c>
      <c r="P80" s="8">
        <v>262211300000</v>
      </c>
      <c r="Q80" s="18">
        <f>(Table1[[#This Row],[A. TÀI SẢN NGẮN HẠN]]-Table1[[#This Row],[I. Nợ ngắn hạn]])/Table1[[#This Row],[TỔNG CỘNG TÀI SẢN]]</f>
        <v>0.26289886919997513</v>
      </c>
      <c r="R80" s="18">
        <f>Table1[[#This Row],[- LNST chưa phân phối kỳ này]]/Table1[[#This Row],[TỔNG CỘNG TÀI SẢN]]</f>
        <v>-2.7836364069962965E-2</v>
      </c>
      <c r="S80" s="21">
        <f>Table1[[#This Row],[5. Lợi nhuận gộp về bán hàng và cung cấp dịch vụ]]/Table1[[#This Row],[TỔNG CỘNG TÀI SẢN]]</f>
        <v>1.1384450866867086E-2</v>
      </c>
      <c r="T8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0.9156080618202932</v>
      </c>
      <c r="U80" s="23">
        <f>Table1[[#This Row],[1. Doanh thu bán hàng và cung cấp dịch vụ ]]/Table1[[#This Row],[TỔNG CỘNG TÀI SẢN]]</f>
        <v>8.101538814610014E-2</v>
      </c>
      <c r="V80" s="23">
        <f>1.2*Table1[[#This Row],[X1]] + 1.4*Table1[[#This Row],[X2]] + 3.3*Table1[[#This Row],[x3]] + 0.6*Table1[[#This Row],[x4]] + 1*Table1[[#This Row],[x5]]</f>
        <v>0.94445664644095928</v>
      </c>
      <c r="W80" s="23">
        <f>IF(Table1[[#This Row],[Zscore]]&lt;1.81,1,0)</f>
        <v>1</v>
      </c>
    </row>
    <row r="81" spans="1:23" ht="26.25" hidden="1" x14ac:dyDescent="0.45">
      <c r="A81" s="7">
        <v>75</v>
      </c>
      <c r="B81" s="5" t="s">
        <v>163</v>
      </c>
      <c r="C81" s="6" t="s">
        <v>164</v>
      </c>
      <c r="D81" s="6" t="s">
        <v>13</v>
      </c>
      <c r="E81" s="6"/>
      <c r="F81" s="6"/>
      <c r="G81" s="6"/>
      <c r="H81" s="6"/>
      <c r="I81" s="6"/>
      <c r="J81" s="8"/>
      <c r="K81" s="6"/>
      <c r="L81" s="6"/>
      <c r="M81" s="8"/>
      <c r="N81" s="8"/>
      <c r="O81" s="8"/>
      <c r="P81" s="8"/>
      <c r="Q81" s="18" t="e">
        <f>(Table1[[#This Row],[A. TÀI SẢN NGẮN HẠN]]-Table1[[#This Row],[I. Nợ ngắn hạn]])/Table1[[#This Row],[TỔNG CỘNG TÀI SẢN]]</f>
        <v>#DIV/0!</v>
      </c>
      <c r="R81" s="18" t="e">
        <f>Table1[[#This Row],[- LNST chưa phân phối kỳ này]]/Table1[[#This Row],[TỔNG CỘNG TÀI SẢN]]</f>
        <v>#DIV/0!</v>
      </c>
      <c r="S81" s="21" t="e">
        <f>Table1[[#This Row],[5. Lợi nhuận gộp về bán hàng và cung cấp dịch vụ]]/Table1[[#This Row],[TỔNG CỘNG TÀI SẢN]]</f>
        <v>#DIV/0!</v>
      </c>
      <c r="T8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81" s="23" t="e">
        <f>Table1[[#This Row],[1. Doanh thu bán hàng và cung cấp dịch vụ ]]/Table1[[#This Row],[TỔNG CỘNG TÀI SẢN]]</f>
        <v>#DIV/0!</v>
      </c>
      <c r="V81" s="23" t="e">
        <f>1.2*Table1[[#This Row],[X1]] + 1.4*Table1[[#This Row],[X2]] + 3.3*Table1[[#This Row],[x3]] + 0.6*Table1[[#This Row],[x4]] + 1*Table1[[#This Row],[x5]]</f>
        <v>#DIV/0!</v>
      </c>
      <c r="W81" s="23" t="e">
        <f>IF(Table1[[#This Row],[Zscore]]&lt;1.81,1,0)</f>
        <v>#DIV/0!</v>
      </c>
    </row>
    <row r="82" spans="1:23" hidden="1" x14ac:dyDescent="0.45">
      <c r="A82" s="7">
        <v>76</v>
      </c>
      <c r="B82" s="5" t="s">
        <v>165</v>
      </c>
      <c r="C82" s="6" t="s">
        <v>166</v>
      </c>
      <c r="D82" s="6" t="s">
        <v>13</v>
      </c>
      <c r="E82" s="6"/>
      <c r="F82" s="6"/>
      <c r="G82" s="6"/>
      <c r="H82" s="6"/>
      <c r="I82" s="6"/>
      <c r="J82" s="8"/>
      <c r="K82" s="6"/>
      <c r="L82" s="6"/>
      <c r="M82" s="8"/>
      <c r="N82" s="8"/>
      <c r="O82" s="8"/>
      <c r="P82" s="8"/>
      <c r="Q82" s="18" t="e">
        <f>(Table1[[#This Row],[A. TÀI SẢN NGẮN HẠN]]-Table1[[#This Row],[I. Nợ ngắn hạn]])/Table1[[#This Row],[TỔNG CỘNG TÀI SẢN]]</f>
        <v>#DIV/0!</v>
      </c>
      <c r="R82" s="18" t="e">
        <f>Table1[[#This Row],[- LNST chưa phân phối kỳ này]]/Table1[[#This Row],[TỔNG CỘNG TÀI SẢN]]</f>
        <v>#DIV/0!</v>
      </c>
      <c r="S82" s="21" t="e">
        <f>Table1[[#This Row],[5. Lợi nhuận gộp về bán hàng và cung cấp dịch vụ]]/Table1[[#This Row],[TỔNG CỘNG TÀI SẢN]]</f>
        <v>#DIV/0!</v>
      </c>
      <c r="T8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82" s="23" t="e">
        <f>Table1[[#This Row],[1. Doanh thu bán hàng và cung cấp dịch vụ ]]/Table1[[#This Row],[TỔNG CỘNG TÀI SẢN]]</f>
        <v>#DIV/0!</v>
      </c>
      <c r="V82" s="23" t="e">
        <f>1.2*Table1[[#This Row],[X1]] + 1.4*Table1[[#This Row],[X2]] + 3.3*Table1[[#This Row],[x3]] + 0.6*Table1[[#This Row],[x4]] + 1*Table1[[#This Row],[x5]]</f>
        <v>#DIV/0!</v>
      </c>
      <c r="W82" s="23" t="e">
        <f>IF(Table1[[#This Row],[Zscore]]&lt;1.81,1,0)</f>
        <v>#DIV/0!</v>
      </c>
    </row>
    <row r="83" spans="1:23" hidden="1" x14ac:dyDescent="0.45">
      <c r="A83" s="7">
        <v>77</v>
      </c>
      <c r="B83" s="5" t="s">
        <v>167</v>
      </c>
      <c r="C83" s="6" t="s">
        <v>168</v>
      </c>
      <c r="D83" s="6" t="s">
        <v>13</v>
      </c>
      <c r="E83" s="6"/>
      <c r="F83" s="6"/>
      <c r="G83" s="6"/>
      <c r="H83" s="6"/>
      <c r="I83" s="6"/>
      <c r="J83" s="8"/>
      <c r="K83" s="6"/>
      <c r="L83" s="6"/>
      <c r="M83" s="8"/>
      <c r="N83" s="8"/>
      <c r="O83" s="8"/>
      <c r="P83" s="8"/>
      <c r="Q83" s="18" t="e">
        <f>(Table1[[#This Row],[A. TÀI SẢN NGẮN HẠN]]-Table1[[#This Row],[I. Nợ ngắn hạn]])/Table1[[#This Row],[TỔNG CỘNG TÀI SẢN]]</f>
        <v>#DIV/0!</v>
      </c>
      <c r="R83" s="18" t="e">
        <f>Table1[[#This Row],[- LNST chưa phân phối kỳ này]]/Table1[[#This Row],[TỔNG CỘNG TÀI SẢN]]</f>
        <v>#DIV/0!</v>
      </c>
      <c r="S83" s="21" t="e">
        <f>Table1[[#This Row],[5. Lợi nhuận gộp về bán hàng và cung cấp dịch vụ]]/Table1[[#This Row],[TỔNG CỘNG TÀI SẢN]]</f>
        <v>#DIV/0!</v>
      </c>
      <c r="T8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83" s="23" t="e">
        <f>Table1[[#This Row],[1. Doanh thu bán hàng và cung cấp dịch vụ ]]/Table1[[#This Row],[TỔNG CỘNG TÀI SẢN]]</f>
        <v>#DIV/0!</v>
      </c>
      <c r="V83" s="23" t="e">
        <f>1.2*Table1[[#This Row],[X1]] + 1.4*Table1[[#This Row],[X2]] + 3.3*Table1[[#This Row],[x3]] + 0.6*Table1[[#This Row],[x4]] + 1*Table1[[#This Row],[x5]]</f>
        <v>#DIV/0!</v>
      </c>
      <c r="W83" s="23" t="e">
        <f>IF(Table1[[#This Row],[Zscore]]&lt;1.81,1,0)</f>
        <v>#DIV/0!</v>
      </c>
    </row>
    <row r="84" spans="1:23" hidden="1" x14ac:dyDescent="0.45">
      <c r="A84" s="7">
        <v>78</v>
      </c>
      <c r="B84" s="5" t="s">
        <v>169</v>
      </c>
      <c r="C84" s="6" t="s">
        <v>170</v>
      </c>
      <c r="D84" s="6" t="s">
        <v>13</v>
      </c>
      <c r="E84" s="6"/>
      <c r="F84" s="6"/>
      <c r="G84" s="6"/>
      <c r="H84" s="6"/>
      <c r="I84" s="6"/>
      <c r="J84" s="8"/>
      <c r="K84" s="6"/>
      <c r="L84" s="6"/>
      <c r="M84" s="8"/>
      <c r="N84" s="8"/>
      <c r="O84" s="8"/>
      <c r="P84" s="8"/>
      <c r="Q84" s="18" t="e">
        <f>(Table1[[#This Row],[A. TÀI SẢN NGẮN HẠN]]-Table1[[#This Row],[I. Nợ ngắn hạn]])/Table1[[#This Row],[TỔNG CỘNG TÀI SẢN]]</f>
        <v>#DIV/0!</v>
      </c>
      <c r="R84" s="18" t="e">
        <f>Table1[[#This Row],[- LNST chưa phân phối kỳ này]]/Table1[[#This Row],[TỔNG CỘNG TÀI SẢN]]</f>
        <v>#DIV/0!</v>
      </c>
      <c r="S84" s="21" t="e">
        <f>Table1[[#This Row],[5. Lợi nhuận gộp về bán hàng và cung cấp dịch vụ]]/Table1[[#This Row],[TỔNG CỘNG TÀI SẢN]]</f>
        <v>#DIV/0!</v>
      </c>
      <c r="T8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84" s="23" t="e">
        <f>Table1[[#This Row],[1. Doanh thu bán hàng và cung cấp dịch vụ ]]/Table1[[#This Row],[TỔNG CỘNG TÀI SẢN]]</f>
        <v>#DIV/0!</v>
      </c>
      <c r="V84" s="23" t="e">
        <f>1.2*Table1[[#This Row],[X1]] + 1.4*Table1[[#This Row],[X2]] + 3.3*Table1[[#This Row],[x3]] + 0.6*Table1[[#This Row],[x4]] + 1*Table1[[#This Row],[x5]]</f>
        <v>#DIV/0!</v>
      </c>
      <c r="W84" s="23" t="e">
        <f>IF(Table1[[#This Row],[Zscore]]&lt;1.81,1,0)</f>
        <v>#DIV/0!</v>
      </c>
    </row>
    <row r="85" spans="1:23" hidden="1" x14ac:dyDescent="0.45">
      <c r="A85" s="7">
        <v>79</v>
      </c>
      <c r="B85" s="5" t="s">
        <v>171</v>
      </c>
      <c r="C85" s="6" t="s">
        <v>172</v>
      </c>
      <c r="D85" s="6" t="s">
        <v>13</v>
      </c>
      <c r="E85" s="6"/>
      <c r="F85" s="6"/>
      <c r="G85" s="6"/>
      <c r="H85" s="6"/>
      <c r="I85" s="6"/>
      <c r="J85" s="8"/>
      <c r="K85" s="6"/>
      <c r="L85" s="6"/>
      <c r="M85" s="8"/>
      <c r="N85" s="8"/>
      <c r="O85" s="8"/>
      <c r="P85" s="8"/>
      <c r="Q85" s="18" t="e">
        <f>(Table1[[#This Row],[A. TÀI SẢN NGẮN HẠN]]-Table1[[#This Row],[I. Nợ ngắn hạn]])/Table1[[#This Row],[TỔNG CỘNG TÀI SẢN]]</f>
        <v>#DIV/0!</v>
      </c>
      <c r="R85" s="18" t="e">
        <f>Table1[[#This Row],[- LNST chưa phân phối kỳ này]]/Table1[[#This Row],[TỔNG CỘNG TÀI SẢN]]</f>
        <v>#DIV/0!</v>
      </c>
      <c r="S85" s="21" t="e">
        <f>Table1[[#This Row],[5. Lợi nhuận gộp về bán hàng và cung cấp dịch vụ]]/Table1[[#This Row],[TỔNG CỘNG TÀI SẢN]]</f>
        <v>#DIV/0!</v>
      </c>
      <c r="T8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85" s="23" t="e">
        <f>Table1[[#This Row],[1. Doanh thu bán hàng và cung cấp dịch vụ ]]/Table1[[#This Row],[TỔNG CỘNG TÀI SẢN]]</f>
        <v>#DIV/0!</v>
      </c>
      <c r="V85" s="23" t="e">
        <f>1.2*Table1[[#This Row],[X1]] + 1.4*Table1[[#This Row],[X2]] + 3.3*Table1[[#This Row],[x3]] + 0.6*Table1[[#This Row],[x4]] + 1*Table1[[#This Row],[x5]]</f>
        <v>#DIV/0!</v>
      </c>
      <c r="W85" s="23" t="e">
        <f>IF(Table1[[#This Row],[Zscore]]&lt;1.81,1,0)</f>
        <v>#DIV/0!</v>
      </c>
    </row>
    <row r="86" spans="1:23" ht="26.25" x14ac:dyDescent="0.45">
      <c r="A86" s="7">
        <v>80</v>
      </c>
      <c r="B86" s="5" t="s">
        <v>173</v>
      </c>
      <c r="C86" s="6" t="s">
        <v>174</v>
      </c>
      <c r="D86" s="6" t="s">
        <v>21</v>
      </c>
      <c r="E86" s="8">
        <v>1436567544074</v>
      </c>
      <c r="F86" s="8">
        <v>965124338046</v>
      </c>
      <c r="G86" s="8">
        <v>807453734732</v>
      </c>
      <c r="H86" s="8">
        <v>123888304648</v>
      </c>
      <c r="I86" s="8">
        <v>449825787406</v>
      </c>
      <c r="J86" s="8"/>
      <c r="K86" s="8">
        <v>958826669333</v>
      </c>
      <c r="L86" s="8">
        <v>1800823867893</v>
      </c>
      <c r="M86" s="8">
        <v>421355946700</v>
      </c>
      <c r="N86" s="8">
        <v>1008155736000</v>
      </c>
      <c r="O86" s="8">
        <v>627413464800</v>
      </c>
      <c r="P86" s="8">
        <v>574103824000</v>
      </c>
      <c r="Q86" s="18">
        <f>(Table1[[#This Row],[A. TÀI SẢN NGẮN HẠN]]-Table1[[#This Row],[I. Nợ ngắn hạn]])/Table1[[#This Row],[TỔNG CỘNG TÀI SẢN]]</f>
        <v>0.10975509224359736</v>
      </c>
      <c r="R86" s="18">
        <f>Table1[[#This Row],[- LNST chưa phân phối kỳ này]]/Table1[[#This Row],[TỔNG CỘNG TÀI SẢN]]</f>
        <v>8.6239108741564541E-2</v>
      </c>
      <c r="S86" s="21">
        <f>Table1[[#This Row],[5. Lợi nhuận gộp về bán hàng và cung cấp dịch vụ]]/Table1[[#This Row],[TỔNG CỘNG TÀI SẢN]]</f>
        <v>0.31312540037646064</v>
      </c>
      <c r="T8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0.68600223993828158</v>
      </c>
      <c r="U86" s="23">
        <f>Table1[[#This Row],[1. Doanh thu bán hàng và cung cấp dịch vụ ]]/Table1[[#This Row],[TỔNG CỘNG TÀI SẢN]]</f>
        <v>1.2535601791378328</v>
      </c>
      <c r="V86" s="23">
        <f>1.2*Table1[[#This Row],[X1]] + 1.4*Table1[[#This Row],[X2]] + 3.3*Table1[[#This Row],[x3]] + 0.6*Table1[[#This Row],[x4]] + 1*Table1[[#This Row],[x5]]</f>
        <v>2.9509162072736288</v>
      </c>
      <c r="W86" s="23">
        <f>IF(Table1[[#This Row],[Zscore]]&lt;1.81,1,0)</f>
        <v>0</v>
      </c>
    </row>
    <row r="87" spans="1:23" x14ac:dyDescent="0.45">
      <c r="A87" s="7">
        <v>81</v>
      </c>
      <c r="B87" s="5" t="s">
        <v>175</v>
      </c>
      <c r="C87" s="6" t="s">
        <v>176</v>
      </c>
      <c r="D87" s="6" t="s">
        <v>21</v>
      </c>
      <c r="E87" s="8">
        <v>5824715466874</v>
      </c>
      <c r="F87" s="8">
        <v>3476485727551</v>
      </c>
      <c r="G87" s="8">
        <v>2230874234646</v>
      </c>
      <c r="H87" s="8">
        <v>866292128154</v>
      </c>
      <c r="I87" s="8">
        <v>1622932307361</v>
      </c>
      <c r="J87" s="8"/>
      <c r="K87" s="8">
        <v>2297846759468</v>
      </c>
      <c r="L87" s="8">
        <v>6992490669181</v>
      </c>
      <c r="M87" s="8">
        <v>4379907087500</v>
      </c>
      <c r="N87" s="8">
        <v>6842772775000</v>
      </c>
      <c r="O87" s="8">
        <v>5631309112500</v>
      </c>
      <c r="P87" s="8">
        <v>7681478387500</v>
      </c>
      <c r="Q87" s="18">
        <f>(Table1[[#This Row],[A. TÀI SẢN NGẮN HẠN]]-Table1[[#This Row],[I. Nợ ngắn hạn]])/Table1[[#This Row],[TỔNG CỘNG TÀI SẢN]]</f>
        <v>0.21384932877648236</v>
      </c>
      <c r="R87" s="18">
        <f>Table1[[#This Row],[- LNST chưa phân phối kỳ này]]/Table1[[#This Row],[TỔNG CỘNG TÀI SẢN]]</f>
        <v>0.14872694350148583</v>
      </c>
      <c r="S87" s="21">
        <f>Table1[[#This Row],[5. Lợi nhuận gộp về bán hàng và cung cấp dịch vụ]]/Table1[[#This Row],[TỔNG CỘNG TÀI SẢN]]</f>
        <v>0.27862859852826305</v>
      </c>
      <c r="T8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2.6693976938850001</v>
      </c>
      <c r="U87" s="23">
        <f>Table1[[#This Row],[1. Doanh thu bán hàng và cung cấp dịch vụ ]]/Table1[[#This Row],[TỔNG CỘNG TÀI SẢN]]</f>
        <v>1.200486222708784</v>
      </c>
      <c r="V87" s="23">
        <f>1.2*Table1[[#This Row],[X1]] + 1.4*Table1[[#This Row],[X2]] + 3.3*Table1[[#This Row],[x3]] + 0.6*Table1[[#This Row],[x4]] + 1*Table1[[#This Row],[x5]]</f>
        <v>4.1864361296169115</v>
      </c>
      <c r="W87" s="23">
        <f>IF(Table1[[#This Row],[Zscore]]&lt;1.81,1,0)</f>
        <v>0</v>
      </c>
    </row>
    <row r="88" spans="1:23" x14ac:dyDescent="0.45">
      <c r="A88" s="7">
        <v>82</v>
      </c>
      <c r="B88" s="5" t="s">
        <v>177</v>
      </c>
      <c r="C88" s="6" t="s">
        <v>178</v>
      </c>
      <c r="D88" s="6" t="s">
        <v>18</v>
      </c>
      <c r="E88" s="8">
        <v>746262618647</v>
      </c>
      <c r="F88" s="8">
        <v>80633446829</v>
      </c>
      <c r="G88" s="8">
        <v>56050184469</v>
      </c>
      <c r="H88" s="8">
        <v>-26863437654</v>
      </c>
      <c r="I88" s="8">
        <v>20269540886</v>
      </c>
      <c r="J88" s="8"/>
      <c r="K88" s="8">
        <v>203345014469</v>
      </c>
      <c r="L88" s="8">
        <v>115205024798</v>
      </c>
      <c r="M88" s="8">
        <v>169019718000</v>
      </c>
      <c r="N88" s="8">
        <v>129382662500</v>
      </c>
      <c r="O88" s="8">
        <v>161230702500</v>
      </c>
      <c r="P88" s="8">
        <v>155259195000</v>
      </c>
      <c r="Q88" s="18">
        <f>(Table1[[#This Row],[A. TÀI SẢN NGẮN HẠN]]-Table1[[#This Row],[I. Nợ ngắn hạn]])/Table1[[#This Row],[TỔNG CỘNG TÀI SẢN]]</f>
        <v>3.2941838095240934E-2</v>
      </c>
      <c r="R88" s="18">
        <f>Table1[[#This Row],[- LNST chưa phân phối kỳ này]]/Table1[[#This Row],[TỔNG CỘNG TÀI SẢN]]</f>
        <v>-3.5997297710964465E-2</v>
      </c>
      <c r="S88" s="21">
        <f>Table1[[#This Row],[5. Lợi nhuận gộp về bán hàng và cung cấp dịch vụ]]/Table1[[#This Row],[TỔNG CỘNG TÀI SẢN]]</f>
        <v>2.7161404550517861E-2</v>
      </c>
      <c r="T8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0.75597166668394089</v>
      </c>
      <c r="U88" s="23">
        <f>Table1[[#This Row],[1. Doanh thu bán hàng và cung cấp dịch vụ ]]/Table1[[#This Row],[TỔNG CỘNG TÀI SẢN]]</f>
        <v>0.15437598228740265</v>
      </c>
      <c r="V88" s="23">
        <f>1.2*Table1[[#This Row],[X1]] + 1.4*Table1[[#This Row],[X2]] + 3.3*Table1[[#This Row],[x3]] + 0.6*Table1[[#This Row],[x4]] + 1*Table1[[#This Row],[x5]]</f>
        <v>0.68672560623341505</v>
      </c>
      <c r="W88" s="23">
        <f>IF(Table1[[#This Row],[Zscore]]&lt;1.81,1,0)</f>
        <v>1</v>
      </c>
    </row>
    <row r="89" spans="1:23" ht="26.25" x14ac:dyDescent="0.45">
      <c r="A89" s="7">
        <v>83</v>
      </c>
      <c r="B89" s="5" t="s">
        <v>179</v>
      </c>
      <c r="C89" s="6" t="s">
        <v>180</v>
      </c>
      <c r="D89" s="6" t="s">
        <v>18</v>
      </c>
      <c r="E89" s="8">
        <v>3311833167574</v>
      </c>
      <c r="F89" s="8">
        <v>1844884722547</v>
      </c>
      <c r="G89" s="8">
        <v>1856507536025</v>
      </c>
      <c r="H89" s="8">
        <v>159584574960</v>
      </c>
      <c r="I89" s="8">
        <v>916875625144</v>
      </c>
      <c r="J89" s="8"/>
      <c r="K89" s="8">
        <v>2051861993871</v>
      </c>
      <c r="L89" s="8">
        <v>6585482927718</v>
      </c>
      <c r="M89" s="8">
        <v>1500437131200</v>
      </c>
      <c r="N89" s="8">
        <v>1319717761700</v>
      </c>
      <c r="O89" s="8">
        <v>1565932402800</v>
      </c>
      <c r="P89" s="8">
        <v>1190823120000</v>
      </c>
      <c r="Q89" s="18">
        <f>(Table1[[#This Row],[A. TÀI SẢN NGẮN HẠN]]-Table1[[#This Row],[I. Nợ ngắn hạn]])/Table1[[#This Row],[TỔNG CỘNG TÀI SẢN]]</f>
        <v>-3.509480366281252E-3</v>
      </c>
      <c r="R89" s="18">
        <f>Table1[[#This Row],[- LNST chưa phân phối kỳ này]]/Table1[[#This Row],[TỔNG CỘNG TÀI SẢN]]</f>
        <v>4.8186175717570841E-2</v>
      </c>
      <c r="S89" s="21">
        <f>Table1[[#This Row],[5. Lợi nhuận gộp về bán hàng và cung cấp dịch vụ]]/Table1[[#This Row],[TỔNG CỘNG TÀI SẢN]]</f>
        <v>0.2768483733181627</v>
      </c>
      <c r="T8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0.67949384904521737</v>
      </c>
      <c r="U89" s="23">
        <f>Table1[[#This Row],[1. Doanh thu bán hàng và cung cấp dịch vụ ]]/Table1[[#This Row],[TỔNG CỘNG TÀI SẢN]]</f>
        <v>1.9884706126492566</v>
      </c>
      <c r="V89" s="23">
        <f>1.2*Table1[[#This Row],[X1]] + 1.4*Table1[[#This Row],[X2]] + 3.3*Table1[[#This Row],[x3]] + 0.6*Table1[[#This Row],[x4]] + 1*Table1[[#This Row],[x5]]</f>
        <v>3.3730158235913859</v>
      </c>
      <c r="W89" s="23">
        <f>IF(Table1[[#This Row],[Zscore]]&lt;1.81,1,0)</f>
        <v>0</v>
      </c>
    </row>
    <row r="90" spans="1:23" x14ac:dyDescent="0.45">
      <c r="A90" s="7">
        <v>84</v>
      </c>
      <c r="B90" s="5" t="s">
        <v>181</v>
      </c>
      <c r="C90" s="6" t="s">
        <v>182</v>
      </c>
      <c r="D90" s="6" t="s">
        <v>21</v>
      </c>
      <c r="E90" s="8">
        <v>5686582712710</v>
      </c>
      <c r="F90" s="8">
        <v>5171561386424</v>
      </c>
      <c r="G90" s="8">
        <v>3004222912937</v>
      </c>
      <c r="H90" s="8">
        <v>-40890988786</v>
      </c>
      <c r="I90" s="8">
        <v>191466027740</v>
      </c>
      <c r="J90" s="8"/>
      <c r="K90" s="8">
        <v>3304244912937</v>
      </c>
      <c r="L90" s="8">
        <v>346409293848</v>
      </c>
      <c r="M90" s="8">
        <v>2314487099700</v>
      </c>
      <c r="N90" s="8">
        <v>2336849293900</v>
      </c>
      <c r="O90" s="8">
        <v>2683463304000</v>
      </c>
      <c r="P90" s="8">
        <v>2594014527200</v>
      </c>
      <c r="Q90" s="18">
        <f>(Table1[[#This Row],[A. TÀI SẢN NGẮN HẠN]]-Table1[[#This Row],[I. Nợ ngắn hạn]])/Table1[[#This Row],[TỔNG CỘNG TÀI SẢN]]</f>
        <v>0.38113197028556584</v>
      </c>
      <c r="R90" s="18">
        <f>Table1[[#This Row],[- LNST chưa phân phối kỳ này]]/Table1[[#This Row],[TỔNG CỘNG TÀI SẢN]]</f>
        <v>-7.1907841408171439E-3</v>
      </c>
      <c r="S90" s="21">
        <f>Table1[[#This Row],[5. Lợi nhuận gộp về bán hàng và cung cấp dịch vụ]]/Table1[[#This Row],[TỔNG CỘNG TÀI SẢN]]</f>
        <v>3.3669786832091091E-2</v>
      </c>
      <c r="T9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0.75121657794841756</v>
      </c>
      <c r="U90" s="23">
        <f>Table1[[#This Row],[1. Doanh thu bán hàng và cung cấp dịch vụ ]]/Table1[[#This Row],[TỔNG CỘNG TÀI SẢN]]</f>
        <v>6.0916953352976914E-2</v>
      </c>
      <c r="V90" s="23">
        <f>1.2*Table1[[#This Row],[X1]] + 1.4*Table1[[#This Row],[X2]] + 3.3*Table1[[#This Row],[x3]] + 0.6*Table1[[#This Row],[x4]] + 1*Table1[[#This Row],[x5]]</f>
        <v>1.0700484632134633</v>
      </c>
      <c r="W90" s="23">
        <f>IF(Table1[[#This Row],[Zscore]]&lt;1.81,1,0)</f>
        <v>1</v>
      </c>
    </row>
    <row r="91" spans="1:23" x14ac:dyDescent="0.45">
      <c r="A91" s="7">
        <v>85</v>
      </c>
      <c r="B91" s="5" t="s">
        <v>183</v>
      </c>
      <c r="C91" s="6" t="s">
        <v>184</v>
      </c>
      <c r="D91" s="6" t="s">
        <v>21</v>
      </c>
      <c r="E91" s="8">
        <v>12607483533944</v>
      </c>
      <c r="F91" s="8">
        <v>4557158110688</v>
      </c>
      <c r="G91" s="8">
        <v>3276373084722</v>
      </c>
      <c r="H91" s="8">
        <v>46908827429</v>
      </c>
      <c r="I91" s="8">
        <v>1504792708795</v>
      </c>
      <c r="J91" s="8"/>
      <c r="K91" s="8">
        <v>6810748722190</v>
      </c>
      <c r="L91" s="8">
        <v>10746920203766</v>
      </c>
      <c r="M91" s="8">
        <v>1680362606520</v>
      </c>
      <c r="N91" s="8">
        <v>1548665101800</v>
      </c>
      <c r="O91" s="8">
        <v>1499888248200</v>
      </c>
      <c r="P91" s="8">
        <v>1565737000560</v>
      </c>
      <c r="Q91" s="18">
        <f>(Table1[[#This Row],[A. TÀI SẢN NGẮN HẠN]]-Table1[[#This Row],[I. Nợ ngắn hạn]])/Table1[[#This Row],[TỔNG CỘNG TÀI SẢN]]</f>
        <v>0.10158926819278835</v>
      </c>
      <c r="R91" s="18">
        <f>Table1[[#This Row],[- LNST chưa phân phối kỳ này]]/Table1[[#This Row],[TỔNG CỘNG TÀI SẢN]]</f>
        <v>3.7207129640664705E-3</v>
      </c>
      <c r="S91" s="21">
        <f>Table1[[#This Row],[5. Lợi nhuận gộp về bán hàng và cung cấp dịch vụ]]/Table1[[#This Row],[TỔNG CỘNG TÀI SẢN]]</f>
        <v>0.11935710284638029</v>
      </c>
      <c r="T9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0.23105583592342366</v>
      </c>
      <c r="U91" s="23">
        <f>Table1[[#This Row],[1. Doanh thu bán hàng và cung cấp dịch vụ ]]/Table1[[#This Row],[TỔNG CỘNG TÀI SẢN]]</f>
        <v>0.85242389370022364</v>
      </c>
      <c r="V91" s="23">
        <f>1.2*Table1[[#This Row],[X1]] + 1.4*Table1[[#This Row],[X2]] + 3.3*Table1[[#This Row],[x3]] + 0.6*Table1[[#This Row],[x4]] + 1*Table1[[#This Row],[x5]]</f>
        <v>1.5120519546283719</v>
      </c>
      <c r="W91" s="23">
        <f>IF(Table1[[#This Row],[Zscore]]&lt;1.81,1,0)</f>
        <v>1</v>
      </c>
    </row>
    <row r="92" spans="1:23" ht="26.25" x14ac:dyDescent="0.45">
      <c r="A92" s="7">
        <v>86</v>
      </c>
      <c r="B92" s="5" t="s">
        <v>185</v>
      </c>
      <c r="C92" s="6" t="s">
        <v>186</v>
      </c>
      <c r="D92" s="6" t="s">
        <v>36</v>
      </c>
      <c r="E92" s="8">
        <v>2225242722111</v>
      </c>
      <c r="F92" s="8">
        <v>1587406408957</v>
      </c>
      <c r="G92" s="8">
        <v>1096196338608</v>
      </c>
      <c r="H92" s="8">
        <v>17662989462</v>
      </c>
      <c r="I92" s="8">
        <v>115221259877</v>
      </c>
      <c r="J92" s="8"/>
      <c r="K92" s="8">
        <v>1289862685633</v>
      </c>
      <c r="L92" s="8">
        <v>266995747745</v>
      </c>
      <c r="M92" s="8">
        <v>580179434400</v>
      </c>
      <c r="N92" s="8">
        <v>588587832000</v>
      </c>
      <c r="O92" s="8">
        <v>580179434400</v>
      </c>
      <c r="P92" s="8">
        <v>731530591200</v>
      </c>
      <c r="Q92" s="18">
        <f>(Table1[[#This Row],[A. TÀI SẢN NGẮN HẠN]]-Table1[[#This Row],[I. Nợ ngắn hạn]])/Table1[[#This Row],[TỔNG CỘNG TÀI SẢN]]</f>
        <v>0.22074449023835405</v>
      </c>
      <c r="R92" s="18">
        <f>Table1[[#This Row],[- LNST chưa phân phối kỳ này]]/Table1[[#This Row],[TỔNG CỘNG TÀI SẢN]]</f>
        <v>7.9375563332901578E-3</v>
      </c>
      <c r="S92" s="21">
        <f>Table1[[#This Row],[5. Lợi nhuận gộp về bán hàng và cung cấp dịch vụ]]/Table1[[#This Row],[TỔNG CỘNG TÀI SẢN]]</f>
        <v>5.1779187381273239E-2</v>
      </c>
      <c r="T9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0.48076382851223926</v>
      </c>
      <c r="U92" s="23">
        <f>Table1[[#This Row],[1. Doanh thu bán hàng và cung cấp dịch vụ ]]/Table1[[#This Row],[TỔNG CỘNG TÀI SẢN]]</f>
        <v>0.11998499987979364</v>
      </c>
      <c r="V92" s="23">
        <f>1.2*Table1[[#This Row],[X1]] + 1.4*Table1[[#This Row],[X2]] + 3.3*Table1[[#This Row],[x3]] + 0.6*Table1[[#This Row],[x4]] + 1*Table1[[#This Row],[x5]]</f>
        <v>0.85532058249796983</v>
      </c>
      <c r="W92" s="23">
        <f>IF(Table1[[#This Row],[Zscore]]&lt;1.81,1,0)</f>
        <v>1</v>
      </c>
    </row>
    <row r="93" spans="1:23" ht="26.25" hidden="1" x14ac:dyDescent="0.45">
      <c r="A93" s="7">
        <v>87</v>
      </c>
      <c r="B93" s="5" t="s">
        <v>187</v>
      </c>
      <c r="C93" s="6" t="s">
        <v>188</v>
      </c>
      <c r="D93" s="6" t="s">
        <v>18</v>
      </c>
      <c r="E93" s="8">
        <v>127597836925</v>
      </c>
      <c r="F93" s="8">
        <v>122614485592</v>
      </c>
      <c r="G93" s="8">
        <v>109704481678</v>
      </c>
      <c r="H93" s="8">
        <v>3258061922</v>
      </c>
      <c r="I93" s="8">
        <v>42336808808</v>
      </c>
      <c r="J93" s="8"/>
      <c r="K93" s="8">
        <v>109704481678</v>
      </c>
      <c r="L93" s="8">
        <v>738570953772</v>
      </c>
      <c r="M93" s="8"/>
      <c r="N93" s="8"/>
      <c r="O93" s="8"/>
      <c r="P93" s="8"/>
      <c r="Q93" s="18">
        <f>(Table1[[#This Row],[A. TÀI SẢN NGẮN HẠN]]-Table1[[#This Row],[I. Nợ ngắn hạn]])/Table1[[#This Row],[TỔNG CỘNG TÀI SẢN]]</f>
        <v>0.10117729442065931</v>
      </c>
      <c r="R93" s="18">
        <f>Table1[[#This Row],[- LNST chưa phân phối kỳ này]]/Table1[[#This Row],[TỔNG CỘNG TÀI SẢN]]</f>
        <v>2.5533833492138565E-2</v>
      </c>
      <c r="S93" s="21">
        <f>Table1[[#This Row],[5. Lợi nhuận gộp về bán hàng và cung cấp dịch vụ]]/Table1[[#This Row],[TỔNG CỘNG TÀI SẢN]]</f>
        <v>0.33179879712917792</v>
      </c>
      <c r="T9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93" s="23">
        <f>Table1[[#This Row],[1. Doanh thu bán hàng và cung cấp dịch vụ ]]/Table1[[#This Row],[TỔNG CỘNG TÀI SẢN]]</f>
        <v>5.7882717416763141</v>
      </c>
      <c r="V93" s="23" t="e">
        <f>1.2*Table1[[#This Row],[X1]] + 1.4*Table1[[#This Row],[X2]] + 3.3*Table1[[#This Row],[x3]] + 0.6*Table1[[#This Row],[x4]] + 1*Table1[[#This Row],[x5]]</f>
        <v>#DIV/0!</v>
      </c>
      <c r="W93" s="23" t="e">
        <f>IF(Table1[[#This Row],[Zscore]]&lt;1.81,1,0)</f>
        <v>#DIV/0!</v>
      </c>
    </row>
    <row r="94" spans="1:23" hidden="1" x14ac:dyDescent="0.45">
      <c r="A94" s="7">
        <v>88</v>
      </c>
      <c r="B94" s="5" t="s">
        <v>189</v>
      </c>
      <c r="C94" s="6" t="s">
        <v>190</v>
      </c>
      <c r="D94" s="6" t="s">
        <v>13</v>
      </c>
      <c r="E94" s="6"/>
      <c r="F94" s="6"/>
      <c r="G94" s="6"/>
      <c r="H94" s="6"/>
      <c r="I94" s="6"/>
      <c r="J94" s="8"/>
      <c r="K94" s="6"/>
      <c r="L94" s="6"/>
      <c r="M94" s="8"/>
      <c r="N94" s="8"/>
      <c r="O94" s="8"/>
      <c r="P94" s="8"/>
      <c r="Q94" s="18" t="e">
        <f>(Table1[[#This Row],[A. TÀI SẢN NGẮN HẠN]]-Table1[[#This Row],[I. Nợ ngắn hạn]])/Table1[[#This Row],[TỔNG CỘNG TÀI SẢN]]</f>
        <v>#DIV/0!</v>
      </c>
      <c r="R94" s="18" t="e">
        <f>Table1[[#This Row],[- LNST chưa phân phối kỳ này]]/Table1[[#This Row],[TỔNG CỘNG TÀI SẢN]]</f>
        <v>#DIV/0!</v>
      </c>
      <c r="S94" s="21" t="e">
        <f>Table1[[#This Row],[5. Lợi nhuận gộp về bán hàng và cung cấp dịch vụ]]/Table1[[#This Row],[TỔNG CỘNG TÀI SẢN]]</f>
        <v>#DIV/0!</v>
      </c>
      <c r="T9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94" s="23" t="e">
        <f>Table1[[#This Row],[1. Doanh thu bán hàng và cung cấp dịch vụ ]]/Table1[[#This Row],[TỔNG CỘNG TÀI SẢN]]</f>
        <v>#DIV/0!</v>
      </c>
      <c r="V94" s="23" t="e">
        <f>1.2*Table1[[#This Row],[X1]] + 1.4*Table1[[#This Row],[X2]] + 3.3*Table1[[#This Row],[x3]] + 0.6*Table1[[#This Row],[x4]] + 1*Table1[[#This Row],[x5]]</f>
        <v>#DIV/0!</v>
      </c>
      <c r="W94" s="23" t="e">
        <f>IF(Table1[[#This Row],[Zscore]]&lt;1.81,1,0)</f>
        <v>#DIV/0!</v>
      </c>
    </row>
    <row r="95" spans="1:23" ht="26.25" hidden="1" x14ac:dyDescent="0.45">
      <c r="A95" s="7">
        <v>89</v>
      </c>
      <c r="B95" s="5" t="s">
        <v>191</v>
      </c>
      <c r="C95" s="6" t="s">
        <v>192</v>
      </c>
      <c r="D95" s="6" t="s">
        <v>18</v>
      </c>
      <c r="E95" s="6"/>
      <c r="F95" s="6"/>
      <c r="G95" s="6"/>
      <c r="H95" s="6"/>
      <c r="I95" s="6"/>
      <c r="J95" s="8"/>
      <c r="K95" s="6"/>
      <c r="L95" s="6"/>
      <c r="M95" s="8"/>
      <c r="N95" s="8"/>
      <c r="O95" s="8"/>
      <c r="P95" s="8"/>
      <c r="Q95" s="18" t="e">
        <f>(Table1[[#This Row],[A. TÀI SẢN NGẮN HẠN]]-Table1[[#This Row],[I. Nợ ngắn hạn]])/Table1[[#This Row],[TỔNG CỘNG TÀI SẢN]]</f>
        <v>#DIV/0!</v>
      </c>
      <c r="R95" s="18" t="e">
        <f>Table1[[#This Row],[- LNST chưa phân phối kỳ này]]/Table1[[#This Row],[TỔNG CỘNG TÀI SẢN]]</f>
        <v>#DIV/0!</v>
      </c>
      <c r="S95" s="21" t="e">
        <f>Table1[[#This Row],[5. Lợi nhuận gộp về bán hàng và cung cấp dịch vụ]]/Table1[[#This Row],[TỔNG CỘNG TÀI SẢN]]</f>
        <v>#DIV/0!</v>
      </c>
      <c r="T9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95" s="23" t="e">
        <f>Table1[[#This Row],[1. Doanh thu bán hàng và cung cấp dịch vụ ]]/Table1[[#This Row],[TỔNG CỘNG TÀI SẢN]]</f>
        <v>#DIV/0!</v>
      </c>
      <c r="V95" s="23" t="e">
        <f>1.2*Table1[[#This Row],[X1]] + 1.4*Table1[[#This Row],[X2]] + 3.3*Table1[[#This Row],[x3]] + 0.6*Table1[[#This Row],[x4]] + 1*Table1[[#This Row],[x5]]</f>
        <v>#DIV/0!</v>
      </c>
      <c r="W95" s="23" t="e">
        <f>IF(Table1[[#This Row],[Zscore]]&lt;1.81,1,0)</f>
        <v>#DIV/0!</v>
      </c>
    </row>
    <row r="96" spans="1:23" ht="26.25" hidden="1" x14ac:dyDescent="0.45">
      <c r="A96" s="7">
        <v>90</v>
      </c>
      <c r="B96" s="5" t="s">
        <v>193</v>
      </c>
      <c r="C96" s="6" t="s">
        <v>194</v>
      </c>
      <c r="D96" s="6" t="s">
        <v>13</v>
      </c>
      <c r="E96" s="6"/>
      <c r="F96" s="6"/>
      <c r="G96" s="6"/>
      <c r="H96" s="6"/>
      <c r="I96" s="6"/>
      <c r="J96" s="8"/>
      <c r="K96" s="6"/>
      <c r="L96" s="6"/>
      <c r="M96" s="8"/>
      <c r="N96" s="8"/>
      <c r="O96" s="8"/>
      <c r="P96" s="8"/>
      <c r="Q96" s="18" t="e">
        <f>(Table1[[#This Row],[A. TÀI SẢN NGẮN HẠN]]-Table1[[#This Row],[I. Nợ ngắn hạn]])/Table1[[#This Row],[TỔNG CỘNG TÀI SẢN]]</f>
        <v>#DIV/0!</v>
      </c>
      <c r="R96" s="18" t="e">
        <f>Table1[[#This Row],[- LNST chưa phân phối kỳ này]]/Table1[[#This Row],[TỔNG CỘNG TÀI SẢN]]</f>
        <v>#DIV/0!</v>
      </c>
      <c r="S96" s="21" t="e">
        <f>Table1[[#This Row],[5. Lợi nhuận gộp về bán hàng và cung cấp dịch vụ]]/Table1[[#This Row],[TỔNG CỘNG TÀI SẢN]]</f>
        <v>#DIV/0!</v>
      </c>
      <c r="T9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96" s="23" t="e">
        <f>Table1[[#This Row],[1. Doanh thu bán hàng và cung cấp dịch vụ ]]/Table1[[#This Row],[TỔNG CỘNG TÀI SẢN]]</f>
        <v>#DIV/0!</v>
      </c>
      <c r="V96" s="23" t="e">
        <f>1.2*Table1[[#This Row],[X1]] + 1.4*Table1[[#This Row],[X2]] + 3.3*Table1[[#This Row],[x3]] + 0.6*Table1[[#This Row],[x4]] + 1*Table1[[#This Row],[x5]]</f>
        <v>#DIV/0!</v>
      </c>
      <c r="W96" s="23" t="e">
        <f>IF(Table1[[#This Row],[Zscore]]&lt;1.81,1,0)</f>
        <v>#DIV/0!</v>
      </c>
    </row>
    <row r="97" spans="1:23" ht="26.25" x14ac:dyDescent="0.45">
      <c r="A97" s="7">
        <v>91</v>
      </c>
      <c r="B97" s="5" t="s">
        <v>195</v>
      </c>
      <c r="C97" s="6" t="s">
        <v>196</v>
      </c>
      <c r="D97" s="6" t="s">
        <v>36</v>
      </c>
      <c r="E97" s="8">
        <v>779310476611</v>
      </c>
      <c r="F97" s="8">
        <v>697739177654</v>
      </c>
      <c r="G97" s="8">
        <v>5872622354</v>
      </c>
      <c r="H97" s="8">
        <v>-222153098306</v>
      </c>
      <c r="I97" s="8">
        <v>-17870055261</v>
      </c>
      <c r="J97" s="8"/>
      <c r="K97" s="8">
        <v>5872622354</v>
      </c>
      <c r="L97" s="8">
        <v>181130641631</v>
      </c>
      <c r="M97" s="8">
        <v>498000000000</v>
      </c>
      <c r="N97" s="8">
        <v>605900000000</v>
      </c>
      <c r="O97" s="8">
        <v>506300000000</v>
      </c>
      <c r="P97" s="8">
        <v>796800000000</v>
      </c>
      <c r="Q97" s="18">
        <f>(Table1[[#This Row],[A. TÀI SẢN NGẮN HẠN]]-Table1[[#This Row],[I. Nợ ngắn hạn]])/Table1[[#This Row],[TỔNG CỘNG TÀI SẢN]]</f>
        <v>0.88779321729220328</v>
      </c>
      <c r="R97" s="18">
        <f>Table1[[#This Row],[- LNST chưa phân phối kỳ này]]/Table1[[#This Row],[TỔNG CỘNG TÀI SẢN]]</f>
        <v>-0.28506366201065425</v>
      </c>
      <c r="S97" s="21">
        <f>Table1[[#This Row],[5. Lợi nhuận gộp về bán hàng và cung cấp dịch vụ]]/Table1[[#This Row],[TỔNG CỘNG TÀI SẢN]]</f>
        <v>-2.2930598005960087E-2</v>
      </c>
      <c r="T9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102.46700089443551</v>
      </c>
      <c r="U97" s="23">
        <f>Table1[[#This Row],[1. Doanh thu bán hàng và cung cấp dịch vụ ]]/Table1[[#This Row],[TỔNG CỘNG TÀI SẢN]]</f>
        <v>0.23242423535570281</v>
      </c>
      <c r="V97" s="23">
        <f>1.2*Table1[[#This Row],[X1]] + 1.4*Table1[[#This Row],[X2]] + 3.3*Table1[[#This Row],[x3]] + 0.6*Table1[[#This Row],[x4]] + 1*Table1[[#This Row],[x5]]</f>
        <v>62.303216532533071</v>
      </c>
      <c r="W97" s="23">
        <f>IF(Table1[[#This Row],[Zscore]]&lt;1.81,1,0)</f>
        <v>0</v>
      </c>
    </row>
    <row r="98" spans="1:23" hidden="1" x14ac:dyDescent="0.45">
      <c r="A98" s="7">
        <v>92</v>
      </c>
      <c r="B98" s="5" t="s">
        <v>197</v>
      </c>
      <c r="C98" s="6" t="s">
        <v>198</v>
      </c>
      <c r="D98" s="6" t="s">
        <v>13</v>
      </c>
      <c r="E98" s="8">
        <v>666259362238</v>
      </c>
      <c r="F98" s="8">
        <v>659550387071</v>
      </c>
      <c r="G98" s="8">
        <v>118124056679</v>
      </c>
      <c r="H98" s="8">
        <v>74267872</v>
      </c>
      <c r="I98" s="8">
        <v>26662731169</v>
      </c>
      <c r="J98" s="8"/>
      <c r="K98" s="8">
        <v>118142623647</v>
      </c>
      <c r="L98" s="8">
        <v>55140766443</v>
      </c>
      <c r="M98" s="8"/>
      <c r="N98" s="8"/>
      <c r="O98" s="8"/>
      <c r="P98" s="8"/>
      <c r="Q98" s="18">
        <f>(Table1[[#This Row],[A. TÀI SẢN NGẮN HẠN]]-Table1[[#This Row],[I. Nợ ngắn hạn]])/Table1[[#This Row],[TỔNG CỘNG TÀI SẢN]]</f>
        <v>0.81263598093889544</v>
      </c>
      <c r="R98" s="18">
        <f>Table1[[#This Row],[- LNST chưa phân phối kỳ này]]/Table1[[#This Row],[TỔNG CỘNG TÀI SẢN]]</f>
        <v>1.1146991128279284E-4</v>
      </c>
      <c r="S98" s="21">
        <f>Table1[[#This Row],[5. Lợi nhuận gộp về bán hàng và cung cấp dịch vụ]]/Table1[[#This Row],[TỔNG CỘNG TÀI SẢN]]</f>
        <v>4.0018546350235877E-2</v>
      </c>
      <c r="T9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98" s="23">
        <f>Table1[[#This Row],[1. Doanh thu bán hàng và cung cấp dịch vụ ]]/Table1[[#This Row],[TỔNG CỘNG TÀI SẢN]]</f>
        <v>8.2761713483138585E-2</v>
      </c>
      <c r="V98" s="23" t="e">
        <f>1.2*Table1[[#This Row],[X1]] + 1.4*Table1[[#This Row],[X2]] + 3.3*Table1[[#This Row],[x3]] + 0.6*Table1[[#This Row],[x4]] + 1*Table1[[#This Row],[x5]]</f>
        <v>#DIV/0!</v>
      </c>
      <c r="W98" s="23" t="e">
        <f>IF(Table1[[#This Row],[Zscore]]&lt;1.81,1,0)</f>
        <v>#DIV/0!</v>
      </c>
    </row>
    <row r="99" spans="1:23" ht="26.25" hidden="1" x14ac:dyDescent="0.45">
      <c r="A99" s="7">
        <v>93</v>
      </c>
      <c r="B99" s="5" t="s">
        <v>199</v>
      </c>
      <c r="C99" s="6" t="s">
        <v>200</v>
      </c>
      <c r="D99" s="6" t="s">
        <v>18</v>
      </c>
      <c r="E99" s="6"/>
      <c r="F99" s="6"/>
      <c r="G99" s="6"/>
      <c r="H99" s="6"/>
      <c r="I99" s="6"/>
      <c r="J99" s="8"/>
      <c r="K99" s="6"/>
      <c r="L99" s="6"/>
      <c r="M99" s="8"/>
      <c r="N99" s="8"/>
      <c r="O99" s="8"/>
      <c r="P99" s="8"/>
      <c r="Q99" s="18" t="e">
        <f>(Table1[[#This Row],[A. TÀI SẢN NGẮN HẠN]]-Table1[[#This Row],[I. Nợ ngắn hạn]])/Table1[[#This Row],[TỔNG CỘNG TÀI SẢN]]</f>
        <v>#DIV/0!</v>
      </c>
      <c r="R99" s="18" t="e">
        <f>Table1[[#This Row],[- LNST chưa phân phối kỳ này]]/Table1[[#This Row],[TỔNG CỘNG TÀI SẢN]]</f>
        <v>#DIV/0!</v>
      </c>
      <c r="S99" s="21" t="e">
        <f>Table1[[#This Row],[5. Lợi nhuận gộp về bán hàng và cung cấp dịch vụ]]/Table1[[#This Row],[TỔNG CỘNG TÀI SẢN]]</f>
        <v>#DIV/0!</v>
      </c>
      <c r="T9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99" s="23" t="e">
        <f>Table1[[#This Row],[1. Doanh thu bán hàng và cung cấp dịch vụ ]]/Table1[[#This Row],[TỔNG CỘNG TÀI SẢN]]</f>
        <v>#DIV/0!</v>
      </c>
      <c r="V99" s="23" t="e">
        <f>1.2*Table1[[#This Row],[X1]] + 1.4*Table1[[#This Row],[X2]] + 3.3*Table1[[#This Row],[x3]] + 0.6*Table1[[#This Row],[x4]] + 1*Table1[[#This Row],[x5]]</f>
        <v>#DIV/0!</v>
      </c>
      <c r="W99" s="23" t="e">
        <f>IF(Table1[[#This Row],[Zscore]]&lt;1.81,1,0)</f>
        <v>#DIV/0!</v>
      </c>
    </row>
    <row r="100" spans="1:23" hidden="1" x14ac:dyDescent="0.45">
      <c r="A100" s="7">
        <v>94</v>
      </c>
      <c r="B100" s="5" t="s">
        <v>201</v>
      </c>
      <c r="C100" s="6" t="s">
        <v>202</v>
      </c>
      <c r="D100" s="6" t="s">
        <v>13</v>
      </c>
      <c r="E100" s="6"/>
      <c r="F100" s="6"/>
      <c r="G100" s="6"/>
      <c r="H100" s="6"/>
      <c r="I100" s="6"/>
      <c r="J100" s="8"/>
      <c r="K100" s="6"/>
      <c r="L100" s="6"/>
      <c r="M100" s="8"/>
      <c r="N100" s="8"/>
      <c r="O100" s="8"/>
      <c r="P100" s="8"/>
      <c r="Q100" s="18" t="e">
        <f>(Table1[[#This Row],[A. TÀI SẢN NGẮN HẠN]]-Table1[[#This Row],[I. Nợ ngắn hạn]])/Table1[[#This Row],[TỔNG CỘNG TÀI SẢN]]</f>
        <v>#DIV/0!</v>
      </c>
      <c r="R100" s="18" t="e">
        <f>Table1[[#This Row],[- LNST chưa phân phối kỳ này]]/Table1[[#This Row],[TỔNG CỘNG TÀI SẢN]]</f>
        <v>#DIV/0!</v>
      </c>
      <c r="S100" s="21" t="e">
        <f>Table1[[#This Row],[5. Lợi nhuận gộp về bán hàng và cung cấp dịch vụ]]/Table1[[#This Row],[TỔNG CỘNG TÀI SẢN]]</f>
        <v>#DIV/0!</v>
      </c>
      <c r="T10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00" s="23" t="e">
        <f>Table1[[#This Row],[1. Doanh thu bán hàng và cung cấp dịch vụ ]]/Table1[[#This Row],[TỔNG CỘNG TÀI SẢN]]</f>
        <v>#DIV/0!</v>
      </c>
      <c r="V100" s="23" t="e">
        <f>1.2*Table1[[#This Row],[X1]] + 1.4*Table1[[#This Row],[X2]] + 3.3*Table1[[#This Row],[x3]] + 0.6*Table1[[#This Row],[x4]] + 1*Table1[[#This Row],[x5]]</f>
        <v>#DIV/0!</v>
      </c>
      <c r="W100" s="23" t="e">
        <f>IF(Table1[[#This Row],[Zscore]]&lt;1.81,1,0)</f>
        <v>#DIV/0!</v>
      </c>
    </row>
    <row r="101" spans="1:23" x14ac:dyDescent="0.45">
      <c r="A101" s="7">
        <v>95</v>
      </c>
      <c r="B101" s="5" t="s">
        <v>203</v>
      </c>
      <c r="C101" s="6" t="s">
        <v>204</v>
      </c>
      <c r="D101" s="6" t="s">
        <v>36</v>
      </c>
      <c r="E101" s="8">
        <v>231444909259</v>
      </c>
      <c r="F101" s="8">
        <v>224835926046</v>
      </c>
      <c r="G101" s="8">
        <v>189446804767</v>
      </c>
      <c r="H101" s="8">
        <v>2820120328</v>
      </c>
      <c r="I101" s="8">
        <v>39792736706</v>
      </c>
      <c r="J101" s="8"/>
      <c r="K101" s="8">
        <v>190843922517</v>
      </c>
      <c r="L101" s="8">
        <v>294140085571</v>
      </c>
      <c r="M101" s="8">
        <v>87738180600</v>
      </c>
      <c r="N101" s="8">
        <v>78715459900</v>
      </c>
      <c r="O101" s="8">
        <v>87738180600</v>
      </c>
      <c r="P101" s="8">
        <v>87738180600</v>
      </c>
      <c r="Q101" s="18">
        <f>(Table1[[#This Row],[A. TÀI SẢN NGẮN HẠN]]-Table1[[#This Row],[I. Nợ ngắn hạn]])/Table1[[#This Row],[TỔNG CỘNG TÀI SẢN]]</f>
        <v>0.15290516171776136</v>
      </c>
      <c r="R101" s="18">
        <f>Table1[[#This Row],[- LNST chưa phân phối kỳ này]]/Table1[[#This Row],[TỔNG CỘNG TÀI SẢN]]</f>
        <v>1.2184844924993037E-2</v>
      </c>
      <c r="S101" s="21">
        <f>Table1[[#This Row],[5. Lợi nhuận gộp về bán hàng và cung cấp dịch vụ]]/Table1[[#This Row],[TỔNG CỘNG TÀI SẢN]]</f>
        <v>0.17193178641691215</v>
      </c>
      <c r="T10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0.44791837904812182</v>
      </c>
      <c r="U101" s="23">
        <f>Table1[[#This Row],[1. Doanh thu bán hàng và cung cấp dịch vụ ]]/Table1[[#This Row],[TỔNG CỘNG TÀI SẢN]]</f>
        <v>1.270885959482654</v>
      </c>
      <c r="V101" s="23">
        <f>1.2*Table1[[#This Row],[X1]] + 1.4*Table1[[#This Row],[X2]] + 3.3*Table1[[#This Row],[x3]] + 0.6*Table1[[#This Row],[x4]] + 1*Table1[[#This Row],[x5]]</f>
        <v>2.3075568590436411</v>
      </c>
      <c r="W101" s="23">
        <f>IF(Table1[[#This Row],[Zscore]]&lt;1.81,1,0)</f>
        <v>0</v>
      </c>
    </row>
    <row r="102" spans="1:23" x14ac:dyDescent="0.45">
      <c r="A102" s="7">
        <v>96</v>
      </c>
      <c r="B102" s="5" t="s">
        <v>205</v>
      </c>
      <c r="C102" s="6" t="s">
        <v>206</v>
      </c>
      <c r="D102" s="6" t="s">
        <v>18</v>
      </c>
      <c r="E102" s="8">
        <v>99678003440</v>
      </c>
      <c r="F102" s="8">
        <v>48677312184</v>
      </c>
      <c r="G102" s="8">
        <v>4359942391</v>
      </c>
      <c r="H102" s="8">
        <v>-259849782328</v>
      </c>
      <c r="I102" s="8">
        <v>18228856969</v>
      </c>
      <c r="J102" s="8"/>
      <c r="K102" s="8">
        <v>4359942391</v>
      </c>
      <c r="L102" s="8">
        <v>1844144745</v>
      </c>
      <c r="M102" s="8">
        <v>125999261700</v>
      </c>
      <c r="N102" s="8">
        <v>125999261700</v>
      </c>
      <c r="O102" s="8">
        <v>125999261700</v>
      </c>
      <c r="P102" s="8">
        <v>125999261700</v>
      </c>
      <c r="Q102" s="18">
        <f>(Table1[[#This Row],[A. TÀI SẢN NGẮN HẠN]]-Table1[[#This Row],[I. Nợ ngắn hạn]])/Table1[[#This Row],[TỔNG CỘNG TÀI SẢN]]</f>
        <v>0.44460531173937806</v>
      </c>
      <c r="R102" s="18">
        <f>Table1[[#This Row],[- LNST chưa phân phối kỳ này]]/Table1[[#This Row],[TỔNG CỘNG TÀI SẢN]]</f>
        <v>-2.6068919256033607</v>
      </c>
      <c r="S102" s="21">
        <f>Table1[[#This Row],[5. Lợi nhuận gộp về bán hàng và cung cấp dịch vụ]]/Table1[[#This Row],[TỔNG CỘNG TÀI SẢN]]</f>
        <v>0.18287742871949322</v>
      </c>
      <c r="T10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28.899295082451928</v>
      </c>
      <c r="U102" s="23">
        <f>Table1[[#This Row],[1. Doanh thu bán hàng và cung cấp dịch vụ ]]/Table1[[#This Row],[TỔNG CỘNG TÀI SẢN]]</f>
        <v>1.8501020098281376E-2</v>
      </c>
      <c r="V102" s="23">
        <f>1.2*Table1[[#This Row],[X1]] + 1.4*Table1[[#This Row],[X2]] + 3.3*Table1[[#This Row],[x3]] + 0.6*Table1[[#This Row],[x4]] + 1*Table1[[#This Row],[x5]]</f>
        <v>14.845451262586314</v>
      </c>
      <c r="W102" s="23">
        <f>IF(Table1[[#This Row],[Zscore]]&lt;1.81,1,0)</f>
        <v>0</v>
      </c>
    </row>
    <row r="103" spans="1:23" ht="26.25" hidden="1" x14ac:dyDescent="0.45">
      <c r="A103" s="7">
        <v>97</v>
      </c>
      <c r="B103" s="5" t="s">
        <v>207</v>
      </c>
      <c r="C103" s="6" t="s">
        <v>208</v>
      </c>
      <c r="D103" s="6" t="s">
        <v>13</v>
      </c>
      <c r="E103" s="6"/>
      <c r="F103" s="6"/>
      <c r="G103" s="6"/>
      <c r="H103" s="6"/>
      <c r="I103" s="6"/>
      <c r="J103" s="8"/>
      <c r="K103" s="6"/>
      <c r="L103" s="6"/>
      <c r="M103" s="8"/>
      <c r="N103" s="8"/>
      <c r="O103" s="8"/>
      <c r="P103" s="8"/>
      <c r="Q103" s="18" t="e">
        <f>(Table1[[#This Row],[A. TÀI SẢN NGẮN HẠN]]-Table1[[#This Row],[I. Nợ ngắn hạn]])/Table1[[#This Row],[TỔNG CỘNG TÀI SẢN]]</f>
        <v>#DIV/0!</v>
      </c>
      <c r="R103" s="18" t="e">
        <f>Table1[[#This Row],[- LNST chưa phân phối kỳ này]]/Table1[[#This Row],[TỔNG CỘNG TÀI SẢN]]</f>
        <v>#DIV/0!</v>
      </c>
      <c r="S103" s="21" t="e">
        <f>Table1[[#This Row],[5. Lợi nhuận gộp về bán hàng và cung cấp dịch vụ]]/Table1[[#This Row],[TỔNG CỘNG TÀI SẢN]]</f>
        <v>#DIV/0!</v>
      </c>
      <c r="T10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03" s="23" t="e">
        <f>Table1[[#This Row],[1. Doanh thu bán hàng và cung cấp dịch vụ ]]/Table1[[#This Row],[TỔNG CỘNG TÀI SẢN]]</f>
        <v>#DIV/0!</v>
      </c>
      <c r="V103" s="23" t="e">
        <f>1.2*Table1[[#This Row],[X1]] + 1.4*Table1[[#This Row],[X2]] + 3.3*Table1[[#This Row],[x3]] + 0.6*Table1[[#This Row],[x4]] + 1*Table1[[#This Row],[x5]]</f>
        <v>#DIV/0!</v>
      </c>
      <c r="W103" s="23" t="e">
        <f>IF(Table1[[#This Row],[Zscore]]&lt;1.81,1,0)</f>
        <v>#DIV/0!</v>
      </c>
    </row>
    <row r="104" spans="1:23" ht="26.25" hidden="1" x14ac:dyDescent="0.45">
      <c r="A104" s="7">
        <v>98</v>
      </c>
      <c r="B104" s="5" t="s">
        <v>209</v>
      </c>
      <c r="C104" s="6" t="s">
        <v>210</v>
      </c>
      <c r="D104" s="6" t="s">
        <v>13</v>
      </c>
      <c r="E104" s="6"/>
      <c r="F104" s="6"/>
      <c r="G104" s="6"/>
      <c r="H104" s="6"/>
      <c r="I104" s="6"/>
      <c r="J104" s="8"/>
      <c r="K104" s="6"/>
      <c r="L104" s="6"/>
      <c r="M104" s="8"/>
      <c r="N104" s="8"/>
      <c r="O104" s="8"/>
      <c r="P104" s="8"/>
      <c r="Q104" s="18" t="e">
        <f>(Table1[[#This Row],[A. TÀI SẢN NGẮN HẠN]]-Table1[[#This Row],[I. Nợ ngắn hạn]])/Table1[[#This Row],[TỔNG CỘNG TÀI SẢN]]</f>
        <v>#DIV/0!</v>
      </c>
      <c r="R104" s="18" t="e">
        <f>Table1[[#This Row],[- LNST chưa phân phối kỳ này]]/Table1[[#This Row],[TỔNG CỘNG TÀI SẢN]]</f>
        <v>#DIV/0!</v>
      </c>
      <c r="S104" s="21" t="e">
        <f>Table1[[#This Row],[5. Lợi nhuận gộp về bán hàng và cung cấp dịch vụ]]/Table1[[#This Row],[TỔNG CỘNG TÀI SẢN]]</f>
        <v>#DIV/0!</v>
      </c>
      <c r="T10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04" s="23" t="e">
        <f>Table1[[#This Row],[1. Doanh thu bán hàng và cung cấp dịch vụ ]]/Table1[[#This Row],[TỔNG CỘNG TÀI SẢN]]</f>
        <v>#DIV/0!</v>
      </c>
      <c r="V104" s="23" t="e">
        <f>1.2*Table1[[#This Row],[X1]] + 1.4*Table1[[#This Row],[X2]] + 3.3*Table1[[#This Row],[x3]] + 0.6*Table1[[#This Row],[x4]] + 1*Table1[[#This Row],[x5]]</f>
        <v>#DIV/0!</v>
      </c>
      <c r="W104" s="23" t="e">
        <f>IF(Table1[[#This Row],[Zscore]]&lt;1.81,1,0)</f>
        <v>#DIV/0!</v>
      </c>
    </row>
    <row r="105" spans="1:23" hidden="1" x14ac:dyDescent="0.45">
      <c r="A105" s="7">
        <v>99</v>
      </c>
      <c r="B105" s="5" t="s">
        <v>211</v>
      </c>
      <c r="C105" s="6" t="s">
        <v>212</v>
      </c>
      <c r="D105" s="6" t="s">
        <v>13</v>
      </c>
      <c r="E105" s="6"/>
      <c r="F105" s="6"/>
      <c r="G105" s="6"/>
      <c r="H105" s="6"/>
      <c r="I105" s="6"/>
      <c r="J105" s="8"/>
      <c r="K105" s="6"/>
      <c r="L105" s="6"/>
      <c r="M105" s="8"/>
      <c r="N105" s="8"/>
      <c r="O105" s="8"/>
      <c r="P105" s="8"/>
      <c r="Q105" s="18" t="e">
        <f>(Table1[[#This Row],[A. TÀI SẢN NGẮN HẠN]]-Table1[[#This Row],[I. Nợ ngắn hạn]])/Table1[[#This Row],[TỔNG CỘNG TÀI SẢN]]</f>
        <v>#DIV/0!</v>
      </c>
      <c r="R105" s="18" t="e">
        <f>Table1[[#This Row],[- LNST chưa phân phối kỳ này]]/Table1[[#This Row],[TỔNG CỘNG TÀI SẢN]]</f>
        <v>#DIV/0!</v>
      </c>
      <c r="S105" s="21" t="e">
        <f>Table1[[#This Row],[5. Lợi nhuận gộp về bán hàng và cung cấp dịch vụ]]/Table1[[#This Row],[TỔNG CỘNG TÀI SẢN]]</f>
        <v>#DIV/0!</v>
      </c>
      <c r="T10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05" s="23" t="e">
        <f>Table1[[#This Row],[1. Doanh thu bán hàng và cung cấp dịch vụ ]]/Table1[[#This Row],[TỔNG CỘNG TÀI SẢN]]</f>
        <v>#DIV/0!</v>
      </c>
      <c r="V105" s="23" t="e">
        <f>1.2*Table1[[#This Row],[X1]] + 1.4*Table1[[#This Row],[X2]] + 3.3*Table1[[#This Row],[x3]] + 0.6*Table1[[#This Row],[x4]] + 1*Table1[[#This Row],[x5]]</f>
        <v>#DIV/0!</v>
      </c>
      <c r="W105" s="23" t="e">
        <f>IF(Table1[[#This Row],[Zscore]]&lt;1.81,1,0)</f>
        <v>#DIV/0!</v>
      </c>
    </row>
    <row r="106" spans="1:23" hidden="1" x14ac:dyDescent="0.45">
      <c r="A106" s="7">
        <v>100</v>
      </c>
      <c r="B106" s="5" t="s">
        <v>213</v>
      </c>
      <c r="C106" s="6" t="s">
        <v>214</v>
      </c>
      <c r="D106" s="6" t="s">
        <v>13</v>
      </c>
      <c r="E106" s="8">
        <v>313221263267</v>
      </c>
      <c r="F106" s="8">
        <v>291266761269</v>
      </c>
      <c r="G106" s="8">
        <v>8714280623</v>
      </c>
      <c r="H106" s="8">
        <v>3588345985</v>
      </c>
      <c r="I106" s="8">
        <v>65133678664</v>
      </c>
      <c r="J106" s="8"/>
      <c r="K106" s="8">
        <v>8714280623</v>
      </c>
      <c r="L106" s="8">
        <v>89872183493</v>
      </c>
      <c r="M106" s="8"/>
      <c r="N106" s="8"/>
      <c r="O106" s="8"/>
      <c r="P106" s="8"/>
      <c r="Q106" s="18">
        <f>(Table1[[#This Row],[A. TÀI SẢN NGẮN HẠN]]-Table1[[#This Row],[I. Nợ ngắn hạn]])/Table1[[#This Row],[TỔNG CỘNG TÀI SẢN]]</f>
        <v>0.90208588554584512</v>
      </c>
      <c r="R106" s="18">
        <f>Table1[[#This Row],[- LNST chưa phân phối kỳ này]]/Table1[[#This Row],[TỔNG CỘNG TÀI SẢN]]</f>
        <v>1.1456265604615665E-2</v>
      </c>
      <c r="S106" s="21">
        <f>Table1[[#This Row],[5. Lợi nhuận gộp về bán hàng và cung cấp dịch vụ]]/Table1[[#This Row],[TỔNG CỘNG TÀI SẢN]]</f>
        <v>0.20794781932948764</v>
      </c>
      <c r="T10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06" s="23">
        <f>Table1[[#This Row],[1. Doanh thu bán hàng và cung cấp dịch vụ ]]/Table1[[#This Row],[TỔNG CỘNG TÀI SẢN]]</f>
        <v>0.28692874345631519</v>
      </c>
      <c r="V106" s="23" t="e">
        <f>1.2*Table1[[#This Row],[X1]] + 1.4*Table1[[#This Row],[X2]] + 3.3*Table1[[#This Row],[x3]] + 0.6*Table1[[#This Row],[x4]] + 1*Table1[[#This Row],[x5]]</f>
        <v>#DIV/0!</v>
      </c>
      <c r="W106" s="23" t="e">
        <f>IF(Table1[[#This Row],[Zscore]]&lt;1.81,1,0)</f>
        <v>#DIV/0!</v>
      </c>
    </row>
    <row r="107" spans="1:23" hidden="1" x14ac:dyDescent="0.45">
      <c r="A107" s="7">
        <v>101</v>
      </c>
      <c r="B107" s="5" t="s">
        <v>215</v>
      </c>
      <c r="C107" s="6" t="s">
        <v>216</v>
      </c>
      <c r="D107" s="6" t="s">
        <v>13</v>
      </c>
      <c r="E107" s="6"/>
      <c r="F107" s="6"/>
      <c r="G107" s="6"/>
      <c r="H107" s="6"/>
      <c r="I107" s="6"/>
      <c r="J107" s="8"/>
      <c r="K107" s="6"/>
      <c r="L107" s="6"/>
      <c r="M107" s="8"/>
      <c r="N107" s="8"/>
      <c r="O107" s="8"/>
      <c r="P107" s="8"/>
      <c r="Q107" s="18" t="e">
        <f>(Table1[[#This Row],[A. TÀI SẢN NGẮN HẠN]]-Table1[[#This Row],[I. Nợ ngắn hạn]])/Table1[[#This Row],[TỔNG CỘNG TÀI SẢN]]</f>
        <v>#DIV/0!</v>
      </c>
      <c r="R107" s="18" t="e">
        <f>Table1[[#This Row],[- LNST chưa phân phối kỳ này]]/Table1[[#This Row],[TỔNG CỘNG TÀI SẢN]]</f>
        <v>#DIV/0!</v>
      </c>
      <c r="S107" s="21" t="e">
        <f>Table1[[#This Row],[5. Lợi nhuận gộp về bán hàng và cung cấp dịch vụ]]/Table1[[#This Row],[TỔNG CỘNG TÀI SẢN]]</f>
        <v>#DIV/0!</v>
      </c>
      <c r="T10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07" s="23" t="e">
        <f>Table1[[#This Row],[1. Doanh thu bán hàng và cung cấp dịch vụ ]]/Table1[[#This Row],[TỔNG CỘNG TÀI SẢN]]</f>
        <v>#DIV/0!</v>
      </c>
      <c r="V107" s="23" t="e">
        <f>1.2*Table1[[#This Row],[X1]] + 1.4*Table1[[#This Row],[X2]] + 3.3*Table1[[#This Row],[x3]] + 0.6*Table1[[#This Row],[x4]] + 1*Table1[[#This Row],[x5]]</f>
        <v>#DIV/0!</v>
      </c>
      <c r="W107" s="23" t="e">
        <f>IF(Table1[[#This Row],[Zscore]]&lt;1.81,1,0)</f>
        <v>#DIV/0!</v>
      </c>
    </row>
    <row r="108" spans="1:23" ht="26.25" hidden="1" x14ac:dyDescent="0.45">
      <c r="A108" s="7">
        <v>102</v>
      </c>
      <c r="B108" s="5" t="s">
        <v>217</v>
      </c>
      <c r="C108" s="6" t="s">
        <v>218</v>
      </c>
      <c r="D108" s="6" t="s">
        <v>13</v>
      </c>
      <c r="E108" s="6"/>
      <c r="F108" s="6"/>
      <c r="G108" s="6"/>
      <c r="H108" s="6"/>
      <c r="I108" s="6"/>
      <c r="J108" s="8"/>
      <c r="K108" s="6"/>
      <c r="L108" s="6"/>
      <c r="M108" s="8"/>
      <c r="N108" s="8"/>
      <c r="O108" s="8"/>
      <c r="P108" s="8"/>
      <c r="Q108" s="18" t="e">
        <f>(Table1[[#This Row],[A. TÀI SẢN NGẮN HẠN]]-Table1[[#This Row],[I. Nợ ngắn hạn]])/Table1[[#This Row],[TỔNG CỘNG TÀI SẢN]]</f>
        <v>#DIV/0!</v>
      </c>
      <c r="R108" s="18" t="e">
        <f>Table1[[#This Row],[- LNST chưa phân phối kỳ này]]/Table1[[#This Row],[TỔNG CỘNG TÀI SẢN]]</f>
        <v>#DIV/0!</v>
      </c>
      <c r="S108" s="21" t="e">
        <f>Table1[[#This Row],[5. Lợi nhuận gộp về bán hàng và cung cấp dịch vụ]]/Table1[[#This Row],[TỔNG CỘNG TÀI SẢN]]</f>
        <v>#DIV/0!</v>
      </c>
      <c r="T10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08" s="23" t="e">
        <f>Table1[[#This Row],[1. Doanh thu bán hàng và cung cấp dịch vụ ]]/Table1[[#This Row],[TỔNG CỘNG TÀI SẢN]]</f>
        <v>#DIV/0!</v>
      </c>
      <c r="V108" s="23" t="e">
        <f>1.2*Table1[[#This Row],[X1]] + 1.4*Table1[[#This Row],[X2]] + 3.3*Table1[[#This Row],[x3]] + 0.6*Table1[[#This Row],[x4]] + 1*Table1[[#This Row],[x5]]</f>
        <v>#DIV/0!</v>
      </c>
      <c r="W108" s="23" t="e">
        <f>IF(Table1[[#This Row],[Zscore]]&lt;1.81,1,0)</f>
        <v>#DIV/0!</v>
      </c>
    </row>
    <row r="109" spans="1:23" hidden="1" x14ac:dyDescent="0.45">
      <c r="A109" s="7">
        <v>103</v>
      </c>
      <c r="B109" s="5" t="s">
        <v>219</v>
      </c>
      <c r="C109" s="6" t="s">
        <v>220</v>
      </c>
      <c r="D109" s="6" t="s">
        <v>13</v>
      </c>
      <c r="E109" s="6"/>
      <c r="F109" s="6"/>
      <c r="G109" s="6"/>
      <c r="H109" s="6"/>
      <c r="I109" s="6"/>
      <c r="J109" s="8"/>
      <c r="K109" s="6"/>
      <c r="L109" s="6"/>
      <c r="M109" s="8"/>
      <c r="N109" s="8"/>
      <c r="O109" s="8"/>
      <c r="P109" s="8"/>
      <c r="Q109" s="18" t="e">
        <f>(Table1[[#This Row],[A. TÀI SẢN NGẮN HẠN]]-Table1[[#This Row],[I. Nợ ngắn hạn]])/Table1[[#This Row],[TỔNG CỘNG TÀI SẢN]]</f>
        <v>#DIV/0!</v>
      </c>
      <c r="R109" s="18" t="e">
        <f>Table1[[#This Row],[- LNST chưa phân phối kỳ này]]/Table1[[#This Row],[TỔNG CỘNG TÀI SẢN]]</f>
        <v>#DIV/0!</v>
      </c>
      <c r="S109" s="21" t="e">
        <f>Table1[[#This Row],[5. Lợi nhuận gộp về bán hàng và cung cấp dịch vụ]]/Table1[[#This Row],[TỔNG CỘNG TÀI SẢN]]</f>
        <v>#DIV/0!</v>
      </c>
      <c r="T10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09" s="23" t="e">
        <f>Table1[[#This Row],[1. Doanh thu bán hàng và cung cấp dịch vụ ]]/Table1[[#This Row],[TỔNG CỘNG TÀI SẢN]]</f>
        <v>#DIV/0!</v>
      </c>
      <c r="V109" s="23" t="e">
        <f>1.2*Table1[[#This Row],[X1]] + 1.4*Table1[[#This Row],[X2]] + 3.3*Table1[[#This Row],[x3]] + 0.6*Table1[[#This Row],[x4]] + 1*Table1[[#This Row],[x5]]</f>
        <v>#DIV/0!</v>
      </c>
      <c r="W109" s="23" t="e">
        <f>IF(Table1[[#This Row],[Zscore]]&lt;1.81,1,0)</f>
        <v>#DIV/0!</v>
      </c>
    </row>
    <row r="110" spans="1:23" x14ac:dyDescent="0.45">
      <c r="A110" s="7">
        <v>104</v>
      </c>
      <c r="B110" s="5" t="s">
        <v>221</v>
      </c>
      <c r="C110" s="6" t="s">
        <v>222</v>
      </c>
      <c r="D110" s="6" t="s">
        <v>21</v>
      </c>
      <c r="E110" s="8">
        <v>3662229458220</v>
      </c>
      <c r="F110" s="8">
        <v>1927021948129</v>
      </c>
      <c r="G110" s="8">
        <v>817027836842</v>
      </c>
      <c r="H110" s="8">
        <v>78630158030</v>
      </c>
      <c r="I110" s="8">
        <v>430225895561</v>
      </c>
      <c r="J110" s="8"/>
      <c r="K110" s="8">
        <v>1532159202225</v>
      </c>
      <c r="L110" s="8">
        <v>2385998063299</v>
      </c>
      <c r="M110" s="8">
        <v>1625045575100</v>
      </c>
      <c r="N110" s="8">
        <v>1543339373000</v>
      </c>
      <c r="O110" s="8">
        <v>1588731707500</v>
      </c>
      <c r="P110" s="8">
        <v>1475250871250</v>
      </c>
      <c r="Q110" s="18">
        <f>(Table1[[#This Row],[A. TÀI SẢN NGẮN HẠN]]-Table1[[#This Row],[I. Nợ ngắn hạn]])/Table1[[#This Row],[TỔNG CỘNG TÀI SẢN]]</f>
        <v>0.30309245336760099</v>
      </c>
      <c r="R110" s="18">
        <f>Table1[[#This Row],[- LNST chưa phân phối kỳ này]]/Table1[[#This Row],[TỔNG CỘNG TÀI SẢN]]</f>
        <v>2.1470571117140656E-2</v>
      </c>
      <c r="S110" s="21">
        <f>Table1[[#This Row],[5. Lợi nhuận gộp về bán hàng và cung cấp dịch vụ]]/Table1[[#This Row],[TỔNG CỘNG TÀI SẢN]]</f>
        <v>0.11747649907499465</v>
      </c>
      <c r="T11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1.0169255776095856</v>
      </c>
      <c r="U110" s="23">
        <f>Table1[[#This Row],[1. Doanh thu bán hàng và cung cấp dịch vụ ]]/Table1[[#This Row],[TỔNG CỘNG TÀI SẢN]]</f>
        <v>0.65151517416352633</v>
      </c>
      <c r="V110" s="23">
        <f>1.2*Table1[[#This Row],[X1]] + 1.4*Table1[[#This Row],[X2]] + 3.3*Table1[[#This Row],[x3]] + 0.6*Table1[[#This Row],[x4]] + 1*Table1[[#This Row],[x5]]</f>
        <v>2.0431127112818781</v>
      </c>
      <c r="W110" s="23">
        <f>IF(Table1[[#This Row],[Zscore]]&lt;1.81,1,0)</f>
        <v>0</v>
      </c>
    </row>
    <row r="111" spans="1:23" hidden="1" x14ac:dyDescent="0.45">
      <c r="A111" s="7">
        <v>105</v>
      </c>
      <c r="B111" s="5" t="s">
        <v>223</v>
      </c>
      <c r="C111" s="6" t="s">
        <v>224</v>
      </c>
      <c r="D111" s="6" t="s">
        <v>13</v>
      </c>
      <c r="E111" s="6"/>
      <c r="F111" s="6"/>
      <c r="G111" s="6"/>
      <c r="H111" s="6"/>
      <c r="I111" s="6"/>
      <c r="J111" s="8"/>
      <c r="K111" s="6"/>
      <c r="L111" s="6"/>
      <c r="M111" s="8"/>
      <c r="N111" s="8"/>
      <c r="O111" s="8"/>
      <c r="P111" s="8"/>
      <c r="Q111" s="18" t="e">
        <f>(Table1[[#This Row],[A. TÀI SẢN NGẮN HẠN]]-Table1[[#This Row],[I. Nợ ngắn hạn]])/Table1[[#This Row],[TỔNG CỘNG TÀI SẢN]]</f>
        <v>#DIV/0!</v>
      </c>
      <c r="R111" s="18" t="e">
        <f>Table1[[#This Row],[- LNST chưa phân phối kỳ này]]/Table1[[#This Row],[TỔNG CỘNG TÀI SẢN]]</f>
        <v>#DIV/0!</v>
      </c>
      <c r="S111" s="21" t="e">
        <f>Table1[[#This Row],[5. Lợi nhuận gộp về bán hàng và cung cấp dịch vụ]]/Table1[[#This Row],[TỔNG CỘNG TÀI SẢN]]</f>
        <v>#DIV/0!</v>
      </c>
      <c r="T11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11" s="23" t="e">
        <f>Table1[[#This Row],[1. Doanh thu bán hàng và cung cấp dịch vụ ]]/Table1[[#This Row],[TỔNG CỘNG TÀI SẢN]]</f>
        <v>#DIV/0!</v>
      </c>
      <c r="V111" s="23" t="e">
        <f>1.2*Table1[[#This Row],[X1]] + 1.4*Table1[[#This Row],[X2]] + 3.3*Table1[[#This Row],[x3]] + 0.6*Table1[[#This Row],[x4]] + 1*Table1[[#This Row],[x5]]</f>
        <v>#DIV/0!</v>
      </c>
      <c r="W111" s="23" t="e">
        <f>IF(Table1[[#This Row],[Zscore]]&lt;1.81,1,0)</f>
        <v>#DIV/0!</v>
      </c>
    </row>
    <row r="112" spans="1:23" x14ac:dyDescent="0.45">
      <c r="A112" s="7">
        <v>106</v>
      </c>
      <c r="B112" s="5" t="s">
        <v>225</v>
      </c>
      <c r="C112" s="6" t="s">
        <v>226</v>
      </c>
      <c r="D112" s="6" t="s">
        <v>21</v>
      </c>
      <c r="E112" s="8">
        <v>23507886799897</v>
      </c>
      <c r="F112" s="8">
        <v>14157655541148</v>
      </c>
      <c r="G112" s="8">
        <v>9347335492249</v>
      </c>
      <c r="H112" s="8">
        <v>46442473399</v>
      </c>
      <c r="I112" s="8">
        <v>1370568513534</v>
      </c>
      <c r="J112" s="8"/>
      <c r="K112" s="8">
        <v>15287380358628</v>
      </c>
      <c r="L112" s="8">
        <v>11340313215160</v>
      </c>
      <c r="M112" s="8">
        <v>2891092132500</v>
      </c>
      <c r="N112" s="8">
        <v>2622330538520</v>
      </c>
      <c r="O112" s="8">
        <v>2765231527500</v>
      </c>
      <c r="P112" s="8">
        <v>3294586425000</v>
      </c>
      <c r="Q112" s="18">
        <f>(Table1[[#This Row],[A. TÀI SẢN NGẮN HẠN]]-Table1[[#This Row],[I. Nợ ngắn hạn]])/Table1[[#This Row],[TỔNG CỘNG TÀI SẢN]]</f>
        <v>0.20462579600817529</v>
      </c>
      <c r="R112" s="18">
        <f>Table1[[#This Row],[- LNST chưa phân phối kỳ này]]/Table1[[#This Row],[TỔNG CỘNG TÀI SẢN]]</f>
        <v>1.9756124314501758E-3</v>
      </c>
      <c r="S112" s="21">
        <f>Table1[[#This Row],[5. Lợi nhuận gộp về bán hàng và cung cấp dịch vụ]]/Table1[[#This Row],[TỔNG CỘNG TÀI SẢN]]</f>
        <v>5.8302497591574465E-2</v>
      </c>
      <c r="T11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0.18926134419407267</v>
      </c>
      <c r="U112" s="23">
        <f>Table1[[#This Row],[1. Doanh thu bán hàng và cung cấp dịch vụ ]]/Table1[[#This Row],[TỔNG CỘNG TÀI SẢN]]</f>
        <v>0.48240462069987883</v>
      </c>
      <c r="V112" s="23">
        <f>1.2*Table1[[#This Row],[X1]] + 1.4*Table1[[#This Row],[X2]] + 3.3*Table1[[#This Row],[x3]] + 0.6*Table1[[#This Row],[x4]] + 1*Table1[[#This Row],[x5]]</f>
        <v>1.0366764818823588</v>
      </c>
      <c r="W112" s="23">
        <f>IF(Table1[[#This Row],[Zscore]]&lt;1.81,1,0)</f>
        <v>1</v>
      </c>
    </row>
    <row r="113" spans="1:23" x14ac:dyDescent="0.45">
      <c r="A113" s="7">
        <v>107</v>
      </c>
      <c r="B113" s="5" t="s">
        <v>227</v>
      </c>
      <c r="C113" s="6" t="s">
        <v>228</v>
      </c>
      <c r="D113" s="6" t="s">
        <v>21</v>
      </c>
      <c r="E113" s="8">
        <v>1320453727332</v>
      </c>
      <c r="F113" s="8">
        <v>675519460817</v>
      </c>
      <c r="G113" s="8">
        <v>968862915105</v>
      </c>
      <c r="H113" s="8">
        <v>24547259996</v>
      </c>
      <c r="I113" s="8">
        <v>350855999749</v>
      </c>
      <c r="J113" s="8"/>
      <c r="K113" s="8">
        <v>984349038632</v>
      </c>
      <c r="L113" s="8">
        <v>3317987494991</v>
      </c>
      <c r="M113" s="8">
        <v>186697710000</v>
      </c>
      <c r="N113" s="8">
        <v>175122451980</v>
      </c>
      <c r="O113" s="8">
        <v>200513340540</v>
      </c>
      <c r="P113" s="8">
        <v>177362824500</v>
      </c>
      <c r="Q113" s="18">
        <f>(Table1[[#This Row],[A. TÀI SẢN NGẮN HẠN]]-Table1[[#This Row],[I. Nợ ngắn hạn]])/Table1[[#This Row],[TỔNG CỘNG TÀI SẢN]]</f>
        <v>-0.22215352815180098</v>
      </c>
      <c r="R113" s="18">
        <f>Table1[[#This Row],[- LNST chưa phân phối kỳ này]]/Table1[[#This Row],[TỔNG CỘNG TÀI SẢN]]</f>
        <v>1.8590019088058594E-2</v>
      </c>
      <c r="S113" s="21">
        <f>Table1[[#This Row],[5. Lợi nhuận gộp về bán hàng và cung cấp dịch vụ]]/Table1[[#This Row],[TỔNG CỘNG TÀI SẢN]]</f>
        <v>0.26570866701850332</v>
      </c>
      <c r="T11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0.18786433927136093</v>
      </c>
      <c r="U113" s="23">
        <f>Table1[[#This Row],[1. Doanh thu bán hàng và cung cấp dịch vụ ]]/Table1[[#This Row],[TỔNG CỘNG TÀI SẢN]]</f>
        <v>2.5127631709556777</v>
      </c>
      <c r="V113" s="23">
        <f>1.2*Table1[[#This Row],[X1]] + 1.4*Table1[[#This Row],[X2]] + 3.3*Table1[[#This Row],[x3]] + 0.6*Table1[[#This Row],[x4]] + 1*Table1[[#This Row],[x5]]</f>
        <v>3.2617621686206757</v>
      </c>
      <c r="W113" s="23">
        <f>IF(Table1[[#This Row],[Zscore]]&lt;1.81,1,0)</f>
        <v>0</v>
      </c>
    </row>
    <row r="114" spans="1:23" x14ac:dyDescent="0.45">
      <c r="A114" s="7">
        <v>108</v>
      </c>
      <c r="B114" s="5" t="s">
        <v>229</v>
      </c>
      <c r="C114" s="6" t="s">
        <v>230</v>
      </c>
      <c r="D114" s="6" t="s">
        <v>21</v>
      </c>
      <c r="E114" s="8">
        <v>1031257649237</v>
      </c>
      <c r="F114" s="8">
        <v>688377133428</v>
      </c>
      <c r="G114" s="8">
        <v>344437501812</v>
      </c>
      <c r="H114" s="8">
        <v>128049407538</v>
      </c>
      <c r="I114" s="8">
        <v>1096112668657</v>
      </c>
      <c r="J114" s="8"/>
      <c r="K114" s="8">
        <v>344437501812</v>
      </c>
      <c r="L114" s="8">
        <v>1726948551274</v>
      </c>
      <c r="M114" s="8">
        <v>2466000000000</v>
      </c>
      <c r="N114" s="8">
        <v>3465000000000</v>
      </c>
      <c r="O114" s="8">
        <v>2970000000000</v>
      </c>
      <c r="P114" s="8">
        <v>3271500000000</v>
      </c>
      <c r="Q114" s="18">
        <f>(Table1[[#This Row],[A. TÀI SẢN NGẮN HẠN]]-Table1[[#This Row],[I. Nợ ngắn hạn]])/Table1[[#This Row],[TỔNG CỘNG TÀI SẢN]]</f>
        <v>0.33351474471047243</v>
      </c>
      <c r="R114" s="18">
        <f>Table1[[#This Row],[- LNST chưa phân phối kỳ này]]/Table1[[#This Row],[TỔNG CỘNG TÀI SẢN]]</f>
        <v>0.12416820145066593</v>
      </c>
      <c r="S114" s="21">
        <f>Table1[[#This Row],[5. Lợi nhuận gộp về bán hàng và cung cấp dịch vụ]]/Table1[[#This Row],[TỔNG CỘNG TÀI SẢN]]</f>
        <v>1.0628892493238566</v>
      </c>
      <c r="T11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8.8350571119314143</v>
      </c>
      <c r="U114" s="23">
        <f>Table1[[#This Row],[1. Doanh thu bán hàng và cung cấp dịch vụ ]]/Table1[[#This Row],[TỔNG CỘNG TÀI SẢN]]</f>
        <v>1.6746043557123897</v>
      </c>
      <c r="V114" s="23">
        <f>1.2*Table1[[#This Row],[X1]] + 1.4*Table1[[#This Row],[X2]] + 3.3*Table1[[#This Row],[x3]] + 0.6*Table1[[#This Row],[x4]] + 1*Table1[[#This Row],[x5]]</f>
        <v>11.057226321323464</v>
      </c>
      <c r="W114" s="23">
        <f>IF(Table1[[#This Row],[Zscore]]&lt;1.81,1,0)</f>
        <v>0</v>
      </c>
    </row>
    <row r="115" spans="1:23" hidden="1" x14ac:dyDescent="0.45">
      <c r="A115" s="7">
        <v>109</v>
      </c>
      <c r="B115" s="5" t="s">
        <v>231</v>
      </c>
      <c r="C115" s="6" t="s">
        <v>232</v>
      </c>
      <c r="D115" s="6" t="s">
        <v>18</v>
      </c>
      <c r="E115" s="6"/>
      <c r="F115" s="6"/>
      <c r="G115" s="6"/>
      <c r="H115" s="6"/>
      <c r="I115" s="6"/>
      <c r="J115" s="8"/>
      <c r="K115" s="6"/>
      <c r="L115" s="6"/>
      <c r="M115" s="8"/>
      <c r="N115" s="8"/>
      <c r="O115" s="8"/>
      <c r="P115" s="8"/>
      <c r="Q115" s="18" t="e">
        <f>(Table1[[#This Row],[A. TÀI SẢN NGẮN HẠN]]-Table1[[#This Row],[I. Nợ ngắn hạn]])/Table1[[#This Row],[TỔNG CỘNG TÀI SẢN]]</f>
        <v>#DIV/0!</v>
      </c>
      <c r="R115" s="18" t="e">
        <f>Table1[[#This Row],[- LNST chưa phân phối kỳ này]]/Table1[[#This Row],[TỔNG CỘNG TÀI SẢN]]</f>
        <v>#DIV/0!</v>
      </c>
      <c r="S115" s="21" t="e">
        <f>Table1[[#This Row],[5. Lợi nhuận gộp về bán hàng và cung cấp dịch vụ]]/Table1[[#This Row],[TỔNG CỘNG TÀI SẢN]]</f>
        <v>#DIV/0!</v>
      </c>
      <c r="T11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15" s="23" t="e">
        <f>Table1[[#This Row],[1. Doanh thu bán hàng và cung cấp dịch vụ ]]/Table1[[#This Row],[TỔNG CỘNG TÀI SẢN]]</f>
        <v>#DIV/0!</v>
      </c>
      <c r="V115" s="23" t="e">
        <f>1.2*Table1[[#This Row],[X1]] + 1.4*Table1[[#This Row],[X2]] + 3.3*Table1[[#This Row],[x3]] + 0.6*Table1[[#This Row],[x4]] + 1*Table1[[#This Row],[x5]]</f>
        <v>#DIV/0!</v>
      </c>
      <c r="W115" s="23" t="e">
        <f>IF(Table1[[#This Row],[Zscore]]&lt;1.81,1,0)</f>
        <v>#DIV/0!</v>
      </c>
    </row>
    <row r="116" spans="1:23" hidden="1" x14ac:dyDescent="0.45">
      <c r="A116" s="7">
        <v>110</v>
      </c>
      <c r="B116" s="5" t="s">
        <v>233</v>
      </c>
      <c r="C116" s="6" t="s">
        <v>234</v>
      </c>
      <c r="D116" s="6" t="s">
        <v>13</v>
      </c>
      <c r="E116" s="6"/>
      <c r="F116" s="6"/>
      <c r="G116" s="6"/>
      <c r="H116" s="6"/>
      <c r="I116" s="6"/>
      <c r="J116" s="8"/>
      <c r="K116" s="6"/>
      <c r="L116" s="6"/>
      <c r="M116" s="8">
        <v>6942000000</v>
      </c>
      <c r="N116" s="8"/>
      <c r="O116" s="8">
        <v>6942000000</v>
      </c>
      <c r="P116" s="8"/>
      <c r="Q116" s="18" t="e">
        <f>(Table1[[#This Row],[A. TÀI SẢN NGẮN HẠN]]-Table1[[#This Row],[I. Nợ ngắn hạn]])/Table1[[#This Row],[TỔNG CỘNG TÀI SẢN]]</f>
        <v>#DIV/0!</v>
      </c>
      <c r="R116" s="18" t="e">
        <f>Table1[[#This Row],[- LNST chưa phân phối kỳ này]]/Table1[[#This Row],[TỔNG CỘNG TÀI SẢN]]</f>
        <v>#DIV/0!</v>
      </c>
      <c r="S116" s="21" t="e">
        <f>Table1[[#This Row],[5. Lợi nhuận gộp về bán hàng và cung cấp dịch vụ]]/Table1[[#This Row],[TỔNG CỘNG TÀI SẢN]]</f>
        <v>#DIV/0!</v>
      </c>
      <c r="T11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16" s="23" t="e">
        <f>Table1[[#This Row],[1. Doanh thu bán hàng và cung cấp dịch vụ ]]/Table1[[#This Row],[TỔNG CỘNG TÀI SẢN]]</f>
        <v>#DIV/0!</v>
      </c>
      <c r="V116" s="23" t="e">
        <f>1.2*Table1[[#This Row],[X1]] + 1.4*Table1[[#This Row],[X2]] + 3.3*Table1[[#This Row],[x3]] + 0.6*Table1[[#This Row],[x4]] + 1*Table1[[#This Row],[x5]]</f>
        <v>#DIV/0!</v>
      </c>
      <c r="W116" s="23" t="e">
        <f>IF(Table1[[#This Row],[Zscore]]&lt;1.81,1,0)</f>
        <v>#DIV/0!</v>
      </c>
    </row>
    <row r="117" spans="1:23" ht="26.25" hidden="1" x14ac:dyDescent="0.45">
      <c r="A117" s="7">
        <v>111</v>
      </c>
      <c r="B117" s="5" t="s">
        <v>235</v>
      </c>
      <c r="C117" s="6" t="s">
        <v>236</v>
      </c>
      <c r="D117" s="6" t="s">
        <v>13</v>
      </c>
      <c r="E117" s="6"/>
      <c r="F117" s="6"/>
      <c r="G117" s="6"/>
      <c r="H117" s="6"/>
      <c r="I117" s="6"/>
      <c r="J117" s="8"/>
      <c r="K117" s="6"/>
      <c r="L117" s="6"/>
      <c r="M117" s="8"/>
      <c r="N117" s="8"/>
      <c r="O117" s="8"/>
      <c r="P117" s="8"/>
      <c r="Q117" s="18" t="e">
        <f>(Table1[[#This Row],[A. TÀI SẢN NGẮN HẠN]]-Table1[[#This Row],[I. Nợ ngắn hạn]])/Table1[[#This Row],[TỔNG CỘNG TÀI SẢN]]</f>
        <v>#DIV/0!</v>
      </c>
      <c r="R117" s="18" t="e">
        <f>Table1[[#This Row],[- LNST chưa phân phối kỳ này]]/Table1[[#This Row],[TỔNG CỘNG TÀI SẢN]]</f>
        <v>#DIV/0!</v>
      </c>
      <c r="S117" s="21" t="e">
        <f>Table1[[#This Row],[5. Lợi nhuận gộp về bán hàng và cung cấp dịch vụ]]/Table1[[#This Row],[TỔNG CỘNG TÀI SẢN]]</f>
        <v>#DIV/0!</v>
      </c>
      <c r="T11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17" s="23" t="e">
        <f>Table1[[#This Row],[1. Doanh thu bán hàng và cung cấp dịch vụ ]]/Table1[[#This Row],[TỔNG CỘNG TÀI SẢN]]</f>
        <v>#DIV/0!</v>
      </c>
      <c r="V117" s="23" t="e">
        <f>1.2*Table1[[#This Row],[X1]] + 1.4*Table1[[#This Row],[X2]] + 3.3*Table1[[#This Row],[x3]] + 0.6*Table1[[#This Row],[x4]] + 1*Table1[[#This Row],[x5]]</f>
        <v>#DIV/0!</v>
      </c>
      <c r="W117" s="23" t="e">
        <f>IF(Table1[[#This Row],[Zscore]]&lt;1.81,1,0)</f>
        <v>#DIV/0!</v>
      </c>
    </row>
    <row r="118" spans="1:23" hidden="1" x14ac:dyDescent="0.45">
      <c r="A118" s="7">
        <v>112</v>
      </c>
      <c r="B118" s="5" t="s">
        <v>237</v>
      </c>
      <c r="C118" s="6" t="s">
        <v>238</v>
      </c>
      <c r="D118" s="6" t="s">
        <v>13</v>
      </c>
      <c r="E118" s="6"/>
      <c r="F118" s="6"/>
      <c r="G118" s="6"/>
      <c r="H118" s="6"/>
      <c r="I118" s="6"/>
      <c r="J118" s="8"/>
      <c r="K118" s="6"/>
      <c r="L118" s="6"/>
      <c r="M118" s="8"/>
      <c r="N118" s="8"/>
      <c r="O118" s="8"/>
      <c r="P118" s="8"/>
      <c r="Q118" s="18" t="e">
        <f>(Table1[[#This Row],[A. TÀI SẢN NGẮN HẠN]]-Table1[[#This Row],[I. Nợ ngắn hạn]])/Table1[[#This Row],[TỔNG CỘNG TÀI SẢN]]</f>
        <v>#DIV/0!</v>
      </c>
      <c r="R118" s="18" t="e">
        <f>Table1[[#This Row],[- LNST chưa phân phối kỳ này]]/Table1[[#This Row],[TỔNG CỘNG TÀI SẢN]]</f>
        <v>#DIV/0!</v>
      </c>
      <c r="S118" s="21" t="e">
        <f>Table1[[#This Row],[5. Lợi nhuận gộp về bán hàng và cung cấp dịch vụ]]/Table1[[#This Row],[TỔNG CỘNG TÀI SẢN]]</f>
        <v>#DIV/0!</v>
      </c>
      <c r="T11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18" s="23" t="e">
        <f>Table1[[#This Row],[1. Doanh thu bán hàng và cung cấp dịch vụ ]]/Table1[[#This Row],[TỔNG CỘNG TÀI SẢN]]</f>
        <v>#DIV/0!</v>
      </c>
      <c r="V118" s="23" t="e">
        <f>1.2*Table1[[#This Row],[X1]] + 1.4*Table1[[#This Row],[X2]] + 3.3*Table1[[#This Row],[x3]] + 0.6*Table1[[#This Row],[x4]] + 1*Table1[[#This Row],[x5]]</f>
        <v>#DIV/0!</v>
      </c>
      <c r="W118" s="23" t="e">
        <f>IF(Table1[[#This Row],[Zscore]]&lt;1.81,1,0)</f>
        <v>#DIV/0!</v>
      </c>
    </row>
    <row r="119" spans="1:23" hidden="1" x14ac:dyDescent="0.45">
      <c r="A119" s="7">
        <v>113</v>
      </c>
      <c r="B119" s="5" t="s">
        <v>239</v>
      </c>
      <c r="C119" s="6" t="s">
        <v>240</v>
      </c>
      <c r="D119" s="6" t="s">
        <v>18</v>
      </c>
      <c r="E119" s="6"/>
      <c r="F119" s="6"/>
      <c r="G119" s="6"/>
      <c r="H119" s="6"/>
      <c r="I119" s="6"/>
      <c r="J119" s="8"/>
      <c r="K119" s="6"/>
      <c r="L119" s="6"/>
      <c r="M119" s="8">
        <v>45660000000</v>
      </c>
      <c r="N119" s="8"/>
      <c r="O119" s="8">
        <v>56314000000</v>
      </c>
      <c r="P119" s="8">
        <v>130892000000</v>
      </c>
      <c r="Q119" s="18" t="e">
        <f>(Table1[[#This Row],[A. TÀI SẢN NGẮN HẠN]]-Table1[[#This Row],[I. Nợ ngắn hạn]])/Table1[[#This Row],[TỔNG CỘNG TÀI SẢN]]</f>
        <v>#DIV/0!</v>
      </c>
      <c r="R119" s="18" t="e">
        <f>Table1[[#This Row],[- LNST chưa phân phối kỳ này]]/Table1[[#This Row],[TỔNG CỘNG TÀI SẢN]]</f>
        <v>#DIV/0!</v>
      </c>
      <c r="S119" s="21" t="e">
        <f>Table1[[#This Row],[5. Lợi nhuận gộp về bán hàng và cung cấp dịch vụ]]/Table1[[#This Row],[TỔNG CỘNG TÀI SẢN]]</f>
        <v>#DIV/0!</v>
      </c>
      <c r="T11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19" s="23" t="e">
        <f>Table1[[#This Row],[1. Doanh thu bán hàng và cung cấp dịch vụ ]]/Table1[[#This Row],[TỔNG CỘNG TÀI SẢN]]</f>
        <v>#DIV/0!</v>
      </c>
      <c r="V119" s="23" t="e">
        <f>1.2*Table1[[#This Row],[X1]] + 1.4*Table1[[#This Row],[X2]] + 3.3*Table1[[#This Row],[x3]] + 0.6*Table1[[#This Row],[x4]] + 1*Table1[[#This Row],[x5]]</f>
        <v>#DIV/0!</v>
      </c>
      <c r="W119" s="23" t="e">
        <f>IF(Table1[[#This Row],[Zscore]]&lt;1.81,1,0)</f>
        <v>#DIV/0!</v>
      </c>
    </row>
    <row r="120" spans="1:23" x14ac:dyDescent="0.45">
      <c r="A120" s="7">
        <v>114</v>
      </c>
      <c r="B120" s="5" t="s">
        <v>241</v>
      </c>
      <c r="C120" s="6" t="s">
        <v>242</v>
      </c>
      <c r="D120" s="6" t="s">
        <v>36</v>
      </c>
      <c r="E120" s="8">
        <v>49918615064</v>
      </c>
      <c r="F120" s="8">
        <v>16811694927</v>
      </c>
      <c r="G120" s="8">
        <v>5736248189</v>
      </c>
      <c r="H120" s="8">
        <v>529476330</v>
      </c>
      <c r="I120" s="8">
        <v>2720292762</v>
      </c>
      <c r="J120" s="8"/>
      <c r="K120" s="8">
        <v>5736248189</v>
      </c>
      <c r="L120" s="8">
        <v>47513710650</v>
      </c>
      <c r="M120" s="8">
        <v>45500000000</v>
      </c>
      <c r="N120" s="8">
        <v>93800000000</v>
      </c>
      <c r="O120" s="8">
        <v>51450000000</v>
      </c>
      <c r="P120" s="8">
        <v>70000000000</v>
      </c>
      <c r="Q120" s="18">
        <f>(Table1[[#This Row],[A. TÀI SẢN NGẮN HẠN]]-Table1[[#This Row],[I. Nợ ngắn hạn]])/Table1[[#This Row],[TỔNG CỘNG TÀI SẢN]]</f>
        <v>0.22187007239284012</v>
      </c>
      <c r="R120" s="18">
        <f>Table1[[#This Row],[- LNST chưa phân phối kỳ này]]/Table1[[#This Row],[TỔNG CỘNG TÀI SẢN]]</f>
        <v>1.0606791260558118E-2</v>
      </c>
      <c r="S120" s="21">
        <f>Table1[[#This Row],[5. Lợi nhuận gộp về bán hàng và cung cấp dịch vụ]]/Table1[[#This Row],[TỔNG CỘNG TÀI SẢN]]</f>
        <v>5.4494555958981401E-2</v>
      </c>
      <c r="T12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11.364135206877117</v>
      </c>
      <c r="U120" s="23">
        <f>Table1[[#This Row],[1. Doanh thu bán hàng và cung cấp dịch vụ ]]/Table1[[#This Row],[TỔNG CỘNG TÀI SẢN]]</f>
        <v>0.95182349488428908</v>
      </c>
      <c r="V120" s="23">
        <f>1.2*Table1[[#This Row],[X1]] + 1.4*Table1[[#This Row],[X2]] + 3.3*Table1[[#This Row],[x3]] + 0.6*Table1[[#This Row],[x4]] + 1*Table1[[#This Row],[x5]]</f>
        <v>8.2312302483113875</v>
      </c>
      <c r="W120" s="23">
        <f>IF(Table1[[#This Row],[Zscore]]&lt;1.81,1,0)</f>
        <v>0</v>
      </c>
    </row>
    <row r="121" spans="1:23" hidden="1" x14ac:dyDescent="0.45">
      <c r="A121" s="7">
        <v>115</v>
      </c>
      <c r="B121" s="5" t="s">
        <v>243</v>
      </c>
      <c r="C121" s="6" t="s">
        <v>244</v>
      </c>
      <c r="D121" s="6" t="s">
        <v>13</v>
      </c>
      <c r="E121" s="6"/>
      <c r="F121" s="6"/>
      <c r="G121" s="6"/>
      <c r="H121" s="6"/>
      <c r="I121" s="6"/>
      <c r="J121" s="8"/>
      <c r="K121" s="6"/>
      <c r="L121" s="6"/>
      <c r="M121" s="8"/>
      <c r="N121" s="8"/>
      <c r="O121" s="8"/>
      <c r="P121" s="8"/>
      <c r="Q121" s="18" t="e">
        <f>(Table1[[#This Row],[A. TÀI SẢN NGẮN HẠN]]-Table1[[#This Row],[I. Nợ ngắn hạn]])/Table1[[#This Row],[TỔNG CỘNG TÀI SẢN]]</f>
        <v>#DIV/0!</v>
      </c>
      <c r="R121" s="18" t="e">
        <f>Table1[[#This Row],[- LNST chưa phân phối kỳ này]]/Table1[[#This Row],[TỔNG CỘNG TÀI SẢN]]</f>
        <v>#DIV/0!</v>
      </c>
      <c r="S121" s="21" t="e">
        <f>Table1[[#This Row],[5. Lợi nhuận gộp về bán hàng và cung cấp dịch vụ]]/Table1[[#This Row],[TỔNG CỘNG TÀI SẢN]]</f>
        <v>#DIV/0!</v>
      </c>
      <c r="T12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21" s="23" t="e">
        <f>Table1[[#This Row],[1. Doanh thu bán hàng và cung cấp dịch vụ ]]/Table1[[#This Row],[TỔNG CỘNG TÀI SẢN]]</f>
        <v>#DIV/0!</v>
      </c>
      <c r="V121" s="23" t="e">
        <f>1.2*Table1[[#This Row],[X1]] + 1.4*Table1[[#This Row],[X2]] + 3.3*Table1[[#This Row],[x3]] + 0.6*Table1[[#This Row],[x4]] + 1*Table1[[#This Row],[x5]]</f>
        <v>#DIV/0!</v>
      </c>
      <c r="W121" s="23" t="e">
        <f>IF(Table1[[#This Row],[Zscore]]&lt;1.81,1,0)</f>
        <v>#DIV/0!</v>
      </c>
    </row>
    <row r="122" spans="1:23" hidden="1" x14ac:dyDescent="0.45">
      <c r="A122" s="7">
        <v>116</v>
      </c>
      <c r="B122" s="5" t="s">
        <v>245</v>
      </c>
      <c r="C122" s="6" t="s">
        <v>246</v>
      </c>
      <c r="D122" s="6" t="s">
        <v>13</v>
      </c>
      <c r="E122" s="6"/>
      <c r="F122" s="6"/>
      <c r="G122" s="6"/>
      <c r="H122" s="6"/>
      <c r="I122" s="6"/>
      <c r="J122" s="8"/>
      <c r="K122" s="6"/>
      <c r="L122" s="6"/>
      <c r="M122" s="8"/>
      <c r="N122" s="8"/>
      <c r="O122" s="8"/>
      <c r="P122" s="8"/>
      <c r="Q122" s="18" t="e">
        <f>(Table1[[#This Row],[A. TÀI SẢN NGẮN HẠN]]-Table1[[#This Row],[I. Nợ ngắn hạn]])/Table1[[#This Row],[TỔNG CỘNG TÀI SẢN]]</f>
        <v>#DIV/0!</v>
      </c>
      <c r="R122" s="18" t="e">
        <f>Table1[[#This Row],[- LNST chưa phân phối kỳ này]]/Table1[[#This Row],[TỔNG CỘNG TÀI SẢN]]</f>
        <v>#DIV/0!</v>
      </c>
      <c r="S122" s="21" t="e">
        <f>Table1[[#This Row],[5. Lợi nhuận gộp về bán hàng và cung cấp dịch vụ]]/Table1[[#This Row],[TỔNG CỘNG TÀI SẢN]]</f>
        <v>#DIV/0!</v>
      </c>
      <c r="T12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22" s="23" t="e">
        <f>Table1[[#This Row],[1. Doanh thu bán hàng và cung cấp dịch vụ ]]/Table1[[#This Row],[TỔNG CỘNG TÀI SẢN]]</f>
        <v>#DIV/0!</v>
      </c>
      <c r="V122" s="23" t="e">
        <f>1.2*Table1[[#This Row],[X1]] + 1.4*Table1[[#This Row],[X2]] + 3.3*Table1[[#This Row],[x3]] + 0.6*Table1[[#This Row],[x4]] + 1*Table1[[#This Row],[x5]]</f>
        <v>#DIV/0!</v>
      </c>
      <c r="W122" s="23" t="e">
        <f>IF(Table1[[#This Row],[Zscore]]&lt;1.81,1,0)</f>
        <v>#DIV/0!</v>
      </c>
    </row>
    <row r="123" spans="1:23" hidden="1" x14ac:dyDescent="0.45">
      <c r="A123" s="7">
        <v>117</v>
      </c>
      <c r="B123" s="5" t="s">
        <v>247</v>
      </c>
      <c r="C123" s="6" t="s">
        <v>248</v>
      </c>
      <c r="D123" s="6" t="s">
        <v>13</v>
      </c>
      <c r="E123" s="6"/>
      <c r="F123" s="6"/>
      <c r="G123" s="6"/>
      <c r="H123" s="6"/>
      <c r="I123" s="6"/>
      <c r="J123" s="8"/>
      <c r="K123" s="6"/>
      <c r="L123" s="6"/>
      <c r="M123" s="8"/>
      <c r="N123" s="8"/>
      <c r="O123" s="8"/>
      <c r="P123" s="8"/>
      <c r="Q123" s="18" t="e">
        <f>(Table1[[#This Row],[A. TÀI SẢN NGẮN HẠN]]-Table1[[#This Row],[I. Nợ ngắn hạn]])/Table1[[#This Row],[TỔNG CỘNG TÀI SẢN]]</f>
        <v>#DIV/0!</v>
      </c>
      <c r="R123" s="18" t="e">
        <f>Table1[[#This Row],[- LNST chưa phân phối kỳ này]]/Table1[[#This Row],[TỔNG CỘNG TÀI SẢN]]</f>
        <v>#DIV/0!</v>
      </c>
      <c r="S123" s="21" t="e">
        <f>Table1[[#This Row],[5. Lợi nhuận gộp về bán hàng và cung cấp dịch vụ]]/Table1[[#This Row],[TỔNG CỘNG TÀI SẢN]]</f>
        <v>#DIV/0!</v>
      </c>
      <c r="T12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23" s="23" t="e">
        <f>Table1[[#This Row],[1. Doanh thu bán hàng và cung cấp dịch vụ ]]/Table1[[#This Row],[TỔNG CỘNG TÀI SẢN]]</f>
        <v>#DIV/0!</v>
      </c>
      <c r="V123" s="23" t="e">
        <f>1.2*Table1[[#This Row],[X1]] + 1.4*Table1[[#This Row],[X2]] + 3.3*Table1[[#This Row],[x3]] + 0.6*Table1[[#This Row],[x4]] + 1*Table1[[#This Row],[x5]]</f>
        <v>#DIV/0!</v>
      </c>
      <c r="W123" s="23" t="e">
        <f>IF(Table1[[#This Row],[Zscore]]&lt;1.81,1,0)</f>
        <v>#DIV/0!</v>
      </c>
    </row>
    <row r="124" spans="1:23" x14ac:dyDescent="0.45">
      <c r="A124" s="7">
        <v>118</v>
      </c>
      <c r="B124" s="5" t="s">
        <v>249</v>
      </c>
      <c r="C124" s="6" t="s">
        <v>250</v>
      </c>
      <c r="D124" s="6" t="s">
        <v>18</v>
      </c>
      <c r="E124" s="8">
        <v>1341720278957</v>
      </c>
      <c r="F124" s="8">
        <v>459415561145</v>
      </c>
      <c r="G124" s="8">
        <v>134089375417</v>
      </c>
      <c r="H124" s="8">
        <v>41437620684</v>
      </c>
      <c r="I124" s="8">
        <v>375926969127</v>
      </c>
      <c r="J124" s="8"/>
      <c r="K124" s="8">
        <v>134089375417</v>
      </c>
      <c r="L124" s="8">
        <v>726464028832</v>
      </c>
      <c r="M124" s="8">
        <v>4247946143200</v>
      </c>
      <c r="N124" s="8">
        <v>3677550548000</v>
      </c>
      <c r="O124" s="8">
        <v>4202914912000</v>
      </c>
      <c r="P124" s="8">
        <v>4135368065200</v>
      </c>
      <c r="Q124" s="18">
        <f>(Table1[[#This Row],[A. TÀI SẢN NGẮN HẠN]]-Table1[[#This Row],[I. Nợ ngắn hạn]])/Table1[[#This Row],[TỔNG CỘNG TÀI SẢN]]</f>
        <v>0.24246945569079095</v>
      </c>
      <c r="R124" s="18">
        <f>Table1[[#This Row],[- LNST chưa phân phối kỳ này]]/Table1[[#This Row],[TỔNG CỘNG TÀI SẢN]]</f>
        <v>3.088394901224267E-2</v>
      </c>
      <c r="S124" s="21">
        <f>Table1[[#This Row],[5. Lợi nhuận gộp về bán hàng và cung cấp dịch vụ]]/Table1[[#This Row],[TỔNG CỘNG TÀI SẢN]]</f>
        <v>0.28018281829893088</v>
      </c>
      <c r="T12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30.322647894029306</v>
      </c>
      <c r="U124" s="23">
        <f>Table1[[#This Row],[1. Doanh thu bán hàng và cung cấp dịch vụ ]]/Table1[[#This Row],[TỔNG CỘNG TÀI SẢN]]</f>
        <v>0.54144223667598157</v>
      </c>
      <c r="V124" s="23">
        <f>1.2*Table1[[#This Row],[X1]] + 1.4*Table1[[#This Row],[X2]] + 3.3*Table1[[#This Row],[x3]] + 0.6*Table1[[#This Row],[x4]] + 1*Table1[[#This Row],[x5]]</f>
        <v>19.993835148926124</v>
      </c>
      <c r="W124" s="23">
        <f>IF(Table1[[#This Row],[Zscore]]&lt;1.81,1,0)</f>
        <v>0</v>
      </c>
    </row>
    <row r="125" spans="1:23" hidden="1" x14ac:dyDescent="0.45">
      <c r="A125" s="7">
        <v>119</v>
      </c>
      <c r="B125" s="5" t="s">
        <v>251</v>
      </c>
      <c r="C125" s="6" t="s">
        <v>252</v>
      </c>
      <c r="D125" s="6" t="s">
        <v>18</v>
      </c>
      <c r="E125" s="6"/>
      <c r="F125" s="6"/>
      <c r="G125" s="6"/>
      <c r="H125" s="6"/>
      <c r="I125" s="6"/>
      <c r="J125" s="8"/>
      <c r="K125" s="6"/>
      <c r="L125" s="6"/>
      <c r="M125" s="8"/>
      <c r="N125" s="8"/>
      <c r="O125" s="8"/>
      <c r="P125" s="8"/>
      <c r="Q125" s="18" t="e">
        <f>(Table1[[#This Row],[A. TÀI SẢN NGẮN HẠN]]-Table1[[#This Row],[I. Nợ ngắn hạn]])/Table1[[#This Row],[TỔNG CỘNG TÀI SẢN]]</f>
        <v>#DIV/0!</v>
      </c>
      <c r="R125" s="18" t="e">
        <f>Table1[[#This Row],[- LNST chưa phân phối kỳ này]]/Table1[[#This Row],[TỔNG CỘNG TÀI SẢN]]</f>
        <v>#DIV/0!</v>
      </c>
      <c r="S125" s="21" t="e">
        <f>Table1[[#This Row],[5. Lợi nhuận gộp về bán hàng và cung cấp dịch vụ]]/Table1[[#This Row],[TỔNG CỘNG TÀI SẢN]]</f>
        <v>#DIV/0!</v>
      </c>
      <c r="T12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25" s="23" t="e">
        <f>Table1[[#This Row],[1. Doanh thu bán hàng và cung cấp dịch vụ ]]/Table1[[#This Row],[TỔNG CỘNG TÀI SẢN]]</f>
        <v>#DIV/0!</v>
      </c>
      <c r="V125" s="23" t="e">
        <f>1.2*Table1[[#This Row],[X1]] + 1.4*Table1[[#This Row],[X2]] + 3.3*Table1[[#This Row],[x3]] + 0.6*Table1[[#This Row],[x4]] + 1*Table1[[#This Row],[x5]]</f>
        <v>#DIV/0!</v>
      </c>
      <c r="W125" s="23" t="e">
        <f>IF(Table1[[#This Row],[Zscore]]&lt;1.81,1,0)</f>
        <v>#DIV/0!</v>
      </c>
    </row>
    <row r="126" spans="1:23" x14ac:dyDescent="0.45">
      <c r="A126" s="7">
        <v>120</v>
      </c>
      <c r="B126" s="5" t="s">
        <v>253</v>
      </c>
      <c r="C126" s="6" t="s">
        <v>254</v>
      </c>
      <c r="D126" s="6" t="s">
        <v>18</v>
      </c>
      <c r="E126" s="8">
        <v>469561133895</v>
      </c>
      <c r="F126" s="8">
        <v>244011677914</v>
      </c>
      <c r="G126" s="8">
        <v>214560365761</v>
      </c>
      <c r="H126" s="8">
        <v>16112110111</v>
      </c>
      <c r="I126" s="8">
        <v>34971844922</v>
      </c>
      <c r="J126" s="8"/>
      <c r="K126" s="8">
        <v>226428996798</v>
      </c>
      <c r="L126" s="8">
        <v>673138579595</v>
      </c>
      <c r="M126" s="8">
        <v>371279622000</v>
      </c>
      <c r="N126" s="8">
        <v>176799820000</v>
      </c>
      <c r="O126" s="8">
        <v>279343715600</v>
      </c>
      <c r="P126" s="8">
        <v>268735726400</v>
      </c>
      <c r="Q126" s="18">
        <f>(Table1[[#This Row],[A. TÀI SẢN NGẮN HẠN]]-Table1[[#This Row],[I. Nợ ngắn hạn]])/Table1[[#This Row],[TỔNG CỘNG TÀI SẢN]]</f>
        <v>6.2720932434722543E-2</v>
      </c>
      <c r="R126" s="18">
        <f>Table1[[#This Row],[- LNST chưa phân phối kỳ này]]/Table1[[#This Row],[TỔNG CỘNG TÀI SẢN]]</f>
        <v>3.431312548666534E-2</v>
      </c>
      <c r="S126" s="21">
        <f>Table1[[#This Row],[5. Lợi nhuận gộp về bán hàng và cung cấp dịch vụ]]/Table1[[#This Row],[TỔNG CỘNG TÀI SẢN]]</f>
        <v>7.4477724831928188E-2</v>
      </c>
      <c r="T12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1.2102677875858545</v>
      </c>
      <c r="U126" s="23">
        <f>Table1[[#This Row],[1. Doanh thu bán hàng và cung cấp dịch vụ ]]/Table1[[#This Row],[TỔNG CỘNG TÀI SẢN]]</f>
        <v>1.433548330568438</v>
      </c>
      <c r="V126" s="23">
        <f>1.2*Table1[[#This Row],[X1]] + 1.4*Table1[[#This Row],[X2]] + 3.3*Table1[[#This Row],[x3]] + 0.6*Table1[[#This Row],[x4]] + 1*Table1[[#This Row],[x5]]</f>
        <v>2.5287889896683122</v>
      </c>
      <c r="W126" s="23">
        <f>IF(Table1[[#This Row],[Zscore]]&lt;1.81,1,0)</f>
        <v>0</v>
      </c>
    </row>
    <row r="127" spans="1:23" hidden="1" x14ac:dyDescent="0.45">
      <c r="A127" s="7">
        <v>121</v>
      </c>
      <c r="B127" s="5" t="s">
        <v>255</v>
      </c>
      <c r="C127" s="6" t="s">
        <v>256</v>
      </c>
      <c r="D127" s="6" t="s">
        <v>13</v>
      </c>
      <c r="E127" s="6"/>
      <c r="F127" s="6"/>
      <c r="G127" s="6"/>
      <c r="H127" s="6"/>
      <c r="I127" s="6"/>
      <c r="J127" s="8"/>
      <c r="K127" s="6"/>
      <c r="L127" s="6"/>
      <c r="M127" s="8"/>
      <c r="N127" s="8"/>
      <c r="O127" s="8"/>
      <c r="P127" s="8"/>
      <c r="Q127" s="18" t="e">
        <f>(Table1[[#This Row],[A. TÀI SẢN NGẮN HẠN]]-Table1[[#This Row],[I. Nợ ngắn hạn]])/Table1[[#This Row],[TỔNG CỘNG TÀI SẢN]]</f>
        <v>#DIV/0!</v>
      </c>
      <c r="R127" s="18" t="e">
        <f>Table1[[#This Row],[- LNST chưa phân phối kỳ này]]/Table1[[#This Row],[TỔNG CỘNG TÀI SẢN]]</f>
        <v>#DIV/0!</v>
      </c>
      <c r="S127" s="21" t="e">
        <f>Table1[[#This Row],[5. Lợi nhuận gộp về bán hàng và cung cấp dịch vụ]]/Table1[[#This Row],[TỔNG CỘNG TÀI SẢN]]</f>
        <v>#DIV/0!</v>
      </c>
      <c r="T12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27" s="23" t="e">
        <f>Table1[[#This Row],[1. Doanh thu bán hàng và cung cấp dịch vụ ]]/Table1[[#This Row],[TỔNG CỘNG TÀI SẢN]]</f>
        <v>#DIV/0!</v>
      </c>
      <c r="V127" s="23" t="e">
        <f>1.2*Table1[[#This Row],[X1]] + 1.4*Table1[[#This Row],[X2]] + 3.3*Table1[[#This Row],[x3]] + 0.6*Table1[[#This Row],[x4]] + 1*Table1[[#This Row],[x5]]</f>
        <v>#DIV/0!</v>
      </c>
      <c r="W127" s="23" t="e">
        <f>IF(Table1[[#This Row],[Zscore]]&lt;1.81,1,0)</f>
        <v>#DIV/0!</v>
      </c>
    </row>
    <row r="128" spans="1:23" hidden="1" x14ac:dyDescent="0.45">
      <c r="A128" s="7">
        <v>122</v>
      </c>
      <c r="B128" s="5" t="s">
        <v>257</v>
      </c>
      <c r="C128" s="6" t="s">
        <v>258</v>
      </c>
      <c r="D128" s="6" t="s">
        <v>13</v>
      </c>
      <c r="E128" s="6"/>
      <c r="F128" s="6"/>
      <c r="G128" s="6"/>
      <c r="H128" s="6"/>
      <c r="I128" s="6"/>
      <c r="J128" s="8"/>
      <c r="K128" s="6"/>
      <c r="L128" s="6"/>
      <c r="M128" s="8"/>
      <c r="N128" s="8"/>
      <c r="O128" s="8"/>
      <c r="P128" s="8"/>
      <c r="Q128" s="18" t="e">
        <f>(Table1[[#This Row],[A. TÀI SẢN NGẮN HẠN]]-Table1[[#This Row],[I. Nợ ngắn hạn]])/Table1[[#This Row],[TỔNG CỘNG TÀI SẢN]]</f>
        <v>#DIV/0!</v>
      </c>
      <c r="R128" s="18" t="e">
        <f>Table1[[#This Row],[- LNST chưa phân phối kỳ này]]/Table1[[#This Row],[TỔNG CỘNG TÀI SẢN]]</f>
        <v>#DIV/0!</v>
      </c>
      <c r="S128" s="21" t="e">
        <f>Table1[[#This Row],[5. Lợi nhuận gộp về bán hàng và cung cấp dịch vụ]]/Table1[[#This Row],[TỔNG CỘNG TÀI SẢN]]</f>
        <v>#DIV/0!</v>
      </c>
      <c r="T12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28" s="23" t="e">
        <f>Table1[[#This Row],[1. Doanh thu bán hàng và cung cấp dịch vụ ]]/Table1[[#This Row],[TỔNG CỘNG TÀI SẢN]]</f>
        <v>#DIV/0!</v>
      </c>
      <c r="V128" s="23" t="e">
        <f>1.2*Table1[[#This Row],[X1]] + 1.4*Table1[[#This Row],[X2]] + 3.3*Table1[[#This Row],[x3]] + 0.6*Table1[[#This Row],[x4]] + 1*Table1[[#This Row],[x5]]</f>
        <v>#DIV/0!</v>
      </c>
      <c r="W128" s="23" t="e">
        <f>IF(Table1[[#This Row],[Zscore]]&lt;1.81,1,0)</f>
        <v>#DIV/0!</v>
      </c>
    </row>
    <row r="129" spans="1:23" hidden="1" x14ac:dyDescent="0.45">
      <c r="A129" s="7">
        <v>123</v>
      </c>
      <c r="B129" s="5" t="s">
        <v>259</v>
      </c>
      <c r="C129" s="6" t="s">
        <v>260</v>
      </c>
      <c r="D129" s="6" t="s">
        <v>13</v>
      </c>
      <c r="E129" s="6"/>
      <c r="F129" s="6"/>
      <c r="G129" s="6"/>
      <c r="H129" s="6"/>
      <c r="I129" s="6"/>
      <c r="J129" s="8"/>
      <c r="K129" s="6"/>
      <c r="L129" s="6"/>
      <c r="M129" s="8"/>
      <c r="N129" s="8"/>
      <c r="O129" s="8"/>
      <c r="P129" s="8"/>
      <c r="Q129" s="18" t="e">
        <f>(Table1[[#This Row],[A. TÀI SẢN NGẮN HẠN]]-Table1[[#This Row],[I. Nợ ngắn hạn]])/Table1[[#This Row],[TỔNG CỘNG TÀI SẢN]]</f>
        <v>#DIV/0!</v>
      </c>
      <c r="R129" s="18" t="e">
        <f>Table1[[#This Row],[- LNST chưa phân phối kỳ này]]/Table1[[#This Row],[TỔNG CỘNG TÀI SẢN]]</f>
        <v>#DIV/0!</v>
      </c>
      <c r="S129" s="21" t="e">
        <f>Table1[[#This Row],[5. Lợi nhuận gộp về bán hàng và cung cấp dịch vụ]]/Table1[[#This Row],[TỔNG CỘNG TÀI SẢN]]</f>
        <v>#DIV/0!</v>
      </c>
      <c r="T12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29" s="23" t="e">
        <f>Table1[[#This Row],[1. Doanh thu bán hàng và cung cấp dịch vụ ]]/Table1[[#This Row],[TỔNG CỘNG TÀI SẢN]]</f>
        <v>#DIV/0!</v>
      </c>
      <c r="V129" s="23" t="e">
        <f>1.2*Table1[[#This Row],[X1]] + 1.4*Table1[[#This Row],[X2]] + 3.3*Table1[[#This Row],[x3]] + 0.6*Table1[[#This Row],[x4]] + 1*Table1[[#This Row],[x5]]</f>
        <v>#DIV/0!</v>
      </c>
      <c r="W129" s="23" t="e">
        <f>IF(Table1[[#This Row],[Zscore]]&lt;1.81,1,0)</f>
        <v>#DIV/0!</v>
      </c>
    </row>
    <row r="130" spans="1:23" hidden="1" x14ac:dyDescent="0.45">
      <c r="A130" s="7">
        <v>124</v>
      </c>
      <c r="B130" s="5" t="s">
        <v>261</v>
      </c>
      <c r="C130" s="6" t="s">
        <v>262</v>
      </c>
      <c r="D130" s="6" t="s">
        <v>13</v>
      </c>
      <c r="E130" s="6"/>
      <c r="F130" s="6"/>
      <c r="G130" s="6"/>
      <c r="H130" s="6"/>
      <c r="I130" s="6"/>
      <c r="J130" s="8"/>
      <c r="K130" s="6"/>
      <c r="L130" s="6"/>
      <c r="M130" s="8"/>
      <c r="N130" s="8"/>
      <c r="O130" s="8"/>
      <c r="P130" s="8"/>
      <c r="Q130" s="18" t="e">
        <f>(Table1[[#This Row],[A. TÀI SẢN NGẮN HẠN]]-Table1[[#This Row],[I. Nợ ngắn hạn]])/Table1[[#This Row],[TỔNG CỘNG TÀI SẢN]]</f>
        <v>#DIV/0!</v>
      </c>
      <c r="R130" s="18" t="e">
        <f>Table1[[#This Row],[- LNST chưa phân phối kỳ này]]/Table1[[#This Row],[TỔNG CỘNG TÀI SẢN]]</f>
        <v>#DIV/0!</v>
      </c>
      <c r="S130" s="21" t="e">
        <f>Table1[[#This Row],[5. Lợi nhuận gộp về bán hàng và cung cấp dịch vụ]]/Table1[[#This Row],[TỔNG CỘNG TÀI SẢN]]</f>
        <v>#DIV/0!</v>
      </c>
      <c r="T13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30" s="23" t="e">
        <f>Table1[[#This Row],[1. Doanh thu bán hàng và cung cấp dịch vụ ]]/Table1[[#This Row],[TỔNG CỘNG TÀI SẢN]]</f>
        <v>#DIV/0!</v>
      </c>
      <c r="V130" s="23" t="e">
        <f>1.2*Table1[[#This Row],[X1]] + 1.4*Table1[[#This Row],[X2]] + 3.3*Table1[[#This Row],[x3]] + 0.6*Table1[[#This Row],[x4]] + 1*Table1[[#This Row],[x5]]</f>
        <v>#DIV/0!</v>
      </c>
      <c r="W130" s="23" t="e">
        <f>IF(Table1[[#This Row],[Zscore]]&lt;1.81,1,0)</f>
        <v>#DIV/0!</v>
      </c>
    </row>
    <row r="131" spans="1:23" x14ac:dyDescent="0.45">
      <c r="A131" s="7">
        <v>125</v>
      </c>
      <c r="B131" s="5" t="s">
        <v>263</v>
      </c>
      <c r="C131" s="6" t="s">
        <v>264</v>
      </c>
      <c r="D131" s="6" t="s">
        <v>36</v>
      </c>
      <c r="E131" s="8">
        <v>195820302000000</v>
      </c>
      <c r="F131" s="6"/>
      <c r="G131" s="6"/>
      <c r="H131" s="6"/>
      <c r="I131" s="6"/>
      <c r="J131" s="8"/>
      <c r="K131" s="8">
        <v>182511398000000</v>
      </c>
      <c r="L131" s="8">
        <v>13556729000000</v>
      </c>
      <c r="M131" s="8">
        <v>11400459931700</v>
      </c>
      <c r="N131" s="8">
        <v>12239272434400</v>
      </c>
      <c r="O131" s="8">
        <v>11687866484600</v>
      </c>
      <c r="P131" s="8">
        <v>12933294880500</v>
      </c>
      <c r="Q131" s="18">
        <f>(Table1[[#This Row],[A. TÀI SẢN NGẮN HẠN]]-Table1[[#This Row],[I. Nợ ngắn hạn]])/Table1[[#This Row],[TỔNG CỘNG TÀI SẢN]]</f>
        <v>0</v>
      </c>
      <c r="R131" s="18">
        <f>Table1[[#This Row],[- LNST chưa phân phối kỳ này]]/Table1[[#This Row],[TỔNG CỘNG TÀI SẢN]]</f>
        <v>0</v>
      </c>
      <c r="S131" s="21">
        <f>Table1[[#This Row],[5. Lợi nhuận gộp về bán hàng và cung cấp dịch vụ]]/Table1[[#This Row],[TỔNG CỘNG TÀI SẢN]]</f>
        <v>0</v>
      </c>
      <c r="T13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6.6106684651004652E-2</v>
      </c>
      <c r="U131" s="23">
        <f>Table1[[#This Row],[1. Doanh thu bán hàng và cung cấp dịch vụ ]]/Table1[[#This Row],[TỔNG CỘNG TÀI SẢN]]</f>
        <v>6.9230457013594024E-2</v>
      </c>
      <c r="V131" s="23">
        <f>1.2*Table1[[#This Row],[X1]] + 1.4*Table1[[#This Row],[X2]] + 3.3*Table1[[#This Row],[x3]] + 0.6*Table1[[#This Row],[x4]] + 1*Table1[[#This Row],[x5]]</f>
        <v>0.10889446780419682</v>
      </c>
      <c r="W131" s="23">
        <f>IF(Table1[[#This Row],[Zscore]]&lt;1.81,1,0)</f>
        <v>1</v>
      </c>
    </row>
    <row r="132" spans="1:23" hidden="1" x14ac:dyDescent="0.45">
      <c r="A132" s="7">
        <v>126</v>
      </c>
      <c r="B132" s="5" t="s">
        <v>265</v>
      </c>
      <c r="C132" s="6" t="s">
        <v>266</v>
      </c>
      <c r="D132" s="6" t="s">
        <v>13</v>
      </c>
      <c r="E132" s="6"/>
      <c r="F132" s="6"/>
      <c r="G132" s="6"/>
      <c r="H132" s="6"/>
      <c r="I132" s="6"/>
      <c r="J132" s="8"/>
      <c r="K132" s="6"/>
      <c r="L132" s="6"/>
      <c r="M132" s="8"/>
      <c r="N132" s="8"/>
      <c r="O132" s="8"/>
      <c r="P132" s="8"/>
      <c r="Q132" s="18" t="e">
        <f>(Table1[[#This Row],[A. TÀI SẢN NGẮN HẠN]]-Table1[[#This Row],[I. Nợ ngắn hạn]])/Table1[[#This Row],[TỔNG CỘNG TÀI SẢN]]</f>
        <v>#DIV/0!</v>
      </c>
      <c r="R132" s="18" t="e">
        <f>Table1[[#This Row],[- LNST chưa phân phối kỳ này]]/Table1[[#This Row],[TỔNG CỘNG TÀI SẢN]]</f>
        <v>#DIV/0!</v>
      </c>
      <c r="S132" s="21" t="e">
        <f>Table1[[#This Row],[5. Lợi nhuận gộp về bán hàng và cung cấp dịch vụ]]/Table1[[#This Row],[TỔNG CỘNG TÀI SẢN]]</f>
        <v>#DIV/0!</v>
      </c>
      <c r="T13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32" s="23" t="e">
        <f>Table1[[#This Row],[1. Doanh thu bán hàng và cung cấp dịch vụ ]]/Table1[[#This Row],[TỔNG CỘNG TÀI SẢN]]</f>
        <v>#DIV/0!</v>
      </c>
      <c r="V132" s="23" t="e">
        <f>1.2*Table1[[#This Row],[X1]] + 1.4*Table1[[#This Row],[X2]] + 3.3*Table1[[#This Row],[x3]] + 0.6*Table1[[#This Row],[x4]] + 1*Table1[[#This Row],[x5]]</f>
        <v>#DIV/0!</v>
      </c>
      <c r="W132" s="23" t="e">
        <f>IF(Table1[[#This Row],[Zscore]]&lt;1.81,1,0)</f>
        <v>#DIV/0!</v>
      </c>
    </row>
    <row r="133" spans="1:23" ht="26.25" hidden="1" x14ac:dyDescent="0.45">
      <c r="A133" s="7">
        <v>127</v>
      </c>
      <c r="B133" s="5" t="s">
        <v>267</v>
      </c>
      <c r="C133" s="6" t="s">
        <v>268</v>
      </c>
      <c r="D133" s="6" t="s">
        <v>13</v>
      </c>
      <c r="E133" s="6"/>
      <c r="F133" s="6"/>
      <c r="G133" s="6"/>
      <c r="H133" s="6"/>
      <c r="I133" s="6"/>
      <c r="J133" s="8"/>
      <c r="K133" s="6"/>
      <c r="L133" s="6"/>
      <c r="M133" s="8"/>
      <c r="N133" s="8"/>
      <c r="O133" s="8"/>
      <c r="P133" s="8"/>
      <c r="Q133" s="18" t="e">
        <f>(Table1[[#This Row],[A. TÀI SẢN NGẮN HẠN]]-Table1[[#This Row],[I. Nợ ngắn hạn]])/Table1[[#This Row],[TỔNG CỘNG TÀI SẢN]]</f>
        <v>#DIV/0!</v>
      </c>
      <c r="R133" s="18" t="e">
        <f>Table1[[#This Row],[- LNST chưa phân phối kỳ này]]/Table1[[#This Row],[TỔNG CỘNG TÀI SẢN]]</f>
        <v>#DIV/0!</v>
      </c>
      <c r="S133" s="21" t="e">
        <f>Table1[[#This Row],[5. Lợi nhuận gộp về bán hàng và cung cấp dịch vụ]]/Table1[[#This Row],[TỔNG CỘNG TÀI SẢN]]</f>
        <v>#DIV/0!</v>
      </c>
      <c r="T13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33" s="23" t="e">
        <f>Table1[[#This Row],[1. Doanh thu bán hàng và cung cấp dịch vụ ]]/Table1[[#This Row],[TỔNG CỘNG TÀI SẢN]]</f>
        <v>#DIV/0!</v>
      </c>
      <c r="V133" s="23" t="e">
        <f>1.2*Table1[[#This Row],[X1]] + 1.4*Table1[[#This Row],[X2]] + 3.3*Table1[[#This Row],[x3]] + 0.6*Table1[[#This Row],[x4]] + 1*Table1[[#This Row],[x5]]</f>
        <v>#DIV/0!</v>
      </c>
      <c r="W133" s="23" t="e">
        <f>IF(Table1[[#This Row],[Zscore]]&lt;1.81,1,0)</f>
        <v>#DIV/0!</v>
      </c>
    </row>
    <row r="134" spans="1:23" x14ac:dyDescent="0.45">
      <c r="A134" s="7">
        <v>128</v>
      </c>
      <c r="B134" s="5" t="s">
        <v>269</v>
      </c>
      <c r="C134" s="6" t="s">
        <v>270</v>
      </c>
      <c r="D134" s="6" t="s">
        <v>21</v>
      </c>
      <c r="E134" s="8">
        <v>10743606602779</v>
      </c>
      <c r="F134" s="8">
        <v>4355896470987</v>
      </c>
      <c r="G134" s="8">
        <v>4343596482663</v>
      </c>
      <c r="H134" s="8">
        <v>98252444426</v>
      </c>
      <c r="I134" s="8">
        <v>821742371295</v>
      </c>
      <c r="J134" s="8"/>
      <c r="K134" s="8">
        <v>6706465326067</v>
      </c>
      <c r="L134" s="8">
        <v>5050148078596</v>
      </c>
      <c r="M134" s="8">
        <v>9667888215600</v>
      </c>
      <c r="N134" s="8">
        <v>11385610492900</v>
      </c>
      <c r="O134" s="8">
        <v>10701561798400</v>
      </c>
      <c r="P134" s="8">
        <v>10564752059500</v>
      </c>
      <c r="Q134" s="18">
        <f>(Table1[[#This Row],[A. TÀI SẢN NGẮN HẠN]]-Table1[[#This Row],[I. Nợ ngắn hạn]])/Table1[[#This Row],[TỔNG CỘNG TÀI SẢN]]</f>
        <v>1.1448658517353397E-3</v>
      </c>
      <c r="R134" s="18">
        <f>Table1[[#This Row],[- LNST chưa phân phối kỳ này]]/Table1[[#This Row],[TỔNG CỘNG TÀI SẢN]]</f>
        <v>9.145201240017992E-3</v>
      </c>
      <c r="S134" s="21">
        <f>Table1[[#This Row],[5. Lợi nhuận gộp về bán hàng và cung cấp dịch vụ]]/Table1[[#This Row],[TỔNG CỘNG TÀI SẢN]]</f>
        <v>7.6486640071355888E-2</v>
      </c>
      <c r="T13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1.5775751647410072</v>
      </c>
      <c r="U134" s="23">
        <f>Table1[[#This Row],[1. Doanh thu bán hàng và cung cấp dịch vụ ]]/Table1[[#This Row],[TỔNG CỘNG TÀI SẢN]]</f>
        <v>0.47006077803423119</v>
      </c>
      <c r="V134" s="23">
        <f>1.2*Table1[[#This Row],[X1]] + 1.4*Table1[[#This Row],[X2]] + 3.3*Table1[[#This Row],[x3]] + 0.6*Table1[[#This Row],[x4]] + 1*Table1[[#This Row],[x5]]</f>
        <v>1.6831889098724175</v>
      </c>
      <c r="W134" s="23">
        <f>IF(Table1[[#This Row],[Zscore]]&lt;1.81,1,0)</f>
        <v>1</v>
      </c>
    </row>
    <row r="135" spans="1:23" hidden="1" x14ac:dyDescent="0.45">
      <c r="A135" s="7">
        <v>129</v>
      </c>
      <c r="B135" s="5" t="s">
        <v>271</v>
      </c>
      <c r="C135" s="6" t="s">
        <v>272</v>
      </c>
      <c r="D135" s="6" t="s">
        <v>13</v>
      </c>
      <c r="E135" s="6"/>
      <c r="F135" s="6"/>
      <c r="G135" s="6"/>
      <c r="H135" s="6"/>
      <c r="I135" s="6"/>
      <c r="J135" s="8"/>
      <c r="K135" s="6"/>
      <c r="L135" s="6"/>
      <c r="M135" s="8"/>
      <c r="N135" s="8"/>
      <c r="O135" s="8"/>
      <c r="P135" s="8"/>
      <c r="Q135" s="18" t="e">
        <f>(Table1[[#This Row],[A. TÀI SẢN NGẮN HẠN]]-Table1[[#This Row],[I. Nợ ngắn hạn]])/Table1[[#This Row],[TỔNG CỘNG TÀI SẢN]]</f>
        <v>#DIV/0!</v>
      </c>
      <c r="R135" s="18" t="e">
        <f>Table1[[#This Row],[- LNST chưa phân phối kỳ này]]/Table1[[#This Row],[TỔNG CỘNG TÀI SẢN]]</f>
        <v>#DIV/0!</v>
      </c>
      <c r="S135" s="21" t="e">
        <f>Table1[[#This Row],[5. Lợi nhuận gộp về bán hàng và cung cấp dịch vụ]]/Table1[[#This Row],[TỔNG CỘNG TÀI SẢN]]</f>
        <v>#DIV/0!</v>
      </c>
      <c r="T13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35" s="23" t="e">
        <f>Table1[[#This Row],[1. Doanh thu bán hàng và cung cấp dịch vụ ]]/Table1[[#This Row],[TỔNG CỘNG TÀI SẢN]]</f>
        <v>#DIV/0!</v>
      </c>
      <c r="V135" s="23" t="e">
        <f>1.2*Table1[[#This Row],[X1]] + 1.4*Table1[[#This Row],[X2]] + 3.3*Table1[[#This Row],[x3]] + 0.6*Table1[[#This Row],[x4]] + 1*Table1[[#This Row],[x5]]</f>
        <v>#DIV/0!</v>
      </c>
      <c r="W135" s="23" t="e">
        <f>IF(Table1[[#This Row],[Zscore]]&lt;1.81,1,0)</f>
        <v>#DIV/0!</v>
      </c>
    </row>
    <row r="136" spans="1:23" ht="26.25" hidden="1" x14ac:dyDescent="0.45">
      <c r="A136" s="7">
        <v>130</v>
      </c>
      <c r="B136" s="5" t="s">
        <v>273</v>
      </c>
      <c r="C136" s="6" t="s">
        <v>274</v>
      </c>
      <c r="D136" s="6" t="s">
        <v>18</v>
      </c>
      <c r="E136" s="8">
        <v>34553470161</v>
      </c>
      <c r="F136" s="8">
        <v>30587689475</v>
      </c>
      <c r="G136" s="8">
        <v>3948920630</v>
      </c>
      <c r="H136" s="8">
        <v>1551629858</v>
      </c>
      <c r="I136" s="8">
        <v>9150383762</v>
      </c>
      <c r="J136" s="8"/>
      <c r="K136" s="8">
        <v>3981920630</v>
      </c>
      <c r="L136" s="8">
        <v>37764399675</v>
      </c>
      <c r="M136" s="8"/>
      <c r="N136" s="8"/>
      <c r="O136" s="8"/>
      <c r="P136" s="8"/>
      <c r="Q136" s="18">
        <f>(Table1[[#This Row],[A. TÀI SẢN NGẮN HẠN]]-Table1[[#This Row],[I. Nợ ngắn hạn]])/Table1[[#This Row],[TỔNG CỘNG TÀI SẢN]]</f>
        <v>0.77094337329588369</v>
      </c>
      <c r="R136" s="18">
        <f>Table1[[#This Row],[- LNST chưa phân phối kỳ này]]/Table1[[#This Row],[TỔNG CỘNG TÀI SẢN]]</f>
        <v>4.4905181759466291E-2</v>
      </c>
      <c r="S136" s="21">
        <f>Table1[[#This Row],[5. Lợi nhuận gộp về bán hàng và cung cấp dịch vụ]]/Table1[[#This Row],[TỔNG CỘNG TÀI SẢN]]</f>
        <v>0.26481808395406564</v>
      </c>
      <c r="T13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36" s="23">
        <f>Table1[[#This Row],[1. Doanh thu bán hàng và cung cấp dịch vụ ]]/Table1[[#This Row],[TỔNG CỘNG TÀI SẢN]]</f>
        <v>1.0929263978129795</v>
      </c>
      <c r="V136" s="23" t="e">
        <f>1.2*Table1[[#This Row],[X1]] + 1.4*Table1[[#This Row],[X2]] + 3.3*Table1[[#This Row],[x3]] + 0.6*Table1[[#This Row],[x4]] + 1*Table1[[#This Row],[x5]]</f>
        <v>#DIV/0!</v>
      </c>
      <c r="W136" s="23" t="e">
        <f>IF(Table1[[#This Row],[Zscore]]&lt;1.81,1,0)</f>
        <v>#DIV/0!</v>
      </c>
    </row>
    <row r="137" spans="1:23" ht="26.25" hidden="1" x14ac:dyDescent="0.45">
      <c r="A137" s="7">
        <v>131</v>
      </c>
      <c r="B137" s="5" t="s">
        <v>275</v>
      </c>
      <c r="C137" s="6" t="s">
        <v>276</v>
      </c>
      <c r="D137" s="6" t="s">
        <v>13</v>
      </c>
      <c r="E137" s="6"/>
      <c r="F137" s="6"/>
      <c r="G137" s="6"/>
      <c r="H137" s="6"/>
      <c r="I137" s="6"/>
      <c r="J137" s="8"/>
      <c r="K137" s="6"/>
      <c r="L137" s="6"/>
      <c r="M137" s="8"/>
      <c r="N137" s="8"/>
      <c r="O137" s="8"/>
      <c r="P137" s="8"/>
      <c r="Q137" s="18" t="e">
        <f>(Table1[[#This Row],[A. TÀI SẢN NGẮN HẠN]]-Table1[[#This Row],[I. Nợ ngắn hạn]])/Table1[[#This Row],[TỔNG CỘNG TÀI SẢN]]</f>
        <v>#DIV/0!</v>
      </c>
      <c r="R137" s="18" t="e">
        <f>Table1[[#This Row],[- LNST chưa phân phối kỳ này]]/Table1[[#This Row],[TỔNG CỘNG TÀI SẢN]]</f>
        <v>#DIV/0!</v>
      </c>
      <c r="S137" s="21" t="e">
        <f>Table1[[#This Row],[5. Lợi nhuận gộp về bán hàng và cung cấp dịch vụ]]/Table1[[#This Row],[TỔNG CỘNG TÀI SẢN]]</f>
        <v>#DIV/0!</v>
      </c>
      <c r="T13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37" s="23" t="e">
        <f>Table1[[#This Row],[1. Doanh thu bán hàng và cung cấp dịch vụ ]]/Table1[[#This Row],[TỔNG CỘNG TÀI SẢN]]</f>
        <v>#DIV/0!</v>
      </c>
      <c r="V137" s="23" t="e">
        <f>1.2*Table1[[#This Row],[X1]] + 1.4*Table1[[#This Row],[X2]] + 3.3*Table1[[#This Row],[x3]] + 0.6*Table1[[#This Row],[x4]] + 1*Table1[[#This Row],[x5]]</f>
        <v>#DIV/0!</v>
      </c>
      <c r="W137" s="23" t="e">
        <f>IF(Table1[[#This Row],[Zscore]]&lt;1.81,1,0)</f>
        <v>#DIV/0!</v>
      </c>
    </row>
    <row r="138" spans="1:23" hidden="1" x14ac:dyDescent="0.45">
      <c r="A138" s="7">
        <v>132</v>
      </c>
      <c r="B138" s="5" t="s">
        <v>277</v>
      </c>
      <c r="C138" s="6" t="s">
        <v>278</v>
      </c>
      <c r="D138" s="6" t="s">
        <v>13</v>
      </c>
      <c r="E138" s="6"/>
      <c r="F138" s="6"/>
      <c r="G138" s="6"/>
      <c r="H138" s="6"/>
      <c r="I138" s="6"/>
      <c r="J138" s="8"/>
      <c r="K138" s="6"/>
      <c r="L138" s="6"/>
      <c r="M138" s="8"/>
      <c r="N138" s="8"/>
      <c r="O138" s="8"/>
      <c r="P138" s="8"/>
      <c r="Q138" s="18" t="e">
        <f>(Table1[[#This Row],[A. TÀI SẢN NGẮN HẠN]]-Table1[[#This Row],[I. Nợ ngắn hạn]])/Table1[[#This Row],[TỔNG CỘNG TÀI SẢN]]</f>
        <v>#DIV/0!</v>
      </c>
      <c r="R138" s="18" t="e">
        <f>Table1[[#This Row],[- LNST chưa phân phối kỳ này]]/Table1[[#This Row],[TỔNG CỘNG TÀI SẢN]]</f>
        <v>#DIV/0!</v>
      </c>
      <c r="S138" s="21" t="e">
        <f>Table1[[#This Row],[5. Lợi nhuận gộp về bán hàng và cung cấp dịch vụ]]/Table1[[#This Row],[TỔNG CỘNG TÀI SẢN]]</f>
        <v>#DIV/0!</v>
      </c>
      <c r="T13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38" s="23" t="e">
        <f>Table1[[#This Row],[1. Doanh thu bán hàng và cung cấp dịch vụ ]]/Table1[[#This Row],[TỔNG CỘNG TÀI SẢN]]</f>
        <v>#DIV/0!</v>
      </c>
      <c r="V138" s="23" t="e">
        <f>1.2*Table1[[#This Row],[X1]] + 1.4*Table1[[#This Row],[X2]] + 3.3*Table1[[#This Row],[x3]] + 0.6*Table1[[#This Row],[x4]] + 1*Table1[[#This Row],[x5]]</f>
        <v>#DIV/0!</v>
      </c>
      <c r="W138" s="23" t="e">
        <f>IF(Table1[[#This Row],[Zscore]]&lt;1.81,1,0)</f>
        <v>#DIV/0!</v>
      </c>
    </row>
    <row r="139" spans="1:23" ht="26.25" hidden="1" x14ac:dyDescent="0.45">
      <c r="A139" s="7">
        <v>133</v>
      </c>
      <c r="B139" s="5" t="s">
        <v>279</v>
      </c>
      <c r="C139" s="6" t="s">
        <v>280</v>
      </c>
      <c r="D139" s="6" t="s">
        <v>13</v>
      </c>
      <c r="E139" s="6"/>
      <c r="F139" s="6"/>
      <c r="G139" s="6"/>
      <c r="H139" s="6"/>
      <c r="I139" s="6"/>
      <c r="J139" s="8"/>
      <c r="K139" s="6"/>
      <c r="L139" s="6"/>
      <c r="M139" s="8"/>
      <c r="N139" s="8"/>
      <c r="O139" s="8"/>
      <c r="P139" s="8"/>
      <c r="Q139" s="18" t="e">
        <f>(Table1[[#This Row],[A. TÀI SẢN NGẮN HẠN]]-Table1[[#This Row],[I. Nợ ngắn hạn]])/Table1[[#This Row],[TỔNG CỘNG TÀI SẢN]]</f>
        <v>#DIV/0!</v>
      </c>
      <c r="R139" s="18" t="e">
        <f>Table1[[#This Row],[- LNST chưa phân phối kỳ này]]/Table1[[#This Row],[TỔNG CỘNG TÀI SẢN]]</f>
        <v>#DIV/0!</v>
      </c>
      <c r="S139" s="21" t="e">
        <f>Table1[[#This Row],[5. Lợi nhuận gộp về bán hàng và cung cấp dịch vụ]]/Table1[[#This Row],[TỔNG CỘNG TÀI SẢN]]</f>
        <v>#DIV/0!</v>
      </c>
      <c r="T13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39" s="23" t="e">
        <f>Table1[[#This Row],[1. Doanh thu bán hàng và cung cấp dịch vụ ]]/Table1[[#This Row],[TỔNG CỘNG TÀI SẢN]]</f>
        <v>#DIV/0!</v>
      </c>
      <c r="V139" s="23" t="e">
        <f>1.2*Table1[[#This Row],[X1]] + 1.4*Table1[[#This Row],[X2]] + 3.3*Table1[[#This Row],[x3]] + 0.6*Table1[[#This Row],[x4]] + 1*Table1[[#This Row],[x5]]</f>
        <v>#DIV/0!</v>
      </c>
      <c r="W139" s="23" t="e">
        <f>IF(Table1[[#This Row],[Zscore]]&lt;1.81,1,0)</f>
        <v>#DIV/0!</v>
      </c>
    </row>
    <row r="140" spans="1:23" hidden="1" x14ac:dyDescent="0.45">
      <c r="A140" s="7">
        <v>134</v>
      </c>
      <c r="B140" s="5" t="s">
        <v>281</v>
      </c>
      <c r="C140" s="6" t="s">
        <v>282</v>
      </c>
      <c r="D140" s="6" t="s">
        <v>13</v>
      </c>
      <c r="E140" s="8">
        <v>110365851927250</v>
      </c>
      <c r="F140" s="6"/>
      <c r="G140" s="6"/>
      <c r="H140" s="6"/>
      <c r="I140" s="6"/>
      <c r="J140" s="8"/>
      <c r="K140" s="8">
        <v>106438568657767</v>
      </c>
      <c r="L140" s="8">
        <v>5097508173686</v>
      </c>
      <c r="M140" s="8"/>
      <c r="N140" s="8"/>
      <c r="O140" s="8"/>
      <c r="P140" s="8"/>
      <c r="Q140" s="18">
        <f>(Table1[[#This Row],[A. TÀI SẢN NGẮN HẠN]]-Table1[[#This Row],[I. Nợ ngắn hạn]])/Table1[[#This Row],[TỔNG CỘNG TÀI SẢN]]</f>
        <v>0</v>
      </c>
      <c r="R140" s="18">
        <f>Table1[[#This Row],[- LNST chưa phân phối kỳ này]]/Table1[[#This Row],[TỔNG CỘNG TÀI SẢN]]</f>
        <v>0</v>
      </c>
      <c r="S140" s="21">
        <f>Table1[[#This Row],[5. Lợi nhuận gộp về bán hàng và cung cấp dịch vụ]]/Table1[[#This Row],[TỔNG CỘNG TÀI SẢN]]</f>
        <v>0</v>
      </c>
      <c r="T14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40" s="23">
        <f>Table1[[#This Row],[1. Doanh thu bán hàng và cung cấp dịch vụ ]]/Table1[[#This Row],[TỔNG CỘNG TÀI SẢN]]</f>
        <v>4.6187367602128701E-2</v>
      </c>
      <c r="V140" s="23" t="e">
        <f>1.2*Table1[[#This Row],[X1]] + 1.4*Table1[[#This Row],[X2]] + 3.3*Table1[[#This Row],[x3]] + 0.6*Table1[[#This Row],[x4]] + 1*Table1[[#This Row],[x5]]</f>
        <v>#DIV/0!</v>
      </c>
      <c r="W140" s="23" t="e">
        <f>IF(Table1[[#This Row],[Zscore]]&lt;1.81,1,0)</f>
        <v>#DIV/0!</v>
      </c>
    </row>
    <row r="141" spans="1:23" ht="26.25" hidden="1" x14ac:dyDescent="0.45">
      <c r="A141" s="7">
        <v>135</v>
      </c>
      <c r="B141" s="5" t="s">
        <v>283</v>
      </c>
      <c r="C141" s="6" t="s">
        <v>284</v>
      </c>
      <c r="D141" s="6" t="s">
        <v>13</v>
      </c>
      <c r="E141" s="6"/>
      <c r="F141" s="6"/>
      <c r="G141" s="6"/>
      <c r="H141" s="6"/>
      <c r="I141" s="6"/>
      <c r="J141" s="8"/>
      <c r="K141" s="6"/>
      <c r="L141" s="6"/>
      <c r="M141" s="8"/>
      <c r="N141" s="8"/>
      <c r="O141" s="8"/>
      <c r="P141" s="8"/>
      <c r="Q141" s="18" t="e">
        <f>(Table1[[#This Row],[A. TÀI SẢN NGẮN HẠN]]-Table1[[#This Row],[I. Nợ ngắn hạn]])/Table1[[#This Row],[TỔNG CỘNG TÀI SẢN]]</f>
        <v>#DIV/0!</v>
      </c>
      <c r="R141" s="18" t="e">
        <f>Table1[[#This Row],[- LNST chưa phân phối kỳ này]]/Table1[[#This Row],[TỔNG CỘNG TÀI SẢN]]</f>
        <v>#DIV/0!</v>
      </c>
      <c r="S141" s="21" t="e">
        <f>Table1[[#This Row],[5. Lợi nhuận gộp về bán hàng và cung cấp dịch vụ]]/Table1[[#This Row],[TỔNG CỘNG TÀI SẢN]]</f>
        <v>#DIV/0!</v>
      </c>
      <c r="T14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41" s="23" t="e">
        <f>Table1[[#This Row],[1. Doanh thu bán hàng và cung cấp dịch vụ ]]/Table1[[#This Row],[TỔNG CỘNG TÀI SẢN]]</f>
        <v>#DIV/0!</v>
      </c>
      <c r="V141" s="23" t="e">
        <f>1.2*Table1[[#This Row],[X1]] + 1.4*Table1[[#This Row],[X2]] + 3.3*Table1[[#This Row],[x3]] + 0.6*Table1[[#This Row],[x4]] + 1*Table1[[#This Row],[x5]]</f>
        <v>#DIV/0!</v>
      </c>
      <c r="W141" s="23" t="e">
        <f>IF(Table1[[#This Row],[Zscore]]&lt;1.81,1,0)</f>
        <v>#DIV/0!</v>
      </c>
    </row>
    <row r="142" spans="1:23" ht="26.25" hidden="1" x14ac:dyDescent="0.45">
      <c r="A142" s="7">
        <v>136</v>
      </c>
      <c r="B142" s="5" t="s">
        <v>285</v>
      </c>
      <c r="C142" s="6" t="s">
        <v>286</v>
      </c>
      <c r="D142" s="6" t="s">
        <v>13</v>
      </c>
      <c r="E142" s="6"/>
      <c r="F142" s="6"/>
      <c r="G142" s="6"/>
      <c r="H142" s="6"/>
      <c r="I142" s="6"/>
      <c r="J142" s="8"/>
      <c r="K142" s="6"/>
      <c r="L142" s="6"/>
      <c r="M142" s="8"/>
      <c r="N142" s="8"/>
      <c r="O142" s="8"/>
      <c r="P142" s="8"/>
      <c r="Q142" s="18" t="e">
        <f>(Table1[[#This Row],[A. TÀI SẢN NGẮN HẠN]]-Table1[[#This Row],[I. Nợ ngắn hạn]])/Table1[[#This Row],[TỔNG CỘNG TÀI SẢN]]</f>
        <v>#DIV/0!</v>
      </c>
      <c r="R142" s="18" t="e">
        <f>Table1[[#This Row],[- LNST chưa phân phối kỳ này]]/Table1[[#This Row],[TỔNG CỘNG TÀI SẢN]]</f>
        <v>#DIV/0!</v>
      </c>
      <c r="S142" s="21" t="e">
        <f>Table1[[#This Row],[5. Lợi nhuận gộp về bán hàng và cung cấp dịch vụ]]/Table1[[#This Row],[TỔNG CỘNG TÀI SẢN]]</f>
        <v>#DIV/0!</v>
      </c>
      <c r="T14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42" s="23" t="e">
        <f>Table1[[#This Row],[1. Doanh thu bán hàng và cung cấp dịch vụ ]]/Table1[[#This Row],[TỔNG CỘNG TÀI SẢN]]</f>
        <v>#DIV/0!</v>
      </c>
      <c r="V142" s="23" t="e">
        <f>1.2*Table1[[#This Row],[X1]] + 1.4*Table1[[#This Row],[X2]] + 3.3*Table1[[#This Row],[x3]] + 0.6*Table1[[#This Row],[x4]] + 1*Table1[[#This Row],[x5]]</f>
        <v>#DIV/0!</v>
      </c>
      <c r="W142" s="23" t="e">
        <f>IF(Table1[[#This Row],[Zscore]]&lt;1.81,1,0)</f>
        <v>#DIV/0!</v>
      </c>
    </row>
    <row r="143" spans="1:23" hidden="1" x14ac:dyDescent="0.45">
      <c r="A143" s="7">
        <v>137</v>
      </c>
      <c r="B143" s="5" t="s">
        <v>287</v>
      </c>
      <c r="C143" s="6" t="s">
        <v>288</v>
      </c>
      <c r="D143" s="6" t="s">
        <v>13</v>
      </c>
      <c r="E143" s="6"/>
      <c r="F143" s="6"/>
      <c r="G143" s="6"/>
      <c r="H143" s="6"/>
      <c r="I143" s="6"/>
      <c r="J143" s="8"/>
      <c r="K143" s="6"/>
      <c r="L143" s="6"/>
      <c r="M143" s="8"/>
      <c r="N143" s="8"/>
      <c r="O143" s="8"/>
      <c r="P143" s="8"/>
      <c r="Q143" s="18" t="e">
        <f>(Table1[[#This Row],[A. TÀI SẢN NGẮN HẠN]]-Table1[[#This Row],[I. Nợ ngắn hạn]])/Table1[[#This Row],[TỔNG CỘNG TÀI SẢN]]</f>
        <v>#DIV/0!</v>
      </c>
      <c r="R143" s="18" t="e">
        <f>Table1[[#This Row],[- LNST chưa phân phối kỳ này]]/Table1[[#This Row],[TỔNG CỘNG TÀI SẢN]]</f>
        <v>#DIV/0!</v>
      </c>
      <c r="S143" s="21" t="e">
        <f>Table1[[#This Row],[5. Lợi nhuận gộp về bán hàng và cung cấp dịch vụ]]/Table1[[#This Row],[TỔNG CỘNG TÀI SẢN]]</f>
        <v>#DIV/0!</v>
      </c>
      <c r="T14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43" s="23" t="e">
        <f>Table1[[#This Row],[1. Doanh thu bán hàng và cung cấp dịch vụ ]]/Table1[[#This Row],[TỔNG CỘNG TÀI SẢN]]</f>
        <v>#DIV/0!</v>
      </c>
      <c r="V143" s="23" t="e">
        <f>1.2*Table1[[#This Row],[X1]] + 1.4*Table1[[#This Row],[X2]] + 3.3*Table1[[#This Row],[x3]] + 0.6*Table1[[#This Row],[x4]] + 1*Table1[[#This Row],[x5]]</f>
        <v>#DIV/0!</v>
      </c>
      <c r="W143" s="23" t="e">
        <f>IF(Table1[[#This Row],[Zscore]]&lt;1.81,1,0)</f>
        <v>#DIV/0!</v>
      </c>
    </row>
    <row r="144" spans="1:23" ht="26.25" hidden="1" x14ac:dyDescent="0.45">
      <c r="A144" s="7">
        <v>138</v>
      </c>
      <c r="B144" s="5" t="s">
        <v>289</v>
      </c>
      <c r="C144" s="6" t="s">
        <v>290</v>
      </c>
      <c r="D144" s="6" t="s">
        <v>13</v>
      </c>
      <c r="E144" s="6"/>
      <c r="F144" s="6"/>
      <c r="G144" s="6"/>
      <c r="H144" s="6"/>
      <c r="I144" s="6"/>
      <c r="J144" s="8"/>
      <c r="K144" s="6"/>
      <c r="L144" s="6"/>
      <c r="M144" s="8"/>
      <c r="N144" s="8"/>
      <c r="O144" s="8"/>
      <c r="P144" s="8"/>
      <c r="Q144" s="18" t="e">
        <f>(Table1[[#This Row],[A. TÀI SẢN NGẮN HẠN]]-Table1[[#This Row],[I. Nợ ngắn hạn]])/Table1[[#This Row],[TỔNG CỘNG TÀI SẢN]]</f>
        <v>#DIV/0!</v>
      </c>
      <c r="R144" s="18" t="e">
        <f>Table1[[#This Row],[- LNST chưa phân phối kỳ này]]/Table1[[#This Row],[TỔNG CỘNG TÀI SẢN]]</f>
        <v>#DIV/0!</v>
      </c>
      <c r="S144" s="21" t="e">
        <f>Table1[[#This Row],[5. Lợi nhuận gộp về bán hàng và cung cấp dịch vụ]]/Table1[[#This Row],[TỔNG CỘNG TÀI SẢN]]</f>
        <v>#DIV/0!</v>
      </c>
      <c r="T14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44" s="23" t="e">
        <f>Table1[[#This Row],[1. Doanh thu bán hàng và cung cấp dịch vụ ]]/Table1[[#This Row],[TỔNG CỘNG TÀI SẢN]]</f>
        <v>#DIV/0!</v>
      </c>
      <c r="V144" s="23" t="e">
        <f>1.2*Table1[[#This Row],[X1]] + 1.4*Table1[[#This Row],[X2]] + 3.3*Table1[[#This Row],[x3]] + 0.6*Table1[[#This Row],[x4]] + 1*Table1[[#This Row],[x5]]</f>
        <v>#DIV/0!</v>
      </c>
      <c r="W144" s="23" t="e">
        <f>IF(Table1[[#This Row],[Zscore]]&lt;1.81,1,0)</f>
        <v>#DIV/0!</v>
      </c>
    </row>
    <row r="145" spans="1:23" hidden="1" x14ac:dyDescent="0.45">
      <c r="A145" s="7">
        <v>139</v>
      </c>
      <c r="B145" s="5" t="s">
        <v>291</v>
      </c>
      <c r="C145" s="6" t="s">
        <v>292</v>
      </c>
      <c r="D145" s="6" t="s">
        <v>13</v>
      </c>
      <c r="E145" s="6"/>
      <c r="F145" s="6"/>
      <c r="G145" s="6"/>
      <c r="H145" s="6"/>
      <c r="I145" s="6"/>
      <c r="J145" s="8"/>
      <c r="K145" s="6"/>
      <c r="L145" s="6"/>
      <c r="M145" s="8"/>
      <c r="N145" s="8"/>
      <c r="O145" s="8"/>
      <c r="P145" s="8"/>
      <c r="Q145" s="18" t="e">
        <f>(Table1[[#This Row],[A. TÀI SẢN NGẮN HẠN]]-Table1[[#This Row],[I. Nợ ngắn hạn]])/Table1[[#This Row],[TỔNG CỘNG TÀI SẢN]]</f>
        <v>#DIV/0!</v>
      </c>
      <c r="R145" s="18" t="e">
        <f>Table1[[#This Row],[- LNST chưa phân phối kỳ này]]/Table1[[#This Row],[TỔNG CỘNG TÀI SẢN]]</f>
        <v>#DIV/0!</v>
      </c>
      <c r="S145" s="21" t="e">
        <f>Table1[[#This Row],[5. Lợi nhuận gộp về bán hàng và cung cấp dịch vụ]]/Table1[[#This Row],[TỔNG CỘNG TÀI SẢN]]</f>
        <v>#DIV/0!</v>
      </c>
      <c r="T14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45" s="23" t="e">
        <f>Table1[[#This Row],[1. Doanh thu bán hàng và cung cấp dịch vụ ]]/Table1[[#This Row],[TỔNG CỘNG TÀI SẢN]]</f>
        <v>#DIV/0!</v>
      </c>
      <c r="V145" s="23" t="e">
        <f>1.2*Table1[[#This Row],[X1]] + 1.4*Table1[[#This Row],[X2]] + 3.3*Table1[[#This Row],[x3]] + 0.6*Table1[[#This Row],[x4]] + 1*Table1[[#This Row],[x5]]</f>
        <v>#DIV/0!</v>
      </c>
      <c r="W145" s="23" t="e">
        <f>IF(Table1[[#This Row],[Zscore]]&lt;1.81,1,0)</f>
        <v>#DIV/0!</v>
      </c>
    </row>
    <row r="146" spans="1:23" hidden="1" x14ac:dyDescent="0.45">
      <c r="A146" s="7">
        <v>140</v>
      </c>
      <c r="B146" s="5" t="s">
        <v>293</v>
      </c>
      <c r="C146" s="6" t="s">
        <v>294</v>
      </c>
      <c r="D146" s="6" t="s">
        <v>13</v>
      </c>
      <c r="E146" s="6"/>
      <c r="F146" s="6"/>
      <c r="G146" s="6"/>
      <c r="H146" s="6"/>
      <c r="I146" s="6"/>
      <c r="J146" s="8"/>
      <c r="K146" s="6"/>
      <c r="L146" s="6"/>
      <c r="M146" s="8"/>
      <c r="N146" s="8"/>
      <c r="O146" s="8"/>
      <c r="P146" s="8"/>
      <c r="Q146" s="18" t="e">
        <f>(Table1[[#This Row],[A. TÀI SẢN NGẮN HẠN]]-Table1[[#This Row],[I. Nợ ngắn hạn]])/Table1[[#This Row],[TỔNG CỘNG TÀI SẢN]]</f>
        <v>#DIV/0!</v>
      </c>
      <c r="R146" s="18" t="e">
        <f>Table1[[#This Row],[- LNST chưa phân phối kỳ này]]/Table1[[#This Row],[TỔNG CỘNG TÀI SẢN]]</f>
        <v>#DIV/0!</v>
      </c>
      <c r="S146" s="21" t="e">
        <f>Table1[[#This Row],[5. Lợi nhuận gộp về bán hàng và cung cấp dịch vụ]]/Table1[[#This Row],[TỔNG CỘNG TÀI SẢN]]</f>
        <v>#DIV/0!</v>
      </c>
      <c r="T14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46" s="23" t="e">
        <f>Table1[[#This Row],[1. Doanh thu bán hàng và cung cấp dịch vụ ]]/Table1[[#This Row],[TỔNG CỘNG TÀI SẢN]]</f>
        <v>#DIV/0!</v>
      </c>
      <c r="V146" s="23" t="e">
        <f>1.2*Table1[[#This Row],[X1]] + 1.4*Table1[[#This Row],[X2]] + 3.3*Table1[[#This Row],[x3]] + 0.6*Table1[[#This Row],[x4]] + 1*Table1[[#This Row],[x5]]</f>
        <v>#DIV/0!</v>
      </c>
      <c r="W146" s="23" t="e">
        <f>IF(Table1[[#This Row],[Zscore]]&lt;1.81,1,0)</f>
        <v>#DIV/0!</v>
      </c>
    </row>
    <row r="147" spans="1:23" x14ac:dyDescent="0.45">
      <c r="A147" s="7">
        <v>141</v>
      </c>
      <c r="B147" s="5" t="s">
        <v>295</v>
      </c>
      <c r="C147" s="6" t="s">
        <v>296</v>
      </c>
      <c r="D147" s="6" t="s">
        <v>36</v>
      </c>
      <c r="E147" s="8">
        <v>725108870381</v>
      </c>
      <c r="F147" s="8">
        <v>335581270352</v>
      </c>
      <c r="G147" s="8">
        <v>62840105510</v>
      </c>
      <c r="H147" s="8">
        <v>19424589953</v>
      </c>
      <c r="I147" s="8">
        <v>49234847432</v>
      </c>
      <c r="J147" s="8"/>
      <c r="K147" s="8">
        <v>502528215006</v>
      </c>
      <c r="L147" s="8">
        <v>111079695589</v>
      </c>
      <c r="M147" s="8">
        <v>320620000000</v>
      </c>
      <c r="N147" s="8">
        <v>278800000000</v>
      </c>
      <c r="O147" s="8">
        <v>293560000000</v>
      </c>
      <c r="P147" s="8">
        <v>296020000000</v>
      </c>
      <c r="Q147" s="18">
        <f>(Table1[[#This Row],[A. TÀI SẢN NGẮN HẠN]]-Table1[[#This Row],[I. Nợ ngắn hạn]])/Table1[[#This Row],[TỔNG CỘNG TÀI SẢN]]</f>
        <v>0.37613822693782706</v>
      </c>
      <c r="R147" s="18">
        <f>Table1[[#This Row],[- LNST chưa phân phối kỳ này]]/Table1[[#This Row],[TỔNG CỘNG TÀI SẢN]]</f>
        <v>2.6788515140896807E-2</v>
      </c>
      <c r="S147" s="21">
        <f>Table1[[#This Row],[5. Lợi nhuận gộp về bán hàng và cung cấp dịch vụ]]/Table1[[#This Row],[TỔNG CỘNG TÀI SẢN]]</f>
        <v>6.7899938123953882E-2</v>
      </c>
      <c r="T14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0.59150907575697209</v>
      </c>
      <c r="U147" s="23">
        <f>Table1[[#This Row],[1. Doanh thu bán hàng và cung cấp dịch vụ ]]/Table1[[#This Row],[TỔNG CỘNG TÀI SẢN]]</f>
        <v>0.15319036923467019</v>
      </c>
      <c r="V147" s="23">
        <f>1.2*Table1[[#This Row],[X1]] + 1.4*Table1[[#This Row],[X2]] + 3.3*Table1[[#This Row],[x3]] + 0.6*Table1[[#This Row],[x4]] + 1*Table1[[#This Row],[x5]]</f>
        <v>1.2210354040205491</v>
      </c>
      <c r="W147" s="23">
        <f>IF(Table1[[#This Row],[Zscore]]&lt;1.81,1,0)</f>
        <v>1</v>
      </c>
    </row>
    <row r="148" spans="1:23" hidden="1" x14ac:dyDescent="0.45">
      <c r="A148" s="7">
        <v>142</v>
      </c>
      <c r="B148" s="5" t="s">
        <v>297</v>
      </c>
      <c r="C148" s="6" t="s">
        <v>298</v>
      </c>
      <c r="D148" s="6" t="s">
        <v>13</v>
      </c>
      <c r="E148" s="6"/>
      <c r="F148" s="6"/>
      <c r="G148" s="6"/>
      <c r="H148" s="6"/>
      <c r="I148" s="6"/>
      <c r="J148" s="8"/>
      <c r="K148" s="6"/>
      <c r="L148" s="6"/>
      <c r="M148" s="8">
        <v>971389186600</v>
      </c>
      <c r="N148" s="8"/>
      <c r="O148" s="8">
        <v>1050150472000</v>
      </c>
      <c r="P148" s="8">
        <v>1687741830000</v>
      </c>
      <c r="Q148" s="18" t="e">
        <f>(Table1[[#This Row],[A. TÀI SẢN NGẮN HẠN]]-Table1[[#This Row],[I. Nợ ngắn hạn]])/Table1[[#This Row],[TỔNG CỘNG TÀI SẢN]]</f>
        <v>#DIV/0!</v>
      </c>
      <c r="R148" s="18" t="e">
        <f>Table1[[#This Row],[- LNST chưa phân phối kỳ này]]/Table1[[#This Row],[TỔNG CỘNG TÀI SẢN]]</f>
        <v>#DIV/0!</v>
      </c>
      <c r="S148" s="21" t="e">
        <f>Table1[[#This Row],[5. Lợi nhuận gộp về bán hàng và cung cấp dịch vụ]]/Table1[[#This Row],[TỔNG CỘNG TÀI SẢN]]</f>
        <v>#DIV/0!</v>
      </c>
      <c r="T14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48" s="23" t="e">
        <f>Table1[[#This Row],[1. Doanh thu bán hàng và cung cấp dịch vụ ]]/Table1[[#This Row],[TỔNG CỘNG TÀI SẢN]]</f>
        <v>#DIV/0!</v>
      </c>
      <c r="V148" s="23" t="e">
        <f>1.2*Table1[[#This Row],[X1]] + 1.4*Table1[[#This Row],[X2]] + 3.3*Table1[[#This Row],[x3]] + 0.6*Table1[[#This Row],[x4]] + 1*Table1[[#This Row],[x5]]</f>
        <v>#DIV/0!</v>
      </c>
      <c r="W148" s="23" t="e">
        <f>IF(Table1[[#This Row],[Zscore]]&lt;1.81,1,0)</f>
        <v>#DIV/0!</v>
      </c>
    </row>
    <row r="149" spans="1:23" hidden="1" x14ac:dyDescent="0.45">
      <c r="A149" s="7">
        <v>143</v>
      </c>
      <c r="B149" s="5" t="s">
        <v>299</v>
      </c>
      <c r="C149" s="6" t="s">
        <v>300</v>
      </c>
      <c r="D149" s="6" t="s">
        <v>18</v>
      </c>
      <c r="E149" s="6"/>
      <c r="F149" s="6"/>
      <c r="G149" s="6"/>
      <c r="H149" s="6"/>
      <c r="I149" s="6"/>
      <c r="J149" s="8"/>
      <c r="K149" s="6"/>
      <c r="L149" s="6"/>
      <c r="M149" s="8"/>
      <c r="N149" s="8"/>
      <c r="O149" s="8"/>
      <c r="P149" s="8"/>
      <c r="Q149" s="18" t="e">
        <f>(Table1[[#This Row],[A. TÀI SẢN NGẮN HẠN]]-Table1[[#This Row],[I. Nợ ngắn hạn]])/Table1[[#This Row],[TỔNG CỘNG TÀI SẢN]]</f>
        <v>#DIV/0!</v>
      </c>
      <c r="R149" s="18" t="e">
        <f>Table1[[#This Row],[- LNST chưa phân phối kỳ này]]/Table1[[#This Row],[TỔNG CỘNG TÀI SẢN]]</f>
        <v>#DIV/0!</v>
      </c>
      <c r="S149" s="21" t="e">
        <f>Table1[[#This Row],[5. Lợi nhuận gộp về bán hàng và cung cấp dịch vụ]]/Table1[[#This Row],[TỔNG CỘNG TÀI SẢN]]</f>
        <v>#DIV/0!</v>
      </c>
      <c r="T14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49" s="23" t="e">
        <f>Table1[[#This Row],[1. Doanh thu bán hàng và cung cấp dịch vụ ]]/Table1[[#This Row],[TỔNG CỘNG TÀI SẢN]]</f>
        <v>#DIV/0!</v>
      </c>
      <c r="V149" s="23" t="e">
        <f>1.2*Table1[[#This Row],[X1]] + 1.4*Table1[[#This Row],[X2]] + 3.3*Table1[[#This Row],[x3]] + 0.6*Table1[[#This Row],[x4]] + 1*Table1[[#This Row],[x5]]</f>
        <v>#DIV/0!</v>
      </c>
      <c r="W149" s="23" t="e">
        <f>IF(Table1[[#This Row],[Zscore]]&lt;1.81,1,0)</f>
        <v>#DIV/0!</v>
      </c>
    </row>
    <row r="150" spans="1:23" hidden="1" x14ac:dyDescent="0.45">
      <c r="A150" s="7">
        <v>144</v>
      </c>
      <c r="B150" s="5" t="s">
        <v>301</v>
      </c>
      <c r="C150" s="6" t="s">
        <v>302</v>
      </c>
      <c r="D150" s="6" t="s">
        <v>13</v>
      </c>
      <c r="E150" s="6"/>
      <c r="F150" s="6"/>
      <c r="G150" s="6"/>
      <c r="H150" s="6"/>
      <c r="I150" s="6"/>
      <c r="J150" s="8"/>
      <c r="K150" s="6"/>
      <c r="L150" s="6"/>
      <c r="M150" s="8"/>
      <c r="N150" s="8"/>
      <c r="O150" s="8"/>
      <c r="P150" s="8"/>
      <c r="Q150" s="18" t="e">
        <f>(Table1[[#This Row],[A. TÀI SẢN NGẮN HẠN]]-Table1[[#This Row],[I. Nợ ngắn hạn]])/Table1[[#This Row],[TỔNG CỘNG TÀI SẢN]]</f>
        <v>#DIV/0!</v>
      </c>
      <c r="R150" s="18" t="e">
        <f>Table1[[#This Row],[- LNST chưa phân phối kỳ này]]/Table1[[#This Row],[TỔNG CỘNG TÀI SẢN]]</f>
        <v>#DIV/0!</v>
      </c>
      <c r="S150" s="21" t="e">
        <f>Table1[[#This Row],[5. Lợi nhuận gộp về bán hàng và cung cấp dịch vụ]]/Table1[[#This Row],[TỔNG CỘNG TÀI SẢN]]</f>
        <v>#DIV/0!</v>
      </c>
      <c r="T15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50" s="23" t="e">
        <f>Table1[[#This Row],[1. Doanh thu bán hàng và cung cấp dịch vụ ]]/Table1[[#This Row],[TỔNG CỘNG TÀI SẢN]]</f>
        <v>#DIV/0!</v>
      </c>
      <c r="V150" s="23" t="e">
        <f>1.2*Table1[[#This Row],[X1]] + 1.4*Table1[[#This Row],[X2]] + 3.3*Table1[[#This Row],[x3]] + 0.6*Table1[[#This Row],[x4]] + 1*Table1[[#This Row],[x5]]</f>
        <v>#DIV/0!</v>
      </c>
      <c r="W150" s="23" t="e">
        <f>IF(Table1[[#This Row],[Zscore]]&lt;1.81,1,0)</f>
        <v>#DIV/0!</v>
      </c>
    </row>
    <row r="151" spans="1:23" hidden="1" x14ac:dyDescent="0.45">
      <c r="A151" s="7">
        <v>145</v>
      </c>
      <c r="B151" s="5" t="s">
        <v>303</v>
      </c>
      <c r="C151" s="6" t="s">
        <v>304</v>
      </c>
      <c r="D151" s="6" t="s">
        <v>18</v>
      </c>
      <c r="E151" s="8">
        <v>36852897938</v>
      </c>
      <c r="F151" s="8">
        <v>25911729869</v>
      </c>
      <c r="G151" s="8">
        <v>11859755459</v>
      </c>
      <c r="H151" s="8">
        <v>1307022406</v>
      </c>
      <c r="I151" s="8">
        <v>14482466510</v>
      </c>
      <c r="J151" s="8"/>
      <c r="K151" s="8">
        <v>11859755459</v>
      </c>
      <c r="L151" s="8">
        <v>53392494401</v>
      </c>
      <c r="M151" s="8"/>
      <c r="N151" s="8"/>
      <c r="O151" s="8"/>
      <c r="P151" s="8"/>
      <c r="Q151" s="18">
        <f>(Table1[[#This Row],[A. TÀI SẢN NGẮN HẠN]]-Table1[[#This Row],[I. Nợ ngắn hạn]])/Table1[[#This Row],[TỔNG CỘNG TÀI SẢN]]</f>
        <v>0.38129903470930671</v>
      </c>
      <c r="R151" s="18">
        <f>Table1[[#This Row],[- LNST chưa phân phối kỳ này]]/Table1[[#This Row],[TỔNG CỘNG TÀI SẢN]]</f>
        <v>3.5465932915204876E-2</v>
      </c>
      <c r="S151" s="21">
        <f>Table1[[#This Row],[5. Lợi nhuận gộp về bán hàng và cung cấp dịch vụ]]/Table1[[#This Row],[TỔNG CỘNG TÀI SẢN]]</f>
        <v>0.39298039829499393</v>
      </c>
      <c r="T15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51" s="23">
        <f>Table1[[#This Row],[1. Doanh thu bán hàng và cung cấp dịch vụ ]]/Table1[[#This Row],[TỔNG CỘNG TÀI SẢN]]</f>
        <v>1.4488004305882709</v>
      </c>
      <c r="V151" s="23" t="e">
        <f>1.2*Table1[[#This Row],[X1]] + 1.4*Table1[[#This Row],[X2]] + 3.3*Table1[[#This Row],[x3]] + 0.6*Table1[[#This Row],[x4]] + 1*Table1[[#This Row],[x5]]</f>
        <v>#DIV/0!</v>
      </c>
      <c r="W151" s="23" t="e">
        <f>IF(Table1[[#This Row],[Zscore]]&lt;1.81,1,0)</f>
        <v>#DIV/0!</v>
      </c>
    </row>
    <row r="152" spans="1:23" x14ac:dyDescent="0.45">
      <c r="A152" s="7">
        <v>146</v>
      </c>
      <c r="B152" s="5" t="s">
        <v>305</v>
      </c>
      <c r="C152" s="6" t="s">
        <v>306</v>
      </c>
      <c r="D152" s="6" t="s">
        <v>36</v>
      </c>
      <c r="E152" s="8">
        <v>265900992973</v>
      </c>
      <c r="F152" s="8">
        <v>202868453803</v>
      </c>
      <c r="G152" s="8">
        <v>157104221999</v>
      </c>
      <c r="H152" s="6"/>
      <c r="I152" s="8">
        <v>32319068075</v>
      </c>
      <c r="J152" s="8"/>
      <c r="K152" s="8">
        <v>157104221999</v>
      </c>
      <c r="L152" s="8">
        <v>450480364565</v>
      </c>
      <c r="M152" s="8">
        <v>69000000000</v>
      </c>
      <c r="N152" s="8">
        <v>77400000000</v>
      </c>
      <c r="O152" s="8">
        <v>99600000000</v>
      </c>
      <c r="P152" s="8">
        <v>70200000000</v>
      </c>
      <c r="Q152" s="18">
        <f>(Table1[[#This Row],[A. TÀI SẢN NGẮN HẠN]]-Table1[[#This Row],[I. Nợ ngắn hạn]])/Table1[[#This Row],[TỔNG CỘNG TÀI SẢN]]</f>
        <v>0.1721100447663502</v>
      </c>
      <c r="R152" s="18">
        <f>Table1[[#This Row],[- LNST chưa phân phối kỳ này]]/Table1[[#This Row],[TỔNG CỘNG TÀI SẢN]]</f>
        <v>0</v>
      </c>
      <c r="S152" s="21">
        <f>Table1[[#This Row],[5. Lợi nhuận gộp về bán hàng và cung cấp dịch vụ]]/Table1[[#This Row],[TỔNG CỘNG TÀI SẢN]]</f>
        <v>0.12154549598948557</v>
      </c>
      <c r="T15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0.50316916371924858</v>
      </c>
      <c r="U152" s="23">
        <f>Table1[[#This Row],[1. Doanh thu bán hàng và cung cấp dịch vụ ]]/Table1[[#This Row],[TỔNG CỘNG TÀI SẢN]]</f>
        <v>1.6941657852731016</v>
      </c>
      <c r="V152" s="23">
        <f>1.2*Table1[[#This Row],[X1]] + 1.4*Table1[[#This Row],[X2]] + 3.3*Table1[[#This Row],[x3]] + 0.6*Table1[[#This Row],[x4]] + 1*Table1[[#This Row],[x5]]</f>
        <v>2.6036994739895736</v>
      </c>
      <c r="W152" s="23">
        <f>IF(Table1[[#This Row],[Zscore]]&lt;1.81,1,0)</f>
        <v>0</v>
      </c>
    </row>
    <row r="153" spans="1:23" x14ac:dyDescent="0.45">
      <c r="A153" s="7">
        <v>147</v>
      </c>
      <c r="B153" s="5" t="s">
        <v>307</v>
      </c>
      <c r="C153" s="6" t="s">
        <v>308</v>
      </c>
      <c r="D153" s="6" t="s">
        <v>18</v>
      </c>
      <c r="E153" s="8">
        <v>382286685022</v>
      </c>
      <c r="F153" s="8">
        <v>175889458350</v>
      </c>
      <c r="G153" s="8">
        <v>51552803751</v>
      </c>
      <c r="H153" s="8">
        <v>20980828579</v>
      </c>
      <c r="I153" s="8">
        <v>123521980687</v>
      </c>
      <c r="J153" s="8"/>
      <c r="K153" s="8">
        <v>115217723751</v>
      </c>
      <c r="L153" s="8">
        <v>309087248076</v>
      </c>
      <c r="M153" s="8"/>
      <c r="N153" s="8">
        <v>248920000000</v>
      </c>
      <c r="O153" s="8"/>
      <c r="P153" s="8"/>
      <c r="Q153" s="18">
        <f>(Table1[[#This Row],[A. TÀI SẢN NGẮN HẠN]]-Table1[[#This Row],[I. Nợ ngắn hạn]])/Table1[[#This Row],[TỔNG CỘNG TÀI SẢN]]</f>
        <v>0.32524453367201273</v>
      </c>
      <c r="R153" s="18">
        <f>Table1[[#This Row],[- LNST chưa phân phối kỳ này]]/Table1[[#This Row],[TỔNG CỘNG TÀI SẢN]]</f>
        <v>5.4882446606249406E-2</v>
      </c>
      <c r="S153" s="21">
        <f>Table1[[#This Row],[5. Lợi nhuận gộp về bán hàng và cung cấp dịch vụ]]/Table1[[#This Row],[TỔNG CỘNG TÀI SẢN]]</f>
        <v>0.32311347877546798</v>
      </c>
      <c r="T15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2.1604315021701646</v>
      </c>
      <c r="U153" s="23">
        <f>Table1[[#This Row],[1. Doanh thu bán hàng và cung cấp dịch vụ ]]/Table1[[#This Row],[TỔNG CỘNG TÀI SẢN]]</f>
        <v>0.80852213845274923</v>
      </c>
      <c r="V153" s="23">
        <f>1.2*Table1[[#This Row],[X1]] + 1.4*Table1[[#This Row],[X2]] + 3.3*Table1[[#This Row],[x3]] + 0.6*Table1[[#This Row],[x4]] + 1*Table1[[#This Row],[x5]]</f>
        <v>3.6381843853690565</v>
      </c>
      <c r="W153" s="23">
        <f>IF(Table1[[#This Row],[Zscore]]&lt;1.81,1,0)</f>
        <v>0</v>
      </c>
    </row>
    <row r="154" spans="1:23" x14ac:dyDescent="0.45">
      <c r="A154" s="7">
        <v>148</v>
      </c>
      <c r="B154" s="5" t="s">
        <v>309</v>
      </c>
      <c r="C154" s="6" t="s">
        <v>310</v>
      </c>
      <c r="D154" s="6" t="s">
        <v>18</v>
      </c>
      <c r="E154" s="8">
        <v>3613419047272</v>
      </c>
      <c r="F154" s="8">
        <v>2510784507422</v>
      </c>
      <c r="G154" s="8">
        <v>2336038448293</v>
      </c>
      <c r="H154" s="8">
        <v>11266004412</v>
      </c>
      <c r="I154" s="8">
        <v>246789481771</v>
      </c>
      <c r="J154" s="8"/>
      <c r="K154" s="8">
        <v>2653038448293</v>
      </c>
      <c r="L154" s="8">
        <v>6381521926936</v>
      </c>
      <c r="M154" s="8">
        <v>233700000000</v>
      </c>
      <c r="N154" s="8">
        <v>695000000000</v>
      </c>
      <c r="O154" s="8">
        <v>535000000000</v>
      </c>
      <c r="P154" s="8">
        <v>485000000000</v>
      </c>
      <c r="Q154" s="18">
        <f>(Table1[[#This Row],[A. TÀI SẢN NGẮN HẠN]]-Table1[[#This Row],[I. Nợ ngắn hạn]])/Table1[[#This Row],[TỔNG CỘNG TÀI SẢN]]</f>
        <v>4.8360308296079561E-2</v>
      </c>
      <c r="R154" s="18">
        <f>Table1[[#This Row],[- LNST chưa phân phối kỳ này]]/Table1[[#This Row],[TỔNG CỘNG TÀI SẢN]]</f>
        <v>3.1178239403219575E-3</v>
      </c>
      <c r="S154" s="21">
        <f>Table1[[#This Row],[5. Lợi nhuận gộp về bán hàng và cung cấp dịch vụ]]/Table1[[#This Row],[TỔNG CỘNG TÀI SẢN]]</f>
        <v>6.8298051939842702E-2</v>
      </c>
      <c r="T15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0.18362907643251639</v>
      </c>
      <c r="U154" s="23">
        <f>Table1[[#This Row],[1. Doanh thu bán hàng và cung cấp dịch vụ ]]/Table1[[#This Row],[TỔNG CỘNG TÀI SẢN]]</f>
        <v>1.7660619605561156</v>
      </c>
      <c r="V154" s="23">
        <f>1.2*Table1[[#This Row],[X1]] + 1.4*Table1[[#This Row],[X2]] + 3.3*Table1[[#This Row],[x3]] + 0.6*Table1[[#This Row],[x4]] + 1*Table1[[#This Row],[x5]]</f>
        <v>2.1640203012888524</v>
      </c>
      <c r="W154" s="23">
        <f>IF(Table1[[#This Row],[Zscore]]&lt;1.81,1,0)</f>
        <v>0</v>
      </c>
    </row>
    <row r="155" spans="1:23" hidden="1" x14ac:dyDescent="0.45">
      <c r="A155" s="7">
        <v>149</v>
      </c>
      <c r="B155" s="5" t="s">
        <v>311</v>
      </c>
      <c r="C155" s="6" t="s">
        <v>312</v>
      </c>
      <c r="D155" s="6" t="s">
        <v>18</v>
      </c>
      <c r="E155" s="6"/>
      <c r="F155" s="6"/>
      <c r="G155" s="6"/>
      <c r="H155" s="6"/>
      <c r="I155" s="6"/>
      <c r="J155" s="8"/>
      <c r="K155" s="6"/>
      <c r="L155" s="6"/>
      <c r="M155" s="8"/>
      <c r="N155" s="8"/>
      <c r="O155" s="8"/>
      <c r="P155" s="8"/>
      <c r="Q155" s="18" t="e">
        <f>(Table1[[#This Row],[A. TÀI SẢN NGẮN HẠN]]-Table1[[#This Row],[I. Nợ ngắn hạn]])/Table1[[#This Row],[TỔNG CỘNG TÀI SẢN]]</f>
        <v>#DIV/0!</v>
      </c>
      <c r="R155" s="18" t="e">
        <f>Table1[[#This Row],[- LNST chưa phân phối kỳ này]]/Table1[[#This Row],[TỔNG CỘNG TÀI SẢN]]</f>
        <v>#DIV/0!</v>
      </c>
      <c r="S155" s="21" t="e">
        <f>Table1[[#This Row],[5. Lợi nhuận gộp về bán hàng và cung cấp dịch vụ]]/Table1[[#This Row],[TỔNG CỘNG TÀI SẢN]]</f>
        <v>#DIV/0!</v>
      </c>
      <c r="T15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55" s="23" t="e">
        <f>Table1[[#This Row],[1. Doanh thu bán hàng và cung cấp dịch vụ ]]/Table1[[#This Row],[TỔNG CỘNG TÀI SẢN]]</f>
        <v>#DIV/0!</v>
      </c>
      <c r="V155" s="23" t="e">
        <f>1.2*Table1[[#This Row],[X1]] + 1.4*Table1[[#This Row],[X2]] + 3.3*Table1[[#This Row],[x3]] + 0.6*Table1[[#This Row],[x4]] + 1*Table1[[#This Row],[x5]]</f>
        <v>#DIV/0!</v>
      </c>
      <c r="W155" s="23" t="e">
        <f>IF(Table1[[#This Row],[Zscore]]&lt;1.81,1,0)</f>
        <v>#DIV/0!</v>
      </c>
    </row>
    <row r="156" spans="1:23" x14ac:dyDescent="0.45">
      <c r="A156" s="7">
        <v>150</v>
      </c>
      <c r="B156" s="5" t="s">
        <v>313</v>
      </c>
      <c r="C156" s="6" t="s">
        <v>314</v>
      </c>
      <c r="D156" s="6" t="s">
        <v>36</v>
      </c>
      <c r="E156" s="8">
        <v>3411553139043</v>
      </c>
      <c r="F156" s="8">
        <v>773502950461</v>
      </c>
      <c r="G156" s="8">
        <v>1599462374422</v>
      </c>
      <c r="H156" s="8">
        <v>30177699177</v>
      </c>
      <c r="I156" s="8">
        <v>361351163707</v>
      </c>
      <c r="J156" s="8"/>
      <c r="K156" s="8">
        <v>1609286606928</v>
      </c>
      <c r="L156" s="8">
        <v>3869646602915</v>
      </c>
      <c r="M156" s="8">
        <v>948715552400</v>
      </c>
      <c r="N156" s="8">
        <v>936394571200</v>
      </c>
      <c r="O156" s="8">
        <v>936394571200</v>
      </c>
      <c r="P156" s="8">
        <v>1059604383200</v>
      </c>
      <c r="Q156" s="18">
        <f>(Table1[[#This Row],[A. TÀI SẢN NGẮN HẠN]]-Table1[[#This Row],[I. Nợ ngắn hạn]])/Table1[[#This Row],[TỔNG CỘNG TÀI SẢN]]</f>
        <v>-0.24210656856211127</v>
      </c>
      <c r="R156" s="18">
        <f>Table1[[#This Row],[- LNST chưa phân phối kỳ này]]/Table1[[#This Row],[TỔNG CỘNG TÀI SẢN]]</f>
        <v>8.8457362224952391E-3</v>
      </c>
      <c r="S156" s="21">
        <f>Table1[[#This Row],[5. Lợi nhuận gộp về bán hàng và cung cấp dịch vụ]]/Table1[[#This Row],[TỔNG CỘNG TÀI SẢN]]</f>
        <v>0.10591984031307373</v>
      </c>
      <c r="T15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0.60292384546229594</v>
      </c>
      <c r="U156" s="23">
        <f>Table1[[#This Row],[1. Doanh thu bán hàng và cung cấp dịch vụ ]]/Table1[[#This Row],[TỔNG CỘNG TÀI SẢN]]</f>
        <v>1.1342771005467918</v>
      </c>
      <c r="V156" s="23">
        <f>1.2*Table1[[#This Row],[X1]] + 1.4*Table1[[#This Row],[X2]] + 3.3*Table1[[#This Row],[x3]] + 0.6*Table1[[#This Row],[x4]] + 1*Table1[[#This Row],[x5]]</f>
        <v>1.5674230292942726</v>
      </c>
      <c r="W156" s="23">
        <f>IF(Table1[[#This Row],[Zscore]]&lt;1.81,1,0)</f>
        <v>1</v>
      </c>
    </row>
    <row r="157" spans="1:23" ht="26.25" x14ac:dyDescent="0.45">
      <c r="A157" s="7">
        <v>151</v>
      </c>
      <c r="B157" s="5" t="s">
        <v>315</v>
      </c>
      <c r="C157" s="6" t="s">
        <v>316</v>
      </c>
      <c r="D157" s="6" t="s">
        <v>21</v>
      </c>
      <c r="E157" s="8">
        <v>2545354868738</v>
      </c>
      <c r="F157" s="8">
        <v>2471089358109</v>
      </c>
      <c r="G157" s="8">
        <v>1477953785118</v>
      </c>
      <c r="H157" s="8">
        <v>101184187695</v>
      </c>
      <c r="I157" s="8">
        <v>161211713336</v>
      </c>
      <c r="J157" s="8"/>
      <c r="K157" s="8">
        <v>2068616842949</v>
      </c>
      <c r="L157" s="8">
        <v>879545373942</v>
      </c>
      <c r="M157" s="8">
        <v>360500000000</v>
      </c>
      <c r="N157" s="8">
        <v>381500000000</v>
      </c>
      <c r="O157" s="8">
        <v>348250000000</v>
      </c>
      <c r="P157" s="8">
        <v>390250000000</v>
      </c>
      <c r="Q157" s="18">
        <f>(Table1[[#This Row],[A. TÀI SẢN NGẮN HẠN]]-Table1[[#This Row],[I. Nợ ngắn hạn]])/Table1[[#This Row],[TỔNG CỘNG TÀI SẢN]]</f>
        <v>0.39017568245146178</v>
      </c>
      <c r="R157" s="18">
        <f>Table1[[#This Row],[- LNST chưa phân phối kỳ này]]/Table1[[#This Row],[TỔNG CỘNG TÀI SẢN]]</f>
        <v>3.9752487536312622E-2</v>
      </c>
      <c r="S157" s="21">
        <f>Table1[[#This Row],[5. Lợi nhuận gộp về bán hàng và cung cấp dịch vụ]]/Table1[[#This Row],[TỔNG CỘNG TÀI SẢN]]</f>
        <v>6.333565323876808E-2</v>
      </c>
      <c r="T15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0.1789239033132658</v>
      </c>
      <c r="U157" s="23">
        <f>Table1[[#This Row],[1. Doanh thu bán hàng và cung cấp dịch vụ ]]/Table1[[#This Row],[TỔNG CỘNG TÀI SẢN]]</f>
        <v>0.34554921388155324</v>
      </c>
      <c r="V157" s="23">
        <f>1.2*Table1[[#This Row],[X1]] + 1.4*Table1[[#This Row],[X2]] + 3.3*Table1[[#This Row],[x3]] + 0.6*Table1[[#This Row],[x4]] + 1*Table1[[#This Row],[x5]]</f>
        <v>1.1857755130500391</v>
      </c>
      <c r="W157" s="23">
        <f>IF(Table1[[#This Row],[Zscore]]&lt;1.81,1,0)</f>
        <v>1</v>
      </c>
    </row>
    <row r="158" spans="1:23" x14ac:dyDescent="0.45">
      <c r="A158" s="7">
        <v>152</v>
      </c>
      <c r="B158" s="5" t="s">
        <v>317</v>
      </c>
      <c r="C158" s="6" t="s">
        <v>318</v>
      </c>
      <c r="D158" s="6" t="s">
        <v>36</v>
      </c>
      <c r="E158" s="8">
        <v>756568257701</v>
      </c>
      <c r="F158" s="8">
        <v>403008524622</v>
      </c>
      <c r="G158" s="8">
        <v>173438250220</v>
      </c>
      <c r="H158" s="8">
        <v>48843373693</v>
      </c>
      <c r="I158" s="8">
        <v>227482323381</v>
      </c>
      <c r="J158" s="8"/>
      <c r="K158" s="8">
        <v>313659370220</v>
      </c>
      <c r="L158" s="8">
        <v>801802744630</v>
      </c>
      <c r="M158" s="8">
        <v>1389785733000</v>
      </c>
      <c r="N158" s="8">
        <v>1567945001000</v>
      </c>
      <c r="O158" s="8">
        <v>1461643645000</v>
      </c>
      <c r="P158" s="8">
        <v>1461643645000</v>
      </c>
      <c r="Q158" s="18">
        <f>(Table1[[#This Row],[A. TÀI SẢN NGẮN HẠN]]-Table1[[#This Row],[I. Nợ ngắn hạn]])/Table1[[#This Row],[TỔNG CỘNG TÀI SẢN]]</f>
        <v>0.30343630209863687</v>
      </c>
      <c r="R158" s="18">
        <f>Table1[[#This Row],[- LNST chưa phân phối kỳ này]]/Table1[[#This Row],[TỔNG CỘNG TÀI SẢN]]</f>
        <v>6.4559110425041352E-2</v>
      </c>
      <c r="S158" s="21">
        <f>Table1[[#This Row],[5. Lợi nhuận gộp về bán hàng và cung cấp dịch vụ]]/Table1[[#This Row],[TỔNG CỘNG TÀI SẢN]]</f>
        <v>0.3006765365391556</v>
      </c>
      <c r="T15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4.6874241473123108</v>
      </c>
      <c r="U158" s="23">
        <f>Table1[[#This Row],[1. Doanh thu bán hàng và cung cấp dịch vụ ]]/Table1[[#This Row],[TỔNG CỘNG TÀI SẢN]]</f>
        <v>1.0597890361756057</v>
      </c>
      <c r="V158" s="23">
        <f>1.2*Table1[[#This Row],[X1]] + 1.4*Table1[[#This Row],[X2]] + 3.3*Table1[[#This Row],[x3]] + 0.6*Table1[[#This Row],[x4]] + 1*Table1[[#This Row],[x5]]</f>
        <v>5.318982412255628</v>
      </c>
      <c r="W158" s="23">
        <f>IF(Table1[[#This Row],[Zscore]]&lt;1.81,1,0)</f>
        <v>0</v>
      </c>
    </row>
    <row r="159" spans="1:23" hidden="1" x14ac:dyDescent="0.45">
      <c r="A159" s="7">
        <v>153</v>
      </c>
      <c r="B159" s="5" t="s">
        <v>319</v>
      </c>
      <c r="C159" s="6" t="s">
        <v>320</v>
      </c>
      <c r="D159" s="6" t="s">
        <v>21</v>
      </c>
      <c r="E159" s="6"/>
      <c r="F159" s="6"/>
      <c r="G159" s="6"/>
      <c r="H159" s="6"/>
      <c r="I159" s="6"/>
      <c r="J159" s="8"/>
      <c r="K159" s="6"/>
      <c r="L159" s="6"/>
      <c r="M159" s="8"/>
      <c r="N159" s="8"/>
      <c r="O159" s="8"/>
      <c r="P159" s="8"/>
      <c r="Q159" s="18" t="e">
        <f>(Table1[[#This Row],[A. TÀI SẢN NGẮN HẠN]]-Table1[[#This Row],[I. Nợ ngắn hạn]])/Table1[[#This Row],[TỔNG CỘNG TÀI SẢN]]</f>
        <v>#DIV/0!</v>
      </c>
      <c r="R159" s="18" t="e">
        <f>Table1[[#This Row],[- LNST chưa phân phối kỳ này]]/Table1[[#This Row],[TỔNG CỘNG TÀI SẢN]]</f>
        <v>#DIV/0!</v>
      </c>
      <c r="S159" s="21" t="e">
        <f>Table1[[#This Row],[5. Lợi nhuận gộp về bán hàng và cung cấp dịch vụ]]/Table1[[#This Row],[TỔNG CỘNG TÀI SẢN]]</f>
        <v>#DIV/0!</v>
      </c>
      <c r="T15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59" s="23" t="e">
        <f>Table1[[#This Row],[1. Doanh thu bán hàng và cung cấp dịch vụ ]]/Table1[[#This Row],[TỔNG CỘNG TÀI SẢN]]</f>
        <v>#DIV/0!</v>
      </c>
      <c r="V159" s="23" t="e">
        <f>1.2*Table1[[#This Row],[X1]] + 1.4*Table1[[#This Row],[X2]] + 3.3*Table1[[#This Row],[x3]] + 0.6*Table1[[#This Row],[x4]] + 1*Table1[[#This Row],[x5]]</f>
        <v>#DIV/0!</v>
      </c>
      <c r="W159" s="23" t="e">
        <f>IF(Table1[[#This Row],[Zscore]]&lt;1.81,1,0)</f>
        <v>#DIV/0!</v>
      </c>
    </row>
    <row r="160" spans="1:23" ht="26.25" x14ac:dyDescent="0.45">
      <c r="A160" s="7">
        <v>154</v>
      </c>
      <c r="B160" s="5" t="s">
        <v>321</v>
      </c>
      <c r="C160" s="6" t="s">
        <v>322</v>
      </c>
      <c r="D160" s="6" t="s">
        <v>21</v>
      </c>
      <c r="E160" s="8">
        <v>60908205782622</v>
      </c>
      <c r="F160" s="8">
        <v>31384545366358</v>
      </c>
      <c r="G160" s="8">
        <v>21678288206864</v>
      </c>
      <c r="H160" s="8">
        <v>3488464715525</v>
      </c>
      <c r="I160" s="8">
        <v>4162132586440</v>
      </c>
      <c r="J160" s="8"/>
      <c r="K160" s="8">
        <v>37590843080089</v>
      </c>
      <c r="L160" s="8">
        <v>6972462396878</v>
      </c>
      <c r="M160" s="8">
        <v>77418000000000</v>
      </c>
      <c r="N160" s="8">
        <v>63963000000000</v>
      </c>
      <c r="O160" s="8">
        <v>66447000000000</v>
      </c>
      <c r="P160" s="8">
        <v>69241500000000</v>
      </c>
      <c r="Q160" s="18">
        <f>(Table1[[#This Row],[A. TÀI SẢN NGẮN HẠN]]-Table1[[#This Row],[I. Nợ ngắn hạn]])/Table1[[#This Row],[TỔNG CỘNG TÀI SẢN]]</f>
        <v>0.15935877661763823</v>
      </c>
      <c r="R160" s="18">
        <f>Table1[[#This Row],[- LNST chưa phân phối kỳ này]]/Table1[[#This Row],[TỔNG CỘNG TÀI SẢN]]</f>
        <v>5.7274133603198503E-2</v>
      </c>
      <c r="S160" s="21">
        <f>Table1[[#This Row],[5. Lợi nhuận gộp về bán hàng và cung cấp dịch vụ]]/Table1[[#This Row],[TỔNG CỘNG TÀI SẢN]]</f>
        <v>6.8334513108043601E-2</v>
      </c>
      <c r="T16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1.8426661741111448</v>
      </c>
      <c r="U160" s="23">
        <f>Table1[[#This Row],[1. Doanh thu bán hàng và cung cấp dịch vụ ]]/Table1[[#This Row],[TỔNG CỘNG TÀI SẢN]]</f>
        <v>0.11447492677361619</v>
      </c>
      <c r="V160" s="23">
        <f>1.2*Table1[[#This Row],[X1]] + 1.4*Table1[[#This Row],[X2]] + 3.3*Table1[[#This Row],[x3]] + 0.6*Table1[[#This Row],[x4]] + 1*Table1[[#This Row],[x5]]</f>
        <v>1.7169928434824906</v>
      </c>
      <c r="W160" s="23">
        <f>IF(Table1[[#This Row],[Zscore]]&lt;1.81,1,0)</f>
        <v>1</v>
      </c>
    </row>
    <row r="161" spans="1:23" hidden="1" x14ac:dyDescent="0.45">
      <c r="A161" s="7">
        <v>155</v>
      </c>
      <c r="B161" s="5" t="s">
        <v>323</v>
      </c>
      <c r="C161" s="6" t="s">
        <v>324</v>
      </c>
      <c r="D161" s="6" t="s">
        <v>13</v>
      </c>
      <c r="E161" s="6"/>
      <c r="F161" s="6"/>
      <c r="G161" s="6"/>
      <c r="H161" s="6"/>
      <c r="I161" s="6"/>
      <c r="J161" s="8"/>
      <c r="K161" s="6"/>
      <c r="L161" s="6"/>
      <c r="M161" s="8"/>
      <c r="N161" s="8"/>
      <c r="O161" s="8"/>
      <c r="P161" s="8"/>
      <c r="Q161" s="18" t="e">
        <f>(Table1[[#This Row],[A. TÀI SẢN NGẮN HẠN]]-Table1[[#This Row],[I. Nợ ngắn hạn]])/Table1[[#This Row],[TỔNG CỘNG TÀI SẢN]]</f>
        <v>#DIV/0!</v>
      </c>
      <c r="R161" s="18" t="e">
        <f>Table1[[#This Row],[- LNST chưa phân phối kỳ này]]/Table1[[#This Row],[TỔNG CỘNG TÀI SẢN]]</f>
        <v>#DIV/0!</v>
      </c>
      <c r="S161" s="21" t="e">
        <f>Table1[[#This Row],[5. Lợi nhuận gộp về bán hàng và cung cấp dịch vụ]]/Table1[[#This Row],[TỔNG CỘNG TÀI SẢN]]</f>
        <v>#DIV/0!</v>
      </c>
      <c r="T16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61" s="23" t="e">
        <f>Table1[[#This Row],[1. Doanh thu bán hàng và cung cấp dịch vụ ]]/Table1[[#This Row],[TỔNG CỘNG TÀI SẢN]]</f>
        <v>#DIV/0!</v>
      </c>
      <c r="V161" s="23" t="e">
        <f>1.2*Table1[[#This Row],[X1]] + 1.4*Table1[[#This Row],[X2]] + 3.3*Table1[[#This Row],[x3]] + 0.6*Table1[[#This Row],[x4]] + 1*Table1[[#This Row],[x5]]</f>
        <v>#DIV/0!</v>
      </c>
      <c r="W161" s="23" t="e">
        <f>IF(Table1[[#This Row],[Zscore]]&lt;1.81,1,0)</f>
        <v>#DIV/0!</v>
      </c>
    </row>
    <row r="162" spans="1:23" hidden="1" x14ac:dyDescent="0.45">
      <c r="A162" s="7">
        <v>156</v>
      </c>
      <c r="B162" s="5" t="s">
        <v>325</v>
      </c>
      <c r="C162" s="6" t="s">
        <v>326</v>
      </c>
      <c r="D162" s="6" t="s">
        <v>18</v>
      </c>
      <c r="E162" s="8">
        <v>139341767731</v>
      </c>
      <c r="F162" s="8">
        <v>90712508347</v>
      </c>
      <c r="G162" s="8">
        <v>90039177708</v>
      </c>
      <c r="H162" s="8">
        <v>2608675785</v>
      </c>
      <c r="I162" s="8">
        <v>19527315673</v>
      </c>
      <c r="J162" s="8"/>
      <c r="K162" s="8">
        <v>101908430408</v>
      </c>
      <c r="L162" s="8">
        <v>179380520366</v>
      </c>
      <c r="M162" s="8"/>
      <c r="N162" s="8"/>
      <c r="O162" s="8"/>
      <c r="P162" s="8"/>
      <c r="Q162" s="18">
        <f>(Table1[[#This Row],[A. TÀI SẢN NGẮN HẠN]]-Table1[[#This Row],[I. Nợ ngắn hạn]])/Table1[[#This Row],[TỔNG CỘNG TÀI SẢN]]</f>
        <v>4.8322240342168494E-3</v>
      </c>
      <c r="R162" s="18">
        <f>Table1[[#This Row],[- LNST chưa phân phối kỳ này]]/Table1[[#This Row],[TỔNG CỘNG TÀI SẢN]]</f>
        <v>1.8721420199261877E-2</v>
      </c>
      <c r="S162" s="21">
        <f>Table1[[#This Row],[5. Lợi nhuận gộp về bán hàng và cung cấp dịch vụ]]/Table1[[#This Row],[TỔNG CỘNG TÀI SẢN]]</f>
        <v>0.14013971539888587</v>
      </c>
      <c r="T16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62" s="23">
        <f>Table1[[#This Row],[1. Doanh thu bán hàng và cung cấp dịch vụ ]]/Table1[[#This Row],[TỔNG CỘNG TÀI SẢN]]</f>
        <v>1.2873420747201587</v>
      </c>
      <c r="V162" s="23" t="e">
        <f>1.2*Table1[[#This Row],[X1]] + 1.4*Table1[[#This Row],[X2]] + 3.3*Table1[[#This Row],[x3]] + 0.6*Table1[[#This Row],[x4]] + 1*Table1[[#This Row],[x5]]</f>
        <v>#DIV/0!</v>
      </c>
      <c r="W162" s="23" t="e">
        <f>IF(Table1[[#This Row],[Zscore]]&lt;1.81,1,0)</f>
        <v>#DIV/0!</v>
      </c>
    </row>
    <row r="163" spans="1:23" hidden="1" x14ac:dyDescent="0.45">
      <c r="A163" s="7">
        <v>157</v>
      </c>
      <c r="B163" s="5" t="s">
        <v>327</v>
      </c>
      <c r="C163" s="6" t="s">
        <v>328</v>
      </c>
      <c r="D163" s="6" t="s">
        <v>18</v>
      </c>
      <c r="E163" s="6"/>
      <c r="F163" s="6"/>
      <c r="G163" s="6"/>
      <c r="H163" s="6"/>
      <c r="I163" s="6"/>
      <c r="J163" s="8"/>
      <c r="K163" s="6"/>
      <c r="L163" s="6"/>
      <c r="M163" s="8"/>
      <c r="N163" s="8"/>
      <c r="O163" s="8"/>
      <c r="P163" s="8"/>
      <c r="Q163" s="18" t="e">
        <f>(Table1[[#This Row],[A. TÀI SẢN NGẮN HẠN]]-Table1[[#This Row],[I. Nợ ngắn hạn]])/Table1[[#This Row],[TỔNG CỘNG TÀI SẢN]]</f>
        <v>#DIV/0!</v>
      </c>
      <c r="R163" s="18" t="e">
        <f>Table1[[#This Row],[- LNST chưa phân phối kỳ này]]/Table1[[#This Row],[TỔNG CỘNG TÀI SẢN]]</f>
        <v>#DIV/0!</v>
      </c>
      <c r="S163" s="21" t="e">
        <f>Table1[[#This Row],[5. Lợi nhuận gộp về bán hàng và cung cấp dịch vụ]]/Table1[[#This Row],[TỔNG CỘNG TÀI SẢN]]</f>
        <v>#DIV/0!</v>
      </c>
      <c r="T16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63" s="23" t="e">
        <f>Table1[[#This Row],[1. Doanh thu bán hàng và cung cấp dịch vụ ]]/Table1[[#This Row],[TỔNG CỘNG TÀI SẢN]]</f>
        <v>#DIV/0!</v>
      </c>
      <c r="V163" s="23" t="e">
        <f>1.2*Table1[[#This Row],[X1]] + 1.4*Table1[[#This Row],[X2]] + 3.3*Table1[[#This Row],[x3]] + 0.6*Table1[[#This Row],[x4]] + 1*Table1[[#This Row],[x5]]</f>
        <v>#DIV/0!</v>
      </c>
      <c r="W163" s="23" t="e">
        <f>IF(Table1[[#This Row],[Zscore]]&lt;1.81,1,0)</f>
        <v>#DIV/0!</v>
      </c>
    </row>
    <row r="164" spans="1:23" ht="26.25" hidden="1" x14ac:dyDescent="0.45">
      <c r="A164" s="7">
        <v>158</v>
      </c>
      <c r="B164" s="5" t="s">
        <v>329</v>
      </c>
      <c r="C164" s="6" t="s">
        <v>330</v>
      </c>
      <c r="D164" s="6" t="s">
        <v>18</v>
      </c>
      <c r="E164" s="6"/>
      <c r="F164" s="6"/>
      <c r="G164" s="6"/>
      <c r="H164" s="6"/>
      <c r="I164" s="6"/>
      <c r="J164" s="8"/>
      <c r="K164" s="6"/>
      <c r="L164" s="6"/>
      <c r="M164" s="8"/>
      <c r="N164" s="8"/>
      <c r="O164" s="8"/>
      <c r="P164" s="8"/>
      <c r="Q164" s="18" t="e">
        <f>(Table1[[#This Row],[A. TÀI SẢN NGẮN HẠN]]-Table1[[#This Row],[I. Nợ ngắn hạn]])/Table1[[#This Row],[TỔNG CỘNG TÀI SẢN]]</f>
        <v>#DIV/0!</v>
      </c>
      <c r="R164" s="18" t="e">
        <f>Table1[[#This Row],[- LNST chưa phân phối kỳ này]]/Table1[[#This Row],[TỔNG CỘNG TÀI SẢN]]</f>
        <v>#DIV/0!</v>
      </c>
      <c r="S164" s="21" t="e">
        <f>Table1[[#This Row],[5. Lợi nhuận gộp về bán hàng và cung cấp dịch vụ]]/Table1[[#This Row],[TỔNG CỘNG TÀI SẢN]]</f>
        <v>#DIV/0!</v>
      </c>
      <c r="T16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64" s="23" t="e">
        <f>Table1[[#This Row],[1. Doanh thu bán hàng và cung cấp dịch vụ ]]/Table1[[#This Row],[TỔNG CỘNG TÀI SẢN]]</f>
        <v>#DIV/0!</v>
      </c>
      <c r="V164" s="23" t="e">
        <f>1.2*Table1[[#This Row],[X1]] + 1.4*Table1[[#This Row],[X2]] + 3.3*Table1[[#This Row],[x3]] + 0.6*Table1[[#This Row],[x4]] + 1*Table1[[#This Row],[x5]]</f>
        <v>#DIV/0!</v>
      </c>
      <c r="W164" s="23" t="e">
        <f>IF(Table1[[#This Row],[Zscore]]&lt;1.81,1,0)</f>
        <v>#DIV/0!</v>
      </c>
    </row>
    <row r="165" spans="1:23" hidden="1" x14ac:dyDescent="0.45">
      <c r="A165" s="7">
        <v>159</v>
      </c>
      <c r="B165" s="5" t="s">
        <v>331</v>
      </c>
      <c r="C165" s="6" t="s">
        <v>332</v>
      </c>
      <c r="D165" s="6" t="s">
        <v>13</v>
      </c>
      <c r="E165" s="6"/>
      <c r="F165" s="6"/>
      <c r="G165" s="6"/>
      <c r="H165" s="6"/>
      <c r="I165" s="6"/>
      <c r="J165" s="8"/>
      <c r="K165" s="6"/>
      <c r="L165" s="6"/>
      <c r="M165" s="8">
        <v>9124439400</v>
      </c>
      <c r="N165" s="8"/>
      <c r="O165" s="8">
        <v>9687676400</v>
      </c>
      <c r="P165" s="8"/>
      <c r="Q165" s="18" t="e">
        <f>(Table1[[#This Row],[A. TÀI SẢN NGẮN HẠN]]-Table1[[#This Row],[I. Nợ ngắn hạn]])/Table1[[#This Row],[TỔNG CỘNG TÀI SẢN]]</f>
        <v>#DIV/0!</v>
      </c>
      <c r="R165" s="18" t="e">
        <f>Table1[[#This Row],[- LNST chưa phân phối kỳ này]]/Table1[[#This Row],[TỔNG CỘNG TÀI SẢN]]</f>
        <v>#DIV/0!</v>
      </c>
      <c r="S165" s="21" t="e">
        <f>Table1[[#This Row],[5. Lợi nhuận gộp về bán hàng và cung cấp dịch vụ]]/Table1[[#This Row],[TỔNG CỘNG TÀI SẢN]]</f>
        <v>#DIV/0!</v>
      </c>
      <c r="T16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65" s="23" t="e">
        <f>Table1[[#This Row],[1. Doanh thu bán hàng và cung cấp dịch vụ ]]/Table1[[#This Row],[TỔNG CỘNG TÀI SẢN]]</f>
        <v>#DIV/0!</v>
      </c>
      <c r="V165" s="23" t="e">
        <f>1.2*Table1[[#This Row],[X1]] + 1.4*Table1[[#This Row],[X2]] + 3.3*Table1[[#This Row],[x3]] + 0.6*Table1[[#This Row],[x4]] + 1*Table1[[#This Row],[x5]]</f>
        <v>#DIV/0!</v>
      </c>
      <c r="W165" s="23" t="e">
        <f>IF(Table1[[#This Row],[Zscore]]&lt;1.81,1,0)</f>
        <v>#DIV/0!</v>
      </c>
    </row>
    <row r="166" spans="1:23" ht="26.25" hidden="1" x14ac:dyDescent="0.45">
      <c r="A166" s="7">
        <v>160</v>
      </c>
      <c r="B166" s="5" t="s">
        <v>333</v>
      </c>
      <c r="C166" s="6" t="s">
        <v>334</v>
      </c>
      <c r="D166" s="6" t="s">
        <v>13</v>
      </c>
      <c r="E166" s="6"/>
      <c r="F166" s="6"/>
      <c r="G166" s="6"/>
      <c r="H166" s="6"/>
      <c r="I166" s="6"/>
      <c r="J166" s="8"/>
      <c r="K166" s="6"/>
      <c r="L166" s="6"/>
      <c r="M166" s="8"/>
      <c r="N166" s="8"/>
      <c r="O166" s="8"/>
      <c r="P166" s="8"/>
      <c r="Q166" s="18" t="e">
        <f>(Table1[[#This Row],[A. TÀI SẢN NGẮN HẠN]]-Table1[[#This Row],[I. Nợ ngắn hạn]])/Table1[[#This Row],[TỔNG CỘNG TÀI SẢN]]</f>
        <v>#DIV/0!</v>
      </c>
      <c r="R166" s="18" t="e">
        <f>Table1[[#This Row],[- LNST chưa phân phối kỳ này]]/Table1[[#This Row],[TỔNG CỘNG TÀI SẢN]]</f>
        <v>#DIV/0!</v>
      </c>
      <c r="S166" s="21" t="e">
        <f>Table1[[#This Row],[5. Lợi nhuận gộp về bán hàng và cung cấp dịch vụ]]/Table1[[#This Row],[TỔNG CỘNG TÀI SẢN]]</f>
        <v>#DIV/0!</v>
      </c>
      <c r="T16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66" s="23" t="e">
        <f>Table1[[#This Row],[1. Doanh thu bán hàng và cung cấp dịch vụ ]]/Table1[[#This Row],[TỔNG CỘNG TÀI SẢN]]</f>
        <v>#DIV/0!</v>
      </c>
      <c r="V166" s="23" t="e">
        <f>1.2*Table1[[#This Row],[X1]] + 1.4*Table1[[#This Row],[X2]] + 3.3*Table1[[#This Row],[x3]] + 0.6*Table1[[#This Row],[x4]] + 1*Table1[[#This Row],[x5]]</f>
        <v>#DIV/0!</v>
      </c>
      <c r="W166" s="23" t="e">
        <f>IF(Table1[[#This Row],[Zscore]]&lt;1.81,1,0)</f>
        <v>#DIV/0!</v>
      </c>
    </row>
    <row r="167" spans="1:23" hidden="1" x14ac:dyDescent="0.45">
      <c r="A167" s="7">
        <v>161</v>
      </c>
      <c r="B167" s="5" t="s">
        <v>335</v>
      </c>
      <c r="C167" s="6" t="s">
        <v>336</v>
      </c>
      <c r="D167" s="6" t="s">
        <v>13</v>
      </c>
      <c r="E167" s="6"/>
      <c r="F167" s="6"/>
      <c r="G167" s="6"/>
      <c r="H167" s="6"/>
      <c r="I167" s="6"/>
      <c r="J167" s="8"/>
      <c r="K167" s="6"/>
      <c r="L167" s="6"/>
      <c r="M167" s="8"/>
      <c r="N167" s="8"/>
      <c r="O167" s="8"/>
      <c r="P167" s="8"/>
      <c r="Q167" s="18" t="e">
        <f>(Table1[[#This Row],[A. TÀI SẢN NGẮN HẠN]]-Table1[[#This Row],[I. Nợ ngắn hạn]])/Table1[[#This Row],[TỔNG CỘNG TÀI SẢN]]</f>
        <v>#DIV/0!</v>
      </c>
      <c r="R167" s="18" t="e">
        <f>Table1[[#This Row],[- LNST chưa phân phối kỳ này]]/Table1[[#This Row],[TỔNG CỘNG TÀI SẢN]]</f>
        <v>#DIV/0!</v>
      </c>
      <c r="S167" s="21" t="e">
        <f>Table1[[#This Row],[5. Lợi nhuận gộp về bán hàng và cung cấp dịch vụ]]/Table1[[#This Row],[TỔNG CỘNG TÀI SẢN]]</f>
        <v>#DIV/0!</v>
      </c>
      <c r="T16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67" s="23" t="e">
        <f>Table1[[#This Row],[1. Doanh thu bán hàng và cung cấp dịch vụ ]]/Table1[[#This Row],[TỔNG CỘNG TÀI SẢN]]</f>
        <v>#DIV/0!</v>
      </c>
      <c r="V167" s="23" t="e">
        <f>1.2*Table1[[#This Row],[X1]] + 1.4*Table1[[#This Row],[X2]] + 3.3*Table1[[#This Row],[x3]] + 0.6*Table1[[#This Row],[x4]] + 1*Table1[[#This Row],[x5]]</f>
        <v>#DIV/0!</v>
      </c>
      <c r="W167" s="23" t="e">
        <f>IF(Table1[[#This Row],[Zscore]]&lt;1.81,1,0)</f>
        <v>#DIV/0!</v>
      </c>
    </row>
    <row r="168" spans="1:23" x14ac:dyDescent="0.45">
      <c r="A168" s="7">
        <v>162</v>
      </c>
      <c r="B168" s="5" t="s">
        <v>337</v>
      </c>
      <c r="C168" s="6" t="s">
        <v>338</v>
      </c>
      <c r="D168" s="6" t="s">
        <v>18</v>
      </c>
      <c r="E168" s="8">
        <v>1147607909599</v>
      </c>
      <c r="F168" s="8">
        <v>816116663223</v>
      </c>
      <c r="G168" s="8">
        <v>424095138589</v>
      </c>
      <c r="H168" s="8">
        <v>125176009558</v>
      </c>
      <c r="I168" s="8">
        <v>285584443987</v>
      </c>
      <c r="J168" s="8"/>
      <c r="K168" s="8">
        <v>432303277407</v>
      </c>
      <c r="L168" s="8">
        <v>1765786732420</v>
      </c>
      <c r="M168" s="8">
        <v>1001916768000</v>
      </c>
      <c r="N168" s="8">
        <v>1051516608000</v>
      </c>
      <c r="O168" s="8">
        <v>843197280000</v>
      </c>
      <c r="P168" s="8">
        <v>954796920000</v>
      </c>
      <c r="Q168" s="18">
        <f>(Table1[[#This Row],[A. TÀI SẢN NGẮN HẠN]]-Table1[[#This Row],[I. Nợ ngắn hạn]])/Table1[[#This Row],[TỔNG CỘNG TÀI SẢN]]</f>
        <v>0.34159883471958741</v>
      </c>
      <c r="R168" s="18">
        <f>Table1[[#This Row],[- LNST chưa phân phối kỳ này]]/Table1[[#This Row],[TỔNG CỘNG TÀI SẢN]]</f>
        <v>0.10907558976457327</v>
      </c>
      <c r="S168" s="21">
        <f>Table1[[#This Row],[5. Lợi nhuận gộp về bán hàng và cung cấp dịch vụ]]/Table1[[#This Row],[TỔNG CỘNG TÀI SẢN]]</f>
        <v>0.24885193069712253</v>
      </c>
      <c r="T16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2.2272717888592375</v>
      </c>
      <c r="U168" s="23">
        <f>Table1[[#This Row],[1. Doanh thu bán hàng và cung cấp dịch vụ ]]/Table1[[#This Row],[TỔNG CỘNG TÀI SẢN]]</f>
        <v>1.538667272724711</v>
      </c>
      <c r="V168" s="23">
        <f>1.2*Table1[[#This Row],[X1]] + 1.4*Table1[[#This Row],[X2]] + 3.3*Table1[[#This Row],[x3]] + 0.6*Table1[[#This Row],[x4]] + 1*Table1[[#This Row],[x5]]</f>
        <v>4.2588661446746645</v>
      </c>
      <c r="W168" s="23">
        <f>IF(Table1[[#This Row],[Zscore]]&lt;1.81,1,0)</f>
        <v>0</v>
      </c>
    </row>
    <row r="169" spans="1:23" hidden="1" x14ac:dyDescent="0.45">
      <c r="A169" s="7">
        <v>163</v>
      </c>
      <c r="B169" s="5" t="s">
        <v>339</v>
      </c>
      <c r="C169" s="6" t="s">
        <v>340</v>
      </c>
      <c r="D169" s="6" t="s">
        <v>13</v>
      </c>
      <c r="E169" s="6"/>
      <c r="F169" s="6"/>
      <c r="G169" s="6"/>
      <c r="H169" s="6"/>
      <c r="I169" s="6"/>
      <c r="J169" s="8"/>
      <c r="K169" s="6"/>
      <c r="L169" s="6"/>
      <c r="M169" s="8"/>
      <c r="N169" s="8"/>
      <c r="O169" s="8"/>
      <c r="P169" s="8"/>
      <c r="Q169" s="18" t="e">
        <f>(Table1[[#This Row],[A. TÀI SẢN NGẮN HẠN]]-Table1[[#This Row],[I. Nợ ngắn hạn]])/Table1[[#This Row],[TỔNG CỘNG TÀI SẢN]]</f>
        <v>#DIV/0!</v>
      </c>
      <c r="R169" s="18" t="e">
        <f>Table1[[#This Row],[- LNST chưa phân phối kỳ này]]/Table1[[#This Row],[TỔNG CỘNG TÀI SẢN]]</f>
        <v>#DIV/0!</v>
      </c>
      <c r="S169" s="21" t="e">
        <f>Table1[[#This Row],[5. Lợi nhuận gộp về bán hàng và cung cấp dịch vụ]]/Table1[[#This Row],[TỔNG CỘNG TÀI SẢN]]</f>
        <v>#DIV/0!</v>
      </c>
      <c r="T16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69" s="23" t="e">
        <f>Table1[[#This Row],[1. Doanh thu bán hàng và cung cấp dịch vụ ]]/Table1[[#This Row],[TỔNG CỘNG TÀI SẢN]]</f>
        <v>#DIV/0!</v>
      </c>
      <c r="V169" s="23" t="e">
        <f>1.2*Table1[[#This Row],[X1]] + 1.4*Table1[[#This Row],[X2]] + 3.3*Table1[[#This Row],[x3]] + 0.6*Table1[[#This Row],[x4]] + 1*Table1[[#This Row],[x5]]</f>
        <v>#DIV/0!</v>
      </c>
      <c r="W169" s="23" t="e">
        <f>IF(Table1[[#This Row],[Zscore]]&lt;1.81,1,0)</f>
        <v>#DIV/0!</v>
      </c>
    </row>
    <row r="170" spans="1:23" ht="26.25" hidden="1" x14ac:dyDescent="0.45">
      <c r="A170" s="7">
        <v>164</v>
      </c>
      <c r="B170" s="5" t="s">
        <v>341</v>
      </c>
      <c r="C170" s="6" t="s">
        <v>342</v>
      </c>
      <c r="D170" s="6" t="s">
        <v>13</v>
      </c>
      <c r="E170" s="6"/>
      <c r="F170" s="6"/>
      <c r="G170" s="6"/>
      <c r="H170" s="6"/>
      <c r="I170" s="6"/>
      <c r="J170" s="8"/>
      <c r="K170" s="6"/>
      <c r="L170" s="6"/>
      <c r="M170" s="8"/>
      <c r="N170" s="8"/>
      <c r="O170" s="8"/>
      <c r="P170" s="8"/>
      <c r="Q170" s="18" t="e">
        <f>(Table1[[#This Row],[A. TÀI SẢN NGẮN HẠN]]-Table1[[#This Row],[I. Nợ ngắn hạn]])/Table1[[#This Row],[TỔNG CỘNG TÀI SẢN]]</f>
        <v>#DIV/0!</v>
      </c>
      <c r="R170" s="18" t="e">
        <f>Table1[[#This Row],[- LNST chưa phân phối kỳ này]]/Table1[[#This Row],[TỔNG CỘNG TÀI SẢN]]</f>
        <v>#DIV/0!</v>
      </c>
      <c r="S170" s="21" t="e">
        <f>Table1[[#This Row],[5. Lợi nhuận gộp về bán hàng và cung cấp dịch vụ]]/Table1[[#This Row],[TỔNG CỘNG TÀI SẢN]]</f>
        <v>#DIV/0!</v>
      </c>
      <c r="T17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70" s="23" t="e">
        <f>Table1[[#This Row],[1. Doanh thu bán hàng và cung cấp dịch vụ ]]/Table1[[#This Row],[TỔNG CỘNG TÀI SẢN]]</f>
        <v>#DIV/0!</v>
      </c>
      <c r="V170" s="23" t="e">
        <f>1.2*Table1[[#This Row],[X1]] + 1.4*Table1[[#This Row],[X2]] + 3.3*Table1[[#This Row],[x3]] + 0.6*Table1[[#This Row],[x4]] + 1*Table1[[#This Row],[x5]]</f>
        <v>#DIV/0!</v>
      </c>
      <c r="W170" s="23" t="e">
        <f>IF(Table1[[#This Row],[Zscore]]&lt;1.81,1,0)</f>
        <v>#DIV/0!</v>
      </c>
    </row>
    <row r="171" spans="1:23" hidden="1" x14ac:dyDescent="0.45">
      <c r="A171" s="7">
        <v>165</v>
      </c>
      <c r="B171" s="5" t="s">
        <v>343</v>
      </c>
      <c r="C171" s="6" t="s">
        <v>344</v>
      </c>
      <c r="D171" s="6" t="s">
        <v>13</v>
      </c>
      <c r="E171" s="6"/>
      <c r="F171" s="6"/>
      <c r="G171" s="6"/>
      <c r="H171" s="6"/>
      <c r="I171" s="6"/>
      <c r="J171" s="8"/>
      <c r="K171" s="6"/>
      <c r="L171" s="6"/>
      <c r="M171" s="8"/>
      <c r="N171" s="8"/>
      <c r="O171" s="8"/>
      <c r="P171" s="8"/>
      <c r="Q171" s="18" t="e">
        <f>(Table1[[#This Row],[A. TÀI SẢN NGẮN HẠN]]-Table1[[#This Row],[I. Nợ ngắn hạn]])/Table1[[#This Row],[TỔNG CỘNG TÀI SẢN]]</f>
        <v>#DIV/0!</v>
      </c>
      <c r="R171" s="18" t="e">
        <f>Table1[[#This Row],[- LNST chưa phân phối kỳ này]]/Table1[[#This Row],[TỔNG CỘNG TÀI SẢN]]</f>
        <v>#DIV/0!</v>
      </c>
      <c r="S171" s="21" t="e">
        <f>Table1[[#This Row],[5. Lợi nhuận gộp về bán hàng và cung cấp dịch vụ]]/Table1[[#This Row],[TỔNG CỘNG TÀI SẢN]]</f>
        <v>#DIV/0!</v>
      </c>
      <c r="T17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71" s="23" t="e">
        <f>Table1[[#This Row],[1. Doanh thu bán hàng và cung cấp dịch vụ ]]/Table1[[#This Row],[TỔNG CỘNG TÀI SẢN]]</f>
        <v>#DIV/0!</v>
      </c>
      <c r="V171" s="23" t="e">
        <f>1.2*Table1[[#This Row],[X1]] + 1.4*Table1[[#This Row],[X2]] + 3.3*Table1[[#This Row],[x3]] + 0.6*Table1[[#This Row],[x4]] + 1*Table1[[#This Row],[x5]]</f>
        <v>#DIV/0!</v>
      </c>
      <c r="W171" s="23" t="e">
        <f>IF(Table1[[#This Row],[Zscore]]&lt;1.81,1,0)</f>
        <v>#DIV/0!</v>
      </c>
    </row>
    <row r="172" spans="1:23" ht="26.25" hidden="1" x14ac:dyDescent="0.45">
      <c r="A172" s="7">
        <v>166</v>
      </c>
      <c r="B172" s="5" t="s">
        <v>345</v>
      </c>
      <c r="C172" s="6" t="s">
        <v>346</v>
      </c>
      <c r="D172" s="6" t="s">
        <v>13</v>
      </c>
      <c r="E172" s="6"/>
      <c r="F172" s="6"/>
      <c r="G172" s="6"/>
      <c r="H172" s="6"/>
      <c r="I172" s="6"/>
      <c r="J172" s="8"/>
      <c r="K172" s="6"/>
      <c r="L172" s="6"/>
      <c r="M172" s="8"/>
      <c r="N172" s="8"/>
      <c r="O172" s="8"/>
      <c r="P172" s="8"/>
      <c r="Q172" s="18" t="e">
        <f>(Table1[[#This Row],[A. TÀI SẢN NGẮN HẠN]]-Table1[[#This Row],[I. Nợ ngắn hạn]])/Table1[[#This Row],[TỔNG CỘNG TÀI SẢN]]</f>
        <v>#DIV/0!</v>
      </c>
      <c r="R172" s="18" t="e">
        <f>Table1[[#This Row],[- LNST chưa phân phối kỳ này]]/Table1[[#This Row],[TỔNG CỘNG TÀI SẢN]]</f>
        <v>#DIV/0!</v>
      </c>
      <c r="S172" s="21" t="e">
        <f>Table1[[#This Row],[5. Lợi nhuận gộp về bán hàng và cung cấp dịch vụ]]/Table1[[#This Row],[TỔNG CỘNG TÀI SẢN]]</f>
        <v>#DIV/0!</v>
      </c>
      <c r="T17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72" s="23" t="e">
        <f>Table1[[#This Row],[1. Doanh thu bán hàng và cung cấp dịch vụ ]]/Table1[[#This Row],[TỔNG CỘNG TÀI SẢN]]</f>
        <v>#DIV/0!</v>
      </c>
      <c r="V172" s="23" t="e">
        <f>1.2*Table1[[#This Row],[X1]] + 1.4*Table1[[#This Row],[X2]] + 3.3*Table1[[#This Row],[x3]] + 0.6*Table1[[#This Row],[x4]] + 1*Table1[[#This Row],[x5]]</f>
        <v>#DIV/0!</v>
      </c>
      <c r="W172" s="23" t="e">
        <f>IF(Table1[[#This Row],[Zscore]]&lt;1.81,1,0)</f>
        <v>#DIV/0!</v>
      </c>
    </row>
    <row r="173" spans="1:23" hidden="1" x14ac:dyDescent="0.45">
      <c r="A173" s="7">
        <v>167</v>
      </c>
      <c r="B173" s="5" t="s">
        <v>347</v>
      </c>
      <c r="C173" s="6" t="s">
        <v>348</v>
      </c>
      <c r="D173" s="6" t="s">
        <v>13</v>
      </c>
      <c r="E173" s="6"/>
      <c r="F173" s="6"/>
      <c r="G173" s="6"/>
      <c r="H173" s="6"/>
      <c r="I173" s="6"/>
      <c r="J173" s="8"/>
      <c r="K173" s="6"/>
      <c r="L173" s="6"/>
      <c r="M173" s="8"/>
      <c r="N173" s="8"/>
      <c r="O173" s="8"/>
      <c r="P173" s="8"/>
      <c r="Q173" s="18" t="e">
        <f>(Table1[[#This Row],[A. TÀI SẢN NGẮN HẠN]]-Table1[[#This Row],[I. Nợ ngắn hạn]])/Table1[[#This Row],[TỔNG CỘNG TÀI SẢN]]</f>
        <v>#DIV/0!</v>
      </c>
      <c r="R173" s="18" t="e">
        <f>Table1[[#This Row],[- LNST chưa phân phối kỳ này]]/Table1[[#This Row],[TỔNG CỘNG TÀI SẢN]]</f>
        <v>#DIV/0!</v>
      </c>
      <c r="S173" s="21" t="e">
        <f>Table1[[#This Row],[5. Lợi nhuận gộp về bán hàng và cung cấp dịch vụ]]/Table1[[#This Row],[TỔNG CỘNG TÀI SẢN]]</f>
        <v>#DIV/0!</v>
      </c>
      <c r="T17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73" s="23" t="e">
        <f>Table1[[#This Row],[1. Doanh thu bán hàng và cung cấp dịch vụ ]]/Table1[[#This Row],[TỔNG CỘNG TÀI SẢN]]</f>
        <v>#DIV/0!</v>
      </c>
      <c r="V173" s="23" t="e">
        <f>1.2*Table1[[#This Row],[X1]] + 1.4*Table1[[#This Row],[X2]] + 3.3*Table1[[#This Row],[x3]] + 0.6*Table1[[#This Row],[x4]] + 1*Table1[[#This Row],[x5]]</f>
        <v>#DIV/0!</v>
      </c>
      <c r="W173" s="23" t="e">
        <f>IF(Table1[[#This Row],[Zscore]]&lt;1.81,1,0)</f>
        <v>#DIV/0!</v>
      </c>
    </row>
    <row r="174" spans="1:23" ht="26.25" x14ac:dyDescent="0.45">
      <c r="A174" s="7">
        <v>168</v>
      </c>
      <c r="B174" s="5" t="s">
        <v>349</v>
      </c>
      <c r="C174" s="6" t="s">
        <v>350</v>
      </c>
      <c r="D174" s="6" t="s">
        <v>18</v>
      </c>
      <c r="E174" s="8">
        <v>1087196060647</v>
      </c>
      <c r="F174" s="8">
        <v>157069002602</v>
      </c>
      <c r="G174" s="8">
        <v>168495902453</v>
      </c>
      <c r="H174" s="8">
        <v>7888334799</v>
      </c>
      <c r="I174" s="8">
        <v>65078414456</v>
      </c>
      <c r="J174" s="8"/>
      <c r="K174" s="8">
        <v>532477343937</v>
      </c>
      <c r="L174" s="8">
        <v>227059487493</v>
      </c>
      <c r="M174" s="8">
        <v>289465500000</v>
      </c>
      <c r="N174" s="8">
        <v>374375380000</v>
      </c>
      <c r="O174" s="8">
        <v>274027340000</v>
      </c>
      <c r="P174" s="8">
        <v>362796760000</v>
      </c>
      <c r="Q174" s="18">
        <f>(Table1[[#This Row],[A. TÀI SẢN NGẮN HẠN]]-Table1[[#This Row],[I. Nợ ngắn hạn]])/Table1[[#This Row],[TỔNG CỘNG TÀI SẢN]]</f>
        <v>-1.0510431618193825E-2</v>
      </c>
      <c r="R174" s="18">
        <f>Table1[[#This Row],[- LNST chưa phân phối kỳ này]]/Table1[[#This Row],[TỔNG CỘNG TÀI SẢN]]</f>
        <v>7.2556690412450371E-3</v>
      </c>
      <c r="S174" s="21">
        <f>Table1[[#This Row],[5. Lợi nhuận gộp về bán hàng và cung cấp dịch vụ]]/Table1[[#This Row],[TỔNG CỘNG TÀI SẢN]]</f>
        <v>5.9858949835847691E-2</v>
      </c>
      <c r="T17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0.61066681747584739</v>
      </c>
      <c r="U174" s="23">
        <f>Table1[[#This Row],[1. Doanh thu bán hàng và cung cấp dịch vụ ]]/Table1[[#This Row],[TỔNG CỘNG TÀI SẢN]]</f>
        <v>0.20884870329448663</v>
      </c>
      <c r="V174" s="23">
        <f>1.2*Table1[[#This Row],[X1]] + 1.4*Table1[[#This Row],[X2]] + 3.3*Table1[[#This Row],[x3]] + 0.6*Table1[[#This Row],[x4]] + 1*Table1[[#This Row],[x5]]</f>
        <v>0.77032874695420284</v>
      </c>
      <c r="W174" s="23">
        <f>IF(Table1[[#This Row],[Zscore]]&lt;1.81,1,0)</f>
        <v>1</v>
      </c>
    </row>
    <row r="175" spans="1:23" x14ac:dyDescent="0.45">
      <c r="A175" s="7">
        <v>169</v>
      </c>
      <c r="B175" s="5" t="s">
        <v>351</v>
      </c>
      <c r="C175" s="6" t="s">
        <v>352</v>
      </c>
      <c r="D175" s="6" t="s">
        <v>18</v>
      </c>
      <c r="E175" s="8">
        <v>458199639874</v>
      </c>
      <c r="F175" s="8">
        <v>84594775840</v>
      </c>
      <c r="G175" s="8">
        <v>80399565352</v>
      </c>
      <c r="H175" s="8">
        <v>38032120856</v>
      </c>
      <c r="I175" s="8">
        <v>104812106795</v>
      </c>
      <c r="J175" s="8"/>
      <c r="K175" s="8">
        <v>167863369499</v>
      </c>
      <c r="L175" s="8">
        <v>310557979700</v>
      </c>
      <c r="M175" s="8">
        <v>321439720000</v>
      </c>
      <c r="N175" s="8">
        <v>346261320000</v>
      </c>
      <c r="O175" s="8">
        <v>368600760000</v>
      </c>
      <c r="P175" s="8">
        <v>346261320000</v>
      </c>
      <c r="Q175" s="18">
        <f>(Table1[[#This Row],[A. TÀI SẢN NGẮN HẠN]]-Table1[[#This Row],[I. Nợ ngắn hạn]])/Table1[[#This Row],[TỔNG CỘNG TÀI SẢN]]</f>
        <v>9.1558572354042845E-3</v>
      </c>
      <c r="R175" s="18">
        <f>Table1[[#This Row],[- LNST chưa phân phối kỳ này]]/Table1[[#This Row],[TỔNG CỘNG TÀI SẢN]]</f>
        <v>8.3003384434039332E-2</v>
      </c>
      <c r="S175" s="21">
        <f>Table1[[#This Row],[5. Lợi nhuận gộp về bán hàng và cung cấp dịch vụ]]/Table1[[#This Row],[TỔNG CỘNG TÀI SẢN]]</f>
        <v>0.22874768479482482</v>
      </c>
      <c r="T17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2.0590601810960254</v>
      </c>
      <c r="U175" s="23">
        <f>Table1[[#This Row],[1. Doanh thu bán hàng và cung cấp dịch vụ ]]/Table1[[#This Row],[TỔNG CỘNG TÀI SẢN]]</f>
        <v>0.67777875116925046</v>
      </c>
      <c r="V175" s="23">
        <f>1.2*Table1[[#This Row],[X1]] + 1.4*Table1[[#This Row],[X2]] + 3.3*Table1[[#This Row],[x3]] + 0.6*Table1[[#This Row],[x4]] + 1*Table1[[#This Row],[x5]]</f>
        <v>2.7952739865399274</v>
      </c>
      <c r="W175" s="23">
        <f>IF(Table1[[#This Row],[Zscore]]&lt;1.81,1,0)</f>
        <v>0</v>
      </c>
    </row>
    <row r="176" spans="1:23" hidden="1" x14ac:dyDescent="0.45">
      <c r="A176" s="7">
        <v>170</v>
      </c>
      <c r="B176" s="5" t="s">
        <v>353</v>
      </c>
      <c r="C176" s="6" t="s">
        <v>354</v>
      </c>
      <c r="D176" s="6" t="s">
        <v>13</v>
      </c>
      <c r="E176" s="6"/>
      <c r="F176" s="6"/>
      <c r="G176" s="6"/>
      <c r="H176" s="6"/>
      <c r="I176" s="6"/>
      <c r="J176" s="8"/>
      <c r="K176" s="6"/>
      <c r="L176" s="6"/>
      <c r="M176" s="8"/>
      <c r="N176" s="8"/>
      <c r="O176" s="8"/>
      <c r="P176" s="8"/>
      <c r="Q176" s="18" t="e">
        <f>(Table1[[#This Row],[A. TÀI SẢN NGẮN HẠN]]-Table1[[#This Row],[I. Nợ ngắn hạn]])/Table1[[#This Row],[TỔNG CỘNG TÀI SẢN]]</f>
        <v>#DIV/0!</v>
      </c>
      <c r="R176" s="18" t="e">
        <f>Table1[[#This Row],[- LNST chưa phân phối kỳ này]]/Table1[[#This Row],[TỔNG CỘNG TÀI SẢN]]</f>
        <v>#DIV/0!</v>
      </c>
      <c r="S176" s="21" t="e">
        <f>Table1[[#This Row],[5. Lợi nhuận gộp về bán hàng và cung cấp dịch vụ]]/Table1[[#This Row],[TỔNG CỘNG TÀI SẢN]]</f>
        <v>#DIV/0!</v>
      </c>
      <c r="T17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76" s="23" t="e">
        <f>Table1[[#This Row],[1. Doanh thu bán hàng và cung cấp dịch vụ ]]/Table1[[#This Row],[TỔNG CỘNG TÀI SẢN]]</f>
        <v>#DIV/0!</v>
      </c>
      <c r="V176" s="23" t="e">
        <f>1.2*Table1[[#This Row],[X1]] + 1.4*Table1[[#This Row],[X2]] + 3.3*Table1[[#This Row],[x3]] + 0.6*Table1[[#This Row],[x4]] + 1*Table1[[#This Row],[x5]]</f>
        <v>#DIV/0!</v>
      </c>
      <c r="W176" s="23" t="e">
        <f>IF(Table1[[#This Row],[Zscore]]&lt;1.81,1,0)</f>
        <v>#DIV/0!</v>
      </c>
    </row>
    <row r="177" spans="1:23" ht="26.25" x14ac:dyDescent="0.45">
      <c r="A177" s="7">
        <v>171</v>
      </c>
      <c r="B177" s="5" t="s">
        <v>355</v>
      </c>
      <c r="C177" s="6" t="s">
        <v>356</v>
      </c>
      <c r="D177" s="6" t="s">
        <v>36</v>
      </c>
      <c r="E177" s="8">
        <v>51922495091</v>
      </c>
      <c r="F177" s="8">
        <v>32184169322</v>
      </c>
      <c r="G177" s="8">
        <v>9617531551</v>
      </c>
      <c r="H177" s="8">
        <v>5204054648</v>
      </c>
      <c r="I177" s="8">
        <v>19532167002</v>
      </c>
      <c r="J177" s="8"/>
      <c r="K177" s="8">
        <v>10158181551</v>
      </c>
      <c r="L177" s="8">
        <v>73649215707</v>
      </c>
      <c r="M177" s="8">
        <v>92400000000</v>
      </c>
      <c r="N177" s="8">
        <v>77400000000</v>
      </c>
      <c r="O177" s="8">
        <v>77400000000</v>
      </c>
      <c r="P177" s="8">
        <v>77400000000</v>
      </c>
      <c r="Q177" s="18">
        <f>(Table1[[#This Row],[A. TÀI SẢN NGẮN HẠN]]-Table1[[#This Row],[I. Nợ ngắn hạn]])/Table1[[#This Row],[TỔNG CỘNG TÀI SẢN]]</f>
        <v>0.43462159766107994</v>
      </c>
      <c r="R177" s="18">
        <f>Table1[[#This Row],[- LNST chưa phân phối kỳ này]]/Table1[[#This Row],[TỔNG CỘNG TÀI SẢN]]</f>
        <v>0.10022736077839307</v>
      </c>
      <c r="S177" s="21">
        <f>Table1[[#This Row],[5. Lợi nhuận gộp về bán hàng và cung cấp dịch vụ]]/Table1[[#This Row],[TỔNG CỘNG TÀI SẢN]]</f>
        <v>0.3761792835218663</v>
      </c>
      <c r="T17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7.9886345398120362</v>
      </c>
      <c r="U177" s="23">
        <f>Table1[[#This Row],[1. Doanh thu bán hàng và cung cấp dịch vụ ]]/Table1[[#This Row],[TỔNG CỘNG TÀI SẢN]]</f>
        <v>1.4184452341498899</v>
      </c>
      <c r="V177" s="23">
        <f>1.2*Table1[[#This Row],[X1]] + 1.4*Table1[[#This Row],[X2]] + 3.3*Table1[[#This Row],[x3]] + 0.6*Table1[[#This Row],[x4]] + 1*Table1[[#This Row],[x5]]</f>
        <v>8.1148818159423168</v>
      </c>
      <c r="W177" s="23">
        <f>IF(Table1[[#This Row],[Zscore]]&lt;1.81,1,0)</f>
        <v>0</v>
      </c>
    </row>
    <row r="178" spans="1:23" hidden="1" x14ac:dyDescent="0.45">
      <c r="A178" s="7">
        <v>172</v>
      </c>
      <c r="B178" s="5" t="s">
        <v>357</v>
      </c>
      <c r="C178" s="6" t="s">
        <v>358</v>
      </c>
      <c r="D178" s="6" t="s">
        <v>18</v>
      </c>
      <c r="E178" s="8">
        <v>70903580756</v>
      </c>
      <c r="F178" s="8">
        <v>61267332041</v>
      </c>
      <c r="G178" s="8">
        <v>1799132330</v>
      </c>
      <c r="H178" s="8">
        <v>3385052274</v>
      </c>
      <c r="I178" s="8">
        <v>10215994722</v>
      </c>
      <c r="J178" s="8"/>
      <c r="K178" s="8">
        <v>7128686330</v>
      </c>
      <c r="L178" s="8">
        <v>17730108513</v>
      </c>
      <c r="M178" s="8"/>
      <c r="N178" s="8"/>
      <c r="O178" s="8"/>
      <c r="P178" s="8"/>
      <c r="Q178" s="18">
        <f>(Table1[[#This Row],[A. TÀI SẢN NGẮN HẠN]]-Table1[[#This Row],[I. Nợ ngắn hạn]])/Table1[[#This Row],[TỔNG CỘNG TÀI SẢN]]</f>
        <v>0.8387192730878783</v>
      </c>
      <c r="R178" s="18">
        <f>Table1[[#This Row],[- LNST chưa phân phối kỳ này]]/Table1[[#This Row],[TỔNG CỘNG TÀI SẢN]]</f>
        <v>4.774162655690066E-2</v>
      </c>
      <c r="S178" s="21">
        <f>Table1[[#This Row],[5. Lợi nhuận gộp về bán hàng và cung cấp dịch vụ]]/Table1[[#This Row],[TỔNG CỘNG TÀI SẢN]]</f>
        <v>0.14408291673104962</v>
      </c>
      <c r="T17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78" s="23">
        <f>Table1[[#This Row],[1. Doanh thu bán hàng và cung cấp dịch vụ ]]/Table1[[#This Row],[TỔNG CỘNG TÀI SẢN]]</f>
        <v>0.25005942328941749</v>
      </c>
      <c r="V178" s="23" t="e">
        <f>1.2*Table1[[#This Row],[X1]] + 1.4*Table1[[#This Row],[X2]] + 3.3*Table1[[#This Row],[x3]] + 0.6*Table1[[#This Row],[x4]] + 1*Table1[[#This Row],[x5]]</f>
        <v>#DIV/0!</v>
      </c>
      <c r="W178" s="23" t="e">
        <f>IF(Table1[[#This Row],[Zscore]]&lt;1.81,1,0)</f>
        <v>#DIV/0!</v>
      </c>
    </row>
    <row r="179" spans="1:23" hidden="1" x14ac:dyDescent="0.45">
      <c r="A179" s="7">
        <v>173</v>
      </c>
      <c r="B179" s="5" t="s">
        <v>359</v>
      </c>
      <c r="C179" s="6" t="s">
        <v>360</v>
      </c>
      <c r="D179" s="6" t="s">
        <v>13</v>
      </c>
      <c r="E179" s="6"/>
      <c r="F179" s="6"/>
      <c r="G179" s="6"/>
      <c r="H179" s="6"/>
      <c r="I179" s="6"/>
      <c r="J179" s="8"/>
      <c r="K179" s="6"/>
      <c r="L179" s="6"/>
      <c r="M179" s="8"/>
      <c r="N179" s="8"/>
      <c r="O179" s="8"/>
      <c r="P179" s="8"/>
      <c r="Q179" s="18" t="e">
        <f>(Table1[[#This Row],[A. TÀI SẢN NGẮN HẠN]]-Table1[[#This Row],[I. Nợ ngắn hạn]])/Table1[[#This Row],[TỔNG CỘNG TÀI SẢN]]</f>
        <v>#DIV/0!</v>
      </c>
      <c r="R179" s="18" t="e">
        <f>Table1[[#This Row],[- LNST chưa phân phối kỳ này]]/Table1[[#This Row],[TỔNG CỘNG TÀI SẢN]]</f>
        <v>#DIV/0!</v>
      </c>
      <c r="S179" s="21" t="e">
        <f>Table1[[#This Row],[5. Lợi nhuận gộp về bán hàng và cung cấp dịch vụ]]/Table1[[#This Row],[TỔNG CỘNG TÀI SẢN]]</f>
        <v>#DIV/0!</v>
      </c>
      <c r="T17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79" s="23" t="e">
        <f>Table1[[#This Row],[1. Doanh thu bán hàng và cung cấp dịch vụ ]]/Table1[[#This Row],[TỔNG CỘNG TÀI SẢN]]</f>
        <v>#DIV/0!</v>
      </c>
      <c r="V179" s="23" t="e">
        <f>1.2*Table1[[#This Row],[X1]] + 1.4*Table1[[#This Row],[X2]] + 3.3*Table1[[#This Row],[x3]] + 0.6*Table1[[#This Row],[x4]] + 1*Table1[[#This Row],[x5]]</f>
        <v>#DIV/0!</v>
      </c>
      <c r="W179" s="23" t="e">
        <f>IF(Table1[[#This Row],[Zscore]]&lt;1.81,1,0)</f>
        <v>#DIV/0!</v>
      </c>
    </row>
    <row r="180" spans="1:23" ht="26.25" hidden="1" x14ac:dyDescent="0.45">
      <c r="A180" s="7">
        <v>174</v>
      </c>
      <c r="B180" s="5" t="s">
        <v>361</v>
      </c>
      <c r="C180" s="6" t="s">
        <v>362</v>
      </c>
      <c r="D180" s="6" t="s">
        <v>13</v>
      </c>
      <c r="E180" s="6"/>
      <c r="F180" s="6"/>
      <c r="G180" s="6"/>
      <c r="H180" s="6"/>
      <c r="I180" s="6"/>
      <c r="J180" s="8"/>
      <c r="K180" s="6"/>
      <c r="L180" s="6"/>
      <c r="M180" s="8"/>
      <c r="N180" s="8"/>
      <c r="O180" s="8"/>
      <c r="P180" s="8"/>
      <c r="Q180" s="18" t="e">
        <f>(Table1[[#This Row],[A. TÀI SẢN NGẮN HẠN]]-Table1[[#This Row],[I. Nợ ngắn hạn]])/Table1[[#This Row],[TỔNG CỘNG TÀI SẢN]]</f>
        <v>#DIV/0!</v>
      </c>
      <c r="R180" s="18" t="e">
        <f>Table1[[#This Row],[- LNST chưa phân phối kỳ này]]/Table1[[#This Row],[TỔNG CỘNG TÀI SẢN]]</f>
        <v>#DIV/0!</v>
      </c>
      <c r="S180" s="21" t="e">
        <f>Table1[[#This Row],[5. Lợi nhuận gộp về bán hàng và cung cấp dịch vụ]]/Table1[[#This Row],[TỔNG CỘNG TÀI SẢN]]</f>
        <v>#DIV/0!</v>
      </c>
      <c r="T18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80" s="23" t="e">
        <f>Table1[[#This Row],[1. Doanh thu bán hàng và cung cấp dịch vụ ]]/Table1[[#This Row],[TỔNG CỘNG TÀI SẢN]]</f>
        <v>#DIV/0!</v>
      </c>
      <c r="V180" s="23" t="e">
        <f>1.2*Table1[[#This Row],[X1]] + 1.4*Table1[[#This Row],[X2]] + 3.3*Table1[[#This Row],[x3]] + 0.6*Table1[[#This Row],[x4]] + 1*Table1[[#This Row],[x5]]</f>
        <v>#DIV/0!</v>
      </c>
      <c r="W180" s="23" t="e">
        <f>IF(Table1[[#This Row],[Zscore]]&lt;1.81,1,0)</f>
        <v>#DIV/0!</v>
      </c>
    </row>
    <row r="181" spans="1:23" ht="26.25" hidden="1" x14ac:dyDescent="0.45">
      <c r="A181" s="7">
        <v>175</v>
      </c>
      <c r="B181" s="5" t="s">
        <v>363</v>
      </c>
      <c r="C181" s="6" t="s">
        <v>364</v>
      </c>
      <c r="D181" s="6" t="s">
        <v>13</v>
      </c>
      <c r="E181" s="6"/>
      <c r="F181" s="6"/>
      <c r="G181" s="6"/>
      <c r="H181" s="6"/>
      <c r="I181" s="6"/>
      <c r="J181" s="8"/>
      <c r="K181" s="6"/>
      <c r="L181" s="6"/>
      <c r="M181" s="8"/>
      <c r="N181" s="8"/>
      <c r="O181" s="8"/>
      <c r="P181" s="8"/>
      <c r="Q181" s="18" t="e">
        <f>(Table1[[#This Row],[A. TÀI SẢN NGẮN HẠN]]-Table1[[#This Row],[I. Nợ ngắn hạn]])/Table1[[#This Row],[TỔNG CỘNG TÀI SẢN]]</f>
        <v>#DIV/0!</v>
      </c>
      <c r="R181" s="18" t="e">
        <f>Table1[[#This Row],[- LNST chưa phân phối kỳ này]]/Table1[[#This Row],[TỔNG CỘNG TÀI SẢN]]</f>
        <v>#DIV/0!</v>
      </c>
      <c r="S181" s="21" t="e">
        <f>Table1[[#This Row],[5. Lợi nhuận gộp về bán hàng và cung cấp dịch vụ]]/Table1[[#This Row],[TỔNG CỘNG TÀI SẢN]]</f>
        <v>#DIV/0!</v>
      </c>
      <c r="T18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81" s="23" t="e">
        <f>Table1[[#This Row],[1. Doanh thu bán hàng và cung cấp dịch vụ ]]/Table1[[#This Row],[TỔNG CỘNG TÀI SẢN]]</f>
        <v>#DIV/0!</v>
      </c>
      <c r="V181" s="23" t="e">
        <f>1.2*Table1[[#This Row],[X1]] + 1.4*Table1[[#This Row],[X2]] + 3.3*Table1[[#This Row],[x3]] + 0.6*Table1[[#This Row],[x4]] + 1*Table1[[#This Row],[x5]]</f>
        <v>#DIV/0!</v>
      </c>
      <c r="W181" s="23" t="e">
        <f>IF(Table1[[#This Row],[Zscore]]&lt;1.81,1,0)</f>
        <v>#DIV/0!</v>
      </c>
    </row>
    <row r="182" spans="1:23" hidden="1" x14ac:dyDescent="0.45">
      <c r="A182" s="7">
        <v>176</v>
      </c>
      <c r="B182" s="5" t="s">
        <v>365</v>
      </c>
      <c r="C182" s="6" t="s">
        <v>366</v>
      </c>
      <c r="D182" s="6" t="s">
        <v>13</v>
      </c>
      <c r="E182" s="8">
        <v>415663578771</v>
      </c>
      <c r="F182" s="8">
        <v>299223598022</v>
      </c>
      <c r="G182" s="8">
        <v>5995772564</v>
      </c>
      <c r="H182" s="8">
        <v>-300139019</v>
      </c>
      <c r="I182" s="8">
        <v>9890836108</v>
      </c>
      <c r="J182" s="8"/>
      <c r="K182" s="8">
        <v>5995772564</v>
      </c>
      <c r="L182" s="8">
        <v>30983012339</v>
      </c>
      <c r="M182" s="8"/>
      <c r="N182" s="8"/>
      <c r="O182" s="8"/>
      <c r="P182" s="8"/>
      <c r="Q182" s="18">
        <f>(Table1[[#This Row],[A. TÀI SẢN NGẮN HẠN]]-Table1[[#This Row],[I. Nợ ngắn hạn]])/Table1[[#This Row],[TỔNG CỘNG TÀI SẢN]]</f>
        <v>0.70544507730263983</v>
      </c>
      <c r="R182" s="18">
        <f>Table1[[#This Row],[- LNST chưa phân phối kỳ này]]/Table1[[#This Row],[TỔNG CỘNG TÀI SẢN]]</f>
        <v>-7.2207196956593223E-4</v>
      </c>
      <c r="S182" s="21">
        <f>Table1[[#This Row],[5. Lợi nhuận gộp về bán hàng và cung cấp dịch vụ]]/Table1[[#This Row],[TỔNG CỘNG TÀI SẢN]]</f>
        <v>2.3795291704999541E-2</v>
      </c>
      <c r="T18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82" s="23">
        <f>Table1[[#This Row],[1. Doanh thu bán hàng và cung cấp dịch vụ ]]/Table1[[#This Row],[TỔNG CỘNG TÀI SẢN]]</f>
        <v>7.4538674835567822E-2</v>
      </c>
      <c r="V182" s="23" t="e">
        <f>1.2*Table1[[#This Row],[X1]] + 1.4*Table1[[#This Row],[X2]] + 3.3*Table1[[#This Row],[x3]] + 0.6*Table1[[#This Row],[x4]] + 1*Table1[[#This Row],[x5]]</f>
        <v>#DIV/0!</v>
      </c>
      <c r="W182" s="23" t="e">
        <f>IF(Table1[[#This Row],[Zscore]]&lt;1.81,1,0)</f>
        <v>#DIV/0!</v>
      </c>
    </row>
    <row r="183" spans="1:23" hidden="1" x14ac:dyDescent="0.45">
      <c r="A183" s="7">
        <v>177</v>
      </c>
      <c r="B183" s="5" t="s">
        <v>367</v>
      </c>
      <c r="C183" s="6" t="s">
        <v>368</v>
      </c>
      <c r="D183" s="6" t="s">
        <v>13</v>
      </c>
      <c r="E183" s="6"/>
      <c r="F183" s="6"/>
      <c r="G183" s="6"/>
      <c r="H183" s="6"/>
      <c r="I183" s="6"/>
      <c r="J183" s="8"/>
      <c r="K183" s="6"/>
      <c r="L183" s="6"/>
      <c r="M183" s="8"/>
      <c r="N183" s="8"/>
      <c r="O183" s="8"/>
      <c r="P183" s="8"/>
      <c r="Q183" s="18" t="e">
        <f>(Table1[[#This Row],[A. TÀI SẢN NGẮN HẠN]]-Table1[[#This Row],[I. Nợ ngắn hạn]])/Table1[[#This Row],[TỔNG CỘNG TÀI SẢN]]</f>
        <v>#DIV/0!</v>
      </c>
      <c r="R183" s="18" t="e">
        <f>Table1[[#This Row],[- LNST chưa phân phối kỳ này]]/Table1[[#This Row],[TỔNG CỘNG TÀI SẢN]]</f>
        <v>#DIV/0!</v>
      </c>
      <c r="S183" s="21" t="e">
        <f>Table1[[#This Row],[5. Lợi nhuận gộp về bán hàng và cung cấp dịch vụ]]/Table1[[#This Row],[TỔNG CỘNG TÀI SẢN]]</f>
        <v>#DIV/0!</v>
      </c>
      <c r="T18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83" s="23" t="e">
        <f>Table1[[#This Row],[1. Doanh thu bán hàng và cung cấp dịch vụ ]]/Table1[[#This Row],[TỔNG CỘNG TÀI SẢN]]</f>
        <v>#DIV/0!</v>
      </c>
      <c r="V183" s="23" t="e">
        <f>1.2*Table1[[#This Row],[X1]] + 1.4*Table1[[#This Row],[X2]] + 3.3*Table1[[#This Row],[x3]] + 0.6*Table1[[#This Row],[x4]] + 1*Table1[[#This Row],[x5]]</f>
        <v>#DIV/0!</v>
      </c>
      <c r="W183" s="23" t="e">
        <f>IF(Table1[[#This Row],[Zscore]]&lt;1.81,1,0)</f>
        <v>#DIV/0!</v>
      </c>
    </row>
    <row r="184" spans="1:23" x14ac:dyDescent="0.45">
      <c r="A184" s="7">
        <v>178</v>
      </c>
      <c r="B184" s="5" t="s">
        <v>369</v>
      </c>
      <c r="C184" s="6" t="s">
        <v>370</v>
      </c>
      <c r="D184" s="6" t="s">
        <v>21</v>
      </c>
      <c r="E184" s="8">
        <v>3968725269394</v>
      </c>
      <c r="F184" s="8">
        <v>3313863634044</v>
      </c>
      <c r="G184" s="8">
        <v>2267619348126</v>
      </c>
      <c r="H184" s="8">
        <v>309876241445</v>
      </c>
      <c r="I184" s="8">
        <v>1325295508385</v>
      </c>
      <c r="J184" s="8"/>
      <c r="K184" s="8">
        <v>2273075536652</v>
      </c>
      <c r="L184" s="8">
        <v>10753230740199</v>
      </c>
      <c r="M184" s="8">
        <v>2312445316850</v>
      </c>
      <c r="N184" s="8">
        <v>2441073301100</v>
      </c>
      <c r="O184" s="8">
        <v>2666886873450</v>
      </c>
      <c r="P184" s="8">
        <v>2386763707750</v>
      </c>
      <c r="Q184" s="18">
        <f>(Table1[[#This Row],[A. TÀI SẢN NGẮN HẠN]]-Table1[[#This Row],[I. Nợ ngắn hạn]])/Table1[[#This Row],[TỔNG CỘNG TÀI SẢN]]</f>
        <v>0.26362225019363839</v>
      </c>
      <c r="R184" s="18">
        <f>Table1[[#This Row],[- LNST chưa phân phối kỳ này]]/Table1[[#This Row],[TỔNG CỘNG TÀI SẢN]]</f>
        <v>7.8079539502192902E-2</v>
      </c>
      <c r="S184" s="21">
        <f>Table1[[#This Row],[5. Lợi nhuận gộp về bán hàng và cung cấp dịch vụ]]/Table1[[#This Row],[TỔNG CỘNG TÀI SẢN]]</f>
        <v>0.33393480738145537</v>
      </c>
      <c r="T18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1.0786233278453785</v>
      </c>
      <c r="U184" s="23">
        <f>Table1[[#This Row],[1. Doanh thu bán hàng và cung cấp dịch vụ ]]/Table1[[#This Row],[TỔNG CỘNG TÀI SẢN]]</f>
        <v>2.7094923458486084</v>
      </c>
      <c r="V184" s="23">
        <f>1.2*Table1[[#This Row],[X1]] + 1.4*Table1[[#This Row],[X2]] + 3.3*Table1[[#This Row],[x3]] + 0.6*Table1[[#This Row],[x4]] + 1*Table1[[#This Row],[x5]]</f>
        <v>4.8843092624500741</v>
      </c>
      <c r="W184" s="23">
        <f>IF(Table1[[#This Row],[Zscore]]&lt;1.81,1,0)</f>
        <v>0</v>
      </c>
    </row>
    <row r="185" spans="1:23" hidden="1" x14ac:dyDescent="0.45">
      <c r="A185" s="7">
        <v>179</v>
      </c>
      <c r="B185" s="5" t="s">
        <v>371</v>
      </c>
      <c r="C185" s="6" t="s">
        <v>372</v>
      </c>
      <c r="D185" s="6" t="s">
        <v>18</v>
      </c>
      <c r="E185" s="6"/>
      <c r="F185" s="6"/>
      <c r="G185" s="6"/>
      <c r="H185" s="6"/>
      <c r="I185" s="6"/>
      <c r="J185" s="8"/>
      <c r="K185" s="6"/>
      <c r="L185" s="6"/>
      <c r="M185" s="8">
        <v>2920000000000</v>
      </c>
      <c r="N185" s="8"/>
      <c r="O185" s="8">
        <v>3869000000000</v>
      </c>
      <c r="P185" s="8">
        <v>4015000000000</v>
      </c>
      <c r="Q185" s="18" t="e">
        <f>(Table1[[#This Row],[A. TÀI SẢN NGẮN HẠN]]-Table1[[#This Row],[I. Nợ ngắn hạn]])/Table1[[#This Row],[TỔNG CỘNG TÀI SẢN]]</f>
        <v>#DIV/0!</v>
      </c>
      <c r="R185" s="18" t="e">
        <f>Table1[[#This Row],[- LNST chưa phân phối kỳ này]]/Table1[[#This Row],[TỔNG CỘNG TÀI SẢN]]</f>
        <v>#DIV/0!</v>
      </c>
      <c r="S185" s="21" t="e">
        <f>Table1[[#This Row],[5. Lợi nhuận gộp về bán hàng và cung cấp dịch vụ]]/Table1[[#This Row],[TỔNG CỘNG TÀI SẢN]]</f>
        <v>#DIV/0!</v>
      </c>
      <c r="T18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85" s="23" t="e">
        <f>Table1[[#This Row],[1. Doanh thu bán hàng và cung cấp dịch vụ ]]/Table1[[#This Row],[TỔNG CỘNG TÀI SẢN]]</f>
        <v>#DIV/0!</v>
      </c>
      <c r="V185" s="23" t="e">
        <f>1.2*Table1[[#This Row],[X1]] + 1.4*Table1[[#This Row],[X2]] + 3.3*Table1[[#This Row],[x3]] + 0.6*Table1[[#This Row],[x4]] + 1*Table1[[#This Row],[x5]]</f>
        <v>#DIV/0!</v>
      </c>
      <c r="W185" s="23" t="e">
        <f>IF(Table1[[#This Row],[Zscore]]&lt;1.81,1,0)</f>
        <v>#DIV/0!</v>
      </c>
    </row>
    <row r="186" spans="1:23" ht="26.25" hidden="1" x14ac:dyDescent="0.45">
      <c r="A186" s="7">
        <v>180</v>
      </c>
      <c r="B186" s="5" t="s">
        <v>373</v>
      </c>
      <c r="C186" s="6" t="s">
        <v>374</v>
      </c>
      <c r="D186" s="6" t="s">
        <v>13</v>
      </c>
      <c r="E186" s="6"/>
      <c r="F186" s="6"/>
      <c r="G186" s="6"/>
      <c r="H186" s="6"/>
      <c r="I186" s="6"/>
      <c r="J186" s="8"/>
      <c r="K186" s="6"/>
      <c r="L186" s="6"/>
      <c r="M186" s="8"/>
      <c r="N186" s="8"/>
      <c r="O186" s="8"/>
      <c r="P186" s="8"/>
      <c r="Q186" s="18" t="e">
        <f>(Table1[[#This Row],[A. TÀI SẢN NGẮN HẠN]]-Table1[[#This Row],[I. Nợ ngắn hạn]])/Table1[[#This Row],[TỔNG CỘNG TÀI SẢN]]</f>
        <v>#DIV/0!</v>
      </c>
      <c r="R186" s="18" t="e">
        <f>Table1[[#This Row],[- LNST chưa phân phối kỳ này]]/Table1[[#This Row],[TỔNG CỘNG TÀI SẢN]]</f>
        <v>#DIV/0!</v>
      </c>
      <c r="S186" s="21" t="e">
        <f>Table1[[#This Row],[5. Lợi nhuận gộp về bán hàng và cung cấp dịch vụ]]/Table1[[#This Row],[TỔNG CỘNG TÀI SẢN]]</f>
        <v>#DIV/0!</v>
      </c>
      <c r="T18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86" s="23" t="e">
        <f>Table1[[#This Row],[1. Doanh thu bán hàng và cung cấp dịch vụ ]]/Table1[[#This Row],[TỔNG CỘNG TÀI SẢN]]</f>
        <v>#DIV/0!</v>
      </c>
      <c r="V186" s="23" t="e">
        <f>1.2*Table1[[#This Row],[X1]] + 1.4*Table1[[#This Row],[X2]] + 3.3*Table1[[#This Row],[x3]] + 0.6*Table1[[#This Row],[x4]] + 1*Table1[[#This Row],[x5]]</f>
        <v>#DIV/0!</v>
      </c>
      <c r="W186" s="23" t="e">
        <f>IF(Table1[[#This Row],[Zscore]]&lt;1.81,1,0)</f>
        <v>#DIV/0!</v>
      </c>
    </row>
    <row r="187" spans="1:23" x14ac:dyDescent="0.45">
      <c r="A187" s="7">
        <v>181</v>
      </c>
      <c r="B187" s="5" t="s">
        <v>375</v>
      </c>
      <c r="C187" s="6" t="s">
        <v>376</v>
      </c>
      <c r="D187" s="6" t="s">
        <v>18</v>
      </c>
      <c r="E187" s="8">
        <v>243006547914</v>
      </c>
      <c r="F187" s="8">
        <v>104135014136</v>
      </c>
      <c r="G187" s="8">
        <v>45912862812</v>
      </c>
      <c r="H187" s="8">
        <v>14710131720</v>
      </c>
      <c r="I187" s="8">
        <v>82823690620</v>
      </c>
      <c r="J187" s="8"/>
      <c r="K187" s="8">
        <v>45912862812</v>
      </c>
      <c r="L187" s="8">
        <v>196913430325</v>
      </c>
      <c r="M187" s="8">
        <v>292206080600</v>
      </c>
      <c r="N187" s="8">
        <v>364803864600</v>
      </c>
      <c r="O187" s="8">
        <v>290391136000</v>
      </c>
      <c r="P187" s="8">
        <v>290391136000</v>
      </c>
      <c r="Q187" s="18">
        <f>(Table1[[#This Row],[A. TÀI SẢN NGẮN HẠN]]-Table1[[#This Row],[I. Nợ ngắn hạn]])/Table1[[#This Row],[TỔNG CỘNG TÀI SẢN]]</f>
        <v>0.23959087450024111</v>
      </c>
      <c r="R187" s="18">
        <f>Table1[[#This Row],[- LNST chưa phân phối kỳ này]]/Table1[[#This Row],[TỔNG CỘNG TÀI SẢN]]</f>
        <v>6.0533890326304768E-2</v>
      </c>
      <c r="S187" s="21">
        <f>Table1[[#This Row],[5. Lợi nhuận gộp về bán hàng và cung cấp dịch vụ]]/Table1[[#This Row],[TỔNG CỘNG TÀI SẢN]]</f>
        <v>0.3408290489740684</v>
      </c>
      <c r="T18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6.7398989160641323</v>
      </c>
      <c r="U187" s="23">
        <f>Table1[[#This Row],[1. Doanh thu bán hàng và cung cấp dịch vụ ]]/Table1[[#This Row],[TỔNG CỘNG TÀI SẢN]]</f>
        <v>0.81032149962760525</v>
      </c>
      <c r="V187" s="23">
        <f>1.2*Table1[[#This Row],[X1]] + 1.4*Table1[[#This Row],[X2]] + 3.3*Table1[[#This Row],[x3]] + 0.6*Table1[[#This Row],[x4]] + 1*Table1[[#This Row],[x5]]</f>
        <v>6.3512532067376259</v>
      </c>
      <c r="W187" s="23">
        <f>IF(Table1[[#This Row],[Zscore]]&lt;1.81,1,0)</f>
        <v>0</v>
      </c>
    </row>
    <row r="188" spans="1:23" x14ac:dyDescent="0.45">
      <c r="A188" s="7">
        <v>182</v>
      </c>
      <c r="B188" s="5" t="s">
        <v>377</v>
      </c>
      <c r="C188" s="6" t="s">
        <v>378</v>
      </c>
      <c r="D188" s="6" t="s">
        <v>18</v>
      </c>
      <c r="E188" s="8">
        <v>1464983909918</v>
      </c>
      <c r="F188" s="8">
        <v>142201801379</v>
      </c>
      <c r="G188" s="8">
        <v>201927989579</v>
      </c>
      <c r="H188" s="8">
        <v>167018195631</v>
      </c>
      <c r="I188" s="8">
        <v>232196689021</v>
      </c>
      <c r="J188" s="8"/>
      <c r="K188" s="8">
        <v>388816194731</v>
      </c>
      <c r="L188" s="8">
        <v>337602932002</v>
      </c>
      <c r="M188" s="8">
        <v>1623600000000</v>
      </c>
      <c r="N188" s="8">
        <v>1518000000000</v>
      </c>
      <c r="O188" s="8">
        <v>1656600000000</v>
      </c>
      <c r="P188" s="8">
        <v>1630200000000</v>
      </c>
      <c r="Q188" s="18">
        <f>(Table1[[#This Row],[A. TÀI SẢN NGẮN HẠN]]-Table1[[#This Row],[I. Nợ ngắn hạn]])/Table1[[#This Row],[TỔNG CỘNG TÀI SẢN]]</f>
        <v>-4.0769176914265952E-2</v>
      </c>
      <c r="R188" s="18">
        <f>Table1[[#This Row],[- LNST chưa phân phối kỳ này]]/Table1[[#This Row],[TỔNG CỘNG TÀI SẢN]]</f>
        <v>0.11400684642355462</v>
      </c>
      <c r="S188" s="21">
        <f>Table1[[#This Row],[5. Lợi nhuận gộp về bán hàng và cung cấp dịch vụ]]/Table1[[#This Row],[TỔNG CỘNG TÀI SẢN]]</f>
        <v>0.15849777424108147</v>
      </c>
      <c r="T18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4.1333154888567893</v>
      </c>
      <c r="U188" s="23">
        <f>Table1[[#This Row],[1. Doanh thu bán hàng và cung cấp dịch vụ ]]/Table1[[#This Row],[TỔNG CỘNG TÀI SẢN]]</f>
        <v>0.23044821838411642</v>
      </c>
      <c r="V188" s="23">
        <f>1.2*Table1[[#This Row],[X1]] + 1.4*Table1[[#This Row],[X2]] + 3.3*Table1[[#This Row],[x3]] + 0.6*Table1[[#This Row],[x4]] + 1*Table1[[#This Row],[x5]]</f>
        <v>3.3441667393896162</v>
      </c>
      <c r="W188" s="23">
        <f>IF(Table1[[#This Row],[Zscore]]&lt;1.81,1,0)</f>
        <v>0</v>
      </c>
    </row>
    <row r="189" spans="1:23" hidden="1" x14ac:dyDescent="0.45">
      <c r="A189" s="7">
        <v>183</v>
      </c>
      <c r="B189" s="5" t="s">
        <v>379</v>
      </c>
      <c r="C189" s="6" t="s">
        <v>380</v>
      </c>
      <c r="D189" s="6" t="s">
        <v>18</v>
      </c>
      <c r="E189" s="6"/>
      <c r="F189" s="6"/>
      <c r="G189" s="6"/>
      <c r="H189" s="6"/>
      <c r="I189" s="6"/>
      <c r="J189" s="8"/>
      <c r="K189" s="6"/>
      <c r="L189" s="6"/>
      <c r="M189" s="8"/>
      <c r="N189" s="8"/>
      <c r="O189" s="8"/>
      <c r="P189" s="8"/>
      <c r="Q189" s="18" t="e">
        <f>(Table1[[#This Row],[A. TÀI SẢN NGẮN HẠN]]-Table1[[#This Row],[I. Nợ ngắn hạn]])/Table1[[#This Row],[TỔNG CỘNG TÀI SẢN]]</f>
        <v>#DIV/0!</v>
      </c>
      <c r="R189" s="18" t="e">
        <f>Table1[[#This Row],[- LNST chưa phân phối kỳ này]]/Table1[[#This Row],[TỔNG CỘNG TÀI SẢN]]</f>
        <v>#DIV/0!</v>
      </c>
      <c r="S189" s="21" t="e">
        <f>Table1[[#This Row],[5. Lợi nhuận gộp về bán hàng và cung cấp dịch vụ]]/Table1[[#This Row],[TỔNG CỘNG TÀI SẢN]]</f>
        <v>#DIV/0!</v>
      </c>
      <c r="T18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89" s="23" t="e">
        <f>Table1[[#This Row],[1. Doanh thu bán hàng và cung cấp dịch vụ ]]/Table1[[#This Row],[TỔNG CỘNG TÀI SẢN]]</f>
        <v>#DIV/0!</v>
      </c>
      <c r="V189" s="23" t="e">
        <f>1.2*Table1[[#This Row],[X1]] + 1.4*Table1[[#This Row],[X2]] + 3.3*Table1[[#This Row],[x3]] + 0.6*Table1[[#This Row],[x4]] + 1*Table1[[#This Row],[x5]]</f>
        <v>#DIV/0!</v>
      </c>
      <c r="W189" s="23" t="e">
        <f>IF(Table1[[#This Row],[Zscore]]&lt;1.81,1,0)</f>
        <v>#DIV/0!</v>
      </c>
    </row>
    <row r="190" spans="1:23" hidden="1" x14ac:dyDescent="0.45">
      <c r="A190" s="7">
        <v>184</v>
      </c>
      <c r="B190" s="5" t="s">
        <v>381</v>
      </c>
      <c r="C190" s="6" t="s">
        <v>382</v>
      </c>
      <c r="D190" s="6" t="s">
        <v>13</v>
      </c>
      <c r="E190" s="6"/>
      <c r="F190" s="6"/>
      <c r="G190" s="6"/>
      <c r="H190" s="6"/>
      <c r="I190" s="6"/>
      <c r="J190" s="8"/>
      <c r="K190" s="6"/>
      <c r="L190" s="6"/>
      <c r="M190" s="8"/>
      <c r="N190" s="8"/>
      <c r="O190" s="8"/>
      <c r="P190" s="8"/>
      <c r="Q190" s="18" t="e">
        <f>(Table1[[#This Row],[A. TÀI SẢN NGẮN HẠN]]-Table1[[#This Row],[I. Nợ ngắn hạn]])/Table1[[#This Row],[TỔNG CỘNG TÀI SẢN]]</f>
        <v>#DIV/0!</v>
      </c>
      <c r="R190" s="18" t="e">
        <f>Table1[[#This Row],[- LNST chưa phân phối kỳ này]]/Table1[[#This Row],[TỔNG CỘNG TÀI SẢN]]</f>
        <v>#DIV/0!</v>
      </c>
      <c r="S190" s="21" t="e">
        <f>Table1[[#This Row],[5. Lợi nhuận gộp về bán hàng và cung cấp dịch vụ]]/Table1[[#This Row],[TỔNG CỘNG TÀI SẢN]]</f>
        <v>#DIV/0!</v>
      </c>
      <c r="T19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90" s="23" t="e">
        <f>Table1[[#This Row],[1. Doanh thu bán hàng và cung cấp dịch vụ ]]/Table1[[#This Row],[TỔNG CỘNG TÀI SẢN]]</f>
        <v>#DIV/0!</v>
      </c>
      <c r="V190" s="23" t="e">
        <f>1.2*Table1[[#This Row],[X1]] + 1.4*Table1[[#This Row],[X2]] + 3.3*Table1[[#This Row],[x3]] + 0.6*Table1[[#This Row],[x4]] + 1*Table1[[#This Row],[x5]]</f>
        <v>#DIV/0!</v>
      </c>
      <c r="W190" s="23" t="e">
        <f>IF(Table1[[#This Row],[Zscore]]&lt;1.81,1,0)</f>
        <v>#DIV/0!</v>
      </c>
    </row>
    <row r="191" spans="1:23" hidden="1" x14ac:dyDescent="0.45">
      <c r="A191" s="7">
        <v>185</v>
      </c>
      <c r="B191" s="5" t="s">
        <v>383</v>
      </c>
      <c r="C191" s="6" t="s">
        <v>384</v>
      </c>
      <c r="D191" s="6" t="s">
        <v>18</v>
      </c>
      <c r="E191" s="6"/>
      <c r="F191" s="6"/>
      <c r="G191" s="6"/>
      <c r="H191" s="6"/>
      <c r="I191" s="6"/>
      <c r="J191" s="8"/>
      <c r="K191" s="6"/>
      <c r="L191" s="6"/>
      <c r="M191" s="8"/>
      <c r="N191" s="8"/>
      <c r="O191" s="8"/>
      <c r="P191" s="8"/>
      <c r="Q191" s="18" t="e">
        <f>(Table1[[#This Row],[A. TÀI SẢN NGẮN HẠN]]-Table1[[#This Row],[I. Nợ ngắn hạn]])/Table1[[#This Row],[TỔNG CỘNG TÀI SẢN]]</f>
        <v>#DIV/0!</v>
      </c>
      <c r="R191" s="18" t="e">
        <f>Table1[[#This Row],[- LNST chưa phân phối kỳ này]]/Table1[[#This Row],[TỔNG CỘNG TÀI SẢN]]</f>
        <v>#DIV/0!</v>
      </c>
      <c r="S191" s="21" t="e">
        <f>Table1[[#This Row],[5. Lợi nhuận gộp về bán hàng và cung cấp dịch vụ]]/Table1[[#This Row],[TỔNG CỘNG TÀI SẢN]]</f>
        <v>#DIV/0!</v>
      </c>
      <c r="T19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91" s="23" t="e">
        <f>Table1[[#This Row],[1. Doanh thu bán hàng và cung cấp dịch vụ ]]/Table1[[#This Row],[TỔNG CỘNG TÀI SẢN]]</f>
        <v>#DIV/0!</v>
      </c>
      <c r="V191" s="23" t="e">
        <f>1.2*Table1[[#This Row],[X1]] + 1.4*Table1[[#This Row],[X2]] + 3.3*Table1[[#This Row],[x3]] + 0.6*Table1[[#This Row],[x4]] + 1*Table1[[#This Row],[x5]]</f>
        <v>#DIV/0!</v>
      </c>
      <c r="W191" s="23" t="e">
        <f>IF(Table1[[#This Row],[Zscore]]&lt;1.81,1,0)</f>
        <v>#DIV/0!</v>
      </c>
    </row>
    <row r="192" spans="1:23" hidden="1" x14ac:dyDescent="0.45">
      <c r="A192" s="7">
        <v>186</v>
      </c>
      <c r="B192" s="5" t="s">
        <v>385</v>
      </c>
      <c r="C192" s="6" t="s">
        <v>386</v>
      </c>
      <c r="D192" s="6" t="s">
        <v>18</v>
      </c>
      <c r="E192" s="8">
        <v>215656745358</v>
      </c>
      <c r="F192" s="8">
        <v>58417171566</v>
      </c>
      <c r="G192" s="8">
        <v>70390804204</v>
      </c>
      <c r="H192" s="8">
        <v>5426491952</v>
      </c>
      <c r="I192" s="8">
        <v>82687032439</v>
      </c>
      <c r="J192" s="8"/>
      <c r="K192" s="8">
        <v>129430221550</v>
      </c>
      <c r="L192" s="8">
        <v>273380020448</v>
      </c>
      <c r="M192" s="8"/>
      <c r="N192" s="8"/>
      <c r="O192" s="8"/>
      <c r="P192" s="8"/>
      <c r="Q192" s="18">
        <f>(Table1[[#This Row],[A. TÀI SẢN NGẮN HẠN]]-Table1[[#This Row],[I. Nợ ngắn hạn]])/Table1[[#This Row],[TỔNG CỘNG TÀI SẢN]]</f>
        <v>-5.5521716318788106E-2</v>
      </c>
      <c r="R192" s="18">
        <f>Table1[[#This Row],[- LNST chưa phân phối kỳ này]]/Table1[[#This Row],[TỔNG CỘNG TÀI SẢN]]</f>
        <v>2.5162634922416997E-2</v>
      </c>
      <c r="S192" s="21">
        <f>Table1[[#This Row],[5. Lợi nhuận gộp về bán hàng và cung cấp dịch vụ]]/Table1[[#This Row],[TỔNG CỘNG TÀI SẢN]]</f>
        <v>0.38341964357171288</v>
      </c>
      <c r="T19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92" s="23">
        <f>Table1[[#This Row],[1. Doanh thu bán hàng và cung cấp dịch vụ ]]/Table1[[#This Row],[TỔNG CỘNG TÀI SẢN]]</f>
        <v>1.2676627387387152</v>
      </c>
      <c r="V192" s="23" t="e">
        <f>1.2*Table1[[#This Row],[X1]] + 1.4*Table1[[#This Row],[X2]] + 3.3*Table1[[#This Row],[x3]] + 0.6*Table1[[#This Row],[x4]] + 1*Table1[[#This Row],[x5]]</f>
        <v>#DIV/0!</v>
      </c>
      <c r="W192" s="23" t="e">
        <f>IF(Table1[[#This Row],[Zscore]]&lt;1.81,1,0)</f>
        <v>#DIV/0!</v>
      </c>
    </row>
    <row r="193" spans="1:23" ht="26.25" x14ac:dyDescent="0.45">
      <c r="A193" s="7">
        <v>187</v>
      </c>
      <c r="B193" s="5" t="s">
        <v>387</v>
      </c>
      <c r="C193" s="6" t="s">
        <v>388</v>
      </c>
      <c r="D193" s="6" t="s">
        <v>18</v>
      </c>
      <c r="E193" s="8">
        <v>4375186119790</v>
      </c>
      <c r="F193" s="8">
        <v>4225081342249</v>
      </c>
      <c r="G193" s="8">
        <v>3139536316944</v>
      </c>
      <c r="H193" s="8">
        <v>8637099434</v>
      </c>
      <c r="I193" s="8">
        <v>27889223483</v>
      </c>
      <c r="J193" s="8"/>
      <c r="K193" s="8">
        <v>3139536316944</v>
      </c>
      <c r="L193" s="8">
        <v>3013337116164</v>
      </c>
      <c r="M193" s="8">
        <v>1200000000000</v>
      </c>
      <c r="N193" s="8">
        <v>880000000000</v>
      </c>
      <c r="O193" s="8">
        <v>980000000000</v>
      </c>
      <c r="P193" s="8">
        <v>990000000000</v>
      </c>
      <c r="Q193" s="18">
        <f>(Table1[[#This Row],[A. TÀI SẢN NGẮN HẠN]]-Table1[[#This Row],[I. Nợ ngắn hạn]])/Table1[[#This Row],[TỔNG CỘNG TÀI SẢN]]</f>
        <v>0.24811402202864549</v>
      </c>
      <c r="R193" s="18">
        <f>Table1[[#This Row],[- LNST chưa phân phối kỳ này]]/Table1[[#This Row],[TỔNG CỘNG TÀI SẢN]]</f>
        <v>1.9741101744066062E-3</v>
      </c>
      <c r="S193" s="21">
        <f>Table1[[#This Row],[5. Lợi nhuận gộp về bán hàng và cung cấp dịch vụ]]/Table1[[#This Row],[TỔNG CỘNG TÀI SẢN]]</f>
        <v>6.3744084752990178E-3</v>
      </c>
      <c r="T19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0.32249985277620852</v>
      </c>
      <c r="U193" s="23">
        <f>Table1[[#This Row],[1. Doanh thu bán hàng và cung cấp dịch vụ ]]/Table1[[#This Row],[TỔNG CỘNG TÀI SẢN]]</f>
        <v>0.68873346953949333</v>
      </c>
      <c r="V193" s="23">
        <f>1.2*Table1[[#This Row],[X1]] + 1.4*Table1[[#This Row],[X2]] + 3.3*Table1[[#This Row],[x3]] + 0.6*Table1[[#This Row],[x4]] + 1*Table1[[#This Row],[x5]]</f>
        <v>1.2037695098522492</v>
      </c>
      <c r="W193" s="23">
        <f>IF(Table1[[#This Row],[Zscore]]&lt;1.81,1,0)</f>
        <v>1</v>
      </c>
    </row>
    <row r="194" spans="1:23" hidden="1" x14ac:dyDescent="0.45">
      <c r="A194" s="7">
        <v>188</v>
      </c>
      <c r="B194" s="5" t="s">
        <v>389</v>
      </c>
      <c r="C194" s="6" t="s">
        <v>390</v>
      </c>
      <c r="D194" s="6" t="s">
        <v>18</v>
      </c>
      <c r="E194" s="8">
        <v>87264222377</v>
      </c>
      <c r="F194" s="8">
        <v>24021135031</v>
      </c>
      <c r="G194" s="8">
        <v>35926672185</v>
      </c>
      <c r="H194" s="8">
        <v>4850165919</v>
      </c>
      <c r="I194" s="8">
        <v>39485784575</v>
      </c>
      <c r="J194" s="8"/>
      <c r="K194" s="8">
        <v>36778672185</v>
      </c>
      <c r="L194" s="8">
        <v>140236801020</v>
      </c>
      <c r="M194" s="8"/>
      <c r="N194" s="8"/>
      <c r="O194" s="8"/>
      <c r="P194" s="8"/>
      <c r="Q194" s="18">
        <f>(Table1[[#This Row],[A. TÀI SẢN NGẮN HẠN]]-Table1[[#This Row],[I. Nợ ngắn hạn]])/Table1[[#This Row],[TỔNG CỘNG TÀI SẢN]]</f>
        <v>-0.13643090867830746</v>
      </c>
      <c r="R194" s="18">
        <f>Table1[[#This Row],[- LNST chưa phân phối kỳ này]]/Table1[[#This Row],[TỔNG CỘNG TÀI SẢN]]</f>
        <v>5.5580234222981459E-2</v>
      </c>
      <c r="S194" s="21">
        <f>Table1[[#This Row],[5. Lợi nhuận gộp về bán hàng và cung cấp dịch vụ]]/Table1[[#This Row],[TỔNG CỘNG TÀI SẢN]]</f>
        <v>0.45248537716193715</v>
      </c>
      <c r="T19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94" s="23">
        <f>Table1[[#This Row],[1. Doanh thu bán hàng và cung cấp dịch vụ ]]/Table1[[#This Row],[TỔNG CỘNG TÀI SẢN]]</f>
        <v>1.6070366205080839</v>
      </c>
      <c r="V194" s="23" t="e">
        <f>1.2*Table1[[#This Row],[X1]] + 1.4*Table1[[#This Row],[X2]] + 3.3*Table1[[#This Row],[x3]] + 0.6*Table1[[#This Row],[x4]] + 1*Table1[[#This Row],[x5]]</f>
        <v>#DIV/0!</v>
      </c>
      <c r="W194" s="23" t="e">
        <f>IF(Table1[[#This Row],[Zscore]]&lt;1.81,1,0)</f>
        <v>#DIV/0!</v>
      </c>
    </row>
    <row r="195" spans="1:23" ht="26.25" x14ac:dyDescent="0.45">
      <c r="A195" s="7">
        <v>189</v>
      </c>
      <c r="B195" s="5" t="s">
        <v>391</v>
      </c>
      <c r="C195" s="6" t="s">
        <v>392</v>
      </c>
      <c r="D195" s="6" t="s">
        <v>21</v>
      </c>
      <c r="E195" s="8">
        <v>7543413614237</v>
      </c>
      <c r="F195" s="8">
        <v>5938549698673</v>
      </c>
      <c r="G195" s="8">
        <v>1952646287228</v>
      </c>
      <c r="H195" s="8">
        <v>468516760207</v>
      </c>
      <c r="I195" s="8">
        <v>2419212357095</v>
      </c>
      <c r="J195" s="8"/>
      <c r="K195" s="8">
        <v>2144346242398</v>
      </c>
      <c r="L195" s="8">
        <v>8652300796352</v>
      </c>
      <c r="M195" s="8">
        <v>8472290000000</v>
      </c>
      <c r="N195" s="8">
        <v>7232160000000</v>
      </c>
      <c r="O195" s="8">
        <v>8507060000000</v>
      </c>
      <c r="P195" s="8">
        <v>7603040000000</v>
      </c>
      <c r="Q195" s="18">
        <f>(Table1[[#This Row],[A. TÀI SẢN NGẮN HẠN]]-Table1[[#This Row],[I. Nợ ngắn hạn]])/Table1[[#This Row],[TỔNG CỘNG TÀI SẢN]]</f>
        <v>0.52839518224510951</v>
      </c>
      <c r="R195" s="18">
        <f>Table1[[#This Row],[- LNST chưa phân phối kỳ này]]/Table1[[#This Row],[TỔNG CỘNG TÀI SẢN]]</f>
        <v>6.2109382325628903E-2</v>
      </c>
      <c r="S195" s="21">
        <f>Table1[[#This Row],[5. Lợi nhuận gộp về bán hàng và cung cấp dịch vụ]]/Table1[[#This Row],[TỔNG CỘNG TÀI SẢN]]</f>
        <v>0.32070525107215642</v>
      </c>
      <c r="T19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3.7091199838630211</v>
      </c>
      <c r="U195" s="23">
        <f>Table1[[#This Row],[1. Doanh thu bán hàng và cung cấp dịch vụ ]]/Table1[[#This Row],[TỔNG CỘNG TÀI SẢN]]</f>
        <v>1.1470007133139499</v>
      </c>
      <c r="V195" s="23">
        <f>1.2*Table1[[#This Row],[X1]] + 1.4*Table1[[#This Row],[X2]] + 3.3*Table1[[#This Row],[x3]] + 0.6*Table1[[#This Row],[x4]] + 1*Table1[[#This Row],[x5]]</f>
        <v>5.1518273861198907</v>
      </c>
      <c r="W195" s="23">
        <f>IF(Table1[[#This Row],[Zscore]]&lt;1.81,1,0)</f>
        <v>0</v>
      </c>
    </row>
    <row r="196" spans="1:23" hidden="1" x14ac:dyDescent="0.45">
      <c r="A196" s="7">
        <v>190</v>
      </c>
      <c r="B196" s="5" t="s">
        <v>393</v>
      </c>
      <c r="C196" s="6" t="s">
        <v>394</v>
      </c>
      <c r="D196" s="6" t="s">
        <v>18</v>
      </c>
      <c r="E196" s="8">
        <v>189896111737</v>
      </c>
      <c r="F196" s="8">
        <v>47812081803</v>
      </c>
      <c r="G196" s="8">
        <v>33947363563</v>
      </c>
      <c r="H196" s="8">
        <v>3103990586</v>
      </c>
      <c r="I196" s="8">
        <v>57883665738</v>
      </c>
      <c r="J196" s="8"/>
      <c r="K196" s="8">
        <v>33947363563</v>
      </c>
      <c r="L196" s="8">
        <v>206425856691</v>
      </c>
      <c r="M196" s="8"/>
      <c r="N196" s="8"/>
      <c r="O196" s="8"/>
      <c r="P196" s="8"/>
      <c r="Q196" s="18">
        <f>(Table1[[#This Row],[A. TÀI SẢN NGẮN HẠN]]-Table1[[#This Row],[I. Nợ ngắn hạn]])/Table1[[#This Row],[TỔNG CỘNG TÀI SẢN]]</f>
        <v>7.3012122855902334E-2</v>
      </c>
      <c r="R196" s="18">
        <f>Table1[[#This Row],[- LNST chưa phân phối kỳ này]]/Table1[[#This Row],[TỔNG CỘNG TÀI SẢN]]</f>
        <v>1.634573008160866E-2</v>
      </c>
      <c r="S196" s="21">
        <f>Table1[[#This Row],[5. Lợi nhuận gộp về bán hàng và cung cấp dịch vụ]]/Table1[[#This Row],[TỔNG CỘNG TÀI SẢN]]</f>
        <v>0.30481754054115134</v>
      </c>
      <c r="T19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96" s="23">
        <f>Table1[[#This Row],[1. Doanh thu bán hàng và cung cấp dịch vụ ]]/Table1[[#This Row],[TỔNG CỘNG TÀI SẢN]]</f>
        <v>1.0870462528316176</v>
      </c>
      <c r="V196" s="23" t="e">
        <f>1.2*Table1[[#This Row],[X1]] + 1.4*Table1[[#This Row],[X2]] + 3.3*Table1[[#This Row],[x3]] + 0.6*Table1[[#This Row],[x4]] + 1*Table1[[#This Row],[x5]]</f>
        <v>#DIV/0!</v>
      </c>
      <c r="W196" s="23" t="e">
        <f>IF(Table1[[#This Row],[Zscore]]&lt;1.81,1,0)</f>
        <v>#DIV/0!</v>
      </c>
    </row>
    <row r="197" spans="1:23" ht="26.25" hidden="1" x14ac:dyDescent="0.45">
      <c r="A197" s="7">
        <v>191</v>
      </c>
      <c r="B197" s="5" t="s">
        <v>395</v>
      </c>
      <c r="C197" s="6" t="s">
        <v>396</v>
      </c>
      <c r="D197" s="6" t="s">
        <v>13</v>
      </c>
      <c r="E197" s="6"/>
      <c r="F197" s="6"/>
      <c r="G197" s="6"/>
      <c r="H197" s="6"/>
      <c r="I197" s="6"/>
      <c r="J197" s="8"/>
      <c r="K197" s="6"/>
      <c r="L197" s="6"/>
      <c r="M197" s="8"/>
      <c r="N197" s="8"/>
      <c r="O197" s="8"/>
      <c r="P197" s="8"/>
      <c r="Q197" s="18" t="e">
        <f>(Table1[[#This Row],[A. TÀI SẢN NGẮN HẠN]]-Table1[[#This Row],[I. Nợ ngắn hạn]])/Table1[[#This Row],[TỔNG CỘNG TÀI SẢN]]</f>
        <v>#DIV/0!</v>
      </c>
      <c r="R197" s="18" t="e">
        <f>Table1[[#This Row],[- LNST chưa phân phối kỳ này]]/Table1[[#This Row],[TỔNG CỘNG TÀI SẢN]]</f>
        <v>#DIV/0!</v>
      </c>
      <c r="S197" s="21" t="e">
        <f>Table1[[#This Row],[5. Lợi nhuận gộp về bán hàng và cung cấp dịch vụ]]/Table1[[#This Row],[TỔNG CỘNG TÀI SẢN]]</f>
        <v>#DIV/0!</v>
      </c>
      <c r="T19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97" s="23" t="e">
        <f>Table1[[#This Row],[1. Doanh thu bán hàng và cung cấp dịch vụ ]]/Table1[[#This Row],[TỔNG CỘNG TÀI SẢN]]</f>
        <v>#DIV/0!</v>
      </c>
      <c r="V197" s="23" t="e">
        <f>1.2*Table1[[#This Row],[X1]] + 1.4*Table1[[#This Row],[X2]] + 3.3*Table1[[#This Row],[x3]] + 0.6*Table1[[#This Row],[x4]] + 1*Table1[[#This Row],[x5]]</f>
        <v>#DIV/0!</v>
      </c>
      <c r="W197" s="23" t="e">
        <f>IF(Table1[[#This Row],[Zscore]]&lt;1.81,1,0)</f>
        <v>#DIV/0!</v>
      </c>
    </row>
    <row r="198" spans="1:23" hidden="1" x14ac:dyDescent="0.45">
      <c r="A198" s="7">
        <v>192</v>
      </c>
      <c r="B198" s="5" t="s">
        <v>397</v>
      </c>
      <c r="C198" s="6" t="s">
        <v>398</v>
      </c>
      <c r="D198" s="6" t="s">
        <v>13</v>
      </c>
      <c r="E198" s="6"/>
      <c r="F198" s="6"/>
      <c r="G198" s="6"/>
      <c r="H198" s="6"/>
      <c r="I198" s="6"/>
      <c r="J198" s="8"/>
      <c r="K198" s="6"/>
      <c r="L198" s="6"/>
      <c r="M198" s="8"/>
      <c r="N198" s="8"/>
      <c r="O198" s="8"/>
      <c r="P198" s="8"/>
      <c r="Q198" s="18" t="e">
        <f>(Table1[[#This Row],[A. TÀI SẢN NGẮN HẠN]]-Table1[[#This Row],[I. Nợ ngắn hạn]])/Table1[[#This Row],[TỔNG CỘNG TÀI SẢN]]</f>
        <v>#DIV/0!</v>
      </c>
      <c r="R198" s="18" t="e">
        <f>Table1[[#This Row],[- LNST chưa phân phối kỳ này]]/Table1[[#This Row],[TỔNG CỘNG TÀI SẢN]]</f>
        <v>#DIV/0!</v>
      </c>
      <c r="S198" s="21" t="e">
        <f>Table1[[#This Row],[5. Lợi nhuận gộp về bán hàng và cung cấp dịch vụ]]/Table1[[#This Row],[TỔNG CỘNG TÀI SẢN]]</f>
        <v>#DIV/0!</v>
      </c>
      <c r="T19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98" s="23" t="e">
        <f>Table1[[#This Row],[1. Doanh thu bán hàng và cung cấp dịch vụ ]]/Table1[[#This Row],[TỔNG CỘNG TÀI SẢN]]</f>
        <v>#DIV/0!</v>
      </c>
      <c r="V198" s="23" t="e">
        <f>1.2*Table1[[#This Row],[X1]] + 1.4*Table1[[#This Row],[X2]] + 3.3*Table1[[#This Row],[x3]] + 0.6*Table1[[#This Row],[x4]] + 1*Table1[[#This Row],[x5]]</f>
        <v>#DIV/0!</v>
      </c>
      <c r="W198" s="23" t="e">
        <f>IF(Table1[[#This Row],[Zscore]]&lt;1.81,1,0)</f>
        <v>#DIV/0!</v>
      </c>
    </row>
    <row r="199" spans="1:23" hidden="1" x14ac:dyDescent="0.45">
      <c r="A199" s="7">
        <v>193</v>
      </c>
      <c r="B199" s="5" t="s">
        <v>399</v>
      </c>
      <c r="C199" s="6" t="s">
        <v>400</v>
      </c>
      <c r="D199" s="6" t="s">
        <v>13</v>
      </c>
      <c r="E199" s="6"/>
      <c r="F199" s="6"/>
      <c r="G199" s="6"/>
      <c r="H199" s="6"/>
      <c r="I199" s="6"/>
      <c r="J199" s="8"/>
      <c r="K199" s="6"/>
      <c r="L199" s="6"/>
      <c r="M199" s="8"/>
      <c r="N199" s="8"/>
      <c r="O199" s="8"/>
      <c r="P199" s="8"/>
      <c r="Q199" s="18" t="e">
        <f>(Table1[[#This Row],[A. TÀI SẢN NGẮN HẠN]]-Table1[[#This Row],[I. Nợ ngắn hạn]])/Table1[[#This Row],[TỔNG CỘNG TÀI SẢN]]</f>
        <v>#DIV/0!</v>
      </c>
      <c r="R199" s="18" t="e">
        <f>Table1[[#This Row],[- LNST chưa phân phối kỳ này]]/Table1[[#This Row],[TỔNG CỘNG TÀI SẢN]]</f>
        <v>#DIV/0!</v>
      </c>
      <c r="S199" s="21" t="e">
        <f>Table1[[#This Row],[5. Lợi nhuận gộp về bán hàng và cung cấp dịch vụ]]/Table1[[#This Row],[TỔNG CỘNG TÀI SẢN]]</f>
        <v>#DIV/0!</v>
      </c>
      <c r="T19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99" s="23" t="e">
        <f>Table1[[#This Row],[1. Doanh thu bán hàng và cung cấp dịch vụ ]]/Table1[[#This Row],[TỔNG CỘNG TÀI SẢN]]</f>
        <v>#DIV/0!</v>
      </c>
      <c r="V199" s="23" t="e">
        <f>1.2*Table1[[#This Row],[X1]] + 1.4*Table1[[#This Row],[X2]] + 3.3*Table1[[#This Row],[x3]] + 0.6*Table1[[#This Row],[x4]] + 1*Table1[[#This Row],[x5]]</f>
        <v>#DIV/0!</v>
      </c>
      <c r="W199" s="23" t="e">
        <f>IF(Table1[[#This Row],[Zscore]]&lt;1.81,1,0)</f>
        <v>#DIV/0!</v>
      </c>
    </row>
    <row r="200" spans="1:23" hidden="1" x14ac:dyDescent="0.45">
      <c r="A200" s="7">
        <v>194</v>
      </c>
      <c r="B200" s="5" t="s">
        <v>401</v>
      </c>
      <c r="C200" s="6" t="s">
        <v>402</v>
      </c>
      <c r="D200" s="6" t="s">
        <v>13</v>
      </c>
      <c r="E200" s="6"/>
      <c r="F200" s="6"/>
      <c r="G200" s="6"/>
      <c r="H200" s="6"/>
      <c r="I200" s="6"/>
      <c r="J200" s="8"/>
      <c r="K200" s="6"/>
      <c r="L200" s="6"/>
      <c r="M200" s="8"/>
      <c r="N200" s="8"/>
      <c r="O200" s="8"/>
      <c r="P200" s="8"/>
      <c r="Q200" s="18" t="e">
        <f>(Table1[[#This Row],[A. TÀI SẢN NGẮN HẠN]]-Table1[[#This Row],[I. Nợ ngắn hạn]])/Table1[[#This Row],[TỔNG CỘNG TÀI SẢN]]</f>
        <v>#DIV/0!</v>
      </c>
      <c r="R200" s="18" t="e">
        <f>Table1[[#This Row],[- LNST chưa phân phối kỳ này]]/Table1[[#This Row],[TỔNG CỘNG TÀI SẢN]]</f>
        <v>#DIV/0!</v>
      </c>
      <c r="S200" s="21" t="e">
        <f>Table1[[#This Row],[5. Lợi nhuận gộp về bán hàng và cung cấp dịch vụ]]/Table1[[#This Row],[TỔNG CỘNG TÀI SẢN]]</f>
        <v>#DIV/0!</v>
      </c>
      <c r="T20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00" s="23" t="e">
        <f>Table1[[#This Row],[1. Doanh thu bán hàng và cung cấp dịch vụ ]]/Table1[[#This Row],[TỔNG CỘNG TÀI SẢN]]</f>
        <v>#DIV/0!</v>
      </c>
      <c r="V200" s="23" t="e">
        <f>1.2*Table1[[#This Row],[X1]] + 1.4*Table1[[#This Row],[X2]] + 3.3*Table1[[#This Row],[x3]] + 0.6*Table1[[#This Row],[x4]] + 1*Table1[[#This Row],[x5]]</f>
        <v>#DIV/0!</v>
      </c>
      <c r="W200" s="23" t="e">
        <f>IF(Table1[[#This Row],[Zscore]]&lt;1.81,1,0)</f>
        <v>#DIV/0!</v>
      </c>
    </row>
    <row r="201" spans="1:23" hidden="1" x14ac:dyDescent="0.45">
      <c r="A201" s="7">
        <v>195</v>
      </c>
      <c r="B201" s="5" t="s">
        <v>403</v>
      </c>
      <c r="C201" s="6" t="s">
        <v>404</v>
      </c>
      <c r="D201" s="6" t="s">
        <v>13</v>
      </c>
      <c r="E201" s="6"/>
      <c r="F201" s="6"/>
      <c r="G201" s="6"/>
      <c r="H201" s="6"/>
      <c r="I201" s="6"/>
      <c r="J201" s="8"/>
      <c r="K201" s="6"/>
      <c r="L201" s="6"/>
      <c r="M201" s="8"/>
      <c r="N201" s="8"/>
      <c r="O201" s="8"/>
      <c r="P201" s="8"/>
      <c r="Q201" s="18" t="e">
        <f>(Table1[[#This Row],[A. TÀI SẢN NGẮN HẠN]]-Table1[[#This Row],[I. Nợ ngắn hạn]])/Table1[[#This Row],[TỔNG CỘNG TÀI SẢN]]</f>
        <v>#DIV/0!</v>
      </c>
      <c r="R201" s="18" t="e">
        <f>Table1[[#This Row],[- LNST chưa phân phối kỳ này]]/Table1[[#This Row],[TỔNG CỘNG TÀI SẢN]]</f>
        <v>#DIV/0!</v>
      </c>
      <c r="S201" s="21" t="e">
        <f>Table1[[#This Row],[5. Lợi nhuận gộp về bán hàng và cung cấp dịch vụ]]/Table1[[#This Row],[TỔNG CỘNG TÀI SẢN]]</f>
        <v>#DIV/0!</v>
      </c>
      <c r="T20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01" s="23" t="e">
        <f>Table1[[#This Row],[1. Doanh thu bán hàng và cung cấp dịch vụ ]]/Table1[[#This Row],[TỔNG CỘNG TÀI SẢN]]</f>
        <v>#DIV/0!</v>
      </c>
      <c r="V201" s="23" t="e">
        <f>1.2*Table1[[#This Row],[X1]] + 1.4*Table1[[#This Row],[X2]] + 3.3*Table1[[#This Row],[x3]] + 0.6*Table1[[#This Row],[x4]] + 1*Table1[[#This Row],[x5]]</f>
        <v>#DIV/0!</v>
      </c>
      <c r="W201" s="23" t="e">
        <f>IF(Table1[[#This Row],[Zscore]]&lt;1.81,1,0)</f>
        <v>#DIV/0!</v>
      </c>
    </row>
    <row r="202" spans="1:23" hidden="1" x14ac:dyDescent="0.45">
      <c r="A202" s="7">
        <v>196</v>
      </c>
      <c r="B202" s="5" t="s">
        <v>405</v>
      </c>
      <c r="C202" s="6" t="s">
        <v>406</v>
      </c>
      <c r="D202" s="6" t="s">
        <v>13</v>
      </c>
      <c r="E202" s="6"/>
      <c r="F202" s="6"/>
      <c r="G202" s="6"/>
      <c r="H202" s="6"/>
      <c r="I202" s="6"/>
      <c r="J202" s="8"/>
      <c r="K202" s="6"/>
      <c r="L202" s="6"/>
      <c r="M202" s="8"/>
      <c r="N202" s="8"/>
      <c r="O202" s="8"/>
      <c r="P202" s="8"/>
      <c r="Q202" s="18" t="e">
        <f>(Table1[[#This Row],[A. TÀI SẢN NGẮN HẠN]]-Table1[[#This Row],[I. Nợ ngắn hạn]])/Table1[[#This Row],[TỔNG CỘNG TÀI SẢN]]</f>
        <v>#DIV/0!</v>
      </c>
      <c r="R202" s="18" t="e">
        <f>Table1[[#This Row],[- LNST chưa phân phối kỳ này]]/Table1[[#This Row],[TỔNG CỘNG TÀI SẢN]]</f>
        <v>#DIV/0!</v>
      </c>
      <c r="S202" s="21" t="e">
        <f>Table1[[#This Row],[5. Lợi nhuận gộp về bán hàng và cung cấp dịch vụ]]/Table1[[#This Row],[TỔNG CỘNG TÀI SẢN]]</f>
        <v>#DIV/0!</v>
      </c>
      <c r="T20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02" s="23" t="e">
        <f>Table1[[#This Row],[1. Doanh thu bán hàng và cung cấp dịch vụ ]]/Table1[[#This Row],[TỔNG CỘNG TÀI SẢN]]</f>
        <v>#DIV/0!</v>
      </c>
      <c r="V202" s="23" t="e">
        <f>1.2*Table1[[#This Row],[X1]] + 1.4*Table1[[#This Row],[X2]] + 3.3*Table1[[#This Row],[x3]] + 0.6*Table1[[#This Row],[x4]] + 1*Table1[[#This Row],[x5]]</f>
        <v>#DIV/0!</v>
      </c>
      <c r="W202" s="23" t="e">
        <f>IF(Table1[[#This Row],[Zscore]]&lt;1.81,1,0)</f>
        <v>#DIV/0!</v>
      </c>
    </row>
    <row r="203" spans="1:23" hidden="1" x14ac:dyDescent="0.45">
      <c r="A203" s="7">
        <v>197</v>
      </c>
      <c r="B203" s="5" t="s">
        <v>407</v>
      </c>
      <c r="C203" s="6" t="s">
        <v>408</v>
      </c>
      <c r="D203" s="6" t="s">
        <v>13</v>
      </c>
      <c r="E203" s="6"/>
      <c r="F203" s="6"/>
      <c r="G203" s="6"/>
      <c r="H203" s="6"/>
      <c r="I203" s="6"/>
      <c r="J203" s="8"/>
      <c r="K203" s="6"/>
      <c r="L203" s="6"/>
      <c r="M203" s="8"/>
      <c r="N203" s="8"/>
      <c r="O203" s="8"/>
      <c r="P203" s="8"/>
      <c r="Q203" s="18" t="e">
        <f>(Table1[[#This Row],[A. TÀI SẢN NGẮN HẠN]]-Table1[[#This Row],[I. Nợ ngắn hạn]])/Table1[[#This Row],[TỔNG CỘNG TÀI SẢN]]</f>
        <v>#DIV/0!</v>
      </c>
      <c r="R203" s="18" t="e">
        <f>Table1[[#This Row],[- LNST chưa phân phối kỳ này]]/Table1[[#This Row],[TỔNG CỘNG TÀI SẢN]]</f>
        <v>#DIV/0!</v>
      </c>
      <c r="S203" s="21" t="e">
        <f>Table1[[#This Row],[5. Lợi nhuận gộp về bán hàng và cung cấp dịch vụ]]/Table1[[#This Row],[TỔNG CỘNG TÀI SẢN]]</f>
        <v>#DIV/0!</v>
      </c>
      <c r="T20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03" s="23" t="e">
        <f>Table1[[#This Row],[1. Doanh thu bán hàng và cung cấp dịch vụ ]]/Table1[[#This Row],[TỔNG CỘNG TÀI SẢN]]</f>
        <v>#DIV/0!</v>
      </c>
      <c r="V203" s="23" t="e">
        <f>1.2*Table1[[#This Row],[X1]] + 1.4*Table1[[#This Row],[X2]] + 3.3*Table1[[#This Row],[x3]] + 0.6*Table1[[#This Row],[x4]] + 1*Table1[[#This Row],[x5]]</f>
        <v>#DIV/0!</v>
      </c>
      <c r="W203" s="23" t="e">
        <f>IF(Table1[[#This Row],[Zscore]]&lt;1.81,1,0)</f>
        <v>#DIV/0!</v>
      </c>
    </row>
    <row r="204" spans="1:23" ht="26.25" hidden="1" x14ac:dyDescent="0.45">
      <c r="A204" s="7">
        <v>198</v>
      </c>
      <c r="B204" s="5" t="s">
        <v>409</v>
      </c>
      <c r="C204" s="6" t="s">
        <v>410</v>
      </c>
      <c r="D204" s="6" t="s">
        <v>13</v>
      </c>
      <c r="E204" s="6"/>
      <c r="F204" s="6"/>
      <c r="G204" s="6"/>
      <c r="H204" s="6"/>
      <c r="I204" s="6"/>
      <c r="J204" s="8"/>
      <c r="K204" s="6"/>
      <c r="L204" s="6"/>
      <c r="M204" s="8"/>
      <c r="N204" s="8"/>
      <c r="O204" s="8"/>
      <c r="P204" s="8"/>
      <c r="Q204" s="18" t="e">
        <f>(Table1[[#This Row],[A. TÀI SẢN NGẮN HẠN]]-Table1[[#This Row],[I. Nợ ngắn hạn]])/Table1[[#This Row],[TỔNG CỘNG TÀI SẢN]]</f>
        <v>#DIV/0!</v>
      </c>
      <c r="R204" s="18" t="e">
        <f>Table1[[#This Row],[- LNST chưa phân phối kỳ này]]/Table1[[#This Row],[TỔNG CỘNG TÀI SẢN]]</f>
        <v>#DIV/0!</v>
      </c>
      <c r="S204" s="21" t="e">
        <f>Table1[[#This Row],[5. Lợi nhuận gộp về bán hàng và cung cấp dịch vụ]]/Table1[[#This Row],[TỔNG CỘNG TÀI SẢN]]</f>
        <v>#DIV/0!</v>
      </c>
      <c r="T20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04" s="23" t="e">
        <f>Table1[[#This Row],[1. Doanh thu bán hàng và cung cấp dịch vụ ]]/Table1[[#This Row],[TỔNG CỘNG TÀI SẢN]]</f>
        <v>#DIV/0!</v>
      </c>
      <c r="V204" s="23" t="e">
        <f>1.2*Table1[[#This Row],[X1]] + 1.4*Table1[[#This Row],[X2]] + 3.3*Table1[[#This Row],[x3]] + 0.6*Table1[[#This Row],[x4]] + 1*Table1[[#This Row],[x5]]</f>
        <v>#DIV/0!</v>
      </c>
      <c r="W204" s="23" t="e">
        <f>IF(Table1[[#This Row],[Zscore]]&lt;1.81,1,0)</f>
        <v>#DIV/0!</v>
      </c>
    </row>
    <row r="205" spans="1:23" ht="39" x14ac:dyDescent="0.45">
      <c r="A205" s="7">
        <v>199</v>
      </c>
      <c r="B205" s="5" t="s">
        <v>411</v>
      </c>
      <c r="C205" s="6" t="s">
        <v>412</v>
      </c>
      <c r="D205" s="6" t="s">
        <v>21</v>
      </c>
      <c r="E205" s="8">
        <v>10079690742995</v>
      </c>
      <c r="F205" s="8">
        <v>8095668659322</v>
      </c>
      <c r="G205" s="8">
        <v>6690909404374</v>
      </c>
      <c r="H205" s="8">
        <v>518430330437</v>
      </c>
      <c r="I205" s="8">
        <v>994936604120</v>
      </c>
      <c r="J205" s="8"/>
      <c r="K205" s="8">
        <v>6695229903181</v>
      </c>
      <c r="L205" s="8">
        <v>5574114519340</v>
      </c>
      <c r="M205" s="8">
        <v>4139874393500</v>
      </c>
      <c r="N205" s="8">
        <v>4607128899600</v>
      </c>
      <c r="O205" s="8">
        <v>4562071215500</v>
      </c>
      <c r="P205" s="8">
        <v>3295480749500</v>
      </c>
      <c r="Q205" s="18">
        <f>(Table1[[#This Row],[A. TÀI SẢN NGẮN HẠN]]-Table1[[#This Row],[I. Nợ ngắn hạn]])/Table1[[#This Row],[TỔNG CỘNG TÀI SẢN]]</f>
        <v>0.13936531296104041</v>
      </c>
      <c r="R205" s="18">
        <f>Table1[[#This Row],[- LNST chưa phân phối kỳ này]]/Table1[[#This Row],[TỔNG CỘNG TÀI SẢN]]</f>
        <v>5.1433158383087228E-2</v>
      </c>
      <c r="S205" s="21">
        <f>Table1[[#This Row],[5. Lợi nhuận gộp về bán hàng và cung cấp dịch vụ]]/Table1[[#This Row],[TỔNG CỘNG TÀI SẢN]]</f>
        <v>9.870705654451184E-2</v>
      </c>
      <c r="T20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0.62001437957384176</v>
      </c>
      <c r="U205" s="23">
        <f>Table1[[#This Row],[1. Doanh thu bán hàng và cung cấp dịch vụ ]]/Table1[[#This Row],[TỔNG CỘNG TÀI SẢN]]</f>
        <v>0.55300451784334714</v>
      </c>
      <c r="V205" s="23">
        <f>1.2*Table1[[#This Row],[X1]] + 1.4*Table1[[#This Row],[X2]] + 3.3*Table1[[#This Row],[x3]] + 0.6*Table1[[#This Row],[x4]] + 1*Table1[[#This Row],[x5]]</f>
        <v>1.4899912294741118</v>
      </c>
      <c r="W205" s="23">
        <f>IF(Table1[[#This Row],[Zscore]]&lt;1.81,1,0)</f>
        <v>1</v>
      </c>
    </row>
    <row r="206" spans="1:23" ht="26.25" x14ac:dyDescent="0.45">
      <c r="A206" s="7">
        <v>200</v>
      </c>
      <c r="B206" s="5" t="s">
        <v>413</v>
      </c>
      <c r="C206" s="6" t="s">
        <v>414</v>
      </c>
      <c r="D206" s="6" t="s">
        <v>21</v>
      </c>
      <c r="E206" s="8">
        <v>3330903761000000</v>
      </c>
      <c r="F206" s="6"/>
      <c r="G206" s="6"/>
      <c r="H206" s="6"/>
      <c r="I206" s="6"/>
      <c r="J206" s="8"/>
      <c r="K206" s="8">
        <v>3157292456000000</v>
      </c>
      <c r="L206" s="8">
        <v>155054521000000</v>
      </c>
      <c r="M206" s="8">
        <v>272077774283750</v>
      </c>
      <c r="N206" s="8">
        <v>273130978571300</v>
      </c>
      <c r="O206" s="8">
        <v>254875437587100</v>
      </c>
      <c r="P206" s="8">
        <v>280854476680000</v>
      </c>
      <c r="Q206" s="18">
        <f>(Table1[[#This Row],[A. TÀI SẢN NGẮN HẠN]]-Table1[[#This Row],[I. Nợ ngắn hạn]])/Table1[[#This Row],[TỔNG CỘNG TÀI SẢN]]</f>
        <v>0</v>
      </c>
      <c r="R206" s="18">
        <f>Table1[[#This Row],[- LNST chưa phân phối kỳ này]]/Table1[[#This Row],[TỔNG CỘNG TÀI SẢN]]</f>
        <v>0</v>
      </c>
      <c r="S206" s="21">
        <f>Table1[[#This Row],[5. Lợi nhuận gộp về bán hàng và cung cấp dịch vụ]]/Table1[[#This Row],[TỔNG CỘNG TÀI SẢN]]</f>
        <v>0</v>
      </c>
      <c r="T20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8.5590635187118541E-2</v>
      </c>
      <c r="U206" s="23">
        <f>Table1[[#This Row],[1. Doanh thu bán hàng và cung cấp dịch vụ ]]/Table1[[#This Row],[TỔNG CỘNG TÀI SẢN]]</f>
        <v>4.6550285485717463E-2</v>
      </c>
      <c r="V206" s="23">
        <f>1.2*Table1[[#This Row],[X1]] + 1.4*Table1[[#This Row],[X2]] + 3.3*Table1[[#This Row],[x3]] + 0.6*Table1[[#This Row],[x4]] + 1*Table1[[#This Row],[x5]]</f>
        <v>9.7904666597988577E-2</v>
      </c>
      <c r="W206" s="23">
        <f>IF(Table1[[#This Row],[Zscore]]&lt;1.81,1,0)</f>
        <v>1</v>
      </c>
    </row>
    <row r="207" spans="1:23" x14ac:dyDescent="0.45">
      <c r="A207" s="7">
        <v>201</v>
      </c>
      <c r="B207" s="5" t="s">
        <v>415</v>
      </c>
      <c r="C207" s="6" t="s">
        <v>416</v>
      </c>
      <c r="D207" s="6" t="s">
        <v>18</v>
      </c>
      <c r="E207" s="8">
        <v>404218890564</v>
      </c>
      <c r="F207" s="8">
        <v>263021565593</v>
      </c>
      <c r="G207" s="8">
        <v>140627083701</v>
      </c>
      <c r="H207" s="8">
        <v>36540235230</v>
      </c>
      <c r="I207" s="8">
        <v>64658613904</v>
      </c>
      <c r="J207" s="8"/>
      <c r="K207" s="8">
        <v>189621767701</v>
      </c>
      <c r="L207" s="8">
        <v>525900145856</v>
      </c>
      <c r="M207" s="8">
        <v>85982727300</v>
      </c>
      <c r="N207" s="8">
        <v>95937180000</v>
      </c>
      <c r="O207" s="8">
        <v>85982727300</v>
      </c>
      <c r="P207" s="8">
        <v>81546603000</v>
      </c>
      <c r="Q207" s="18">
        <f>(Table1[[#This Row],[A. TÀI SẢN NGẮN HẠN]]-Table1[[#This Row],[I. Nợ ngắn hạn]])/Table1[[#This Row],[TỔNG CỘNG TÀI SẢN]]</f>
        <v>0.30279258280389859</v>
      </c>
      <c r="R207" s="18">
        <f>Table1[[#This Row],[- LNST chưa phân phối kỳ này]]/Table1[[#This Row],[TỔNG CỘNG TÀI SẢN]]</f>
        <v>9.0397148878955183E-2</v>
      </c>
      <c r="S207" s="21">
        <f>Table1[[#This Row],[5. Lợi nhuận gộp về bán hàng và cung cấp dịch vụ]]/Table1[[#This Row],[TỔNG CỘNG TÀI SẢN]]</f>
        <v>0.15995940668132283</v>
      </c>
      <c r="T20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0.46071877959578417</v>
      </c>
      <c r="U207" s="23">
        <f>Table1[[#This Row],[1. Doanh thu bán hàng và cung cấp dịch vụ ]]/Table1[[#This Row],[TỔNG CỘNG TÀI SẢN]]</f>
        <v>1.3010281264248194</v>
      </c>
      <c r="V207" s="23">
        <f>1.2*Table1[[#This Row],[X1]] + 1.4*Table1[[#This Row],[X2]] + 3.3*Table1[[#This Row],[x3]] + 0.6*Table1[[#This Row],[x4]] + 1*Table1[[#This Row],[x5]]</f>
        <v>2.5952325440258708</v>
      </c>
      <c r="W207" s="23">
        <f>IF(Table1[[#This Row],[Zscore]]&lt;1.81,1,0)</f>
        <v>0</v>
      </c>
    </row>
    <row r="208" spans="1:23" ht="26.25" hidden="1" x14ac:dyDescent="0.45">
      <c r="A208" s="7">
        <v>202</v>
      </c>
      <c r="B208" s="5" t="s">
        <v>417</v>
      </c>
      <c r="C208" s="6" t="s">
        <v>418</v>
      </c>
      <c r="D208" s="6" t="s">
        <v>13</v>
      </c>
      <c r="E208" s="6"/>
      <c r="F208" s="6"/>
      <c r="G208" s="6"/>
      <c r="H208" s="6"/>
      <c r="I208" s="6"/>
      <c r="J208" s="8"/>
      <c r="K208" s="6"/>
      <c r="L208" s="6"/>
      <c r="M208" s="8"/>
      <c r="N208" s="8"/>
      <c r="O208" s="8"/>
      <c r="P208" s="8"/>
      <c r="Q208" s="18" t="e">
        <f>(Table1[[#This Row],[A. TÀI SẢN NGẮN HẠN]]-Table1[[#This Row],[I. Nợ ngắn hạn]])/Table1[[#This Row],[TỔNG CỘNG TÀI SẢN]]</f>
        <v>#DIV/0!</v>
      </c>
      <c r="R208" s="18" t="e">
        <f>Table1[[#This Row],[- LNST chưa phân phối kỳ này]]/Table1[[#This Row],[TỔNG CỘNG TÀI SẢN]]</f>
        <v>#DIV/0!</v>
      </c>
      <c r="S208" s="21" t="e">
        <f>Table1[[#This Row],[5. Lợi nhuận gộp về bán hàng và cung cấp dịch vụ]]/Table1[[#This Row],[TỔNG CỘNG TÀI SẢN]]</f>
        <v>#DIV/0!</v>
      </c>
      <c r="T20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08" s="23" t="e">
        <f>Table1[[#This Row],[1. Doanh thu bán hàng và cung cấp dịch vụ ]]/Table1[[#This Row],[TỔNG CỘNG TÀI SẢN]]</f>
        <v>#DIV/0!</v>
      </c>
      <c r="V208" s="23" t="e">
        <f>1.2*Table1[[#This Row],[X1]] + 1.4*Table1[[#This Row],[X2]] + 3.3*Table1[[#This Row],[x3]] + 0.6*Table1[[#This Row],[x4]] + 1*Table1[[#This Row],[x5]]</f>
        <v>#DIV/0!</v>
      </c>
      <c r="W208" s="23" t="e">
        <f>IF(Table1[[#This Row],[Zscore]]&lt;1.81,1,0)</f>
        <v>#DIV/0!</v>
      </c>
    </row>
    <row r="209" spans="1:23" hidden="1" x14ac:dyDescent="0.45">
      <c r="A209" s="7">
        <v>203</v>
      </c>
      <c r="B209" s="5" t="s">
        <v>419</v>
      </c>
      <c r="C209" s="6" t="s">
        <v>420</v>
      </c>
      <c r="D209" s="6" t="s">
        <v>13</v>
      </c>
      <c r="E209" s="6"/>
      <c r="F209" s="6"/>
      <c r="G209" s="6"/>
      <c r="H209" s="6"/>
      <c r="I209" s="6"/>
      <c r="J209" s="8"/>
      <c r="K209" s="6"/>
      <c r="L209" s="6"/>
      <c r="M209" s="8"/>
      <c r="N209" s="8"/>
      <c r="O209" s="8"/>
      <c r="P209" s="8"/>
      <c r="Q209" s="18" t="e">
        <f>(Table1[[#This Row],[A. TÀI SẢN NGẮN HẠN]]-Table1[[#This Row],[I. Nợ ngắn hạn]])/Table1[[#This Row],[TỔNG CỘNG TÀI SẢN]]</f>
        <v>#DIV/0!</v>
      </c>
      <c r="R209" s="18" t="e">
        <f>Table1[[#This Row],[- LNST chưa phân phối kỳ này]]/Table1[[#This Row],[TỔNG CỘNG TÀI SẢN]]</f>
        <v>#DIV/0!</v>
      </c>
      <c r="S209" s="21" t="e">
        <f>Table1[[#This Row],[5. Lợi nhuận gộp về bán hàng và cung cấp dịch vụ]]/Table1[[#This Row],[TỔNG CỘNG TÀI SẢN]]</f>
        <v>#DIV/0!</v>
      </c>
      <c r="T20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09" s="23" t="e">
        <f>Table1[[#This Row],[1. Doanh thu bán hàng và cung cấp dịch vụ ]]/Table1[[#This Row],[TỔNG CỘNG TÀI SẢN]]</f>
        <v>#DIV/0!</v>
      </c>
      <c r="V209" s="23" t="e">
        <f>1.2*Table1[[#This Row],[X1]] + 1.4*Table1[[#This Row],[X2]] + 3.3*Table1[[#This Row],[x3]] + 0.6*Table1[[#This Row],[x4]] + 1*Table1[[#This Row],[x5]]</f>
        <v>#DIV/0!</v>
      </c>
      <c r="W209" s="23" t="e">
        <f>IF(Table1[[#This Row],[Zscore]]&lt;1.81,1,0)</f>
        <v>#DIV/0!</v>
      </c>
    </row>
    <row r="210" spans="1:23" hidden="1" x14ac:dyDescent="0.45">
      <c r="A210" s="7">
        <v>204</v>
      </c>
      <c r="B210" s="5" t="s">
        <v>421</v>
      </c>
      <c r="C210" s="6" t="s">
        <v>422</v>
      </c>
      <c r="D210" s="6" t="s">
        <v>13</v>
      </c>
      <c r="E210" s="6"/>
      <c r="F210" s="6"/>
      <c r="G210" s="6"/>
      <c r="H210" s="6"/>
      <c r="I210" s="6"/>
      <c r="J210" s="8"/>
      <c r="K210" s="6"/>
      <c r="L210" s="6"/>
      <c r="M210" s="8"/>
      <c r="N210" s="8"/>
      <c r="O210" s="8"/>
      <c r="P210" s="8"/>
      <c r="Q210" s="18" t="e">
        <f>(Table1[[#This Row],[A. TÀI SẢN NGẮN HẠN]]-Table1[[#This Row],[I. Nợ ngắn hạn]])/Table1[[#This Row],[TỔNG CỘNG TÀI SẢN]]</f>
        <v>#DIV/0!</v>
      </c>
      <c r="R210" s="18" t="e">
        <f>Table1[[#This Row],[- LNST chưa phân phối kỳ này]]/Table1[[#This Row],[TỔNG CỘNG TÀI SẢN]]</f>
        <v>#DIV/0!</v>
      </c>
      <c r="S210" s="21" t="e">
        <f>Table1[[#This Row],[5. Lợi nhuận gộp về bán hàng và cung cấp dịch vụ]]/Table1[[#This Row],[TỔNG CỘNG TÀI SẢN]]</f>
        <v>#DIV/0!</v>
      </c>
      <c r="T21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10" s="23" t="e">
        <f>Table1[[#This Row],[1. Doanh thu bán hàng và cung cấp dịch vụ ]]/Table1[[#This Row],[TỔNG CỘNG TÀI SẢN]]</f>
        <v>#DIV/0!</v>
      </c>
      <c r="V210" s="23" t="e">
        <f>1.2*Table1[[#This Row],[X1]] + 1.4*Table1[[#This Row],[X2]] + 3.3*Table1[[#This Row],[x3]] + 0.6*Table1[[#This Row],[x4]] + 1*Table1[[#This Row],[x5]]</f>
        <v>#DIV/0!</v>
      </c>
      <c r="W210" s="23" t="e">
        <f>IF(Table1[[#This Row],[Zscore]]&lt;1.81,1,0)</f>
        <v>#DIV/0!</v>
      </c>
    </row>
    <row r="211" spans="1:23" ht="26.25" hidden="1" x14ac:dyDescent="0.45">
      <c r="A211" s="7">
        <v>205</v>
      </c>
      <c r="B211" s="5" t="s">
        <v>423</v>
      </c>
      <c r="C211" s="6" t="s">
        <v>424</v>
      </c>
      <c r="D211" s="6" t="s">
        <v>13</v>
      </c>
      <c r="E211" s="6"/>
      <c r="F211" s="6"/>
      <c r="G211" s="6"/>
      <c r="H211" s="6"/>
      <c r="I211" s="6"/>
      <c r="J211" s="8"/>
      <c r="K211" s="6"/>
      <c r="L211" s="6"/>
      <c r="M211" s="8"/>
      <c r="N211" s="8"/>
      <c r="O211" s="8"/>
      <c r="P211" s="8"/>
      <c r="Q211" s="18" t="e">
        <f>(Table1[[#This Row],[A. TÀI SẢN NGẮN HẠN]]-Table1[[#This Row],[I. Nợ ngắn hạn]])/Table1[[#This Row],[TỔNG CỘNG TÀI SẢN]]</f>
        <v>#DIV/0!</v>
      </c>
      <c r="R211" s="18" t="e">
        <f>Table1[[#This Row],[- LNST chưa phân phối kỳ này]]/Table1[[#This Row],[TỔNG CỘNG TÀI SẢN]]</f>
        <v>#DIV/0!</v>
      </c>
      <c r="S211" s="21" t="e">
        <f>Table1[[#This Row],[5. Lợi nhuận gộp về bán hàng và cung cấp dịch vụ]]/Table1[[#This Row],[TỔNG CỘNG TÀI SẢN]]</f>
        <v>#DIV/0!</v>
      </c>
      <c r="T21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11" s="23" t="e">
        <f>Table1[[#This Row],[1. Doanh thu bán hàng và cung cấp dịch vụ ]]/Table1[[#This Row],[TỔNG CỘNG TÀI SẢN]]</f>
        <v>#DIV/0!</v>
      </c>
      <c r="V211" s="23" t="e">
        <f>1.2*Table1[[#This Row],[X1]] + 1.4*Table1[[#This Row],[X2]] + 3.3*Table1[[#This Row],[x3]] + 0.6*Table1[[#This Row],[x4]] + 1*Table1[[#This Row],[x5]]</f>
        <v>#DIV/0!</v>
      </c>
      <c r="W211" s="23" t="e">
        <f>IF(Table1[[#This Row],[Zscore]]&lt;1.81,1,0)</f>
        <v>#DIV/0!</v>
      </c>
    </row>
    <row r="212" spans="1:23" hidden="1" x14ac:dyDescent="0.45">
      <c r="A212" s="7">
        <v>206</v>
      </c>
      <c r="B212" s="5" t="s">
        <v>425</v>
      </c>
      <c r="C212" s="6" t="s">
        <v>426</v>
      </c>
      <c r="D212" s="6" t="s">
        <v>13</v>
      </c>
      <c r="E212" s="6"/>
      <c r="F212" s="6"/>
      <c r="G212" s="6"/>
      <c r="H212" s="6"/>
      <c r="I212" s="6"/>
      <c r="J212" s="8"/>
      <c r="K212" s="6"/>
      <c r="L212" s="6"/>
      <c r="M212" s="8"/>
      <c r="N212" s="8"/>
      <c r="O212" s="8"/>
      <c r="P212" s="8"/>
      <c r="Q212" s="18" t="e">
        <f>(Table1[[#This Row],[A. TÀI SẢN NGẮN HẠN]]-Table1[[#This Row],[I. Nợ ngắn hạn]])/Table1[[#This Row],[TỔNG CỘNG TÀI SẢN]]</f>
        <v>#DIV/0!</v>
      </c>
      <c r="R212" s="18" t="e">
        <f>Table1[[#This Row],[- LNST chưa phân phối kỳ này]]/Table1[[#This Row],[TỔNG CỘNG TÀI SẢN]]</f>
        <v>#DIV/0!</v>
      </c>
      <c r="S212" s="21" t="e">
        <f>Table1[[#This Row],[5. Lợi nhuận gộp về bán hàng và cung cấp dịch vụ]]/Table1[[#This Row],[TỔNG CỘNG TÀI SẢN]]</f>
        <v>#DIV/0!</v>
      </c>
      <c r="T21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12" s="23" t="e">
        <f>Table1[[#This Row],[1. Doanh thu bán hàng và cung cấp dịch vụ ]]/Table1[[#This Row],[TỔNG CỘNG TÀI SẢN]]</f>
        <v>#DIV/0!</v>
      </c>
      <c r="V212" s="23" t="e">
        <f>1.2*Table1[[#This Row],[X1]] + 1.4*Table1[[#This Row],[X2]] + 3.3*Table1[[#This Row],[x3]] + 0.6*Table1[[#This Row],[x4]] + 1*Table1[[#This Row],[x5]]</f>
        <v>#DIV/0!</v>
      </c>
      <c r="W212" s="23" t="e">
        <f>IF(Table1[[#This Row],[Zscore]]&lt;1.81,1,0)</f>
        <v>#DIV/0!</v>
      </c>
    </row>
    <row r="213" spans="1:23" ht="26.25" hidden="1" x14ac:dyDescent="0.45">
      <c r="A213" s="7">
        <v>207</v>
      </c>
      <c r="B213" s="5" t="s">
        <v>427</v>
      </c>
      <c r="C213" s="6" t="s">
        <v>428</v>
      </c>
      <c r="D213" s="6" t="s">
        <v>18</v>
      </c>
      <c r="E213" s="6"/>
      <c r="F213" s="6"/>
      <c r="G213" s="6"/>
      <c r="H213" s="6"/>
      <c r="I213" s="6"/>
      <c r="J213" s="8"/>
      <c r="K213" s="6"/>
      <c r="L213" s="6"/>
      <c r="M213" s="8"/>
      <c r="N213" s="8"/>
      <c r="O213" s="8"/>
      <c r="P213" s="8"/>
      <c r="Q213" s="18" t="e">
        <f>(Table1[[#This Row],[A. TÀI SẢN NGẮN HẠN]]-Table1[[#This Row],[I. Nợ ngắn hạn]])/Table1[[#This Row],[TỔNG CỘNG TÀI SẢN]]</f>
        <v>#DIV/0!</v>
      </c>
      <c r="R213" s="18" t="e">
        <f>Table1[[#This Row],[- LNST chưa phân phối kỳ này]]/Table1[[#This Row],[TỔNG CỘNG TÀI SẢN]]</f>
        <v>#DIV/0!</v>
      </c>
      <c r="S213" s="21" t="e">
        <f>Table1[[#This Row],[5. Lợi nhuận gộp về bán hàng và cung cấp dịch vụ]]/Table1[[#This Row],[TỔNG CỘNG TÀI SẢN]]</f>
        <v>#DIV/0!</v>
      </c>
      <c r="T21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13" s="23" t="e">
        <f>Table1[[#This Row],[1. Doanh thu bán hàng và cung cấp dịch vụ ]]/Table1[[#This Row],[TỔNG CỘNG TÀI SẢN]]</f>
        <v>#DIV/0!</v>
      </c>
      <c r="V213" s="23" t="e">
        <f>1.2*Table1[[#This Row],[X1]] + 1.4*Table1[[#This Row],[X2]] + 3.3*Table1[[#This Row],[x3]] + 0.6*Table1[[#This Row],[x4]] + 1*Table1[[#This Row],[x5]]</f>
        <v>#DIV/0!</v>
      </c>
      <c r="W213" s="23" t="e">
        <f>IF(Table1[[#This Row],[Zscore]]&lt;1.81,1,0)</f>
        <v>#DIV/0!</v>
      </c>
    </row>
    <row r="214" spans="1:23" hidden="1" x14ac:dyDescent="0.45">
      <c r="A214" s="7">
        <v>208</v>
      </c>
      <c r="B214" s="5" t="s">
        <v>429</v>
      </c>
      <c r="C214" s="6" t="s">
        <v>430</v>
      </c>
      <c r="D214" s="6" t="s">
        <v>13</v>
      </c>
      <c r="E214" s="6"/>
      <c r="F214" s="6"/>
      <c r="G214" s="6"/>
      <c r="H214" s="6"/>
      <c r="I214" s="6"/>
      <c r="J214" s="8"/>
      <c r="K214" s="6"/>
      <c r="L214" s="6"/>
      <c r="M214" s="8"/>
      <c r="N214" s="8"/>
      <c r="O214" s="8"/>
      <c r="P214" s="8"/>
      <c r="Q214" s="18" t="e">
        <f>(Table1[[#This Row],[A. TÀI SẢN NGẮN HẠN]]-Table1[[#This Row],[I. Nợ ngắn hạn]])/Table1[[#This Row],[TỔNG CỘNG TÀI SẢN]]</f>
        <v>#DIV/0!</v>
      </c>
      <c r="R214" s="18" t="e">
        <f>Table1[[#This Row],[- LNST chưa phân phối kỳ này]]/Table1[[#This Row],[TỔNG CỘNG TÀI SẢN]]</f>
        <v>#DIV/0!</v>
      </c>
      <c r="S214" s="21" t="e">
        <f>Table1[[#This Row],[5. Lợi nhuận gộp về bán hàng và cung cấp dịch vụ]]/Table1[[#This Row],[TỔNG CỘNG TÀI SẢN]]</f>
        <v>#DIV/0!</v>
      </c>
      <c r="T21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14" s="23" t="e">
        <f>Table1[[#This Row],[1. Doanh thu bán hàng và cung cấp dịch vụ ]]/Table1[[#This Row],[TỔNG CỘNG TÀI SẢN]]</f>
        <v>#DIV/0!</v>
      </c>
      <c r="V214" s="23" t="e">
        <f>1.2*Table1[[#This Row],[X1]] + 1.4*Table1[[#This Row],[X2]] + 3.3*Table1[[#This Row],[x3]] + 0.6*Table1[[#This Row],[x4]] + 1*Table1[[#This Row],[x5]]</f>
        <v>#DIV/0!</v>
      </c>
      <c r="W214" s="23" t="e">
        <f>IF(Table1[[#This Row],[Zscore]]&lt;1.81,1,0)</f>
        <v>#DIV/0!</v>
      </c>
    </row>
    <row r="215" spans="1:23" hidden="1" x14ac:dyDescent="0.45">
      <c r="A215" s="7">
        <v>209</v>
      </c>
      <c r="B215" s="5" t="s">
        <v>431</v>
      </c>
      <c r="C215" s="6" t="s">
        <v>432</v>
      </c>
      <c r="D215" s="6" t="s">
        <v>13</v>
      </c>
      <c r="E215" s="8">
        <v>388751468377</v>
      </c>
      <c r="F215" s="8">
        <v>271093541850</v>
      </c>
      <c r="G215" s="8">
        <v>1429318479</v>
      </c>
      <c r="H215" s="6"/>
      <c r="I215" s="8">
        <v>11854455460</v>
      </c>
      <c r="J215" s="8"/>
      <c r="K215" s="8">
        <v>1429318479</v>
      </c>
      <c r="L215" s="8">
        <v>13880838253</v>
      </c>
      <c r="M215" s="8"/>
      <c r="N215" s="8"/>
      <c r="O215" s="8"/>
      <c r="P215" s="8"/>
      <c r="Q215" s="18">
        <f>(Table1[[#This Row],[A. TÀI SẢN NGẮN HẠN]]-Table1[[#This Row],[I. Nợ ngắn hạn]])/Table1[[#This Row],[TỔNG CỘNG TÀI SẢN]]</f>
        <v>0.69366740786040548</v>
      </c>
      <c r="R215" s="18">
        <f>Table1[[#This Row],[- LNST chưa phân phối kỳ này]]/Table1[[#This Row],[TỔNG CỘNG TÀI SẢN]]</f>
        <v>0</v>
      </c>
      <c r="S215" s="21">
        <f>Table1[[#This Row],[5. Lợi nhuận gộp về bán hàng và cung cấp dịch vụ]]/Table1[[#This Row],[TỔNG CỘNG TÀI SẢN]]</f>
        <v>3.0493660922983036E-2</v>
      </c>
      <c r="T21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15" s="23">
        <f>Table1[[#This Row],[1. Doanh thu bán hàng và cung cấp dịch vụ ]]/Table1[[#This Row],[TỔNG CỘNG TÀI SẢN]]</f>
        <v>3.5706201473530541E-2</v>
      </c>
      <c r="V215" s="23" t="e">
        <f>1.2*Table1[[#This Row],[X1]] + 1.4*Table1[[#This Row],[X2]] + 3.3*Table1[[#This Row],[x3]] + 0.6*Table1[[#This Row],[x4]] + 1*Table1[[#This Row],[x5]]</f>
        <v>#DIV/0!</v>
      </c>
      <c r="W215" s="23" t="e">
        <f>IF(Table1[[#This Row],[Zscore]]&lt;1.81,1,0)</f>
        <v>#DIV/0!</v>
      </c>
    </row>
    <row r="216" spans="1:23" hidden="1" x14ac:dyDescent="0.45">
      <c r="A216" s="7">
        <v>210</v>
      </c>
      <c r="B216" s="5" t="s">
        <v>433</v>
      </c>
      <c r="C216" s="6" t="s">
        <v>434</v>
      </c>
      <c r="D216" s="6" t="s">
        <v>13</v>
      </c>
      <c r="E216" s="6"/>
      <c r="F216" s="6"/>
      <c r="G216" s="6"/>
      <c r="H216" s="6"/>
      <c r="I216" s="6"/>
      <c r="J216" s="8"/>
      <c r="K216" s="6"/>
      <c r="L216" s="6"/>
      <c r="M216" s="8"/>
      <c r="N216" s="8"/>
      <c r="O216" s="8"/>
      <c r="P216" s="8"/>
      <c r="Q216" s="18" t="e">
        <f>(Table1[[#This Row],[A. TÀI SẢN NGẮN HẠN]]-Table1[[#This Row],[I. Nợ ngắn hạn]])/Table1[[#This Row],[TỔNG CỘNG TÀI SẢN]]</f>
        <v>#DIV/0!</v>
      </c>
      <c r="R216" s="18" t="e">
        <f>Table1[[#This Row],[- LNST chưa phân phối kỳ này]]/Table1[[#This Row],[TỔNG CỘNG TÀI SẢN]]</f>
        <v>#DIV/0!</v>
      </c>
      <c r="S216" s="21" t="e">
        <f>Table1[[#This Row],[5. Lợi nhuận gộp về bán hàng và cung cấp dịch vụ]]/Table1[[#This Row],[TỔNG CỘNG TÀI SẢN]]</f>
        <v>#DIV/0!</v>
      </c>
      <c r="T21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16" s="23" t="e">
        <f>Table1[[#This Row],[1. Doanh thu bán hàng và cung cấp dịch vụ ]]/Table1[[#This Row],[TỔNG CỘNG TÀI SẢN]]</f>
        <v>#DIV/0!</v>
      </c>
      <c r="V216" s="23" t="e">
        <f>1.2*Table1[[#This Row],[X1]] + 1.4*Table1[[#This Row],[X2]] + 3.3*Table1[[#This Row],[x3]] + 0.6*Table1[[#This Row],[x4]] + 1*Table1[[#This Row],[x5]]</f>
        <v>#DIV/0!</v>
      </c>
      <c r="W216" s="23" t="e">
        <f>IF(Table1[[#This Row],[Zscore]]&lt;1.81,1,0)</f>
        <v>#DIV/0!</v>
      </c>
    </row>
    <row r="217" spans="1:23" x14ac:dyDescent="0.45">
      <c r="A217" s="7">
        <v>211</v>
      </c>
      <c r="B217" s="5" t="s">
        <v>435</v>
      </c>
      <c r="C217" s="6" t="s">
        <v>436</v>
      </c>
      <c r="D217" s="6" t="s">
        <v>36</v>
      </c>
      <c r="E217" s="8">
        <v>639242267186</v>
      </c>
      <c r="F217" s="8">
        <v>398351709627</v>
      </c>
      <c r="G217" s="8">
        <v>244412055415</v>
      </c>
      <c r="H217" s="8">
        <v>91475359109</v>
      </c>
      <c r="I217" s="8">
        <v>127648135544</v>
      </c>
      <c r="J217" s="8"/>
      <c r="K217" s="8">
        <v>276838511900</v>
      </c>
      <c r="L217" s="8">
        <v>515776050231</v>
      </c>
      <c r="M217" s="8">
        <v>626794675200</v>
      </c>
      <c r="N217" s="8">
        <v>478899302400</v>
      </c>
      <c r="O217" s="8">
        <v>473030438400</v>
      </c>
      <c r="P217" s="8">
        <v>333351475200</v>
      </c>
      <c r="Q217" s="18">
        <f>(Table1[[#This Row],[A. TÀI SẢN NGẮN HẠN]]-Table1[[#This Row],[I. Nợ ngắn hạn]])/Table1[[#This Row],[TỔNG CỘNG TÀI SẢN]]</f>
        <v>0.2408158254141356</v>
      </c>
      <c r="R217" s="18">
        <f>Table1[[#This Row],[- LNST chưa phân phối kỳ này]]/Table1[[#This Row],[TỔNG CỘNG TÀI SẢN]]</f>
        <v>0.14309967254149586</v>
      </c>
      <c r="S217" s="21">
        <f>Table1[[#This Row],[5. Lợi nhuận gộp về bán hàng và cung cấp dịch vụ]]/Table1[[#This Row],[TỔNG CỘNG TÀI SẢN]]</f>
        <v>0.1996866322778032</v>
      </c>
      <c r="T21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1.7267069148698166</v>
      </c>
      <c r="U217" s="23">
        <f>Table1[[#This Row],[1. Doanh thu bán hàng và cung cấp dịch vụ ]]/Table1[[#This Row],[TỔNG CỘNG TÀI SẢN]]</f>
        <v>0.80685536095961075</v>
      </c>
      <c r="V217" s="23">
        <f>1.2*Table1[[#This Row],[X1]] + 1.4*Table1[[#This Row],[X2]] + 3.3*Table1[[#This Row],[x3]] + 0.6*Table1[[#This Row],[x4]] + 1*Table1[[#This Row],[x5]]</f>
        <v>2.9911639284533078</v>
      </c>
      <c r="W217" s="23">
        <f>IF(Table1[[#This Row],[Zscore]]&lt;1.81,1,0)</f>
        <v>0</v>
      </c>
    </row>
    <row r="218" spans="1:23" x14ac:dyDescent="0.45">
      <c r="A218" s="7">
        <v>212</v>
      </c>
      <c r="B218" s="5" t="s">
        <v>437</v>
      </c>
      <c r="C218" s="6" t="s">
        <v>438</v>
      </c>
      <c r="D218" s="6" t="s">
        <v>21</v>
      </c>
      <c r="E218" s="8">
        <v>820213754165</v>
      </c>
      <c r="F218" s="8">
        <v>558066983613</v>
      </c>
      <c r="G218" s="8">
        <v>50942083311</v>
      </c>
      <c r="H218" s="8">
        <v>10214015663</v>
      </c>
      <c r="I218" s="8">
        <v>26617753207</v>
      </c>
      <c r="J218" s="8"/>
      <c r="K218" s="8">
        <v>57843197836</v>
      </c>
      <c r="L218" s="8">
        <v>234537681328</v>
      </c>
      <c r="M218" s="8">
        <v>217691420800</v>
      </c>
      <c r="N218" s="8">
        <v>205517887400</v>
      </c>
      <c r="O218" s="8">
        <v>199073075600</v>
      </c>
      <c r="P218" s="8">
        <v>221987962000</v>
      </c>
      <c r="Q218" s="18">
        <f>(Table1[[#This Row],[A. TÀI SẢN NGẮN HẠN]]-Table1[[#This Row],[I. Nợ ngắn hạn]])/Table1[[#This Row],[TỔNG CỘNG TÀI SẢN]]</f>
        <v>0.61828382872982546</v>
      </c>
      <c r="R218" s="18">
        <f>Table1[[#This Row],[- LNST chưa phân phối kỳ này]]/Table1[[#This Row],[TỔNG CỘNG TÀI SẢN]]</f>
        <v>1.2452870500078539E-2</v>
      </c>
      <c r="S218" s="21">
        <f>Table1[[#This Row],[5. Lợi nhuận gộp về bán hàng và cung cấp dịch vụ]]/Table1[[#This Row],[TỔNG CỘNG TÀI SẢN]]</f>
        <v>3.2452215135184606E-2</v>
      </c>
      <c r="T21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3.6489612321993268</v>
      </c>
      <c r="U218" s="23">
        <f>Table1[[#This Row],[1. Doanh thu bán hàng và cung cấp dịch vụ ]]/Table1[[#This Row],[TỔNG CỘNG TÀI SẢN]]</f>
        <v>0.28594702312297332</v>
      </c>
      <c r="V218" s="23">
        <f>1.2*Table1[[#This Row],[X1]] + 1.4*Table1[[#This Row],[X2]] + 3.3*Table1[[#This Row],[x3]] + 0.6*Table1[[#This Row],[x4]] + 1*Table1[[#This Row],[x5]]</f>
        <v>3.3417906855645794</v>
      </c>
      <c r="W218" s="23">
        <f>IF(Table1[[#This Row],[Zscore]]&lt;1.81,1,0)</f>
        <v>0</v>
      </c>
    </row>
    <row r="219" spans="1:23" hidden="1" x14ac:dyDescent="0.45">
      <c r="A219" s="7">
        <v>213</v>
      </c>
      <c r="B219" s="5" t="s">
        <v>439</v>
      </c>
      <c r="C219" s="6" t="s">
        <v>440</v>
      </c>
      <c r="D219" s="6" t="s">
        <v>13</v>
      </c>
      <c r="E219" s="6"/>
      <c r="F219" s="6"/>
      <c r="G219" s="6"/>
      <c r="H219" s="6"/>
      <c r="I219" s="6"/>
      <c r="J219" s="8"/>
      <c r="K219" s="6"/>
      <c r="L219" s="6"/>
      <c r="M219" s="8"/>
      <c r="N219" s="8"/>
      <c r="O219" s="8"/>
      <c r="P219" s="8"/>
      <c r="Q219" s="18" t="e">
        <f>(Table1[[#This Row],[A. TÀI SẢN NGẮN HẠN]]-Table1[[#This Row],[I. Nợ ngắn hạn]])/Table1[[#This Row],[TỔNG CỘNG TÀI SẢN]]</f>
        <v>#DIV/0!</v>
      </c>
      <c r="R219" s="18" t="e">
        <f>Table1[[#This Row],[- LNST chưa phân phối kỳ này]]/Table1[[#This Row],[TỔNG CỘNG TÀI SẢN]]</f>
        <v>#DIV/0!</v>
      </c>
      <c r="S219" s="21" t="e">
        <f>Table1[[#This Row],[5. Lợi nhuận gộp về bán hàng và cung cấp dịch vụ]]/Table1[[#This Row],[TỔNG CỘNG TÀI SẢN]]</f>
        <v>#DIV/0!</v>
      </c>
      <c r="T21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19" s="23" t="e">
        <f>Table1[[#This Row],[1. Doanh thu bán hàng và cung cấp dịch vụ ]]/Table1[[#This Row],[TỔNG CỘNG TÀI SẢN]]</f>
        <v>#DIV/0!</v>
      </c>
      <c r="V219" s="23" t="e">
        <f>1.2*Table1[[#This Row],[X1]] + 1.4*Table1[[#This Row],[X2]] + 3.3*Table1[[#This Row],[x3]] + 0.6*Table1[[#This Row],[x4]] + 1*Table1[[#This Row],[x5]]</f>
        <v>#DIV/0!</v>
      </c>
      <c r="W219" s="23" t="e">
        <f>IF(Table1[[#This Row],[Zscore]]&lt;1.81,1,0)</f>
        <v>#DIV/0!</v>
      </c>
    </row>
    <row r="220" spans="1:23" hidden="1" x14ac:dyDescent="0.45">
      <c r="A220" s="7">
        <v>214</v>
      </c>
      <c r="B220" s="5" t="s">
        <v>441</v>
      </c>
      <c r="C220" s="6" t="s">
        <v>442</v>
      </c>
      <c r="D220" s="6" t="s">
        <v>18</v>
      </c>
      <c r="E220" s="6"/>
      <c r="F220" s="6"/>
      <c r="G220" s="6"/>
      <c r="H220" s="6"/>
      <c r="I220" s="6"/>
      <c r="J220" s="8"/>
      <c r="K220" s="6"/>
      <c r="L220" s="6"/>
      <c r="M220" s="8"/>
      <c r="N220" s="8"/>
      <c r="O220" s="8"/>
      <c r="P220" s="8"/>
      <c r="Q220" s="18" t="e">
        <f>(Table1[[#This Row],[A. TÀI SẢN NGẮN HẠN]]-Table1[[#This Row],[I. Nợ ngắn hạn]])/Table1[[#This Row],[TỔNG CỘNG TÀI SẢN]]</f>
        <v>#DIV/0!</v>
      </c>
      <c r="R220" s="18" t="e">
        <f>Table1[[#This Row],[- LNST chưa phân phối kỳ này]]/Table1[[#This Row],[TỔNG CỘNG TÀI SẢN]]</f>
        <v>#DIV/0!</v>
      </c>
      <c r="S220" s="21" t="e">
        <f>Table1[[#This Row],[5. Lợi nhuận gộp về bán hàng và cung cấp dịch vụ]]/Table1[[#This Row],[TỔNG CỘNG TÀI SẢN]]</f>
        <v>#DIV/0!</v>
      </c>
      <c r="T22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20" s="23" t="e">
        <f>Table1[[#This Row],[1. Doanh thu bán hàng và cung cấp dịch vụ ]]/Table1[[#This Row],[TỔNG CỘNG TÀI SẢN]]</f>
        <v>#DIV/0!</v>
      </c>
      <c r="V220" s="23" t="e">
        <f>1.2*Table1[[#This Row],[X1]] + 1.4*Table1[[#This Row],[X2]] + 3.3*Table1[[#This Row],[x3]] + 0.6*Table1[[#This Row],[x4]] + 1*Table1[[#This Row],[x5]]</f>
        <v>#DIV/0!</v>
      </c>
      <c r="W220" s="23" t="e">
        <f>IF(Table1[[#This Row],[Zscore]]&lt;1.81,1,0)</f>
        <v>#DIV/0!</v>
      </c>
    </row>
    <row r="221" spans="1:23" ht="26.25" x14ac:dyDescent="0.45">
      <c r="A221" s="7">
        <v>215</v>
      </c>
      <c r="B221" s="5" t="s">
        <v>443</v>
      </c>
      <c r="C221" s="6" t="s">
        <v>444</v>
      </c>
      <c r="D221" s="6" t="s">
        <v>18</v>
      </c>
      <c r="E221" s="8">
        <v>2773717226128</v>
      </c>
      <c r="F221" s="8">
        <v>2590655617612</v>
      </c>
      <c r="G221" s="8">
        <v>1843578738638</v>
      </c>
      <c r="H221" s="6"/>
      <c r="I221" s="8">
        <v>211340380437</v>
      </c>
      <c r="J221" s="8"/>
      <c r="K221" s="8">
        <v>1845111787971</v>
      </c>
      <c r="L221" s="8">
        <v>1549732171287</v>
      </c>
      <c r="M221" s="8">
        <v>599994740000</v>
      </c>
      <c r="N221" s="8">
        <v>564000000000</v>
      </c>
      <c r="O221" s="8">
        <v>540000000000</v>
      </c>
      <c r="P221" s="8">
        <v>558000000000</v>
      </c>
      <c r="Q221" s="18">
        <f>(Table1[[#This Row],[A. TÀI SẢN NGẮN HẠN]]-Table1[[#This Row],[I. Nợ ngắn hạn]])/Table1[[#This Row],[TỔNG CỘNG TÀI SẢN]]</f>
        <v>0.26934139930943496</v>
      </c>
      <c r="R221" s="18">
        <f>Table1[[#This Row],[- LNST chưa phân phối kỳ này]]/Table1[[#This Row],[TỔNG CỘNG TÀI SẢN]]</f>
        <v>0</v>
      </c>
      <c r="S221" s="21">
        <f>Table1[[#This Row],[5. Lợi nhuận gộp về bán hàng và cung cấp dịch vụ]]/Table1[[#This Row],[TỔNG CỘNG TÀI SẢN]]</f>
        <v>7.6193917118228691E-2</v>
      </c>
      <c r="T22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0.30648478248673355</v>
      </c>
      <c r="U221" s="23">
        <f>Table1[[#This Row],[1. Doanh thu bán hàng và cung cấp dịch vụ ]]/Table1[[#This Row],[TỔNG CỘNG TÀI SẢN]]</f>
        <v>0.55872031823891621</v>
      </c>
      <c r="V221" s="23">
        <f>1.2*Table1[[#This Row],[X1]] + 1.4*Table1[[#This Row],[X2]] + 3.3*Table1[[#This Row],[x3]] + 0.6*Table1[[#This Row],[x4]] + 1*Table1[[#This Row],[x5]]</f>
        <v>1.317260793392433</v>
      </c>
      <c r="W221" s="23">
        <f>IF(Table1[[#This Row],[Zscore]]&lt;1.81,1,0)</f>
        <v>1</v>
      </c>
    </row>
    <row r="222" spans="1:23" hidden="1" x14ac:dyDescent="0.45">
      <c r="A222" s="7">
        <v>216</v>
      </c>
      <c r="B222" s="5" t="s">
        <v>445</v>
      </c>
      <c r="C222" s="6" t="s">
        <v>446</v>
      </c>
      <c r="D222" s="6" t="s">
        <v>18</v>
      </c>
      <c r="E222" s="6"/>
      <c r="F222" s="6"/>
      <c r="G222" s="6"/>
      <c r="H222" s="6"/>
      <c r="I222" s="6"/>
      <c r="J222" s="8"/>
      <c r="K222" s="6"/>
      <c r="L222" s="6"/>
      <c r="M222" s="8"/>
      <c r="N222" s="8"/>
      <c r="O222" s="8"/>
      <c r="P222" s="8"/>
      <c r="Q222" s="18" t="e">
        <f>(Table1[[#This Row],[A. TÀI SẢN NGẮN HẠN]]-Table1[[#This Row],[I. Nợ ngắn hạn]])/Table1[[#This Row],[TỔNG CỘNG TÀI SẢN]]</f>
        <v>#DIV/0!</v>
      </c>
      <c r="R222" s="18" t="e">
        <f>Table1[[#This Row],[- LNST chưa phân phối kỳ này]]/Table1[[#This Row],[TỔNG CỘNG TÀI SẢN]]</f>
        <v>#DIV/0!</v>
      </c>
      <c r="S222" s="21" t="e">
        <f>Table1[[#This Row],[5. Lợi nhuận gộp về bán hàng và cung cấp dịch vụ]]/Table1[[#This Row],[TỔNG CỘNG TÀI SẢN]]</f>
        <v>#DIV/0!</v>
      </c>
      <c r="T22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22" s="23" t="e">
        <f>Table1[[#This Row],[1. Doanh thu bán hàng và cung cấp dịch vụ ]]/Table1[[#This Row],[TỔNG CỘNG TÀI SẢN]]</f>
        <v>#DIV/0!</v>
      </c>
      <c r="V222" s="23" t="e">
        <f>1.2*Table1[[#This Row],[X1]] + 1.4*Table1[[#This Row],[X2]] + 3.3*Table1[[#This Row],[x3]] + 0.6*Table1[[#This Row],[x4]] + 1*Table1[[#This Row],[x5]]</f>
        <v>#DIV/0!</v>
      </c>
      <c r="W222" s="23" t="e">
        <f>IF(Table1[[#This Row],[Zscore]]&lt;1.81,1,0)</f>
        <v>#DIV/0!</v>
      </c>
    </row>
    <row r="223" spans="1:23" hidden="1" x14ac:dyDescent="0.45">
      <c r="A223" s="7">
        <v>217</v>
      </c>
      <c r="B223" s="5" t="s">
        <v>447</v>
      </c>
      <c r="C223" s="6" t="s">
        <v>448</v>
      </c>
      <c r="D223" s="6" t="s">
        <v>18</v>
      </c>
      <c r="E223" s="8">
        <v>181160917102</v>
      </c>
      <c r="F223" s="8">
        <v>122922806024</v>
      </c>
      <c r="G223" s="8">
        <v>105084150169</v>
      </c>
      <c r="H223" s="8">
        <v>7591723049</v>
      </c>
      <c r="I223" s="8">
        <v>83217867268</v>
      </c>
      <c r="J223" s="8"/>
      <c r="K223" s="8">
        <v>105084150169</v>
      </c>
      <c r="L223" s="8">
        <v>929399107847</v>
      </c>
      <c r="M223" s="8"/>
      <c r="N223" s="8"/>
      <c r="O223" s="8"/>
      <c r="P223" s="8"/>
      <c r="Q223" s="18">
        <f>(Table1[[#This Row],[A. TÀI SẢN NGẮN HẠN]]-Table1[[#This Row],[I. Nợ ngắn hạn]])/Table1[[#This Row],[TỔNG CỘNG TÀI SẢN]]</f>
        <v>9.8468566732614879E-2</v>
      </c>
      <c r="R223" s="18">
        <f>Table1[[#This Row],[- LNST chưa phân phối kỳ này]]/Table1[[#This Row],[TỔNG CỘNG TÀI SẢN]]</f>
        <v>4.1905964986507505E-2</v>
      </c>
      <c r="S223" s="21">
        <f>Table1[[#This Row],[5. Lợi nhuận gộp về bán hàng và cung cấp dịch vụ]]/Table1[[#This Row],[TỔNG CỘNG TÀI SẢN]]</f>
        <v>0.45935883191155075</v>
      </c>
      <c r="T22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23" s="23">
        <f>Table1[[#This Row],[1. Doanh thu bán hàng và cung cấp dịch vụ ]]/Table1[[#This Row],[TỔNG CỘNG TÀI SẢN]]</f>
        <v>5.1302406871991906</v>
      </c>
      <c r="V223" s="23" t="e">
        <f>1.2*Table1[[#This Row],[X1]] + 1.4*Table1[[#This Row],[X2]] + 3.3*Table1[[#This Row],[x3]] + 0.6*Table1[[#This Row],[x4]] + 1*Table1[[#This Row],[x5]]</f>
        <v>#DIV/0!</v>
      </c>
      <c r="W223" s="23" t="e">
        <f>IF(Table1[[#This Row],[Zscore]]&lt;1.81,1,0)</f>
        <v>#DIV/0!</v>
      </c>
    </row>
    <row r="224" spans="1:23" ht="26.25" hidden="1" x14ac:dyDescent="0.45">
      <c r="A224" s="7">
        <v>218</v>
      </c>
      <c r="B224" s="5" t="s">
        <v>449</v>
      </c>
      <c r="C224" s="6" t="s">
        <v>450</v>
      </c>
      <c r="D224" s="6" t="s">
        <v>13</v>
      </c>
      <c r="E224" s="6"/>
      <c r="F224" s="6"/>
      <c r="G224" s="6"/>
      <c r="H224" s="6"/>
      <c r="I224" s="6"/>
      <c r="J224" s="8"/>
      <c r="K224" s="6"/>
      <c r="L224" s="6"/>
      <c r="M224" s="8"/>
      <c r="N224" s="8"/>
      <c r="O224" s="8"/>
      <c r="P224" s="8"/>
      <c r="Q224" s="18" t="e">
        <f>(Table1[[#This Row],[A. TÀI SẢN NGẮN HẠN]]-Table1[[#This Row],[I. Nợ ngắn hạn]])/Table1[[#This Row],[TỔNG CỘNG TÀI SẢN]]</f>
        <v>#DIV/0!</v>
      </c>
      <c r="R224" s="18" t="e">
        <f>Table1[[#This Row],[- LNST chưa phân phối kỳ này]]/Table1[[#This Row],[TỔNG CỘNG TÀI SẢN]]</f>
        <v>#DIV/0!</v>
      </c>
      <c r="S224" s="21" t="e">
        <f>Table1[[#This Row],[5. Lợi nhuận gộp về bán hàng và cung cấp dịch vụ]]/Table1[[#This Row],[TỔNG CỘNG TÀI SẢN]]</f>
        <v>#DIV/0!</v>
      </c>
      <c r="T22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24" s="23" t="e">
        <f>Table1[[#This Row],[1. Doanh thu bán hàng và cung cấp dịch vụ ]]/Table1[[#This Row],[TỔNG CỘNG TÀI SẢN]]</f>
        <v>#DIV/0!</v>
      </c>
      <c r="V224" s="23" t="e">
        <f>1.2*Table1[[#This Row],[X1]] + 1.4*Table1[[#This Row],[X2]] + 3.3*Table1[[#This Row],[x3]] + 0.6*Table1[[#This Row],[x4]] + 1*Table1[[#This Row],[x5]]</f>
        <v>#DIV/0!</v>
      </c>
      <c r="W224" s="23" t="e">
        <f>IF(Table1[[#This Row],[Zscore]]&lt;1.81,1,0)</f>
        <v>#DIV/0!</v>
      </c>
    </row>
    <row r="225" spans="1:23" ht="26.25" hidden="1" x14ac:dyDescent="0.45">
      <c r="A225" s="7">
        <v>219</v>
      </c>
      <c r="B225" s="5" t="s">
        <v>451</v>
      </c>
      <c r="C225" s="6" t="s">
        <v>452</v>
      </c>
      <c r="D225" s="6" t="s">
        <v>13</v>
      </c>
      <c r="E225" s="6"/>
      <c r="F225" s="6"/>
      <c r="G225" s="6"/>
      <c r="H225" s="6"/>
      <c r="I225" s="6"/>
      <c r="J225" s="8"/>
      <c r="K225" s="6"/>
      <c r="L225" s="6"/>
      <c r="M225" s="8"/>
      <c r="N225" s="8"/>
      <c r="O225" s="8"/>
      <c r="P225" s="8"/>
      <c r="Q225" s="18" t="e">
        <f>(Table1[[#This Row],[A. TÀI SẢN NGẮN HẠN]]-Table1[[#This Row],[I. Nợ ngắn hạn]])/Table1[[#This Row],[TỔNG CỘNG TÀI SẢN]]</f>
        <v>#DIV/0!</v>
      </c>
      <c r="R225" s="18" t="e">
        <f>Table1[[#This Row],[- LNST chưa phân phối kỳ này]]/Table1[[#This Row],[TỔNG CỘNG TÀI SẢN]]</f>
        <v>#DIV/0!</v>
      </c>
      <c r="S225" s="21" t="e">
        <f>Table1[[#This Row],[5. Lợi nhuận gộp về bán hàng và cung cấp dịch vụ]]/Table1[[#This Row],[TỔNG CỘNG TÀI SẢN]]</f>
        <v>#DIV/0!</v>
      </c>
      <c r="T22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25" s="23" t="e">
        <f>Table1[[#This Row],[1. Doanh thu bán hàng và cung cấp dịch vụ ]]/Table1[[#This Row],[TỔNG CỘNG TÀI SẢN]]</f>
        <v>#DIV/0!</v>
      </c>
      <c r="V225" s="23" t="e">
        <f>1.2*Table1[[#This Row],[X1]] + 1.4*Table1[[#This Row],[X2]] + 3.3*Table1[[#This Row],[x3]] + 0.6*Table1[[#This Row],[x4]] + 1*Table1[[#This Row],[x5]]</f>
        <v>#DIV/0!</v>
      </c>
      <c r="W225" s="23" t="e">
        <f>IF(Table1[[#This Row],[Zscore]]&lt;1.81,1,0)</f>
        <v>#DIV/0!</v>
      </c>
    </row>
    <row r="226" spans="1:23" hidden="1" x14ac:dyDescent="0.45">
      <c r="A226" s="7">
        <v>220</v>
      </c>
      <c r="B226" s="5" t="s">
        <v>453</v>
      </c>
      <c r="C226" s="6" t="s">
        <v>454</v>
      </c>
      <c r="D226" s="6" t="s">
        <v>13</v>
      </c>
      <c r="E226" s="6"/>
      <c r="F226" s="6"/>
      <c r="G226" s="6"/>
      <c r="H226" s="6"/>
      <c r="I226" s="6"/>
      <c r="J226" s="8"/>
      <c r="K226" s="6"/>
      <c r="L226" s="6"/>
      <c r="M226" s="8">
        <v>111688000000</v>
      </c>
      <c r="N226" s="8"/>
      <c r="O226" s="8"/>
      <c r="P226" s="8">
        <v>111688000000</v>
      </c>
      <c r="Q226" s="18" t="e">
        <f>(Table1[[#This Row],[A. TÀI SẢN NGẮN HẠN]]-Table1[[#This Row],[I. Nợ ngắn hạn]])/Table1[[#This Row],[TỔNG CỘNG TÀI SẢN]]</f>
        <v>#DIV/0!</v>
      </c>
      <c r="R226" s="18" t="e">
        <f>Table1[[#This Row],[- LNST chưa phân phối kỳ này]]/Table1[[#This Row],[TỔNG CỘNG TÀI SẢN]]</f>
        <v>#DIV/0!</v>
      </c>
      <c r="S226" s="21" t="e">
        <f>Table1[[#This Row],[5. Lợi nhuận gộp về bán hàng và cung cấp dịch vụ]]/Table1[[#This Row],[TỔNG CỘNG TÀI SẢN]]</f>
        <v>#DIV/0!</v>
      </c>
      <c r="T22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26" s="23" t="e">
        <f>Table1[[#This Row],[1. Doanh thu bán hàng và cung cấp dịch vụ ]]/Table1[[#This Row],[TỔNG CỘNG TÀI SẢN]]</f>
        <v>#DIV/0!</v>
      </c>
      <c r="V226" s="23" t="e">
        <f>1.2*Table1[[#This Row],[X1]] + 1.4*Table1[[#This Row],[X2]] + 3.3*Table1[[#This Row],[x3]] + 0.6*Table1[[#This Row],[x4]] + 1*Table1[[#This Row],[x5]]</f>
        <v>#DIV/0!</v>
      </c>
      <c r="W226" s="23" t="e">
        <f>IF(Table1[[#This Row],[Zscore]]&lt;1.81,1,0)</f>
        <v>#DIV/0!</v>
      </c>
    </row>
    <row r="227" spans="1:23" ht="26.25" hidden="1" x14ac:dyDescent="0.45">
      <c r="A227" s="7">
        <v>221</v>
      </c>
      <c r="B227" s="5" t="s">
        <v>455</v>
      </c>
      <c r="C227" s="6" t="s">
        <v>456</v>
      </c>
      <c r="D227" s="6" t="s">
        <v>13</v>
      </c>
      <c r="E227" s="6"/>
      <c r="F227" s="6"/>
      <c r="G227" s="6"/>
      <c r="H227" s="6"/>
      <c r="I227" s="6"/>
      <c r="J227" s="8"/>
      <c r="K227" s="6"/>
      <c r="L227" s="6"/>
      <c r="M227" s="8"/>
      <c r="N227" s="8"/>
      <c r="O227" s="8"/>
      <c r="P227" s="8"/>
      <c r="Q227" s="18" t="e">
        <f>(Table1[[#This Row],[A. TÀI SẢN NGẮN HẠN]]-Table1[[#This Row],[I. Nợ ngắn hạn]])/Table1[[#This Row],[TỔNG CỘNG TÀI SẢN]]</f>
        <v>#DIV/0!</v>
      </c>
      <c r="R227" s="18" t="e">
        <f>Table1[[#This Row],[- LNST chưa phân phối kỳ này]]/Table1[[#This Row],[TỔNG CỘNG TÀI SẢN]]</f>
        <v>#DIV/0!</v>
      </c>
      <c r="S227" s="21" t="e">
        <f>Table1[[#This Row],[5. Lợi nhuận gộp về bán hàng và cung cấp dịch vụ]]/Table1[[#This Row],[TỔNG CỘNG TÀI SẢN]]</f>
        <v>#DIV/0!</v>
      </c>
      <c r="T22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27" s="23" t="e">
        <f>Table1[[#This Row],[1. Doanh thu bán hàng và cung cấp dịch vụ ]]/Table1[[#This Row],[TỔNG CỘNG TÀI SẢN]]</f>
        <v>#DIV/0!</v>
      </c>
      <c r="V227" s="23" t="e">
        <f>1.2*Table1[[#This Row],[X1]] + 1.4*Table1[[#This Row],[X2]] + 3.3*Table1[[#This Row],[x3]] + 0.6*Table1[[#This Row],[x4]] + 1*Table1[[#This Row],[x5]]</f>
        <v>#DIV/0!</v>
      </c>
      <c r="W227" s="23" t="e">
        <f>IF(Table1[[#This Row],[Zscore]]&lt;1.81,1,0)</f>
        <v>#DIV/0!</v>
      </c>
    </row>
    <row r="228" spans="1:23" x14ac:dyDescent="0.45">
      <c r="A228" s="7">
        <v>222</v>
      </c>
      <c r="B228" s="5" t="s">
        <v>457</v>
      </c>
      <c r="C228" s="6" t="s">
        <v>458</v>
      </c>
      <c r="D228" s="6" t="s">
        <v>21</v>
      </c>
      <c r="E228" s="8">
        <v>242075250664</v>
      </c>
      <c r="F228" s="8">
        <v>200016309314</v>
      </c>
      <c r="G228" s="8">
        <v>14169913147</v>
      </c>
      <c r="H228" s="8">
        <v>11516835981</v>
      </c>
      <c r="I228" s="8">
        <v>26761174038</v>
      </c>
      <c r="J228" s="8"/>
      <c r="K228" s="8">
        <v>14169913147</v>
      </c>
      <c r="L228" s="8">
        <v>119902758308</v>
      </c>
      <c r="M228" s="8">
        <v>272018228500</v>
      </c>
      <c r="N228" s="8">
        <v>182791292500</v>
      </c>
      <c r="O228" s="8">
        <v>233601075500</v>
      </c>
      <c r="P228" s="8">
        <v>216251393500</v>
      </c>
      <c r="Q228" s="18">
        <f>(Table1[[#This Row],[A. TÀI SẢN NGẮN HẠN]]-Table1[[#This Row],[I. Nợ ngắn hạn]])/Table1[[#This Row],[TỔNG CỘNG TÀI SẢN]]</f>
        <v>0.76772158928776435</v>
      </c>
      <c r="R228" s="18">
        <f>Table1[[#This Row],[- LNST chưa phân phối kỳ này]]/Table1[[#This Row],[TỔNG CỘNG TÀI SẢN]]</f>
        <v>4.7575437593929612E-2</v>
      </c>
      <c r="S228" s="21">
        <f>Table1[[#This Row],[5. Lợi nhuận gộp về bán hàng và cung cấp dịch vụ]]/Table1[[#This Row],[TỔNG CỘNG TÀI SẢN]]</f>
        <v>0.1105489882364904</v>
      </c>
      <c r="T22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15.96096568509193</v>
      </c>
      <c r="U228" s="23">
        <f>Table1[[#This Row],[1. Doanh thu bán hàng và cung cấp dịch vụ ]]/Table1[[#This Row],[TỔNG CỘNG TÀI SẢN]]</f>
        <v>0.4953119246148166</v>
      </c>
      <c r="V228" s="23">
        <f>1.2*Table1[[#This Row],[X1]] + 1.4*Table1[[#This Row],[X2]] + 3.3*Table1[[#This Row],[x3]] + 0.6*Table1[[#This Row],[x4]] + 1*Table1[[#This Row],[x5]]</f>
        <v>11.42457451662721</v>
      </c>
      <c r="W228" s="23">
        <f>IF(Table1[[#This Row],[Zscore]]&lt;1.81,1,0)</f>
        <v>0</v>
      </c>
    </row>
    <row r="229" spans="1:23" ht="26.25" hidden="1" x14ac:dyDescent="0.45">
      <c r="A229" s="7">
        <v>223</v>
      </c>
      <c r="B229" s="5" t="s">
        <v>459</v>
      </c>
      <c r="C229" s="6" t="s">
        <v>460</v>
      </c>
      <c r="D229" s="6" t="s">
        <v>18</v>
      </c>
      <c r="E229" s="6"/>
      <c r="F229" s="6"/>
      <c r="G229" s="6"/>
      <c r="H229" s="6"/>
      <c r="I229" s="6"/>
      <c r="J229" s="8"/>
      <c r="K229" s="6"/>
      <c r="L229" s="6"/>
      <c r="M229" s="8"/>
      <c r="N229" s="8"/>
      <c r="O229" s="8"/>
      <c r="P229" s="8"/>
      <c r="Q229" s="18" t="e">
        <f>(Table1[[#This Row],[A. TÀI SẢN NGẮN HẠN]]-Table1[[#This Row],[I. Nợ ngắn hạn]])/Table1[[#This Row],[TỔNG CỘNG TÀI SẢN]]</f>
        <v>#DIV/0!</v>
      </c>
      <c r="R229" s="18" t="e">
        <f>Table1[[#This Row],[- LNST chưa phân phối kỳ này]]/Table1[[#This Row],[TỔNG CỘNG TÀI SẢN]]</f>
        <v>#DIV/0!</v>
      </c>
      <c r="S229" s="21" t="e">
        <f>Table1[[#This Row],[5. Lợi nhuận gộp về bán hàng và cung cấp dịch vụ]]/Table1[[#This Row],[TỔNG CỘNG TÀI SẢN]]</f>
        <v>#DIV/0!</v>
      </c>
      <c r="T22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29" s="23" t="e">
        <f>Table1[[#This Row],[1. Doanh thu bán hàng và cung cấp dịch vụ ]]/Table1[[#This Row],[TỔNG CỘNG TÀI SẢN]]</f>
        <v>#DIV/0!</v>
      </c>
      <c r="V229" s="23" t="e">
        <f>1.2*Table1[[#This Row],[X1]] + 1.4*Table1[[#This Row],[X2]] + 3.3*Table1[[#This Row],[x3]] + 0.6*Table1[[#This Row],[x4]] + 1*Table1[[#This Row],[x5]]</f>
        <v>#DIV/0!</v>
      </c>
      <c r="W229" s="23" t="e">
        <f>IF(Table1[[#This Row],[Zscore]]&lt;1.81,1,0)</f>
        <v>#DIV/0!</v>
      </c>
    </row>
    <row r="230" spans="1:23" ht="26.25" hidden="1" x14ac:dyDescent="0.45">
      <c r="A230" s="7">
        <v>224</v>
      </c>
      <c r="B230" s="5" t="s">
        <v>461</v>
      </c>
      <c r="C230" s="6" t="s">
        <v>462</v>
      </c>
      <c r="D230" s="6" t="s">
        <v>18</v>
      </c>
      <c r="E230" s="6"/>
      <c r="F230" s="6"/>
      <c r="G230" s="6"/>
      <c r="H230" s="6"/>
      <c r="I230" s="6"/>
      <c r="J230" s="8"/>
      <c r="K230" s="6"/>
      <c r="L230" s="6"/>
      <c r="M230" s="8">
        <v>144217373300</v>
      </c>
      <c r="N230" s="8"/>
      <c r="O230" s="8">
        <v>133123729200</v>
      </c>
      <c r="P230" s="8">
        <v>134708535500</v>
      </c>
      <c r="Q230" s="18" t="e">
        <f>(Table1[[#This Row],[A. TÀI SẢN NGẮN HẠN]]-Table1[[#This Row],[I. Nợ ngắn hạn]])/Table1[[#This Row],[TỔNG CỘNG TÀI SẢN]]</f>
        <v>#DIV/0!</v>
      </c>
      <c r="R230" s="18" t="e">
        <f>Table1[[#This Row],[- LNST chưa phân phối kỳ này]]/Table1[[#This Row],[TỔNG CỘNG TÀI SẢN]]</f>
        <v>#DIV/0!</v>
      </c>
      <c r="S230" s="21" t="e">
        <f>Table1[[#This Row],[5. Lợi nhuận gộp về bán hàng và cung cấp dịch vụ]]/Table1[[#This Row],[TỔNG CỘNG TÀI SẢN]]</f>
        <v>#DIV/0!</v>
      </c>
      <c r="T23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30" s="23" t="e">
        <f>Table1[[#This Row],[1. Doanh thu bán hàng và cung cấp dịch vụ ]]/Table1[[#This Row],[TỔNG CỘNG TÀI SẢN]]</f>
        <v>#DIV/0!</v>
      </c>
      <c r="V230" s="23" t="e">
        <f>1.2*Table1[[#This Row],[X1]] + 1.4*Table1[[#This Row],[X2]] + 3.3*Table1[[#This Row],[x3]] + 0.6*Table1[[#This Row],[x4]] + 1*Table1[[#This Row],[x5]]</f>
        <v>#DIV/0!</v>
      </c>
      <c r="W230" s="23" t="e">
        <f>IF(Table1[[#This Row],[Zscore]]&lt;1.81,1,0)</f>
        <v>#DIV/0!</v>
      </c>
    </row>
    <row r="231" spans="1:23" hidden="1" x14ac:dyDescent="0.45">
      <c r="A231" s="7">
        <v>225</v>
      </c>
      <c r="B231" s="5" t="s">
        <v>463</v>
      </c>
      <c r="C231" s="6" t="s">
        <v>464</v>
      </c>
      <c r="D231" s="6" t="s">
        <v>18</v>
      </c>
      <c r="E231" s="8">
        <v>190253004726</v>
      </c>
      <c r="F231" s="8">
        <v>113467882537</v>
      </c>
      <c r="G231" s="8">
        <v>66987837874</v>
      </c>
      <c r="H231" s="8">
        <v>15332652459</v>
      </c>
      <c r="I231" s="8">
        <v>54944120685</v>
      </c>
      <c r="J231" s="8"/>
      <c r="K231" s="8">
        <v>69147802874</v>
      </c>
      <c r="L231" s="8">
        <v>295940834048</v>
      </c>
      <c r="M231" s="8"/>
      <c r="N231" s="8"/>
      <c r="O231" s="8"/>
      <c r="P231" s="8"/>
      <c r="Q231" s="18">
        <f>(Table1[[#This Row],[A. TÀI SẢN NGẮN HẠN]]-Table1[[#This Row],[I. Nợ ngắn hạn]])/Table1[[#This Row],[TỔNG CỘNG TÀI SẢN]]</f>
        <v>0.24430649455413322</v>
      </c>
      <c r="R231" s="18">
        <f>Table1[[#This Row],[- LNST chưa phân phối kỳ này]]/Table1[[#This Row],[TỔNG CỘNG TÀI SẢN]]</f>
        <v>8.0590855745389642E-2</v>
      </c>
      <c r="S231" s="21">
        <f>Table1[[#This Row],[5. Lợi nhuận gộp về bán hàng và cung cấp dịch vụ]]/Table1[[#This Row],[TỔNG CỘNG TÀI SẢN]]</f>
        <v>0.2887950219978383</v>
      </c>
      <c r="T23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31" s="23">
        <f>Table1[[#This Row],[1. Doanh thu bán hàng và cung cấp dịch vụ ]]/Table1[[#This Row],[TỔNG CỘNG TÀI SẢN]]</f>
        <v>1.5555120113567209</v>
      </c>
      <c r="V231" s="23" t="e">
        <f>1.2*Table1[[#This Row],[X1]] + 1.4*Table1[[#This Row],[X2]] + 3.3*Table1[[#This Row],[x3]] + 0.6*Table1[[#This Row],[x4]] + 1*Table1[[#This Row],[x5]]</f>
        <v>#DIV/0!</v>
      </c>
      <c r="W231" s="23" t="e">
        <f>IF(Table1[[#This Row],[Zscore]]&lt;1.81,1,0)</f>
        <v>#DIV/0!</v>
      </c>
    </row>
    <row r="232" spans="1:23" x14ac:dyDescent="0.45">
      <c r="A232" s="7">
        <v>226</v>
      </c>
      <c r="B232" s="5" t="s">
        <v>465</v>
      </c>
      <c r="C232" s="6" t="s">
        <v>466</v>
      </c>
      <c r="D232" s="6" t="s">
        <v>21</v>
      </c>
      <c r="E232" s="8">
        <v>7531063456525</v>
      </c>
      <c r="F232" s="8">
        <v>6482107570378</v>
      </c>
      <c r="G232" s="8">
        <v>4599970696345</v>
      </c>
      <c r="H232" s="6"/>
      <c r="I232" s="8">
        <v>314860670453</v>
      </c>
      <c r="J232" s="8"/>
      <c r="K232" s="8">
        <v>4601256193311</v>
      </c>
      <c r="L232" s="8">
        <v>6653916370726</v>
      </c>
      <c r="M232" s="8">
        <v>2818659882500</v>
      </c>
      <c r="N232" s="8">
        <v>2604473929800</v>
      </c>
      <c r="O232" s="8">
        <v>2765602755300</v>
      </c>
      <c r="P232" s="8">
        <v>2991095545900</v>
      </c>
      <c r="Q232" s="18">
        <f>(Table1[[#This Row],[A. TÀI SẢN NGẮN HẠN]]-Table1[[#This Row],[I. Nợ ngắn hạn]])/Table1[[#This Row],[TỔNG CỘNG TÀI SẢN]]</f>
        <v>0.2499164805738418</v>
      </c>
      <c r="R232" s="18">
        <f>Table1[[#This Row],[- LNST chưa phân phối kỳ này]]/Table1[[#This Row],[TỔNG CỘNG TÀI SẢN]]</f>
        <v>0</v>
      </c>
      <c r="S232" s="21">
        <f>Table1[[#This Row],[5. Lợi nhuận gộp về bán hàng và cung cấp dịch vụ]]/Table1[[#This Row],[TỔNG CỘNG TÀI SẢN]]</f>
        <v>4.1808261511885297E-2</v>
      </c>
      <c r="T23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0.60743369005145242</v>
      </c>
      <c r="U232" s="23">
        <f>Table1[[#This Row],[1. Doanh thu bán hàng và cung cấp dịch vụ ]]/Table1[[#This Row],[TỔNG CỘNG TÀI SẢN]]</f>
        <v>0.88352945226626267</v>
      </c>
      <c r="V232" s="23">
        <f>1.2*Table1[[#This Row],[X1]] + 1.4*Table1[[#This Row],[X2]] + 3.3*Table1[[#This Row],[x3]] + 0.6*Table1[[#This Row],[x4]] + 1*Table1[[#This Row],[x5]]</f>
        <v>1.6858567059749658</v>
      </c>
      <c r="W232" s="23">
        <f>IF(Table1[[#This Row],[Zscore]]&lt;1.81,1,0)</f>
        <v>1</v>
      </c>
    </row>
    <row r="233" spans="1:23" x14ac:dyDescent="0.45">
      <c r="A233" s="7">
        <v>227</v>
      </c>
      <c r="B233" s="5" t="s">
        <v>467</v>
      </c>
      <c r="C233" s="6" t="s">
        <v>468</v>
      </c>
      <c r="D233" s="6" t="s">
        <v>18</v>
      </c>
      <c r="E233" s="8">
        <v>1877563254209</v>
      </c>
      <c r="F233" s="8">
        <v>425799431793</v>
      </c>
      <c r="G233" s="8">
        <v>446171120497</v>
      </c>
      <c r="H233" s="8">
        <v>95847104292</v>
      </c>
      <c r="I233" s="8">
        <v>131244071895</v>
      </c>
      <c r="J233" s="8"/>
      <c r="K233" s="8">
        <v>480974637772</v>
      </c>
      <c r="L233" s="8">
        <v>616898656878</v>
      </c>
      <c r="M233" s="8">
        <v>1060499777800</v>
      </c>
      <c r="N233" s="8">
        <v>1154999758000</v>
      </c>
      <c r="O233" s="8">
        <v>1091999771200</v>
      </c>
      <c r="P233" s="8">
        <v>1049999780000</v>
      </c>
      <c r="Q233" s="18">
        <f>(Table1[[#This Row],[A. TÀI SẢN NGẮN HẠN]]-Table1[[#This Row],[I. Nợ ngắn hạn]])/Table1[[#This Row],[TỔNG CỘNG TÀI SẢN]]</f>
        <v>-1.0850067851685989E-2</v>
      </c>
      <c r="R233" s="18">
        <f>Table1[[#This Row],[- LNST chưa phân phối kỳ này]]/Table1[[#This Row],[TỔNG CỘNG TÀI SẢN]]</f>
        <v>5.1048668574619871E-2</v>
      </c>
      <c r="S233" s="21">
        <f>Table1[[#This Row],[5. Lợi nhuận gộp về bán hàng và cung cấp dịch vụ]]/Table1[[#This Row],[TỔNG CỘNG TÀI SẢN]]</f>
        <v>6.9901278479319151E-2</v>
      </c>
      <c r="T23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2.2649318408892998</v>
      </c>
      <c r="U233" s="23">
        <f>Table1[[#This Row],[1. Doanh thu bán hàng và cung cấp dịch vụ ]]/Table1[[#This Row],[TỔNG CỘNG TÀI SẢN]]</f>
        <v>0.32856344812622235</v>
      </c>
      <c r="V233" s="23">
        <f>1.2*Table1[[#This Row],[X1]] + 1.4*Table1[[#This Row],[X2]] + 3.3*Table1[[#This Row],[x3]] + 0.6*Table1[[#This Row],[x4]] + 1*Table1[[#This Row],[x5]]</f>
        <v>1.976644826224</v>
      </c>
      <c r="W233" s="23">
        <f>IF(Table1[[#This Row],[Zscore]]&lt;1.81,1,0)</f>
        <v>0</v>
      </c>
    </row>
    <row r="234" spans="1:23" ht="26.25" hidden="1" x14ac:dyDescent="0.45">
      <c r="A234" s="7">
        <v>228</v>
      </c>
      <c r="B234" s="5" t="s">
        <v>469</v>
      </c>
      <c r="C234" s="6" t="s">
        <v>470</v>
      </c>
      <c r="D234" s="6" t="s">
        <v>13</v>
      </c>
      <c r="E234" s="6"/>
      <c r="F234" s="6"/>
      <c r="G234" s="6"/>
      <c r="H234" s="6"/>
      <c r="I234" s="6"/>
      <c r="J234" s="8"/>
      <c r="K234" s="6"/>
      <c r="L234" s="6"/>
      <c r="M234" s="8"/>
      <c r="N234" s="8"/>
      <c r="O234" s="8"/>
      <c r="P234" s="8"/>
      <c r="Q234" s="18" t="e">
        <f>(Table1[[#This Row],[A. TÀI SẢN NGẮN HẠN]]-Table1[[#This Row],[I. Nợ ngắn hạn]])/Table1[[#This Row],[TỔNG CỘNG TÀI SẢN]]</f>
        <v>#DIV/0!</v>
      </c>
      <c r="R234" s="18" t="e">
        <f>Table1[[#This Row],[- LNST chưa phân phối kỳ này]]/Table1[[#This Row],[TỔNG CỘNG TÀI SẢN]]</f>
        <v>#DIV/0!</v>
      </c>
      <c r="S234" s="21" t="e">
        <f>Table1[[#This Row],[5. Lợi nhuận gộp về bán hàng và cung cấp dịch vụ]]/Table1[[#This Row],[TỔNG CỘNG TÀI SẢN]]</f>
        <v>#DIV/0!</v>
      </c>
      <c r="T23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34" s="23" t="e">
        <f>Table1[[#This Row],[1. Doanh thu bán hàng và cung cấp dịch vụ ]]/Table1[[#This Row],[TỔNG CỘNG TÀI SẢN]]</f>
        <v>#DIV/0!</v>
      </c>
      <c r="V234" s="23" t="e">
        <f>1.2*Table1[[#This Row],[X1]] + 1.4*Table1[[#This Row],[X2]] + 3.3*Table1[[#This Row],[x3]] + 0.6*Table1[[#This Row],[x4]] + 1*Table1[[#This Row],[x5]]</f>
        <v>#DIV/0!</v>
      </c>
      <c r="W234" s="23" t="e">
        <f>IF(Table1[[#This Row],[Zscore]]&lt;1.81,1,0)</f>
        <v>#DIV/0!</v>
      </c>
    </row>
    <row r="235" spans="1:23" hidden="1" x14ac:dyDescent="0.45">
      <c r="A235" s="7">
        <v>229</v>
      </c>
      <c r="B235" s="5" t="s">
        <v>471</v>
      </c>
      <c r="C235" s="6" t="s">
        <v>472</v>
      </c>
      <c r="D235" s="6" t="s">
        <v>18</v>
      </c>
      <c r="E235" s="6"/>
      <c r="F235" s="6"/>
      <c r="G235" s="6"/>
      <c r="H235" s="6"/>
      <c r="I235" s="6"/>
      <c r="J235" s="8"/>
      <c r="K235" s="6"/>
      <c r="L235" s="6"/>
      <c r="M235" s="8"/>
      <c r="N235" s="8"/>
      <c r="O235" s="8"/>
      <c r="P235" s="8"/>
      <c r="Q235" s="18" t="e">
        <f>(Table1[[#This Row],[A. TÀI SẢN NGẮN HẠN]]-Table1[[#This Row],[I. Nợ ngắn hạn]])/Table1[[#This Row],[TỔNG CỘNG TÀI SẢN]]</f>
        <v>#DIV/0!</v>
      </c>
      <c r="R235" s="18" t="e">
        <f>Table1[[#This Row],[- LNST chưa phân phối kỳ này]]/Table1[[#This Row],[TỔNG CỘNG TÀI SẢN]]</f>
        <v>#DIV/0!</v>
      </c>
      <c r="S235" s="21" t="e">
        <f>Table1[[#This Row],[5. Lợi nhuận gộp về bán hàng và cung cấp dịch vụ]]/Table1[[#This Row],[TỔNG CỘNG TÀI SẢN]]</f>
        <v>#DIV/0!</v>
      </c>
      <c r="T23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35" s="23" t="e">
        <f>Table1[[#This Row],[1. Doanh thu bán hàng và cung cấp dịch vụ ]]/Table1[[#This Row],[TỔNG CỘNG TÀI SẢN]]</f>
        <v>#DIV/0!</v>
      </c>
      <c r="V235" s="23" t="e">
        <f>1.2*Table1[[#This Row],[X1]] + 1.4*Table1[[#This Row],[X2]] + 3.3*Table1[[#This Row],[x3]] + 0.6*Table1[[#This Row],[x4]] + 1*Table1[[#This Row],[x5]]</f>
        <v>#DIV/0!</v>
      </c>
      <c r="W235" s="23" t="e">
        <f>IF(Table1[[#This Row],[Zscore]]&lt;1.81,1,0)</f>
        <v>#DIV/0!</v>
      </c>
    </row>
    <row r="236" spans="1:23" hidden="1" x14ac:dyDescent="0.45">
      <c r="A236" s="7">
        <v>230</v>
      </c>
      <c r="B236" s="5" t="s">
        <v>473</v>
      </c>
      <c r="C236" s="6" t="s">
        <v>474</v>
      </c>
      <c r="D236" s="6" t="s">
        <v>13</v>
      </c>
      <c r="E236" s="6"/>
      <c r="F236" s="6"/>
      <c r="G236" s="6"/>
      <c r="H236" s="6"/>
      <c r="I236" s="6"/>
      <c r="J236" s="8"/>
      <c r="K236" s="6"/>
      <c r="L236" s="6"/>
      <c r="M236" s="8"/>
      <c r="N236" s="8"/>
      <c r="O236" s="8"/>
      <c r="P236" s="8"/>
      <c r="Q236" s="18" t="e">
        <f>(Table1[[#This Row],[A. TÀI SẢN NGẮN HẠN]]-Table1[[#This Row],[I. Nợ ngắn hạn]])/Table1[[#This Row],[TỔNG CỘNG TÀI SẢN]]</f>
        <v>#DIV/0!</v>
      </c>
      <c r="R236" s="18" t="e">
        <f>Table1[[#This Row],[- LNST chưa phân phối kỳ này]]/Table1[[#This Row],[TỔNG CỘNG TÀI SẢN]]</f>
        <v>#DIV/0!</v>
      </c>
      <c r="S236" s="21" t="e">
        <f>Table1[[#This Row],[5. Lợi nhuận gộp về bán hàng và cung cấp dịch vụ]]/Table1[[#This Row],[TỔNG CỘNG TÀI SẢN]]</f>
        <v>#DIV/0!</v>
      </c>
      <c r="T23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36" s="23" t="e">
        <f>Table1[[#This Row],[1. Doanh thu bán hàng và cung cấp dịch vụ ]]/Table1[[#This Row],[TỔNG CỘNG TÀI SẢN]]</f>
        <v>#DIV/0!</v>
      </c>
      <c r="V236" s="23" t="e">
        <f>1.2*Table1[[#This Row],[X1]] + 1.4*Table1[[#This Row],[X2]] + 3.3*Table1[[#This Row],[x3]] + 0.6*Table1[[#This Row],[x4]] + 1*Table1[[#This Row],[x5]]</f>
        <v>#DIV/0!</v>
      </c>
      <c r="W236" s="23" t="e">
        <f>IF(Table1[[#This Row],[Zscore]]&lt;1.81,1,0)</f>
        <v>#DIV/0!</v>
      </c>
    </row>
    <row r="237" spans="1:23" x14ac:dyDescent="0.45">
      <c r="A237" s="7">
        <v>231</v>
      </c>
      <c r="B237" s="5" t="s">
        <v>475</v>
      </c>
      <c r="C237" s="6" t="s">
        <v>476</v>
      </c>
      <c r="D237" s="6" t="s">
        <v>21</v>
      </c>
      <c r="E237" s="8">
        <v>3378833589624</v>
      </c>
      <c r="F237" s="8">
        <v>2758363782639</v>
      </c>
      <c r="G237" s="8">
        <v>483661960403</v>
      </c>
      <c r="H237" s="8">
        <v>696639076562</v>
      </c>
      <c r="I237" s="8">
        <v>2539564177427</v>
      </c>
      <c r="J237" s="8"/>
      <c r="K237" s="8">
        <v>501375767445</v>
      </c>
      <c r="L237" s="8">
        <v>5601791814179</v>
      </c>
      <c r="M237" s="8">
        <v>9766009903400</v>
      </c>
      <c r="N237" s="8">
        <v>14325664150000</v>
      </c>
      <c r="O237" s="8">
        <v>11485089601400</v>
      </c>
      <c r="P237" s="8">
        <v>11738858509200</v>
      </c>
      <c r="Q237" s="18">
        <f>(Table1[[#This Row],[A. TÀI SẢN NGẮN HẠN]]-Table1[[#This Row],[I. Nợ ngắn hạn]])/Table1[[#This Row],[TỔNG CỘNG TÀI SẢN]]</f>
        <v>0.67322102787818294</v>
      </c>
      <c r="R237" s="18">
        <f>Table1[[#This Row],[- LNST chưa phân phối kỳ này]]/Table1[[#This Row],[TỔNG CỘNG TÀI SẢN]]</f>
        <v>0.20617738580002773</v>
      </c>
      <c r="S237" s="21">
        <f>Table1[[#This Row],[5. Lợi nhuận gộp về bán hàng và cung cấp dịch vụ]]/Table1[[#This Row],[TỔNG CỘNG TÀI SẢN]]</f>
        <v>0.7516097227237537</v>
      </c>
      <c r="T23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23.592894409875143</v>
      </c>
      <c r="U237" s="23">
        <f>Table1[[#This Row],[1. Doanh thu bán hàng và cung cấp dịch vụ ]]/Table1[[#This Row],[TỔNG CỘNG TÀI SẢN]]</f>
        <v>1.6579069864172782</v>
      </c>
      <c r="V237" s="23">
        <f>1.2*Table1[[#This Row],[X1]] + 1.4*Table1[[#This Row],[X2]] + 3.3*Table1[[#This Row],[x3]] + 0.6*Table1[[#This Row],[x4]] + 1*Table1[[#This Row],[x5]]</f>
        <v>19.390469290904608</v>
      </c>
      <c r="W237" s="23">
        <f>IF(Table1[[#This Row],[Zscore]]&lt;1.81,1,0)</f>
        <v>0</v>
      </c>
    </row>
    <row r="238" spans="1:23" x14ac:dyDescent="0.45">
      <c r="A238" s="7">
        <v>232</v>
      </c>
      <c r="B238" s="5" t="s">
        <v>477</v>
      </c>
      <c r="C238" s="6" t="s">
        <v>478</v>
      </c>
      <c r="D238" s="6" t="s">
        <v>18</v>
      </c>
      <c r="E238" s="8">
        <v>2575378897463</v>
      </c>
      <c r="F238" s="8">
        <v>1534714927339</v>
      </c>
      <c r="G238" s="8">
        <v>149887514483</v>
      </c>
      <c r="H238" s="8">
        <v>55403326526</v>
      </c>
      <c r="I238" s="8">
        <v>222304550127</v>
      </c>
      <c r="J238" s="8"/>
      <c r="K238" s="8">
        <v>363578346114</v>
      </c>
      <c r="L238" s="8">
        <v>528629861716</v>
      </c>
      <c r="M238" s="8">
        <v>810670245000</v>
      </c>
      <c r="N238" s="8">
        <v>2589944680400</v>
      </c>
      <c r="O238" s="8">
        <v>876152437200</v>
      </c>
      <c r="P238" s="8">
        <v>1057697536800</v>
      </c>
      <c r="Q238" s="18">
        <f>(Table1[[#This Row],[A. TÀI SẢN NGẮN HẠN]]-Table1[[#This Row],[I. Nợ ngắn hạn]])/Table1[[#This Row],[TỔNG CỘNG TÀI SẢN]]</f>
        <v>0.53771793122176714</v>
      </c>
      <c r="R238" s="18">
        <f>Table1[[#This Row],[- LNST chưa phân phối kỳ này]]/Table1[[#This Row],[TỔNG CỘNG TÀI SẢN]]</f>
        <v>2.1512689484478455E-2</v>
      </c>
      <c r="S238" s="21">
        <f>Table1[[#This Row],[5. Lợi nhuận gộp về bán hàng và cung cấp dịch vụ]]/Table1[[#This Row],[TỔNG CỘNG TÀI SẢN]]</f>
        <v>8.6319162724363283E-2</v>
      </c>
      <c r="T23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3.6680298458474327</v>
      </c>
      <c r="U238" s="23">
        <f>Table1[[#This Row],[1. Doanh thu bán hàng và cung cấp dịch vụ ]]/Table1[[#This Row],[TỔNG CỘNG TÀI SẢN]]</f>
        <v>0.20526294683735744</v>
      </c>
      <c r="V238" s="23">
        <f>1.2*Table1[[#This Row],[X1]] + 1.4*Table1[[#This Row],[X2]] + 3.3*Table1[[#This Row],[x3]] + 0.6*Table1[[#This Row],[x4]] + 1*Table1[[#This Row],[x5]]</f>
        <v>3.3663133740806064</v>
      </c>
      <c r="W238" s="23">
        <f>IF(Table1[[#This Row],[Zscore]]&lt;1.81,1,0)</f>
        <v>0</v>
      </c>
    </row>
    <row r="239" spans="1:23" x14ac:dyDescent="0.45">
      <c r="A239" s="7">
        <v>233</v>
      </c>
      <c r="B239" s="5" t="s">
        <v>479</v>
      </c>
      <c r="C239" s="6" t="s">
        <v>480</v>
      </c>
      <c r="D239" s="6" t="s">
        <v>18</v>
      </c>
      <c r="E239" s="8">
        <v>427874279953</v>
      </c>
      <c r="F239" s="8">
        <v>345444457539</v>
      </c>
      <c r="G239" s="8">
        <v>178825560875</v>
      </c>
      <c r="H239" s="8">
        <v>3681913724</v>
      </c>
      <c r="I239" s="8">
        <v>39228687318</v>
      </c>
      <c r="J239" s="8"/>
      <c r="K239" s="8">
        <v>178983366875</v>
      </c>
      <c r="L239" s="8">
        <v>641674202963</v>
      </c>
      <c r="M239" s="8">
        <v>169400000000</v>
      </c>
      <c r="N239" s="8">
        <v>128260000000</v>
      </c>
      <c r="O239" s="8">
        <v>133100000000</v>
      </c>
      <c r="P239" s="8">
        <v>145200000000</v>
      </c>
      <c r="Q239" s="18">
        <f>(Table1[[#This Row],[A. TÀI SẢN NGẮN HẠN]]-Table1[[#This Row],[I. Nợ ngắn hạn]])/Table1[[#This Row],[TỔNG CỘNG TÀI SẢN]]</f>
        <v>0.38941087247006834</v>
      </c>
      <c r="R239" s="18">
        <f>Table1[[#This Row],[- LNST chưa phân phối kỳ này]]/Table1[[#This Row],[TỔNG CỘNG TÀI SẢN]]</f>
        <v>8.6051298161797466E-3</v>
      </c>
      <c r="S239" s="21">
        <f>Table1[[#This Row],[5. Lợi nhuận gộp về bán hàng và cung cấp dịch vụ]]/Table1[[#This Row],[TỔNG CỘNG TÀI SẢN]]</f>
        <v>9.1682742235193682E-2</v>
      </c>
      <c r="T23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0.80448816286130664</v>
      </c>
      <c r="U239" s="23">
        <f>Table1[[#This Row],[1. Doanh thu bán hàng và cung cấp dịch vụ ]]/Table1[[#This Row],[TỔNG CỘNG TÀI SẢN]]</f>
        <v>1.499679305410657</v>
      </c>
      <c r="V239" s="23">
        <f>1.2*Table1[[#This Row],[X1]] + 1.4*Table1[[#This Row],[X2]] + 3.3*Table1[[#This Row],[x3]] + 0.6*Table1[[#This Row],[x4]] + 1*Table1[[#This Row],[x5]]</f>
        <v>2.7642654812103133</v>
      </c>
      <c r="W239" s="23">
        <f>IF(Table1[[#This Row],[Zscore]]&lt;1.81,1,0)</f>
        <v>0</v>
      </c>
    </row>
    <row r="240" spans="1:23" x14ac:dyDescent="0.45">
      <c r="A240" s="7">
        <v>234</v>
      </c>
      <c r="B240" s="5" t="s">
        <v>481</v>
      </c>
      <c r="C240" s="6" t="s">
        <v>482</v>
      </c>
      <c r="D240" s="6" t="s">
        <v>36</v>
      </c>
      <c r="E240" s="8">
        <v>1486926640740</v>
      </c>
      <c r="F240" s="8">
        <v>1044365801277</v>
      </c>
      <c r="G240" s="8">
        <v>775101433808</v>
      </c>
      <c r="H240" s="8">
        <v>48636407183</v>
      </c>
      <c r="I240" s="8">
        <v>240883949019</v>
      </c>
      <c r="J240" s="8"/>
      <c r="K240" s="8">
        <v>910041120966</v>
      </c>
      <c r="L240" s="8">
        <v>1960473581950</v>
      </c>
      <c r="M240" s="8">
        <v>274994667200</v>
      </c>
      <c r="N240" s="8">
        <v>228120576200</v>
      </c>
      <c r="O240" s="8">
        <v>237495394400</v>
      </c>
      <c r="P240" s="8">
        <v>221870697400</v>
      </c>
      <c r="Q240" s="18">
        <f>(Table1[[#This Row],[A. TÀI SẢN NGẮN HẠN]]-Table1[[#This Row],[I. Nợ ngắn hạn]])/Table1[[#This Row],[TỔNG CỘNG TÀI SẢN]]</f>
        <v>0.18108786277108802</v>
      </c>
      <c r="R240" s="18">
        <f>Table1[[#This Row],[- LNST chưa phân phối kỳ này]]/Table1[[#This Row],[TỔNG CỘNG TÀI SẢN]]</f>
        <v>3.2709352196955109E-2</v>
      </c>
      <c r="S240" s="21">
        <f>Table1[[#This Row],[5. Lợi nhuận gộp về bán hàng và cung cấp dịch vụ]]/Table1[[#This Row],[TỔNG CỘNG TÀI SẢN]]</f>
        <v>0.16200123289143512</v>
      </c>
      <c r="T24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0.26440600128550651</v>
      </c>
      <c r="U240" s="23">
        <f>Table1[[#This Row],[1. Doanh thu bán hàng và cung cấp dịch vụ ]]/Table1[[#This Row],[TỔNG CỘNG TÀI SẢN]]</f>
        <v>1.3184736410226192</v>
      </c>
      <c r="V240" s="23">
        <f>1.2*Table1[[#This Row],[X1]] + 1.4*Table1[[#This Row],[X2]] + 3.3*Table1[[#This Row],[x3]] + 0.6*Table1[[#This Row],[x4]] + 1*Table1[[#This Row],[x5]]</f>
        <v>2.2748198387367018</v>
      </c>
      <c r="W240" s="23">
        <f>IF(Table1[[#This Row],[Zscore]]&lt;1.81,1,0)</f>
        <v>0</v>
      </c>
    </row>
    <row r="241" spans="1:23" hidden="1" x14ac:dyDescent="0.45">
      <c r="A241" s="7">
        <v>235</v>
      </c>
      <c r="B241" s="5" t="s">
        <v>483</v>
      </c>
      <c r="C241" s="6" t="s">
        <v>484</v>
      </c>
      <c r="D241" s="6" t="s">
        <v>13</v>
      </c>
      <c r="E241" s="6"/>
      <c r="F241" s="6"/>
      <c r="G241" s="6"/>
      <c r="H241" s="6"/>
      <c r="I241" s="6"/>
      <c r="J241" s="8"/>
      <c r="K241" s="6"/>
      <c r="L241" s="6"/>
      <c r="M241" s="8"/>
      <c r="N241" s="8"/>
      <c r="O241" s="8"/>
      <c r="P241" s="8"/>
      <c r="Q241" s="18" t="e">
        <f>(Table1[[#This Row],[A. TÀI SẢN NGẮN HẠN]]-Table1[[#This Row],[I. Nợ ngắn hạn]])/Table1[[#This Row],[TỔNG CỘNG TÀI SẢN]]</f>
        <v>#DIV/0!</v>
      </c>
      <c r="R241" s="18" t="e">
        <f>Table1[[#This Row],[- LNST chưa phân phối kỳ này]]/Table1[[#This Row],[TỔNG CỘNG TÀI SẢN]]</f>
        <v>#DIV/0!</v>
      </c>
      <c r="S241" s="21" t="e">
        <f>Table1[[#This Row],[5. Lợi nhuận gộp về bán hàng và cung cấp dịch vụ]]/Table1[[#This Row],[TỔNG CỘNG TÀI SẢN]]</f>
        <v>#DIV/0!</v>
      </c>
      <c r="T24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41" s="23" t="e">
        <f>Table1[[#This Row],[1. Doanh thu bán hàng và cung cấp dịch vụ ]]/Table1[[#This Row],[TỔNG CỘNG TÀI SẢN]]</f>
        <v>#DIV/0!</v>
      </c>
      <c r="V241" s="23" t="e">
        <f>1.2*Table1[[#This Row],[X1]] + 1.4*Table1[[#This Row],[X2]] + 3.3*Table1[[#This Row],[x3]] + 0.6*Table1[[#This Row],[x4]] + 1*Table1[[#This Row],[x5]]</f>
        <v>#DIV/0!</v>
      </c>
      <c r="W241" s="23" t="e">
        <f>IF(Table1[[#This Row],[Zscore]]&lt;1.81,1,0)</f>
        <v>#DIV/0!</v>
      </c>
    </row>
    <row r="242" spans="1:23" x14ac:dyDescent="0.45">
      <c r="A242" s="7">
        <v>236</v>
      </c>
      <c r="B242" s="5" t="s">
        <v>485</v>
      </c>
      <c r="C242" s="6" t="s">
        <v>486</v>
      </c>
      <c r="D242" s="6" t="s">
        <v>18</v>
      </c>
      <c r="E242" s="8">
        <v>928816307226</v>
      </c>
      <c r="F242" s="8">
        <v>148973935614</v>
      </c>
      <c r="G242" s="8">
        <v>142697990708</v>
      </c>
      <c r="H242" s="8">
        <v>34389760546</v>
      </c>
      <c r="I242" s="8">
        <v>73508626933</v>
      </c>
      <c r="J242" s="8"/>
      <c r="K242" s="8">
        <v>515882636680</v>
      </c>
      <c r="L242" s="8">
        <v>296116077491</v>
      </c>
      <c r="M242" s="8">
        <v>319169823500</v>
      </c>
      <c r="N242" s="8">
        <v>784782271900</v>
      </c>
      <c r="O242" s="8">
        <v>304150067100</v>
      </c>
      <c r="P242" s="8">
        <v>304150067100</v>
      </c>
      <c r="Q242" s="18">
        <f>(Table1[[#This Row],[A. TÀI SẢN NGẮN HẠN]]-Table1[[#This Row],[I. Nợ ngắn hạn]])/Table1[[#This Row],[TỔNG CỘNG TÀI SẢN]]</f>
        <v>6.7569279922999178E-3</v>
      </c>
      <c r="R242" s="18">
        <f>Table1[[#This Row],[- LNST chưa phân phối kỳ này]]/Table1[[#This Row],[TỔNG CỘNG TÀI SẢN]]</f>
        <v>3.7025362580797444E-2</v>
      </c>
      <c r="S242" s="21">
        <f>Table1[[#This Row],[5. Lợi nhuận gộp về bán hàng và cung cấp dịch vụ]]/Table1[[#This Row],[TỔNG CỘNG TÀI SẢN]]</f>
        <v>7.9142265656963584E-2</v>
      </c>
      <c r="T24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0.82976829798892004</v>
      </c>
      <c r="U242" s="23">
        <f>Table1[[#This Row],[1. Doanh thu bán hàng và cung cấp dịch vụ ]]/Table1[[#This Row],[TỔNG CỘNG TÀI SẢN]]</f>
        <v>0.31881016212493019</v>
      </c>
      <c r="V242" s="23">
        <f>1.2*Table1[[#This Row],[X1]] + 1.4*Table1[[#This Row],[X2]] + 3.3*Table1[[#This Row],[x3]] + 0.6*Table1[[#This Row],[x4]] + 1*Table1[[#This Row],[x5]]</f>
        <v>1.1377844387901384</v>
      </c>
      <c r="W242" s="23">
        <f>IF(Table1[[#This Row],[Zscore]]&lt;1.81,1,0)</f>
        <v>1</v>
      </c>
    </row>
    <row r="243" spans="1:23" hidden="1" x14ac:dyDescent="0.45">
      <c r="A243" s="7">
        <v>237</v>
      </c>
      <c r="B243" s="5" t="s">
        <v>487</v>
      </c>
      <c r="C243" s="6" t="s">
        <v>488</v>
      </c>
      <c r="D243" s="6" t="s">
        <v>13</v>
      </c>
      <c r="E243" s="6"/>
      <c r="F243" s="6"/>
      <c r="G243" s="6"/>
      <c r="H243" s="6"/>
      <c r="I243" s="6"/>
      <c r="J243" s="8"/>
      <c r="K243" s="6"/>
      <c r="L243" s="6"/>
      <c r="M243" s="8"/>
      <c r="N243" s="8"/>
      <c r="O243" s="8"/>
      <c r="P243" s="8"/>
      <c r="Q243" s="18" t="e">
        <f>(Table1[[#This Row],[A. TÀI SẢN NGẮN HẠN]]-Table1[[#This Row],[I. Nợ ngắn hạn]])/Table1[[#This Row],[TỔNG CỘNG TÀI SẢN]]</f>
        <v>#DIV/0!</v>
      </c>
      <c r="R243" s="18" t="e">
        <f>Table1[[#This Row],[- LNST chưa phân phối kỳ này]]/Table1[[#This Row],[TỔNG CỘNG TÀI SẢN]]</f>
        <v>#DIV/0!</v>
      </c>
      <c r="S243" s="21" t="e">
        <f>Table1[[#This Row],[5. Lợi nhuận gộp về bán hàng và cung cấp dịch vụ]]/Table1[[#This Row],[TỔNG CỘNG TÀI SẢN]]</f>
        <v>#DIV/0!</v>
      </c>
      <c r="T24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43" s="23" t="e">
        <f>Table1[[#This Row],[1. Doanh thu bán hàng và cung cấp dịch vụ ]]/Table1[[#This Row],[TỔNG CỘNG TÀI SẢN]]</f>
        <v>#DIV/0!</v>
      </c>
      <c r="V243" s="23" t="e">
        <f>1.2*Table1[[#This Row],[X1]] + 1.4*Table1[[#This Row],[X2]] + 3.3*Table1[[#This Row],[x3]] + 0.6*Table1[[#This Row],[x4]] + 1*Table1[[#This Row],[x5]]</f>
        <v>#DIV/0!</v>
      </c>
      <c r="W243" s="23" t="e">
        <f>IF(Table1[[#This Row],[Zscore]]&lt;1.81,1,0)</f>
        <v>#DIV/0!</v>
      </c>
    </row>
    <row r="244" spans="1:23" x14ac:dyDescent="0.45">
      <c r="A244" s="7">
        <v>238</v>
      </c>
      <c r="B244" s="5" t="s">
        <v>489</v>
      </c>
      <c r="C244" s="6" t="s">
        <v>490</v>
      </c>
      <c r="D244" s="6" t="s">
        <v>18</v>
      </c>
      <c r="E244" s="8">
        <v>1841824335089</v>
      </c>
      <c r="F244" s="8">
        <v>311866255551</v>
      </c>
      <c r="G244" s="8">
        <v>1039089327654</v>
      </c>
      <c r="H244" s="8">
        <v>-103402299204</v>
      </c>
      <c r="I244" s="8">
        <v>45005943974</v>
      </c>
      <c r="J244" s="8"/>
      <c r="K244" s="8">
        <v>1541513202067</v>
      </c>
      <c r="L244" s="8">
        <v>70432496378</v>
      </c>
      <c r="M244" s="8">
        <v>355480800000</v>
      </c>
      <c r="N244" s="8">
        <v>106644240000</v>
      </c>
      <c r="O244" s="8">
        <v>154041680000</v>
      </c>
      <c r="P244" s="8">
        <v>136267640000</v>
      </c>
      <c r="Q244" s="18">
        <f>(Table1[[#This Row],[A. TÀI SẢN NGẮN HẠN]]-Table1[[#This Row],[I. Nợ ngắn hạn]])/Table1[[#This Row],[TỔNG CỘNG TÀI SẢN]]</f>
        <v>-0.39483845350966079</v>
      </c>
      <c r="R244" s="18">
        <f>Table1[[#This Row],[- LNST chưa phân phối kỳ này]]/Table1[[#This Row],[TỔNG CỘNG TÀI SẢN]]</f>
        <v>-5.6141238463440886E-2</v>
      </c>
      <c r="S244" s="21">
        <f>Table1[[#This Row],[5. Lợi nhuận gộp về bán hàng và cung cấp dịch vụ]]/Table1[[#This Row],[TỔNG CỘNG TÀI SẢN]]</f>
        <v>2.4435524667896863E-2</v>
      </c>
      <c r="T24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0.12202852998454183</v>
      </c>
      <c r="U244" s="23">
        <f>Table1[[#This Row],[1. Doanh thu bán hàng và cung cấp dịch vụ ]]/Table1[[#This Row],[TỔNG CỘNG TÀI SẢN]]</f>
        <v>3.8240615587586201E-2</v>
      </c>
      <c r="V244" s="23">
        <f>1.2*Table1[[#This Row],[X1]] + 1.4*Table1[[#This Row],[X2]] + 3.3*Table1[[#This Row],[x3]] + 0.6*Table1[[#This Row],[x4]] + 1*Table1[[#This Row],[x5]]</f>
        <v>-0.36030891307803919</v>
      </c>
      <c r="W244" s="23">
        <f>IF(Table1[[#This Row],[Zscore]]&lt;1.81,1,0)</f>
        <v>1</v>
      </c>
    </row>
    <row r="245" spans="1:23" x14ac:dyDescent="0.45">
      <c r="A245" s="7">
        <v>239</v>
      </c>
      <c r="B245" s="5" t="s">
        <v>491</v>
      </c>
      <c r="C245" s="6" t="s">
        <v>492</v>
      </c>
      <c r="D245" s="6" t="s">
        <v>36</v>
      </c>
      <c r="E245" s="8">
        <v>169985696177</v>
      </c>
      <c r="F245" s="8">
        <v>168501146940</v>
      </c>
      <c r="G245" s="8">
        <v>75802131671</v>
      </c>
      <c r="H245" s="6"/>
      <c r="I245" s="8">
        <v>29555978173</v>
      </c>
      <c r="J245" s="8"/>
      <c r="K245" s="8">
        <v>75802131671</v>
      </c>
      <c r="L245" s="8">
        <v>267402963954</v>
      </c>
      <c r="M245" s="8">
        <v>47120000000</v>
      </c>
      <c r="N245" s="8">
        <v>46740000000</v>
      </c>
      <c r="O245" s="8">
        <v>46360000000</v>
      </c>
      <c r="P245" s="8">
        <v>51300000000</v>
      </c>
      <c r="Q245" s="18">
        <f>(Table1[[#This Row],[A. TÀI SẢN NGẮN HẠN]]-Table1[[#This Row],[I. Nợ ngắn hạn]])/Table1[[#This Row],[TỔNG CỘNG TÀI SẢN]]</f>
        <v>0.54533420960594148</v>
      </c>
      <c r="R245" s="18">
        <f>Table1[[#This Row],[- LNST chưa phân phối kỳ này]]/Table1[[#This Row],[TỔNG CỘNG TÀI SẢN]]</f>
        <v>0</v>
      </c>
      <c r="S245" s="21">
        <f>Table1[[#This Row],[5. Lợi nhuận gộp về bán hàng và cung cấp dịch vụ]]/Table1[[#This Row],[TỔNG CỘNG TÀI SẢN]]</f>
        <v>0.17387332486037191</v>
      </c>
      <c r="T24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0.63164450582750153</v>
      </c>
      <c r="U245" s="23">
        <f>Table1[[#This Row],[1. Doanh thu bán hàng và cung cấp dịch vụ ]]/Table1[[#This Row],[TỔNG CỘNG TÀI SẢN]]</f>
        <v>1.5730909715812964</v>
      </c>
      <c r="V245" s="23">
        <f>1.2*Table1[[#This Row],[X1]] + 1.4*Table1[[#This Row],[X2]] + 3.3*Table1[[#This Row],[x3]] + 0.6*Table1[[#This Row],[x4]] + 1*Table1[[#This Row],[x5]]</f>
        <v>3.1802606986441546</v>
      </c>
      <c r="W245" s="23">
        <f>IF(Table1[[#This Row],[Zscore]]&lt;1.81,1,0)</f>
        <v>0</v>
      </c>
    </row>
    <row r="246" spans="1:23" hidden="1" x14ac:dyDescent="0.45">
      <c r="A246" s="7">
        <v>240</v>
      </c>
      <c r="B246" s="5" t="s">
        <v>493</v>
      </c>
      <c r="C246" s="6" t="s">
        <v>494</v>
      </c>
      <c r="D246" s="6" t="s">
        <v>13</v>
      </c>
      <c r="E246" s="6"/>
      <c r="F246" s="6"/>
      <c r="G246" s="6"/>
      <c r="H246" s="6"/>
      <c r="I246" s="6"/>
      <c r="J246" s="8"/>
      <c r="K246" s="6"/>
      <c r="L246" s="6"/>
      <c r="M246" s="8"/>
      <c r="N246" s="8"/>
      <c r="O246" s="8"/>
      <c r="P246" s="8"/>
      <c r="Q246" s="18" t="e">
        <f>(Table1[[#This Row],[A. TÀI SẢN NGẮN HẠN]]-Table1[[#This Row],[I. Nợ ngắn hạn]])/Table1[[#This Row],[TỔNG CỘNG TÀI SẢN]]</f>
        <v>#DIV/0!</v>
      </c>
      <c r="R246" s="18" t="e">
        <f>Table1[[#This Row],[- LNST chưa phân phối kỳ này]]/Table1[[#This Row],[TỔNG CỘNG TÀI SẢN]]</f>
        <v>#DIV/0!</v>
      </c>
      <c r="S246" s="21" t="e">
        <f>Table1[[#This Row],[5. Lợi nhuận gộp về bán hàng và cung cấp dịch vụ]]/Table1[[#This Row],[TỔNG CỘNG TÀI SẢN]]</f>
        <v>#DIV/0!</v>
      </c>
      <c r="T24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46" s="23" t="e">
        <f>Table1[[#This Row],[1. Doanh thu bán hàng và cung cấp dịch vụ ]]/Table1[[#This Row],[TỔNG CỘNG TÀI SẢN]]</f>
        <v>#DIV/0!</v>
      </c>
      <c r="V246" s="23" t="e">
        <f>1.2*Table1[[#This Row],[X1]] + 1.4*Table1[[#This Row],[X2]] + 3.3*Table1[[#This Row],[x3]] + 0.6*Table1[[#This Row],[x4]] + 1*Table1[[#This Row],[x5]]</f>
        <v>#DIV/0!</v>
      </c>
      <c r="W246" s="23" t="e">
        <f>IF(Table1[[#This Row],[Zscore]]&lt;1.81,1,0)</f>
        <v>#DIV/0!</v>
      </c>
    </row>
    <row r="247" spans="1:23" hidden="1" x14ac:dyDescent="0.45">
      <c r="A247" s="7">
        <v>241</v>
      </c>
      <c r="B247" s="5" t="s">
        <v>495</v>
      </c>
      <c r="C247" s="6" t="s">
        <v>496</v>
      </c>
      <c r="D247" s="6" t="s">
        <v>13</v>
      </c>
      <c r="E247" s="6"/>
      <c r="F247" s="6"/>
      <c r="G247" s="6"/>
      <c r="H247" s="6"/>
      <c r="I247" s="6"/>
      <c r="J247" s="8"/>
      <c r="K247" s="6"/>
      <c r="L247" s="6"/>
      <c r="M247" s="8"/>
      <c r="N247" s="8"/>
      <c r="O247" s="8"/>
      <c r="P247" s="8"/>
      <c r="Q247" s="18" t="e">
        <f>(Table1[[#This Row],[A. TÀI SẢN NGẮN HẠN]]-Table1[[#This Row],[I. Nợ ngắn hạn]])/Table1[[#This Row],[TỔNG CỘNG TÀI SẢN]]</f>
        <v>#DIV/0!</v>
      </c>
      <c r="R247" s="18" t="e">
        <f>Table1[[#This Row],[- LNST chưa phân phối kỳ này]]/Table1[[#This Row],[TỔNG CỘNG TÀI SẢN]]</f>
        <v>#DIV/0!</v>
      </c>
      <c r="S247" s="21" t="e">
        <f>Table1[[#This Row],[5. Lợi nhuận gộp về bán hàng và cung cấp dịch vụ]]/Table1[[#This Row],[TỔNG CỘNG TÀI SẢN]]</f>
        <v>#DIV/0!</v>
      </c>
      <c r="T24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47" s="23" t="e">
        <f>Table1[[#This Row],[1. Doanh thu bán hàng và cung cấp dịch vụ ]]/Table1[[#This Row],[TỔNG CỘNG TÀI SẢN]]</f>
        <v>#DIV/0!</v>
      </c>
      <c r="V247" s="23" t="e">
        <f>1.2*Table1[[#This Row],[X1]] + 1.4*Table1[[#This Row],[X2]] + 3.3*Table1[[#This Row],[x3]] + 0.6*Table1[[#This Row],[x4]] + 1*Table1[[#This Row],[x5]]</f>
        <v>#DIV/0!</v>
      </c>
      <c r="W247" s="23" t="e">
        <f>IF(Table1[[#This Row],[Zscore]]&lt;1.81,1,0)</f>
        <v>#DIV/0!</v>
      </c>
    </row>
    <row r="248" spans="1:23" hidden="1" x14ac:dyDescent="0.45">
      <c r="A248" s="7">
        <v>242</v>
      </c>
      <c r="B248" s="5" t="s">
        <v>497</v>
      </c>
      <c r="C248" s="6" t="s">
        <v>498</v>
      </c>
      <c r="D248" s="6" t="s">
        <v>18</v>
      </c>
      <c r="E248" s="8">
        <v>35121790454</v>
      </c>
      <c r="F248" s="8">
        <v>20864688445</v>
      </c>
      <c r="G248" s="8">
        <v>8467327110</v>
      </c>
      <c r="H248" s="8">
        <v>50906133</v>
      </c>
      <c r="I248" s="8">
        <v>7533968198</v>
      </c>
      <c r="J248" s="8"/>
      <c r="K248" s="8">
        <v>8625027110</v>
      </c>
      <c r="L248" s="8">
        <v>53440580173</v>
      </c>
      <c r="M248" s="8"/>
      <c r="N248" s="8"/>
      <c r="O248" s="8"/>
      <c r="P248" s="8"/>
      <c r="Q248" s="18">
        <f>(Table1[[#This Row],[A. TÀI SẢN NGẮN HẠN]]-Table1[[#This Row],[I. Nợ ngắn hạn]])/Table1[[#This Row],[TỔNG CỘNG TÀI SẢN]]</f>
        <v>0.35298204262214861</v>
      </c>
      <c r="R248" s="18">
        <f>Table1[[#This Row],[- LNST chưa phân phối kỳ này]]/Table1[[#This Row],[TỔNG CỘNG TÀI SẢN]]</f>
        <v>1.4494173657425922E-3</v>
      </c>
      <c r="S248" s="21">
        <f>Table1[[#This Row],[5. Lợi nhuận gộp về bán hàng và cung cấp dịch vụ]]/Table1[[#This Row],[TỔNG CỘNG TÀI SẢN]]</f>
        <v>0.21450979863533581</v>
      </c>
      <c r="T24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48" s="23">
        <f>Table1[[#This Row],[1. Doanh thu bán hàng và cung cấp dịch vụ ]]/Table1[[#This Row],[TỔNG CỘNG TÀI SẢN]]</f>
        <v>1.5215790391720672</v>
      </c>
      <c r="V248" s="23" t="e">
        <f>1.2*Table1[[#This Row],[X1]] + 1.4*Table1[[#This Row],[X2]] + 3.3*Table1[[#This Row],[x3]] + 0.6*Table1[[#This Row],[x4]] + 1*Table1[[#This Row],[x5]]</f>
        <v>#DIV/0!</v>
      </c>
      <c r="W248" s="23" t="e">
        <f>IF(Table1[[#This Row],[Zscore]]&lt;1.81,1,0)</f>
        <v>#DIV/0!</v>
      </c>
    </row>
    <row r="249" spans="1:23" ht="26.25" hidden="1" x14ac:dyDescent="0.45">
      <c r="A249" s="7">
        <v>243</v>
      </c>
      <c r="B249" s="5" t="s">
        <v>499</v>
      </c>
      <c r="C249" s="6" t="s">
        <v>500</v>
      </c>
      <c r="D249" s="6" t="s">
        <v>18</v>
      </c>
      <c r="E249" s="6"/>
      <c r="F249" s="6"/>
      <c r="G249" s="6"/>
      <c r="H249" s="6"/>
      <c r="I249" s="6"/>
      <c r="J249" s="8"/>
      <c r="K249" s="6"/>
      <c r="L249" s="6"/>
      <c r="M249" s="8"/>
      <c r="N249" s="8"/>
      <c r="O249" s="8"/>
      <c r="P249" s="8"/>
      <c r="Q249" s="18" t="e">
        <f>(Table1[[#This Row],[A. TÀI SẢN NGẮN HẠN]]-Table1[[#This Row],[I. Nợ ngắn hạn]])/Table1[[#This Row],[TỔNG CỘNG TÀI SẢN]]</f>
        <v>#DIV/0!</v>
      </c>
      <c r="R249" s="18" t="e">
        <f>Table1[[#This Row],[- LNST chưa phân phối kỳ này]]/Table1[[#This Row],[TỔNG CỘNG TÀI SẢN]]</f>
        <v>#DIV/0!</v>
      </c>
      <c r="S249" s="21" t="e">
        <f>Table1[[#This Row],[5. Lợi nhuận gộp về bán hàng và cung cấp dịch vụ]]/Table1[[#This Row],[TỔNG CỘNG TÀI SẢN]]</f>
        <v>#DIV/0!</v>
      </c>
      <c r="T24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49" s="23" t="e">
        <f>Table1[[#This Row],[1. Doanh thu bán hàng và cung cấp dịch vụ ]]/Table1[[#This Row],[TỔNG CỘNG TÀI SẢN]]</f>
        <v>#DIV/0!</v>
      </c>
      <c r="V249" s="23" t="e">
        <f>1.2*Table1[[#This Row],[X1]] + 1.4*Table1[[#This Row],[X2]] + 3.3*Table1[[#This Row],[x3]] + 0.6*Table1[[#This Row],[x4]] + 1*Table1[[#This Row],[x5]]</f>
        <v>#DIV/0!</v>
      </c>
      <c r="W249" s="23" t="e">
        <f>IF(Table1[[#This Row],[Zscore]]&lt;1.81,1,0)</f>
        <v>#DIV/0!</v>
      </c>
    </row>
    <row r="250" spans="1:23" x14ac:dyDescent="0.45">
      <c r="A250" s="7">
        <v>244</v>
      </c>
      <c r="B250" s="5" t="s">
        <v>501</v>
      </c>
      <c r="C250" s="6" t="s">
        <v>502</v>
      </c>
      <c r="D250" s="6" t="s">
        <v>21</v>
      </c>
      <c r="E250" s="8">
        <v>290641240742</v>
      </c>
      <c r="F250" s="8">
        <v>221282609559</v>
      </c>
      <c r="G250" s="8">
        <v>79050728020</v>
      </c>
      <c r="H250" s="8">
        <v>20793993931</v>
      </c>
      <c r="I250" s="8">
        <v>68607724406</v>
      </c>
      <c r="J250" s="8"/>
      <c r="K250" s="8">
        <v>79050728020</v>
      </c>
      <c r="L250" s="8">
        <v>437386702724</v>
      </c>
      <c r="M250" s="8">
        <v>176962457100</v>
      </c>
      <c r="N250" s="8">
        <v>154687462500</v>
      </c>
      <c r="O250" s="8">
        <v>175106207550</v>
      </c>
      <c r="P250" s="8">
        <v>159637461300</v>
      </c>
      <c r="Q250" s="18">
        <f>(Table1[[#This Row],[A. TÀI SẢN NGẮN HẠN]]-Table1[[#This Row],[I. Nợ ngắn hạn]])/Table1[[#This Row],[TỔNG CỘNG TÀI SẢN]]</f>
        <v>0.48937267531574485</v>
      </c>
      <c r="R250" s="18">
        <f>Table1[[#This Row],[- LNST chưa phân phối kỳ này]]/Table1[[#This Row],[TỔNG CỘNG TÀI SẢN]]</f>
        <v>7.1545228329996949E-2</v>
      </c>
      <c r="S250" s="21">
        <f>Table1[[#This Row],[5. Lợi nhuận gộp về bán hàng và cung cấp dịch vụ]]/Table1[[#This Row],[TỔNG CỘNG TÀI SẢN]]</f>
        <v>0.23605639802130679</v>
      </c>
      <c r="T25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2.1074871956947727</v>
      </c>
      <c r="U250" s="23">
        <f>Table1[[#This Row],[1. Doanh thu bán hàng và cung cấp dịch vụ ]]/Table1[[#This Row],[TỔNG CỘNG TÀI SẢN]]</f>
        <v>1.50490240685514</v>
      </c>
      <c r="V250" s="23">
        <f>1.2*Table1[[#This Row],[X1]] + 1.4*Table1[[#This Row],[X2]] + 3.3*Table1[[#This Row],[x3]] + 0.6*Table1[[#This Row],[x4]] + 1*Table1[[#This Row],[x5]]</f>
        <v>4.2357913677832055</v>
      </c>
      <c r="W250" s="23">
        <f>IF(Table1[[#This Row],[Zscore]]&lt;1.81,1,0)</f>
        <v>0</v>
      </c>
    </row>
    <row r="251" spans="1:23" ht="26.25" hidden="1" x14ac:dyDescent="0.45">
      <c r="A251" s="7">
        <v>245</v>
      </c>
      <c r="B251" s="5" t="s">
        <v>503</v>
      </c>
      <c r="C251" s="6" t="s">
        <v>504</v>
      </c>
      <c r="D251" s="6" t="s">
        <v>13</v>
      </c>
      <c r="E251" s="6"/>
      <c r="F251" s="6"/>
      <c r="G251" s="6"/>
      <c r="H251" s="6"/>
      <c r="I251" s="6"/>
      <c r="J251" s="8"/>
      <c r="K251" s="6"/>
      <c r="L251" s="6"/>
      <c r="M251" s="8"/>
      <c r="N251" s="8"/>
      <c r="O251" s="8"/>
      <c r="P251" s="8"/>
      <c r="Q251" s="18" t="e">
        <f>(Table1[[#This Row],[A. TÀI SẢN NGẮN HẠN]]-Table1[[#This Row],[I. Nợ ngắn hạn]])/Table1[[#This Row],[TỔNG CỘNG TÀI SẢN]]</f>
        <v>#DIV/0!</v>
      </c>
      <c r="R251" s="18" t="e">
        <f>Table1[[#This Row],[- LNST chưa phân phối kỳ này]]/Table1[[#This Row],[TỔNG CỘNG TÀI SẢN]]</f>
        <v>#DIV/0!</v>
      </c>
      <c r="S251" s="21" t="e">
        <f>Table1[[#This Row],[5. Lợi nhuận gộp về bán hàng và cung cấp dịch vụ]]/Table1[[#This Row],[TỔNG CỘNG TÀI SẢN]]</f>
        <v>#DIV/0!</v>
      </c>
      <c r="T25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51" s="23" t="e">
        <f>Table1[[#This Row],[1. Doanh thu bán hàng và cung cấp dịch vụ ]]/Table1[[#This Row],[TỔNG CỘNG TÀI SẢN]]</f>
        <v>#DIV/0!</v>
      </c>
      <c r="V251" s="23" t="e">
        <f>1.2*Table1[[#This Row],[X1]] + 1.4*Table1[[#This Row],[X2]] + 3.3*Table1[[#This Row],[x3]] + 0.6*Table1[[#This Row],[x4]] + 1*Table1[[#This Row],[x5]]</f>
        <v>#DIV/0!</v>
      </c>
      <c r="W251" s="23" t="e">
        <f>IF(Table1[[#This Row],[Zscore]]&lt;1.81,1,0)</f>
        <v>#DIV/0!</v>
      </c>
    </row>
    <row r="252" spans="1:23" x14ac:dyDescent="0.45">
      <c r="A252" s="7">
        <v>246</v>
      </c>
      <c r="B252" s="5" t="s">
        <v>505</v>
      </c>
      <c r="C252" s="6" t="s">
        <v>506</v>
      </c>
      <c r="D252" s="6" t="s">
        <v>18</v>
      </c>
      <c r="E252" s="8">
        <v>1706517793364</v>
      </c>
      <c r="F252" s="8">
        <v>435538836533</v>
      </c>
      <c r="G252" s="8">
        <v>165483148997</v>
      </c>
      <c r="H252" s="8">
        <v>150157461524</v>
      </c>
      <c r="I252" s="8">
        <v>134234680276</v>
      </c>
      <c r="J252" s="8"/>
      <c r="K252" s="8">
        <v>206553986546</v>
      </c>
      <c r="L252" s="8">
        <v>506699178238</v>
      </c>
      <c r="M252" s="8">
        <v>2565000000000</v>
      </c>
      <c r="N252" s="8">
        <v>1968750000000</v>
      </c>
      <c r="O252" s="8">
        <v>2205000000000</v>
      </c>
      <c r="P252" s="8">
        <v>1957500000000</v>
      </c>
      <c r="Q252" s="18">
        <f>(Table1[[#This Row],[A. TÀI SẢN NGẮN HẠN]]-Table1[[#This Row],[I. Nợ ngắn hạn]])/Table1[[#This Row],[TỔNG CỘNG TÀI SẢN]]</f>
        <v>0.15824955859595727</v>
      </c>
      <c r="R252" s="18">
        <f>Table1[[#This Row],[- LNST chưa phân phối kỳ này]]/Table1[[#This Row],[TỔNG CỘNG TÀI SẢN]]</f>
        <v>8.799056306819969E-2</v>
      </c>
      <c r="S252" s="21">
        <f>Table1[[#This Row],[5. Lợi nhuận gộp về bán hàng và cung cấp dịch vụ]]/Table1[[#This Row],[TỔNG CỘNG TÀI SẢN]]</f>
        <v>7.8659994520999268E-2</v>
      </c>
      <c r="T25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10.525395981722346</v>
      </c>
      <c r="U252" s="23">
        <f>Table1[[#This Row],[1. Doanh thu bán hàng và cung cấp dịch vụ ]]/Table1[[#This Row],[TỔNG CỘNG TÀI SẢN]]</f>
        <v>0.29691995020993089</v>
      </c>
      <c r="V252" s="23">
        <f>1.2*Table1[[#This Row],[X1]] + 1.4*Table1[[#This Row],[X2]] + 3.3*Table1[[#This Row],[x3]] + 0.6*Table1[[#This Row],[x4]] + 1*Table1[[#This Row],[x5]]</f>
        <v>7.1848217797732641</v>
      </c>
      <c r="W252" s="23">
        <f>IF(Table1[[#This Row],[Zscore]]&lt;1.81,1,0)</f>
        <v>0</v>
      </c>
    </row>
    <row r="253" spans="1:23" hidden="1" x14ac:dyDescent="0.45">
      <c r="A253" s="7">
        <v>247</v>
      </c>
      <c r="B253" s="5" t="s">
        <v>507</v>
      </c>
      <c r="C253" s="6" t="s">
        <v>508</v>
      </c>
      <c r="D253" s="6" t="s">
        <v>18</v>
      </c>
      <c r="E253" s="6"/>
      <c r="F253" s="6"/>
      <c r="G253" s="6"/>
      <c r="H253" s="6"/>
      <c r="I253" s="6"/>
      <c r="J253" s="8"/>
      <c r="K253" s="6"/>
      <c r="L253" s="6"/>
      <c r="M253" s="8"/>
      <c r="N253" s="8"/>
      <c r="O253" s="8"/>
      <c r="P253" s="8"/>
      <c r="Q253" s="18" t="e">
        <f>(Table1[[#This Row],[A. TÀI SẢN NGẮN HẠN]]-Table1[[#This Row],[I. Nợ ngắn hạn]])/Table1[[#This Row],[TỔNG CỘNG TÀI SẢN]]</f>
        <v>#DIV/0!</v>
      </c>
      <c r="R253" s="18" t="e">
        <f>Table1[[#This Row],[- LNST chưa phân phối kỳ này]]/Table1[[#This Row],[TỔNG CỘNG TÀI SẢN]]</f>
        <v>#DIV/0!</v>
      </c>
      <c r="S253" s="21" t="e">
        <f>Table1[[#This Row],[5. Lợi nhuận gộp về bán hàng và cung cấp dịch vụ]]/Table1[[#This Row],[TỔNG CỘNG TÀI SẢN]]</f>
        <v>#DIV/0!</v>
      </c>
      <c r="T25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53" s="23" t="e">
        <f>Table1[[#This Row],[1. Doanh thu bán hàng và cung cấp dịch vụ ]]/Table1[[#This Row],[TỔNG CỘNG TÀI SẢN]]</f>
        <v>#DIV/0!</v>
      </c>
      <c r="V253" s="23" t="e">
        <f>1.2*Table1[[#This Row],[X1]] + 1.4*Table1[[#This Row],[X2]] + 3.3*Table1[[#This Row],[x3]] + 0.6*Table1[[#This Row],[x4]] + 1*Table1[[#This Row],[x5]]</f>
        <v>#DIV/0!</v>
      </c>
      <c r="W253" s="23" t="e">
        <f>IF(Table1[[#This Row],[Zscore]]&lt;1.81,1,0)</f>
        <v>#DIV/0!</v>
      </c>
    </row>
    <row r="254" spans="1:23" x14ac:dyDescent="0.45">
      <c r="A254" s="7">
        <v>248</v>
      </c>
      <c r="B254" s="5" t="s">
        <v>509</v>
      </c>
      <c r="C254" s="6" t="s">
        <v>510</v>
      </c>
      <c r="D254" s="6" t="s">
        <v>18</v>
      </c>
      <c r="E254" s="8">
        <v>1247828985802</v>
      </c>
      <c r="F254" s="8">
        <v>481314059374</v>
      </c>
      <c r="G254" s="8">
        <v>247454507694</v>
      </c>
      <c r="H254" s="8">
        <v>162377734688</v>
      </c>
      <c r="I254" s="8">
        <v>171618320518</v>
      </c>
      <c r="J254" s="8"/>
      <c r="K254" s="8">
        <v>281029507694</v>
      </c>
      <c r="L254" s="8">
        <v>367175113078</v>
      </c>
      <c r="M254" s="8">
        <v>1410555572500</v>
      </c>
      <c r="N254" s="8">
        <v>1537572425000</v>
      </c>
      <c r="O254" s="8">
        <v>1490776742500</v>
      </c>
      <c r="P254" s="8">
        <v>1577683010000</v>
      </c>
      <c r="Q254" s="18">
        <f>(Table1[[#This Row],[A. TÀI SẢN NGẮN HẠN]]-Table1[[#This Row],[I. Nợ ngắn hạn]])/Table1[[#This Row],[TỔNG CỘNG TÀI SẢN]]</f>
        <v>0.18741314261881378</v>
      </c>
      <c r="R254" s="18">
        <f>Table1[[#This Row],[- LNST chưa phân phối kỳ này]]/Table1[[#This Row],[TỔNG CỘNG TÀI SẢN]]</f>
        <v>0.13012819587905083</v>
      </c>
      <c r="S254" s="21">
        <f>Table1[[#This Row],[5. Lợi nhuận gộp về bán hàng và cung cấp dịch vụ]]/Table1[[#This Row],[TỔNG CỘNG TÀI SẢN]]</f>
        <v>0.13753352620487344</v>
      </c>
      <c r="T25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5.3522740364253698</v>
      </c>
      <c r="U254" s="23">
        <f>Table1[[#This Row],[1. Doanh thu bán hàng và cung cấp dịch vụ ]]/Table1[[#This Row],[TỔNG CỘNG TÀI SẢN]]</f>
        <v>0.29425114920055379</v>
      </c>
      <c r="V254" s="23">
        <f>1.2*Table1[[#This Row],[X1]] + 1.4*Table1[[#This Row],[X2]] + 3.3*Table1[[#This Row],[x3]] + 0.6*Table1[[#This Row],[x4]] + 1*Table1[[#This Row],[x5]]</f>
        <v>4.3665514529051057</v>
      </c>
      <c r="W254" s="23">
        <f>IF(Table1[[#This Row],[Zscore]]&lt;1.81,1,0)</f>
        <v>0</v>
      </c>
    </row>
    <row r="255" spans="1:23" hidden="1" x14ac:dyDescent="0.45">
      <c r="A255" s="7">
        <v>249</v>
      </c>
      <c r="B255" s="5" t="s">
        <v>511</v>
      </c>
      <c r="C255" s="6" t="s">
        <v>512</v>
      </c>
      <c r="D255" s="6" t="s">
        <v>13</v>
      </c>
      <c r="E255" s="6"/>
      <c r="F255" s="6"/>
      <c r="G255" s="6"/>
      <c r="H255" s="6"/>
      <c r="I255" s="6"/>
      <c r="J255" s="8"/>
      <c r="K255" s="6"/>
      <c r="L255" s="6"/>
      <c r="M255" s="8">
        <v>46000906200</v>
      </c>
      <c r="N255" s="8"/>
      <c r="O255" s="8">
        <v>46000906200</v>
      </c>
      <c r="P255" s="8">
        <v>42850159200</v>
      </c>
      <c r="Q255" s="18" t="e">
        <f>(Table1[[#This Row],[A. TÀI SẢN NGẮN HẠN]]-Table1[[#This Row],[I. Nợ ngắn hạn]])/Table1[[#This Row],[TỔNG CỘNG TÀI SẢN]]</f>
        <v>#DIV/0!</v>
      </c>
      <c r="R255" s="18" t="e">
        <f>Table1[[#This Row],[- LNST chưa phân phối kỳ này]]/Table1[[#This Row],[TỔNG CỘNG TÀI SẢN]]</f>
        <v>#DIV/0!</v>
      </c>
      <c r="S255" s="21" t="e">
        <f>Table1[[#This Row],[5. Lợi nhuận gộp về bán hàng và cung cấp dịch vụ]]/Table1[[#This Row],[TỔNG CỘNG TÀI SẢN]]</f>
        <v>#DIV/0!</v>
      </c>
      <c r="T25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55" s="23" t="e">
        <f>Table1[[#This Row],[1. Doanh thu bán hàng và cung cấp dịch vụ ]]/Table1[[#This Row],[TỔNG CỘNG TÀI SẢN]]</f>
        <v>#DIV/0!</v>
      </c>
      <c r="V255" s="23" t="e">
        <f>1.2*Table1[[#This Row],[X1]] + 1.4*Table1[[#This Row],[X2]] + 3.3*Table1[[#This Row],[x3]] + 0.6*Table1[[#This Row],[x4]] + 1*Table1[[#This Row],[x5]]</f>
        <v>#DIV/0!</v>
      </c>
      <c r="W255" s="23" t="e">
        <f>IF(Table1[[#This Row],[Zscore]]&lt;1.81,1,0)</f>
        <v>#DIV/0!</v>
      </c>
    </row>
    <row r="256" spans="1:23" ht="26.25" hidden="1" x14ac:dyDescent="0.45">
      <c r="A256" s="7">
        <v>250</v>
      </c>
      <c r="B256" s="5" t="s">
        <v>513</v>
      </c>
      <c r="C256" s="6" t="s">
        <v>514</v>
      </c>
      <c r="D256" s="6" t="s">
        <v>18</v>
      </c>
      <c r="E256" s="6"/>
      <c r="F256" s="6"/>
      <c r="G256" s="6"/>
      <c r="H256" s="6"/>
      <c r="I256" s="6"/>
      <c r="J256" s="8"/>
      <c r="K256" s="6"/>
      <c r="L256" s="6"/>
      <c r="M256" s="8"/>
      <c r="N256" s="8"/>
      <c r="O256" s="8"/>
      <c r="P256" s="8"/>
      <c r="Q256" s="18" t="e">
        <f>(Table1[[#This Row],[A. TÀI SẢN NGẮN HẠN]]-Table1[[#This Row],[I. Nợ ngắn hạn]])/Table1[[#This Row],[TỔNG CỘNG TÀI SẢN]]</f>
        <v>#DIV/0!</v>
      </c>
      <c r="R256" s="18" t="e">
        <f>Table1[[#This Row],[- LNST chưa phân phối kỳ này]]/Table1[[#This Row],[TỔNG CỘNG TÀI SẢN]]</f>
        <v>#DIV/0!</v>
      </c>
      <c r="S256" s="21" t="e">
        <f>Table1[[#This Row],[5. Lợi nhuận gộp về bán hàng và cung cấp dịch vụ]]/Table1[[#This Row],[TỔNG CỘNG TÀI SẢN]]</f>
        <v>#DIV/0!</v>
      </c>
      <c r="T25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56" s="23" t="e">
        <f>Table1[[#This Row],[1. Doanh thu bán hàng và cung cấp dịch vụ ]]/Table1[[#This Row],[TỔNG CỘNG TÀI SẢN]]</f>
        <v>#DIV/0!</v>
      </c>
      <c r="V256" s="23" t="e">
        <f>1.2*Table1[[#This Row],[X1]] + 1.4*Table1[[#This Row],[X2]] + 3.3*Table1[[#This Row],[x3]] + 0.6*Table1[[#This Row],[x4]] + 1*Table1[[#This Row],[x5]]</f>
        <v>#DIV/0!</v>
      </c>
      <c r="W256" s="23" t="e">
        <f>IF(Table1[[#This Row],[Zscore]]&lt;1.81,1,0)</f>
        <v>#DIV/0!</v>
      </c>
    </row>
    <row r="257" spans="1:23" x14ac:dyDescent="0.45">
      <c r="A257" s="7">
        <v>251</v>
      </c>
      <c r="B257" s="5" t="s">
        <v>515</v>
      </c>
      <c r="C257" s="6" t="s">
        <v>516</v>
      </c>
      <c r="D257" s="6" t="s">
        <v>18</v>
      </c>
      <c r="E257" s="8">
        <v>486221918262</v>
      </c>
      <c r="F257" s="8">
        <v>190821121016</v>
      </c>
      <c r="G257" s="8">
        <v>86174011227</v>
      </c>
      <c r="H257" s="8">
        <v>3317388960</v>
      </c>
      <c r="I257" s="8">
        <v>35423371708</v>
      </c>
      <c r="J257" s="8"/>
      <c r="K257" s="8">
        <v>106882038687</v>
      </c>
      <c r="L257" s="8">
        <v>436248105923</v>
      </c>
      <c r="M257" s="8">
        <v>750000000000</v>
      </c>
      <c r="N257" s="8">
        <v>1116000000000</v>
      </c>
      <c r="O257" s="8">
        <v>1116000000000</v>
      </c>
      <c r="P257" s="8">
        <v>1032000000000</v>
      </c>
      <c r="Q257" s="18">
        <f>(Table1[[#This Row],[A. TÀI SẢN NGẮN HẠN]]-Table1[[#This Row],[I. Nợ ngắn hạn]])/Table1[[#This Row],[TỔNG CỘNG TÀI SẢN]]</f>
        <v>0.21522499471652992</v>
      </c>
      <c r="R257" s="18">
        <f>Table1[[#This Row],[- LNST chưa phân phối kỳ này]]/Table1[[#This Row],[TỔNG CỘNG TÀI SẢN]]</f>
        <v>6.8227877752981706E-3</v>
      </c>
      <c r="S257" s="21">
        <f>Table1[[#This Row],[5. Lợi nhuận gộp về bán hàng và cung cấp dịch vụ]]/Table1[[#This Row],[TỔNG CỘNG TÀI SẢN]]</f>
        <v>7.2854329221975073E-2</v>
      </c>
      <c r="T25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9.388855343026453</v>
      </c>
      <c r="U257" s="23">
        <f>Table1[[#This Row],[1. Doanh thu bán hàng và cung cấp dịch vụ ]]/Table1[[#This Row],[TỔNG CỘNG TÀI SẢN]]</f>
        <v>0.89722015717096559</v>
      </c>
      <c r="V257" s="23">
        <f>1.2*Table1[[#This Row],[X1]] + 1.4*Table1[[#This Row],[X2]] + 3.3*Table1[[#This Row],[x3]] + 0.6*Table1[[#This Row],[x4]] + 1*Table1[[#This Row],[x5]]</f>
        <v>7.0387745459646078</v>
      </c>
      <c r="W257" s="23">
        <f>IF(Table1[[#This Row],[Zscore]]&lt;1.81,1,0)</f>
        <v>0</v>
      </c>
    </row>
    <row r="258" spans="1:23" x14ac:dyDescent="0.45">
      <c r="A258" s="7">
        <v>252</v>
      </c>
      <c r="B258" s="5" t="s">
        <v>517</v>
      </c>
      <c r="C258" s="6" t="s">
        <v>518</v>
      </c>
      <c r="D258" s="6" t="s">
        <v>18</v>
      </c>
      <c r="E258" s="8">
        <v>402323599350</v>
      </c>
      <c r="F258" s="8">
        <v>340528333638</v>
      </c>
      <c r="G258" s="8">
        <v>87018837165</v>
      </c>
      <c r="H258" s="8">
        <v>25037691918</v>
      </c>
      <c r="I258" s="8">
        <v>48089595152</v>
      </c>
      <c r="J258" s="8"/>
      <c r="K258" s="8">
        <v>87362194832</v>
      </c>
      <c r="L258" s="8">
        <v>568270214859</v>
      </c>
      <c r="M258" s="8">
        <v>387000000000</v>
      </c>
      <c r="N258" s="8">
        <v>302400000000</v>
      </c>
      <c r="O258" s="8">
        <v>325800000000</v>
      </c>
      <c r="P258" s="8">
        <v>349200000000</v>
      </c>
      <c r="Q258" s="18">
        <f>(Table1[[#This Row],[A. TÀI SẢN NGẮN HẠN]]-Table1[[#This Row],[I. Nợ ngắn hạn]])/Table1[[#This Row],[TỔNG CỘNG TÀI SẢN]]</f>
        <v>0.63011341338806304</v>
      </c>
      <c r="R258" s="18">
        <f>Table1[[#This Row],[- LNST chưa phân phối kỳ này]]/Table1[[#This Row],[TỔNG CỘNG TÀI SẢN]]</f>
        <v>6.2232720025500038E-2</v>
      </c>
      <c r="S258" s="21">
        <f>Table1[[#This Row],[5. Lợi nhuận gộp về bán hàng và cung cấp dịch vụ]]/Table1[[#This Row],[TỔNG CỘNG TÀI SẢN]]</f>
        <v>0.11952964039319161</v>
      </c>
      <c r="T25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3.9044348720398458</v>
      </c>
      <c r="U258" s="23">
        <f>Table1[[#This Row],[1. Doanh thu bán hàng và cung cấp dịch vụ ]]/Table1[[#This Row],[TỔNG CỘNG TÀI SẢN]]</f>
        <v>1.4124704983180352</v>
      </c>
      <c r="V258" s="23">
        <f>1.2*Table1[[#This Row],[X1]] + 1.4*Table1[[#This Row],[X2]] + 3.3*Table1[[#This Row],[x3]] + 0.6*Table1[[#This Row],[x4]] + 1*Table1[[#This Row],[x5]]</f>
        <v>4.9928411389408502</v>
      </c>
      <c r="W258" s="23">
        <f>IF(Table1[[#This Row],[Zscore]]&lt;1.81,1,0)</f>
        <v>0</v>
      </c>
    </row>
    <row r="259" spans="1:23" x14ac:dyDescent="0.45">
      <c r="A259" s="7">
        <v>253</v>
      </c>
      <c r="B259" s="5" t="s">
        <v>519</v>
      </c>
      <c r="C259" s="6" t="s">
        <v>520</v>
      </c>
      <c r="D259" s="6" t="s">
        <v>21</v>
      </c>
      <c r="E259" s="8">
        <v>16627752225049</v>
      </c>
      <c r="F259" s="8">
        <v>16234964955892</v>
      </c>
      <c r="G259" s="8">
        <v>11080578238958</v>
      </c>
      <c r="H259" s="8">
        <v>124448876897</v>
      </c>
      <c r="I259" s="8">
        <v>1200160823126</v>
      </c>
      <c r="J259" s="8"/>
      <c r="K259" s="8">
        <v>11099994330858</v>
      </c>
      <c r="L259" s="8">
        <v>2097190451600</v>
      </c>
      <c r="M259" s="8">
        <v>12781378167300</v>
      </c>
      <c r="N259" s="8">
        <v>9225759456800</v>
      </c>
      <c r="O259" s="8">
        <v>9156641776050</v>
      </c>
      <c r="P259" s="8">
        <v>11495394429550</v>
      </c>
      <c r="Q259" s="18">
        <f>(Table1[[#This Row],[A. TÀI SẢN NGẮN HẠN]]-Table1[[#This Row],[I. Nợ ngắn hạn]])/Table1[[#This Row],[TỔNG CỘNG TÀI SẢN]]</f>
        <v>0.3099869812330458</v>
      </c>
      <c r="R259" s="18">
        <f>Table1[[#This Row],[- LNST chưa phân phối kỳ này]]/Table1[[#This Row],[TỔNG CỘNG TÀI SẢN]]</f>
        <v>7.4844077066245351E-3</v>
      </c>
      <c r="S259" s="21">
        <f>Table1[[#This Row],[5. Lợi nhuận gộp về bán hàng và cung cấp dịch vụ]]/Table1[[#This Row],[TỔNG CỘNG TÀI SẢN]]</f>
        <v>7.2178175792035726E-2</v>
      </c>
      <c r="T25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0.96079269408065004</v>
      </c>
      <c r="U259" s="23">
        <f>Table1[[#This Row],[1. Doanh thu bán hàng và cung cấp dịch vụ ]]/Table1[[#This Row],[TỔNG CỘNG TÀI SẢN]]</f>
        <v>0.12612591426763456</v>
      </c>
      <c r="V259" s="23">
        <f>1.2*Table1[[#This Row],[X1]] + 1.4*Table1[[#This Row],[X2]] + 3.3*Table1[[#This Row],[x3]] + 0.6*Table1[[#This Row],[x4]] + 1*Table1[[#This Row],[x5]]</f>
        <v>1.3232520590986718</v>
      </c>
      <c r="W259" s="23">
        <f>IF(Table1[[#This Row],[Zscore]]&lt;1.81,1,0)</f>
        <v>1</v>
      </c>
    </row>
    <row r="260" spans="1:23" x14ac:dyDescent="0.45">
      <c r="A260" s="7">
        <v>254</v>
      </c>
      <c r="B260" s="5" t="s">
        <v>521</v>
      </c>
      <c r="C260" s="6" t="s">
        <v>522</v>
      </c>
      <c r="D260" s="6" t="s">
        <v>18</v>
      </c>
      <c r="E260" s="8">
        <v>669203825374</v>
      </c>
      <c r="F260" s="8">
        <v>526596794004</v>
      </c>
      <c r="G260" s="8">
        <v>155411634441</v>
      </c>
      <c r="H260" s="8">
        <v>37379077220</v>
      </c>
      <c r="I260" s="8">
        <v>52128363366</v>
      </c>
      <c r="J260" s="8"/>
      <c r="K260" s="8">
        <v>155583284811</v>
      </c>
      <c r="L260" s="8">
        <v>890455279688</v>
      </c>
      <c r="M260" s="8">
        <v>486000000000</v>
      </c>
      <c r="N260" s="8">
        <v>468000000000</v>
      </c>
      <c r="O260" s="8">
        <v>450000000000</v>
      </c>
      <c r="P260" s="8">
        <v>472500000000</v>
      </c>
      <c r="Q260" s="18">
        <f>(Table1[[#This Row],[A. TÀI SẢN NGẮN HẠN]]-Table1[[#This Row],[I. Nợ ngắn hạn]])/Table1[[#This Row],[TỔNG CỘNG TÀI SẢN]]</f>
        <v>0.55466682270615331</v>
      </c>
      <c r="R260" s="18">
        <f>Table1[[#This Row],[- LNST chưa phân phối kỳ này]]/Table1[[#This Row],[TỔNG CỘNG TÀI SẢN]]</f>
        <v>5.585604236363987E-2</v>
      </c>
      <c r="S260" s="21">
        <f>Table1[[#This Row],[5. Lợi nhuận gộp về bán hàng và cung cấp dịch vụ]]/Table1[[#This Row],[TỔNG CỘNG TÀI SẢN]]</f>
        <v>7.7896092923358376E-2</v>
      </c>
      <c r="T26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3.0152660716084334</v>
      </c>
      <c r="U260" s="23">
        <f>Table1[[#This Row],[1. Doanh thu bán hàng và cung cấp dịch vụ ]]/Table1[[#This Row],[TỔNG CỘNG TÀI SẢN]]</f>
        <v>1.3306189324162163</v>
      </c>
      <c r="V260" s="23">
        <f>1.2*Table1[[#This Row],[X1]] + 1.4*Table1[[#This Row],[X2]] + 3.3*Table1[[#This Row],[x3]] + 0.6*Table1[[#This Row],[x4]] + 1*Table1[[#This Row],[x5]]</f>
        <v>4.1406343285848388</v>
      </c>
      <c r="W260" s="23">
        <f>IF(Table1[[#This Row],[Zscore]]&lt;1.81,1,0)</f>
        <v>0</v>
      </c>
    </row>
    <row r="261" spans="1:23" ht="26.25" hidden="1" x14ac:dyDescent="0.45">
      <c r="A261" s="7">
        <v>255</v>
      </c>
      <c r="B261" s="5" t="s">
        <v>523</v>
      </c>
      <c r="C261" s="6" t="s">
        <v>524</v>
      </c>
      <c r="D261" s="6" t="s">
        <v>13</v>
      </c>
      <c r="E261" s="6"/>
      <c r="F261" s="6"/>
      <c r="G261" s="6"/>
      <c r="H261" s="6"/>
      <c r="I261" s="6"/>
      <c r="J261" s="8"/>
      <c r="K261" s="6"/>
      <c r="L261" s="6"/>
      <c r="M261" s="8"/>
      <c r="N261" s="8"/>
      <c r="O261" s="8"/>
      <c r="P261" s="8"/>
      <c r="Q261" s="18" t="e">
        <f>(Table1[[#This Row],[A. TÀI SẢN NGẮN HẠN]]-Table1[[#This Row],[I. Nợ ngắn hạn]])/Table1[[#This Row],[TỔNG CỘNG TÀI SẢN]]</f>
        <v>#DIV/0!</v>
      </c>
      <c r="R261" s="18" t="e">
        <f>Table1[[#This Row],[- LNST chưa phân phối kỳ này]]/Table1[[#This Row],[TỔNG CỘNG TÀI SẢN]]</f>
        <v>#DIV/0!</v>
      </c>
      <c r="S261" s="21" t="e">
        <f>Table1[[#This Row],[5. Lợi nhuận gộp về bán hàng và cung cấp dịch vụ]]/Table1[[#This Row],[TỔNG CỘNG TÀI SẢN]]</f>
        <v>#DIV/0!</v>
      </c>
      <c r="T26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61" s="23" t="e">
        <f>Table1[[#This Row],[1. Doanh thu bán hàng và cung cấp dịch vụ ]]/Table1[[#This Row],[TỔNG CỘNG TÀI SẢN]]</f>
        <v>#DIV/0!</v>
      </c>
      <c r="V261" s="23" t="e">
        <f>1.2*Table1[[#This Row],[X1]] + 1.4*Table1[[#This Row],[X2]] + 3.3*Table1[[#This Row],[x3]] + 0.6*Table1[[#This Row],[x4]] + 1*Table1[[#This Row],[x5]]</f>
        <v>#DIV/0!</v>
      </c>
      <c r="W261" s="23" t="e">
        <f>IF(Table1[[#This Row],[Zscore]]&lt;1.81,1,0)</f>
        <v>#DIV/0!</v>
      </c>
    </row>
    <row r="262" spans="1:23" x14ac:dyDescent="0.45">
      <c r="A262" s="7">
        <v>256</v>
      </c>
      <c r="B262" s="5" t="s">
        <v>525</v>
      </c>
      <c r="C262" s="6" t="s">
        <v>526</v>
      </c>
      <c r="D262" s="6" t="s">
        <v>18</v>
      </c>
      <c r="E262" s="8">
        <v>321163029929</v>
      </c>
      <c r="F262" s="8">
        <v>133911620499</v>
      </c>
      <c r="G262" s="8">
        <v>116945242965</v>
      </c>
      <c r="H262" s="8">
        <v>8703871009</v>
      </c>
      <c r="I262" s="8">
        <v>29871450117</v>
      </c>
      <c r="J262" s="8"/>
      <c r="K262" s="8">
        <v>136065877964</v>
      </c>
      <c r="L262" s="8">
        <v>359968970783</v>
      </c>
      <c r="M262" s="8">
        <v>130000000000</v>
      </c>
      <c r="N262" s="8">
        <v>133750000000</v>
      </c>
      <c r="O262" s="8">
        <v>122500000000</v>
      </c>
      <c r="P262" s="8">
        <v>122500000000</v>
      </c>
      <c r="Q262" s="18">
        <f>(Table1[[#This Row],[A. TÀI SẢN NGẮN HẠN]]-Table1[[#This Row],[I. Nợ ngắn hạn]])/Table1[[#This Row],[TỔNG CỘNG TÀI SẢN]]</f>
        <v>5.2827928350753145E-2</v>
      </c>
      <c r="R262" s="18">
        <f>Table1[[#This Row],[- LNST chưa phân phối kỳ này]]/Table1[[#This Row],[TỔNG CỘNG TÀI SẢN]]</f>
        <v>2.7101098812413675E-2</v>
      </c>
      <c r="S262" s="21">
        <f>Table1[[#This Row],[5. Lợi nhuận gộp về bán hàng và cung cấp dịch vụ]]/Table1[[#This Row],[TỔNG CỘNG TÀI SẢN]]</f>
        <v>9.3010238829804678E-2</v>
      </c>
      <c r="T26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0.9347494162618124</v>
      </c>
      <c r="U262" s="23">
        <f>Table1[[#This Row],[1. Doanh thu bán hàng và cung cấp dịch vụ ]]/Table1[[#This Row],[TỔNG CỘNG TÀI SẢN]]</f>
        <v>1.1208294144646067</v>
      </c>
      <c r="V262" s="23">
        <f>1.2*Table1[[#This Row],[X1]] + 1.4*Table1[[#This Row],[X2]] + 3.3*Table1[[#This Row],[x3]] + 0.6*Table1[[#This Row],[x4]] + 1*Table1[[#This Row],[x5]]</f>
        <v>2.0899479047183327</v>
      </c>
      <c r="W262" s="23">
        <f>IF(Table1[[#This Row],[Zscore]]&lt;1.81,1,0)</f>
        <v>0</v>
      </c>
    </row>
    <row r="263" spans="1:23" x14ac:dyDescent="0.45">
      <c r="A263" s="7">
        <v>257</v>
      </c>
      <c r="B263" s="5" t="s">
        <v>527</v>
      </c>
      <c r="C263" s="6" t="s">
        <v>528</v>
      </c>
      <c r="D263" s="6" t="s">
        <v>18</v>
      </c>
      <c r="E263" s="8">
        <v>1209907683561</v>
      </c>
      <c r="F263" s="8">
        <v>413648933955</v>
      </c>
      <c r="G263" s="8">
        <v>345241989319</v>
      </c>
      <c r="H263" s="8">
        <v>73246443239</v>
      </c>
      <c r="I263" s="8">
        <v>128057390437</v>
      </c>
      <c r="J263" s="8"/>
      <c r="K263" s="8">
        <v>345241989319</v>
      </c>
      <c r="L263" s="8">
        <v>1676557775016</v>
      </c>
      <c r="M263" s="8">
        <v>967500000000</v>
      </c>
      <c r="N263" s="8">
        <v>864000000000</v>
      </c>
      <c r="O263" s="8">
        <v>868500000000</v>
      </c>
      <c r="P263" s="8">
        <v>850500000000</v>
      </c>
      <c r="Q263" s="18">
        <f>(Table1[[#This Row],[A. TÀI SẢN NGẮN HẠN]]-Table1[[#This Row],[I. Nợ ngắn hạn]])/Table1[[#This Row],[TỔNG CỘNG TÀI SẢN]]</f>
        <v>5.6538978605925286E-2</v>
      </c>
      <c r="R263" s="18">
        <f>Table1[[#This Row],[- LNST chưa phân phối kỳ này]]/Table1[[#This Row],[TỔNG CỘNG TÀI SẢN]]</f>
        <v>6.053886939821812E-2</v>
      </c>
      <c r="S263" s="21">
        <f>Table1[[#This Row],[5. Lợi nhuận gộp về bán hàng và cung cấp dịch vụ]]/Table1[[#This Row],[TỔNG CỘNG TÀI SẢN]]</f>
        <v>0.10584062914626802</v>
      </c>
      <c r="T26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2.5710227245268356</v>
      </c>
      <c r="U263" s="23">
        <f>Table1[[#This Row],[1. Doanh thu bán hàng và cung cấp dịch vụ ]]/Table1[[#This Row],[TỔNG CỘNG TÀI SẢN]]</f>
        <v>1.3856906587133619</v>
      </c>
      <c r="V263" s="23">
        <f>1.2*Table1[[#This Row],[X1]] + 1.4*Table1[[#This Row],[X2]] + 3.3*Table1[[#This Row],[x3]] + 0.6*Table1[[#This Row],[x4]] + 1*Table1[[#This Row],[x5]]</f>
        <v>3.4301795610967631</v>
      </c>
      <c r="W263" s="23">
        <f>IF(Table1[[#This Row],[Zscore]]&lt;1.81,1,0)</f>
        <v>0</v>
      </c>
    </row>
    <row r="264" spans="1:23" x14ac:dyDescent="0.45">
      <c r="A264" s="7">
        <v>258</v>
      </c>
      <c r="B264" s="5" t="s">
        <v>529</v>
      </c>
      <c r="C264" s="6" t="s">
        <v>530</v>
      </c>
      <c r="D264" s="6" t="s">
        <v>21</v>
      </c>
      <c r="E264" s="8">
        <v>85068637113074</v>
      </c>
      <c r="F264" s="8">
        <v>70173060674346</v>
      </c>
      <c r="G264" s="8">
        <v>23726837131723</v>
      </c>
      <c r="H264" s="8">
        <v>5181881049525</v>
      </c>
      <c r="I264" s="8">
        <v>6048665976304</v>
      </c>
      <c r="J264" s="8"/>
      <c r="K264" s="8">
        <v>24583223364493</v>
      </c>
      <c r="L264" s="8">
        <v>141578224199335</v>
      </c>
      <c r="M264" s="8">
        <v>58754467723200</v>
      </c>
      <c r="N264" s="8">
        <v>80617524944600</v>
      </c>
      <c r="O264" s="8">
        <v>55343918145600</v>
      </c>
      <c r="P264" s="8">
        <v>81233089939200</v>
      </c>
      <c r="Q264" s="18">
        <f>(Table1[[#This Row],[A. TÀI SẢN NGẮN HẠN]]-Table1[[#This Row],[I. Nợ ngắn hạn]])/Table1[[#This Row],[TỔNG CỘNG TÀI SẢN]]</f>
        <v>0.54598527869779157</v>
      </c>
      <c r="R264" s="18">
        <f>Table1[[#This Row],[- LNST chưa phân phối kỳ này]]/Table1[[#This Row],[TỔNG CỘNG TÀI SẢN]]</f>
        <v>6.0914118591522716E-2</v>
      </c>
      <c r="S264" s="21">
        <f>Table1[[#This Row],[5. Lợi nhuận gộp về bán hàng và cung cấp dịch vụ]]/Table1[[#This Row],[TỔNG CỘNG TÀI SẢN]]</f>
        <v>7.110336055183368E-2</v>
      </c>
      <c r="T26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2.8062735779308889</v>
      </c>
      <c r="U264" s="23">
        <f>Table1[[#This Row],[1. Doanh thu bán hàng và cung cấp dịch vụ ]]/Table1[[#This Row],[TỔNG CỘNG TÀI SẢN]]</f>
        <v>1.6642822666965729</v>
      </c>
      <c r="V264" s="23">
        <f>1.2*Table1[[#This Row],[X1]] + 1.4*Table1[[#This Row],[X2]] + 3.3*Table1[[#This Row],[x3]] + 0.6*Table1[[#This Row],[x4]] + 1*Table1[[#This Row],[x5]]</f>
        <v>4.3231496037416388</v>
      </c>
      <c r="W264" s="23">
        <f>IF(Table1[[#This Row],[Zscore]]&lt;1.81,1,0)</f>
        <v>0</v>
      </c>
    </row>
    <row r="265" spans="1:23" hidden="1" x14ac:dyDescent="0.45">
      <c r="A265" s="7">
        <v>259</v>
      </c>
      <c r="B265" s="5" t="s">
        <v>531</v>
      </c>
      <c r="C265" s="6" t="s">
        <v>532</v>
      </c>
      <c r="D265" s="6" t="s">
        <v>13</v>
      </c>
      <c r="E265" s="6"/>
      <c r="F265" s="6"/>
      <c r="G265" s="6"/>
      <c r="H265" s="6"/>
      <c r="I265" s="6"/>
      <c r="J265" s="8"/>
      <c r="K265" s="6"/>
      <c r="L265" s="6"/>
      <c r="M265" s="8">
        <v>14080000000</v>
      </c>
      <c r="N265" s="8"/>
      <c r="O265" s="8">
        <v>11440000000</v>
      </c>
      <c r="P265" s="8">
        <v>11000000000</v>
      </c>
      <c r="Q265" s="18" t="e">
        <f>(Table1[[#This Row],[A. TÀI SẢN NGẮN HẠN]]-Table1[[#This Row],[I. Nợ ngắn hạn]])/Table1[[#This Row],[TỔNG CỘNG TÀI SẢN]]</f>
        <v>#DIV/0!</v>
      </c>
      <c r="R265" s="18" t="e">
        <f>Table1[[#This Row],[- LNST chưa phân phối kỳ này]]/Table1[[#This Row],[TỔNG CỘNG TÀI SẢN]]</f>
        <v>#DIV/0!</v>
      </c>
      <c r="S265" s="21" t="e">
        <f>Table1[[#This Row],[5. Lợi nhuận gộp về bán hàng và cung cấp dịch vụ]]/Table1[[#This Row],[TỔNG CỘNG TÀI SẢN]]</f>
        <v>#DIV/0!</v>
      </c>
      <c r="T26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65" s="23" t="e">
        <f>Table1[[#This Row],[1. Doanh thu bán hàng và cung cấp dịch vụ ]]/Table1[[#This Row],[TỔNG CỘNG TÀI SẢN]]</f>
        <v>#DIV/0!</v>
      </c>
      <c r="V265" s="23" t="e">
        <f>1.2*Table1[[#This Row],[X1]] + 1.4*Table1[[#This Row],[X2]] + 3.3*Table1[[#This Row],[x3]] + 0.6*Table1[[#This Row],[x4]] + 1*Table1[[#This Row],[x5]]</f>
        <v>#DIV/0!</v>
      </c>
      <c r="W265" s="23" t="e">
        <f>IF(Table1[[#This Row],[Zscore]]&lt;1.81,1,0)</f>
        <v>#DIV/0!</v>
      </c>
    </row>
    <row r="266" spans="1:23" ht="26.25" hidden="1" x14ac:dyDescent="0.45">
      <c r="A266" s="7">
        <v>260</v>
      </c>
      <c r="B266" s="5" t="s">
        <v>533</v>
      </c>
      <c r="C266" s="6" t="s">
        <v>534</v>
      </c>
      <c r="D266" s="6" t="s">
        <v>18</v>
      </c>
      <c r="E266" s="6"/>
      <c r="F266" s="6"/>
      <c r="G266" s="6"/>
      <c r="H266" s="6"/>
      <c r="I266" s="6"/>
      <c r="J266" s="8"/>
      <c r="K266" s="6"/>
      <c r="L266" s="6"/>
      <c r="M266" s="8"/>
      <c r="N266" s="8"/>
      <c r="O266" s="8"/>
      <c r="P266" s="8"/>
      <c r="Q266" s="18" t="e">
        <f>(Table1[[#This Row],[A. TÀI SẢN NGẮN HẠN]]-Table1[[#This Row],[I. Nợ ngắn hạn]])/Table1[[#This Row],[TỔNG CỘNG TÀI SẢN]]</f>
        <v>#DIV/0!</v>
      </c>
      <c r="R266" s="18" t="e">
        <f>Table1[[#This Row],[- LNST chưa phân phối kỳ này]]/Table1[[#This Row],[TỔNG CỘNG TÀI SẢN]]</f>
        <v>#DIV/0!</v>
      </c>
      <c r="S266" s="21" t="e">
        <f>Table1[[#This Row],[5. Lợi nhuận gộp về bán hàng và cung cấp dịch vụ]]/Table1[[#This Row],[TỔNG CỘNG TÀI SẢN]]</f>
        <v>#DIV/0!</v>
      </c>
      <c r="T26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66" s="23" t="e">
        <f>Table1[[#This Row],[1. Doanh thu bán hàng và cung cấp dịch vụ ]]/Table1[[#This Row],[TỔNG CỘNG TÀI SẢN]]</f>
        <v>#DIV/0!</v>
      </c>
      <c r="V266" s="23" t="e">
        <f>1.2*Table1[[#This Row],[X1]] + 1.4*Table1[[#This Row],[X2]] + 3.3*Table1[[#This Row],[x3]] + 0.6*Table1[[#This Row],[x4]] + 1*Table1[[#This Row],[x5]]</f>
        <v>#DIV/0!</v>
      </c>
      <c r="W266" s="23" t="e">
        <f>IF(Table1[[#This Row],[Zscore]]&lt;1.81,1,0)</f>
        <v>#DIV/0!</v>
      </c>
    </row>
    <row r="267" spans="1:23" x14ac:dyDescent="0.45">
      <c r="A267" s="7">
        <v>261</v>
      </c>
      <c r="B267" s="5" t="s">
        <v>535</v>
      </c>
      <c r="C267" s="6" t="s">
        <v>536</v>
      </c>
      <c r="D267" s="6" t="s">
        <v>18</v>
      </c>
      <c r="E267" s="8">
        <v>180258449068</v>
      </c>
      <c r="F267" s="8">
        <v>53882562827</v>
      </c>
      <c r="G267" s="8">
        <v>1228992728798</v>
      </c>
      <c r="H267" s="8">
        <v>-56555703860</v>
      </c>
      <c r="I267" s="8">
        <v>19773026440</v>
      </c>
      <c r="J267" s="8"/>
      <c r="K267" s="8">
        <v>1230695528798</v>
      </c>
      <c r="L267" s="8">
        <v>109246260419</v>
      </c>
      <c r="M267" s="8">
        <v>111878734000</v>
      </c>
      <c r="N267" s="8">
        <v>112178070000</v>
      </c>
      <c r="O267" s="8">
        <v>112178070000</v>
      </c>
      <c r="P267" s="8">
        <v>112178070000</v>
      </c>
      <c r="Q267" s="18">
        <f>(Table1[[#This Row],[A. TÀI SẢN NGẮN HẠN]]-Table1[[#This Row],[I. Nợ ngắn hạn]])/Table1[[#This Row],[TỔNG CỘNG TÀI SẢN]]</f>
        <v>-6.5190296046966765</v>
      </c>
      <c r="R267" s="18">
        <f>Table1[[#This Row],[- LNST chưa phân phối kỳ này]]/Table1[[#This Row],[TỔNG CỘNG TÀI SẢN]]</f>
        <v>-0.31374786675694266</v>
      </c>
      <c r="S267" s="21">
        <f>Table1[[#This Row],[5. Lợi nhuận gộp về bán hàng và cung cấp dịch vụ]]/Table1[[#This Row],[TỔNG CỘNG TÀI SẢN]]</f>
        <v>0.10969264709772855</v>
      </c>
      <c r="T26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9.1089333939068887E-2</v>
      </c>
      <c r="U267" s="23">
        <f>Table1[[#This Row],[1. Doanh thu bán hàng và cung cấp dịch vụ ]]/Table1[[#This Row],[TỔNG CỘNG TÀI SẢN]]</f>
        <v>0.60605348034359463</v>
      </c>
      <c r="V267" s="23">
        <f>1.2*Table1[[#This Row],[X1]] + 1.4*Table1[[#This Row],[X2]] + 3.3*Table1[[#This Row],[x3]] + 0.6*Table1[[#This Row],[x4]] + 1*Table1[[#This Row],[x5]]</f>
        <v>-7.239389722966191</v>
      </c>
      <c r="W267" s="23">
        <f>IF(Table1[[#This Row],[Zscore]]&lt;1.81,1,0)</f>
        <v>1</v>
      </c>
    </row>
    <row r="268" spans="1:23" hidden="1" x14ac:dyDescent="0.45">
      <c r="A268" s="7">
        <v>262</v>
      </c>
      <c r="B268" s="5" t="s">
        <v>537</v>
      </c>
      <c r="C268" s="6" t="s">
        <v>538</v>
      </c>
      <c r="D268" s="6" t="s">
        <v>18</v>
      </c>
      <c r="E268" s="8">
        <v>150552360202</v>
      </c>
      <c r="F268" s="8">
        <v>14992643806</v>
      </c>
      <c r="G268" s="8">
        <v>32526221401</v>
      </c>
      <c r="H268" s="8">
        <v>412596677</v>
      </c>
      <c r="I268" s="8">
        <v>17757909309</v>
      </c>
      <c r="J268" s="8"/>
      <c r="K268" s="8">
        <v>35811964401</v>
      </c>
      <c r="L268" s="8">
        <v>120616019757</v>
      </c>
      <c r="M268" s="8"/>
      <c r="N268" s="8"/>
      <c r="O268" s="8"/>
      <c r="P268" s="8"/>
      <c r="Q268" s="18">
        <f>(Table1[[#This Row],[A. TÀI SẢN NGẮN HẠN]]-Table1[[#This Row],[I. Nợ ngắn hạn]])/Table1[[#This Row],[TỔNG CỘNG TÀI SẢN]]</f>
        <v>-0.11646165873105373</v>
      </c>
      <c r="R268" s="18">
        <f>Table1[[#This Row],[- LNST chưa phân phối kỳ này]]/Table1[[#This Row],[TỔNG CỘNG TÀI SẢN]]</f>
        <v>2.7405526983861851E-3</v>
      </c>
      <c r="S268" s="21">
        <f>Table1[[#This Row],[5. Lợi nhuận gộp về bán hàng và cung cấp dịch vụ]]/Table1[[#This Row],[TỔNG CỘNG TÀI SẢN]]</f>
        <v>0.11795171650031759</v>
      </c>
      <c r="T26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68" s="23">
        <f>Table1[[#This Row],[1. Doanh thu bán hàng và cung cấp dịch vụ ]]/Table1[[#This Row],[TỔNG CỘNG TÀI SẢN]]</f>
        <v>0.80115661817035855</v>
      </c>
      <c r="V268" s="23" t="e">
        <f>1.2*Table1[[#This Row],[X1]] + 1.4*Table1[[#This Row],[X2]] + 3.3*Table1[[#This Row],[x3]] + 0.6*Table1[[#This Row],[x4]] + 1*Table1[[#This Row],[x5]]</f>
        <v>#DIV/0!</v>
      </c>
      <c r="W268" s="23" t="e">
        <f>IF(Table1[[#This Row],[Zscore]]&lt;1.81,1,0)</f>
        <v>#DIV/0!</v>
      </c>
    </row>
    <row r="269" spans="1:23" ht="26.25" hidden="1" x14ac:dyDescent="0.45">
      <c r="A269" s="7">
        <v>263</v>
      </c>
      <c r="B269" s="5" t="s">
        <v>539</v>
      </c>
      <c r="C269" s="6" t="s">
        <v>540</v>
      </c>
      <c r="D269" s="6" t="s">
        <v>13</v>
      </c>
      <c r="E269" s="6"/>
      <c r="F269" s="6"/>
      <c r="G269" s="6"/>
      <c r="H269" s="6"/>
      <c r="I269" s="6"/>
      <c r="J269" s="8"/>
      <c r="K269" s="6"/>
      <c r="L269" s="6"/>
      <c r="M269" s="8"/>
      <c r="N269" s="8"/>
      <c r="O269" s="8"/>
      <c r="P269" s="8"/>
      <c r="Q269" s="18" t="e">
        <f>(Table1[[#This Row],[A. TÀI SẢN NGẮN HẠN]]-Table1[[#This Row],[I. Nợ ngắn hạn]])/Table1[[#This Row],[TỔNG CỘNG TÀI SẢN]]</f>
        <v>#DIV/0!</v>
      </c>
      <c r="R269" s="18" t="e">
        <f>Table1[[#This Row],[- LNST chưa phân phối kỳ này]]/Table1[[#This Row],[TỔNG CỘNG TÀI SẢN]]</f>
        <v>#DIV/0!</v>
      </c>
      <c r="S269" s="21" t="e">
        <f>Table1[[#This Row],[5. Lợi nhuận gộp về bán hàng và cung cấp dịch vụ]]/Table1[[#This Row],[TỔNG CỘNG TÀI SẢN]]</f>
        <v>#DIV/0!</v>
      </c>
      <c r="T26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69" s="23" t="e">
        <f>Table1[[#This Row],[1. Doanh thu bán hàng và cung cấp dịch vụ ]]/Table1[[#This Row],[TỔNG CỘNG TÀI SẢN]]</f>
        <v>#DIV/0!</v>
      </c>
      <c r="V269" s="23" t="e">
        <f>1.2*Table1[[#This Row],[X1]] + 1.4*Table1[[#This Row],[X2]] + 3.3*Table1[[#This Row],[x3]] + 0.6*Table1[[#This Row],[x4]] + 1*Table1[[#This Row],[x5]]</f>
        <v>#DIV/0!</v>
      </c>
      <c r="W269" s="23" t="e">
        <f>IF(Table1[[#This Row],[Zscore]]&lt;1.81,1,0)</f>
        <v>#DIV/0!</v>
      </c>
    </row>
    <row r="270" spans="1:23" ht="26.25" hidden="1" x14ac:dyDescent="0.45">
      <c r="A270" s="7">
        <v>264</v>
      </c>
      <c r="B270" s="5" t="s">
        <v>541</v>
      </c>
      <c r="C270" s="6" t="s">
        <v>542</v>
      </c>
      <c r="D270" s="6" t="s">
        <v>13</v>
      </c>
      <c r="E270" s="6"/>
      <c r="F270" s="6"/>
      <c r="G270" s="6"/>
      <c r="H270" s="6"/>
      <c r="I270" s="6"/>
      <c r="J270" s="8"/>
      <c r="K270" s="6"/>
      <c r="L270" s="6"/>
      <c r="M270" s="8"/>
      <c r="N270" s="8"/>
      <c r="O270" s="8"/>
      <c r="P270" s="8"/>
      <c r="Q270" s="18" t="e">
        <f>(Table1[[#This Row],[A. TÀI SẢN NGẮN HẠN]]-Table1[[#This Row],[I. Nợ ngắn hạn]])/Table1[[#This Row],[TỔNG CỘNG TÀI SẢN]]</f>
        <v>#DIV/0!</v>
      </c>
      <c r="R270" s="18" t="e">
        <f>Table1[[#This Row],[- LNST chưa phân phối kỳ này]]/Table1[[#This Row],[TỔNG CỘNG TÀI SẢN]]</f>
        <v>#DIV/0!</v>
      </c>
      <c r="S270" s="21" t="e">
        <f>Table1[[#This Row],[5. Lợi nhuận gộp về bán hàng và cung cấp dịch vụ]]/Table1[[#This Row],[TỔNG CỘNG TÀI SẢN]]</f>
        <v>#DIV/0!</v>
      </c>
      <c r="T27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70" s="23" t="e">
        <f>Table1[[#This Row],[1. Doanh thu bán hàng và cung cấp dịch vụ ]]/Table1[[#This Row],[TỔNG CỘNG TÀI SẢN]]</f>
        <v>#DIV/0!</v>
      </c>
      <c r="V270" s="23" t="e">
        <f>1.2*Table1[[#This Row],[X1]] + 1.4*Table1[[#This Row],[X2]] + 3.3*Table1[[#This Row],[x3]] + 0.6*Table1[[#This Row],[x4]] + 1*Table1[[#This Row],[x5]]</f>
        <v>#DIV/0!</v>
      </c>
      <c r="W270" s="23" t="e">
        <f>IF(Table1[[#This Row],[Zscore]]&lt;1.81,1,0)</f>
        <v>#DIV/0!</v>
      </c>
    </row>
    <row r="271" spans="1:23" hidden="1" x14ac:dyDescent="0.45">
      <c r="A271" s="7">
        <v>265</v>
      </c>
      <c r="B271" s="5" t="s">
        <v>543</v>
      </c>
      <c r="C271" s="6" t="s">
        <v>544</v>
      </c>
      <c r="D271" s="6" t="s">
        <v>18</v>
      </c>
      <c r="E271" s="6"/>
      <c r="F271" s="6"/>
      <c r="G271" s="6"/>
      <c r="H271" s="6"/>
      <c r="I271" s="6"/>
      <c r="J271" s="8"/>
      <c r="K271" s="6"/>
      <c r="L271" s="6"/>
      <c r="M271" s="8"/>
      <c r="N271" s="8"/>
      <c r="O271" s="8"/>
      <c r="P271" s="8"/>
      <c r="Q271" s="18" t="e">
        <f>(Table1[[#This Row],[A. TÀI SẢN NGẮN HẠN]]-Table1[[#This Row],[I. Nợ ngắn hạn]])/Table1[[#This Row],[TỔNG CỘNG TÀI SẢN]]</f>
        <v>#DIV/0!</v>
      </c>
      <c r="R271" s="18" t="e">
        <f>Table1[[#This Row],[- LNST chưa phân phối kỳ này]]/Table1[[#This Row],[TỔNG CỘNG TÀI SẢN]]</f>
        <v>#DIV/0!</v>
      </c>
      <c r="S271" s="21" t="e">
        <f>Table1[[#This Row],[5. Lợi nhuận gộp về bán hàng và cung cấp dịch vụ]]/Table1[[#This Row],[TỔNG CỘNG TÀI SẢN]]</f>
        <v>#DIV/0!</v>
      </c>
      <c r="T27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71" s="23" t="e">
        <f>Table1[[#This Row],[1. Doanh thu bán hàng và cung cấp dịch vụ ]]/Table1[[#This Row],[TỔNG CỘNG TÀI SẢN]]</f>
        <v>#DIV/0!</v>
      </c>
      <c r="V271" s="23" t="e">
        <f>1.2*Table1[[#This Row],[X1]] + 1.4*Table1[[#This Row],[X2]] + 3.3*Table1[[#This Row],[x3]] + 0.6*Table1[[#This Row],[x4]] + 1*Table1[[#This Row],[x5]]</f>
        <v>#DIV/0!</v>
      </c>
      <c r="W271" s="23" t="e">
        <f>IF(Table1[[#This Row],[Zscore]]&lt;1.81,1,0)</f>
        <v>#DIV/0!</v>
      </c>
    </row>
    <row r="272" spans="1:23" hidden="1" x14ac:dyDescent="0.45">
      <c r="A272" s="7">
        <v>266</v>
      </c>
      <c r="B272" s="5" t="s">
        <v>545</v>
      </c>
      <c r="C272" s="6" t="s">
        <v>546</v>
      </c>
      <c r="D272" s="6" t="s">
        <v>18</v>
      </c>
      <c r="E272" s="8">
        <v>16789963141</v>
      </c>
      <c r="F272" s="8">
        <v>13786651899</v>
      </c>
      <c r="G272" s="8">
        <v>1129149028</v>
      </c>
      <c r="H272" s="8">
        <v>-1643632357</v>
      </c>
      <c r="I272" s="8">
        <v>1678902323</v>
      </c>
      <c r="J272" s="8"/>
      <c r="K272" s="8">
        <v>1129149028</v>
      </c>
      <c r="L272" s="8">
        <v>36843017620</v>
      </c>
      <c r="M272" s="8"/>
      <c r="N272" s="8"/>
      <c r="O272" s="8"/>
      <c r="P272" s="8"/>
      <c r="Q272" s="18">
        <f>(Table1[[#This Row],[A. TÀI SẢN NGẮN HẠN]]-Table1[[#This Row],[I. Nợ ngắn hạn]])/Table1[[#This Row],[TỔNG CỘNG TÀI SẢN]]</f>
        <v>0.75387317796375619</v>
      </c>
      <c r="R272" s="18">
        <f>Table1[[#This Row],[- LNST chưa phân phối kỳ này]]/Table1[[#This Row],[TỔNG CỘNG TÀI SẢN]]</f>
        <v>-9.7893744208786049E-2</v>
      </c>
      <c r="S272" s="21">
        <f>Table1[[#This Row],[5. Lợi nhuận gộp về bán hàng và cung cấp dịch vụ]]/Table1[[#This Row],[TỔNG CỘNG TÀI SẢN]]</f>
        <v>9.9994401947210321E-2</v>
      </c>
      <c r="T27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72" s="23">
        <f>Table1[[#This Row],[1. Doanh thu bán hàng và cung cấp dịch vụ ]]/Table1[[#This Row],[TỔNG CỘNG TÀI SẢN]]</f>
        <v>2.1943477368352133</v>
      </c>
      <c r="V272" s="23" t="e">
        <f>1.2*Table1[[#This Row],[X1]] + 1.4*Table1[[#This Row],[X2]] + 3.3*Table1[[#This Row],[x3]] + 0.6*Table1[[#This Row],[x4]] + 1*Table1[[#This Row],[x5]]</f>
        <v>#DIV/0!</v>
      </c>
      <c r="W272" s="23" t="e">
        <f>IF(Table1[[#This Row],[Zscore]]&lt;1.81,1,0)</f>
        <v>#DIV/0!</v>
      </c>
    </row>
    <row r="273" spans="1:23" ht="26.25" x14ac:dyDescent="0.45">
      <c r="A273" s="7">
        <v>267</v>
      </c>
      <c r="B273" s="5" t="s">
        <v>547</v>
      </c>
      <c r="C273" s="6" t="s">
        <v>548</v>
      </c>
      <c r="D273" s="6" t="s">
        <v>18</v>
      </c>
      <c r="E273" s="8">
        <v>671697315338</v>
      </c>
      <c r="F273" s="8">
        <v>589533024282</v>
      </c>
      <c r="G273" s="8">
        <v>186122556658</v>
      </c>
      <c r="H273" s="6"/>
      <c r="I273" s="8">
        <v>206468759107</v>
      </c>
      <c r="J273" s="8"/>
      <c r="K273" s="8">
        <v>187045781498</v>
      </c>
      <c r="L273" s="8">
        <v>272109210439</v>
      </c>
      <c r="M273" s="8">
        <v>1095000000000</v>
      </c>
      <c r="N273" s="8">
        <v>642500000000</v>
      </c>
      <c r="O273" s="8">
        <v>1350000000000</v>
      </c>
      <c r="P273" s="8">
        <v>1750000000000</v>
      </c>
      <c r="Q273" s="18">
        <f>(Table1[[#This Row],[A. TÀI SẢN NGẮN HẠN]]-Table1[[#This Row],[I. Nợ ngắn hạn]])/Table1[[#This Row],[TỔNG CỘNG TÀI SẢN]]</f>
        <v>0.60058371294963819</v>
      </c>
      <c r="R273" s="18">
        <f>Table1[[#This Row],[- LNST chưa phân phối kỳ này]]/Table1[[#This Row],[TỔNG CỘNG TÀI SẢN]]</f>
        <v>0</v>
      </c>
      <c r="S273" s="21">
        <f>Table1[[#This Row],[5. Lợi nhuận gộp về bán hàng và cung cấp dịch vụ]]/Table1[[#This Row],[TỔNG CỘNG TÀI SẢN]]</f>
        <v>0.30738363008508429</v>
      </c>
      <c r="T27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6.4656630602114449</v>
      </c>
      <c r="U273" s="23">
        <f>Table1[[#This Row],[1. Doanh thu bán hàng và cung cấp dịch vụ ]]/Table1[[#This Row],[TỔNG CỘNG TÀI SẢN]]</f>
        <v>0.40510689000159822</v>
      </c>
      <c r="V273" s="23">
        <f>1.2*Table1[[#This Row],[X1]] + 1.4*Table1[[#This Row],[X2]] + 3.3*Table1[[#This Row],[x3]] + 0.6*Table1[[#This Row],[x4]] + 1*Table1[[#This Row],[x5]]</f>
        <v>6.0195711609488098</v>
      </c>
      <c r="W273" s="23">
        <f>IF(Table1[[#This Row],[Zscore]]&lt;1.81,1,0)</f>
        <v>0</v>
      </c>
    </row>
    <row r="274" spans="1:23" hidden="1" x14ac:dyDescent="0.45">
      <c r="A274" s="7">
        <v>268</v>
      </c>
      <c r="B274" s="5" t="s">
        <v>549</v>
      </c>
      <c r="C274" s="6" t="s">
        <v>550</v>
      </c>
      <c r="D274" s="6" t="s">
        <v>13</v>
      </c>
      <c r="E274" s="6"/>
      <c r="F274" s="6"/>
      <c r="G274" s="6"/>
      <c r="H274" s="6"/>
      <c r="I274" s="6"/>
      <c r="J274" s="8"/>
      <c r="K274" s="6"/>
      <c r="L274" s="6"/>
      <c r="M274" s="8"/>
      <c r="N274" s="8"/>
      <c r="O274" s="8"/>
      <c r="P274" s="8"/>
      <c r="Q274" s="18" t="e">
        <f>(Table1[[#This Row],[A. TÀI SẢN NGẮN HẠN]]-Table1[[#This Row],[I. Nợ ngắn hạn]])/Table1[[#This Row],[TỔNG CỘNG TÀI SẢN]]</f>
        <v>#DIV/0!</v>
      </c>
      <c r="R274" s="18" t="e">
        <f>Table1[[#This Row],[- LNST chưa phân phối kỳ này]]/Table1[[#This Row],[TỔNG CỘNG TÀI SẢN]]</f>
        <v>#DIV/0!</v>
      </c>
      <c r="S274" s="21" t="e">
        <f>Table1[[#This Row],[5. Lợi nhuận gộp về bán hàng và cung cấp dịch vụ]]/Table1[[#This Row],[TỔNG CỘNG TÀI SẢN]]</f>
        <v>#DIV/0!</v>
      </c>
      <c r="T27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74" s="23" t="e">
        <f>Table1[[#This Row],[1. Doanh thu bán hàng và cung cấp dịch vụ ]]/Table1[[#This Row],[TỔNG CỘNG TÀI SẢN]]</f>
        <v>#DIV/0!</v>
      </c>
      <c r="V274" s="23" t="e">
        <f>1.2*Table1[[#This Row],[X1]] + 1.4*Table1[[#This Row],[X2]] + 3.3*Table1[[#This Row],[x3]] + 0.6*Table1[[#This Row],[x4]] + 1*Table1[[#This Row],[x5]]</f>
        <v>#DIV/0!</v>
      </c>
      <c r="W274" s="23" t="e">
        <f>IF(Table1[[#This Row],[Zscore]]&lt;1.81,1,0)</f>
        <v>#DIV/0!</v>
      </c>
    </row>
    <row r="275" spans="1:23" hidden="1" x14ac:dyDescent="0.45">
      <c r="A275" s="7">
        <v>269</v>
      </c>
      <c r="B275" s="5" t="s">
        <v>551</v>
      </c>
      <c r="C275" s="6" t="s">
        <v>552</v>
      </c>
      <c r="D275" s="6" t="s">
        <v>13</v>
      </c>
      <c r="E275" s="6"/>
      <c r="F275" s="6"/>
      <c r="G275" s="6"/>
      <c r="H275" s="6"/>
      <c r="I275" s="6"/>
      <c r="J275" s="8"/>
      <c r="K275" s="6"/>
      <c r="L275" s="6"/>
      <c r="M275" s="8"/>
      <c r="N275" s="8"/>
      <c r="O275" s="8"/>
      <c r="P275" s="8"/>
      <c r="Q275" s="18" t="e">
        <f>(Table1[[#This Row],[A. TÀI SẢN NGẮN HẠN]]-Table1[[#This Row],[I. Nợ ngắn hạn]])/Table1[[#This Row],[TỔNG CỘNG TÀI SẢN]]</f>
        <v>#DIV/0!</v>
      </c>
      <c r="R275" s="18" t="e">
        <f>Table1[[#This Row],[- LNST chưa phân phối kỳ này]]/Table1[[#This Row],[TỔNG CỘNG TÀI SẢN]]</f>
        <v>#DIV/0!</v>
      </c>
      <c r="S275" s="21" t="e">
        <f>Table1[[#This Row],[5. Lợi nhuận gộp về bán hàng và cung cấp dịch vụ]]/Table1[[#This Row],[TỔNG CỘNG TÀI SẢN]]</f>
        <v>#DIV/0!</v>
      </c>
      <c r="T27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75" s="23" t="e">
        <f>Table1[[#This Row],[1. Doanh thu bán hàng và cung cấp dịch vụ ]]/Table1[[#This Row],[TỔNG CỘNG TÀI SẢN]]</f>
        <v>#DIV/0!</v>
      </c>
      <c r="V275" s="23" t="e">
        <f>1.2*Table1[[#This Row],[X1]] + 1.4*Table1[[#This Row],[X2]] + 3.3*Table1[[#This Row],[x3]] + 0.6*Table1[[#This Row],[x4]] + 1*Table1[[#This Row],[x5]]</f>
        <v>#DIV/0!</v>
      </c>
      <c r="W275" s="23" t="e">
        <f>IF(Table1[[#This Row],[Zscore]]&lt;1.81,1,0)</f>
        <v>#DIV/0!</v>
      </c>
    </row>
    <row r="276" spans="1:23" hidden="1" x14ac:dyDescent="0.45">
      <c r="A276" s="7">
        <v>270</v>
      </c>
      <c r="B276" s="5" t="s">
        <v>553</v>
      </c>
      <c r="C276" s="6" t="s">
        <v>554</v>
      </c>
      <c r="D276" s="6" t="s">
        <v>18</v>
      </c>
      <c r="E276" s="6"/>
      <c r="F276" s="6"/>
      <c r="G276" s="6"/>
      <c r="H276" s="6"/>
      <c r="I276" s="6"/>
      <c r="J276" s="8"/>
      <c r="K276" s="6"/>
      <c r="L276" s="6"/>
      <c r="M276" s="8"/>
      <c r="N276" s="8"/>
      <c r="O276" s="8"/>
      <c r="P276" s="8"/>
      <c r="Q276" s="18" t="e">
        <f>(Table1[[#This Row],[A. TÀI SẢN NGẮN HẠN]]-Table1[[#This Row],[I. Nợ ngắn hạn]])/Table1[[#This Row],[TỔNG CỘNG TÀI SẢN]]</f>
        <v>#DIV/0!</v>
      </c>
      <c r="R276" s="18" t="e">
        <f>Table1[[#This Row],[- LNST chưa phân phối kỳ này]]/Table1[[#This Row],[TỔNG CỘNG TÀI SẢN]]</f>
        <v>#DIV/0!</v>
      </c>
      <c r="S276" s="21" t="e">
        <f>Table1[[#This Row],[5. Lợi nhuận gộp về bán hàng và cung cấp dịch vụ]]/Table1[[#This Row],[TỔNG CỘNG TÀI SẢN]]</f>
        <v>#DIV/0!</v>
      </c>
      <c r="T27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76" s="23" t="e">
        <f>Table1[[#This Row],[1. Doanh thu bán hàng và cung cấp dịch vụ ]]/Table1[[#This Row],[TỔNG CỘNG TÀI SẢN]]</f>
        <v>#DIV/0!</v>
      </c>
      <c r="V276" s="23" t="e">
        <f>1.2*Table1[[#This Row],[X1]] + 1.4*Table1[[#This Row],[X2]] + 3.3*Table1[[#This Row],[x3]] + 0.6*Table1[[#This Row],[x4]] + 1*Table1[[#This Row],[x5]]</f>
        <v>#DIV/0!</v>
      </c>
      <c r="W276" s="23" t="e">
        <f>IF(Table1[[#This Row],[Zscore]]&lt;1.81,1,0)</f>
        <v>#DIV/0!</v>
      </c>
    </row>
    <row r="277" spans="1:23" x14ac:dyDescent="0.45">
      <c r="A277" s="7">
        <v>271</v>
      </c>
      <c r="B277" s="5" t="s">
        <v>555</v>
      </c>
      <c r="C277" s="6" t="s">
        <v>556</v>
      </c>
      <c r="D277" s="6" t="s">
        <v>21</v>
      </c>
      <c r="E277" s="8">
        <v>1222641291125</v>
      </c>
      <c r="F277" s="8">
        <v>474963970371</v>
      </c>
      <c r="G277" s="8">
        <v>100057175056</v>
      </c>
      <c r="H277" s="8">
        <v>22108602756</v>
      </c>
      <c r="I277" s="8">
        <v>42809908126</v>
      </c>
      <c r="J277" s="8"/>
      <c r="K277" s="8">
        <v>147461507187</v>
      </c>
      <c r="L277" s="8">
        <v>263280277760</v>
      </c>
      <c r="M277" s="8">
        <v>737924320000</v>
      </c>
      <c r="N277" s="8">
        <v>543765544000</v>
      </c>
      <c r="O277" s="8">
        <v>722802920000</v>
      </c>
      <c r="P277" s="8">
        <v>659293040000</v>
      </c>
      <c r="Q277" s="18">
        <f>(Table1[[#This Row],[A. TÀI SẢN NGẮN HẠN]]-Table1[[#This Row],[I. Nợ ngắn hạn]])/Table1[[#This Row],[TỔNG CỘNG TÀI SẢN]]</f>
        <v>0.30663678548761725</v>
      </c>
      <c r="R277" s="18">
        <f>Table1[[#This Row],[- LNST chưa phân phối kỳ này]]/Table1[[#This Row],[TỔNG CỘNG TÀI SẢN]]</f>
        <v>1.8082656717455542E-2</v>
      </c>
      <c r="S277" s="21">
        <f>Table1[[#This Row],[5. Lợi nhuận gộp về bán hàng và cung cấp dịch vụ]]/Table1[[#This Row],[TỔNG CỘNG TÀI SẢN]]</f>
        <v>3.5014282959975065E-2</v>
      </c>
      <c r="T27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4.5160697778267993</v>
      </c>
      <c r="U277" s="23">
        <f>Table1[[#This Row],[1. Doanh thu bán hàng và cung cấp dịch vụ ]]/Table1[[#This Row],[TỔNG CỘNG TÀI SẢN]]</f>
        <v>0.21533730266687259</v>
      </c>
      <c r="V277" s="23">
        <f>1.2*Table1[[#This Row],[X1]] + 1.4*Table1[[#This Row],[X2]] + 3.3*Table1[[#This Row],[x3]] + 0.6*Table1[[#This Row],[x4]] + 1*Table1[[#This Row],[x5]]</f>
        <v>3.4338061651204486</v>
      </c>
      <c r="W277" s="23">
        <f>IF(Table1[[#This Row],[Zscore]]&lt;1.81,1,0)</f>
        <v>0</v>
      </c>
    </row>
    <row r="278" spans="1:23" hidden="1" x14ac:dyDescent="0.45">
      <c r="A278" s="7">
        <v>272</v>
      </c>
      <c r="B278" s="5" t="s">
        <v>557</v>
      </c>
      <c r="C278" s="6" t="s">
        <v>558</v>
      </c>
      <c r="D278" s="6" t="s">
        <v>13</v>
      </c>
      <c r="E278" s="6"/>
      <c r="F278" s="6"/>
      <c r="G278" s="6"/>
      <c r="H278" s="6"/>
      <c r="I278" s="6"/>
      <c r="J278" s="8"/>
      <c r="K278" s="6"/>
      <c r="L278" s="6"/>
      <c r="M278" s="8"/>
      <c r="N278" s="8"/>
      <c r="O278" s="8"/>
      <c r="P278" s="8"/>
      <c r="Q278" s="18" t="e">
        <f>(Table1[[#This Row],[A. TÀI SẢN NGẮN HẠN]]-Table1[[#This Row],[I. Nợ ngắn hạn]])/Table1[[#This Row],[TỔNG CỘNG TÀI SẢN]]</f>
        <v>#DIV/0!</v>
      </c>
      <c r="R278" s="18" t="e">
        <f>Table1[[#This Row],[- LNST chưa phân phối kỳ này]]/Table1[[#This Row],[TỔNG CỘNG TÀI SẢN]]</f>
        <v>#DIV/0!</v>
      </c>
      <c r="S278" s="21" t="e">
        <f>Table1[[#This Row],[5. Lợi nhuận gộp về bán hàng và cung cấp dịch vụ]]/Table1[[#This Row],[TỔNG CỘNG TÀI SẢN]]</f>
        <v>#DIV/0!</v>
      </c>
      <c r="T27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78" s="23" t="e">
        <f>Table1[[#This Row],[1. Doanh thu bán hàng và cung cấp dịch vụ ]]/Table1[[#This Row],[TỔNG CỘNG TÀI SẢN]]</f>
        <v>#DIV/0!</v>
      </c>
      <c r="V278" s="23" t="e">
        <f>1.2*Table1[[#This Row],[X1]] + 1.4*Table1[[#This Row],[X2]] + 3.3*Table1[[#This Row],[x3]] + 0.6*Table1[[#This Row],[x4]] + 1*Table1[[#This Row],[x5]]</f>
        <v>#DIV/0!</v>
      </c>
      <c r="W278" s="23" t="e">
        <f>IF(Table1[[#This Row],[Zscore]]&lt;1.81,1,0)</f>
        <v>#DIV/0!</v>
      </c>
    </row>
    <row r="279" spans="1:23" x14ac:dyDescent="0.45">
      <c r="A279" s="7">
        <v>273</v>
      </c>
      <c r="B279" s="5" t="s">
        <v>559</v>
      </c>
      <c r="C279" s="6" t="s">
        <v>560</v>
      </c>
      <c r="D279" s="6" t="s">
        <v>36</v>
      </c>
      <c r="E279" s="8">
        <v>3049351757702</v>
      </c>
      <c r="F279" s="8">
        <v>820530328188</v>
      </c>
      <c r="G279" s="8">
        <v>1817395016125</v>
      </c>
      <c r="H279" s="8">
        <v>31599166003</v>
      </c>
      <c r="I279" s="8">
        <v>195616119552</v>
      </c>
      <c r="J279" s="8"/>
      <c r="K279" s="8">
        <v>1951345234496</v>
      </c>
      <c r="L279" s="8">
        <v>2818277552061</v>
      </c>
      <c r="M279" s="8">
        <v>667223233200</v>
      </c>
      <c r="N279" s="8">
        <v>667223233200</v>
      </c>
      <c r="O279" s="8">
        <v>630155275800</v>
      </c>
      <c r="P279" s="8">
        <v>667223233200</v>
      </c>
      <c r="Q279" s="18">
        <f>(Table1[[#This Row],[A. TÀI SẢN NGẮN HẠN]]-Table1[[#This Row],[I. Nợ ngắn hạn]])/Table1[[#This Row],[TỔNG CỘNG TÀI SẢN]]</f>
        <v>-0.32691036231524828</v>
      </c>
      <c r="R279" s="18">
        <f>Table1[[#This Row],[- LNST chưa phân phối kỳ này]]/Table1[[#This Row],[TỔNG CỘNG TÀI SẢN]]</f>
        <v>1.0362584743851664E-2</v>
      </c>
      <c r="S279" s="21">
        <f>Table1[[#This Row],[5. Lợi nhuận gộp về bán hàng và cung cấp dịch vụ]]/Table1[[#This Row],[TỔNG CỘNG TÀI SẢN]]</f>
        <v>6.4150066996343139E-2</v>
      </c>
      <c r="T27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0.33718084950761629</v>
      </c>
      <c r="U279" s="23">
        <f>Table1[[#This Row],[1. Doanh thu bán hàng và cung cấp dịch vụ ]]/Table1[[#This Row],[TỔNG CỘNG TÀI SẢN]]</f>
        <v>0.92422185959446734</v>
      </c>
      <c r="V279" s="23">
        <f>1.2*Table1[[#This Row],[X1]] + 1.4*Table1[[#This Row],[X2]] + 3.3*Table1[[#This Row],[x3]] + 0.6*Table1[[#This Row],[x4]] + 1*Table1[[#This Row],[x5]]</f>
        <v>0.9604407742500638</v>
      </c>
      <c r="W279" s="23">
        <f>IF(Table1[[#This Row],[Zscore]]&lt;1.81,1,0)</f>
        <v>1</v>
      </c>
    </row>
    <row r="280" spans="1:23" ht="26.25" x14ac:dyDescent="0.45">
      <c r="A280" s="7">
        <v>274</v>
      </c>
      <c r="B280" s="5" t="s">
        <v>561</v>
      </c>
      <c r="C280" s="6" t="s">
        <v>562</v>
      </c>
      <c r="D280" s="6" t="s">
        <v>21</v>
      </c>
      <c r="E280" s="8">
        <v>526967135172</v>
      </c>
      <c r="F280" s="8">
        <v>204941667149</v>
      </c>
      <c r="G280" s="8">
        <v>40180643266</v>
      </c>
      <c r="H280" s="8">
        <v>66651188032</v>
      </c>
      <c r="I280" s="8">
        <v>139831218098</v>
      </c>
      <c r="J280" s="8"/>
      <c r="K280" s="8">
        <v>111079125101</v>
      </c>
      <c r="L280" s="8">
        <v>268743904331</v>
      </c>
      <c r="M280" s="8">
        <v>506250000000</v>
      </c>
      <c r="N280" s="8">
        <v>490725000000</v>
      </c>
      <c r="O280" s="8">
        <v>519750000000</v>
      </c>
      <c r="P280" s="8">
        <v>513000000000</v>
      </c>
      <c r="Q280" s="18">
        <f>(Table1[[#This Row],[A. TÀI SẢN NGẮN HẠN]]-Table1[[#This Row],[I. Nợ ngắn hạn]])/Table1[[#This Row],[TỔNG CỘNG TÀI SẢN]]</f>
        <v>0.31265901208283636</v>
      </c>
      <c r="R280" s="18">
        <f>Table1[[#This Row],[- LNST chưa phân phối kỳ này]]/Table1[[#This Row],[TỔNG CỘNG TÀI SẢN]]</f>
        <v>0.12648073016971981</v>
      </c>
      <c r="S280" s="21">
        <f>Table1[[#This Row],[5. Lợi nhuận gộp về bán hàng và cung cấp dịch vụ]]/Table1[[#This Row],[TỔNG CỘNG TÀI SẢN]]</f>
        <v>0.26535092753433215</v>
      </c>
      <c r="T28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4.5681963153617939</v>
      </c>
      <c r="U280" s="23">
        <f>Table1[[#This Row],[1. Doanh thu bán hàng và cung cấp dịch vụ ]]/Table1[[#This Row],[TỔNG CỘNG TÀI SẢN]]</f>
        <v>0.50998228616910435</v>
      </c>
      <c r="V280" s="23">
        <f>1.2*Table1[[#This Row],[X1]] + 1.4*Table1[[#This Row],[X2]] + 3.3*Table1[[#This Row],[x3]] + 0.6*Table1[[#This Row],[x4]] + 1*Table1[[#This Row],[x5]]</f>
        <v>4.6788219729864879</v>
      </c>
      <c r="W280" s="23">
        <f>IF(Table1[[#This Row],[Zscore]]&lt;1.81,1,0)</f>
        <v>0</v>
      </c>
    </row>
    <row r="281" spans="1:23" hidden="1" x14ac:dyDescent="0.45">
      <c r="A281" s="7">
        <v>275</v>
      </c>
      <c r="B281" s="5" t="s">
        <v>563</v>
      </c>
      <c r="C281" s="6" t="s">
        <v>564</v>
      </c>
      <c r="D281" s="6" t="s">
        <v>18</v>
      </c>
      <c r="E281" s="6"/>
      <c r="F281" s="6"/>
      <c r="G281" s="6"/>
      <c r="H281" s="6"/>
      <c r="I281" s="6"/>
      <c r="J281" s="8"/>
      <c r="K281" s="6"/>
      <c r="L281" s="6"/>
      <c r="M281" s="8"/>
      <c r="N281" s="8"/>
      <c r="O281" s="8"/>
      <c r="P281" s="8"/>
      <c r="Q281" s="18" t="e">
        <f>(Table1[[#This Row],[A. TÀI SẢN NGẮN HẠN]]-Table1[[#This Row],[I. Nợ ngắn hạn]])/Table1[[#This Row],[TỔNG CỘNG TÀI SẢN]]</f>
        <v>#DIV/0!</v>
      </c>
      <c r="R281" s="18" t="e">
        <f>Table1[[#This Row],[- LNST chưa phân phối kỳ này]]/Table1[[#This Row],[TỔNG CỘNG TÀI SẢN]]</f>
        <v>#DIV/0!</v>
      </c>
      <c r="S281" s="21" t="e">
        <f>Table1[[#This Row],[5. Lợi nhuận gộp về bán hàng và cung cấp dịch vụ]]/Table1[[#This Row],[TỔNG CỘNG TÀI SẢN]]</f>
        <v>#DIV/0!</v>
      </c>
      <c r="T28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81" s="23" t="e">
        <f>Table1[[#This Row],[1. Doanh thu bán hàng và cung cấp dịch vụ ]]/Table1[[#This Row],[TỔNG CỘNG TÀI SẢN]]</f>
        <v>#DIV/0!</v>
      </c>
      <c r="V281" s="23" t="e">
        <f>1.2*Table1[[#This Row],[X1]] + 1.4*Table1[[#This Row],[X2]] + 3.3*Table1[[#This Row],[x3]] + 0.6*Table1[[#This Row],[x4]] + 1*Table1[[#This Row],[x5]]</f>
        <v>#DIV/0!</v>
      </c>
      <c r="W281" s="23" t="e">
        <f>IF(Table1[[#This Row],[Zscore]]&lt;1.81,1,0)</f>
        <v>#DIV/0!</v>
      </c>
    </row>
    <row r="282" spans="1:23" x14ac:dyDescent="0.45">
      <c r="A282" s="7">
        <v>276</v>
      </c>
      <c r="B282" s="5" t="s">
        <v>565</v>
      </c>
      <c r="C282" s="6" t="s">
        <v>566</v>
      </c>
      <c r="D282" s="6" t="s">
        <v>18</v>
      </c>
      <c r="E282" s="8">
        <v>525670502321</v>
      </c>
      <c r="F282" s="8">
        <v>353645083980</v>
      </c>
      <c r="G282" s="8">
        <v>227860535420</v>
      </c>
      <c r="H282" s="8">
        <v>26229091269</v>
      </c>
      <c r="I282" s="8">
        <v>162452996879</v>
      </c>
      <c r="J282" s="8"/>
      <c r="K282" s="8">
        <v>260872304110</v>
      </c>
      <c r="L282" s="8">
        <v>1232632097105</v>
      </c>
      <c r="M282" s="8">
        <v>336914100000</v>
      </c>
      <c r="N282" s="8">
        <v>431749180000</v>
      </c>
      <c r="O282" s="8">
        <v>254557320000</v>
      </c>
      <c r="P282" s="8">
        <v>324435800000</v>
      </c>
      <c r="Q282" s="18">
        <f>(Table1[[#This Row],[A. TÀI SẢN NGẮN HẠN]]-Table1[[#This Row],[I. Nợ ngắn hạn]])/Table1[[#This Row],[TỔNG CỘNG TÀI SẢN]]</f>
        <v>0.23928401537583296</v>
      </c>
      <c r="R282" s="18">
        <f>Table1[[#This Row],[- LNST chưa phân phối kỳ này]]/Table1[[#This Row],[TỔNG CỘNG TÀI SẢN]]</f>
        <v>4.9896448732029558E-2</v>
      </c>
      <c r="S282" s="21">
        <f>Table1[[#This Row],[5. Lợi nhuận gộp về bán hàng và cung cấp dịch vụ]]/Table1[[#This Row],[TỔNG CỘNG TÀI SẢN]]</f>
        <v>0.30903959069744091</v>
      </c>
      <c r="T28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1.2914904905272584</v>
      </c>
      <c r="U282" s="23">
        <f>Table1[[#This Row],[1. Doanh thu bán hàng và cung cấp dịch vụ ]]/Table1[[#This Row],[TỔNG CỘNG TÀI SẢN]]</f>
        <v>2.344875909267389</v>
      </c>
      <c r="V282" s="23">
        <f>1.2*Table1[[#This Row],[X1]] + 1.4*Table1[[#This Row],[X2]] + 3.3*Table1[[#This Row],[x3]] + 0.6*Table1[[#This Row],[x4]] + 1*Table1[[#This Row],[x5]]</f>
        <v>4.4965966995611399</v>
      </c>
      <c r="W282" s="23">
        <f>IF(Table1[[#This Row],[Zscore]]&lt;1.81,1,0)</f>
        <v>0</v>
      </c>
    </row>
    <row r="283" spans="1:23" x14ac:dyDescent="0.45">
      <c r="A283" s="7">
        <v>277</v>
      </c>
      <c r="B283" s="5" t="s">
        <v>567</v>
      </c>
      <c r="C283" s="6" t="s">
        <v>568</v>
      </c>
      <c r="D283" s="6" t="s">
        <v>36</v>
      </c>
      <c r="E283" s="8">
        <v>382090174895</v>
      </c>
      <c r="F283" s="8">
        <v>164072633526</v>
      </c>
      <c r="G283" s="8">
        <v>112062136817</v>
      </c>
      <c r="H283" s="8">
        <v>48292340707</v>
      </c>
      <c r="I283" s="8">
        <v>219038971049</v>
      </c>
      <c r="J283" s="8"/>
      <c r="K283" s="8">
        <v>113875568070</v>
      </c>
      <c r="L283" s="8">
        <v>550869711512</v>
      </c>
      <c r="M283" s="8">
        <v>421200000000</v>
      </c>
      <c r="N283" s="8">
        <v>555984000000</v>
      </c>
      <c r="O283" s="8">
        <v>380952000000</v>
      </c>
      <c r="P283" s="8">
        <v>617760000000</v>
      </c>
      <c r="Q283" s="18">
        <f>(Table1[[#This Row],[A. TÀI SẢN NGẮN HẠN]]-Table1[[#This Row],[I. Nợ ngắn hạn]])/Table1[[#This Row],[TỔNG CỘNG TÀI SẢN]]</f>
        <v>0.13612100003171426</v>
      </c>
      <c r="R283" s="18">
        <f>Table1[[#This Row],[- LNST chưa phân phối kỳ này]]/Table1[[#This Row],[TỔNG CỘNG TÀI SẢN]]</f>
        <v>0.12638990447810111</v>
      </c>
      <c r="S283" s="21">
        <f>Table1[[#This Row],[5. Lợi nhuận gộp về bán hàng và cung cấp dịch vụ]]/Table1[[#This Row],[TỔNG CỘNG TÀI SẢN]]</f>
        <v>0.57326512284486986</v>
      </c>
      <c r="T28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4.3378400509611614</v>
      </c>
      <c r="U283" s="23">
        <f>Table1[[#This Row],[1. Doanh thu bán hàng và cung cấp dịch vụ ]]/Table1[[#This Row],[TỔNG CỘNG TÀI SẢN]]</f>
        <v>1.4417269736479912</v>
      </c>
      <c r="V283" s="23">
        <f>1.2*Table1[[#This Row],[X1]] + 1.4*Table1[[#This Row],[X2]] + 3.3*Table1[[#This Row],[x3]] + 0.6*Table1[[#This Row],[x4]] + 1*Table1[[#This Row],[x5]]</f>
        <v>6.276496975920157</v>
      </c>
      <c r="W283" s="23">
        <f>IF(Table1[[#This Row],[Zscore]]&lt;1.81,1,0)</f>
        <v>0</v>
      </c>
    </row>
    <row r="284" spans="1:23" hidden="1" x14ac:dyDescent="0.45">
      <c r="A284" s="7">
        <v>278</v>
      </c>
      <c r="B284" s="5" t="s">
        <v>569</v>
      </c>
      <c r="C284" s="6" t="s">
        <v>570</v>
      </c>
      <c r="D284" s="6" t="s">
        <v>13</v>
      </c>
      <c r="E284" s="6"/>
      <c r="F284" s="6"/>
      <c r="G284" s="6"/>
      <c r="H284" s="6"/>
      <c r="I284" s="6"/>
      <c r="J284" s="8"/>
      <c r="K284" s="6"/>
      <c r="L284" s="6"/>
      <c r="M284" s="8"/>
      <c r="N284" s="8"/>
      <c r="O284" s="8"/>
      <c r="P284" s="8"/>
      <c r="Q284" s="18" t="e">
        <f>(Table1[[#This Row],[A. TÀI SẢN NGẮN HẠN]]-Table1[[#This Row],[I. Nợ ngắn hạn]])/Table1[[#This Row],[TỔNG CỘNG TÀI SẢN]]</f>
        <v>#DIV/0!</v>
      </c>
      <c r="R284" s="18" t="e">
        <f>Table1[[#This Row],[- LNST chưa phân phối kỳ này]]/Table1[[#This Row],[TỔNG CỘNG TÀI SẢN]]</f>
        <v>#DIV/0!</v>
      </c>
      <c r="S284" s="21" t="e">
        <f>Table1[[#This Row],[5. Lợi nhuận gộp về bán hàng và cung cấp dịch vụ]]/Table1[[#This Row],[TỔNG CỘNG TÀI SẢN]]</f>
        <v>#DIV/0!</v>
      </c>
      <c r="T28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84" s="23" t="e">
        <f>Table1[[#This Row],[1. Doanh thu bán hàng và cung cấp dịch vụ ]]/Table1[[#This Row],[TỔNG CỘNG TÀI SẢN]]</f>
        <v>#DIV/0!</v>
      </c>
      <c r="V284" s="23" t="e">
        <f>1.2*Table1[[#This Row],[X1]] + 1.4*Table1[[#This Row],[X2]] + 3.3*Table1[[#This Row],[x3]] + 0.6*Table1[[#This Row],[x4]] + 1*Table1[[#This Row],[x5]]</f>
        <v>#DIV/0!</v>
      </c>
      <c r="W284" s="23" t="e">
        <f>IF(Table1[[#This Row],[Zscore]]&lt;1.81,1,0)</f>
        <v>#DIV/0!</v>
      </c>
    </row>
    <row r="285" spans="1:23" ht="26.25" hidden="1" x14ac:dyDescent="0.45">
      <c r="A285" s="7">
        <v>279</v>
      </c>
      <c r="B285" s="5" t="s">
        <v>571</v>
      </c>
      <c r="C285" s="6" t="s">
        <v>572</v>
      </c>
      <c r="D285" s="6" t="s">
        <v>13</v>
      </c>
      <c r="E285" s="6"/>
      <c r="F285" s="6"/>
      <c r="G285" s="6"/>
      <c r="H285" s="6"/>
      <c r="I285" s="6"/>
      <c r="J285" s="8"/>
      <c r="K285" s="6"/>
      <c r="L285" s="6"/>
      <c r="M285" s="8"/>
      <c r="N285" s="8"/>
      <c r="O285" s="8"/>
      <c r="P285" s="8"/>
      <c r="Q285" s="18" t="e">
        <f>(Table1[[#This Row],[A. TÀI SẢN NGẮN HẠN]]-Table1[[#This Row],[I. Nợ ngắn hạn]])/Table1[[#This Row],[TỔNG CỘNG TÀI SẢN]]</f>
        <v>#DIV/0!</v>
      </c>
      <c r="R285" s="18" t="e">
        <f>Table1[[#This Row],[- LNST chưa phân phối kỳ này]]/Table1[[#This Row],[TỔNG CỘNG TÀI SẢN]]</f>
        <v>#DIV/0!</v>
      </c>
      <c r="S285" s="21" t="e">
        <f>Table1[[#This Row],[5. Lợi nhuận gộp về bán hàng và cung cấp dịch vụ]]/Table1[[#This Row],[TỔNG CỘNG TÀI SẢN]]</f>
        <v>#DIV/0!</v>
      </c>
      <c r="T28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85" s="23" t="e">
        <f>Table1[[#This Row],[1. Doanh thu bán hàng và cung cấp dịch vụ ]]/Table1[[#This Row],[TỔNG CỘNG TÀI SẢN]]</f>
        <v>#DIV/0!</v>
      </c>
      <c r="V285" s="23" t="e">
        <f>1.2*Table1[[#This Row],[X1]] + 1.4*Table1[[#This Row],[X2]] + 3.3*Table1[[#This Row],[x3]] + 0.6*Table1[[#This Row],[x4]] + 1*Table1[[#This Row],[x5]]</f>
        <v>#DIV/0!</v>
      </c>
      <c r="W285" s="23" t="e">
        <f>IF(Table1[[#This Row],[Zscore]]&lt;1.81,1,0)</f>
        <v>#DIV/0!</v>
      </c>
    </row>
    <row r="286" spans="1:23" ht="26.25" hidden="1" x14ac:dyDescent="0.45">
      <c r="A286" s="7">
        <v>280</v>
      </c>
      <c r="B286" s="5" t="s">
        <v>573</v>
      </c>
      <c r="C286" s="6" t="s">
        <v>574</v>
      </c>
      <c r="D286" s="6" t="s">
        <v>13</v>
      </c>
      <c r="E286" s="6"/>
      <c r="F286" s="6"/>
      <c r="G286" s="6"/>
      <c r="H286" s="6"/>
      <c r="I286" s="6"/>
      <c r="J286" s="8"/>
      <c r="K286" s="6"/>
      <c r="L286" s="6"/>
      <c r="M286" s="8"/>
      <c r="N286" s="8"/>
      <c r="O286" s="8"/>
      <c r="P286" s="8"/>
      <c r="Q286" s="18" t="e">
        <f>(Table1[[#This Row],[A. TÀI SẢN NGẮN HẠN]]-Table1[[#This Row],[I. Nợ ngắn hạn]])/Table1[[#This Row],[TỔNG CỘNG TÀI SẢN]]</f>
        <v>#DIV/0!</v>
      </c>
      <c r="R286" s="18" t="e">
        <f>Table1[[#This Row],[- LNST chưa phân phối kỳ này]]/Table1[[#This Row],[TỔNG CỘNG TÀI SẢN]]</f>
        <v>#DIV/0!</v>
      </c>
      <c r="S286" s="21" t="e">
        <f>Table1[[#This Row],[5. Lợi nhuận gộp về bán hàng và cung cấp dịch vụ]]/Table1[[#This Row],[TỔNG CỘNG TÀI SẢN]]</f>
        <v>#DIV/0!</v>
      </c>
      <c r="T28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86" s="23" t="e">
        <f>Table1[[#This Row],[1. Doanh thu bán hàng và cung cấp dịch vụ ]]/Table1[[#This Row],[TỔNG CỘNG TÀI SẢN]]</f>
        <v>#DIV/0!</v>
      </c>
      <c r="V286" s="23" t="e">
        <f>1.2*Table1[[#This Row],[X1]] + 1.4*Table1[[#This Row],[X2]] + 3.3*Table1[[#This Row],[x3]] + 0.6*Table1[[#This Row],[x4]] + 1*Table1[[#This Row],[x5]]</f>
        <v>#DIV/0!</v>
      </c>
      <c r="W286" s="23" t="e">
        <f>IF(Table1[[#This Row],[Zscore]]&lt;1.81,1,0)</f>
        <v>#DIV/0!</v>
      </c>
    </row>
    <row r="287" spans="1:23" ht="26.25" hidden="1" x14ac:dyDescent="0.45">
      <c r="A287" s="7">
        <v>281</v>
      </c>
      <c r="B287" s="5" t="s">
        <v>575</v>
      </c>
      <c r="C287" s="6" t="s">
        <v>576</v>
      </c>
      <c r="D287" s="6" t="s">
        <v>13</v>
      </c>
      <c r="E287" s="6"/>
      <c r="F287" s="6"/>
      <c r="G287" s="6"/>
      <c r="H287" s="6"/>
      <c r="I287" s="6"/>
      <c r="J287" s="8"/>
      <c r="K287" s="6"/>
      <c r="L287" s="6"/>
      <c r="M287" s="8"/>
      <c r="N287" s="8"/>
      <c r="O287" s="8"/>
      <c r="P287" s="8"/>
      <c r="Q287" s="18" t="e">
        <f>(Table1[[#This Row],[A. TÀI SẢN NGẮN HẠN]]-Table1[[#This Row],[I. Nợ ngắn hạn]])/Table1[[#This Row],[TỔNG CỘNG TÀI SẢN]]</f>
        <v>#DIV/0!</v>
      </c>
      <c r="R287" s="18" t="e">
        <f>Table1[[#This Row],[- LNST chưa phân phối kỳ này]]/Table1[[#This Row],[TỔNG CỘNG TÀI SẢN]]</f>
        <v>#DIV/0!</v>
      </c>
      <c r="S287" s="21" t="e">
        <f>Table1[[#This Row],[5. Lợi nhuận gộp về bán hàng và cung cấp dịch vụ]]/Table1[[#This Row],[TỔNG CỘNG TÀI SẢN]]</f>
        <v>#DIV/0!</v>
      </c>
      <c r="T28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87" s="23" t="e">
        <f>Table1[[#This Row],[1. Doanh thu bán hàng và cung cấp dịch vụ ]]/Table1[[#This Row],[TỔNG CỘNG TÀI SẢN]]</f>
        <v>#DIV/0!</v>
      </c>
      <c r="V287" s="23" t="e">
        <f>1.2*Table1[[#This Row],[X1]] + 1.4*Table1[[#This Row],[X2]] + 3.3*Table1[[#This Row],[x3]] + 0.6*Table1[[#This Row],[x4]] + 1*Table1[[#This Row],[x5]]</f>
        <v>#DIV/0!</v>
      </c>
      <c r="W287" s="23" t="e">
        <f>IF(Table1[[#This Row],[Zscore]]&lt;1.81,1,0)</f>
        <v>#DIV/0!</v>
      </c>
    </row>
    <row r="288" spans="1:23" x14ac:dyDescent="0.45">
      <c r="A288" s="7">
        <v>282</v>
      </c>
      <c r="B288" s="5" t="s">
        <v>577</v>
      </c>
      <c r="C288" s="6" t="s">
        <v>578</v>
      </c>
      <c r="D288" s="6" t="s">
        <v>18</v>
      </c>
      <c r="E288" s="8">
        <v>133047699000000</v>
      </c>
      <c r="F288" s="6"/>
      <c r="G288" s="6"/>
      <c r="H288" s="6"/>
      <c r="I288" s="6"/>
      <c r="J288" s="8"/>
      <c r="K288" s="8">
        <v>125587215000000</v>
      </c>
      <c r="L288" s="8">
        <v>8192172000000</v>
      </c>
      <c r="M288" s="8">
        <v>7615477767000</v>
      </c>
      <c r="N288" s="8">
        <v>8458824000000</v>
      </c>
      <c r="O288" s="8">
        <v>7008446930500</v>
      </c>
      <c r="P288" s="8">
        <v>9035562000000</v>
      </c>
      <c r="Q288" s="18">
        <f>(Table1[[#This Row],[A. TÀI SẢN NGẮN HẠN]]-Table1[[#This Row],[I. Nợ ngắn hạn]])/Table1[[#This Row],[TỔNG CỘNG TÀI SẢN]]</f>
        <v>0</v>
      </c>
      <c r="R288" s="18">
        <f>Table1[[#This Row],[- LNST chưa phân phối kỳ này]]/Table1[[#This Row],[TỔNG CỘNG TÀI SẢN]]</f>
        <v>0</v>
      </c>
      <c r="S288" s="21">
        <f>Table1[[#This Row],[5. Lợi nhuận gộp về bán hàng và cung cấp dịch vụ]]/Table1[[#This Row],[TỔNG CỘNG TÀI SẢN]]</f>
        <v>0</v>
      </c>
      <c r="T28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6.3936266716122334E-2</v>
      </c>
      <c r="U288" s="23">
        <f>Table1[[#This Row],[1. Doanh thu bán hàng và cung cấp dịch vụ ]]/Table1[[#This Row],[TỔNG CỘNG TÀI SẢN]]</f>
        <v>6.1573195640159097E-2</v>
      </c>
      <c r="V288" s="23">
        <f>1.2*Table1[[#This Row],[X1]] + 1.4*Table1[[#This Row],[X2]] + 3.3*Table1[[#This Row],[x3]] + 0.6*Table1[[#This Row],[x4]] + 1*Table1[[#This Row],[x5]]</f>
        <v>9.9934955669832487E-2</v>
      </c>
      <c r="W288" s="23">
        <f>IF(Table1[[#This Row],[Zscore]]&lt;1.81,1,0)</f>
        <v>1</v>
      </c>
    </row>
    <row r="289" spans="1:23" hidden="1" x14ac:dyDescent="0.45">
      <c r="A289" s="7">
        <v>283</v>
      </c>
      <c r="B289" s="5" t="s">
        <v>579</v>
      </c>
      <c r="C289" s="6" t="s">
        <v>580</v>
      </c>
      <c r="D289" s="6" t="s">
        <v>13</v>
      </c>
      <c r="E289" s="6"/>
      <c r="F289" s="6"/>
      <c r="G289" s="6"/>
      <c r="H289" s="6"/>
      <c r="I289" s="6"/>
      <c r="J289" s="8"/>
      <c r="K289" s="6"/>
      <c r="L289" s="6"/>
      <c r="M289" s="8"/>
      <c r="N289" s="8"/>
      <c r="O289" s="8"/>
      <c r="P289" s="8"/>
      <c r="Q289" s="18" t="e">
        <f>(Table1[[#This Row],[A. TÀI SẢN NGẮN HẠN]]-Table1[[#This Row],[I. Nợ ngắn hạn]])/Table1[[#This Row],[TỔNG CỘNG TÀI SẢN]]</f>
        <v>#DIV/0!</v>
      </c>
      <c r="R289" s="18" t="e">
        <f>Table1[[#This Row],[- LNST chưa phân phối kỳ này]]/Table1[[#This Row],[TỔNG CỘNG TÀI SẢN]]</f>
        <v>#DIV/0!</v>
      </c>
      <c r="S289" s="21" t="e">
        <f>Table1[[#This Row],[5. Lợi nhuận gộp về bán hàng và cung cấp dịch vụ]]/Table1[[#This Row],[TỔNG CỘNG TÀI SẢN]]</f>
        <v>#DIV/0!</v>
      </c>
      <c r="T28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89" s="23" t="e">
        <f>Table1[[#This Row],[1. Doanh thu bán hàng và cung cấp dịch vụ ]]/Table1[[#This Row],[TỔNG CỘNG TÀI SẢN]]</f>
        <v>#DIV/0!</v>
      </c>
      <c r="V289" s="23" t="e">
        <f>1.2*Table1[[#This Row],[X1]] + 1.4*Table1[[#This Row],[X2]] + 3.3*Table1[[#This Row],[x3]] + 0.6*Table1[[#This Row],[x4]] + 1*Table1[[#This Row],[x5]]</f>
        <v>#DIV/0!</v>
      </c>
      <c r="W289" s="23" t="e">
        <f>IF(Table1[[#This Row],[Zscore]]&lt;1.81,1,0)</f>
        <v>#DIV/0!</v>
      </c>
    </row>
    <row r="290" spans="1:23" ht="26.25" hidden="1" x14ac:dyDescent="0.45">
      <c r="A290" s="7">
        <v>284</v>
      </c>
      <c r="B290" s="5" t="s">
        <v>581</v>
      </c>
      <c r="C290" s="6" t="s">
        <v>582</v>
      </c>
      <c r="D290" s="6" t="s">
        <v>13</v>
      </c>
      <c r="E290" s="6"/>
      <c r="F290" s="6"/>
      <c r="G290" s="6"/>
      <c r="H290" s="6"/>
      <c r="I290" s="6"/>
      <c r="J290" s="8"/>
      <c r="K290" s="6"/>
      <c r="L290" s="6"/>
      <c r="M290" s="8"/>
      <c r="N290" s="8"/>
      <c r="O290" s="8"/>
      <c r="P290" s="8"/>
      <c r="Q290" s="18" t="e">
        <f>(Table1[[#This Row],[A. TÀI SẢN NGẮN HẠN]]-Table1[[#This Row],[I. Nợ ngắn hạn]])/Table1[[#This Row],[TỔNG CỘNG TÀI SẢN]]</f>
        <v>#DIV/0!</v>
      </c>
      <c r="R290" s="18" t="e">
        <f>Table1[[#This Row],[- LNST chưa phân phối kỳ này]]/Table1[[#This Row],[TỔNG CỘNG TÀI SẢN]]</f>
        <v>#DIV/0!</v>
      </c>
      <c r="S290" s="21" t="e">
        <f>Table1[[#This Row],[5. Lợi nhuận gộp về bán hàng và cung cấp dịch vụ]]/Table1[[#This Row],[TỔNG CỘNG TÀI SẢN]]</f>
        <v>#DIV/0!</v>
      </c>
      <c r="T29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90" s="23" t="e">
        <f>Table1[[#This Row],[1. Doanh thu bán hàng và cung cấp dịch vụ ]]/Table1[[#This Row],[TỔNG CỘNG TÀI SẢN]]</f>
        <v>#DIV/0!</v>
      </c>
      <c r="V290" s="23" t="e">
        <f>1.2*Table1[[#This Row],[X1]] + 1.4*Table1[[#This Row],[X2]] + 3.3*Table1[[#This Row],[x3]] + 0.6*Table1[[#This Row],[x4]] + 1*Table1[[#This Row],[x5]]</f>
        <v>#DIV/0!</v>
      </c>
      <c r="W290" s="23" t="e">
        <f>IF(Table1[[#This Row],[Zscore]]&lt;1.81,1,0)</f>
        <v>#DIV/0!</v>
      </c>
    </row>
    <row r="291" spans="1:23" hidden="1" x14ac:dyDescent="0.45">
      <c r="A291" s="7">
        <v>285</v>
      </c>
      <c r="B291" s="5" t="s">
        <v>583</v>
      </c>
      <c r="C291" s="6" t="s">
        <v>584</v>
      </c>
      <c r="D291" s="6" t="s">
        <v>18</v>
      </c>
      <c r="E291" s="6"/>
      <c r="F291" s="6"/>
      <c r="G291" s="6"/>
      <c r="H291" s="6"/>
      <c r="I291" s="6"/>
      <c r="J291" s="8"/>
      <c r="K291" s="6"/>
      <c r="L291" s="6"/>
      <c r="M291" s="8"/>
      <c r="N291" s="8"/>
      <c r="O291" s="8"/>
      <c r="P291" s="8"/>
      <c r="Q291" s="18" t="e">
        <f>(Table1[[#This Row],[A. TÀI SẢN NGẮN HẠN]]-Table1[[#This Row],[I. Nợ ngắn hạn]])/Table1[[#This Row],[TỔNG CỘNG TÀI SẢN]]</f>
        <v>#DIV/0!</v>
      </c>
      <c r="R291" s="18" t="e">
        <f>Table1[[#This Row],[- LNST chưa phân phối kỳ này]]/Table1[[#This Row],[TỔNG CỘNG TÀI SẢN]]</f>
        <v>#DIV/0!</v>
      </c>
      <c r="S291" s="21" t="e">
        <f>Table1[[#This Row],[5. Lợi nhuận gộp về bán hàng và cung cấp dịch vụ]]/Table1[[#This Row],[TỔNG CỘNG TÀI SẢN]]</f>
        <v>#DIV/0!</v>
      </c>
      <c r="T29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91" s="23" t="e">
        <f>Table1[[#This Row],[1. Doanh thu bán hàng và cung cấp dịch vụ ]]/Table1[[#This Row],[TỔNG CỘNG TÀI SẢN]]</f>
        <v>#DIV/0!</v>
      </c>
      <c r="V291" s="23" t="e">
        <f>1.2*Table1[[#This Row],[X1]] + 1.4*Table1[[#This Row],[X2]] + 3.3*Table1[[#This Row],[x3]] + 0.6*Table1[[#This Row],[x4]] + 1*Table1[[#This Row],[x5]]</f>
        <v>#DIV/0!</v>
      </c>
      <c r="W291" s="23" t="e">
        <f>IF(Table1[[#This Row],[Zscore]]&lt;1.81,1,0)</f>
        <v>#DIV/0!</v>
      </c>
    </row>
    <row r="292" spans="1:23" x14ac:dyDescent="0.45">
      <c r="A292" s="7">
        <v>286</v>
      </c>
      <c r="B292" s="5" t="s">
        <v>585</v>
      </c>
      <c r="C292" s="6" t="s">
        <v>586</v>
      </c>
      <c r="D292" s="6" t="s">
        <v>21</v>
      </c>
      <c r="E292" s="8">
        <v>291911212251853</v>
      </c>
      <c r="F292" s="8">
        <v>150465591457211</v>
      </c>
      <c r="G292" s="8">
        <v>64837532920115</v>
      </c>
      <c r="H292" s="8">
        <v>2949862255442</v>
      </c>
      <c r="I292" s="8">
        <v>-21651848701</v>
      </c>
      <c r="J292" s="8"/>
      <c r="K292" s="8">
        <v>266301161053473</v>
      </c>
      <c r="L292" s="8">
        <v>43733496771447</v>
      </c>
      <c r="M292" s="8">
        <v>39565803321200</v>
      </c>
      <c r="N292" s="8">
        <v>42163932995200</v>
      </c>
      <c r="O292" s="8">
        <v>39417338768400</v>
      </c>
      <c r="P292" s="8">
        <v>41050448849200</v>
      </c>
      <c r="Q292" s="18">
        <f>(Table1[[#This Row],[A. TÀI SẢN NGẮN HẠN]]-Table1[[#This Row],[I. Nợ ngắn hạn]])/Table1[[#This Row],[TỔNG CỘNG TÀI SẢN]]</f>
        <v>0.29333596978528681</v>
      </c>
      <c r="R292" s="18">
        <f>Table1[[#This Row],[- LNST chưa phân phối kỳ này]]/Table1[[#This Row],[TỔNG CỘNG TÀI SẢN]]</f>
        <v>1.0105340705094053E-2</v>
      </c>
      <c r="S292" s="21">
        <f>Table1[[#This Row],[5. Lợi nhuận gộp về bán hàng và cung cấp dịch vụ]]/Table1[[#This Row],[TỔNG CỘNG TÀI SẢN]]</f>
        <v>-7.4172720307568658E-5</v>
      </c>
      <c r="T29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0.15226888543440381</v>
      </c>
      <c r="U292" s="23">
        <f>Table1[[#This Row],[1. Doanh thu bán hàng và cung cấp dịch vụ ]]/Table1[[#This Row],[TỔNG CỘNG TÀI SẢN]]</f>
        <v>0.1498178039619627</v>
      </c>
      <c r="V292" s="23">
        <f>1.2*Table1[[#This Row],[X1]] + 1.4*Table1[[#This Row],[X2]] + 3.3*Table1[[#This Row],[x3]] + 0.6*Table1[[#This Row],[x4]] + 1*Table1[[#This Row],[x5]]</f>
        <v>0.60708500597506576</v>
      </c>
      <c r="W292" s="23">
        <f>IF(Table1[[#This Row],[Zscore]]&lt;1.81,1,0)</f>
        <v>1</v>
      </c>
    </row>
    <row r="293" spans="1:23" x14ac:dyDescent="0.45">
      <c r="A293" s="7">
        <v>287</v>
      </c>
      <c r="B293" s="5" t="s">
        <v>587</v>
      </c>
      <c r="C293" s="6" t="s">
        <v>588</v>
      </c>
      <c r="D293" s="6" t="s">
        <v>18</v>
      </c>
      <c r="E293" s="8">
        <v>2545542064164</v>
      </c>
      <c r="F293" s="8">
        <v>1688762887303</v>
      </c>
      <c r="G293" s="8">
        <v>563131901390</v>
      </c>
      <c r="H293" s="8">
        <v>330307666403</v>
      </c>
      <c r="I293" s="8">
        <v>539283194983</v>
      </c>
      <c r="J293" s="8"/>
      <c r="K293" s="8">
        <v>956587205132</v>
      </c>
      <c r="L293" s="8">
        <v>1470059672087</v>
      </c>
      <c r="M293" s="8">
        <v>902392470000</v>
      </c>
      <c r="N293" s="8">
        <v>1564697522500</v>
      </c>
      <c r="O293" s="8">
        <v>1250103330000</v>
      </c>
      <c r="P293" s="8">
        <v>1647487170000</v>
      </c>
      <c r="Q293" s="18">
        <f>(Table1[[#This Row],[A. TÀI SẢN NGẮN HẠN]]-Table1[[#This Row],[I. Nợ ngắn hạn]])/Table1[[#This Row],[TỔNG CỘNG TÀI SẢN]]</f>
        <v>0.4421969692662206</v>
      </c>
      <c r="R293" s="18">
        <f>Table1[[#This Row],[- LNST chưa phân phối kỳ này]]/Table1[[#This Row],[TỔNG CỘNG TÀI SẢN]]</f>
        <v>0.12975926465842108</v>
      </c>
      <c r="S293" s="21">
        <f>Table1[[#This Row],[5. Lợi nhuận gộp về bán hàng và cung cấp dịch vụ]]/Table1[[#This Row],[TỔNG CỘNG TÀI SẢN]]</f>
        <v>0.21185397113447815</v>
      </c>
      <c r="T29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1.4020364436506667</v>
      </c>
      <c r="U293" s="23">
        <f>Table1[[#This Row],[1. Doanh thu bán hàng và cung cấp dịch vụ ]]/Table1[[#This Row],[TỔNG CỘNG TÀI SẢN]]</f>
        <v>0.57750358667508128</v>
      </c>
      <c r="V293" s="23">
        <f>1.2*Table1[[#This Row],[X1]] + 1.4*Table1[[#This Row],[X2]] + 3.3*Table1[[#This Row],[x3]] + 0.6*Table1[[#This Row],[x4]] + 1*Table1[[#This Row],[x5]]</f>
        <v>2.8301428912505129</v>
      </c>
      <c r="W293" s="23">
        <f>IF(Table1[[#This Row],[Zscore]]&lt;1.81,1,0)</f>
        <v>0</v>
      </c>
    </row>
    <row r="294" spans="1:23" hidden="1" x14ac:dyDescent="0.45">
      <c r="A294" s="7">
        <v>288</v>
      </c>
      <c r="B294" s="5" t="s">
        <v>589</v>
      </c>
      <c r="C294" s="6" t="s">
        <v>590</v>
      </c>
      <c r="D294" s="6" t="s">
        <v>18</v>
      </c>
      <c r="E294" s="6"/>
      <c r="F294" s="6"/>
      <c r="G294" s="6"/>
      <c r="H294" s="6"/>
      <c r="I294" s="6"/>
      <c r="J294" s="8"/>
      <c r="K294" s="6"/>
      <c r="L294" s="6"/>
      <c r="M294" s="8"/>
      <c r="N294" s="8"/>
      <c r="O294" s="8"/>
      <c r="P294" s="8"/>
      <c r="Q294" s="18" t="e">
        <f>(Table1[[#This Row],[A. TÀI SẢN NGẮN HẠN]]-Table1[[#This Row],[I. Nợ ngắn hạn]])/Table1[[#This Row],[TỔNG CỘNG TÀI SẢN]]</f>
        <v>#DIV/0!</v>
      </c>
      <c r="R294" s="18" t="e">
        <f>Table1[[#This Row],[- LNST chưa phân phối kỳ này]]/Table1[[#This Row],[TỔNG CỘNG TÀI SẢN]]</f>
        <v>#DIV/0!</v>
      </c>
      <c r="S294" s="21" t="e">
        <f>Table1[[#This Row],[5. Lợi nhuận gộp về bán hàng và cung cấp dịch vụ]]/Table1[[#This Row],[TỔNG CỘNG TÀI SẢN]]</f>
        <v>#DIV/0!</v>
      </c>
      <c r="T29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94" s="23" t="e">
        <f>Table1[[#This Row],[1. Doanh thu bán hàng và cung cấp dịch vụ ]]/Table1[[#This Row],[TỔNG CỘNG TÀI SẢN]]</f>
        <v>#DIV/0!</v>
      </c>
      <c r="V294" s="23" t="e">
        <f>1.2*Table1[[#This Row],[X1]] + 1.4*Table1[[#This Row],[X2]] + 3.3*Table1[[#This Row],[x3]] + 0.6*Table1[[#This Row],[x4]] + 1*Table1[[#This Row],[x5]]</f>
        <v>#DIV/0!</v>
      </c>
      <c r="W294" s="23" t="e">
        <f>IF(Table1[[#This Row],[Zscore]]&lt;1.81,1,0)</f>
        <v>#DIV/0!</v>
      </c>
    </row>
    <row r="295" spans="1:23" x14ac:dyDescent="0.45">
      <c r="A295" s="7">
        <v>289</v>
      </c>
      <c r="B295" s="5" t="s">
        <v>591</v>
      </c>
      <c r="C295" s="6" t="s">
        <v>592</v>
      </c>
      <c r="D295" s="6" t="s">
        <v>36</v>
      </c>
      <c r="E295" s="8">
        <v>7032119867185</v>
      </c>
      <c r="F295" s="8">
        <v>6479776240903</v>
      </c>
      <c r="G295" s="8">
        <v>4329493530525</v>
      </c>
      <c r="H295" s="8">
        <v>41029567332</v>
      </c>
      <c r="I295" s="8">
        <v>627225012274</v>
      </c>
      <c r="J295" s="8"/>
      <c r="K295" s="8">
        <v>4375013392197</v>
      </c>
      <c r="L295" s="8">
        <v>1101240032207</v>
      </c>
      <c r="M295" s="8">
        <v>2758045539000</v>
      </c>
      <c r="N295" s="8">
        <v>2101024219500</v>
      </c>
      <c r="O295" s="8">
        <v>2303184625500</v>
      </c>
      <c r="P295" s="8">
        <v>2700285423000</v>
      </c>
      <c r="Q295" s="18">
        <f>(Table1[[#This Row],[A. TÀI SẢN NGẮN HẠN]]-Table1[[#This Row],[I. Nợ ngắn hạn]])/Table1[[#This Row],[TỔNG CỘNG TÀI SẢN]]</f>
        <v>0.30578015605396258</v>
      </c>
      <c r="R295" s="18">
        <f>Table1[[#This Row],[- LNST chưa phân phối kỳ này]]/Table1[[#This Row],[TỔNG CỘNG TÀI SẢN]]</f>
        <v>5.8345944191682819E-3</v>
      </c>
      <c r="S295" s="21">
        <f>Table1[[#This Row],[5. Lợi nhuận gộp về bán hàng và cung cấp dịch vụ]]/Table1[[#This Row],[TỔNG CỘNG TÀI SẢN]]</f>
        <v>8.9194300455672115E-2</v>
      </c>
      <c r="T29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0.5635719781218389</v>
      </c>
      <c r="U295" s="23">
        <f>Table1[[#This Row],[1. Doanh thu bán hàng và cung cấp dịch vụ ]]/Table1[[#This Row],[TỔNG CỘNG TÀI SẢN]]</f>
        <v>0.15660143072160587</v>
      </c>
      <c r="V295" s="23">
        <f>1.2*Table1[[#This Row],[X1]] + 1.4*Table1[[#This Row],[X2]] + 3.3*Table1[[#This Row],[x3]] + 0.6*Table1[[#This Row],[x4]] + 1*Table1[[#This Row],[x5]]</f>
        <v>1.164190428550018</v>
      </c>
      <c r="W295" s="23">
        <f>IF(Table1[[#This Row],[Zscore]]&lt;1.81,1,0)</f>
        <v>1</v>
      </c>
    </row>
    <row r="296" spans="1:23" ht="26.25" hidden="1" x14ac:dyDescent="0.45">
      <c r="A296" s="7">
        <v>290</v>
      </c>
      <c r="B296" s="5" t="s">
        <v>593</v>
      </c>
      <c r="C296" s="6" t="s">
        <v>594</v>
      </c>
      <c r="D296" s="6" t="s">
        <v>18</v>
      </c>
      <c r="E296" s="6"/>
      <c r="F296" s="6"/>
      <c r="G296" s="6"/>
      <c r="H296" s="6"/>
      <c r="I296" s="6"/>
      <c r="J296" s="8"/>
      <c r="K296" s="6"/>
      <c r="L296" s="6"/>
      <c r="M296" s="8"/>
      <c r="N296" s="8"/>
      <c r="O296" s="8"/>
      <c r="P296" s="8"/>
      <c r="Q296" s="18" t="e">
        <f>(Table1[[#This Row],[A. TÀI SẢN NGẮN HẠN]]-Table1[[#This Row],[I. Nợ ngắn hạn]])/Table1[[#This Row],[TỔNG CỘNG TÀI SẢN]]</f>
        <v>#DIV/0!</v>
      </c>
      <c r="R296" s="18" t="e">
        <f>Table1[[#This Row],[- LNST chưa phân phối kỳ này]]/Table1[[#This Row],[TỔNG CỘNG TÀI SẢN]]</f>
        <v>#DIV/0!</v>
      </c>
      <c r="S296" s="21" t="e">
        <f>Table1[[#This Row],[5. Lợi nhuận gộp về bán hàng và cung cấp dịch vụ]]/Table1[[#This Row],[TỔNG CỘNG TÀI SẢN]]</f>
        <v>#DIV/0!</v>
      </c>
      <c r="T29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96" s="23" t="e">
        <f>Table1[[#This Row],[1. Doanh thu bán hàng và cung cấp dịch vụ ]]/Table1[[#This Row],[TỔNG CỘNG TÀI SẢN]]</f>
        <v>#DIV/0!</v>
      </c>
      <c r="V296" s="23" t="e">
        <f>1.2*Table1[[#This Row],[X1]] + 1.4*Table1[[#This Row],[X2]] + 3.3*Table1[[#This Row],[x3]] + 0.6*Table1[[#This Row],[x4]] + 1*Table1[[#This Row],[x5]]</f>
        <v>#DIV/0!</v>
      </c>
      <c r="W296" s="23" t="e">
        <f>IF(Table1[[#This Row],[Zscore]]&lt;1.81,1,0)</f>
        <v>#DIV/0!</v>
      </c>
    </row>
    <row r="297" spans="1:23" ht="26.25" x14ac:dyDescent="0.45">
      <c r="A297" s="7">
        <v>291</v>
      </c>
      <c r="B297" s="5" t="s">
        <v>595</v>
      </c>
      <c r="C297" s="6" t="s">
        <v>596</v>
      </c>
      <c r="D297" s="6" t="s">
        <v>21</v>
      </c>
      <c r="E297" s="8">
        <v>15148255852020</v>
      </c>
      <c r="F297" s="8">
        <v>3794456158624</v>
      </c>
      <c r="G297" s="8">
        <v>2972406262588</v>
      </c>
      <c r="H297" s="8">
        <v>941038667809</v>
      </c>
      <c r="I297" s="8">
        <v>1957675185771</v>
      </c>
      <c r="J297" s="8"/>
      <c r="K297" s="8">
        <v>8858977501828</v>
      </c>
      <c r="L297" s="8">
        <v>4542868049098</v>
      </c>
      <c r="M297" s="8">
        <v>9566896014000</v>
      </c>
      <c r="N297" s="8">
        <v>10424617725600</v>
      </c>
      <c r="O297" s="8">
        <v>10545578479800</v>
      </c>
      <c r="P297" s="8">
        <v>10666539234000</v>
      </c>
      <c r="Q297" s="18">
        <f>(Table1[[#This Row],[A. TÀI SẢN NGẮN HẠN]]-Table1[[#This Row],[I. Nợ ngắn hạn]])/Table1[[#This Row],[TỔNG CỘNG TÀI SẢN]]</f>
        <v>5.4266966709991288E-2</v>
      </c>
      <c r="R297" s="18">
        <f>Table1[[#This Row],[- LNST chưa phân phối kỳ này]]/Table1[[#This Row],[TỔNG CỘNG TÀI SẢN]]</f>
        <v>6.2121915354599301E-2</v>
      </c>
      <c r="S297" s="21">
        <f>Table1[[#This Row],[5. Lợi nhuận gộp về bán hàng và cung cấp dịch vụ]]/Table1[[#This Row],[TỔNG CỘNG TÀI SẢN]]</f>
        <v>0.12923436235135588</v>
      </c>
      <c r="T29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1.1627648745269379</v>
      </c>
      <c r="U297" s="23">
        <f>Table1[[#This Row],[1. Doanh thu bán hàng và cung cấp dịch vụ ]]/Table1[[#This Row],[TỔNG CỘNG TÀI SẢN]]</f>
        <v>0.29989380252593334</v>
      </c>
      <c r="V297" s="23">
        <f>1.2*Table1[[#This Row],[X1]] + 1.4*Table1[[#This Row],[X2]] + 3.3*Table1[[#This Row],[x3]] + 0.6*Table1[[#This Row],[x4]] + 1*Table1[[#This Row],[x5]]</f>
        <v>1.576117164549999</v>
      </c>
      <c r="W297" s="23">
        <f>IF(Table1[[#This Row],[Zscore]]&lt;1.81,1,0)</f>
        <v>1</v>
      </c>
    </row>
    <row r="298" spans="1:23" ht="26.25" x14ac:dyDescent="0.45">
      <c r="A298" s="7">
        <v>292</v>
      </c>
      <c r="B298" s="5" t="s">
        <v>597</v>
      </c>
      <c r="C298" s="6" t="s">
        <v>598</v>
      </c>
      <c r="D298" s="6" t="s">
        <v>18</v>
      </c>
      <c r="E298" s="8">
        <v>1240958007180</v>
      </c>
      <c r="F298" s="8">
        <v>321890519389</v>
      </c>
      <c r="G298" s="8">
        <v>143554352316</v>
      </c>
      <c r="H298" s="8">
        <v>1996056378</v>
      </c>
      <c r="I298" s="8">
        <v>432206865886</v>
      </c>
      <c r="J298" s="8"/>
      <c r="K298" s="8">
        <v>147171461990</v>
      </c>
      <c r="L298" s="8">
        <v>752583412385</v>
      </c>
      <c r="M298" s="8">
        <v>3430259616700</v>
      </c>
      <c r="N298" s="8">
        <v>3370255075300</v>
      </c>
      <c r="O298" s="8">
        <v>3340252804600</v>
      </c>
      <c r="P298" s="8">
        <v>3380255832200</v>
      </c>
      <c r="Q298" s="18">
        <f>(Table1[[#This Row],[A. TÀI SẢN NGẮN HẠN]]-Table1[[#This Row],[I. Nợ ngắn hạn]])/Table1[[#This Row],[TỔNG CỘNG TÀI SẢN]]</f>
        <v>0.14370846236631155</v>
      </c>
      <c r="R298" s="18">
        <f>Table1[[#This Row],[- LNST chưa phân phối kỳ này]]/Table1[[#This Row],[TỔNG CỘNG TÀI SẢN]]</f>
        <v>1.6084801955030808E-3</v>
      </c>
      <c r="S298" s="21">
        <f>Table1[[#This Row],[5. Lợi nhuận gộp về bán hàng và cung cấp dịch vụ]]/Table1[[#This Row],[TỔNG CỘNG TÀI SẢN]]</f>
        <v>0.34828484395548825</v>
      </c>
      <c r="T29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22.968147400952514</v>
      </c>
      <c r="U298" s="23">
        <f>Table1[[#This Row],[1. Doanh thu bán hàng và cung cấp dịch vụ ]]/Table1[[#This Row],[TỔNG CỘNG TÀI SẢN]]</f>
        <v>0.60645356896096669</v>
      </c>
      <c r="V298" s="23">
        <f>1.2*Table1[[#This Row],[X1]] + 1.4*Table1[[#This Row],[X2]] + 3.3*Table1[[#This Row],[x3]] + 0.6*Table1[[#This Row],[x4]] + 1*Table1[[#This Row],[x5]]</f>
        <v>15.711384021698864</v>
      </c>
      <c r="W298" s="23">
        <f>IF(Table1[[#This Row],[Zscore]]&lt;1.81,1,0)</f>
        <v>0</v>
      </c>
    </row>
    <row r="299" spans="1:23" ht="26.25" hidden="1" x14ac:dyDescent="0.45">
      <c r="A299" s="7">
        <v>293</v>
      </c>
      <c r="B299" s="5" t="s">
        <v>599</v>
      </c>
      <c r="C299" s="6" t="s">
        <v>600</v>
      </c>
      <c r="D299" s="6" t="s">
        <v>13</v>
      </c>
      <c r="E299" s="6"/>
      <c r="F299" s="6"/>
      <c r="G299" s="6"/>
      <c r="H299" s="6"/>
      <c r="I299" s="6"/>
      <c r="J299" s="8"/>
      <c r="K299" s="6"/>
      <c r="L299" s="6"/>
      <c r="M299" s="8"/>
      <c r="N299" s="8"/>
      <c r="O299" s="8"/>
      <c r="P299" s="8"/>
      <c r="Q299" s="18" t="e">
        <f>(Table1[[#This Row],[A. TÀI SẢN NGẮN HẠN]]-Table1[[#This Row],[I. Nợ ngắn hạn]])/Table1[[#This Row],[TỔNG CỘNG TÀI SẢN]]</f>
        <v>#DIV/0!</v>
      </c>
      <c r="R299" s="18" t="e">
        <f>Table1[[#This Row],[- LNST chưa phân phối kỳ này]]/Table1[[#This Row],[TỔNG CỘNG TÀI SẢN]]</f>
        <v>#DIV/0!</v>
      </c>
      <c r="S299" s="21" t="e">
        <f>Table1[[#This Row],[5. Lợi nhuận gộp về bán hàng và cung cấp dịch vụ]]/Table1[[#This Row],[TỔNG CỘNG TÀI SẢN]]</f>
        <v>#DIV/0!</v>
      </c>
      <c r="T29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99" s="23" t="e">
        <f>Table1[[#This Row],[1. Doanh thu bán hàng và cung cấp dịch vụ ]]/Table1[[#This Row],[TỔNG CỘNG TÀI SẢN]]</f>
        <v>#DIV/0!</v>
      </c>
      <c r="V299" s="23" t="e">
        <f>1.2*Table1[[#This Row],[X1]] + 1.4*Table1[[#This Row],[X2]] + 3.3*Table1[[#This Row],[x3]] + 0.6*Table1[[#This Row],[x4]] + 1*Table1[[#This Row],[x5]]</f>
        <v>#DIV/0!</v>
      </c>
      <c r="W299" s="23" t="e">
        <f>IF(Table1[[#This Row],[Zscore]]&lt;1.81,1,0)</f>
        <v>#DIV/0!</v>
      </c>
    </row>
    <row r="300" spans="1:23" x14ac:dyDescent="0.45">
      <c r="A300" s="7">
        <v>294</v>
      </c>
      <c r="B300" s="5" t="s">
        <v>601</v>
      </c>
      <c r="C300" s="6" t="s">
        <v>602</v>
      </c>
      <c r="D300" s="6" t="s">
        <v>36</v>
      </c>
      <c r="E300" s="8">
        <v>97068288260</v>
      </c>
      <c r="F300" s="8">
        <v>94607324863</v>
      </c>
      <c r="G300" s="8">
        <v>42057586697</v>
      </c>
      <c r="H300" s="8">
        <v>912318636</v>
      </c>
      <c r="I300" s="8">
        <v>23300597083</v>
      </c>
      <c r="J300" s="8"/>
      <c r="K300" s="8">
        <v>42057586697</v>
      </c>
      <c r="L300" s="8">
        <v>264895487881</v>
      </c>
      <c r="M300" s="8">
        <v>42770968000</v>
      </c>
      <c r="N300" s="8">
        <v>60240800000</v>
      </c>
      <c r="O300" s="8">
        <v>36746888000</v>
      </c>
      <c r="P300" s="8">
        <v>46385416000</v>
      </c>
      <c r="Q300" s="18">
        <f>(Table1[[#This Row],[A. TÀI SẢN NGẮN HẠN]]-Table1[[#This Row],[I. Nợ ngắn hạn]])/Table1[[#This Row],[TỔNG CỘNG TÀI SẢN]]</f>
        <v>0.54136875294683395</v>
      </c>
      <c r="R300" s="18">
        <f>Table1[[#This Row],[- LNST chưa phân phối kỳ này]]/Table1[[#This Row],[TỔNG CỘNG TÀI SẢN]]</f>
        <v>9.3987300317517723E-3</v>
      </c>
      <c r="S300" s="21">
        <f>Table1[[#This Row],[5. Lợi nhuận gộp về bán hàng và cung cấp dịch vụ]]/Table1[[#This Row],[TỔNG CỘNG TÀI SẢN]]</f>
        <v>0.24004334990011084</v>
      </c>
      <c r="T30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1.1064833162031964</v>
      </c>
      <c r="U300" s="23">
        <f>Table1[[#This Row],[1. Doanh thu bán hàng và cung cấp dịch vụ ]]/Table1[[#This Row],[TỔNG CỘNG TÀI SẢN]]</f>
        <v>2.7289601231194101</v>
      </c>
      <c r="V300" s="23">
        <f>1.2*Table1[[#This Row],[X1]] + 1.4*Table1[[#This Row],[X2]] + 3.3*Table1[[#This Row],[x3]] + 0.6*Table1[[#This Row],[x4]] + 1*Table1[[#This Row],[x5]]</f>
        <v>4.847793893092347</v>
      </c>
      <c r="W300" s="23">
        <f>IF(Table1[[#This Row],[Zscore]]&lt;1.81,1,0)</f>
        <v>0</v>
      </c>
    </row>
    <row r="301" spans="1:23" hidden="1" x14ac:dyDescent="0.45">
      <c r="A301" s="7">
        <v>295</v>
      </c>
      <c r="B301" s="5" t="s">
        <v>603</v>
      </c>
      <c r="C301" s="6" t="s">
        <v>604</v>
      </c>
      <c r="D301" s="6" t="s">
        <v>13</v>
      </c>
      <c r="E301" s="6"/>
      <c r="F301" s="6"/>
      <c r="G301" s="6"/>
      <c r="H301" s="6"/>
      <c r="I301" s="6"/>
      <c r="J301" s="8"/>
      <c r="K301" s="6"/>
      <c r="L301" s="6"/>
      <c r="M301" s="8"/>
      <c r="N301" s="8"/>
      <c r="O301" s="8"/>
      <c r="P301" s="8"/>
      <c r="Q301" s="18" t="e">
        <f>(Table1[[#This Row],[A. TÀI SẢN NGẮN HẠN]]-Table1[[#This Row],[I. Nợ ngắn hạn]])/Table1[[#This Row],[TỔNG CỘNG TÀI SẢN]]</f>
        <v>#DIV/0!</v>
      </c>
      <c r="R301" s="18" t="e">
        <f>Table1[[#This Row],[- LNST chưa phân phối kỳ này]]/Table1[[#This Row],[TỔNG CỘNG TÀI SẢN]]</f>
        <v>#DIV/0!</v>
      </c>
      <c r="S301" s="21" t="e">
        <f>Table1[[#This Row],[5. Lợi nhuận gộp về bán hàng và cung cấp dịch vụ]]/Table1[[#This Row],[TỔNG CỘNG TÀI SẢN]]</f>
        <v>#DIV/0!</v>
      </c>
      <c r="T30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301" s="23" t="e">
        <f>Table1[[#This Row],[1. Doanh thu bán hàng và cung cấp dịch vụ ]]/Table1[[#This Row],[TỔNG CỘNG TÀI SẢN]]</f>
        <v>#DIV/0!</v>
      </c>
      <c r="V301" s="23" t="e">
        <f>1.2*Table1[[#This Row],[X1]] + 1.4*Table1[[#This Row],[X2]] + 3.3*Table1[[#This Row],[x3]] + 0.6*Table1[[#This Row],[x4]] + 1*Table1[[#This Row],[x5]]</f>
        <v>#DIV/0!</v>
      </c>
      <c r="W301" s="23" t="e">
        <f>IF(Table1[[#This Row],[Zscore]]&lt;1.81,1,0)</f>
        <v>#DIV/0!</v>
      </c>
    </row>
    <row r="302" spans="1:23" hidden="1" x14ac:dyDescent="0.45">
      <c r="A302" s="7">
        <v>296</v>
      </c>
      <c r="B302" s="5" t="s">
        <v>605</v>
      </c>
      <c r="C302" s="6" t="s">
        <v>606</v>
      </c>
      <c r="D302" s="6" t="s">
        <v>13</v>
      </c>
      <c r="E302" s="6"/>
      <c r="F302" s="6"/>
      <c r="G302" s="6"/>
      <c r="H302" s="6"/>
      <c r="I302" s="6"/>
      <c r="J302" s="8"/>
      <c r="K302" s="6"/>
      <c r="L302" s="6"/>
      <c r="M302" s="8"/>
      <c r="N302" s="8"/>
      <c r="O302" s="8"/>
      <c r="P302" s="8"/>
      <c r="Q302" s="18" t="e">
        <f>(Table1[[#This Row],[A. TÀI SẢN NGẮN HẠN]]-Table1[[#This Row],[I. Nợ ngắn hạn]])/Table1[[#This Row],[TỔNG CỘNG TÀI SẢN]]</f>
        <v>#DIV/0!</v>
      </c>
      <c r="R302" s="18" t="e">
        <f>Table1[[#This Row],[- LNST chưa phân phối kỳ này]]/Table1[[#This Row],[TỔNG CỘNG TÀI SẢN]]</f>
        <v>#DIV/0!</v>
      </c>
      <c r="S302" s="21" t="e">
        <f>Table1[[#This Row],[5. Lợi nhuận gộp về bán hàng và cung cấp dịch vụ]]/Table1[[#This Row],[TỔNG CỘNG TÀI SẢN]]</f>
        <v>#DIV/0!</v>
      </c>
      <c r="T30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302" s="23" t="e">
        <f>Table1[[#This Row],[1. Doanh thu bán hàng và cung cấp dịch vụ ]]/Table1[[#This Row],[TỔNG CỘNG TÀI SẢN]]</f>
        <v>#DIV/0!</v>
      </c>
      <c r="V302" s="23" t="e">
        <f>1.2*Table1[[#This Row],[X1]] + 1.4*Table1[[#This Row],[X2]] + 3.3*Table1[[#This Row],[x3]] + 0.6*Table1[[#This Row],[x4]] + 1*Table1[[#This Row],[x5]]</f>
        <v>#DIV/0!</v>
      </c>
      <c r="W302" s="23" t="e">
        <f>IF(Table1[[#This Row],[Zscore]]&lt;1.81,1,0)</f>
        <v>#DIV/0!</v>
      </c>
    </row>
    <row r="303" spans="1:23" x14ac:dyDescent="0.45">
      <c r="A303" s="7">
        <v>297</v>
      </c>
      <c r="B303" s="5" t="s">
        <v>607</v>
      </c>
      <c r="C303" s="6" t="s">
        <v>608</v>
      </c>
      <c r="D303" s="6" t="s">
        <v>18</v>
      </c>
      <c r="E303" s="8">
        <v>977188940105</v>
      </c>
      <c r="F303" s="8">
        <v>246537011409</v>
      </c>
      <c r="G303" s="8">
        <v>95021720326</v>
      </c>
      <c r="H303" s="8">
        <v>11947714172</v>
      </c>
      <c r="I303" s="8">
        <v>50518951699</v>
      </c>
      <c r="J303" s="8"/>
      <c r="K303" s="8">
        <v>122696121676</v>
      </c>
      <c r="L303" s="8">
        <v>81089484164</v>
      </c>
      <c r="M303" s="8">
        <v>311984728400</v>
      </c>
      <c r="N303" s="8">
        <v>290218352000</v>
      </c>
      <c r="O303" s="8">
        <v>284776757900</v>
      </c>
      <c r="P303" s="8">
        <v>313798593100</v>
      </c>
      <c r="Q303" s="18">
        <f>(Table1[[#This Row],[A. TÀI SẢN NGẮN HẠN]]-Table1[[#This Row],[I. Nợ ngắn hạn]])/Table1[[#This Row],[TỔNG CỘNG TÀI SẢN]]</f>
        <v>0.15505219601310624</v>
      </c>
      <c r="R303" s="18">
        <f>Table1[[#This Row],[- LNST chưa phân phối kỳ này]]/Table1[[#This Row],[TỔNG CỘNG TÀI SẢN]]</f>
        <v>1.2226616247535717E-2</v>
      </c>
      <c r="S303" s="21">
        <f>Table1[[#This Row],[5. Lợi nhuận gộp về bán hàng và cung cấp dịch vụ]]/Table1[[#This Row],[TỔNG CỘNG TÀI SẢN]]</f>
        <v>5.1698243426262773E-2</v>
      </c>
      <c r="T30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2.4466511553047696</v>
      </c>
      <c r="U303" s="23">
        <f>Table1[[#This Row],[1. Doanh thu bán hàng và cung cấp dịch vụ ]]/Table1[[#This Row],[TỔNG CỘNG TÀI SẢN]]</f>
        <v>8.2982400676052323E-2</v>
      </c>
      <c r="V303" s="23">
        <f>1.2*Table1[[#This Row],[X1]] + 1.4*Table1[[#This Row],[X2]] + 3.3*Table1[[#This Row],[x3]] + 0.6*Table1[[#This Row],[x4]] + 1*Table1[[#This Row],[x5]]</f>
        <v>1.9247571951278586</v>
      </c>
      <c r="W303" s="23">
        <f>IF(Table1[[#This Row],[Zscore]]&lt;1.81,1,0)</f>
        <v>0</v>
      </c>
    </row>
    <row r="304" spans="1:23" hidden="1" x14ac:dyDescent="0.45">
      <c r="A304" s="7">
        <v>298</v>
      </c>
      <c r="B304" s="5" t="s">
        <v>609</v>
      </c>
      <c r="C304" s="6" t="s">
        <v>610</v>
      </c>
      <c r="D304" s="6" t="s">
        <v>18</v>
      </c>
      <c r="E304" s="6"/>
      <c r="F304" s="6"/>
      <c r="G304" s="6"/>
      <c r="H304" s="6"/>
      <c r="I304" s="6"/>
      <c r="J304" s="8"/>
      <c r="K304" s="6"/>
      <c r="L304" s="6"/>
      <c r="M304" s="8"/>
      <c r="N304" s="8"/>
      <c r="O304" s="8"/>
      <c r="P304" s="8"/>
      <c r="Q304" s="18" t="e">
        <f>(Table1[[#This Row],[A. TÀI SẢN NGẮN HẠN]]-Table1[[#This Row],[I. Nợ ngắn hạn]])/Table1[[#This Row],[TỔNG CỘNG TÀI SẢN]]</f>
        <v>#DIV/0!</v>
      </c>
      <c r="R304" s="18" t="e">
        <f>Table1[[#This Row],[- LNST chưa phân phối kỳ này]]/Table1[[#This Row],[TỔNG CỘNG TÀI SẢN]]</f>
        <v>#DIV/0!</v>
      </c>
      <c r="S304" s="21" t="e">
        <f>Table1[[#This Row],[5. Lợi nhuận gộp về bán hàng và cung cấp dịch vụ]]/Table1[[#This Row],[TỔNG CỘNG TÀI SẢN]]</f>
        <v>#DIV/0!</v>
      </c>
      <c r="T30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304" s="23" t="e">
        <f>Table1[[#This Row],[1. Doanh thu bán hàng và cung cấp dịch vụ ]]/Table1[[#This Row],[TỔNG CỘNG TÀI SẢN]]</f>
        <v>#DIV/0!</v>
      </c>
      <c r="V304" s="23" t="e">
        <f>1.2*Table1[[#This Row],[X1]] + 1.4*Table1[[#This Row],[X2]] + 3.3*Table1[[#This Row],[x3]] + 0.6*Table1[[#This Row],[x4]] + 1*Table1[[#This Row],[x5]]</f>
        <v>#DIV/0!</v>
      </c>
      <c r="W304" s="23" t="e">
        <f>IF(Table1[[#This Row],[Zscore]]&lt;1.81,1,0)</f>
        <v>#DIV/0!</v>
      </c>
    </row>
    <row r="305" spans="1:23" x14ac:dyDescent="0.45">
      <c r="A305" s="7">
        <v>299</v>
      </c>
      <c r="B305" s="5" t="s">
        <v>611</v>
      </c>
      <c r="C305" s="6" t="s">
        <v>612</v>
      </c>
      <c r="D305" s="6" t="s">
        <v>21</v>
      </c>
      <c r="E305" s="8">
        <v>851701001286</v>
      </c>
      <c r="F305" s="8">
        <v>388063156160</v>
      </c>
      <c r="G305" s="8">
        <v>269684511256</v>
      </c>
      <c r="H305" s="8">
        <v>39443575551</v>
      </c>
      <c r="I305" s="8">
        <v>77506392838</v>
      </c>
      <c r="J305" s="8"/>
      <c r="K305" s="8">
        <v>269725533213</v>
      </c>
      <c r="L305" s="8">
        <v>546832908554</v>
      </c>
      <c r="M305" s="8">
        <v>297596871000</v>
      </c>
      <c r="N305" s="8">
        <v>162314766000</v>
      </c>
      <c r="O305" s="8">
        <v>269021695500</v>
      </c>
      <c r="P305" s="8">
        <v>299079985500</v>
      </c>
      <c r="Q305" s="18">
        <f>(Table1[[#This Row],[A. TÀI SẢN NGẮN HẠN]]-Table1[[#This Row],[I. Nợ ngắn hạn]])/Table1[[#This Row],[TỔNG CỘNG TÀI SẢN]]</f>
        <v>0.13899084857861829</v>
      </c>
      <c r="R305" s="18">
        <f>Table1[[#This Row],[- LNST chưa phân phối kỳ này]]/Table1[[#This Row],[TỔNG CỘNG TÀI SẢN]]</f>
        <v>4.6311528918532879E-2</v>
      </c>
      <c r="S305" s="21">
        <f>Table1[[#This Row],[5. Lợi nhuận gộp về bán hàng và cung cấp dịch vụ]]/Table1[[#This Row],[TỔNG CỘNG TÀI SẢN]]</f>
        <v>9.1001880614172789E-2</v>
      </c>
      <c r="T30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0.95283277945008871</v>
      </c>
      <c r="U305" s="23">
        <f>Table1[[#This Row],[1. Doanh thu bán hàng và cung cấp dịch vụ ]]/Table1[[#This Row],[TỔNG CỘNG TÀI SẢN]]</f>
        <v>0.64204798130837737</v>
      </c>
      <c r="V305" s="23">
        <f>1.2*Table1[[#This Row],[X1]] + 1.4*Table1[[#This Row],[X2]] + 3.3*Table1[[#This Row],[x3]] + 0.6*Table1[[#This Row],[x4]] + 1*Table1[[#This Row],[x5]]</f>
        <v>1.7456790137854887</v>
      </c>
      <c r="W305" s="23">
        <f>IF(Table1[[#This Row],[Zscore]]&lt;1.81,1,0)</f>
        <v>1</v>
      </c>
    </row>
    <row r="306" spans="1:23" ht="26.25" hidden="1" x14ac:dyDescent="0.45">
      <c r="A306" s="7">
        <v>300</v>
      </c>
      <c r="B306" s="5" t="s">
        <v>613</v>
      </c>
      <c r="C306" s="6" t="s">
        <v>614</v>
      </c>
      <c r="D306" s="6" t="s">
        <v>13</v>
      </c>
      <c r="E306" s="6"/>
      <c r="F306" s="6"/>
      <c r="G306" s="6"/>
      <c r="H306" s="6"/>
      <c r="I306" s="6"/>
      <c r="J306" s="8"/>
      <c r="K306" s="6"/>
      <c r="L306" s="6"/>
      <c r="M306" s="8"/>
      <c r="N306" s="8"/>
      <c r="O306" s="8"/>
      <c r="P306" s="8"/>
      <c r="Q306" s="18" t="e">
        <f>(Table1[[#This Row],[A. TÀI SẢN NGẮN HẠN]]-Table1[[#This Row],[I. Nợ ngắn hạn]])/Table1[[#This Row],[TỔNG CỘNG TÀI SẢN]]</f>
        <v>#DIV/0!</v>
      </c>
      <c r="R306" s="18" t="e">
        <f>Table1[[#This Row],[- LNST chưa phân phối kỳ này]]/Table1[[#This Row],[TỔNG CỘNG TÀI SẢN]]</f>
        <v>#DIV/0!</v>
      </c>
      <c r="S306" s="21" t="e">
        <f>Table1[[#This Row],[5. Lợi nhuận gộp về bán hàng và cung cấp dịch vụ]]/Table1[[#This Row],[TỔNG CỘNG TÀI SẢN]]</f>
        <v>#DIV/0!</v>
      </c>
      <c r="T30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306" s="23" t="e">
        <f>Table1[[#This Row],[1. Doanh thu bán hàng và cung cấp dịch vụ ]]/Table1[[#This Row],[TỔNG CỘNG TÀI SẢN]]</f>
        <v>#DIV/0!</v>
      </c>
      <c r="V306" s="23" t="e">
        <f>1.2*Table1[[#This Row],[X1]] + 1.4*Table1[[#This Row],[X2]] + 3.3*Table1[[#This Row],[x3]] + 0.6*Table1[[#This Row],[x4]] + 1*Table1[[#This Row],[x5]]</f>
        <v>#DIV/0!</v>
      </c>
      <c r="W306" s="23" t="e">
        <f>IF(Table1[[#This Row],[Zscore]]&lt;1.81,1,0)</f>
        <v>#DIV/0!</v>
      </c>
    </row>
    <row r="307" spans="1:23" hidden="1" x14ac:dyDescent="0.45">
      <c r="A307" s="7">
        <v>301</v>
      </c>
      <c r="B307" s="5" t="s">
        <v>615</v>
      </c>
      <c r="C307" s="6" t="s">
        <v>616</v>
      </c>
      <c r="D307" s="6" t="s">
        <v>13</v>
      </c>
      <c r="E307" s="6"/>
      <c r="F307" s="6"/>
      <c r="G307" s="6"/>
      <c r="H307" s="6"/>
      <c r="I307" s="6"/>
      <c r="J307" s="8"/>
      <c r="K307" s="6"/>
      <c r="L307" s="6"/>
      <c r="M307" s="8"/>
      <c r="N307" s="8"/>
      <c r="O307" s="8"/>
      <c r="P307" s="8"/>
      <c r="Q307" s="18" t="e">
        <f>(Table1[[#This Row],[A. TÀI SẢN NGẮN HẠN]]-Table1[[#This Row],[I. Nợ ngắn hạn]])/Table1[[#This Row],[TỔNG CỘNG TÀI SẢN]]</f>
        <v>#DIV/0!</v>
      </c>
      <c r="R307" s="18" t="e">
        <f>Table1[[#This Row],[- LNST chưa phân phối kỳ này]]/Table1[[#This Row],[TỔNG CỘNG TÀI SẢN]]</f>
        <v>#DIV/0!</v>
      </c>
      <c r="S307" s="21" t="e">
        <f>Table1[[#This Row],[5. Lợi nhuận gộp về bán hàng và cung cấp dịch vụ]]/Table1[[#This Row],[TỔNG CỘNG TÀI SẢN]]</f>
        <v>#DIV/0!</v>
      </c>
      <c r="T30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307" s="23" t="e">
        <f>Table1[[#This Row],[1. Doanh thu bán hàng và cung cấp dịch vụ ]]/Table1[[#This Row],[TỔNG CỘNG TÀI SẢN]]</f>
        <v>#DIV/0!</v>
      </c>
      <c r="V307" s="23" t="e">
        <f>1.2*Table1[[#This Row],[X1]] + 1.4*Table1[[#This Row],[X2]] + 3.3*Table1[[#This Row],[x3]] + 0.6*Table1[[#This Row],[x4]] + 1*Table1[[#This Row],[x5]]</f>
        <v>#DIV/0!</v>
      </c>
      <c r="W307" s="23" t="e">
        <f>IF(Table1[[#This Row],[Zscore]]&lt;1.81,1,0)</f>
        <v>#DIV/0!</v>
      </c>
    </row>
    <row r="308" spans="1:23" x14ac:dyDescent="0.45">
      <c r="A308" s="7">
        <v>302</v>
      </c>
      <c r="B308" s="5" t="s">
        <v>617</v>
      </c>
      <c r="C308" s="6" t="s">
        <v>618</v>
      </c>
      <c r="D308" s="6" t="s">
        <v>21</v>
      </c>
      <c r="E308" s="8">
        <v>1596156906245</v>
      </c>
      <c r="F308" s="8">
        <v>1068985327597</v>
      </c>
      <c r="G308" s="8">
        <v>723758327377</v>
      </c>
      <c r="H308" s="8">
        <v>51089414610</v>
      </c>
      <c r="I308" s="8">
        <v>196587721467</v>
      </c>
      <c r="J308" s="8"/>
      <c r="K308" s="8">
        <v>1104527941338</v>
      </c>
      <c r="L308" s="8">
        <v>1666852675430</v>
      </c>
      <c r="M308" s="8">
        <v>245310315750</v>
      </c>
      <c r="N308" s="8">
        <v>363422690000</v>
      </c>
      <c r="O308" s="8">
        <v>259483800660</v>
      </c>
      <c r="P308" s="8">
        <v>390679391750</v>
      </c>
      <c r="Q308" s="18">
        <f>(Table1[[#This Row],[A. TÀI SẢN NGẮN HẠN]]-Table1[[#This Row],[I. Nợ ngắn hạn]])/Table1[[#This Row],[TỔNG CỘNG TÀI SẢN]]</f>
        <v>0.21628638066175798</v>
      </c>
      <c r="R308" s="18">
        <f>Table1[[#This Row],[- LNST chưa phân phối kỳ này]]/Table1[[#This Row],[TỔNG CỘNG TÀI SẢN]]</f>
        <v>3.2007764656539407E-2</v>
      </c>
      <c r="S308" s="21">
        <f>Table1[[#This Row],[5. Lợi nhuận gộp về bán hàng và cung cấp dịch vụ]]/Table1[[#This Row],[TỔNG CỘNG TÀI SẢN]]</f>
        <v>0.12316315563829977</v>
      </c>
      <c r="T30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0.28493987137957821</v>
      </c>
      <c r="U308" s="23">
        <f>Table1[[#This Row],[1. Doanh thu bán hàng và cung cấp dịch vụ ]]/Table1[[#This Row],[TỔNG CỘNG TÀI SẢN]]</f>
        <v>1.0442912403588902</v>
      </c>
      <c r="V308" s="23">
        <f>1.2*Table1[[#This Row],[X1]] + 1.4*Table1[[#This Row],[X2]] + 3.3*Table1[[#This Row],[x3]] + 0.6*Table1[[#This Row],[x4]] + 1*Table1[[#This Row],[x5]]</f>
        <v>1.9260481041062911</v>
      </c>
      <c r="W308" s="23">
        <f>IF(Table1[[#This Row],[Zscore]]&lt;1.81,1,0)</f>
        <v>0</v>
      </c>
    </row>
    <row r="309" spans="1:23" x14ac:dyDescent="0.45">
      <c r="A309" s="7">
        <v>303</v>
      </c>
      <c r="B309" s="5" t="s">
        <v>619</v>
      </c>
      <c r="C309" s="6" t="s">
        <v>620</v>
      </c>
      <c r="D309" s="6" t="s">
        <v>18</v>
      </c>
      <c r="E309" s="8">
        <v>9226409783404</v>
      </c>
      <c r="F309" s="8">
        <v>5193949967934</v>
      </c>
      <c r="G309" s="8">
        <v>3176891819588</v>
      </c>
      <c r="H309" s="8">
        <v>100365767547</v>
      </c>
      <c r="I309" s="8">
        <v>373696055199</v>
      </c>
      <c r="J309" s="8"/>
      <c r="K309" s="8">
        <v>5210314481677</v>
      </c>
      <c r="L309" s="8">
        <v>3194518320638</v>
      </c>
      <c r="M309" s="8">
        <v>2965596258200</v>
      </c>
      <c r="N309" s="8">
        <v>3108516559800</v>
      </c>
      <c r="O309" s="8">
        <v>2929866182800</v>
      </c>
      <c r="P309" s="8">
        <v>3358627087600</v>
      </c>
      <c r="Q309" s="18">
        <f>(Table1[[#This Row],[A. TÀI SẢN NGẮN HẠN]]-Table1[[#This Row],[I. Nợ ngắn hạn]])/Table1[[#This Row],[TỔNG CỘNG TÀI SẢN]]</f>
        <v>0.21861788016116326</v>
      </c>
      <c r="R309" s="18">
        <f>Table1[[#This Row],[- LNST chưa phân phối kỳ này]]/Table1[[#This Row],[TỔNG CỘNG TÀI SẢN]]</f>
        <v>1.0878095586815673E-2</v>
      </c>
      <c r="S309" s="21">
        <f>Table1[[#This Row],[5. Lợi nhuận gộp về bán hàng và cung cấp dịch vụ]]/Table1[[#This Row],[TỔNG CỘNG TÀI SẢN]]</f>
        <v>4.0502867742898824E-2</v>
      </c>
      <c r="T30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0.59317945835492791</v>
      </c>
      <c r="U309" s="23">
        <f>Table1[[#This Row],[1. Doanh thu bán hàng và cung cấp dịch vụ ]]/Table1[[#This Row],[TỔNG CỘNG TÀI SẢN]]</f>
        <v>0.34623633630322148</v>
      </c>
      <c r="V309" s="23">
        <f>1.2*Table1[[#This Row],[X1]] + 1.4*Table1[[#This Row],[X2]] + 3.3*Table1[[#This Row],[x3]] + 0.6*Table1[[#This Row],[x4]] + 1*Table1[[#This Row],[x5]]</f>
        <v>1.1133742648826821</v>
      </c>
      <c r="W309" s="23">
        <f>IF(Table1[[#This Row],[Zscore]]&lt;1.81,1,0)</f>
        <v>1</v>
      </c>
    </row>
    <row r="310" spans="1:23" x14ac:dyDescent="0.45">
      <c r="A310" s="7">
        <v>304</v>
      </c>
      <c r="B310" s="5" t="s">
        <v>621</v>
      </c>
      <c r="C310" s="6" t="s">
        <v>622</v>
      </c>
      <c r="D310" s="6" t="s">
        <v>36</v>
      </c>
      <c r="E310" s="8">
        <v>1540018629527</v>
      </c>
      <c r="F310" s="8">
        <v>1273057636427</v>
      </c>
      <c r="G310" s="8">
        <v>380636251352</v>
      </c>
      <c r="H310" s="8">
        <v>40768152438</v>
      </c>
      <c r="I310" s="8">
        <v>68130770895</v>
      </c>
      <c r="J310" s="8"/>
      <c r="K310" s="8">
        <v>647251245150</v>
      </c>
      <c r="L310" s="8">
        <v>909730972434</v>
      </c>
      <c r="M310" s="8">
        <v>389339823600</v>
      </c>
      <c r="N310" s="8">
        <v>778679647200</v>
      </c>
      <c r="O310" s="8">
        <v>370799832000</v>
      </c>
      <c r="P310" s="8">
        <v>791039641600</v>
      </c>
      <c r="Q310" s="18">
        <f>(Table1[[#This Row],[A. TÀI SẢN NGẮN HẠN]]-Table1[[#This Row],[I. Nợ ngắn hạn]])/Table1[[#This Row],[TỔNG CỘNG TÀI SẢN]]</f>
        <v>0.57948739577851571</v>
      </c>
      <c r="R310" s="18">
        <f>Table1[[#This Row],[- LNST chưa phân phối kỳ này]]/Table1[[#This Row],[TỔNG CỘNG TÀI SẢN]]</f>
        <v>2.6472506018009337E-2</v>
      </c>
      <c r="S310" s="21">
        <f>Table1[[#This Row],[5. Lợi nhuận gộp về bán hàng và cung cấp dịch vụ]]/Table1[[#This Row],[TỔNG CỘNG TÀI SẢN]]</f>
        <v>4.4240225143202083E-2</v>
      </c>
      <c r="T31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0.89990516119442032</v>
      </c>
      <c r="U310" s="23">
        <f>Table1[[#This Row],[1. Doanh thu bán hàng và cung cấp dịch vụ ]]/Table1[[#This Row],[TỔNG CỘNG TÀI SẢN]]</f>
        <v>0.59072725160046535</v>
      </c>
      <c r="V310" s="23">
        <f>1.2*Table1[[#This Row],[X1]] + 1.4*Table1[[#This Row],[X2]] + 3.3*Table1[[#This Row],[x3]] + 0.6*Table1[[#This Row],[x4]] + 1*Table1[[#This Row],[x5]]</f>
        <v>2.009109474649116</v>
      </c>
      <c r="W310" s="23">
        <f>IF(Table1[[#This Row],[Zscore]]&lt;1.81,1,0)</f>
        <v>0</v>
      </c>
    </row>
    <row r="311" spans="1:23" hidden="1" x14ac:dyDescent="0.45">
      <c r="A311" s="7">
        <v>305</v>
      </c>
      <c r="B311" s="5" t="s">
        <v>623</v>
      </c>
      <c r="C311" s="6" t="s">
        <v>624</v>
      </c>
      <c r="D311" s="6" t="s">
        <v>13</v>
      </c>
      <c r="E311" s="6"/>
      <c r="F311" s="6"/>
      <c r="G311" s="6"/>
      <c r="H311" s="6"/>
      <c r="I311" s="6"/>
      <c r="J311" s="8"/>
      <c r="K311" s="6"/>
      <c r="L311" s="6"/>
      <c r="M311" s="8"/>
      <c r="N311" s="8"/>
      <c r="O311" s="8"/>
      <c r="P311" s="8"/>
      <c r="Q311" s="18" t="e">
        <f>(Table1[[#This Row],[A. TÀI SẢN NGẮN HẠN]]-Table1[[#This Row],[I. Nợ ngắn hạn]])/Table1[[#This Row],[TỔNG CỘNG TÀI SẢN]]</f>
        <v>#DIV/0!</v>
      </c>
      <c r="R311" s="18" t="e">
        <f>Table1[[#This Row],[- LNST chưa phân phối kỳ này]]/Table1[[#This Row],[TỔNG CỘNG TÀI SẢN]]</f>
        <v>#DIV/0!</v>
      </c>
      <c r="S311" s="21" t="e">
        <f>Table1[[#This Row],[5. Lợi nhuận gộp về bán hàng và cung cấp dịch vụ]]/Table1[[#This Row],[TỔNG CỘNG TÀI SẢN]]</f>
        <v>#DIV/0!</v>
      </c>
      <c r="T31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311" s="23" t="e">
        <f>Table1[[#This Row],[1. Doanh thu bán hàng và cung cấp dịch vụ ]]/Table1[[#This Row],[TỔNG CỘNG TÀI SẢN]]</f>
        <v>#DIV/0!</v>
      </c>
      <c r="V311" s="23" t="e">
        <f>1.2*Table1[[#This Row],[X1]] + 1.4*Table1[[#This Row],[X2]] + 3.3*Table1[[#This Row],[x3]] + 0.6*Table1[[#This Row],[x4]] + 1*Table1[[#This Row],[x5]]</f>
        <v>#DIV/0!</v>
      </c>
      <c r="W311" s="23" t="e">
        <f>IF(Table1[[#This Row],[Zscore]]&lt;1.81,1,0)</f>
        <v>#DIV/0!</v>
      </c>
    </row>
    <row r="312" spans="1:23" hidden="1" x14ac:dyDescent="0.45">
      <c r="A312" s="7">
        <v>306</v>
      </c>
      <c r="B312" s="5" t="s">
        <v>625</v>
      </c>
      <c r="C312" s="6" t="s">
        <v>626</v>
      </c>
      <c r="D312" s="6" t="s">
        <v>18</v>
      </c>
      <c r="E312" s="6"/>
      <c r="F312" s="6"/>
      <c r="G312" s="6"/>
      <c r="H312" s="6"/>
      <c r="I312" s="6"/>
      <c r="J312" s="8"/>
      <c r="K312" s="6"/>
      <c r="L312" s="6"/>
      <c r="M312" s="8"/>
      <c r="N312" s="8"/>
      <c r="O312" s="8"/>
      <c r="P312" s="8"/>
      <c r="Q312" s="18" t="e">
        <f>(Table1[[#This Row],[A. TÀI SẢN NGẮN HẠN]]-Table1[[#This Row],[I. Nợ ngắn hạn]])/Table1[[#This Row],[TỔNG CỘNG TÀI SẢN]]</f>
        <v>#DIV/0!</v>
      </c>
      <c r="R312" s="18" t="e">
        <f>Table1[[#This Row],[- LNST chưa phân phối kỳ này]]/Table1[[#This Row],[TỔNG CỘNG TÀI SẢN]]</f>
        <v>#DIV/0!</v>
      </c>
      <c r="S312" s="21" t="e">
        <f>Table1[[#This Row],[5. Lợi nhuận gộp về bán hàng và cung cấp dịch vụ]]/Table1[[#This Row],[TỔNG CỘNG TÀI SẢN]]</f>
        <v>#DIV/0!</v>
      </c>
      <c r="T31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312" s="23" t="e">
        <f>Table1[[#This Row],[1. Doanh thu bán hàng và cung cấp dịch vụ ]]/Table1[[#This Row],[TỔNG CỘNG TÀI SẢN]]</f>
        <v>#DIV/0!</v>
      </c>
      <c r="V312" s="23" t="e">
        <f>1.2*Table1[[#This Row],[X1]] + 1.4*Table1[[#This Row],[X2]] + 3.3*Table1[[#This Row],[x3]] + 0.6*Table1[[#This Row],[x4]] + 1*Table1[[#This Row],[x5]]</f>
        <v>#DIV/0!</v>
      </c>
      <c r="W312" s="23" t="e">
        <f>IF(Table1[[#This Row],[Zscore]]&lt;1.81,1,0)</f>
        <v>#DIV/0!</v>
      </c>
    </row>
    <row r="313" spans="1:23" ht="26.25" hidden="1" x14ac:dyDescent="0.45">
      <c r="A313" s="7">
        <v>307</v>
      </c>
      <c r="B313" s="5" t="s">
        <v>627</v>
      </c>
      <c r="C313" s="6" t="s">
        <v>628</v>
      </c>
      <c r="D313" s="6" t="s">
        <v>13</v>
      </c>
      <c r="E313" s="6"/>
      <c r="F313" s="6"/>
      <c r="G313" s="6"/>
      <c r="H313" s="6"/>
      <c r="I313" s="6"/>
      <c r="J313" s="8"/>
      <c r="K313" s="6"/>
      <c r="L313" s="6"/>
      <c r="M313" s="8"/>
      <c r="N313" s="8"/>
      <c r="O313" s="8"/>
      <c r="P313" s="8"/>
      <c r="Q313" s="18" t="e">
        <f>(Table1[[#This Row],[A. TÀI SẢN NGẮN HẠN]]-Table1[[#This Row],[I. Nợ ngắn hạn]])/Table1[[#This Row],[TỔNG CỘNG TÀI SẢN]]</f>
        <v>#DIV/0!</v>
      </c>
      <c r="R313" s="18" t="e">
        <f>Table1[[#This Row],[- LNST chưa phân phối kỳ này]]/Table1[[#This Row],[TỔNG CỘNG TÀI SẢN]]</f>
        <v>#DIV/0!</v>
      </c>
      <c r="S313" s="21" t="e">
        <f>Table1[[#This Row],[5. Lợi nhuận gộp về bán hàng và cung cấp dịch vụ]]/Table1[[#This Row],[TỔNG CỘNG TÀI SẢN]]</f>
        <v>#DIV/0!</v>
      </c>
      <c r="T31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313" s="23" t="e">
        <f>Table1[[#This Row],[1. Doanh thu bán hàng và cung cấp dịch vụ ]]/Table1[[#This Row],[TỔNG CỘNG TÀI SẢN]]</f>
        <v>#DIV/0!</v>
      </c>
      <c r="V313" s="23" t="e">
        <f>1.2*Table1[[#This Row],[X1]] + 1.4*Table1[[#This Row],[X2]] + 3.3*Table1[[#This Row],[x3]] + 0.6*Table1[[#This Row],[x4]] + 1*Table1[[#This Row],[x5]]</f>
        <v>#DIV/0!</v>
      </c>
      <c r="W313" s="23" t="e">
        <f>IF(Table1[[#This Row],[Zscore]]&lt;1.81,1,0)</f>
        <v>#DIV/0!</v>
      </c>
    </row>
    <row r="314" spans="1:23" ht="26.25" x14ac:dyDescent="0.45">
      <c r="A314" s="7">
        <v>308</v>
      </c>
      <c r="B314" s="5" t="s">
        <v>629</v>
      </c>
      <c r="C314" s="6" t="s">
        <v>630</v>
      </c>
      <c r="D314" s="6" t="s">
        <v>18</v>
      </c>
      <c r="E314" s="8">
        <v>11571353867</v>
      </c>
      <c r="F314" s="8">
        <v>6972064453</v>
      </c>
      <c r="G314" s="8">
        <v>1520336986718</v>
      </c>
      <c r="H314" s="8">
        <v>-3536050443</v>
      </c>
      <c r="I314" s="8">
        <v>5189746094</v>
      </c>
      <c r="J314" s="8"/>
      <c r="K314" s="8">
        <v>1521403252068</v>
      </c>
      <c r="L314" s="8">
        <v>22377111526</v>
      </c>
      <c r="M314" s="8">
        <v>10399963500</v>
      </c>
      <c r="N314" s="8">
        <v>4399963500</v>
      </c>
      <c r="O314" s="8">
        <v>4399963500</v>
      </c>
      <c r="P314" s="8">
        <v>5279956200</v>
      </c>
      <c r="Q314" s="18">
        <f>(Table1[[#This Row],[A. TÀI SẢN NGẮN HẠN]]-Table1[[#This Row],[I. Nợ ngắn hạn]])/Table1[[#This Row],[TỔNG CỘNG TÀI SẢN]]</f>
        <v>-130.78546725469354</v>
      </c>
      <c r="R314" s="18">
        <f>Table1[[#This Row],[- LNST chưa phân phối kỳ này]]/Table1[[#This Row],[TỔNG CỘNG TÀI SẢN]]</f>
        <v>-0.30558657903327607</v>
      </c>
      <c r="S314" s="21">
        <f>Table1[[#This Row],[5. Lợi nhuận gộp về bán hàng và cung cấp dịch vụ]]/Table1[[#This Row],[TỔNG CỘNG TÀI SẢN]]</f>
        <v>0.44849947150959429</v>
      </c>
      <c r="T31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4.0225769641817916E-3</v>
      </c>
      <c r="U314" s="23">
        <f>Table1[[#This Row],[1. Doanh thu bán hàng và cung cấp dịch vụ ]]/Table1[[#This Row],[TỔNG CỘNG TÀI SẢN]]</f>
        <v>1.933836937596094</v>
      </c>
      <c r="V314" s="23">
        <f>1.2*Table1[[#This Row],[X1]] + 1.4*Table1[[#This Row],[X2]] + 3.3*Table1[[#This Row],[x3]] + 0.6*Table1[[#This Row],[x4]] + 1*Table1[[#This Row],[x5]]</f>
        <v>-153.95408317652257</v>
      </c>
      <c r="W314" s="23">
        <f>IF(Table1[[#This Row],[Zscore]]&lt;1.81,1,0)</f>
        <v>1</v>
      </c>
    </row>
    <row r="315" spans="1:23" hidden="1" x14ac:dyDescent="0.45">
      <c r="A315" s="7">
        <v>309</v>
      </c>
      <c r="B315" s="5" t="s">
        <v>631</v>
      </c>
      <c r="C315" s="6" t="s">
        <v>632</v>
      </c>
      <c r="D315" s="6" t="s">
        <v>13</v>
      </c>
      <c r="E315" s="6"/>
      <c r="F315" s="6"/>
      <c r="G315" s="6"/>
      <c r="H315" s="6"/>
      <c r="I315" s="6"/>
      <c r="J315" s="8"/>
      <c r="K315" s="6"/>
      <c r="L315" s="6"/>
      <c r="M315" s="8"/>
      <c r="N315" s="8"/>
      <c r="O315" s="8"/>
      <c r="P315" s="8"/>
      <c r="Q315" s="18" t="e">
        <f>(Table1[[#This Row],[A. TÀI SẢN NGẮN HẠN]]-Table1[[#This Row],[I. Nợ ngắn hạn]])/Table1[[#This Row],[TỔNG CỘNG TÀI SẢN]]</f>
        <v>#DIV/0!</v>
      </c>
      <c r="R315" s="18" t="e">
        <f>Table1[[#This Row],[- LNST chưa phân phối kỳ này]]/Table1[[#This Row],[TỔNG CỘNG TÀI SẢN]]</f>
        <v>#DIV/0!</v>
      </c>
      <c r="S315" s="21" t="e">
        <f>Table1[[#This Row],[5. Lợi nhuận gộp về bán hàng và cung cấp dịch vụ]]/Table1[[#This Row],[TỔNG CỘNG TÀI SẢN]]</f>
        <v>#DIV/0!</v>
      </c>
      <c r="T31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315" s="23" t="e">
        <f>Table1[[#This Row],[1. Doanh thu bán hàng và cung cấp dịch vụ ]]/Table1[[#This Row],[TỔNG CỘNG TÀI SẢN]]</f>
        <v>#DIV/0!</v>
      </c>
      <c r="V315" s="23" t="e">
        <f>1.2*Table1[[#This Row],[X1]] + 1.4*Table1[[#This Row],[X2]] + 3.3*Table1[[#This Row],[x3]] + 0.6*Table1[[#This Row],[x4]] + 1*Table1[[#This Row],[x5]]</f>
        <v>#DIV/0!</v>
      </c>
      <c r="W315" s="23" t="e">
        <f>IF(Table1[[#This Row],[Zscore]]&lt;1.81,1,0)</f>
        <v>#DIV/0!</v>
      </c>
    </row>
    <row r="316" spans="1:23" hidden="1" x14ac:dyDescent="0.45">
      <c r="A316" s="7">
        <v>310</v>
      </c>
      <c r="B316" s="5" t="s">
        <v>633</v>
      </c>
      <c r="C316" s="6" t="s">
        <v>634</v>
      </c>
      <c r="D316" s="6" t="s">
        <v>13</v>
      </c>
      <c r="E316" s="6"/>
      <c r="F316" s="6"/>
      <c r="G316" s="6"/>
      <c r="H316" s="6"/>
      <c r="I316" s="6"/>
      <c r="J316" s="8"/>
      <c r="K316" s="6"/>
      <c r="L316" s="6"/>
      <c r="M316" s="8"/>
      <c r="N316" s="8"/>
      <c r="O316" s="8"/>
      <c r="P316" s="8"/>
      <c r="Q316" s="18" t="e">
        <f>(Table1[[#This Row],[A. TÀI SẢN NGẮN HẠN]]-Table1[[#This Row],[I. Nợ ngắn hạn]])/Table1[[#This Row],[TỔNG CỘNG TÀI SẢN]]</f>
        <v>#DIV/0!</v>
      </c>
      <c r="R316" s="18" t="e">
        <f>Table1[[#This Row],[- LNST chưa phân phối kỳ này]]/Table1[[#This Row],[TỔNG CỘNG TÀI SẢN]]</f>
        <v>#DIV/0!</v>
      </c>
      <c r="S316" s="21" t="e">
        <f>Table1[[#This Row],[5. Lợi nhuận gộp về bán hàng và cung cấp dịch vụ]]/Table1[[#This Row],[TỔNG CỘNG TÀI SẢN]]</f>
        <v>#DIV/0!</v>
      </c>
      <c r="T31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316" s="23" t="e">
        <f>Table1[[#This Row],[1. Doanh thu bán hàng và cung cấp dịch vụ ]]/Table1[[#This Row],[TỔNG CỘNG TÀI SẢN]]</f>
        <v>#DIV/0!</v>
      </c>
      <c r="V316" s="23" t="e">
        <f>1.2*Table1[[#This Row],[X1]] + 1.4*Table1[[#This Row],[X2]] + 3.3*Table1[[#This Row],[x3]] + 0.6*Table1[[#This Row],[x4]] + 1*Table1[[#This Row],[x5]]</f>
        <v>#DIV/0!</v>
      </c>
      <c r="W316" s="23" t="e">
        <f>IF(Table1[[#This Row],[Zscore]]&lt;1.81,1,0)</f>
        <v>#DIV/0!</v>
      </c>
    </row>
    <row r="317" spans="1:23" ht="26.25" hidden="1" x14ac:dyDescent="0.45">
      <c r="A317" s="7">
        <v>311</v>
      </c>
      <c r="B317" s="5" t="s">
        <v>635</v>
      </c>
      <c r="C317" s="6" t="s">
        <v>636</v>
      </c>
      <c r="D317" s="6" t="s">
        <v>13</v>
      </c>
      <c r="E317" s="6"/>
      <c r="F317" s="6"/>
      <c r="G317" s="6"/>
      <c r="H317" s="6"/>
      <c r="I317" s="6"/>
      <c r="J317" s="8"/>
      <c r="K317" s="6"/>
      <c r="L317" s="6"/>
      <c r="M317" s="8"/>
      <c r="N317" s="8"/>
      <c r="O317" s="8"/>
      <c r="P317" s="8"/>
      <c r="Q317" s="18" t="e">
        <f>(Table1[[#This Row],[A. TÀI SẢN NGẮN HẠN]]-Table1[[#This Row],[I. Nợ ngắn hạn]])/Table1[[#This Row],[TỔNG CỘNG TÀI SẢN]]</f>
        <v>#DIV/0!</v>
      </c>
      <c r="R317" s="18" t="e">
        <f>Table1[[#This Row],[- LNST chưa phân phối kỳ này]]/Table1[[#This Row],[TỔNG CỘNG TÀI SẢN]]</f>
        <v>#DIV/0!</v>
      </c>
      <c r="S317" s="21" t="e">
        <f>Table1[[#This Row],[5. Lợi nhuận gộp về bán hàng và cung cấp dịch vụ]]/Table1[[#This Row],[TỔNG CỘNG TÀI SẢN]]</f>
        <v>#DIV/0!</v>
      </c>
      <c r="T31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317" s="23" t="e">
        <f>Table1[[#This Row],[1. Doanh thu bán hàng và cung cấp dịch vụ ]]/Table1[[#This Row],[TỔNG CỘNG TÀI SẢN]]</f>
        <v>#DIV/0!</v>
      </c>
      <c r="V317" s="23" t="e">
        <f>1.2*Table1[[#This Row],[X1]] + 1.4*Table1[[#This Row],[X2]] + 3.3*Table1[[#This Row],[x3]] + 0.6*Table1[[#This Row],[x4]] + 1*Table1[[#This Row],[x5]]</f>
        <v>#DIV/0!</v>
      </c>
      <c r="W317" s="23" t="e">
        <f>IF(Table1[[#This Row],[Zscore]]&lt;1.81,1,0)</f>
        <v>#DIV/0!</v>
      </c>
    </row>
    <row r="318" spans="1:23" x14ac:dyDescent="0.45">
      <c r="A318" s="7">
        <v>312</v>
      </c>
      <c r="B318" s="5" t="s">
        <v>637</v>
      </c>
      <c r="C318" s="6" t="s">
        <v>638</v>
      </c>
      <c r="D318" s="6" t="s">
        <v>36</v>
      </c>
      <c r="E318" s="8">
        <v>148404489462</v>
      </c>
      <c r="F318" s="8">
        <v>95309034148</v>
      </c>
      <c r="G318" s="8">
        <v>2907774671</v>
      </c>
      <c r="H318" s="8">
        <v>774811300</v>
      </c>
      <c r="I318" s="8">
        <v>6922288708</v>
      </c>
      <c r="J318" s="8"/>
      <c r="K318" s="8">
        <v>4407664671</v>
      </c>
      <c r="L318" s="8">
        <v>46725011895</v>
      </c>
      <c r="M318" s="8">
        <v>115920000000</v>
      </c>
      <c r="N318" s="8">
        <v>89700000000</v>
      </c>
      <c r="O318" s="8">
        <v>102120000000</v>
      </c>
      <c r="P318" s="8">
        <v>102120000000</v>
      </c>
      <c r="Q318" s="18">
        <f>(Table1[[#This Row],[A. TÀI SẢN NGẮN HẠN]]-Table1[[#This Row],[I. Nợ ngắn hạn]])/Table1[[#This Row],[TỔNG CỘNG TÀI SẢN]]</f>
        <v>0.62263116036432298</v>
      </c>
      <c r="R318" s="18">
        <f>Table1[[#This Row],[- LNST chưa phân phối kỳ này]]/Table1[[#This Row],[TỔNG CỘNG TÀI SẢN]]</f>
        <v>5.2209424580675901E-3</v>
      </c>
      <c r="S318" s="21">
        <f>Table1[[#This Row],[5. Lợi nhuận gộp về bán hàng và cung cấp dịch vụ]]/Table1[[#This Row],[TỔNG CỘNG TÀI SẢN]]</f>
        <v>4.6644739206306157E-2</v>
      </c>
      <c r="T31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23.247004399895285</v>
      </c>
      <c r="U318" s="23">
        <f>Table1[[#This Row],[1. Doanh thu bán hàng và cung cấp dịch vụ ]]/Table1[[#This Row],[TỔNG CỘNG TÀI SẢN]]</f>
        <v>0.31484904576936174</v>
      </c>
      <c r="V318" s="23">
        <f>1.2*Table1[[#This Row],[X1]] + 1.4*Table1[[#This Row],[X2]] + 3.3*Table1[[#This Row],[x3]] + 0.6*Table1[[#This Row],[x4]] + 1*Table1[[#This Row],[x5]]</f>
        <v>15.171446036965825</v>
      </c>
      <c r="W318" s="23">
        <f>IF(Table1[[#This Row],[Zscore]]&lt;1.81,1,0)</f>
        <v>0</v>
      </c>
    </row>
    <row r="319" spans="1:23" hidden="1" x14ac:dyDescent="0.45">
      <c r="A319" s="7">
        <v>313</v>
      </c>
      <c r="B319" s="5" t="s">
        <v>639</v>
      </c>
      <c r="C319" s="6" t="s">
        <v>640</v>
      </c>
      <c r="D319" s="6" t="s">
        <v>13</v>
      </c>
      <c r="E319" s="6"/>
      <c r="F319" s="6"/>
      <c r="G319" s="6"/>
      <c r="H319" s="6"/>
      <c r="I319" s="6"/>
      <c r="J319" s="8"/>
      <c r="K319" s="6"/>
      <c r="L319" s="6"/>
      <c r="M319" s="8"/>
      <c r="N319" s="8"/>
      <c r="O319" s="8"/>
      <c r="P319" s="8"/>
      <c r="Q319" s="18" t="e">
        <f>(Table1[[#This Row],[A. TÀI SẢN NGẮN HẠN]]-Table1[[#This Row],[I. Nợ ngắn hạn]])/Table1[[#This Row],[TỔNG CỘNG TÀI SẢN]]</f>
        <v>#DIV/0!</v>
      </c>
      <c r="R319" s="18" t="e">
        <f>Table1[[#This Row],[- LNST chưa phân phối kỳ này]]/Table1[[#This Row],[TỔNG CỘNG TÀI SẢN]]</f>
        <v>#DIV/0!</v>
      </c>
      <c r="S319" s="21" t="e">
        <f>Table1[[#This Row],[5. Lợi nhuận gộp về bán hàng và cung cấp dịch vụ]]/Table1[[#This Row],[TỔNG CỘNG TÀI SẢN]]</f>
        <v>#DIV/0!</v>
      </c>
      <c r="T31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319" s="23" t="e">
        <f>Table1[[#This Row],[1. Doanh thu bán hàng và cung cấp dịch vụ ]]/Table1[[#This Row],[TỔNG CỘNG TÀI SẢN]]</f>
        <v>#DIV/0!</v>
      </c>
      <c r="V319" s="23" t="e">
        <f>1.2*Table1[[#This Row],[X1]] + 1.4*Table1[[#This Row],[X2]] + 3.3*Table1[[#This Row],[x3]] + 0.6*Table1[[#This Row],[x4]] + 1*Table1[[#This Row],[x5]]</f>
        <v>#DIV/0!</v>
      </c>
      <c r="W319" s="23" t="e">
        <f>IF(Table1[[#This Row],[Zscore]]&lt;1.81,1,0)</f>
        <v>#DIV/0!</v>
      </c>
    </row>
    <row r="320" spans="1:23" ht="26.25" hidden="1" x14ac:dyDescent="0.45">
      <c r="A320" s="7">
        <v>314</v>
      </c>
      <c r="B320" s="5" t="s">
        <v>641</v>
      </c>
      <c r="C320" s="6" t="s">
        <v>642</v>
      </c>
      <c r="D320" s="6" t="s">
        <v>13</v>
      </c>
      <c r="E320" s="6"/>
      <c r="F320" s="6"/>
      <c r="G320" s="6"/>
      <c r="H320" s="6"/>
      <c r="I320" s="6"/>
      <c r="J320" s="8"/>
      <c r="K320" s="6"/>
      <c r="L320" s="6"/>
      <c r="M320" s="8"/>
      <c r="N320" s="8"/>
      <c r="O320" s="8"/>
      <c r="P320" s="8"/>
      <c r="Q320" s="18" t="e">
        <f>(Table1[[#This Row],[A. TÀI SẢN NGẮN HẠN]]-Table1[[#This Row],[I. Nợ ngắn hạn]])/Table1[[#This Row],[TỔNG CỘNG TÀI SẢN]]</f>
        <v>#DIV/0!</v>
      </c>
      <c r="R320" s="18" t="e">
        <f>Table1[[#This Row],[- LNST chưa phân phối kỳ này]]/Table1[[#This Row],[TỔNG CỘNG TÀI SẢN]]</f>
        <v>#DIV/0!</v>
      </c>
      <c r="S320" s="21" t="e">
        <f>Table1[[#This Row],[5. Lợi nhuận gộp về bán hàng và cung cấp dịch vụ]]/Table1[[#This Row],[TỔNG CỘNG TÀI SẢN]]</f>
        <v>#DIV/0!</v>
      </c>
      <c r="T32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320" s="23" t="e">
        <f>Table1[[#This Row],[1. Doanh thu bán hàng và cung cấp dịch vụ ]]/Table1[[#This Row],[TỔNG CỘNG TÀI SẢN]]</f>
        <v>#DIV/0!</v>
      </c>
      <c r="V320" s="23" t="e">
        <f>1.2*Table1[[#This Row],[X1]] + 1.4*Table1[[#This Row],[X2]] + 3.3*Table1[[#This Row],[x3]] + 0.6*Table1[[#This Row],[x4]] + 1*Table1[[#This Row],[x5]]</f>
        <v>#DIV/0!</v>
      </c>
      <c r="W320" s="23" t="e">
        <f>IF(Table1[[#This Row],[Zscore]]&lt;1.81,1,0)</f>
        <v>#DIV/0!</v>
      </c>
    </row>
    <row r="321" spans="1:23" x14ac:dyDescent="0.45">
      <c r="A321" s="7">
        <v>315</v>
      </c>
      <c r="B321" s="5" t="s">
        <v>643</v>
      </c>
      <c r="C321" s="6" t="s">
        <v>644</v>
      </c>
      <c r="D321" s="6" t="s">
        <v>36</v>
      </c>
      <c r="E321" s="8">
        <v>390715288365</v>
      </c>
      <c r="F321" s="8">
        <v>338320961557</v>
      </c>
      <c r="G321" s="8">
        <v>228477799444</v>
      </c>
      <c r="H321" s="8">
        <v>1944665043</v>
      </c>
      <c r="I321" s="8">
        <v>138630025247</v>
      </c>
      <c r="J321" s="8"/>
      <c r="K321" s="8">
        <v>242821265462</v>
      </c>
      <c r="L321" s="8">
        <v>710075697512</v>
      </c>
      <c r="M321" s="8">
        <v>252000000000</v>
      </c>
      <c r="N321" s="8">
        <v>157000000000</v>
      </c>
      <c r="O321" s="8">
        <v>172500000000</v>
      </c>
      <c r="P321" s="8">
        <v>162000000000</v>
      </c>
      <c r="Q321" s="18">
        <f>(Table1[[#This Row],[A. TÀI SẢN NGẮN HẠN]]-Table1[[#This Row],[I. Nợ ngắn hạn]])/Table1[[#This Row],[TỔNG CỘNG TÀI SẢN]]</f>
        <v>0.28113351431077421</v>
      </c>
      <c r="R321" s="18">
        <f>Table1[[#This Row],[- LNST chưa phân phối kỳ này]]/Table1[[#This Row],[TỔNG CỘNG TÀI SẢN]]</f>
        <v>4.9771920907874098E-3</v>
      </c>
      <c r="S321" s="21">
        <f>Table1[[#This Row],[5. Lợi nhuận gộp về bán hàng và cung cấp dịch vụ]]/Table1[[#This Row],[TỔNG CỘNG TÀI SẢN]]</f>
        <v>0.3548108542850108</v>
      </c>
      <c r="T32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0.76548073187225962</v>
      </c>
      <c r="U321" s="23">
        <f>Table1[[#This Row],[1. Doanh thu bán hàng và cung cấp dịch vụ ]]/Table1[[#This Row],[TỔNG CỘNG TÀI SẢN]]</f>
        <v>1.8173737211139243</v>
      </c>
      <c r="V321" s="23">
        <f>1.2*Table1[[#This Row],[X1]] + 1.4*Table1[[#This Row],[X2]] + 3.3*Table1[[#This Row],[x3]] + 0.6*Table1[[#This Row],[x4]] + 1*Table1[[#This Row],[x5]]</f>
        <v>3.791866265477847</v>
      </c>
      <c r="W321" s="23">
        <f>IF(Table1[[#This Row],[Zscore]]&lt;1.81,1,0)</f>
        <v>0</v>
      </c>
    </row>
    <row r="322" spans="1:23" hidden="1" x14ac:dyDescent="0.45">
      <c r="A322" s="7">
        <v>316</v>
      </c>
      <c r="B322" s="5" t="s">
        <v>645</v>
      </c>
      <c r="C322" s="6" t="s">
        <v>646</v>
      </c>
      <c r="D322" s="6" t="s">
        <v>13</v>
      </c>
      <c r="E322" s="6"/>
      <c r="F322" s="6"/>
      <c r="G322" s="6"/>
      <c r="H322" s="6"/>
      <c r="I322" s="6"/>
      <c r="J322" s="8"/>
      <c r="K322" s="6"/>
      <c r="L322" s="6"/>
      <c r="M322" s="8"/>
      <c r="N322" s="8"/>
      <c r="O322" s="8"/>
      <c r="P322" s="8"/>
      <c r="Q322" s="18" t="e">
        <f>(Table1[[#This Row],[A. TÀI SẢN NGẮN HẠN]]-Table1[[#This Row],[I. Nợ ngắn hạn]])/Table1[[#This Row],[TỔNG CỘNG TÀI SẢN]]</f>
        <v>#DIV/0!</v>
      </c>
      <c r="R322" s="18" t="e">
        <f>Table1[[#This Row],[- LNST chưa phân phối kỳ này]]/Table1[[#This Row],[TỔNG CỘNG TÀI SẢN]]</f>
        <v>#DIV/0!</v>
      </c>
      <c r="S322" s="21" t="e">
        <f>Table1[[#This Row],[5. Lợi nhuận gộp về bán hàng và cung cấp dịch vụ]]/Table1[[#This Row],[TỔNG CỘNG TÀI SẢN]]</f>
        <v>#DIV/0!</v>
      </c>
      <c r="T32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322" s="23" t="e">
        <f>Table1[[#This Row],[1. Doanh thu bán hàng và cung cấp dịch vụ ]]/Table1[[#This Row],[TỔNG CỘNG TÀI SẢN]]</f>
        <v>#DIV/0!</v>
      </c>
      <c r="V322" s="23" t="e">
        <f>1.2*Table1[[#This Row],[X1]] + 1.4*Table1[[#This Row],[X2]] + 3.3*Table1[[#This Row],[x3]] + 0.6*Table1[[#This Row],[x4]] + 1*Table1[[#This Row],[x5]]</f>
        <v>#DIV/0!</v>
      </c>
      <c r="W322" s="23" t="e">
        <f>IF(Table1[[#This Row],[Zscore]]&lt;1.81,1,0)</f>
        <v>#DIV/0!</v>
      </c>
    </row>
    <row r="323" spans="1:23" hidden="1" x14ac:dyDescent="0.45">
      <c r="A323" s="7">
        <v>317</v>
      </c>
      <c r="B323" s="5" t="s">
        <v>647</v>
      </c>
      <c r="C323" s="6" t="s">
        <v>648</v>
      </c>
      <c r="D323" s="6" t="s">
        <v>13</v>
      </c>
      <c r="E323" s="6"/>
      <c r="F323" s="6"/>
      <c r="G323" s="6"/>
      <c r="H323" s="6"/>
      <c r="I323" s="6"/>
      <c r="J323" s="8"/>
      <c r="K323" s="6"/>
      <c r="L323" s="6"/>
      <c r="M323" s="8"/>
      <c r="N323" s="8"/>
      <c r="O323" s="8"/>
      <c r="P323" s="8"/>
      <c r="Q323" s="18" t="e">
        <f>(Table1[[#This Row],[A. TÀI SẢN NGẮN HẠN]]-Table1[[#This Row],[I. Nợ ngắn hạn]])/Table1[[#This Row],[TỔNG CỘNG TÀI SẢN]]</f>
        <v>#DIV/0!</v>
      </c>
      <c r="R323" s="18" t="e">
        <f>Table1[[#This Row],[- LNST chưa phân phối kỳ này]]/Table1[[#This Row],[TỔNG CỘNG TÀI SẢN]]</f>
        <v>#DIV/0!</v>
      </c>
      <c r="S323" s="21" t="e">
        <f>Table1[[#This Row],[5. Lợi nhuận gộp về bán hàng và cung cấp dịch vụ]]/Table1[[#This Row],[TỔNG CỘNG TÀI SẢN]]</f>
        <v>#DIV/0!</v>
      </c>
      <c r="T32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323" s="23" t="e">
        <f>Table1[[#This Row],[1. Doanh thu bán hàng và cung cấp dịch vụ ]]/Table1[[#This Row],[TỔNG CỘNG TÀI SẢN]]</f>
        <v>#DIV/0!</v>
      </c>
      <c r="V323" s="23" t="e">
        <f>1.2*Table1[[#This Row],[X1]] + 1.4*Table1[[#This Row],[X2]] + 3.3*Table1[[#This Row],[x3]] + 0.6*Table1[[#This Row],[x4]] + 1*Table1[[#This Row],[x5]]</f>
        <v>#DIV/0!</v>
      </c>
      <c r="W323" s="23" t="e">
        <f>IF(Table1[[#This Row],[Zscore]]&lt;1.81,1,0)</f>
        <v>#DIV/0!</v>
      </c>
    </row>
    <row r="324" spans="1:23" hidden="1" x14ac:dyDescent="0.45">
      <c r="A324" s="7">
        <v>318</v>
      </c>
      <c r="B324" s="5" t="s">
        <v>649</v>
      </c>
      <c r="C324" s="6" t="s">
        <v>650</v>
      </c>
      <c r="D324" s="6" t="s">
        <v>13</v>
      </c>
      <c r="E324" s="6"/>
      <c r="F324" s="6"/>
      <c r="G324" s="6"/>
      <c r="H324" s="6"/>
      <c r="I324" s="6"/>
      <c r="J324" s="8"/>
      <c r="K324" s="6"/>
      <c r="L324" s="6"/>
      <c r="M324" s="8"/>
      <c r="N324" s="8"/>
      <c r="O324" s="8"/>
      <c r="P324" s="8"/>
      <c r="Q324" s="18" t="e">
        <f>(Table1[[#This Row],[A. TÀI SẢN NGẮN HẠN]]-Table1[[#This Row],[I. Nợ ngắn hạn]])/Table1[[#This Row],[TỔNG CỘNG TÀI SẢN]]</f>
        <v>#DIV/0!</v>
      </c>
      <c r="R324" s="18" t="e">
        <f>Table1[[#This Row],[- LNST chưa phân phối kỳ này]]/Table1[[#This Row],[TỔNG CỘNG TÀI SẢN]]</f>
        <v>#DIV/0!</v>
      </c>
      <c r="S324" s="21" t="e">
        <f>Table1[[#This Row],[5. Lợi nhuận gộp về bán hàng và cung cấp dịch vụ]]/Table1[[#This Row],[TỔNG CỘNG TÀI SẢN]]</f>
        <v>#DIV/0!</v>
      </c>
      <c r="T32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324" s="23" t="e">
        <f>Table1[[#This Row],[1. Doanh thu bán hàng và cung cấp dịch vụ ]]/Table1[[#This Row],[TỔNG CỘNG TÀI SẢN]]</f>
        <v>#DIV/0!</v>
      </c>
      <c r="V324" s="23" t="e">
        <f>1.2*Table1[[#This Row],[X1]] + 1.4*Table1[[#This Row],[X2]] + 3.3*Table1[[#This Row],[x3]] + 0.6*Table1[[#This Row],[x4]] + 1*Table1[[#This Row],[x5]]</f>
        <v>#DIV/0!</v>
      </c>
      <c r="W324" s="23" t="e">
        <f>IF(Table1[[#This Row],[Zscore]]&lt;1.81,1,0)</f>
        <v>#DIV/0!</v>
      </c>
    </row>
    <row r="325" spans="1:23" ht="26.25" x14ac:dyDescent="0.45">
      <c r="A325" s="7">
        <v>319</v>
      </c>
      <c r="B325" s="5" t="s">
        <v>651</v>
      </c>
      <c r="C325" s="6" t="s">
        <v>652</v>
      </c>
      <c r="D325" s="6" t="s">
        <v>36</v>
      </c>
      <c r="E325" s="8">
        <v>277867281456</v>
      </c>
      <c r="F325" s="8">
        <v>222464913866</v>
      </c>
      <c r="G325" s="8">
        <v>39438667319</v>
      </c>
      <c r="H325" s="8">
        <v>50390436724</v>
      </c>
      <c r="I325" s="8">
        <v>107182305388</v>
      </c>
      <c r="J325" s="8"/>
      <c r="K325" s="8">
        <v>39465517319</v>
      </c>
      <c r="L325" s="8">
        <v>658044845148</v>
      </c>
      <c r="M325" s="8">
        <v>587893652500</v>
      </c>
      <c r="N325" s="8">
        <v>610798600000</v>
      </c>
      <c r="O325" s="8">
        <v>575677680500</v>
      </c>
      <c r="P325" s="8">
        <v>687148425000</v>
      </c>
      <c r="Q325" s="18">
        <f>(Table1[[#This Row],[A. TÀI SẢN NGẮN HẠN]]-Table1[[#This Row],[I. Nợ ngắn hạn]])/Table1[[#This Row],[TỔNG CỘNG TÀI SẢN]]</f>
        <v>0.65868225142578374</v>
      </c>
      <c r="R325" s="18">
        <f>Table1[[#This Row],[- LNST chưa phân phối kỳ này]]/Table1[[#This Row],[TỔNG CỘNG TÀI SẢN]]</f>
        <v>0.18134713975664413</v>
      </c>
      <c r="S325" s="21">
        <f>Table1[[#This Row],[5. Lợi nhuận gộp về bán hàng và cung cấp dịch vụ]]/Table1[[#This Row],[TỔNG CỘNG TÀI SẢN]]</f>
        <v>0.38573201143500663</v>
      </c>
      <c r="T32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15.592842341983847</v>
      </c>
      <c r="U325" s="23">
        <f>Table1[[#This Row],[1. Doanh thu bán hàng và cung cấp dịch vụ ]]/Table1[[#This Row],[TỔNG CỘNG TÀI SẢN]]</f>
        <v>2.3681983776567832</v>
      </c>
      <c r="V325" s="23">
        <f>1.2*Table1[[#This Row],[X1]] + 1.4*Table1[[#This Row],[X2]] + 3.3*Table1[[#This Row],[x3]] + 0.6*Table1[[#This Row],[x4]] + 1*Table1[[#This Row],[x5]]</f>
        <v>14.041124117952856</v>
      </c>
      <c r="W325" s="23">
        <f>IF(Table1[[#This Row],[Zscore]]&lt;1.81,1,0)</f>
        <v>0</v>
      </c>
    </row>
    <row r="326" spans="1:23" hidden="1" x14ac:dyDescent="0.45">
      <c r="A326" s="7">
        <v>320</v>
      </c>
      <c r="B326" s="5" t="s">
        <v>653</v>
      </c>
      <c r="C326" s="6" t="s">
        <v>654</v>
      </c>
      <c r="D326" s="6" t="s">
        <v>13</v>
      </c>
      <c r="E326" s="6"/>
      <c r="F326" s="6"/>
      <c r="G326" s="6"/>
      <c r="H326" s="6"/>
      <c r="I326" s="6"/>
      <c r="J326" s="8"/>
      <c r="K326" s="6"/>
      <c r="L326" s="6"/>
      <c r="M326" s="8"/>
      <c r="N326" s="8"/>
      <c r="O326" s="8"/>
      <c r="P326" s="8"/>
      <c r="Q326" s="18" t="e">
        <f>(Table1[[#This Row],[A. TÀI SẢN NGẮN HẠN]]-Table1[[#This Row],[I. Nợ ngắn hạn]])/Table1[[#This Row],[TỔNG CỘNG TÀI SẢN]]</f>
        <v>#DIV/0!</v>
      </c>
      <c r="R326" s="18" t="e">
        <f>Table1[[#This Row],[- LNST chưa phân phối kỳ này]]/Table1[[#This Row],[TỔNG CỘNG TÀI SẢN]]</f>
        <v>#DIV/0!</v>
      </c>
      <c r="S326" s="21" t="e">
        <f>Table1[[#This Row],[5. Lợi nhuận gộp về bán hàng và cung cấp dịch vụ]]/Table1[[#This Row],[TỔNG CỘNG TÀI SẢN]]</f>
        <v>#DIV/0!</v>
      </c>
      <c r="T32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326" s="23" t="e">
        <f>Table1[[#This Row],[1. Doanh thu bán hàng và cung cấp dịch vụ ]]/Table1[[#This Row],[TỔNG CỘNG TÀI SẢN]]</f>
        <v>#DIV/0!</v>
      </c>
      <c r="V326" s="23" t="e">
        <f>1.2*Table1[[#This Row],[X1]] + 1.4*Table1[[#This Row],[X2]] + 3.3*Table1[[#This Row],[x3]] + 0.6*Table1[[#This Row],[x4]] + 1*Table1[[#This Row],[x5]]</f>
        <v>#DIV/0!</v>
      </c>
      <c r="W326" s="23" t="e">
        <f>IF(Table1[[#This Row],[Zscore]]&lt;1.81,1,0)</f>
        <v>#DIV/0!</v>
      </c>
    </row>
    <row r="327" spans="1:23" ht="26.25" hidden="1" x14ac:dyDescent="0.45">
      <c r="A327" s="7">
        <v>321</v>
      </c>
      <c r="B327" s="5" t="s">
        <v>655</v>
      </c>
      <c r="C327" s="6" t="s">
        <v>656</v>
      </c>
      <c r="D327" s="6" t="s">
        <v>13</v>
      </c>
      <c r="E327" s="6"/>
      <c r="F327" s="6"/>
      <c r="G327" s="6"/>
      <c r="H327" s="6"/>
      <c r="I327" s="6"/>
      <c r="J327" s="8"/>
      <c r="K327" s="6"/>
      <c r="L327" s="6"/>
      <c r="M327" s="8"/>
      <c r="N327" s="8"/>
      <c r="O327" s="8"/>
      <c r="P327" s="8"/>
      <c r="Q327" s="18" t="e">
        <f>(Table1[[#This Row],[A. TÀI SẢN NGẮN HẠN]]-Table1[[#This Row],[I. Nợ ngắn hạn]])/Table1[[#This Row],[TỔNG CỘNG TÀI SẢN]]</f>
        <v>#DIV/0!</v>
      </c>
      <c r="R327" s="18" t="e">
        <f>Table1[[#This Row],[- LNST chưa phân phối kỳ này]]/Table1[[#This Row],[TỔNG CỘNG TÀI SẢN]]</f>
        <v>#DIV/0!</v>
      </c>
      <c r="S327" s="21" t="e">
        <f>Table1[[#This Row],[5. Lợi nhuận gộp về bán hàng và cung cấp dịch vụ]]/Table1[[#This Row],[TỔNG CỘNG TÀI SẢN]]</f>
        <v>#DIV/0!</v>
      </c>
      <c r="T32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327" s="23" t="e">
        <f>Table1[[#This Row],[1. Doanh thu bán hàng và cung cấp dịch vụ ]]/Table1[[#This Row],[TỔNG CỘNG TÀI SẢN]]</f>
        <v>#DIV/0!</v>
      </c>
      <c r="V327" s="23" t="e">
        <f>1.2*Table1[[#This Row],[X1]] + 1.4*Table1[[#This Row],[X2]] + 3.3*Table1[[#This Row],[x3]] + 0.6*Table1[[#This Row],[x4]] + 1*Table1[[#This Row],[x5]]</f>
        <v>#DIV/0!</v>
      </c>
      <c r="W327" s="23" t="e">
        <f>IF(Table1[[#This Row],[Zscore]]&lt;1.81,1,0)</f>
        <v>#DIV/0!</v>
      </c>
    </row>
    <row r="328" spans="1:23" ht="26.25" hidden="1" x14ac:dyDescent="0.45">
      <c r="A328" s="7">
        <v>322</v>
      </c>
      <c r="B328" s="5" t="s">
        <v>657</v>
      </c>
      <c r="C328" s="6" t="s">
        <v>658</v>
      </c>
      <c r="D328" s="6" t="s">
        <v>13</v>
      </c>
      <c r="E328" s="6"/>
      <c r="F328" s="6"/>
      <c r="G328" s="6"/>
      <c r="H328" s="6"/>
      <c r="I328" s="6"/>
      <c r="J328" s="8"/>
      <c r="K328" s="6"/>
      <c r="L328" s="6"/>
      <c r="M328" s="8"/>
      <c r="N328" s="8"/>
      <c r="O328" s="8"/>
      <c r="P328" s="8"/>
      <c r="Q328" s="18" t="e">
        <f>(Table1[[#This Row],[A. TÀI SẢN NGẮN HẠN]]-Table1[[#This Row],[I. Nợ ngắn hạn]])/Table1[[#This Row],[TỔNG CỘNG TÀI SẢN]]</f>
        <v>#DIV/0!</v>
      </c>
      <c r="R328" s="18" t="e">
        <f>Table1[[#This Row],[- LNST chưa phân phối kỳ này]]/Table1[[#This Row],[TỔNG CỘNG TÀI SẢN]]</f>
        <v>#DIV/0!</v>
      </c>
      <c r="S328" s="21" t="e">
        <f>Table1[[#This Row],[5. Lợi nhuận gộp về bán hàng và cung cấp dịch vụ]]/Table1[[#This Row],[TỔNG CỘNG TÀI SẢN]]</f>
        <v>#DIV/0!</v>
      </c>
      <c r="T32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328" s="23" t="e">
        <f>Table1[[#This Row],[1. Doanh thu bán hàng và cung cấp dịch vụ ]]/Table1[[#This Row],[TỔNG CỘNG TÀI SẢN]]</f>
        <v>#DIV/0!</v>
      </c>
      <c r="V328" s="23" t="e">
        <f>1.2*Table1[[#This Row],[X1]] + 1.4*Table1[[#This Row],[X2]] + 3.3*Table1[[#This Row],[x3]] + 0.6*Table1[[#This Row],[x4]] + 1*Table1[[#This Row],[x5]]</f>
        <v>#DIV/0!</v>
      </c>
      <c r="W328" s="23" t="e">
        <f>IF(Table1[[#This Row],[Zscore]]&lt;1.81,1,0)</f>
        <v>#DIV/0!</v>
      </c>
    </row>
    <row r="329" spans="1:23" x14ac:dyDescent="0.45">
      <c r="A329" s="7">
        <v>323</v>
      </c>
      <c r="B329" s="5" t="s">
        <v>659</v>
      </c>
      <c r="C329" s="6" t="s">
        <v>660</v>
      </c>
      <c r="D329" s="6" t="s">
        <v>36</v>
      </c>
      <c r="E329" s="8">
        <v>62047761227</v>
      </c>
      <c r="F329" s="8">
        <v>24089556598</v>
      </c>
      <c r="G329" s="8">
        <v>3696451997</v>
      </c>
      <c r="H329" s="8">
        <v>2435859406</v>
      </c>
      <c r="I329" s="8">
        <v>14902579459</v>
      </c>
      <c r="J329" s="8"/>
      <c r="K329" s="8">
        <v>3696451997</v>
      </c>
      <c r="L329" s="8">
        <v>42648391729</v>
      </c>
      <c r="M329" s="8">
        <v>101687869800</v>
      </c>
      <c r="N329" s="8">
        <v>91822566000</v>
      </c>
      <c r="O329" s="8">
        <v>91063764000</v>
      </c>
      <c r="P329" s="8">
        <v>92379066400</v>
      </c>
      <c r="Q329" s="18">
        <f>(Table1[[#This Row],[A. TÀI SẢN NGẮN HẠN]]-Table1[[#This Row],[I. Nợ ngắn hạn]])/Table1[[#This Row],[TỔNG CỘNG TÀI SẢN]]</f>
        <v>0.32866785517679514</v>
      </c>
      <c r="R329" s="18">
        <f>Table1[[#This Row],[- LNST chưa phân phối kỳ này]]/Table1[[#This Row],[TỔNG CỘNG TÀI SẢN]]</f>
        <v>3.9257812978754809E-2</v>
      </c>
      <c r="S329" s="21">
        <f>Table1[[#This Row],[5. Lợi nhuận gộp về bán hàng và cung cấp dịch vụ]]/Table1[[#This Row],[TỔNG CỘNG TÀI SẢN]]</f>
        <v>0.24017916463543834</v>
      </c>
      <c r="T32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25.49426223483567</v>
      </c>
      <c r="U329" s="23">
        <f>Table1[[#This Row],[1. Doanh thu bán hàng và cung cấp dịch vụ ]]/Table1[[#This Row],[TỔNG CỘNG TÀI SẢN]]</f>
        <v>0.68734779282321001</v>
      </c>
      <c r="V329" s="23">
        <f>1.2*Table1[[#This Row],[X1]] + 1.4*Table1[[#This Row],[X2]] + 3.3*Table1[[#This Row],[x3]] + 0.6*Table1[[#This Row],[x4]] + 1*Table1[[#This Row],[x5]]</f>
        <v>17.225858741403968</v>
      </c>
      <c r="W329" s="23">
        <f>IF(Table1[[#This Row],[Zscore]]&lt;1.81,1,0)</f>
        <v>0</v>
      </c>
    </row>
    <row r="330" spans="1:23" hidden="1" x14ac:dyDescent="0.45">
      <c r="A330" s="7">
        <v>324</v>
      </c>
      <c r="B330" s="5" t="s">
        <v>661</v>
      </c>
      <c r="C330" s="6" t="s">
        <v>662</v>
      </c>
      <c r="D330" s="6" t="s">
        <v>13</v>
      </c>
      <c r="E330" s="6"/>
      <c r="F330" s="6"/>
      <c r="G330" s="6"/>
      <c r="H330" s="6"/>
      <c r="I330" s="6"/>
      <c r="J330" s="8"/>
      <c r="K330" s="6"/>
      <c r="L330" s="6"/>
      <c r="M330" s="8"/>
      <c r="N330" s="8"/>
      <c r="O330" s="8"/>
      <c r="P330" s="8"/>
      <c r="Q330" s="18" t="e">
        <f>(Table1[[#This Row],[A. TÀI SẢN NGẮN HẠN]]-Table1[[#This Row],[I. Nợ ngắn hạn]])/Table1[[#This Row],[TỔNG CỘNG TÀI SẢN]]</f>
        <v>#DIV/0!</v>
      </c>
      <c r="R330" s="18" t="e">
        <f>Table1[[#This Row],[- LNST chưa phân phối kỳ này]]/Table1[[#This Row],[TỔNG CỘNG TÀI SẢN]]</f>
        <v>#DIV/0!</v>
      </c>
      <c r="S330" s="21" t="e">
        <f>Table1[[#This Row],[5. Lợi nhuận gộp về bán hàng và cung cấp dịch vụ]]/Table1[[#This Row],[TỔNG CỘNG TÀI SẢN]]</f>
        <v>#DIV/0!</v>
      </c>
      <c r="T33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330" s="23" t="e">
        <f>Table1[[#This Row],[1. Doanh thu bán hàng và cung cấp dịch vụ ]]/Table1[[#This Row],[TỔNG CỘNG TÀI SẢN]]</f>
        <v>#DIV/0!</v>
      </c>
      <c r="V330" s="23" t="e">
        <f>1.2*Table1[[#This Row],[X1]] + 1.4*Table1[[#This Row],[X2]] + 3.3*Table1[[#This Row],[x3]] + 0.6*Table1[[#This Row],[x4]] + 1*Table1[[#This Row],[x5]]</f>
        <v>#DIV/0!</v>
      </c>
      <c r="W330" s="23" t="e">
        <f>IF(Table1[[#This Row],[Zscore]]&lt;1.81,1,0)</f>
        <v>#DIV/0!</v>
      </c>
    </row>
    <row r="331" spans="1:23" ht="26.25" hidden="1" x14ac:dyDescent="0.45">
      <c r="A331" s="7">
        <v>325</v>
      </c>
      <c r="B331" s="5" t="s">
        <v>663</v>
      </c>
      <c r="C331" s="6" t="s">
        <v>664</v>
      </c>
      <c r="D331" s="6" t="s">
        <v>13</v>
      </c>
      <c r="E331" s="6"/>
      <c r="F331" s="6"/>
      <c r="G331" s="6"/>
      <c r="H331" s="6"/>
      <c r="I331" s="6"/>
      <c r="J331" s="8"/>
      <c r="K331" s="6"/>
      <c r="L331" s="6"/>
      <c r="M331" s="8"/>
      <c r="N331" s="8"/>
      <c r="O331" s="8"/>
      <c r="P331" s="8"/>
      <c r="Q331" s="18" t="e">
        <f>(Table1[[#This Row],[A. TÀI SẢN NGẮN HẠN]]-Table1[[#This Row],[I. Nợ ngắn hạn]])/Table1[[#This Row],[TỔNG CỘNG TÀI SẢN]]</f>
        <v>#DIV/0!</v>
      </c>
      <c r="R331" s="18" t="e">
        <f>Table1[[#This Row],[- LNST chưa phân phối kỳ này]]/Table1[[#This Row],[TỔNG CỘNG TÀI SẢN]]</f>
        <v>#DIV/0!</v>
      </c>
      <c r="S331" s="21" t="e">
        <f>Table1[[#This Row],[5. Lợi nhuận gộp về bán hàng và cung cấp dịch vụ]]/Table1[[#This Row],[TỔNG CỘNG TÀI SẢN]]</f>
        <v>#DIV/0!</v>
      </c>
      <c r="T33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331" s="23" t="e">
        <f>Table1[[#This Row],[1. Doanh thu bán hàng và cung cấp dịch vụ ]]/Table1[[#This Row],[TỔNG CỘNG TÀI SẢN]]</f>
        <v>#DIV/0!</v>
      </c>
      <c r="V331" s="23" t="e">
        <f>1.2*Table1[[#This Row],[X1]] + 1.4*Table1[[#This Row],[X2]] + 3.3*Table1[[#This Row],[x3]] + 0.6*Table1[[#This Row],[x4]] + 1*Table1[[#This Row],[x5]]</f>
        <v>#DIV/0!</v>
      </c>
      <c r="W331" s="23" t="e">
        <f>IF(Table1[[#This Row],[Zscore]]&lt;1.81,1,0)</f>
        <v>#DIV/0!</v>
      </c>
    </row>
    <row r="332" spans="1:23" hidden="1" x14ac:dyDescent="0.45">
      <c r="A332" s="7">
        <v>326</v>
      </c>
      <c r="B332" s="5" t="s">
        <v>665</v>
      </c>
      <c r="C332" s="6" t="s">
        <v>666</v>
      </c>
      <c r="D332" s="6" t="s">
        <v>13</v>
      </c>
      <c r="E332" s="6"/>
      <c r="F332" s="6"/>
      <c r="G332" s="6"/>
      <c r="H332" s="6"/>
      <c r="I332" s="6"/>
      <c r="J332" s="8"/>
      <c r="K332" s="6"/>
      <c r="L332" s="6"/>
      <c r="M332" s="8"/>
      <c r="N332" s="8"/>
      <c r="O332" s="8"/>
      <c r="P332" s="8"/>
      <c r="Q332" s="18" t="e">
        <f>(Table1[[#This Row],[A. TÀI SẢN NGẮN HẠN]]-Table1[[#This Row],[I. Nợ ngắn hạn]])/Table1[[#This Row],[TỔNG CỘNG TÀI SẢN]]</f>
        <v>#DIV/0!</v>
      </c>
      <c r="R332" s="18" t="e">
        <f>Table1[[#This Row],[- LNST chưa phân phối kỳ này]]/Table1[[#This Row],[TỔNG CỘNG TÀI SẢN]]</f>
        <v>#DIV/0!</v>
      </c>
      <c r="S332" s="21" t="e">
        <f>Table1[[#This Row],[5. Lợi nhuận gộp về bán hàng và cung cấp dịch vụ]]/Table1[[#This Row],[TỔNG CỘNG TÀI SẢN]]</f>
        <v>#DIV/0!</v>
      </c>
      <c r="T33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332" s="23" t="e">
        <f>Table1[[#This Row],[1. Doanh thu bán hàng và cung cấp dịch vụ ]]/Table1[[#This Row],[TỔNG CỘNG TÀI SẢN]]</f>
        <v>#DIV/0!</v>
      </c>
      <c r="V332" s="23" t="e">
        <f>1.2*Table1[[#This Row],[X1]] + 1.4*Table1[[#This Row],[X2]] + 3.3*Table1[[#This Row],[x3]] + 0.6*Table1[[#This Row],[x4]] + 1*Table1[[#This Row],[x5]]</f>
        <v>#DIV/0!</v>
      </c>
      <c r="W332" s="23" t="e">
        <f>IF(Table1[[#This Row],[Zscore]]&lt;1.81,1,0)</f>
        <v>#DIV/0!</v>
      </c>
    </row>
    <row r="333" spans="1:23" hidden="1" x14ac:dyDescent="0.45">
      <c r="A333" s="7">
        <v>327</v>
      </c>
      <c r="B333" s="5" t="s">
        <v>667</v>
      </c>
      <c r="C333" s="6" t="s">
        <v>668</v>
      </c>
      <c r="D333" s="6" t="s">
        <v>18</v>
      </c>
      <c r="E333" s="8">
        <v>484072067942</v>
      </c>
      <c r="F333" s="8">
        <v>401664857502</v>
      </c>
      <c r="G333" s="8">
        <v>290806507138</v>
      </c>
      <c r="H333" s="8">
        <v>42307228058</v>
      </c>
      <c r="I333" s="8">
        <v>111988638801</v>
      </c>
      <c r="J333" s="8"/>
      <c r="K333" s="8">
        <v>290806507138</v>
      </c>
      <c r="L333" s="8">
        <v>860759378230</v>
      </c>
      <c r="M333" s="8"/>
      <c r="N333" s="8"/>
      <c r="O333" s="8"/>
      <c r="P333" s="8"/>
      <c r="Q333" s="18">
        <f>(Table1[[#This Row],[A. TÀI SẢN NGẮN HẠN]]-Table1[[#This Row],[I. Nợ ngắn hạn]])/Table1[[#This Row],[TỔNG CỘNG TÀI SẢN]]</f>
        <v>0.2290120783777235</v>
      </c>
      <c r="R333" s="18">
        <f>Table1[[#This Row],[- LNST chưa phân phối kỳ này]]/Table1[[#This Row],[TỔNG CỘNG TÀI SẢN]]</f>
        <v>8.7398614503551811E-2</v>
      </c>
      <c r="S333" s="21">
        <f>Table1[[#This Row],[5. Lợi nhuận gộp về bán hàng và cung cấp dịch vụ]]/Table1[[#This Row],[TỔNG CỘNG TÀI SẢN]]</f>
        <v>0.23134703738869339</v>
      </c>
      <c r="T33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333" s="23">
        <f>Table1[[#This Row],[1. Doanh thu bán hàng và cung cấp dịch vụ ]]/Table1[[#This Row],[TỔNG CỘNG TÀI SẢN]]</f>
        <v>1.7781636975863138</v>
      </c>
      <c r="V333" s="23" t="e">
        <f>1.2*Table1[[#This Row],[X1]] + 1.4*Table1[[#This Row],[X2]] + 3.3*Table1[[#This Row],[x3]] + 0.6*Table1[[#This Row],[x4]] + 1*Table1[[#This Row],[x5]]</f>
        <v>#DIV/0!</v>
      </c>
      <c r="W333" s="23" t="e">
        <f>IF(Table1[[#This Row],[Zscore]]&lt;1.81,1,0)</f>
        <v>#DIV/0!</v>
      </c>
    </row>
    <row r="334" spans="1:23" hidden="1" x14ac:dyDescent="0.45">
      <c r="A334" s="7">
        <v>328</v>
      </c>
      <c r="B334" s="5" t="s">
        <v>669</v>
      </c>
      <c r="C334" s="6" t="s">
        <v>670</v>
      </c>
      <c r="D334" s="6" t="s">
        <v>13</v>
      </c>
      <c r="E334" s="6"/>
      <c r="F334" s="6"/>
      <c r="G334" s="6"/>
      <c r="H334" s="6"/>
      <c r="I334" s="6"/>
      <c r="J334" s="8"/>
      <c r="K334" s="6"/>
      <c r="L334" s="6"/>
      <c r="M334" s="8"/>
      <c r="N334" s="8"/>
      <c r="O334" s="8"/>
      <c r="P334" s="8"/>
      <c r="Q334" s="18" t="e">
        <f>(Table1[[#This Row],[A. TÀI SẢN NGẮN HẠN]]-Table1[[#This Row],[I. Nợ ngắn hạn]])/Table1[[#This Row],[TỔNG CỘNG TÀI SẢN]]</f>
        <v>#DIV/0!</v>
      </c>
      <c r="R334" s="18" t="e">
        <f>Table1[[#This Row],[- LNST chưa phân phối kỳ này]]/Table1[[#This Row],[TỔNG CỘNG TÀI SẢN]]</f>
        <v>#DIV/0!</v>
      </c>
      <c r="S334" s="21" t="e">
        <f>Table1[[#This Row],[5. Lợi nhuận gộp về bán hàng và cung cấp dịch vụ]]/Table1[[#This Row],[TỔNG CỘNG TÀI SẢN]]</f>
        <v>#DIV/0!</v>
      </c>
      <c r="T33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334" s="23" t="e">
        <f>Table1[[#This Row],[1. Doanh thu bán hàng và cung cấp dịch vụ ]]/Table1[[#This Row],[TỔNG CỘNG TÀI SẢN]]</f>
        <v>#DIV/0!</v>
      </c>
      <c r="V334" s="23" t="e">
        <f>1.2*Table1[[#This Row],[X1]] + 1.4*Table1[[#This Row],[X2]] + 3.3*Table1[[#This Row],[x3]] + 0.6*Table1[[#This Row],[x4]] + 1*Table1[[#This Row],[x5]]</f>
        <v>#DIV/0!</v>
      </c>
      <c r="W334" s="23" t="e">
        <f>IF(Table1[[#This Row],[Zscore]]&lt;1.81,1,0)</f>
        <v>#DIV/0!</v>
      </c>
    </row>
    <row r="335" spans="1:23" ht="26.25" hidden="1" x14ac:dyDescent="0.45">
      <c r="A335" s="7">
        <v>329</v>
      </c>
      <c r="B335" s="5" t="s">
        <v>671</v>
      </c>
      <c r="C335" s="6" t="s">
        <v>672</v>
      </c>
      <c r="D335" s="6" t="s">
        <v>13</v>
      </c>
      <c r="E335" s="6"/>
      <c r="F335" s="6"/>
      <c r="G335" s="6"/>
      <c r="H335" s="6"/>
      <c r="I335" s="6"/>
      <c r="J335" s="8"/>
      <c r="K335" s="6"/>
      <c r="L335" s="6"/>
      <c r="M335" s="8"/>
      <c r="N335" s="8"/>
      <c r="O335" s="8"/>
      <c r="P335" s="8"/>
      <c r="Q335" s="18" t="e">
        <f>(Table1[[#This Row],[A. TÀI SẢN NGẮN HẠN]]-Table1[[#This Row],[I. Nợ ngắn hạn]])/Table1[[#This Row],[TỔNG CỘNG TÀI SẢN]]</f>
        <v>#DIV/0!</v>
      </c>
      <c r="R335" s="18" t="e">
        <f>Table1[[#This Row],[- LNST chưa phân phối kỳ này]]/Table1[[#This Row],[TỔNG CỘNG TÀI SẢN]]</f>
        <v>#DIV/0!</v>
      </c>
      <c r="S335" s="21" t="e">
        <f>Table1[[#This Row],[5. Lợi nhuận gộp về bán hàng và cung cấp dịch vụ]]/Table1[[#This Row],[TỔNG CỘNG TÀI SẢN]]</f>
        <v>#DIV/0!</v>
      </c>
      <c r="T33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335" s="23" t="e">
        <f>Table1[[#This Row],[1. Doanh thu bán hàng và cung cấp dịch vụ ]]/Table1[[#This Row],[TỔNG CỘNG TÀI SẢN]]</f>
        <v>#DIV/0!</v>
      </c>
      <c r="V335" s="23" t="e">
        <f>1.2*Table1[[#This Row],[X1]] + 1.4*Table1[[#This Row],[X2]] + 3.3*Table1[[#This Row],[x3]] + 0.6*Table1[[#This Row],[x4]] + 1*Table1[[#This Row],[x5]]</f>
        <v>#DIV/0!</v>
      </c>
      <c r="W335" s="23" t="e">
        <f>IF(Table1[[#This Row],[Zscore]]&lt;1.81,1,0)</f>
        <v>#DIV/0!</v>
      </c>
    </row>
    <row r="336" spans="1:23" hidden="1" x14ac:dyDescent="0.45">
      <c r="A336" s="7">
        <v>330</v>
      </c>
      <c r="B336" s="5" t="s">
        <v>673</v>
      </c>
      <c r="C336" s="6" t="s">
        <v>674</v>
      </c>
      <c r="D336" s="6" t="s">
        <v>13</v>
      </c>
      <c r="E336" s="6"/>
      <c r="F336" s="6"/>
      <c r="G336" s="6"/>
      <c r="H336" s="6"/>
      <c r="I336" s="6"/>
      <c r="J336" s="8"/>
      <c r="K336" s="6"/>
      <c r="L336" s="6"/>
      <c r="M336" s="8"/>
      <c r="N336" s="8"/>
      <c r="O336" s="8"/>
      <c r="P336" s="8"/>
      <c r="Q336" s="18" t="e">
        <f>(Table1[[#This Row],[A. TÀI SẢN NGẮN HẠN]]-Table1[[#This Row],[I. Nợ ngắn hạn]])/Table1[[#This Row],[TỔNG CỘNG TÀI SẢN]]</f>
        <v>#DIV/0!</v>
      </c>
      <c r="R336" s="18" t="e">
        <f>Table1[[#This Row],[- LNST chưa phân phối kỳ này]]/Table1[[#This Row],[TỔNG CỘNG TÀI SẢN]]</f>
        <v>#DIV/0!</v>
      </c>
      <c r="S336" s="21" t="e">
        <f>Table1[[#This Row],[5. Lợi nhuận gộp về bán hàng và cung cấp dịch vụ]]/Table1[[#This Row],[TỔNG CỘNG TÀI SẢN]]</f>
        <v>#DIV/0!</v>
      </c>
      <c r="T33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336" s="23" t="e">
        <f>Table1[[#This Row],[1. Doanh thu bán hàng và cung cấp dịch vụ ]]/Table1[[#This Row],[TỔNG CỘNG TÀI SẢN]]</f>
        <v>#DIV/0!</v>
      </c>
      <c r="V336" s="23" t="e">
        <f>1.2*Table1[[#This Row],[X1]] + 1.4*Table1[[#This Row],[X2]] + 3.3*Table1[[#This Row],[x3]] + 0.6*Table1[[#This Row],[x4]] + 1*Table1[[#This Row],[x5]]</f>
        <v>#DIV/0!</v>
      </c>
      <c r="W336" s="23" t="e">
        <f>IF(Table1[[#This Row],[Zscore]]&lt;1.81,1,0)</f>
        <v>#DIV/0!</v>
      </c>
    </row>
    <row r="337" spans="1:23" hidden="1" x14ac:dyDescent="0.45">
      <c r="A337" s="7">
        <v>331</v>
      </c>
      <c r="B337" s="5" t="s">
        <v>675</v>
      </c>
      <c r="C337" s="6" t="s">
        <v>676</v>
      </c>
      <c r="D337" s="6" t="s">
        <v>13</v>
      </c>
      <c r="E337" s="6"/>
      <c r="F337" s="6"/>
      <c r="G337" s="6"/>
      <c r="H337" s="6"/>
      <c r="I337" s="6"/>
      <c r="J337" s="8"/>
      <c r="K337" s="6"/>
      <c r="L337" s="6"/>
      <c r="M337" s="8"/>
      <c r="N337" s="8"/>
      <c r="O337" s="8"/>
      <c r="P337" s="8"/>
      <c r="Q337" s="18" t="e">
        <f>(Table1[[#This Row],[A. TÀI SẢN NGẮN HẠN]]-Table1[[#This Row],[I. Nợ ngắn hạn]])/Table1[[#This Row],[TỔNG CỘNG TÀI SẢN]]</f>
        <v>#DIV/0!</v>
      </c>
      <c r="R337" s="18" t="e">
        <f>Table1[[#This Row],[- LNST chưa phân phối kỳ này]]/Table1[[#This Row],[TỔNG CỘNG TÀI SẢN]]</f>
        <v>#DIV/0!</v>
      </c>
      <c r="S337" s="21" t="e">
        <f>Table1[[#This Row],[5. Lợi nhuận gộp về bán hàng và cung cấp dịch vụ]]/Table1[[#This Row],[TỔNG CỘNG TÀI SẢN]]</f>
        <v>#DIV/0!</v>
      </c>
      <c r="T33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337" s="23" t="e">
        <f>Table1[[#This Row],[1. Doanh thu bán hàng và cung cấp dịch vụ ]]/Table1[[#This Row],[TỔNG CỘNG TÀI SẢN]]</f>
        <v>#DIV/0!</v>
      </c>
      <c r="V337" s="23" t="e">
        <f>1.2*Table1[[#This Row],[X1]] + 1.4*Table1[[#This Row],[X2]] + 3.3*Table1[[#This Row],[x3]] + 0.6*Table1[[#This Row],[x4]] + 1*Table1[[#This Row],[x5]]</f>
        <v>#DIV/0!</v>
      </c>
      <c r="W337" s="23" t="e">
        <f>IF(Table1[[#This Row],[Zscore]]&lt;1.81,1,0)</f>
        <v>#DIV/0!</v>
      </c>
    </row>
    <row r="338" spans="1:23" hidden="1" x14ac:dyDescent="0.45">
      <c r="A338" s="7">
        <v>332</v>
      </c>
      <c r="B338" s="5" t="s">
        <v>677</v>
      </c>
      <c r="C338" s="6" t="s">
        <v>678</v>
      </c>
      <c r="D338" s="6" t="s">
        <v>13</v>
      </c>
      <c r="E338" s="6"/>
      <c r="F338" s="6"/>
      <c r="G338" s="6"/>
      <c r="H338" s="6"/>
      <c r="I338" s="6"/>
      <c r="J338" s="8"/>
      <c r="K338" s="6"/>
      <c r="L338" s="6"/>
      <c r="M338" s="8"/>
      <c r="N338" s="8"/>
      <c r="O338" s="8"/>
      <c r="P338" s="8"/>
      <c r="Q338" s="18" t="e">
        <f>(Table1[[#This Row],[A. TÀI SẢN NGẮN HẠN]]-Table1[[#This Row],[I. Nợ ngắn hạn]])/Table1[[#This Row],[TỔNG CỘNG TÀI SẢN]]</f>
        <v>#DIV/0!</v>
      </c>
      <c r="R338" s="18" t="e">
        <f>Table1[[#This Row],[- LNST chưa phân phối kỳ này]]/Table1[[#This Row],[TỔNG CỘNG TÀI SẢN]]</f>
        <v>#DIV/0!</v>
      </c>
      <c r="S338" s="21" t="e">
        <f>Table1[[#This Row],[5. Lợi nhuận gộp về bán hàng và cung cấp dịch vụ]]/Table1[[#This Row],[TỔNG CỘNG TÀI SẢN]]</f>
        <v>#DIV/0!</v>
      </c>
      <c r="T33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338" s="23" t="e">
        <f>Table1[[#This Row],[1. Doanh thu bán hàng và cung cấp dịch vụ ]]/Table1[[#This Row],[TỔNG CỘNG TÀI SẢN]]</f>
        <v>#DIV/0!</v>
      </c>
      <c r="V338" s="23" t="e">
        <f>1.2*Table1[[#This Row],[X1]] + 1.4*Table1[[#This Row],[X2]] + 3.3*Table1[[#This Row],[x3]] + 0.6*Table1[[#This Row],[x4]] + 1*Table1[[#This Row],[x5]]</f>
        <v>#DIV/0!</v>
      </c>
      <c r="W338" s="23" t="e">
        <f>IF(Table1[[#This Row],[Zscore]]&lt;1.81,1,0)</f>
        <v>#DIV/0!</v>
      </c>
    </row>
    <row r="339" spans="1:23" hidden="1" x14ac:dyDescent="0.45">
      <c r="A339" s="7">
        <v>333</v>
      </c>
      <c r="B339" s="5" t="s">
        <v>679</v>
      </c>
      <c r="C339" s="6" t="s">
        <v>680</v>
      </c>
      <c r="D339" s="6" t="s">
        <v>13</v>
      </c>
      <c r="E339" s="6"/>
      <c r="F339" s="6"/>
      <c r="G339" s="6"/>
      <c r="H339" s="6"/>
      <c r="I339" s="6"/>
      <c r="J339" s="8"/>
      <c r="K339" s="6"/>
      <c r="L339" s="6"/>
      <c r="M339" s="8"/>
      <c r="N339" s="8"/>
      <c r="O339" s="8"/>
      <c r="P339" s="8"/>
      <c r="Q339" s="18" t="e">
        <f>(Table1[[#This Row],[A. TÀI SẢN NGẮN HẠN]]-Table1[[#This Row],[I. Nợ ngắn hạn]])/Table1[[#This Row],[TỔNG CỘNG TÀI SẢN]]</f>
        <v>#DIV/0!</v>
      </c>
      <c r="R339" s="18" t="e">
        <f>Table1[[#This Row],[- LNST chưa phân phối kỳ này]]/Table1[[#This Row],[TỔNG CỘNG TÀI SẢN]]</f>
        <v>#DIV/0!</v>
      </c>
      <c r="S339" s="21" t="e">
        <f>Table1[[#This Row],[5. Lợi nhuận gộp về bán hàng và cung cấp dịch vụ]]/Table1[[#This Row],[TỔNG CỘNG TÀI SẢN]]</f>
        <v>#DIV/0!</v>
      </c>
      <c r="T33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339" s="23" t="e">
        <f>Table1[[#This Row],[1. Doanh thu bán hàng và cung cấp dịch vụ ]]/Table1[[#This Row],[TỔNG CỘNG TÀI SẢN]]</f>
        <v>#DIV/0!</v>
      </c>
      <c r="V339" s="23" t="e">
        <f>1.2*Table1[[#This Row],[X1]] + 1.4*Table1[[#This Row],[X2]] + 3.3*Table1[[#This Row],[x3]] + 0.6*Table1[[#This Row],[x4]] + 1*Table1[[#This Row],[x5]]</f>
        <v>#DIV/0!</v>
      </c>
      <c r="W339" s="23" t="e">
        <f>IF(Table1[[#This Row],[Zscore]]&lt;1.81,1,0)</f>
        <v>#DIV/0!</v>
      </c>
    </row>
    <row r="340" spans="1:23" hidden="1" x14ac:dyDescent="0.45">
      <c r="A340" s="7">
        <v>334</v>
      </c>
      <c r="B340" s="5" t="s">
        <v>681</v>
      </c>
      <c r="C340" s="6" t="s">
        <v>682</v>
      </c>
      <c r="D340" s="6" t="s">
        <v>13</v>
      </c>
      <c r="E340" s="6"/>
      <c r="F340" s="6"/>
      <c r="G340" s="6"/>
      <c r="H340" s="6"/>
      <c r="I340" s="6"/>
      <c r="J340" s="8"/>
      <c r="K340" s="6"/>
      <c r="L340" s="6"/>
      <c r="M340" s="8"/>
      <c r="N340" s="8"/>
      <c r="O340" s="8"/>
      <c r="P340" s="8"/>
      <c r="Q340" s="18" t="e">
        <f>(Table1[[#This Row],[A. TÀI SẢN NGẮN HẠN]]-Table1[[#This Row],[I. Nợ ngắn hạn]])/Table1[[#This Row],[TỔNG CỘNG TÀI SẢN]]</f>
        <v>#DIV/0!</v>
      </c>
      <c r="R340" s="18" t="e">
        <f>Table1[[#This Row],[- LNST chưa phân phối kỳ này]]/Table1[[#This Row],[TỔNG CỘNG TÀI SẢN]]</f>
        <v>#DIV/0!</v>
      </c>
      <c r="S340" s="21" t="e">
        <f>Table1[[#This Row],[5. Lợi nhuận gộp về bán hàng và cung cấp dịch vụ]]/Table1[[#This Row],[TỔNG CỘNG TÀI SẢN]]</f>
        <v>#DIV/0!</v>
      </c>
      <c r="T34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340" s="23" t="e">
        <f>Table1[[#This Row],[1. Doanh thu bán hàng và cung cấp dịch vụ ]]/Table1[[#This Row],[TỔNG CỘNG TÀI SẢN]]</f>
        <v>#DIV/0!</v>
      </c>
      <c r="V340" s="23" t="e">
        <f>1.2*Table1[[#This Row],[X1]] + 1.4*Table1[[#This Row],[X2]] + 3.3*Table1[[#This Row],[x3]] + 0.6*Table1[[#This Row],[x4]] + 1*Table1[[#This Row],[x5]]</f>
        <v>#DIV/0!</v>
      </c>
      <c r="W340" s="23" t="e">
        <f>IF(Table1[[#This Row],[Zscore]]&lt;1.81,1,0)</f>
        <v>#DIV/0!</v>
      </c>
    </row>
    <row r="341" spans="1:23" hidden="1" x14ac:dyDescent="0.45">
      <c r="A341" s="7">
        <v>335</v>
      </c>
      <c r="B341" s="5" t="s">
        <v>683</v>
      </c>
      <c r="C341" s="6" t="s">
        <v>684</v>
      </c>
      <c r="D341" s="6" t="s">
        <v>13</v>
      </c>
      <c r="E341" s="6"/>
      <c r="F341" s="6"/>
      <c r="G341" s="6"/>
      <c r="H341" s="6"/>
      <c r="I341" s="6"/>
      <c r="J341" s="8"/>
      <c r="K341" s="6"/>
      <c r="L341" s="6"/>
      <c r="M341" s="8"/>
      <c r="N341" s="8"/>
      <c r="O341" s="8"/>
      <c r="P341" s="8"/>
      <c r="Q341" s="18" t="e">
        <f>(Table1[[#This Row],[A. TÀI SẢN NGẮN HẠN]]-Table1[[#This Row],[I. Nợ ngắn hạn]])/Table1[[#This Row],[TỔNG CỘNG TÀI SẢN]]</f>
        <v>#DIV/0!</v>
      </c>
      <c r="R341" s="18" t="e">
        <f>Table1[[#This Row],[- LNST chưa phân phối kỳ này]]/Table1[[#This Row],[TỔNG CỘNG TÀI SẢN]]</f>
        <v>#DIV/0!</v>
      </c>
      <c r="S341" s="21" t="e">
        <f>Table1[[#This Row],[5. Lợi nhuận gộp về bán hàng và cung cấp dịch vụ]]/Table1[[#This Row],[TỔNG CỘNG TÀI SẢN]]</f>
        <v>#DIV/0!</v>
      </c>
      <c r="T34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341" s="23" t="e">
        <f>Table1[[#This Row],[1. Doanh thu bán hàng và cung cấp dịch vụ ]]/Table1[[#This Row],[TỔNG CỘNG TÀI SẢN]]</f>
        <v>#DIV/0!</v>
      </c>
      <c r="V341" s="23" t="e">
        <f>1.2*Table1[[#This Row],[X1]] + 1.4*Table1[[#This Row],[X2]] + 3.3*Table1[[#This Row],[x3]] + 0.6*Table1[[#This Row],[x4]] + 1*Table1[[#This Row],[x5]]</f>
        <v>#DIV/0!</v>
      </c>
      <c r="W341" s="23" t="e">
        <f>IF(Table1[[#This Row],[Zscore]]&lt;1.81,1,0)</f>
        <v>#DIV/0!</v>
      </c>
    </row>
    <row r="342" spans="1:23" hidden="1" x14ac:dyDescent="0.45">
      <c r="A342" s="7">
        <v>336</v>
      </c>
      <c r="B342" s="5" t="s">
        <v>685</v>
      </c>
      <c r="C342" s="6" t="s">
        <v>686</v>
      </c>
      <c r="D342" s="6" t="s">
        <v>13</v>
      </c>
      <c r="E342" s="6"/>
      <c r="F342" s="6"/>
      <c r="G342" s="6"/>
      <c r="H342" s="6"/>
      <c r="I342" s="6"/>
      <c r="J342" s="8"/>
      <c r="K342" s="6"/>
      <c r="L342" s="6"/>
      <c r="M342" s="8"/>
      <c r="N342" s="8"/>
      <c r="O342" s="8"/>
      <c r="P342" s="8"/>
      <c r="Q342" s="18" t="e">
        <f>(Table1[[#This Row],[A. TÀI SẢN NGẮN HẠN]]-Table1[[#This Row],[I. Nợ ngắn hạn]])/Table1[[#This Row],[TỔNG CỘNG TÀI SẢN]]</f>
        <v>#DIV/0!</v>
      </c>
      <c r="R342" s="18" t="e">
        <f>Table1[[#This Row],[- LNST chưa phân phối kỳ này]]/Table1[[#This Row],[TỔNG CỘNG TÀI SẢN]]</f>
        <v>#DIV/0!</v>
      </c>
      <c r="S342" s="21" t="e">
        <f>Table1[[#This Row],[5. Lợi nhuận gộp về bán hàng và cung cấp dịch vụ]]/Table1[[#This Row],[TỔNG CỘNG TÀI SẢN]]</f>
        <v>#DIV/0!</v>
      </c>
      <c r="T34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342" s="23" t="e">
        <f>Table1[[#This Row],[1. Doanh thu bán hàng và cung cấp dịch vụ ]]/Table1[[#This Row],[TỔNG CỘNG TÀI SẢN]]</f>
        <v>#DIV/0!</v>
      </c>
      <c r="V342" s="23" t="e">
        <f>1.2*Table1[[#This Row],[X1]] + 1.4*Table1[[#This Row],[X2]] + 3.3*Table1[[#This Row],[x3]] + 0.6*Table1[[#This Row],[x4]] + 1*Table1[[#This Row],[x5]]</f>
        <v>#DIV/0!</v>
      </c>
      <c r="W342" s="23" t="e">
        <f>IF(Table1[[#This Row],[Zscore]]&lt;1.81,1,0)</f>
        <v>#DIV/0!</v>
      </c>
    </row>
    <row r="343" spans="1:23" ht="26.25" hidden="1" x14ac:dyDescent="0.45">
      <c r="A343" s="7">
        <v>337</v>
      </c>
      <c r="B343" s="5" t="s">
        <v>687</v>
      </c>
      <c r="C343" s="6" t="s">
        <v>688</v>
      </c>
      <c r="D343" s="6" t="s">
        <v>13</v>
      </c>
      <c r="E343" s="6"/>
      <c r="F343" s="6"/>
      <c r="G343" s="6"/>
      <c r="H343" s="6"/>
      <c r="I343" s="6"/>
      <c r="J343" s="8"/>
      <c r="K343" s="6"/>
      <c r="L343" s="6"/>
      <c r="M343" s="8"/>
      <c r="N343" s="8"/>
      <c r="O343" s="8"/>
      <c r="P343" s="8"/>
      <c r="Q343" s="18" t="e">
        <f>(Table1[[#This Row],[A. TÀI SẢN NGẮN HẠN]]-Table1[[#This Row],[I. Nợ ngắn hạn]])/Table1[[#This Row],[TỔNG CỘNG TÀI SẢN]]</f>
        <v>#DIV/0!</v>
      </c>
      <c r="R343" s="18" t="e">
        <f>Table1[[#This Row],[- LNST chưa phân phối kỳ này]]/Table1[[#This Row],[TỔNG CỘNG TÀI SẢN]]</f>
        <v>#DIV/0!</v>
      </c>
      <c r="S343" s="21" t="e">
        <f>Table1[[#This Row],[5. Lợi nhuận gộp về bán hàng và cung cấp dịch vụ]]/Table1[[#This Row],[TỔNG CỘNG TÀI SẢN]]</f>
        <v>#DIV/0!</v>
      </c>
      <c r="T34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343" s="23" t="e">
        <f>Table1[[#This Row],[1. Doanh thu bán hàng và cung cấp dịch vụ ]]/Table1[[#This Row],[TỔNG CỘNG TÀI SẢN]]</f>
        <v>#DIV/0!</v>
      </c>
      <c r="V343" s="23" t="e">
        <f>1.2*Table1[[#This Row],[X1]] + 1.4*Table1[[#This Row],[X2]] + 3.3*Table1[[#This Row],[x3]] + 0.6*Table1[[#This Row],[x4]] + 1*Table1[[#This Row],[x5]]</f>
        <v>#DIV/0!</v>
      </c>
      <c r="W343" s="23" t="e">
        <f>IF(Table1[[#This Row],[Zscore]]&lt;1.81,1,0)</f>
        <v>#DIV/0!</v>
      </c>
    </row>
    <row r="344" spans="1:23" hidden="1" x14ac:dyDescent="0.45">
      <c r="A344" s="7">
        <v>338</v>
      </c>
      <c r="B344" s="5" t="s">
        <v>689</v>
      </c>
      <c r="C344" s="6" t="s">
        <v>690</v>
      </c>
      <c r="D344" s="6" t="s">
        <v>13</v>
      </c>
      <c r="E344" s="6"/>
      <c r="F344" s="6"/>
      <c r="G344" s="6"/>
      <c r="H344" s="6"/>
      <c r="I344" s="6"/>
      <c r="J344" s="8"/>
      <c r="K344" s="6"/>
      <c r="L344" s="6"/>
      <c r="M344" s="8"/>
      <c r="N344" s="8"/>
      <c r="O344" s="8"/>
      <c r="P344" s="8"/>
      <c r="Q344" s="18" t="e">
        <f>(Table1[[#This Row],[A. TÀI SẢN NGẮN HẠN]]-Table1[[#This Row],[I. Nợ ngắn hạn]])/Table1[[#This Row],[TỔNG CỘNG TÀI SẢN]]</f>
        <v>#DIV/0!</v>
      </c>
      <c r="R344" s="18" t="e">
        <f>Table1[[#This Row],[- LNST chưa phân phối kỳ này]]/Table1[[#This Row],[TỔNG CỘNG TÀI SẢN]]</f>
        <v>#DIV/0!</v>
      </c>
      <c r="S344" s="21" t="e">
        <f>Table1[[#This Row],[5. Lợi nhuận gộp về bán hàng và cung cấp dịch vụ]]/Table1[[#This Row],[TỔNG CỘNG TÀI SẢN]]</f>
        <v>#DIV/0!</v>
      </c>
      <c r="T34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344" s="23" t="e">
        <f>Table1[[#This Row],[1. Doanh thu bán hàng và cung cấp dịch vụ ]]/Table1[[#This Row],[TỔNG CỘNG TÀI SẢN]]</f>
        <v>#DIV/0!</v>
      </c>
      <c r="V344" s="23" t="e">
        <f>1.2*Table1[[#This Row],[X1]] + 1.4*Table1[[#This Row],[X2]] + 3.3*Table1[[#This Row],[x3]] + 0.6*Table1[[#This Row],[x4]] + 1*Table1[[#This Row],[x5]]</f>
        <v>#DIV/0!</v>
      </c>
      <c r="W344" s="23" t="e">
        <f>IF(Table1[[#This Row],[Zscore]]&lt;1.81,1,0)</f>
        <v>#DIV/0!</v>
      </c>
    </row>
    <row r="345" spans="1:23" hidden="1" x14ac:dyDescent="0.45">
      <c r="A345" s="7">
        <v>339</v>
      </c>
      <c r="B345" s="5" t="s">
        <v>691</v>
      </c>
      <c r="C345" s="6" t="s">
        <v>692</v>
      </c>
      <c r="D345" s="6" t="s">
        <v>13</v>
      </c>
      <c r="E345" s="6"/>
      <c r="F345" s="6"/>
      <c r="G345" s="6"/>
      <c r="H345" s="6"/>
      <c r="I345" s="6"/>
      <c r="J345" s="8"/>
      <c r="K345" s="6"/>
      <c r="L345" s="6"/>
      <c r="M345" s="8"/>
      <c r="N345" s="8"/>
      <c r="O345" s="8"/>
      <c r="P345" s="8"/>
      <c r="Q345" s="18" t="e">
        <f>(Table1[[#This Row],[A. TÀI SẢN NGẮN HẠN]]-Table1[[#This Row],[I. Nợ ngắn hạn]])/Table1[[#This Row],[TỔNG CỘNG TÀI SẢN]]</f>
        <v>#DIV/0!</v>
      </c>
      <c r="R345" s="18" t="e">
        <f>Table1[[#This Row],[- LNST chưa phân phối kỳ này]]/Table1[[#This Row],[TỔNG CỘNG TÀI SẢN]]</f>
        <v>#DIV/0!</v>
      </c>
      <c r="S345" s="21" t="e">
        <f>Table1[[#This Row],[5. Lợi nhuận gộp về bán hàng và cung cấp dịch vụ]]/Table1[[#This Row],[TỔNG CỘNG TÀI SẢN]]</f>
        <v>#DIV/0!</v>
      </c>
      <c r="T34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345" s="23" t="e">
        <f>Table1[[#This Row],[1. Doanh thu bán hàng và cung cấp dịch vụ ]]/Table1[[#This Row],[TỔNG CỘNG TÀI SẢN]]</f>
        <v>#DIV/0!</v>
      </c>
      <c r="V345" s="23" t="e">
        <f>1.2*Table1[[#This Row],[X1]] + 1.4*Table1[[#This Row],[X2]] + 3.3*Table1[[#This Row],[x3]] + 0.6*Table1[[#This Row],[x4]] + 1*Table1[[#This Row],[x5]]</f>
        <v>#DIV/0!</v>
      </c>
      <c r="W345" s="23" t="e">
        <f>IF(Table1[[#This Row],[Zscore]]&lt;1.81,1,0)</f>
        <v>#DIV/0!</v>
      </c>
    </row>
    <row r="346" spans="1:23" x14ac:dyDescent="0.45">
      <c r="A346" s="7">
        <v>340</v>
      </c>
      <c r="B346" s="5" t="s">
        <v>693</v>
      </c>
      <c r="C346" s="6" t="s">
        <v>694</v>
      </c>
      <c r="D346" s="6" t="s">
        <v>18</v>
      </c>
      <c r="E346" s="8">
        <v>1709123968264</v>
      </c>
      <c r="F346" s="8">
        <v>788336729353</v>
      </c>
      <c r="G346" s="8">
        <v>1580310342906</v>
      </c>
      <c r="H346" s="8">
        <v>-205165055743</v>
      </c>
      <c r="I346" s="8">
        <v>-62155248245</v>
      </c>
      <c r="J346" s="8"/>
      <c r="K346" s="8">
        <v>1637138520944</v>
      </c>
      <c r="L346" s="8">
        <v>2062050739943</v>
      </c>
      <c r="M346" s="8">
        <v>559082758000</v>
      </c>
      <c r="N346" s="8">
        <v>567684031200</v>
      </c>
      <c r="O346" s="8">
        <v>494573209000</v>
      </c>
      <c r="P346" s="8">
        <v>683801219400</v>
      </c>
      <c r="Q346" s="18">
        <f>(Table1[[#This Row],[A. TÀI SẢN NGẮN HẠN]]-Table1[[#This Row],[I. Nợ ngắn hạn]])/Table1[[#This Row],[TỔNG CỘNG TÀI SẢN]]</f>
        <v>-0.46337985322236597</v>
      </c>
      <c r="R346" s="18">
        <f>Table1[[#This Row],[- LNST chưa phân phối kỳ này]]/Table1[[#This Row],[TỔNG CỘNG TÀI SẢN]]</f>
        <v>-0.12004106170916981</v>
      </c>
      <c r="S346" s="21">
        <f>Table1[[#This Row],[5. Lợi nhuận gộp về bán hàng và cung cấp dịch vụ]]/Table1[[#This Row],[TỔNG CỘNG TÀI SẢN]]</f>
        <v>-3.6366729037293086E-2</v>
      </c>
      <c r="T34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0.35200766277718809</v>
      </c>
      <c r="U346" s="23">
        <f>Table1[[#This Row],[1. Doanh thu bán hàng và cung cấp dịch vụ ]]/Table1[[#This Row],[TỔNG CỘNG TÀI SẢN]]</f>
        <v>1.206495712559386</v>
      </c>
      <c r="V346" s="23">
        <f>1.2*Table1[[#This Row],[X1]] + 1.4*Table1[[#This Row],[X2]] + 3.3*Table1[[#This Row],[x3]] + 0.6*Table1[[#This Row],[x4]] + 1*Table1[[#This Row],[x5]]</f>
        <v>0.57357679414295482</v>
      </c>
      <c r="W346" s="23">
        <f>IF(Table1[[#This Row],[Zscore]]&lt;1.81,1,0)</f>
        <v>1</v>
      </c>
    </row>
    <row r="347" spans="1:23" hidden="1" x14ac:dyDescent="0.45">
      <c r="A347" s="7">
        <v>341</v>
      </c>
      <c r="B347" s="5" t="s">
        <v>695</v>
      </c>
      <c r="C347" s="6" t="s">
        <v>696</v>
      </c>
      <c r="D347" s="6" t="s">
        <v>18</v>
      </c>
      <c r="E347" s="6"/>
      <c r="F347" s="6"/>
      <c r="G347" s="6"/>
      <c r="H347" s="6"/>
      <c r="I347" s="6"/>
      <c r="J347" s="8"/>
      <c r="K347" s="6"/>
      <c r="L347" s="6"/>
      <c r="M347" s="8"/>
      <c r="N347" s="8"/>
      <c r="O347" s="8"/>
      <c r="P347" s="8"/>
      <c r="Q347" s="18" t="e">
        <f>(Table1[[#This Row],[A. TÀI SẢN NGẮN HẠN]]-Table1[[#This Row],[I. Nợ ngắn hạn]])/Table1[[#This Row],[TỔNG CỘNG TÀI SẢN]]</f>
        <v>#DIV/0!</v>
      </c>
      <c r="R347" s="18" t="e">
        <f>Table1[[#This Row],[- LNST chưa phân phối kỳ này]]/Table1[[#This Row],[TỔNG CỘNG TÀI SẢN]]</f>
        <v>#DIV/0!</v>
      </c>
      <c r="S347" s="21" t="e">
        <f>Table1[[#This Row],[5. Lợi nhuận gộp về bán hàng và cung cấp dịch vụ]]/Table1[[#This Row],[TỔNG CỘNG TÀI SẢN]]</f>
        <v>#DIV/0!</v>
      </c>
      <c r="T34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347" s="23" t="e">
        <f>Table1[[#This Row],[1. Doanh thu bán hàng và cung cấp dịch vụ ]]/Table1[[#This Row],[TỔNG CỘNG TÀI SẢN]]</f>
        <v>#DIV/0!</v>
      </c>
      <c r="V347" s="23" t="e">
        <f>1.2*Table1[[#This Row],[X1]] + 1.4*Table1[[#This Row],[X2]] + 3.3*Table1[[#This Row],[x3]] + 0.6*Table1[[#This Row],[x4]] + 1*Table1[[#This Row],[x5]]</f>
        <v>#DIV/0!</v>
      </c>
      <c r="W347" s="23" t="e">
        <f>IF(Table1[[#This Row],[Zscore]]&lt;1.81,1,0)</f>
        <v>#DIV/0!</v>
      </c>
    </row>
    <row r="348" spans="1:23" ht="26.25" x14ac:dyDescent="0.45">
      <c r="A348" s="7">
        <v>342</v>
      </c>
      <c r="B348" s="5" t="s">
        <v>697</v>
      </c>
      <c r="C348" s="6" t="s">
        <v>698</v>
      </c>
      <c r="D348" s="6" t="s">
        <v>18</v>
      </c>
      <c r="E348" s="8">
        <v>17111890047647</v>
      </c>
      <c r="F348" s="8">
        <v>13530400416749</v>
      </c>
      <c r="G348" s="8">
        <v>9918206231664</v>
      </c>
      <c r="H348" s="8">
        <v>233629194397</v>
      </c>
      <c r="I348" s="8">
        <v>557317066095</v>
      </c>
      <c r="J348" s="8"/>
      <c r="K348" s="8">
        <v>12585753183050</v>
      </c>
      <c r="L348" s="8">
        <v>11810704705138</v>
      </c>
      <c r="M348" s="8">
        <v>6088890425000</v>
      </c>
      <c r="N348" s="8">
        <v>12335089100000</v>
      </c>
      <c r="O348" s="8">
        <v>8954250625000</v>
      </c>
      <c r="P348" s="8">
        <v>12722185600000</v>
      </c>
      <c r="Q348" s="18">
        <f>(Table1[[#This Row],[A. TÀI SẢN NGẮN HẠN]]-Table1[[#This Row],[I. Nợ ngắn hạn]])/Table1[[#This Row],[TỔNG CỘNG TÀI SẢN]]</f>
        <v>0.21109264815441595</v>
      </c>
      <c r="R348" s="18">
        <f>Table1[[#This Row],[- LNST chưa phân phối kỳ này]]/Table1[[#This Row],[TỔNG CỘNG TÀI SẢN]]</f>
        <v>1.365303270103267E-2</v>
      </c>
      <c r="S348" s="21">
        <f>Table1[[#This Row],[5. Lợi nhuận gộp về bán hàng và cung cấp dịch vụ]]/Table1[[#This Row],[TỔNG CỘNG TÀI SẢN]]</f>
        <v>3.2568995274232425E-2</v>
      </c>
      <c r="T34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0.79654382154906844</v>
      </c>
      <c r="U348" s="23">
        <f>Table1[[#This Row],[1. Doanh thu bán hàng và cung cấp dịch vụ ]]/Table1[[#This Row],[TỔNG CỘNG TÀI SẢN]]</f>
        <v>0.69020456958593257</v>
      </c>
      <c r="V348" s="23">
        <f>1.2*Table1[[#This Row],[X1]] + 1.4*Table1[[#This Row],[X2]] + 3.3*Table1[[#This Row],[x3]] + 0.6*Table1[[#This Row],[x4]] + 1*Table1[[#This Row],[x5]]</f>
        <v>1.5480339704870856</v>
      </c>
      <c r="W348" s="23">
        <f>IF(Table1[[#This Row],[Zscore]]&lt;1.81,1,0)</f>
        <v>1</v>
      </c>
    </row>
    <row r="349" spans="1:23" hidden="1" x14ac:dyDescent="0.45">
      <c r="A349" s="7">
        <v>343</v>
      </c>
      <c r="B349" s="5" t="s">
        <v>699</v>
      </c>
      <c r="C349" s="6" t="s">
        <v>700</v>
      </c>
      <c r="D349" s="6" t="s">
        <v>13</v>
      </c>
      <c r="E349" s="6"/>
      <c r="F349" s="6"/>
      <c r="G349" s="6"/>
      <c r="H349" s="6"/>
      <c r="I349" s="6"/>
      <c r="J349" s="8"/>
      <c r="K349" s="6"/>
      <c r="L349" s="6"/>
      <c r="M349" s="8">
        <v>819200000000</v>
      </c>
      <c r="N349" s="8"/>
      <c r="O349" s="8"/>
      <c r="P349" s="8"/>
      <c r="Q349" s="18" t="e">
        <f>(Table1[[#This Row],[A. TÀI SẢN NGẮN HẠN]]-Table1[[#This Row],[I. Nợ ngắn hạn]])/Table1[[#This Row],[TỔNG CỘNG TÀI SẢN]]</f>
        <v>#DIV/0!</v>
      </c>
      <c r="R349" s="18" t="e">
        <f>Table1[[#This Row],[- LNST chưa phân phối kỳ này]]/Table1[[#This Row],[TỔNG CỘNG TÀI SẢN]]</f>
        <v>#DIV/0!</v>
      </c>
      <c r="S349" s="21" t="e">
        <f>Table1[[#This Row],[5. Lợi nhuận gộp về bán hàng và cung cấp dịch vụ]]/Table1[[#This Row],[TỔNG CỘNG TÀI SẢN]]</f>
        <v>#DIV/0!</v>
      </c>
      <c r="T34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349" s="23" t="e">
        <f>Table1[[#This Row],[1. Doanh thu bán hàng và cung cấp dịch vụ ]]/Table1[[#This Row],[TỔNG CỘNG TÀI SẢN]]</f>
        <v>#DIV/0!</v>
      </c>
      <c r="V349" s="23" t="e">
        <f>1.2*Table1[[#This Row],[X1]] + 1.4*Table1[[#This Row],[X2]] + 3.3*Table1[[#This Row],[x3]] + 0.6*Table1[[#This Row],[x4]] + 1*Table1[[#This Row],[x5]]</f>
        <v>#DIV/0!</v>
      </c>
      <c r="W349" s="23" t="e">
        <f>IF(Table1[[#This Row],[Zscore]]&lt;1.81,1,0)</f>
        <v>#DIV/0!</v>
      </c>
    </row>
    <row r="350" spans="1:23" ht="26.25" hidden="1" x14ac:dyDescent="0.45">
      <c r="A350" s="7">
        <v>344</v>
      </c>
      <c r="B350" s="5" t="s">
        <v>701</v>
      </c>
      <c r="C350" s="6" t="s">
        <v>702</v>
      </c>
      <c r="D350" s="6" t="s">
        <v>13</v>
      </c>
      <c r="E350" s="6"/>
      <c r="F350" s="6"/>
      <c r="G350" s="6"/>
      <c r="H350" s="6"/>
      <c r="I350" s="6"/>
      <c r="J350" s="8"/>
      <c r="K350" s="6"/>
      <c r="L350" s="6"/>
      <c r="M350" s="8"/>
      <c r="N350" s="8"/>
      <c r="O350" s="8"/>
      <c r="P350" s="8"/>
      <c r="Q350" s="18" t="e">
        <f>(Table1[[#This Row],[A. TÀI SẢN NGẮN HẠN]]-Table1[[#This Row],[I. Nợ ngắn hạn]])/Table1[[#This Row],[TỔNG CỘNG TÀI SẢN]]</f>
        <v>#DIV/0!</v>
      </c>
      <c r="R350" s="18" t="e">
        <f>Table1[[#This Row],[- LNST chưa phân phối kỳ này]]/Table1[[#This Row],[TỔNG CỘNG TÀI SẢN]]</f>
        <v>#DIV/0!</v>
      </c>
      <c r="S350" s="21" t="e">
        <f>Table1[[#This Row],[5. Lợi nhuận gộp về bán hàng và cung cấp dịch vụ]]/Table1[[#This Row],[TỔNG CỘNG TÀI SẢN]]</f>
        <v>#DIV/0!</v>
      </c>
      <c r="T35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350" s="23" t="e">
        <f>Table1[[#This Row],[1. Doanh thu bán hàng và cung cấp dịch vụ ]]/Table1[[#This Row],[TỔNG CỘNG TÀI SẢN]]</f>
        <v>#DIV/0!</v>
      </c>
      <c r="V350" s="23" t="e">
        <f>1.2*Table1[[#This Row],[X1]] + 1.4*Table1[[#This Row],[X2]] + 3.3*Table1[[#This Row],[x3]] + 0.6*Table1[[#This Row],[x4]] + 1*Table1[[#This Row],[x5]]</f>
        <v>#DIV/0!</v>
      </c>
      <c r="W350" s="23" t="e">
        <f>IF(Table1[[#This Row],[Zscore]]&lt;1.81,1,0)</f>
        <v>#DIV/0!</v>
      </c>
    </row>
    <row r="351" spans="1:23" ht="26.25" x14ac:dyDescent="0.45">
      <c r="A351" s="7">
        <v>345</v>
      </c>
      <c r="B351" s="5" t="s">
        <v>703</v>
      </c>
      <c r="C351" s="6" t="s">
        <v>704</v>
      </c>
      <c r="D351" s="6" t="s">
        <v>18</v>
      </c>
      <c r="E351" s="8">
        <v>716033623490</v>
      </c>
      <c r="F351" s="8">
        <v>659955972925</v>
      </c>
      <c r="G351" s="8">
        <v>431800429938</v>
      </c>
      <c r="H351" s="8">
        <v>36039878076</v>
      </c>
      <c r="I351" s="8">
        <v>198930582114</v>
      </c>
      <c r="J351" s="8"/>
      <c r="K351" s="8">
        <v>431800429938</v>
      </c>
      <c r="L351" s="8">
        <v>1478258335417</v>
      </c>
      <c r="M351" s="8">
        <v>210130460100</v>
      </c>
      <c r="N351" s="8">
        <v>262603975500</v>
      </c>
      <c r="O351" s="8">
        <v>206764866200</v>
      </c>
      <c r="P351" s="8">
        <v>264115705000</v>
      </c>
      <c r="Q351" s="18">
        <f>(Table1[[#This Row],[A. TÀI SẢN NGẮN HẠN]]-Table1[[#This Row],[I. Nợ ngắn hạn]])/Table1[[#This Row],[TỔNG CỘNG TÀI SẢN]]</f>
        <v>0.31863802969887545</v>
      </c>
      <c r="R351" s="18">
        <f>Table1[[#This Row],[- LNST chưa phân phối kỳ này]]/Table1[[#This Row],[TỔNG CỘNG TÀI SẢN]]</f>
        <v>5.0332661614882007E-2</v>
      </c>
      <c r="S351" s="21">
        <f>Table1[[#This Row],[5. Lợi nhuận gộp về bán hàng và cung cấp dịch vụ]]/Table1[[#This Row],[TỔNG CỘNG TÀI SẢN]]</f>
        <v>0.27782296192237155</v>
      </c>
      <c r="T35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0.54632588423747563</v>
      </c>
      <c r="U351" s="23">
        <f>Table1[[#This Row],[1. Doanh thu bán hàng và cung cấp dịch vụ ]]/Table1[[#This Row],[TỔNG CỘNG TÀI SẢN]]</f>
        <v>2.0645096639622329</v>
      </c>
      <c r="V351" s="23">
        <f>1.2*Table1[[#This Row],[X1]] + 1.4*Table1[[#This Row],[X2]] + 3.3*Table1[[#This Row],[x3]] + 0.6*Table1[[#This Row],[x4]] + 1*Table1[[#This Row],[x5]]</f>
        <v>3.7619523307480298</v>
      </c>
      <c r="W351" s="23">
        <f>IF(Table1[[#This Row],[Zscore]]&lt;1.81,1,0)</f>
        <v>0</v>
      </c>
    </row>
    <row r="352" spans="1:23" hidden="1" x14ac:dyDescent="0.45">
      <c r="A352" s="7">
        <v>346</v>
      </c>
      <c r="B352" s="5" t="s">
        <v>705</v>
      </c>
      <c r="C352" s="6" t="s">
        <v>706</v>
      </c>
      <c r="D352" s="6" t="s">
        <v>21</v>
      </c>
      <c r="E352" s="6"/>
      <c r="F352" s="6"/>
      <c r="G352" s="6"/>
      <c r="H352" s="6"/>
      <c r="I352" s="6"/>
      <c r="J352" s="8"/>
      <c r="K352" s="6"/>
      <c r="L352" s="6"/>
      <c r="M352" s="8">
        <v>736575000000</v>
      </c>
      <c r="N352" s="8"/>
      <c r="O352" s="8">
        <v>672175000000</v>
      </c>
      <c r="P352" s="8">
        <v>603750000000</v>
      </c>
      <c r="Q352" s="18" t="e">
        <f>(Table1[[#This Row],[A. TÀI SẢN NGẮN HẠN]]-Table1[[#This Row],[I. Nợ ngắn hạn]])/Table1[[#This Row],[TỔNG CỘNG TÀI SẢN]]</f>
        <v>#DIV/0!</v>
      </c>
      <c r="R352" s="18" t="e">
        <f>Table1[[#This Row],[- LNST chưa phân phối kỳ này]]/Table1[[#This Row],[TỔNG CỘNG TÀI SẢN]]</f>
        <v>#DIV/0!</v>
      </c>
      <c r="S352" s="21" t="e">
        <f>Table1[[#This Row],[5. Lợi nhuận gộp về bán hàng và cung cấp dịch vụ]]/Table1[[#This Row],[TỔNG CỘNG TÀI SẢN]]</f>
        <v>#DIV/0!</v>
      </c>
      <c r="T35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352" s="23" t="e">
        <f>Table1[[#This Row],[1. Doanh thu bán hàng và cung cấp dịch vụ ]]/Table1[[#This Row],[TỔNG CỘNG TÀI SẢN]]</f>
        <v>#DIV/0!</v>
      </c>
      <c r="V352" s="23" t="e">
        <f>1.2*Table1[[#This Row],[X1]] + 1.4*Table1[[#This Row],[X2]] + 3.3*Table1[[#This Row],[x3]] + 0.6*Table1[[#This Row],[x4]] + 1*Table1[[#This Row],[x5]]</f>
        <v>#DIV/0!</v>
      </c>
      <c r="W352" s="23" t="e">
        <f>IF(Table1[[#This Row],[Zscore]]&lt;1.81,1,0)</f>
        <v>#DIV/0!</v>
      </c>
    </row>
    <row r="353" spans="1:23" ht="26.25" hidden="1" x14ac:dyDescent="0.45">
      <c r="A353" s="7">
        <v>347</v>
      </c>
      <c r="B353" s="5" t="s">
        <v>707</v>
      </c>
      <c r="C353" s="6" t="s">
        <v>708</v>
      </c>
      <c r="D353" s="6" t="s">
        <v>13</v>
      </c>
      <c r="E353" s="6"/>
      <c r="F353" s="6"/>
      <c r="G353" s="6"/>
      <c r="H353" s="6"/>
      <c r="I353" s="6"/>
      <c r="J353" s="8"/>
      <c r="K353" s="6"/>
      <c r="L353" s="6"/>
      <c r="M353" s="8"/>
      <c r="N353" s="8"/>
      <c r="O353" s="8"/>
      <c r="P353" s="8"/>
      <c r="Q353" s="18" t="e">
        <f>(Table1[[#This Row],[A. TÀI SẢN NGẮN HẠN]]-Table1[[#This Row],[I. Nợ ngắn hạn]])/Table1[[#This Row],[TỔNG CỘNG TÀI SẢN]]</f>
        <v>#DIV/0!</v>
      </c>
      <c r="R353" s="18" t="e">
        <f>Table1[[#This Row],[- LNST chưa phân phối kỳ này]]/Table1[[#This Row],[TỔNG CỘNG TÀI SẢN]]</f>
        <v>#DIV/0!</v>
      </c>
      <c r="S353" s="21" t="e">
        <f>Table1[[#This Row],[5. Lợi nhuận gộp về bán hàng và cung cấp dịch vụ]]/Table1[[#This Row],[TỔNG CỘNG TÀI SẢN]]</f>
        <v>#DIV/0!</v>
      </c>
      <c r="T35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353" s="23" t="e">
        <f>Table1[[#This Row],[1. Doanh thu bán hàng và cung cấp dịch vụ ]]/Table1[[#This Row],[TỔNG CỘNG TÀI SẢN]]</f>
        <v>#DIV/0!</v>
      </c>
      <c r="V353" s="23" t="e">
        <f>1.2*Table1[[#This Row],[X1]] + 1.4*Table1[[#This Row],[X2]] + 3.3*Table1[[#This Row],[x3]] + 0.6*Table1[[#This Row],[x4]] + 1*Table1[[#This Row],[x5]]</f>
        <v>#DIV/0!</v>
      </c>
      <c r="W353" s="23" t="e">
        <f>IF(Table1[[#This Row],[Zscore]]&lt;1.81,1,0)</f>
        <v>#DIV/0!</v>
      </c>
    </row>
    <row r="354" spans="1:23" ht="26.25" x14ac:dyDescent="0.45">
      <c r="A354" s="7">
        <v>348</v>
      </c>
      <c r="B354" s="5" t="s">
        <v>709</v>
      </c>
      <c r="C354" s="6" t="s">
        <v>710</v>
      </c>
      <c r="D354" s="6" t="s">
        <v>21</v>
      </c>
      <c r="E354" s="8">
        <v>1093993676083</v>
      </c>
      <c r="F354" s="8">
        <v>823810203919</v>
      </c>
      <c r="G354" s="8">
        <v>44014356298</v>
      </c>
      <c r="H354" s="8">
        <v>50350986083</v>
      </c>
      <c r="I354" s="8">
        <v>51393465431</v>
      </c>
      <c r="J354" s="8"/>
      <c r="K354" s="8">
        <v>803902451096</v>
      </c>
      <c r="L354" s="8">
        <v>382338812662</v>
      </c>
      <c r="M354" s="8">
        <v>359592652500</v>
      </c>
      <c r="N354" s="8">
        <v>477118056000</v>
      </c>
      <c r="O354" s="8">
        <v>401691304500</v>
      </c>
      <c r="P354" s="8">
        <v>430634127750</v>
      </c>
      <c r="Q354" s="18">
        <f>(Table1[[#This Row],[A. TÀI SẢN NGẮN HẠN]]-Table1[[#This Row],[I. Nợ ngắn hạn]])/Table1[[#This Row],[TỔNG CỘNG TÀI SẢN]]</f>
        <v>0.71279739971900702</v>
      </c>
      <c r="R354" s="18">
        <f>Table1[[#This Row],[- LNST chưa phân phối kỳ này]]/Table1[[#This Row],[TỔNG CỘNG TÀI SẢN]]</f>
        <v>4.6024933401150603E-2</v>
      </c>
      <c r="S354" s="21">
        <f>Table1[[#This Row],[5. Lợi nhuận gộp về bán hàng và cung cấp dịch vụ]]/Table1[[#This Row],[TỔNG CỘNG TÀI SẢN]]</f>
        <v>4.6977845077690226E-2</v>
      </c>
      <c r="T35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0.51904187456902273</v>
      </c>
      <c r="U354" s="23">
        <f>Table1[[#This Row],[1. Doanh thu bán hàng và cung cấp dịch vụ ]]/Table1[[#This Row],[TỔNG CỘNG TÀI SẢN]]</f>
        <v>0.34948905192116708</v>
      </c>
      <c r="V354" s="23">
        <f>1.2*Table1[[#This Row],[X1]] + 1.4*Table1[[#This Row],[X2]] + 3.3*Table1[[#This Row],[x3]] + 0.6*Table1[[#This Row],[x4]] + 1*Table1[[#This Row],[x5]]</f>
        <v>1.7357328518433777</v>
      </c>
      <c r="W354" s="23">
        <f>IF(Table1[[#This Row],[Zscore]]&lt;1.81,1,0)</f>
        <v>1</v>
      </c>
    </row>
    <row r="355" spans="1:23" ht="26.25" x14ac:dyDescent="0.45">
      <c r="A355" s="7">
        <v>349</v>
      </c>
      <c r="B355" s="5" t="s">
        <v>711</v>
      </c>
      <c r="C355" s="6" t="s">
        <v>712</v>
      </c>
      <c r="D355" s="6" t="s">
        <v>21</v>
      </c>
      <c r="E355" s="8">
        <v>1190170898697</v>
      </c>
      <c r="F355" s="8">
        <v>562976761858</v>
      </c>
      <c r="G355" s="8">
        <v>239428521845</v>
      </c>
      <c r="H355" s="8">
        <v>22716892478</v>
      </c>
      <c r="I355" s="8">
        <v>75620282811</v>
      </c>
      <c r="J355" s="8"/>
      <c r="K355" s="8">
        <v>470421804422</v>
      </c>
      <c r="L355" s="8">
        <v>311446379575</v>
      </c>
      <c r="M355" s="8">
        <v>447456449180</v>
      </c>
      <c r="N355" s="8">
        <v>367617349060</v>
      </c>
      <c r="O355" s="8">
        <v>408132713300</v>
      </c>
      <c r="P355" s="8">
        <v>409920155840</v>
      </c>
      <c r="Q355" s="18">
        <f>(Table1[[#This Row],[A. TÀI SẢN NGẮN HẠN]]-Table1[[#This Row],[I. Nợ ngắn hạn]])/Table1[[#This Row],[TỔNG CỘNG TÀI SẢN]]</f>
        <v>0.27185023627045568</v>
      </c>
      <c r="R355" s="18">
        <f>Table1[[#This Row],[- LNST chưa phân phối kỳ này]]/Table1[[#This Row],[TỔNG CỘNG TÀI SẢN]]</f>
        <v>1.9087084470701201E-2</v>
      </c>
      <c r="S355" s="21">
        <f>Table1[[#This Row],[5. Lợi nhuận gộp về bán hàng và cung cấp dịch vụ]]/Table1[[#This Row],[TỔNG CỘNG TÀI SẢN]]</f>
        <v>6.3537331398195965E-2</v>
      </c>
      <c r="T35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0.86790549036443876</v>
      </c>
      <c r="U355" s="23">
        <f>Table1[[#This Row],[1. Doanh thu bán hàng và cung cấp dịch vụ ]]/Table1[[#This Row],[TỔNG CỘNG TÀI SẢN]]</f>
        <v>0.26168206592513038</v>
      </c>
      <c r="V355" s="23">
        <f>1.2*Table1[[#This Row],[X1]] + 1.4*Table1[[#This Row],[X2]] + 3.3*Table1[[#This Row],[x3]] + 0.6*Table1[[#This Row],[x4]] + 1*Table1[[#This Row],[x5]]</f>
        <v>1.3450407555413688</v>
      </c>
      <c r="W355" s="23">
        <f>IF(Table1[[#This Row],[Zscore]]&lt;1.81,1,0)</f>
        <v>1</v>
      </c>
    </row>
    <row r="356" spans="1:23" ht="26.25" hidden="1" x14ac:dyDescent="0.45">
      <c r="A356" s="7">
        <v>350</v>
      </c>
      <c r="B356" s="5" t="s">
        <v>713</v>
      </c>
      <c r="C356" s="6" t="s">
        <v>714</v>
      </c>
      <c r="D356" s="6" t="s">
        <v>18</v>
      </c>
      <c r="E356" s="6"/>
      <c r="F356" s="6"/>
      <c r="G356" s="6"/>
      <c r="H356" s="6"/>
      <c r="I356" s="6"/>
      <c r="J356" s="8"/>
      <c r="K356" s="6"/>
      <c r="L356" s="6"/>
      <c r="M356" s="8"/>
      <c r="N356" s="8"/>
      <c r="O356" s="8"/>
      <c r="P356" s="8"/>
      <c r="Q356" s="18" t="e">
        <f>(Table1[[#This Row],[A. TÀI SẢN NGẮN HẠN]]-Table1[[#This Row],[I. Nợ ngắn hạn]])/Table1[[#This Row],[TỔNG CỘNG TÀI SẢN]]</f>
        <v>#DIV/0!</v>
      </c>
      <c r="R356" s="18" t="e">
        <f>Table1[[#This Row],[- LNST chưa phân phối kỳ này]]/Table1[[#This Row],[TỔNG CỘNG TÀI SẢN]]</f>
        <v>#DIV/0!</v>
      </c>
      <c r="S356" s="21" t="e">
        <f>Table1[[#This Row],[5. Lợi nhuận gộp về bán hàng và cung cấp dịch vụ]]/Table1[[#This Row],[TỔNG CỘNG TÀI SẢN]]</f>
        <v>#DIV/0!</v>
      </c>
      <c r="T35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356" s="23" t="e">
        <f>Table1[[#This Row],[1. Doanh thu bán hàng và cung cấp dịch vụ ]]/Table1[[#This Row],[TỔNG CỘNG TÀI SẢN]]</f>
        <v>#DIV/0!</v>
      </c>
      <c r="V356" s="23" t="e">
        <f>1.2*Table1[[#This Row],[X1]] + 1.4*Table1[[#This Row],[X2]] + 3.3*Table1[[#This Row],[x3]] + 0.6*Table1[[#This Row],[x4]] + 1*Table1[[#This Row],[x5]]</f>
        <v>#DIV/0!</v>
      </c>
      <c r="W356" s="23" t="e">
        <f>IF(Table1[[#This Row],[Zscore]]&lt;1.81,1,0)</f>
        <v>#DIV/0!</v>
      </c>
    </row>
    <row r="357" spans="1:23" hidden="1" x14ac:dyDescent="0.45">
      <c r="A357" s="7">
        <v>351</v>
      </c>
      <c r="B357" s="5" t="s">
        <v>715</v>
      </c>
      <c r="C357" s="6" t="s">
        <v>716</v>
      </c>
      <c r="D357" s="6" t="s">
        <v>13</v>
      </c>
      <c r="E357" s="6"/>
      <c r="F357" s="6"/>
      <c r="G357" s="6"/>
      <c r="H357" s="6"/>
      <c r="I357" s="6"/>
      <c r="J357" s="8"/>
      <c r="K357" s="6"/>
      <c r="L357" s="6"/>
      <c r="M357" s="8"/>
      <c r="N357" s="8"/>
      <c r="O357" s="8"/>
      <c r="P357" s="8"/>
      <c r="Q357" s="18" t="e">
        <f>(Table1[[#This Row],[A. TÀI SẢN NGẮN HẠN]]-Table1[[#This Row],[I. Nợ ngắn hạn]])/Table1[[#This Row],[TỔNG CỘNG TÀI SẢN]]</f>
        <v>#DIV/0!</v>
      </c>
      <c r="R357" s="18" t="e">
        <f>Table1[[#This Row],[- LNST chưa phân phối kỳ này]]/Table1[[#This Row],[TỔNG CỘNG TÀI SẢN]]</f>
        <v>#DIV/0!</v>
      </c>
      <c r="S357" s="21" t="e">
        <f>Table1[[#This Row],[5. Lợi nhuận gộp về bán hàng và cung cấp dịch vụ]]/Table1[[#This Row],[TỔNG CỘNG TÀI SẢN]]</f>
        <v>#DIV/0!</v>
      </c>
      <c r="T35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357" s="23" t="e">
        <f>Table1[[#This Row],[1. Doanh thu bán hàng và cung cấp dịch vụ ]]/Table1[[#This Row],[TỔNG CỘNG TÀI SẢN]]</f>
        <v>#DIV/0!</v>
      </c>
      <c r="V357" s="23" t="e">
        <f>1.2*Table1[[#This Row],[X1]] + 1.4*Table1[[#This Row],[X2]] + 3.3*Table1[[#This Row],[x3]] + 0.6*Table1[[#This Row],[x4]] + 1*Table1[[#This Row],[x5]]</f>
        <v>#DIV/0!</v>
      </c>
      <c r="W357" s="23" t="e">
        <f>IF(Table1[[#This Row],[Zscore]]&lt;1.81,1,0)</f>
        <v>#DIV/0!</v>
      </c>
    </row>
    <row r="358" spans="1:23" hidden="1" x14ac:dyDescent="0.45">
      <c r="A358" s="7">
        <v>352</v>
      </c>
      <c r="B358" s="5" t="s">
        <v>717</v>
      </c>
      <c r="C358" s="6" t="s">
        <v>718</v>
      </c>
      <c r="D358" s="6" t="s">
        <v>18</v>
      </c>
      <c r="E358" s="6"/>
      <c r="F358" s="6"/>
      <c r="G358" s="6"/>
      <c r="H358" s="6"/>
      <c r="I358" s="6"/>
      <c r="J358" s="8"/>
      <c r="K358" s="6"/>
      <c r="L358" s="6"/>
      <c r="M358" s="8">
        <v>109200000000</v>
      </c>
      <c r="N358" s="8"/>
      <c r="O358" s="8">
        <v>109200000000</v>
      </c>
      <c r="P358" s="8">
        <v>37920000000</v>
      </c>
      <c r="Q358" s="18" t="e">
        <f>(Table1[[#This Row],[A. TÀI SẢN NGẮN HẠN]]-Table1[[#This Row],[I. Nợ ngắn hạn]])/Table1[[#This Row],[TỔNG CỘNG TÀI SẢN]]</f>
        <v>#DIV/0!</v>
      </c>
      <c r="R358" s="18" t="e">
        <f>Table1[[#This Row],[- LNST chưa phân phối kỳ này]]/Table1[[#This Row],[TỔNG CỘNG TÀI SẢN]]</f>
        <v>#DIV/0!</v>
      </c>
      <c r="S358" s="21" t="e">
        <f>Table1[[#This Row],[5. Lợi nhuận gộp về bán hàng và cung cấp dịch vụ]]/Table1[[#This Row],[TỔNG CỘNG TÀI SẢN]]</f>
        <v>#DIV/0!</v>
      </c>
      <c r="T35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358" s="23" t="e">
        <f>Table1[[#This Row],[1. Doanh thu bán hàng và cung cấp dịch vụ ]]/Table1[[#This Row],[TỔNG CỘNG TÀI SẢN]]</f>
        <v>#DIV/0!</v>
      </c>
      <c r="V358" s="23" t="e">
        <f>1.2*Table1[[#This Row],[X1]] + 1.4*Table1[[#This Row],[X2]] + 3.3*Table1[[#This Row],[x3]] + 0.6*Table1[[#This Row],[x4]] + 1*Table1[[#This Row],[x5]]</f>
        <v>#DIV/0!</v>
      </c>
      <c r="W358" s="23" t="e">
        <f>IF(Table1[[#This Row],[Zscore]]&lt;1.81,1,0)</f>
        <v>#DIV/0!</v>
      </c>
    </row>
    <row r="359" spans="1:23" x14ac:dyDescent="0.45">
      <c r="A359" s="7">
        <v>353</v>
      </c>
      <c r="B359" s="5" t="s">
        <v>719</v>
      </c>
      <c r="C359" s="6" t="s">
        <v>720</v>
      </c>
      <c r="D359" s="6" t="s">
        <v>36</v>
      </c>
      <c r="E359" s="8">
        <v>353260262747</v>
      </c>
      <c r="F359" s="8">
        <v>86072018718</v>
      </c>
      <c r="G359" s="8">
        <v>54971644078</v>
      </c>
      <c r="H359" s="8">
        <v>28360927391</v>
      </c>
      <c r="I359" s="8">
        <v>80010970139</v>
      </c>
      <c r="J359" s="8"/>
      <c r="K359" s="8">
        <v>60718644078</v>
      </c>
      <c r="L359" s="8">
        <v>258568304190</v>
      </c>
      <c r="M359" s="8">
        <v>315451659300</v>
      </c>
      <c r="N359" s="8">
        <v>308115574200</v>
      </c>
      <c r="O359" s="8">
        <v>308115574200</v>
      </c>
      <c r="P359" s="8">
        <v>327678467800</v>
      </c>
      <c r="Q359" s="18">
        <f>(Table1[[#This Row],[A. TÀI SẢN NGẮN HẠN]]-Table1[[#This Row],[I. Nợ ngắn hạn]])/Table1[[#This Row],[TỔNG CỘNG TÀI SẢN]]</f>
        <v>8.8038134824900041E-2</v>
      </c>
      <c r="R359" s="18">
        <f>Table1[[#This Row],[- LNST chưa phân phối kỳ này]]/Table1[[#This Row],[TỔNG CỘNG TÀI SẢN]]</f>
        <v>8.0283378522287105E-2</v>
      </c>
      <c r="S359" s="21">
        <f>Table1[[#This Row],[5. Lợi nhuận gộp về bán hàng và cung cấp dịch vụ]]/Table1[[#This Row],[TỔNG CỘNG TÀI SẢN]]</f>
        <v>0.2264929814545904</v>
      </c>
      <c r="T35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5.1852330310695312</v>
      </c>
      <c r="U359" s="23">
        <f>Table1[[#This Row],[1. Doanh thu bán hàng và cung cấp dịch vụ ]]/Table1[[#This Row],[TỔNG CỘNG TÀI SẢN]]</f>
        <v>0.73194845686672372</v>
      </c>
      <c r="V359" s="23">
        <f>1.2*Table1[[#This Row],[X1]] + 1.4*Table1[[#This Row],[X2]] + 3.3*Table1[[#This Row],[x3]] + 0.6*Table1[[#This Row],[x4]] + 1*Table1[[#This Row],[x5]]</f>
        <v>4.8085576060296731</v>
      </c>
      <c r="W359" s="23">
        <f>IF(Table1[[#This Row],[Zscore]]&lt;1.81,1,0)</f>
        <v>0</v>
      </c>
    </row>
    <row r="360" spans="1:23" hidden="1" x14ac:dyDescent="0.45">
      <c r="A360" s="7">
        <v>354</v>
      </c>
      <c r="B360" s="5" t="s">
        <v>721</v>
      </c>
      <c r="C360" s="6" t="s">
        <v>722</v>
      </c>
      <c r="D360" s="6" t="s">
        <v>18</v>
      </c>
      <c r="E360" s="6"/>
      <c r="F360" s="6"/>
      <c r="G360" s="6"/>
      <c r="H360" s="6"/>
      <c r="I360" s="6"/>
      <c r="J360" s="8"/>
      <c r="K360" s="6"/>
      <c r="L360" s="6"/>
      <c r="M360" s="8"/>
      <c r="N360" s="8"/>
      <c r="O360" s="8"/>
      <c r="P360" s="8"/>
      <c r="Q360" s="18" t="e">
        <f>(Table1[[#This Row],[A. TÀI SẢN NGẮN HẠN]]-Table1[[#This Row],[I. Nợ ngắn hạn]])/Table1[[#This Row],[TỔNG CỘNG TÀI SẢN]]</f>
        <v>#DIV/0!</v>
      </c>
      <c r="R360" s="18" t="e">
        <f>Table1[[#This Row],[- LNST chưa phân phối kỳ này]]/Table1[[#This Row],[TỔNG CỘNG TÀI SẢN]]</f>
        <v>#DIV/0!</v>
      </c>
      <c r="S360" s="21" t="e">
        <f>Table1[[#This Row],[5. Lợi nhuận gộp về bán hàng và cung cấp dịch vụ]]/Table1[[#This Row],[TỔNG CỘNG TÀI SẢN]]</f>
        <v>#DIV/0!</v>
      </c>
      <c r="T36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360" s="23" t="e">
        <f>Table1[[#This Row],[1. Doanh thu bán hàng và cung cấp dịch vụ ]]/Table1[[#This Row],[TỔNG CỘNG TÀI SẢN]]</f>
        <v>#DIV/0!</v>
      </c>
      <c r="V360" s="23" t="e">
        <f>1.2*Table1[[#This Row],[X1]] + 1.4*Table1[[#This Row],[X2]] + 3.3*Table1[[#This Row],[x3]] + 0.6*Table1[[#This Row],[x4]] + 1*Table1[[#This Row],[x5]]</f>
        <v>#DIV/0!</v>
      </c>
      <c r="W360" s="23" t="e">
        <f>IF(Table1[[#This Row],[Zscore]]&lt;1.81,1,0)</f>
        <v>#DIV/0!</v>
      </c>
    </row>
    <row r="361" spans="1:23" x14ac:dyDescent="0.45">
      <c r="A361" s="7">
        <v>355</v>
      </c>
      <c r="B361" s="5" t="s">
        <v>723</v>
      </c>
      <c r="C361" s="6" t="s">
        <v>724</v>
      </c>
      <c r="D361" s="6" t="s">
        <v>18</v>
      </c>
      <c r="E361" s="8">
        <v>356305081530</v>
      </c>
      <c r="F361" s="8">
        <v>95225515231</v>
      </c>
      <c r="G361" s="8">
        <v>33603287521</v>
      </c>
      <c r="H361" s="8">
        <v>5303990459</v>
      </c>
      <c r="I361" s="8">
        <v>28243406756</v>
      </c>
      <c r="J361" s="8"/>
      <c r="K361" s="8">
        <v>83385821519</v>
      </c>
      <c r="L361" s="8">
        <v>190150504400</v>
      </c>
      <c r="M361" s="8">
        <v>290496000000</v>
      </c>
      <c r="N361" s="8">
        <v>327520000000</v>
      </c>
      <c r="O361" s="8">
        <v>370240000000</v>
      </c>
      <c r="P361" s="8">
        <v>370240000000</v>
      </c>
      <c r="Q361" s="18">
        <f>(Table1[[#This Row],[A. TÀI SẢN NGẮN HẠN]]-Table1[[#This Row],[I. Nợ ngắn hạn]])/Table1[[#This Row],[TỔNG CỘNG TÀI SẢN]]</f>
        <v>0.17294793395982358</v>
      </c>
      <c r="R361" s="18">
        <f>Table1[[#This Row],[- LNST chưa phân phối kỳ này]]/Table1[[#This Row],[TỔNG CỘNG TÀI SẢN]]</f>
        <v>1.4886092660324344E-2</v>
      </c>
      <c r="S361" s="21">
        <f>Table1[[#This Row],[5. Lợi nhuận gộp về bán hàng và cung cấp dịch vụ]]/Table1[[#This Row],[TỔNG CỘNG TÀI SẢN]]</f>
        <v>7.926748233485964E-2</v>
      </c>
      <c r="T36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4.0729226361656039</v>
      </c>
      <c r="U361" s="23">
        <f>Table1[[#This Row],[1. Doanh thu bán hàng và cung cấp dịch vụ ]]/Table1[[#This Row],[TỔNG CỘNG TÀI SẢN]]</f>
        <v>0.53367328802463287</v>
      </c>
      <c r="V361" s="23">
        <f>1.2*Table1[[#This Row],[X1]] + 1.4*Table1[[#This Row],[X2]] + 3.3*Table1[[#This Row],[x3]] + 0.6*Table1[[#This Row],[x4]] + 1*Table1[[#This Row],[x5]]</f>
        <v>3.467387611905274</v>
      </c>
      <c r="W361" s="23">
        <f>IF(Table1[[#This Row],[Zscore]]&lt;1.81,1,0)</f>
        <v>0</v>
      </c>
    </row>
    <row r="362" spans="1:23" ht="26.25" hidden="1" x14ac:dyDescent="0.45">
      <c r="A362" s="7">
        <v>356</v>
      </c>
      <c r="B362" s="5" t="s">
        <v>725</v>
      </c>
      <c r="C362" s="6" t="s">
        <v>726</v>
      </c>
      <c r="D362" s="6" t="s">
        <v>18</v>
      </c>
      <c r="E362" s="6"/>
      <c r="F362" s="6"/>
      <c r="G362" s="6"/>
      <c r="H362" s="6"/>
      <c r="I362" s="6"/>
      <c r="J362" s="8"/>
      <c r="K362" s="6"/>
      <c r="L362" s="6"/>
      <c r="M362" s="8"/>
      <c r="N362" s="8"/>
      <c r="O362" s="8"/>
      <c r="P362" s="8"/>
      <c r="Q362" s="18" t="e">
        <f>(Table1[[#This Row],[A. TÀI SẢN NGẮN HẠN]]-Table1[[#This Row],[I. Nợ ngắn hạn]])/Table1[[#This Row],[TỔNG CỘNG TÀI SẢN]]</f>
        <v>#DIV/0!</v>
      </c>
      <c r="R362" s="18" t="e">
        <f>Table1[[#This Row],[- LNST chưa phân phối kỳ này]]/Table1[[#This Row],[TỔNG CỘNG TÀI SẢN]]</f>
        <v>#DIV/0!</v>
      </c>
      <c r="S362" s="21" t="e">
        <f>Table1[[#This Row],[5. Lợi nhuận gộp về bán hàng và cung cấp dịch vụ]]/Table1[[#This Row],[TỔNG CỘNG TÀI SẢN]]</f>
        <v>#DIV/0!</v>
      </c>
      <c r="T36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362" s="23" t="e">
        <f>Table1[[#This Row],[1. Doanh thu bán hàng và cung cấp dịch vụ ]]/Table1[[#This Row],[TỔNG CỘNG TÀI SẢN]]</f>
        <v>#DIV/0!</v>
      </c>
      <c r="V362" s="23" t="e">
        <f>1.2*Table1[[#This Row],[X1]] + 1.4*Table1[[#This Row],[X2]] + 3.3*Table1[[#This Row],[x3]] + 0.6*Table1[[#This Row],[x4]] + 1*Table1[[#This Row],[x5]]</f>
        <v>#DIV/0!</v>
      </c>
      <c r="W362" s="23" t="e">
        <f>IF(Table1[[#This Row],[Zscore]]&lt;1.81,1,0)</f>
        <v>#DIV/0!</v>
      </c>
    </row>
    <row r="363" spans="1:23" x14ac:dyDescent="0.45">
      <c r="A363" s="7">
        <v>357</v>
      </c>
      <c r="B363" s="5" t="s">
        <v>727</v>
      </c>
      <c r="C363" s="6" t="s">
        <v>728</v>
      </c>
      <c r="D363" s="6" t="s">
        <v>21</v>
      </c>
      <c r="E363" s="8">
        <v>2962252262804</v>
      </c>
      <c r="F363" s="8">
        <v>2796665004487</v>
      </c>
      <c r="G363" s="8">
        <v>1170737898031</v>
      </c>
      <c r="H363" s="8">
        <v>23969948163</v>
      </c>
      <c r="I363" s="8">
        <v>56452598672</v>
      </c>
      <c r="J363" s="8"/>
      <c r="K363" s="8">
        <v>2090772905592</v>
      </c>
      <c r="L363" s="8">
        <v>1031046385849</v>
      </c>
      <c r="M363" s="8">
        <v>378205915200</v>
      </c>
      <c r="N363" s="8">
        <v>1316677891950</v>
      </c>
      <c r="O363" s="8">
        <v>631076149200</v>
      </c>
      <c r="P363" s="8">
        <v>1407277824000</v>
      </c>
      <c r="Q363" s="18">
        <f>(Table1[[#This Row],[A. TÀI SẢN NGẮN HẠN]]-Table1[[#This Row],[I. Nợ ngắn hạn]])/Table1[[#This Row],[TỔNG CỘNG TÀI SẢN]]</f>
        <v>0.54888205399392109</v>
      </c>
      <c r="R363" s="18">
        <f>Table1[[#This Row],[- LNST chưa phân phối kỳ này]]/Table1[[#This Row],[TỔNG CỘNG TÀI SẢN]]</f>
        <v>8.0917984143290336E-3</v>
      </c>
      <c r="S363" s="21">
        <f>Table1[[#This Row],[5. Lợi nhuận gộp về bán hàng và cung cấp dịch vụ]]/Table1[[#This Row],[TỔNG CỘNG TÀI SẢN]]</f>
        <v>1.9057323166178718E-2</v>
      </c>
      <c r="T36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0.44639446139332595</v>
      </c>
      <c r="U363" s="23">
        <f>Table1[[#This Row],[1. Doanh thu bán hàng và cung cấp dịch vụ ]]/Table1[[#This Row],[TỔNG CỘNG TÀI SẢN]]</f>
        <v>0.34806164174317655</v>
      </c>
      <c r="V363" s="23">
        <f>1.2*Table1[[#This Row],[X1]] + 1.4*Table1[[#This Row],[X2]] + 3.3*Table1[[#This Row],[x3]] + 0.6*Table1[[#This Row],[x4]] + 1*Table1[[#This Row],[x5]]</f>
        <v>1.3487744676003277</v>
      </c>
      <c r="W363" s="23">
        <f>IF(Table1[[#This Row],[Zscore]]&lt;1.81,1,0)</f>
        <v>1</v>
      </c>
    </row>
    <row r="364" spans="1:23" hidden="1" x14ac:dyDescent="0.45">
      <c r="A364" s="7">
        <v>358</v>
      </c>
      <c r="B364" s="5" t="s">
        <v>729</v>
      </c>
      <c r="C364" s="6" t="s">
        <v>730</v>
      </c>
      <c r="D364" s="6" t="s">
        <v>18</v>
      </c>
      <c r="E364" s="8">
        <v>58327292015</v>
      </c>
      <c r="F364" s="8">
        <v>20676043056</v>
      </c>
      <c r="G364" s="8">
        <v>4747115893</v>
      </c>
      <c r="H364" s="8">
        <v>10062064463</v>
      </c>
      <c r="I364" s="8">
        <v>8726125753</v>
      </c>
      <c r="J364" s="8"/>
      <c r="K364" s="8">
        <v>7162757493</v>
      </c>
      <c r="L364" s="8">
        <v>27782576334</v>
      </c>
      <c r="M364" s="8"/>
      <c r="N364" s="8"/>
      <c r="O364" s="8"/>
      <c r="P364" s="8"/>
      <c r="Q364" s="18">
        <f>(Table1[[#This Row],[A. TÀI SẢN NGẮN HẠN]]-Table1[[#This Row],[I. Nợ ngắn hạn]])/Table1[[#This Row],[TỔNG CỘNG TÀI SẢN]]</f>
        <v>0.27309560606557159</v>
      </c>
      <c r="R364" s="18">
        <f>Table1[[#This Row],[- LNST chưa phân phối kỳ này]]/Table1[[#This Row],[TỔNG CỘNG TÀI SẢN]]</f>
        <v>0.17251039976984264</v>
      </c>
      <c r="S364" s="21">
        <f>Table1[[#This Row],[5. Lợi nhuận gộp về bán hàng và cung cấp dịch vụ]]/Table1[[#This Row],[TỔNG CỘNG TÀI SẢN]]</f>
        <v>0.14960622123097891</v>
      </c>
      <c r="T36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364" s="23">
        <f>Table1[[#This Row],[1. Doanh thu bán hàng và cung cấp dịch vụ ]]/Table1[[#This Row],[TỔNG CỘNG TÀI SẢN]]</f>
        <v>0.47632206766697088</v>
      </c>
      <c r="V364" s="23" t="e">
        <f>1.2*Table1[[#This Row],[X1]] + 1.4*Table1[[#This Row],[X2]] + 3.3*Table1[[#This Row],[x3]] + 0.6*Table1[[#This Row],[x4]] + 1*Table1[[#This Row],[x5]]</f>
        <v>#DIV/0!</v>
      </c>
      <c r="W364" s="23" t="e">
        <f>IF(Table1[[#This Row],[Zscore]]&lt;1.81,1,0)</f>
        <v>#DIV/0!</v>
      </c>
    </row>
    <row r="365" spans="1:23" ht="26.25" hidden="1" x14ac:dyDescent="0.45">
      <c r="A365" s="7">
        <v>359</v>
      </c>
      <c r="B365" s="5" t="s">
        <v>731</v>
      </c>
      <c r="C365" s="6" t="s">
        <v>732</v>
      </c>
      <c r="D365" s="6" t="s">
        <v>13</v>
      </c>
      <c r="E365" s="6"/>
      <c r="F365" s="6"/>
      <c r="G365" s="6"/>
      <c r="H365" s="6"/>
      <c r="I365" s="6"/>
      <c r="J365" s="8"/>
      <c r="K365" s="6"/>
      <c r="L365" s="6"/>
      <c r="M365" s="8"/>
      <c r="N365" s="8"/>
      <c r="O365" s="8"/>
      <c r="P365" s="8"/>
      <c r="Q365" s="18" t="e">
        <f>(Table1[[#This Row],[A. TÀI SẢN NGẮN HẠN]]-Table1[[#This Row],[I. Nợ ngắn hạn]])/Table1[[#This Row],[TỔNG CỘNG TÀI SẢN]]</f>
        <v>#DIV/0!</v>
      </c>
      <c r="R365" s="18" t="e">
        <f>Table1[[#This Row],[- LNST chưa phân phối kỳ này]]/Table1[[#This Row],[TỔNG CỘNG TÀI SẢN]]</f>
        <v>#DIV/0!</v>
      </c>
      <c r="S365" s="21" t="e">
        <f>Table1[[#This Row],[5. Lợi nhuận gộp về bán hàng và cung cấp dịch vụ]]/Table1[[#This Row],[TỔNG CỘNG TÀI SẢN]]</f>
        <v>#DIV/0!</v>
      </c>
      <c r="T36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365" s="23" t="e">
        <f>Table1[[#This Row],[1. Doanh thu bán hàng và cung cấp dịch vụ ]]/Table1[[#This Row],[TỔNG CỘNG TÀI SẢN]]</f>
        <v>#DIV/0!</v>
      </c>
      <c r="V365" s="23" t="e">
        <f>1.2*Table1[[#This Row],[X1]] + 1.4*Table1[[#This Row],[X2]] + 3.3*Table1[[#This Row],[x3]] + 0.6*Table1[[#This Row],[x4]] + 1*Table1[[#This Row],[x5]]</f>
        <v>#DIV/0!</v>
      </c>
      <c r="W365" s="23" t="e">
        <f>IF(Table1[[#This Row],[Zscore]]&lt;1.81,1,0)</f>
        <v>#DIV/0!</v>
      </c>
    </row>
    <row r="366" spans="1:23" x14ac:dyDescent="0.45">
      <c r="A366" s="7">
        <v>360</v>
      </c>
      <c r="B366" s="5" t="s">
        <v>733</v>
      </c>
      <c r="C366" s="6" t="s">
        <v>734</v>
      </c>
      <c r="D366" s="6" t="s">
        <v>36</v>
      </c>
      <c r="E366" s="8">
        <v>2748655518969</v>
      </c>
      <c r="F366" s="8">
        <v>1250271536861</v>
      </c>
      <c r="G366" s="8">
        <v>317269380664</v>
      </c>
      <c r="H366" s="8">
        <v>368418492265</v>
      </c>
      <c r="I366" s="8">
        <v>648773283562</v>
      </c>
      <c r="J366" s="8"/>
      <c r="K366" s="8">
        <v>693623100623</v>
      </c>
      <c r="L366" s="8">
        <v>1656221534457</v>
      </c>
      <c r="M366" s="8">
        <v>3514500000000</v>
      </c>
      <c r="N366" s="8">
        <v>3257100000000</v>
      </c>
      <c r="O366" s="8">
        <v>3108600000000</v>
      </c>
      <c r="P366" s="8">
        <v>2999700000000</v>
      </c>
      <c r="Q366" s="18">
        <f>(Table1[[#This Row],[A. TÀI SẢN NGẮN HẠN]]-Table1[[#This Row],[I. Nợ ngắn hạn]])/Table1[[#This Row],[TỔNG CỘNG TÀI SẢN]]</f>
        <v>0.33943946404275577</v>
      </c>
      <c r="R366" s="18">
        <f>Table1[[#This Row],[- LNST chưa phân phối kỳ này]]/Table1[[#This Row],[TỔNG CỘNG TÀI SẢN]]</f>
        <v>0.13403589126482862</v>
      </c>
      <c r="S366" s="21">
        <f>Table1[[#This Row],[5. Lợi nhuận gộp về bán hàng và cung cấp dịch vụ]]/Table1[[#This Row],[TỔNG CỘNG TÀI SẢN]]</f>
        <v>0.23603295468809782</v>
      </c>
      <c r="T36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4.642254557421567</v>
      </c>
      <c r="U366" s="23">
        <f>Table1[[#This Row],[1. Doanh thu bán hàng và cung cấp dịch vụ ]]/Table1[[#This Row],[TỔNG CỘNG TÀI SẢN]]</f>
        <v>0.60255696758909838</v>
      </c>
      <c r="V366" s="23">
        <f>1.2*Table1[[#This Row],[X1]] + 1.4*Table1[[#This Row],[X2]] + 3.3*Table1[[#This Row],[x3]] + 0.6*Table1[[#This Row],[x4]] + 1*Table1[[#This Row],[x5]]</f>
        <v>4.7617960571348288</v>
      </c>
      <c r="W366" s="23">
        <f>IF(Table1[[#This Row],[Zscore]]&lt;1.81,1,0)</f>
        <v>0</v>
      </c>
    </row>
    <row r="367" spans="1:23" ht="26.25" x14ac:dyDescent="0.45">
      <c r="A367" s="7">
        <v>361</v>
      </c>
      <c r="B367" s="5" t="s">
        <v>735</v>
      </c>
      <c r="C367" s="6" t="s">
        <v>736</v>
      </c>
      <c r="D367" s="6" t="s">
        <v>18</v>
      </c>
      <c r="E367" s="8">
        <v>234162939104</v>
      </c>
      <c r="F367" s="8">
        <v>89277310943</v>
      </c>
      <c r="G367" s="8">
        <v>21529533185</v>
      </c>
      <c r="H367" s="8">
        <v>935676964</v>
      </c>
      <c r="I367" s="8">
        <v>3210959063</v>
      </c>
      <c r="J367" s="8"/>
      <c r="K367" s="8">
        <v>21529533185</v>
      </c>
      <c r="L367" s="8">
        <v>23989088395</v>
      </c>
      <c r="M367" s="8">
        <v>56708955000</v>
      </c>
      <c r="N367" s="8">
        <v>56708955000</v>
      </c>
      <c r="O367" s="8">
        <v>56708955000</v>
      </c>
      <c r="P367" s="8">
        <v>56708955000</v>
      </c>
      <c r="Q367" s="18">
        <f>(Table1[[#This Row],[A. TÀI SẢN NGẮN HẠN]]-Table1[[#This Row],[I. Nợ ngắn hạn]])/Table1[[#This Row],[TỔNG CỘNG TÀI SẢN]]</f>
        <v>0.2893189589148043</v>
      </c>
      <c r="R367" s="18">
        <f>Table1[[#This Row],[- LNST chưa phân phối kỳ này]]/Table1[[#This Row],[TỔNG CỘNG TÀI SẢN]]</f>
        <v>3.995837119145626E-3</v>
      </c>
      <c r="S367" s="21">
        <f>Table1[[#This Row],[5. Lợi nhuận gộp về bán hàng và cung cấp dịch vụ]]/Table1[[#This Row],[TỔNG CỘNG TÀI SẢN]]</f>
        <v>1.3712498977363366E-2</v>
      </c>
      <c r="T36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2.6340076448805734</v>
      </c>
      <c r="U367" s="23">
        <f>Table1[[#This Row],[1. Doanh thu bán hàng và cung cấp dịch vụ ]]/Table1[[#This Row],[TỔNG CỘNG TÀI SẢN]]</f>
        <v>0.10244613638175083</v>
      </c>
      <c r="V367" s="23">
        <f>1.2*Table1[[#This Row],[X1]] + 1.4*Table1[[#This Row],[X2]] + 3.3*Table1[[#This Row],[x3]] + 0.6*Table1[[#This Row],[x4]] + 1*Table1[[#This Row],[x5]]</f>
        <v>2.0808788925999631</v>
      </c>
      <c r="W367" s="23">
        <f>IF(Table1[[#This Row],[Zscore]]&lt;1.81,1,0)</f>
        <v>0</v>
      </c>
    </row>
    <row r="368" spans="1:23" ht="26.25" x14ac:dyDescent="0.45">
      <c r="A368" s="7">
        <v>362</v>
      </c>
      <c r="B368" s="5" t="s">
        <v>737</v>
      </c>
      <c r="C368" s="6" t="s">
        <v>738</v>
      </c>
      <c r="D368" s="6" t="s">
        <v>18</v>
      </c>
      <c r="E368" s="8">
        <v>2395503148795</v>
      </c>
      <c r="F368" s="8">
        <v>2207628433130</v>
      </c>
      <c r="G368" s="8">
        <v>2139693522393</v>
      </c>
      <c r="H368" s="8">
        <v>27071970612</v>
      </c>
      <c r="I368" s="8">
        <v>217354023933</v>
      </c>
      <c r="J368" s="8"/>
      <c r="K368" s="8">
        <v>2168842454325</v>
      </c>
      <c r="L368" s="8">
        <v>3313969814146</v>
      </c>
      <c r="M368" s="8">
        <v>191192400000</v>
      </c>
      <c r="N368" s="8">
        <v>225789120000</v>
      </c>
      <c r="O368" s="8">
        <v>182088000000</v>
      </c>
      <c r="P368" s="8">
        <v>178446240000</v>
      </c>
      <c r="Q368" s="18">
        <f>(Table1[[#This Row],[A. TÀI SẢN NGẮN HẠN]]-Table1[[#This Row],[I. Nợ ngắn hạn]])/Table1[[#This Row],[TỔNG CỘNG TÀI SẢN]]</f>
        <v>2.8359349379763085E-2</v>
      </c>
      <c r="R368" s="18">
        <f>Table1[[#This Row],[- LNST chưa phân phối kỳ này]]/Table1[[#This Row],[TỔNG CỘNG TÀI SẢN]]</f>
        <v>1.1301162607787804E-2</v>
      </c>
      <c r="S368" s="21">
        <f>Table1[[#This Row],[5. Lợi nhuận gộp về bán hàng và cung cấp dịch vụ]]/Table1[[#This Row],[TỔNG CỘNG TÀI SẢN]]</f>
        <v>9.073418419104759E-2</v>
      </c>
      <c r="T36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8.9623356280387714E-2</v>
      </c>
      <c r="U368" s="23">
        <f>Table1[[#This Row],[1. Doanh thu bán hàng và cung cấp dịch vụ ]]/Table1[[#This Row],[TỔNG CỘNG TÀI SẢN]]</f>
        <v>1.3834128399342795</v>
      </c>
      <c r="V368" s="23">
        <f>1.2*Table1[[#This Row],[X1]] + 1.4*Table1[[#This Row],[X2]] + 3.3*Table1[[#This Row],[x3]] + 0.6*Table1[[#This Row],[x4]] + 1*Table1[[#This Row],[x5]]</f>
        <v>1.786462508439588</v>
      </c>
      <c r="W368" s="23">
        <f>IF(Table1[[#This Row],[Zscore]]&lt;1.81,1,0)</f>
        <v>1</v>
      </c>
    </row>
    <row r="369" spans="1:23" hidden="1" x14ac:dyDescent="0.45">
      <c r="A369" s="7">
        <v>363</v>
      </c>
      <c r="B369" s="5" t="s">
        <v>739</v>
      </c>
      <c r="C369" s="6" t="s">
        <v>740</v>
      </c>
      <c r="D369" s="6" t="s">
        <v>18</v>
      </c>
      <c r="E369" s="6"/>
      <c r="F369" s="6"/>
      <c r="G369" s="6"/>
      <c r="H369" s="6"/>
      <c r="I369" s="6"/>
      <c r="J369" s="8"/>
      <c r="K369" s="6"/>
      <c r="L369" s="6"/>
      <c r="M369" s="8"/>
      <c r="N369" s="8"/>
      <c r="O369" s="8"/>
      <c r="P369" s="8"/>
      <c r="Q369" s="18" t="e">
        <f>(Table1[[#This Row],[A. TÀI SẢN NGẮN HẠN]]-Table1[[#This Row],[I. Nợ ngắn hạn]])/Table1[[#This Row],[TỔNG CỘNG TÀI SẢN]]</f>
        <v>#DIV/0!</v>
      </c>
      <c r="R369" s="18" t="e">
        <f>Table1[[#This Row],[- LNST chưa phân phối kỳ này]]/Table1[[#This Row],[TỔNG CỘNG TÀI SẢN]]</f>
        <v>#DIV/0!</v>
      </c>
      <c r="S369" s="21" t="e">
        <f>Table1[[#This Row],[5. Lợi nhuận gộp về bán hàng và cung cấp dịch vụ]]/Table1[[#This Row],[TỔNG CỘNG TÀI SẢN]]</f>
        <v>#DIV/0!</v>
      </c>
      <c r="T36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369" s="23" t="e">
        <f>Table1[[#This Row],[1. Doanh thu bán hàng và cung cấp dịch vụ ]]/Table1[[#This Row],[TỔNG CỘNG TÀI SẢN]]</f>
        <v>#DIV/0!</v>
      </c>
      <c r="V369" s="23" t="e">
        <f>1.2*Table1[[#This Row],[X1]] + 1.4*Table1[[#This Row],[X2]] + 3.3*Table1[[#This Row],[x3]] + 0.6*Table1[[#This Row],[x4]] + 1*Table1[[#This Row],[x5]]</f>
        <v>#DIV/0!</v>
      </c>
      <c r="W369" s="23" t="e">
        <f>IF(Table1[[#This Row],[Zscore]]&lt;1.81,1,0)</f>
        <v>#DIV/0!</v>
      </c>
    </row>
    <row r="370" spans="1:23" ht="26.25" hidden="1" x14ac:dyDescent="0.45">
      <c r="A370" s="7">
        <v>364</v>
      </c>
      <c r="B370" s="5" t="s">
        <v>741</v>
      </c>
      <c r="C370" s="6" t="s">
        <v>742</v>
      </c>
      <c r="D370" s="6" t="s">
        <v>13</v>
      </c>
      <c r="E370" s="6"/>
      <c r="F370" s="6"/>
      <c r="G370" s="6"/>
      <c r="H370" s="6"/>
      <c r="I370" s="6"/>
      <c r="J370" s="8"/>
      <c r="K370" s="6"/>
      <c r="L370" s="6"/>
      <c r="M370" s="8"/>
      <c r="N370" s="8"/>
      <c r="O370" s="8"/>
      <c r="P370" s="8"/>
      <c r="Q370" s="18" t="e">
        <f>(Table1[[#This Row],[A. TÀI SẢN NGẮN HẠN]]-Table1[[#This Row],[I. Nợ ngắn hạn]])/Table1[[#This Row],[TỔNG CỘNG TÀI SẢN]]</f>
        <v>#DIV/0!</v>
      </c>
      <c r="R370" s="18" t="e">
        <f>Table1[[#This Row],[- LNST chưa phân phối kỳ này]]/Table1[[#This Row],[TỔNG CỘNG TÀI SẢN]]</f>
        <v>#DIV/0!</v>
      </c>
      <c r="S370" s="21" t="e">
        <f>Table1[[#This Row],[5. Lợi nhuận gộp về bán hàng và cung cấp dịch vụ]]/Table1[[#This Row],[TỔNG CỘNG TÀI SẢN]]</f>
        <v>#DIV/0!</v>
      </c>
      <c r="T37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370" s="23" t="e">
        <f>Table1[[#This Row],[1. Doanh thu bán hàng và cung cấp dịch vụ ]]/Table1[[#This Row],[TỔNG CỘNG TÀI SẢN]]</f>
        <v>#DIV/0!</v>
      </c>
      <c r="V370" s="23" t="e">
        <f>1.2*Table1[[#This Row],[X1]] + 1.4*Table1[[#This Row],[X2]] + 3.3*Table1[[#This Row],[x3]] + 0.6*Table1[[#This Row],[x4]] + 1*Table1[[#This Row],[x5]]</f>
        <v>#DIV/0!</v>
      </c>
      <c r="W370" s="23" t="e">
        <f>IF(Table1[[#This Row],[Zscore]]&lt;1.81,1,0)</f>
        <v>#DIV/0!</v>
      </c>
    </row>
    <row r="371" spans="1:23" ht="26.25" hidden="1" x14ac:dyDescent="0.45">
      <c r="A371" s="7">
        <v>365</v>
      </c>
      <c r="B371" s="5" t="s">
        <v>743</v>
      </c>
      <c r="C371" s="6" t="s">
        <v>744</v>
      </c>
      <c r="D371" s="6" t="s">
        <v>13</v>
      </c>
      <c r="E371" s="6"/>
      <c r="F371" s="6"/>
      <c r="G371" s="6"/>
      <c r="H371" s="6"/>
      <c r="I371" s="6"/>
      <c r="J371" s="8"/>
      <c r="K371" s="6"/>
      <c r="L371" s="6"/>
      <c r="M371" s="8"/>
      <c r="N371" s="8"/>
      <c r="O371" s="8"/>
      <c r="P371" s="8"/>
      <c r="Q371" s="18" t="e">
        <f>(Table1[[#This Row],[A. TÀI SẢN NGẮN HẠN]]-Table1[[#This Row],[I. Nợ ngắn hạn]])/Table1[[#This Row],[TỔNG CỘNG TÀI SẢN]]</f>
        <v>#DIV/0!</v>
      </c>
      <c r="R371" s="18" t="e">
        <f>Table1[[#This Row],[- LNST chưa phân phối kỳ này]]/Table1[[#This Row],[TỔNG CỘNG TÀI SẢN]]</f>
        <v>#DIV/0!</v>
      </c>
      <c r="S371" s="21" t="e">
        <f>Table1[[#This Row],[5. Lợi nhuận gộp về bán hàng và cung cấp dịch vụ]]/Table1[[#This Row],[TỔNG CỘNG TÀI SẢN]]</f>
        <v>#DIV/0!</v>
      </c>
      <c r="T37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371" s="23" t="e">
        <f>Table1[[#This Row],[1. Doanh thu bán hàng và cung cấp dịch vụ ]]/Table1[[#This Row],[TỔNG CỘNG TÀI SẢN]]</f>
        <v>#DIV/0!</v>
      </c>
      <c r="V371" s="23" t="e">
        <f>1.2*Table1[[#This Row],[X1]] + 1.4*Table1[[#This Row],[X2]] + 3.3*Table1[[#This Row],[x3]] + 0.6*Table1[[#This Row],[x4]] + 1*Table1[[#This Row],[x5]]</f>
        <v>#DIV/0!</v>
      </c>
      <c r="W371" s="23" t="e">
        <f>IF(Table1[[#This Row],[Zscore]]&lt;1.81,1,0)</f>
        <v>#DIV/0!</v>
      </c>
    </row>
    <row r="372" spans="1:23" hidden="1" x14ac:dyDescent="0.45">
      <c r="A372" s="7">
        <v>366</v>
      </c>
      <c r="B372" s="5" t="s">
        <v>745</v>
      </c>
      <c r="C372" s="6" t="s">
        <v>746</v>
      </c>
      <c r="D372" s="6" t="s">
        <v>13</v>
      </c>
      <c r="E372" s="6"/>
      <c r="F372" s="6"/>
      <c r="G372" s="6"/>
      <c r="H372" s="6"/>
      <c r="I372" s="6"/>
      <c r="J372" s="8"/>
      <c r="K372" s="6"/>
      <c r="L372" s="6"/>
      <c r="M372" s="8"/>
      <c r="N372" s="8"/>
      <c r="O372" s="8"/>
      <c r="P372" s="8"/>
      <c r="Q372" s="18" t="e">
        <f>(Table1[[#This Row],[A. TÀI SẢN NGẮN HẠN]]-Table1[[#This Row],[I. Nợ ngắn hạn]])/Table1[[#This Row],[TỔNG CỘNG TÀI SẢN]]</f>
        <v>#DIV/0!</v>
      </c>
      <c r="R372" s="18" t="e">
        <f>Table1[[#This Row],[- LNST chưa phân phối kỳ này]]/Table1[[#This Row],[TỔNG CỘNG TÀI SẢN]]</f>
        <v>#DIV/0!</v>
      </c>
      <c r="S372" s="21" t="e">
        <f>Table1[[#This Row],[5. Lợi nhuận gộp về bán hàng và cung cấp dịch vụ]]/Table1[[#This Row],[TỔNG CỘNG TÀI SẢN]]</f>
        <v>#DIV/0!</v>
      </c>
      <c r="T37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372" s="23" t="e">
        <f>Table1[[#This Row],[1. Doanh thu bán hàng và cung cấp dịch vụ ]]/Table1[[#This Row],[TỔNG CỘNG TÀI SẢN]]</f>
        <v>#DIV/0!</v>
      </c>
      <c r="V372" s="23" t="e">
        <f>1.2*Table1[[#This Row],[X1]] + 1.4*Table1[[#This Row],[X2]] + 3.3*Table1[[#This Row],[x3]] + 0.6*Table1[[#This Row],[x4]] + 1*Table1[[#This Row],[x5]]</f>
        <v>#DIV/0!</v>
      </c>
      <c r="W372" s="23" t="e">
        <f>IF(Table1[[#This Row],[Zscore]]&lt;1.81,1,0)</f>
        <v>#DIV/0!</v>
      </c>
    </row>
    <row r="373" spans="1:23" ht="26.25" hidden="1" x14ac:dyDescent="0.45">
      <c r="A373" s="7">
        <v>367</v>
      </c>
      <c r="B373" s="5" t="s">
        <v>747</v>
      </c>
      <c r="C373" s="6" t="s">
        <v>748</v>
      </c>
      <c r="D373" s="6" t="s">
        <v>13</v>
      </c>
      <c r="E373" s="6"/>
      <c r="F373" s="6"/>
      <c r="G373" s="6"/>
      <c r="H373" s="6"/>
      <c r="I373" s="6"/>
      <c r="J373" s="8"/>
      <c r="K373" s="6"/>
      <c r="L373" s="6"/>
      <c r="M373" s="8"/>
      <c r="N373" s="8"/>
      <c r="O373" s="8"/>
      <c r="P373" s="8"/>
      <c r="Q373" s="18" t="e">
        <f>(Table1[[#This Row],[A. TÀI SẢN NGẮN HẠN]]-Table1[[#This Row],[I. Nợ ngắn hạn]])/Table1[[#This Row],[TỔNG CỘNG TÀI SẢN]]</f>
        <v>#DIV/0!</v>
      </c>
      <c r="R373" s="18" t="e">
        <f>Table1[[#This Row],[- LNST chưa phân phối kỳ này]]/Table1[[#This Row],[TỔNG CỘNG TÀI SẢN]]</f>
        <v>#DIV/0!</v>
      </c>
      <c r="S373" s="21" t="e">
        <f>Table1[[#This Row],[5. Lợi nhuận gộp về bán hàng và cung cấp dịch vụ]]/Table1[[#This Row],[TỔNG CỘNG TÀI SẢN]]</f>
        <v>#DIV/0!</v>
      </c>
      <c r="T37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373" s="23" t="e">
        <f>Table1[[#This Row],[1. Doanh thu bán hàng và cung cấp dịch vụ ]]/Table1[[#This Row],[TỔNG CỘNG TÀI SẢN]]</f>
        <v>#DIV/0!</v>
      </c>
      <c r="V373" s="23" t="e">
        <f>1.2*Table1[[#This Row],[X1]] + 1.4*Table1[[#This Row],[X2]] + 3.3*Table1[[#This Row],[x3]] + 0.6*Table1[[#This Row],[x4]] + 1*Table1[[#This Row],[x5]]</f>
        <v>#DIV/0!</v>
      </c>
      <c r="W373" s="23" t="e">
        <f>IF(Table1[[#This Row],[Zscore]]&lt;1.81,1,0)</f>
        <v>#DIV/0!</v>
      </c>
    </row>
    <row r="374" spans="1:23" ht="26.25" hidden="1" x14ac:dyDescent="0.45">
      <c r="A374" s="7">
        <v>368</v>
      </c>
      <c r="B374" s="5" t="s">
        <v>749</v>
      </c>
      <c r="C374" s="6" t="s">
        <v>750</v>
      </c>
      <c r="D374" s="6" t="s">
        <v>13</v>
      </c>
      <c r="E374" s="6"/>
      <c r="F374" s="6"/>
      <c r="G374" s="6"/>
      <c r="H374" s="6"/>
      <c r="I374" s="6"/>
      <c r="J374" s="8"/>
      <c r="K374" s="6"/>
      <c r="L374" s="6"/>
      <c r="M374" s="8"/>
      <c r="N374" s="8"/>
      <c r="O374" s="8"/>
      <c r="P374" s="8"/>
      <c r="Q374" s="18" t="e">
        <f>(Table1[[#This Row],[A. TÀI SẢN NGẮN HẠN]]-Table1[[#This Row],[I. Nợ ngắn hạn]])/Table1[[#This Row],[TỔNG CỘNG TÀI SẢN]]</f>
        <v>#DIV/0!</v>
      </c>
      <c r="R374" s="18" t="e">
        <f>Table1[[#This Row],[- LNST chưa phân phối kỳ này]]/Table1[[#This Row],[TỔNG CỘNG TÀI SẢN]]</f>
        <v>#DIV/0!</v>
      </c>
      <c r="S374" s="21" t="e">
        <f>Table1[[#This Row],[5. Lợi nhuận gộp về bán hàng và cung cấp dịch vụ]]/Table1[[#This Row],[TỔNG CỘNG TÀI SẢN]]</f>
        <v>#DIV/0!</v>
      </c>
      <c r="T37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374" s="23" t="e">
        <f>Table1[[#This Row],[1. Doanh thu bán hàng và cung cấp dịch vụ ]]/Table1[[#This Row],[TỔNG CỘNG TÀI SẢN]]</f>
        <v>#DIV/0!</v>
      </c>
      <c r="V374" s="23" t="e">
        <f>1.2*Table1[[#This Row],[X1]] + 1.4*Table1[[#This Row],[X2]] + 3.3*Table1[[#This Row],[x3]] + 0.6*Table1[[#This Row],[x4]] + 1*Table1[[#This Row],[x5]]</f>
        <v>#DIV/0!</v>
      </c>
      <c r="W374" s="23" t="e">
        <f>IF(Table1[[#This Row],[Zscore]]&lt;1.81,1,0)</f>
        <v>#DIV/0!</v>
      </c>
    </row>
    <row r="375" spans="1:23" x14ac:dyDescent="0.45">
      <c r="A375" s="7">
        <v>369</v>
      </c>
      <c r="B375" s="5" t="s">
        <v>751</v>
      </c>
      <c r="C375" s="6" t="s">
        <v>752</v>
      </c>
      <c r="D375" s="6" t="s">
        <v>18</v>
      </c>
      <c r="E375" s="8">
        <v>220496158098</v>
      </c>
      <c r="F375" s="8">
        <v>101508783613</v>
      </c>
      <c r="G375" s="8">
        <v>1581660611</v>
      </c>
      <c r="H375" s="8">
        <v>233541416</v>
      </c>
      <c r="I375" s="8">
        <v>4292544766</v>
      </c>
      <c r="J375" s="8"/>
      <c r="K375" s="8">
        <v>1581660611</v>
      </c>
      <c r="L375" s="8">
        <v>79396420460</v>
      </c>
      <c r="M375" s="8">
        <v>41253636000</v>
      </c>
      <c r="N375" s="8">
        <v>47767368000</v>
      </c>
      <c r="O375" s="8">
        <v>52109856000</v>
      </c>
      <c r="P375" s="8">
        <v>54281100000</v>
      </c>
      <c r="Q375" s="18">
        <f>(Table1[[#This Row],[A. TÀI SẢN NGẮN HẠN]]-Table1[[#This Row],[I. Nợ ngắn hạn]])/Table1[[#This Row],[TỔNG CỘNG TÀI SẢN]]</f>
        <v>0.45319212753624111</v>
      </c>
      <c r="R375" s="18">
        <f>Table1[[#This Row],[- LNST chưa phân phối kỳ này]]/Table1[[#This Row],[TỔNG CỘNG TÀI SẢN]]</f>
        <v>1.0591631981914261E-3</v>
      </c>
      <c r="S375" s="21">
        <f>Table1[[#This Row],[5. Lợi nhuận gộp về bán hàng và cung cấp dịch vụ]]/Table1[[#This Row],[TỔNG CỘNG TÀI SẢN]]</f>
        <v>1.9467662398417705E-2</v>
      </c>
      <c r="T37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30.887150922417451</v>
      </c>
      <c r="U375" s="23">
        <f>Table1[[#This Row],[1. Doanh thu bán hàng và cung cấp dịch vụ ]]/Table1[[#This Row],[TỔNG CỘNG TÀI SẢN]]</f>
        <v>0.36008074310624538</v>
      </c>
      <c r="V375" s="23">
        <f>1.2*Table1[[#This Row],[X1]] + 1.4*Table1[[#This Row],[X2]] + 3.3*Table1[[#This Row],[x3]] + 0.6*Table1[[#This Row],[x4]] + 1*Table1[[#This Row],[x5]]</f>
        <v>19.501927963992451</v>
      </c>
      <c r="W375" s="23">
        <f>IF(Table1[[#This Row],[Zscore]]&lt;1.81,1,0)</f>
        <v>0</v>
      </c>
    </row>
    <row r="376" spans="1:23" x14ac:dyDescent="0.45">
      <c r="A376" s="7">
        <v>370</v>
      </c>
      <c r="B376" s="5" t="s">
        <v>753</v>
      </c>
      <c r="C376" s="6" t="s">
        <v>754</v>
      </c>
      <c r="D376" s="6" t="s">
        <v>36</v>
      </c>
      <c r="E376" s="8">
        <v>8730058235233</v>
      </c>
      <c r="F376" s="8">
        <v>4575498519600</v>
      </c>
      <c r="G376" s="8">
        <v>1647045334718</v>
      </c>
      <c r="H376" s="8">
        <v>177281809353</v>
      </c>
      <c r="I376" s="8">
        <v>416751918159</v>
      </c>
      <c r="J376" s="8"/>
      <c r="K376" s="8">
        <v>2288400405019</v>
      </c>
      <c r="L376" s="8">
        <v>1338663418497</v>
      </c>
      <c r="M376" s="8">
        <v>7673771334400</v>
      </c>
      <c r="N376" s="8">
        <v>11972479182500</v>
      </c>
      <c r="O376" s="8">
        <v>9673275132800</v>
      </c>
      <c r="P376" s="8">
        <v>13780364016000</v>
      </c>
      <c r="Q376" s="18">
        <f>(Table1[[#This Row],[A. TÀI SẢN NGẮN HẠN]]-Table1[[#This Row],[I. Nợ ngắn hạn]])/Table1[[#This Row],[TỔNG CỘNG TÀI SẢN]]</f>
        <v>0.33544486256268841</v>
      </c>
      <c r="R376" s="18">
        <f>Table1[[#This Row],[- LNST chưa phân phối kỳ này]]/Table1[[#This Row],[TỔNG CỘNG TÀI SẢN]]</f>
        <v>2.0307059194350087E-2</v>
      </c>
      <c r="S376" s="21">
        <f>Table1[[#This Row],[5. Lợi nhuận gộp về bán hàng và cung cấp dịch vụ]]/Table1[[#This Row],[TỔNG CỘNG TÀI SẢN]]</f>
        <v>4.7737587416892775E-2</v>
      </c>
      <c r="T37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4.7085170902753521</v>
      </c>
      <c r="U376" s="23">
        <f>Table1[[#This Row],[1. Doanh thu bán hàng và cung cấp dịch vụ ]]/Table1[[#This Row],[TỔNG CỘNG TÀI SẢN]]</f>
        <v>0.15333957488329078</v>
      </c>
      <c r="V376" s="23">
        <f>1.2*Table1[[#This Row],[X1]] + 1.4*Table1[[#This Row],[X2]] + 3.3*Table1[[#This Row],[x3]] + 0.6*Table1[[#This Row],[x4]] + 1*Table1[[#This Row],[x5]]</f>
        <v>3.566947585471564</v>
      </c>
      <c r="W376" s="23">
        <f>IF(Table1[[#This Row],[Zscore]]&lt;1.81,1,0)</f>
        <v>0</v>
      </c>
    </row>
    <row r="377" spans="1:23" ht="26.25" hidden="1" x14ac:dyDescent="0.45">
      <c r="A377" s="7">
        <v>371</v>
      </c>
      <c r="B377" s="5" t="s">
        <v>755</v>
      </c>
      <c r="C377" s="6" t="s">
        <v>756</v>
      </c>
      <c r="D377" s="6" t="s">
        <v>13</v>
      </c>
      <c r="E377" s="6"/>
      <c r="F377" s="6"/>
      <c r="G377" s="6"/>
      <c r="H377" s="6"/>
      <c r="I377" s="6"/>
      <c r="J377" s="8"/>
      <c r="K377" s="6"/>
      <c r="L377" s="6"/>
      <c r="M377" s="8"/>
      <c r="N377" s="8"/>
      <c r="O377" s="8"/>
      <c r="P377" s="8"/>
      <c r="Q377" s="18" t="e">
        <f>(Table1[[#This Row],[A. TÀI SẢN NGẮN HẠN]]-Table1[[#This Row],[I. Nợ ngắn hạn]])/Table1[[#This Row],[TỔNG CỘNG TÀI SẢN]]</f>
        <v>#DIV/0!</v>
      </c>
      <c r="R377" s="18" t="e">
        <f>Table1[[#This Row],[- LNST chưa phân phối kỳ này]]/Table1[[#This Row],[TỔNG CỘNG TÀI SẢN]]</f>
        <v>#DIV/0!</v>
      </c>
      <c r="S377" s="21" t="e">
        <f>Table1[[#This Row],[5. Lợi nhuận gộp về bán hàng và cung cấp dịch vụ]]/Table1[[#This Row],[TỔNG CỘNG TÀI SẢN]]</f>
        <v>#DIV/0!</v>
      </c>
      <c r="T37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377" s="23" t="e">
        <f>Table1[[#This Row],[1. Doanh thu bán hàng và cung cấp dịch vụ ]]/Table1[[#This Row],[TỔNG CỘNG TÀI SẢN]]</f>
        <v>#DIV/0!</v>
      </c>
      <c r="V377" s="23" t="e">
        <f>1.2*Table1[[#This Row],[X1]] + 1.4*Table1[[#This Row],[X2]] + 3.3*Table1[[#This Row],[x3]] + 0.6*Table1[[#This Row],[x4]] + 1*Table1[[#This Row],[x5]]</f>
        <v>#DIV/0!</v>
      </c>
      <c r="W377" s="23" t="e">
        <f>IF(Table1[[#This Row],[Zscore]]&lt;1.81,1,0)</f>
        <v>#DIV/0!</v>
      </c>
    </row>
    <row r="378" spans="1:23" x14ac:dyDescent="0.45">
      <c r="A378" s="7">
        <v>372</v>
      </c>
      <c r="B378" s="5" t="s">
        <v>757</v>
      </c>
      <c r="C378" s="6" t="s">
        <v>758</v>
      </c>
      <c r="D378" s="6" t="s">
        <v>36</v>
      </c>
      <c r="E378" s="8">
        <v>74282447418</v>
      </c>
      <c r="F378" s="8">
        <v>24960287925</v>
      </c>
      <c r="G378" s="8">
        <v>9739245254</v>
      </c>
      <c r="H378" s="8">
        <v>-2877166263</v>
      </c>
      <c r="I378" s="8">
        <v>20829150</v>
      </c>
      <c r="J378" s="8"/>
      <c r="K378" s="8">
        <v>9739245254</v>
      </c>
      <c r="L378" s="8">
        <v>20829150</v>
      </c>
      <c r="M378" s="8">
        <v>26015000000</v>
      </c>
      <c r="N378" s="8">
        <v>58685000000</v>
      </c>
      <c r="O378" s="8">
        <v>27225000000</v>
      </c>
      <c r="P378" s="8">
        <v>76230000000</v>
      </c>
      <c r="Q378" s="18">
        <f>(Table1[[#This Row],[A. TÀI SẢN NGẮN HẠN]]-Table1[[#This Row],[I. Nợ ngắn hạn]])/Table1[[#This Row],[TỔNG CỘNG TÀI SẢN]]</f>
        <v>0.20490766257805962</v>
      </c>
      <c r="R378" s="18">
        <f>Table1[[#This Row],[- LNST chưa phân phối kỳ này]]/Table1[[#This Row],[TỔNG CỘNG TÀI SẢN]]</f>
        <v>-3.873278766395101E-2</v>
      </c>
      <c r="S378" s="21">
        <f>Table1[[#This Row],[5. Lợi nhuận gộp về bán hàng và cung cấp dịch vụ]]/Table1[[#This Row],[TỔNG CỘNG TÀI SẢN]]</f>
        <v>2.8040473522352892E-4</v>
      </c>
      <c r="T37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4.829814710814551</v>
      </c>
      <c r="U378" s="23">
        <f>Table1[[#This Row],[1. Doanh thu bán hàng và cung cấp dịch vụ ]]/Table1[[#This Row],[TỔNG CỘNG TÀI SẢN]]</f>
        <v>2.8040473522352892E-4</v>
      </c>
      <c r="V378" s="23">
        <f>1.2*Table1[[#This Row],[X1]] + 1.4*Table1[[#This Row],[X2]] + 3.3*Table1[[#This Row],[x3]] + 0.6*Table1[[#This Row],[x4]] + 1*Table1[[#This Row],[x5]]</f>
        <v>3.0907578592143317</v>
      </c>
      <c r="W378" s="23">
        <f>IF(Table1[[#This Row],[Zscore]]&lt;1.81,1,0)</f>
        <v>0</v>
      </c>
    </row>
    <row r="379" spans="1:23" hidden="1" x14ac:dyDescent="0.45">
      <c r="A379" s="7">
        <v>373</v>
      </c>
      <c r="B379" s="5" t="s">
        <v>759</v>
      </c>
      <c r="C379" s="6" t="s">
        <v>760</v>
      </c>
      <c r="D379" s="6" t="s">
        <v>13</v>
      </c>
      <c r="E379" s="6"/>
      <c r="F379" s="6"/>
      <c r="G379" s="6"/>
      <c r="H379" s="6"/>
      <c r="I379" s="6"/>
      <c r="J379" s="8"/>
      <c r="K379" s="6"/>
      <c r="L379" s="6"/>
      <c r="M379" s="8"/>
      <c r="N379" s="8"/>
      <c r="O379" s="8"/>
      <c r="P379" s="8"/>
      <c r="Q379" s="18" t="e">
        <f>(Table1[[#This Row],[A. TÀI SẢN NGẮN HẠN]]-Table1[[#This Row],[I. Nợ ngắn hạn]])/Table1[[#This Row],[TỔNG CỘNG TÀI SẢN]]</f>
        <v>#DIV/0!</v>
      </c>
      <c r="R379" s="18" t="e">
        <f>Table1[[#This Row],[- LNST chưa phân phối kỳ này]]/Table1[[#This Row],[TỔNG CỘNG TÀI SẢN]]</f>
        <v>#DIV/0!</v>
      </c>
      <c r="S379" s="21" t="e">
        <f>Table1[[#This Row],[5. Lợi nhuận gộp về bán hàng và cung cấp dịch vụ]]/Table1[[#This Row],[TỔNG CỘNG TÀI SẢN]]</f>
        <v>#DIV/0!</v>
      </c>
      <c r="T37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379" s="23" t="e">
        <f>Table1[[#This Row],[1. Doanh thu bán hàng và cung cấp dịch vụ ]]/Table1[[#This Row],[TỔNG CỘNG TÀI SẢN]]</f>
        <v>#DIV/0!</v>
      </c>
      <c r="V379" s="23" t="e">
        <f>1.2*Table1[[#This Row],[X1]] + 1.4*Table1[[#This Row],[X2]] + 3.3*Table1[[#This Row],[x3]] + 0.6*Table1[[#This Row],[x4]] + 1*Table1[[#This Row],[x5]]</f>
        <v>#DIV/0!</v>
      </c>
      <c r="W379" s="23" t="e">
        <f>IF(Table1[[#This Row],[Zscore]]&lt;1.81,1,0)</f>
        <v>#DIV/0!</v>
      </c>
    </row>
    <row r="380" spans="1:23" hidden="1" x14ac:dyDescent="0.45">
      <c r="A380" s="7">
        <v>374</v>
      </c>
      <c r="B380" s="5" t="s">
        <v>761</v>
      </c>
      <c r="C380" s="6" t="s">
        <v>762</v>
      </c>
      <c r="D380" s="6" t="s">
        <v>18</v>
      </c>
      <c r="E380" s="6"/>
      <c r="F380" s="6"/>
      <c r="G380" s="6"/>
      <c r="H380" s="6"/>
      <c r="I380" s="6"/>
      <c r="J380" s="8"/>
      <c r="K380" s="6"/>
      <c r="L380" s="6"/>
      <c r="M380" s="8"/>
      <c r="N380" s="8"/>
      <c r="O380" s="8"/>
      <c r="P380" s="8"/>
      <c r="Q380" s="18" t="e">
        <f>(Table1[[#This Row],[A. TÀI SẢN NGẮN HẠN]]-Table1[[#This Row],[I. Nợ ngắn hạn]])/Table1[[#This Row],[TỔNG CỘNG TÀI SẢN]]</f>
        <v>#DIV/0!</v>
      </c>
      <c r="R380" s="18" t="e">
        <f>Table1[[#This Row],[- LNST chưa phân phối kỳ này]]/Table1[[#This Row],[TỔNG CỘNG TÀI SẢN]]</f>
        <v>#DIV/0!</v>
      </c>
      <c r="S380" s="21" t="e">
        <f>Table1[[#This Row],[5. Lợi nhuận gộp về bán hàng và cung cấp dịch vụ]]/Table1[[#This Row],[TỔNG CỘNG TÀI SẢN]]</f>
        <v>#DIV/0!</v>
      </c>
      <c r="T38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380" s="23" t="e">
        <f>Table1[[#This Row],[1. Doanh thu bán hàng và cung cấp dịch vụ ]]/Table1[[#This Row],[TỔNG CỘNG TÀI SẢN]]</f>
        <v>#DIV/0!</v>
      </c>
      <c r="V380" s="23" t="e">
        <f>1.2*Table1[[#This Row],[X1]] + 1.4*Table1[[#This Row],[X2]] + 3.3*Table1[[#This Row],[x3]] + 0.6*Table1[[#This Row],[x4]] + 1*Table1[[#This Row],[x5]]</f>
        <v>#DIV/0!</v>
      </c>
      <c r="W380" s="23" t="e">
        <f>IF(Table1[[#This Row],[Zscore]]&lt;1.81,1,0)</f>
        <v>#DIV/0!</v>
      </c>
    </row>
    <row r="381" spans="1:23" x14ac:dyDescent="0.45">
      <c r="A381" s="7">
        <v>375</v>
      </c>
      <c r="B381" s="5" t="s">
        <v>763</v>
      </c>
      <c r="C381" s="6" t="s">
        <v>764</v>
      </c>
      <c r="D381" s="6" t="s">
        <v>18</v>
      </c>
      <c r="E381" s="8">
        <v>351133975407</v>
      </c>
      <c r="F381" s="8">
        <v>264281417624</v>
      </c>
      <c r="G381" s="8">
        <v>130167330919</v>
      </c>
      <c r="H381" s="8">
        <v>17957131984</v>
      </c>
      <c r="I381" s="8">
        <v>39319873736</v>
      </c>
      <c r="J381" s="8"/>
      <c r="K381" s="8">
        <v>147263098919</v>
      </c>
      <c r="L381" s="8">
        <v>380825010531</v>
      </c>
      <c r="M381" s="8">
        <v>370645000000</v>
      </c>
      <c r="N381" s="8">
        <v>250470000000</v>
      </c>
      <c r="O381" s="8">
        <v>328900000000</v>
      </c>
      <c r="P381" s="8">
        <v>370645000000</v>
      </c>
      <c r="Q381" s="18">
        <f>(Table1[[#This Row],[A. TÀI SẢN NGẮN HẠN]]-Table1[[#This Row],[I. Nợ ngắn hạn]])/Table1[[#This Row],[TỔNG CỘNG TÀI SẢN]]</f>
        <v>0.38194562787479658</v>
      </c>
      <c r="R381" s="18">
        <f>Table1[[#This Row],[- LNST chưa phân phối kỳ này]]/Table1[[#This Row],[TỔNG CỘNG TÀI SẢN]]</f>
        <v>5.1140400080014636E-2</v>
      </c>
      <c r="S381" s="21">
        <f>Table1[[#This Row],[5. Lợi nhuận gộp về bán hàng và cung cấp dịch vụ]]/Table1[[#This Row],[TỔNG CỘNG TÀI SẢN]]</f>
        <v>0.11197969006110635</v>
      </c>
      <c r="T38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2.2420076884406908</v>
      </c>
      <c r="U381" s="23">
        <f>Table1[[#This Row],[1. Doanh thu bán hàng và cung cấp dịch vụ ]]/Table1[[#This Row],[TỔNG CỘNG TÀI SẢN]]</f>
        <v>1.084557568345772</v>
      </c>
      <c r="V381" s="23">
        <f>1.2*Table1[[#This Row],[X1]] + 1.4*Table1[[#This Row],[X2]] + 3.3*Table1[[#This Row],[x3]] + 0.6*Table1[[#This Row],[x4]] + 1*Table1[[#This Row],[x5]]</f>
        <v>3.3292264721736138</v>
      </c>
      <c r="W381" s="23">
        <f>IF(Table1[[#This Row],[Zscore]]&lt;1.81,1,0)</f>
        <v>0</v>
      </c>
    </row>
    <row r="382" spans="1:23" hidden="1" x14ac:dyDescent="0.45">
      <c r="A382" s="7">
        <v>376</v>
      </c>
      <c r="B382" s="5" t="s">
        <v>765</v>
      </c>
      <c r="C382" s="6" t="s">
        <v>766</v>
      </c>
      <c r="D382" s="6" t="s">
        <v>13</v>
      </c>
      <c r="E382" s="6"/>
      <c r="F382" s="6"/>
      <c r="G382" s="6"/>
      <c r="H382" s="6"/>
      <c r="I382" s="6"/>
      <c r="J382" s="8"/>
      <c r="K382" s="6"/>
      <c r="L382" s="6"/>
      <c r="M382" s="8"/>
      <c r="N382" s="8"/>
      <c r="O382" s="8"/>
      <c r="P382" s="8"/>
      <c r="Q382" s="18" t="e">
        <f>(Table1[[#This Row],[A. TÀI SẢN NGẮN HẠN]]-Table1[[#This Row],[I. Nợ ngắn hạn]])/Table1[[#This Row],[TỔNG CỘNG TÀI SẢN]]</f>
        <v>#DIV/0!</v>
      </c>
      <c r="R382" s="18" t="e">
        <f>Table1[[#This Row],[- LNST chưa phân phối kỳ này]]/Table1[[#This Row],[TỔNG CỘNG TÀI SẢN]]</f>
        <v>#DIV/0!</v>
      </c>
      <c r="S382" s="21" t="e">
        <f>Table1[[#This Row],[5. Lợi nhuận gộp về bán hàng và cung cấp dịch vụ]]/Table1[[#This Row],[TỔNG CỘNG TÀI SẢN]]</f>
        <v>#DIV/0!</v>
      </c>
      <c r="T38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382" s="23" t="e">
        <f>Table1[[#This Row],[1. Doanh thu bán hàng và cung cấp dịch vụ ]]/Table1[[#This Row],[TỔNG CỘNG TÀI SẢN]]</f>
        <v>#DIV/0!</v>
      </c>
      <c r="V382" s="23" t="e">
        <f>1.2*Table1[[#This Row],[X1]] + 1.4*Table1[[#This Row],[X2]] + 3.3*Table1[[#This Row],[x3]] + 0.6*Table1[[#This Row],[x4]] + 1*Table1[[#This Row],[x5]]</f>
        <v>#DIV/0!</v>
      </c>
      <c r="W382" s="23" t="e">
        <f>IF(Table1[[#This Row],[Zscore]]&lt;1.81,1,0)</f>
        <v>#DIV/0!</v>
      </c>
    </row>
    <row r="383" spans="1:23" hidden="1" x14ac:dyDescent="0.45">
      <c r="A383" s="7">
        <v>377</v>
      </c>
      <c r="B383" s="5" t="s">
        <v>767</v>
      </c>
      <c r="C383" s="6" t="s">
        <v>768</v>
      </c>
      <c r="D383" s="6" t="s">
        <v>18</v>
      </c>
      <c r="E383" s="6"/>
      <c r="F383" s="6"/>
      <c r="G383" s="6"/>
      <c r="H383" s="6"/>
      <c r="I383" s="6"/>
      <c r="J383" s="8"/>
      <c r="K383" s="6"/>
      <c r="L383" s="6"/>
      <c r="M383" s="8"/>
      <c r="N383" s="8"/>
      <c r="O383" s="8"/>
      <c r="P383" s="8"/>
      <c r="Q383" s="18" t="e">
        <f>(Table1[[#This Row],[A. TÀI SẢN NGẮN HẠN]]-Table1[[#This Row],[I. Nợ ngắn hạn]])/Table1[[#This Row],[TỔNG CỘNG TÀI SẢN]]</f>
        <v>#DIV/0!</v>
      </c>
      <c r="R383" s="18" t="e">
        <f>Table1[[#This Row],[- LNST chưa phân phối kỳ này]]/Table1[[#This Row],[TỔNG CỘNG TÀI SẢN]]</f>
        <v>#DIV/0!</v>
      </c>
      <c r="S383" s="21" t="e">
        <f>Table1[[#This Row],[5. Lợi nhuận gộp về bán hàng và cung cấp dịch vụ]]/Table1[[#This Row],[TỔNG CỘNG TÀI SẢN]]</f>
        <v>#DIV/0!</v>
      </c>
      <c r="T38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383" s="23" t="e">
        <f>Table1[[#This Row],[1. Doanh thu bán hàng và cung cấp dịch vụ ]]/Table1[[#This Row],[TỔNG CỘNG TÀI SẢN]]</f>
        <v>#DIV/0!</v>
      </c>
      <c r="V383" s="23" t="e">
        <f>1.2*Table1[[#This Row],[X1]] + 1.4*Table1[[#This Row],[X2]] + 3.3*Table1[[#This Row],[x3]] + 0.6*Table1[[#This Row],[x4]] + 1*Table1[[#This Row],[x5]]</f>
        <v>#DIV/0!</v>
      </c>
      <c r="W383" s="23" t="e">
        <f>IF(Table1[[#This Row],[Zscore]]&lt;1.81,1,0)</f>
        <v>#DIV/0!</v>
      </c>
    </row>
    <row r="384" spans="1:23" hidden="1" x14ac:dyDescent="0.45">
      <c r="A384" s="7">
        <v>378</v>
      </c>
      <c r="B384" s="5" t="s">
        <v>769</v>
      </c>
      <c r="C384" s="6" t="s">
        <v>770</v>
      </c>
      <c r="D384" s="6" t="s">
        <v>18</v>
      </c>
      <c r="E384" s="8">
        <v>237660498330</v>
      </c>
      <c r="F384" s="8">
        <v>189674370036</v>
      </c>
      <c r="G384" s="8">
        <v>157797049727</v>
      </c>
      <c r="H384" s="8">
        <v>5071971728</v>
      </c>
      <c r="I384" s="8">
        <v>13036902474</v>
      </c>
      <c r="J384" s="8"/>
      <c r="K384" s="8">
        <v>158391125727</v>
      </c>
      <c r="L384" s="8">
        <v>308756877509</v>
      </c>
      <c r="M384" s="8"/>
      <c r="N384" s="8"/>
      <c r="O384" s="8"/>
      <c r="P384" s="8"/>
      <c r="Q384" s="18">
        <f>(Table1[[#This Row],[A. TÀI SẢN NGẮN HẠN]]-Table1[[#This Row],[I. Nợ ngắn hạn]])/Table1[[#This Row],[TỔNG CỘNG TÀI SẢN]]</f>
        <v>0.13412965357304441</v>
      </c>
      <c r="R384" s="18">
        <f>Table1[[#This Row],[- LNST chưa phân phối kỳ này]]/Table1[[#This Row],[TỔNG CỘNG TÀI SẢN]]</f>
        <v>2.1341248392727798E-2</v>
      </c>
      <c r="S384" s="21">
        <f>Table1[[#This Row],[5. Lợi nhuận gộp về bán hàng và cung cấp dịch vụ]]/Table1[[#This Row],[TỔNG CỘNG TÀI SẢN]]</f>
        <v>5.4855150795391334E-2</v>
      </c>
      <c r="T38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384" s="23">
        <f>Table1[[#This Row],[1. Doanh thu bán hàng và cung cấp dịch vụ ]]/Table1[[#This Row],[TỔNG CỘNG TÀI SẢN]]</f>
        <v>1.2991510144873977</v>
      </c>
      <c r="V384" s="23" t="e">
        <f>1.2*Table1[[#This Row],[X1]] + 1.4*Table1[[#This Row],[X2]] + 3.3*Table1[[#This Row],[x3]] + 0.6*Table1[[#This Row],[x4]] + 1*Table1[[#This Row],[x5]]</f>
        <v>#DIV/0!</v>
      </c>
      <c r="W384" s="23" t="e">
        <f>IF(Table1[[#This Row],[Zscore]]&lt;1.81,1,0)</f>
        <v>#DIV/0!</v>
      </c>
    </row>
    <row r="385" spans="1:23" hidden="1" x14ac:dyDescent="0.45">
      <c r="A385" s="7">
        <v>379</v>
      </c>
      <c r="B385" s="5" t="s">
        <v>771</v>
      </c>
      <c r="C385" s="6" t="s">
        <v>772</v>
      </c>
      <c r="D385" s="6" t="s">
        <v>18</v>
      </c>
      <c r="E385" s="8">
        <v>145077285493</v>
      </c>
      <c r="F385" s="8">
        <v>98447626879</v>
      </c>
      <c r="G385" s="8">
        <v>60139782293</v>
      </c>
      <c r="H385" s="8">
        <v>2005117567</v>
      </c>
      <c r="I385" s="8">
        <v>30904265224</v>
      </c>
      <c r="J385" s="8"/>
      <c r="K385" s="8">
        <v>60139782293</v>
      </c>
      <c r="L385" s="8">
        <v>128422254471</v>
      </c>
      <c r="M385" s="8"/>
      <c r="N385" s="8"/>
      <c r="O385" s="8"/>
      <c r="P385" s="8"/>
      <c r="Q385" s="18">
        <f>(Table1[[#This Row],[A. TÀI SẢN NGẮN HẠN]]-Table1[[#This Row],[I. Nợ ngắn hạn]])/Table1[[#This Row],[TỔNG CỘNG TÀI SẢN]]</f>
        <v>0.26405129139150013</v>
      </c>
      <c r="R385" s="18">
        <f>Table1[[#This Row],[- LNST chưa phân phối kỳ này]]/Table1[[#This Row],[TỔNG CỘNG TÀI SẢN]]</f>
        <v>1.3821030357620988E-2</v>
      </c>
      <c r="S385" s="21">
        <f>Table1[[#This Row],[5. Lợi nhuận gộp về bán hàng và cung cấp dịch vụ]]/Table1[[#This Row],[TỔNG CỘNG TÀI SẢN]]</f>
        <v>0.21301932359005391</v>
      </c>
      <c r="T38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385" s="23">
        <f>Table1[[#This Row],[1. Doanh thu bán hàng và cung cấp dịch vụ ]]/Table1[[#This Row],[TỔNG CỘNG TÀI SẢN]]</f>
        <v>0.88519890646283417</v>
      </c>
      <c r="V385" s="23" t="e">
        <f>1.2*Table1[[#This Row],[X1]] + 1.4*Table1[[#This Row],[X2]] + 3.3*Table1[[#This Row],[x3]] + 0.6*Table1[[#This Row],[x4]] + 1*Table1[[#This Row],[x5]]</f>
        <v>#DIV/0!</v>
      </c>
      <c r="W385" s="23" t="e">
        <f>IF(Table1[[#This Row],[Zscore]]&lt;1.81,1,0)</f>
        <v>#DIV/0!</v>
      </c>
    </row>
    <row r="386" spans="1:23" hidden="1" x14ac:dyDescent="0.45">
      <c r="A386" s="7">
        <v>380</v>
      </c>
      <c r="B386" s="5" t="s">
        <v>773</v>
      </c>
      <c r="C386" s="6" t="s">
        <v>774</v>
      </c>
      <c r="D386" s="6" t="s">
        <v>13</v>
      </c>
      <c r="E386" s="6"/>
      <c r="F386" s="6"/>
      <c r="G386" s="6"/>
      <c r="H386" s="6"/>
      <c r="I386" s="6"/>
      <c r="J386" s="8"/>
      <c r="K386" s="6"/>
      <c r="L386" s="6"/>
      <c r="M386" s="8"/>
      <c r="N386" s="8"/>
      <c r="O386" s="8"/>
      <c r="P386" s="8"/>
      <c r="Q386" s="18" t="e">
        <f>(Table1[[#This Row],[A. TÀI SẢN NGẮN HẠN]]-Table1[[#This Row],[I. Nợ ngắn hạn]])/Table1[[#This Row],[TỔNG CỘNG TÀI SẢN]]</f>
        <v>#DIV/0!</v>
      </c>
      <c r="R386" s="18" t="e">
        <f>Table1[[#This Row],[- LNST chưa phân phối kỳ này]]/Table1[[#This Row],[TỔNG CỘNG TÀI SẢN]]</f>
        <v>#DIV/0!</v>
      </c>
      <c r="S386" s="21" t="e">
        <f>Table1[[#This Row],[5. Lợi nhuận gộp về bán hàng và cung cấp dịch vụ]]/Table1[[#This Row],[TỔNG CỘNG TÀI SẢN]]</f>
        <v>#DIV/0!</v>
      </c>
      <c r="T38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386" s="23" t="e">
        <f>Table1[[#This Row],[1. Doanh thu bán hàng và cung cấp dịch vụ ]]/Table1[[#This Row],[TỔNG CỘNG TÀI SẢN]]</f>
        <v>#DIV/0!</v>
      </c>
      <c r="V386" s="23" t="e">
        <f>1.2*Table1[[#This Row],[X1]] + 1.4*Table1[[#This Row],[X2]] + 3.3*Table1[[#This Row],[x3]] + 0.6*Table1[[#This Row],[x4]] + 1*Table1[[#This Row],[x5]]</f>
        <v>#DIV/0!</v>
      </c>
      <c r="W386" s="23" t="e">
        <f>IF(Table1[[#This Row],[Zscore]]&lt;1.81,1,0)</f>
        <v>#DIV/0!</v>
      </c>
    </row>
    <row r="387" spans="1:23" hidden="1" x14ac:dyDescent="0.45">
      <c r="A387" s="7">
        <v>381</v>
      </c>
      <c r="B387" s="5" t="s">
        <v>775</v>
      </c>
      <c r="C387" s="6" t="s">
        <v>776</v>
      </c>
      <c r="D387" s="6" t="s">
        <v>13</v>
      </c>
      <c r="E387" s="6"/>
      <c r="F387" s="6"/>
      <c r="G387" s="6"/>
      <c r="H387" s="6"/>
      <c r="I387" s="6"/>
      <c r="J387" s="8"/>
      <c r="K387" s="6"/>
      <c r="L387" s="6"/>
      <c r="M387" s="8"/>
      <c r="N387" s="8"/>
      <c r="O387" s="8"/>
      <c r="P387" s="8"/>
      <c r="Q387" s="18" t="e">
        <f>(Table1[[#This Row],[A. TÀI SẢN NGẮN HẠN]]-Table1[[#This Row],[I. Nợ ngắn hạn]])/Table1[[#This Row],[TỔNG CỘNG TÀI SẢN]]</f>
        <v>#DIV/0!</v>
      </c>
      <c r="R387" s="18" t="e">
        <f>Table1[[#This Row],[- LNST chưa phân phối kỳ này]]/Table1[[#This Row],[TỔNG CỘNG TÀI SẢN]]</f>
        <v>#DIV/0!</v>
      </c>
      <c r="S387" s="21" t="e">
        <f>Table1[[#This Row],[5. Lợi nhuận gộp về bán hàng và cung cấp dịch vụ]]/Table1[[#This Row],[TỔNG CỘNG TÀI SẢN]]</f>
        <v>#DIV/0!</v>
      </c>
      <c r="T38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387" s="23" t="e">
        <f>Table1[[#This Row],[1. Doanh thu bán hàng và cung cấp dịch vụ ]]/Table1[[#This Row],[TỔNG CỘNG TÀI SẢN]]</f>
        <v>#DIV/0!</v>
      </c>
      <c r="V387" s="23" t="e">
        <f>1.2*Table1[[#This Row],[X1]] + 1.4*Table1[[#This Row],[X2]] + 3.3*Table1[[#This Row],[x3]] + 0.6*Table1[[#This Row],[x4]] + 1*Table1[[#This Row],[x5]]</f>
        <v>#DIV/0!</v>
      </c>
      <c r="W387" s="23" t="e">
        <f>IF(Table1[[#This Row],[Zscore]]&lt;1.81,1,0)</f>
        <v>#DIV/0!</v>
      </c>
    </row>
    <row r="388" spans="1:23" hidden="1" x14ac:dyDescent="0.45">
      <c r="A388" s="7">
        <v>382</v>
      </c>
      <c r="B388" s="5" t="s">
        <v>777</v>
      </c>
      <c r="C388" s="6" t="s">
        <v>778</v>
      </c>
      <c r="D388" s="6" t="s">
        <v>13</v>
      </c>
      <c r="E388" s="6"/>
      <c r="F388" s="6"/>
      <c r="G388" s="6"/>
      <c r="H388" s="6"/>
      <c r="I388" s="6"/>
      <c r="J388" s="8"/>
      <c r="K388" s="6"/>
      <c r="L388" s="6"/>
      <c r="M388" s="8"/>
      <c r="N388" s="8"/>
      <c r="O388" s="8"/>
      <c r="P388" s="8"/>
      <c r="Q388" s="18" t="e">
        <f>(Table1[[#This Row],[A. TÀI SẢN NGẮN HẠN]]-Table1[[#This Row],[I. Nợ ngắn hạn]])/Table1[[#This Row],[TỔNG CỘNG TÀI SẢN]]</f>
        <v>#DIV/0!</v>
      </c>
      <c r="R388" s="18" t="e">
        <f>Table1[[#This Row],[- LNST chưa phân phối kỳ này]]/Table1[[#This Row],[TỔNG CỘNG TÀI SẢN]]</f>
        <v>#DIV/0!</v>
      </c>
      <c r="S388" s="21" t="e">
        <f>Table1[[#This Row],[5. Lợi nhuận gộp về bán hàng và cung cấp dịch vụ]]/Table1[[#This Row],[TỔNG CỘNG TÀI SẢN]]</f>
        <v>#DIV/0!</v>
      </c>
      <c r="T38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388" s="23" t="e">
        <f>Table1[[#This Row],[1. Doanh thu bán hàng và cung cấp dịch vụ ]]/Table1[[#This Row],[TỔNG CỘNG TÀI SẢN]]</f>
        <v>#DIV/0!</v>
      </c>
      <c r="V388" s="23" t="e">
        <f>1.2*Table1[[#This Row],[X1]] + 1.4*Table1[[#This Row],[X2]] + 3.3*Table1[[#This Row],[x3]] + 0.6*Table1[[#This Row],[x4]] + 1*Table1[[#This Row],[x5]]</f>
        <v>#DIV/0!</v>
      </c>
      <c r="W388" s="23" t="e">
        <f>IF(Table1[[#This Row],[Zscore]]&lt;1.81,1,0)</f>
        <v>#DIV/0!</v>
      </c>
    </row>
    <row r="389" spans="1:23" x14ac:dyDescent="0.45">
      <c r="A389" s="7">
        <v>383</v>
      </c>
      <c r="B389" s="5" t="s">
        <v>779</v>
      </c>
      <c r="C389" s="6" t="s">
        <v>780</v>
      </c>
      <c r="D389" s="6" t="s">
        <v>21</v>
      </c>
      <c r="E389" s="8">
        <v>2616816280924</v>
      </c>
      <c r="F389" s="8">
        <v>662335360784</v>
      </c>
      <c r="G389" s="8">
        <v>200486048758</v>
      </c>
      <c r="H389" s="8">
        <v>473162935226</v>
      </c>
      <c r="I389" s="8">
        <v>563245716884</v>
      </c>
      <c r="J389" s="8"/>
      <c r="K389" s="8">
        <v>507012084321</v>
      </c>
      <c r="L389" s="8">
        <v>998861940320</v>
      </c>
      <c r="M389" s="8">
        <v>5068487046000</v>
      </c>
      <c r="N389" s="8">
        <v>4348614972800</v>
      </c>
      <c r="O389" s="8">
        <v>5068487046000</v>
      </c>
      <c r="P389" s="8">
        <v>4730587909600</v>
      </c>
      <c r="Q389" s="18">
        <f>(Table1[[#This Row],[A. TÀI SẢN NGẮN HẠN]]-Table1[[#This Row],[I. Nợ ngắn hạn]])/Table1[[#This Row],[TỔNG CỘNG TÀI SẢN]]</f>
        <v>0.17649283038812363</v>
      </c>
      <c r="R389" s="18">
        <f>Table1[[#This Row],[- LNST chưa phân phối kỳ này]]/Table1[[#This Row],[TỔNG CỘNG TÀI SẢN]]</f>
        <v>0.18081626084156194</v>
      </c>
      <c r="S389" s="21">
        <f>Table1[[#This Row],[5. Lợi nhuận gộp về bán hàng và cung cấp dịch vụ]]/Table1[[#This Row],[TỔNG CỘNG TÀI SẢN]]</f>
        <v>0.21524083329423396</v>
      </c>
      <c r="T38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9.4752065920355033</v>
      </c>
      <c r="U389" s="23">
        <f>Table1[[#This Row],[1. Doanh thu bán hàng và cung cấp dịch vụ ]]/Table1[[#This Row],[TỔNG CỘNG TÀI SẢN]]</f>
        <v>0.38170885270069516</v>
      </c>
      <c r="V389" s="23">
        <f>1.2*Table1[[#This Row],[X1]] + 1.4*Table1[[#This Row],[X2]] + 3.3*Table1[[#This Row],[x3]] + 0.6*Table1[[#This Row],[x4]] + 1*Table1[[#This Row],[x5]]</f>
        <v>7.2420617194369044</v>
      </c>
      <c r="W389" s="23">
        <f>IF(Table1[[#This Row],[Zscore]]&lt;1.81,1,0)</f>
        <v>0</v>
      </c>
    </row>
    <row r="390" spans="1:23" ht="26.25" x14ac:dyDescent="0.45">
      <c r="A390" s="7">
        <v>384</v>
      </c>
      <c r="B390" s="5" t="s">
        <v>781</v>
      </c>
      <c r="C390" s="6" t="s">
        <v>782</v>
      </c>
      <c r="D390" s="6" t="s">
        <v>18</v>
      </c>
      <c r="E390" s="8">
        <v>479227300144</v>
      </c>
      <c r="F390" s="8">
        <v>461869854220</v>
      </c>
      <c r="G390" s="8">
        <v>159398643293</v>
      </c>
      <c r="H390" s="8">
        <v>30831660847</v>
      </c>
      <c r="I390" s="8">
        <v>116953837312</v>
      </c>
      <c r="J390" s="8"/>
      <c r="K390" s="8">
        <v>159398643293</v>
      </c>
      <c r="L390" s="8">
        <v>564958349737</v>
      </c>
      <c r="M390" s="8">
        <v>343640000000</v>
      </c>
      <c r="N390" s="8">
        <v>326600000000</v>
      </c>
      <c r="O390" s="8">
        <v>340800000000</v>
      </c>
      <c r="P390" s="8">
        <v>340800000000</v>
      </c>
      <c r="Q390" s="18">
        <f>(Table1[[#This Row],[A. TÀI SẢN NGẮN HẠN]]-Table1[[#This Row],[I. Nợ ngắn hạn]])/Table1[[#This Row],[TỔNG CỘNG TÀI SẢN]]</f>
        <v>0.63116439909853284</v>
      </c>
      <c r="R390" s="18">
        <f>Table1[[#This Row],[- LNST chưa phân phối kỳ này]]/Table1[[#This Row],[TỔNG CỘNG TÀI SẢN]]</f>
        <v>6.4336194615239137E-2</v>
      </c>
      <c r="S390" s="21">
        <f>Table1[[#This Row],[5. Lợi nhuận gộp về bán hàng và cung cấp dịch vụ]]/Table1[[#This Row],[TỔNG CỘNG TÀI SẢN]]</f>
        <v>0.24404669199116427</v>
      </c>
      <c r="T39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2.1202187987182293</v>
      </c>
      <c r="U390" s="23">
        <f>Table1[[#This Row],[1. Doanh thu bán hàng và cung cấp dịch vụ ]]/Table1[[#This Row],[TỔNG CỘNG TÀI SẢN]]</f>
        <v>1.178894335876189</v>
      </c>
      <c r="V390" s="23">
        <f>1.2*Table1[[#This Row],[X1]] + 1.4*Table1[[#This Row],[X2]] + 3.3*Table1[[#This Row],[x3]] + 0.6*Table1[[#This Row],[x4]] + 1*Table1[[#This Row],[x5]]</f>
        <v>4.1038476500575429</v>
      </c>
      <c r="W390" s="23">
        <f>IF(Table1[[#This Row],[Zscore]]&lt;1.81,1,0)</f>
        <v>0</v>
      </c>
    </row>
    <row r="391" spans="1:23" ht="26.25" hidden="1" x14ac:dyDescent="0.45">
      <c r="A391" s="7">
        <v>385</v>
      </c>
      <c r="B391" s="5" t="s">
        <v>783</v>
      </c>
      <c r="C391" s="6" t="s">
        <v>784</v>
      </c>
      <c r="D391" s="6" t="s">
        <v>13</v>
      </c>
      <c r="E391" s="6"/>
      <c r="F391" s="6"/>
      <c r="G391" s="6"/>
      <c r="H391" s="6"/>
      <c r="I391" s="6"/>
      <c r="J391" s="8"/>
      <c r="K391" s="6"/>
      <c r="L391" s="6"/>
      <c r="M391" s="8"/>
      <c r="N391" s="8"/>
      <c r="O391" s="8"/>
      <c r="P391" s="8"/>
      <c r="Q391" s="18" t="e">
        <f>(Table1[[#This Row],[A. TÀI SẢN NGẮN HẠN]]-Table1[[#This Row],[I. Nợ ngắn hạn]])/Table1[[#This Row],[TỔNG CỘNG TÀI SẢN]]</f>
        <v>#DIV/0!</v>
      </c>
      <c r="R391" s="18" t="e">
        <f>Table1[[#This Row],[- LNST chưa phân phối kỳ này]]/Table1[[#This Row],[TỔNG CỘNG TÀI SẢN]]</f>
        <v>#DIV/0!</v>
      </c>
      <c r="S391" s="21" t="e">
        <f>Table1[[#This Row],[5. Lợi nhuận gộp về bán hàng và cung cấp dịch vụ]]/Table1[[#This Row],[TỔNG CỘNG TÀI SẢN]]</f>
        <v>#DIV/0!</v>
      </c>
      <c r="T39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391" s="23" t="e">
        <f>Table1[[#This Row],[1. Doanh thu bán hàng và cung cấp dịch vụ ]]/Table1[[#This Row],[TỔNG CỘNG TÀI SẢN]]</f>
        <v>#DIV/0!</v>
      </c>
      <c r="V391" s="23" t="e">
        <f>1.2*Table1[[#This Row],[X1]] + 1.4*Table1[[#This Row],[X2]] + 3.3*Table1[[#This Row],[x3]] + 0.6*Table1[[#This Row],[x4]] + 1*Table1[[#This Row],[x5]]</f>
        <v>#DIV/0!</v>
      </c>
      <c r="W391" s="23" t="e">
        <f>IF(Table1[[#This Row],[Zscore]]&lt;1.81,1,0)</f>
        <v>#DIV/0!</v>
      </c>
    </row>
    <row r="392" spans="1:23" hidden="1" x14ac:dyDescent="0.45">
      <c r="A392" s="7">
        <v>386</v>
      </c>
      <c r="B392" s="5" t="s">
        <v>785</v>
      </c>
      <c r="C392" s="6" t="s">
        <v>786</v>
      </c>
      <c r="D392" s="6" t="s">
        <v>18</v>
      </c>
      <c r="E392" s="6"/>
      <c r="F392" s="6"/>
      <c r="G392" s="6"/>
      <c r="H392" s="6"/>
      <c r="I392" s="6"/>
      <c r="J392" s="8"/>
      <c r="K392" s="6"/>
      <c r="L392" s="6"/>
      <c r="M392" s="8"/>
      <c r="N392" s="8"/>
      <c r="O392" s="8"/>
      <c r="P392" s="8"/>
      <c r="Q392" s="18" t="e">
        <f>(Table1[[#This Row],[A. TÀI SẢN NGẮN HẠN]]-Table1[[#This Row],[I. Nợ ngắn hạn]])/Table1[[#This Row],[TỔNG CỘNG TÀI SẢN]]</f>
        <v>#DIV/0!</v>
      </c>
      <c r="R392" s="18" t="e">
        <f>Table1[[#This Row],[- LNST chưa phân phối kỳ này]]/Table1[[#This Row],[TỔNG CỘNG TÀI SẢN]]</f>
        <v>#DIV/0!</v>
      </c>
      <c r="S392" s="21" t="e">
        <f>Table1[[#This Row],[5. Lợi nhuận gộp về bán hàng và cung cấp dịch vụ]]/Table1[[#This Row],[TỔNG CỘNG TÀI SẢN]]</f>
        <v>#DIV/0!</v>
      </c>
      <c r="T39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392" s="23" t="e">
        <f>Table1[[#This Row],[1. Doanh thu bán hàng và cung cấp dịch vụ ]]/Table1[[#This Row],[TỔNG CỘNG TÀI SẢN]]</f>
        <v>#DIV/0!</v>
      </c>
      <c r="V392" s="23" t="e">
        <f>1.2*Table1[[#This Row],[X1]] + 1.4*Table1[[#This Row],[X2]] + 3.3*Table1[[#This Row],[x3]] + 0.6*Table1[[#This Row],[x4]] + 1*Table1[[#This Row],[x5]]</f>
        <v>#DIV/0!</v>
      </c>
      <c r="W392" s="23" t="e">
        <f>IF(Table1[[#This Row],[Zscore]]&lt;1.81,1,0)</f>
        <v>#DIV/0!</v>
      </c>
    </row>
    <row r="393" spans="1:23" ht="26.25" x14ac:dyDescent="0.45">
      <c r="A393" s="7">
        <v>387</v>
      </c>
      <c r="B393" s="5" t="s">
        <v>787</v>
      </c>
      <c r="C393" s="6" t="s">
        <v>788</v>
      </c>
      <c r="D393" s="6" t="s">
        <v>36</v>
      </c>
      <c r="E393" s="8">
        <v>373187361821</v>
      </c>
      <c r="F393" s="8">
        <v>293458143119</v>
      </c>
      <c r="G393" s="8">
        <v>23119866440</v>
      </c>
      <c r="H393" s="8">
        <v>18698433232</v>
      </c>
      <c r="I393" s="8">
        <v>58603388385</v>
      </c>
      <c r="J393" s="8"/>
      <c r="K393" s="8">
        <v>25394806896</v>
      </c>
      <c r="L393" s="8">
        <v>177371772890</v>
      </c>
      <c r="M393" s="8">
        <v>186612430000</v>
      </c>
      <c r="N393" s="8">
        <v>169817311300</v>
      </c>
      <c r="O393" s="8">
        <v>177281808500</v>
      </c>
      <c r="P393" s="8">
        <v>181014057100</v>
      </c>
      <c r="Q393" s="18">
        <f>(Table1[[#This Row],[A. TÀI SẢN NGẮN HẠN]]-Table1[[#This Row],[I. Nợ ngắn hạn]])/Table1[[#This Row],[TỔNG CỘNG TÀI SẢN]]</f>
        <v>0.72440362224449673</v>
      </c>
      <c r="R393" s="18">
        <f>Table1[[#This Row],[- LNST chưa phân phối kỳ này]]/Table1[[#This Row],[TỔNG CỘNG TÀI SẢN]]</f>
        <v>5.0104679699653758E-2</v>
      </c>
      <c r="S393" s="21">
        <f>Table1[[#This Row],[5. Lợi nhuận gộp về bán hàng và cung cấp dịch vụ]]/Table1[[#This Row],[TỔNG CỘNG TÀI SẢN]]</f>
        <v>0.15703476157134502</v>
      </c>
      <c r="T39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7.0361394145172476</v>
      </c>
      <c r="U393" s="23">
        <f>Table1[[#This Row],[1. Doanh thu bán hàng và cung cấp dịch vụ ]]/Table1[[#This Row],[TỔNG CỘNG TÀI SẢN]]</f>
        <v>0.47528879870020008</v>
      </c>
      <c r="V393" s="23">
        <f>1.2*Table1[[#This Row],[X1]] + 1.4*Table1[[#This Row],[X2]] + 3.3*Table1[[#This Row],[x3]] + 0.6*Table1[[#This Row],[x4]] + 1*Table1[[#This Row],[x5]]</f>
        <v>6.1546180588688983</v>
      </c>
      <c r="W393" s="23">
        <f>IF(Table1[[#This Row],[Zscore]]&lt;1.81,1,0)</f>
        <v>0</v>
      </c>
    </row>
    <row r="394" spans="1:23" hidden="1" x14ac:dyDescent="0.45">
      <c r="A394" s="7">
        <v>388</v>
      </c>
      <c r="B394" s="5" t="s">
        <v>789</v>
      </c>
      <c r="C394" s="6" t="s">
        <v>790</v>
      </c>
      <c r="D394" s="6" t="s">
        <v>13</v>
      </c>
      <c r="E394" s="6"/>
      <c r="F394" s="6"/>
      <c r="G394" s="6"/>
      <c r="H394" s="6"/>
      <c r="I394" s="6"/>
      <c r="J394" s="8"/>
      <c r="K394" s="6"/>
      <c r="L394" s="6"/>
      <c r="M394" s="8"/>
      <c r="N394" s="8"/>
      <c r="O394" s="8"/>
      <c r="P394" s="8"/>
      <c r="Q394" s="18" t="e">
        <f>(Table1[[#This Row],[A. TÀI SẢN NGẮN HẠN]]-Table1[[#This Row],[I. Nợ ngắn hạn]])/Table1[[#This Row],[TỔNG CỘNG TÀI SẢN]]</f>
        <v>#DIV/0!</v>
      </c>
      <c r="R394" s="18" t="e">
        <f>Table1[[#This Row],[- LNST chưa phân phối kỳ này]]/Table1[[#This Row],[TỔNG CỘNG TÀI SẢN]]</f>
        <v>#DIV/0!</v>
      </c>
      <c r="S394" s="21" t="e">
        <f>Table1[[#This Row],[5. Lợi nhuận gộp về bán hàng và cung cấp dịch vụ]]/Table1[[#This Row],[TỔNG CỘNG TÀI SẢN]]</f>
        <v>#DIV/0!</v>
      </c>
      <c r="T39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394" s="23" t="e">
        <f>Table1[[#This Row],[1. Doanh thu bán hàng và cung cấp dịch vụ ]]/Table1[[#This Row],[TỔNG CỘNG TÀI SẢN]]</f>
        <v>#DIV/0!</v>
      </c>
      <c r="V394" s="23" t="e">
        <f>1.2*Table1[[#This Row],[X1]] + 1.4*Table1[[#This Row],[X2]] + 3.3*Table1[[#This Row],[x3]] + 0.6*Table1[[#This Row],[x4]] + 1*Table1[[#This Row],[x5]]</f>
        <v>#DIV/0!</v>
      </c>
      <c r="W394" s="23" t="e">
        <f>IF(Table1[[#This Row],[Zscore]]&lt;1.81,1,0)</f>
        <v>#DIV/0!</v>
      </c>
    </row>
    <row r="395" spans="1:23" ht="26.25" hidden="1" x14ac:dyDescent="0.45">
      <c r="A395" s="7">
        <v>389</v>
      </c>
      <c r="B395" s="5" t="s">
        <v>791</v>
      </c>
      <c r="C395" s="6" t="s">
        <v>792</v>
      </c>
      <c r="D395" s="6" t="s">
        <v>13</v>
      </c>
      <c r="E395" s="6"/>
      <c r="F395" s="6"/>
      <c r="G395" s="6"/>
      <c r="H395" s="6"/>
      <c r="I395" s="6"/>
      <c r="J395" s="8"/>
      <c r="K395" s="6"/>
      <c r="L395" s="6"/>
      <c r="M395" s="8"/>
      <c r="N395" s="8"/>
      <c r="O395" s="8"/>
      <c r="P395" s="8"/>
      <c r="Q395" s="18" t="e">
        <f>(Table1[[#This Row],[A. TÀI SẢN NGẮN HẠN]]-Table1[[#This Row],[I. Nợ ngắn hạn]])/Table1[[#This Row],[TỔNG CỘNG TÀI SẢN]]</f>
        <v>#DIV/0!</v>
      </c>
      <c r="R395" s="18" t="e">
        <f>Table1[[#This Row],[- LNST chưa phân phối kỳ này]]/Table1[[#This Row],[TỔNG CỘNG TÀI SẢN]]</f>
        <v>#DIV/0!</v>
      </c>
      <c r="S395" s="21" t="e">
        <f>Table1[[#This Row],[5. Lợi nhuận gộp về bán hàng và cung cấp dịch vụ]]/Table1[[#This Row],[TỔNG CỘNG TÀI SẢN]]</f>
        <v>#DIV/0!</v>
      </c>
      <c r="T39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395" s="23" t="e">
        <f>Table1[[#This Row],[1. Doanh thu bán hàng và cung cấp dịch vụ ]]/Table1[[#This Row],[TỔNG CỘNG TÀI SẢN]]</f>
        <v>#DIV/0!</v>
      </c>
      <c r="V395" s="23" t="e">
        <f>1.2*Table1[[#This Row],[X1]] + 1.4*Table1[[#This Row],[X2]] + 3.3*Table1[[#This Row],[x3]] + 0.6*Table1[[#This Row],[x4]] + 1*Table1[[#This Row],[x5]]</f>
        <v>#DIV/0!</v>
      </c>
      <c r="W395" s="23" t="e">
        <f>IF(Table1[[#This Row],[Zscore]]&lt;1.81,1,0)</f>
        <v>#DIV/0!</v>
      </c>
    </row>
    <row r="396" spans="1:23" hidden="1" x14ac:dyDescent="0.45">
      <c r="A396" s="7">
        <v>390</v>
      </c>
      <c r="B396" s="5" t="s">
        <v>793</v>
      </c>
      <c r="C396" s="6" t="s">
        <v>794</v>
      </c>
      <c r="D396" s="6" t="s">
        <v>13</v>
      </c>
      <c r="E396" s="6"/>
      <c r="F396" s="6"/>
      <c r="G396" s="6"/>
      <c r="H396" s="6"/>
      <c r="I396" s="6"/>
      <c r="J396" s="8"/>
      <c r="K396" s="6"/>
      <c r="L396" s="6"/>
      <c r="M396" s="8"/>
      <c r="N396" s="8"/>
      <c r="O396" s="8"/>
      <c r="P396" s="8"/>
      <c r="Q396" s="18" t="e">
        <f>(Table1[[#This Row],[A. TÀI SẢN NGẮN HẠN]]-Table1[[#This Row],[I. Nợ ngắn hạn]])/Table1[[#This Row],[TỔNG CỘNG TÀI SẢN]]</f>
        <v>#DIV/0!</v>
      </c>
      <c r="R396" s="18" t="e">
        <f>Table1[[#This Row],[- LNST chưa phân phối kỳ này]]/Table1[[#This Row],[TỔNG CỘNG TÀI SẢN]]</f>
        <v>#DIV/0!</v>
      </c>
      <c r="S396" s="21" t="e">
        <f>Table1[[#This Row],[5. Lợi nhuận gộp về bán hàng và cung cấp dịch vụ]]/Table1[[#This Row],[TỔNG CỘNG TÀI SẢN]]</f>
        <v>#DIV/0!</v>
      </c>
      <c r="T39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396" s="23" t="e">
        <f>Table1[[#This Row],[1. Doanh thu bán hàng và cung cấp dịch vụ ]]/Table1[[#This Row],[TỔNG CỘNG TÀI SẢN]]</f>
        <v>#DIV/0!</v>
      </c>
      <c r="V396" s="23" t="e">
        <f>1.2*Table1[[#This Row],[X1]] + 1.4*Table1[[#This Row],[X2]] + 3.3*Table1[[#This Row],[x3]] + 0.6*Table1[[#This Row],[x4]] + 1*Table1[[#This Row],[x5]]</f>
        <v>#DIV/0!</v>
      </c>
      <c r="W396" s="23" t="e">
        <f>IF(Table1[[#This Row],[Zscore]]&lt;1.81,1,0)</f>
        <v>#DIV/0!</v>
      </c>
    </row>
    <row r="397" spans="1:23" ht="26.25" hidden="1" x14ac:dyDescent="0.45">
      <c r="A397" s="7">
        <v>391</v>
      </c>
      <c r="B397" s="5" t="s">
        <v>795</v>
      </c>
      <c r="C397" s="6" t="s">
        <v>796</v>
      </c>
      <c r="D397" s="6" t="s">
        <v>13</v>
      </c>
      <c r="E397" s="6"/>
      <c r="F397" s="6"/>
      <c r="G397" s="6"/>
      <c r="H397" s="6"/>
      <c r="I397" s="6"/>
      <c r="J397" s="8"/>
      <c r="K397" s="6"/>
      <c r="L397" s="6"/>
      <c r="M397" s="8"/>
      <c r="N397" s="8"/>
      <c r="O397" s="8"/>
      <c r="P397" s="8"/>
      <c r="Q397" s="18" t="e">
        <f>(Table1[[#This Row],[A. TÀI SẢN NGẮN HẠN]]-Table1[[#This Row],[I. Nợ ngắn hạn]])/Table1[[#This Row],[TỔNG CỘNG TÀI SẢN]]</f>
        <v>#DIV/0!</v>
      </c>
      <c r="R397" s="18" t="e">
        <f>Table1[[#This Row],[- LNST chưa phân phối kỳ này]]/Table1[[#This Row],[TỔNG CỘNG TÀI SẢN]]</f>
        <v>#DIV/0!</v>
      </c>
      <c r="S397" s="21" t="e">
        <f>Table1[[#This Row],[5. Lợi nhuận gộp về bán hàng và cung cấp dịch vụ]]/Table1[[#This Row],[TỔNG CỘNG TÀI SẢN]]</f>
        <v>#DIV/0!</v>
      </c>
      <c r="T39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397" s="23" t="e">
        <f>Table1[[#This Row],[1. Doanh thu bán hàng và cung cấp dịch vụ ]]/Table1[[#This Row],[TỔNG CỘNG TÀI SẢN]]</f>
        <v>#DIV/0!</v>
      </c>
      <c r="V397" s="23" t="e">
        <f>1.2*Table1[[#This Row],[X1]] + 1.4*Table1[[#This Row],[X2]] + 3.3*Table1[[#This Row],[x3]] + 0.6*Table1[[#This Row],[x4]] + 1*Table1[[#This Row],[x5]]</f>
        <v>#DIV/0!</v>
      </c>
      <c r="W397" s="23" t="e">
        <f>IF(Table1[[#This Row],[Zscore]]&lt;1.81,1,0)</f>
        <v>#DIV/0!</v>
      </c>
    </row>
    <row r="398" spans="1:23" ht="26.25" hidden="1" x14ac:dyDescent="0.45">
      <c r="A398" s="7">
        <v>392</v>
      </c>
      <c r="B398" s="5" t="s">
        <v>797</v>
      </c>
      <c r="C398" s="6" t="s">
        <v>798</v>
      </c>
      <c r="D398" s="6" t="s">
        <v>18</v>
      </c>
      <c r="E398" s="8">
        <v>16284915951</v>
      </c>
      <c r="F398" s="8">
        <v>12912365959</v>
      </c>
      <c r="G398" s="8">
        <v>1684036331</v>
      </c>
      <c r="H398" s="8">
        <v>1568458120</v>
      </c>
      <c r="I398" s="8">
        <v>3965826017</v>
      </c>
      <c r="J398" s="8"/>
      <c r="K398" s="8">
        <v>1684036331</v>
      </c>
      <c r="L398" s="8">
        <v>4972883844</v>
      </c>
      <c r="M398" s="8"/>
      <c r="N398" s="8"/>
      <c r="O398" s="8"/>
      <c r="P398" s="8"/>
      <c r="Q398" s="18">
        <f>(Table1[[#This Row],[A. TÀI SẢN NGẮN HẠN]]-Table1[[#This Row],[I. Nợ ngắn hạn]])/Table1[[#This Row],[TỔNG CỘNG TÀI SẢN]]</f>
        <v>0.68949263611707545</v>
      </c>
      <c r="R398" s="18">
        <f>Table1[[#This Row],[- LNST chưa phân phối kỳ này]]/Table1[[#This Row],[TỔNG CỘNG TÀI SẢN]]</f>
        <v>9.631355327343194E-2</v>
      </c>
      <c r="S398" s="21">
        <f>Table1[[#This Row],[5. Lợi nhuận gộp về bán hàng và cung cấp dịch vụ]]/Table1[[#This Row],[TỔNG CỘNG TÀI SẢN]]</f>
        <v>0.24352757047889292</v>
      </c>
      <c r="T39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398" s="23">
        <f>Table1[[#This Row],[1. Doanh thu bán hàng và cung cấp dịch vụ ]]/Table1[[#This Row],[TỔNG CỘNG TÀI SẢN]]</f>
        <v>0.30536748601976249</v>
      </c>
      <c r="V398" s="23" t="e">
        <f>1.2*Table1[[#This Row],[X1]] + 1.4*Table1[[#This Row],[X2]] + 3.3*Table1[[#This Row],[x3]] + 0.6*Table1[[#This Row],[x4]] + 1*Table1[[#This Row],[x5]]</f>
        <v>#DIV/0!</v>
      </c>
      <c r="W398" s="23" t="e">
        <f>IF(Table1[[#This Row],[Zscore]]&lt;1.81,1,0)</f>
        <v>#DIV/0!</v>
      </c>
    </row>
    <row r="399" spans="1:23" ht="26.25" hidden="1" x14ac:dyDescent="0.45">
      <c r="A399" s="7">
        <v>393</v>
      </c>
      <c r="B399" s="5" t="s">
        <v>799</v>
      </c>
      <c r="C399" s="6" t="s">
        <v>800</v>
      </c>
      <c r="D399" s="6" t="s">
        <v>13</v>
      </c>
      <c r="E399" s="6"/>
      <c r="F399" s="6"/>
      <c r="G399" s="6"/>
      <c r="H399" s="6"/>
      <c r="I399" s="6"/>
      <c r="J399" s="8"/>
      <c r="K399" s="6"/>
      <c r="L399" s="6"/>
      <c r="M399" s="8"/>
      <c r="N399" s="8"/>
      <c r="O399" s="8"/>
      <c r="P399" s="8"/>
      <c r="Q399" s="18" t="e">
        <f>(Table1[[#This Row],[A. TÀI SẢN NGẮN HẠN]]-Table1[[#This Row],[I. Nợ ngắn hạn]])/Table1[[#This Row],[TỔNG CỘNG TÀI SẢN]]</f>
        <v>#DIV/0!</v>
      </c>
      <c r="R399" s="18" t="e">
        <f>Table1[[#This Row],[- LNST chưa phân phối kỳ này]]/Table1[[#This Row],[TỔNG CỘNG TÀI SẢN]]</f>
        <v>#DIV/0!</v>
      </c>
      <c r="S399" s="21" t="e">
        <f>Table1[[#This Row],[5. Lợi nhuận gộp về bán hàng và cung cấp dịch vụ]]/Table1[[#This Row],[TỔNG CỘNG TÀI SẢN]]</f>
        <v>#DIV/0!</v>
      </c>
      <c r="T39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399" s="23" t="e">
        <f>Table1[[#This Row],[1. Doanh thu bán hàng và cung cấp dịch vụ ]]/Table1[[#This Row],[TỔNG CỘNG TÀI SẢN]]</f>
        <v>#DIV/0!</v>
      </c>
      <c r="V399" s="23" t="e">
        <f>1.2*Table1[[#This Row],[X1]] + 1.4*Table1[[#This Row],[X2]] + 3.3*Table1[[#This Row],[x3]] + 0.6*Table1[[#This Row],[x4]] + 1*Table1[[#This Row],[x5]]</f>
        <v>#DIV/0!</v>
      </c>
      <c r="W399" s="23" t="e">
        <f>IF(Table1[[#This Row],[Zscore]]&lt;1.81,1,0)</f>
        <v>#DIV/0!</v>
      </c>
    </row>
    <row r="400" spans="1:23" ht="26.25" hidden="1" x14ac:dyDescent="0.45">
      <c r="A400" s="7">
        <v>394</v>
      </c>
      <c r="B400" s="5" t="s">
        <v>801</v>
      </c>
      <c r="C400" s="6" t="s">
        <v>802</v>
      </c>
      <c r="D400" s="6" t="s">
        <v>13</v>
      </c>
      <c r="E400" s="6"/>
      <c r="F400" s="6"/>
      <c r="G400" s="6"/>
      <c r="H400" s="6"/>
      <c r="I400" s="6"/>
      <c r="J400" s="8"/>
      <c r="K400" s="6"/>
      <c r="L400" s="6"/>
      <c r="M400" s="8"/>
      <c r="N400" s="8"/>
      <c r="O400" s="8"/>
      <c r="P400" s="8"/>
      <c r="Q400" s="18" t="e">
        <f>(Table1[[#This Row],[A. TÀI SẢN NGẮN HẠN]]-Table1[[#This Row],[I. Nợ ngắn hạn]])/Table1[[#This Row],[TỔNG CỘNG TÀI SẢN]]</f>
        <v>#DIV/0!</v>
      </c>
      <c r="R400" s="18" t="e">
        <f>Table1[[#This Row],[- LNST chưa phân phối kỳ này]]/Table1[[#This Row],[TỔNG CỘNG TÀI SẢN]]</f>
        <v>#DIV/0!</v>
      </c>
      <c r="S400" s="21" t="e">
        <f>Table1[[#This Row],[5. Lợi nhuận gộp về bán hàng và cung cấp dịch vụ]]/Table1[[#This Row],[TỔNG CỘNG TÀI SẢN]]</f>
        <v>#DIV/0!</v>
      </c>
      <c r="T40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400" s="23" t="e">
        <f>Table1[[#This Row],[1. Doanh thu bán hàng và cung cấp dịch vụ ]]/Table1[[#This Row],[TỔNG CỘNG TÀI SẢN]]</f>
        <v>#DIV/0!</v>
      </c>
      <c r="V400" s="23" t="e">
        <f>1.2*Table1[[#This Row],[X1]] + 1.4*Table1[[#This Row],[X2]] + 3.3*Table1[[#This Row],[x3]] + 0.6*Table1[[#This Row],[x4]] + 1*Table1[[#This Row],[x5]]</f>
        <v>#DIV/0!</v>
      </c>
      <c r="W400" s="23" t="e">
        <f>IF(Table1[[#This Row],[Zscore]]&lt;1.81,1,0)</f>
        <v>#DIV/0!</v>
      </c>
    </row>
    <row r="401" spans="1:23" hidden="1" x14ac:dyDescent="0.45">
      <c r="A401" s="7">
        <v>395</v>
      </c>
      <c r="B401" s="5" t="s">
        <v>803</v>
      </c>
      <c r="C401" s="6" t="s">
        <v>804</v>
      </c>
      <c r="D401" s="6" t="s">
        <v>13</v>
      </c>
      <c r="E401" s="6"/>
      <c r="F401" s="6"/>
      <c r="G401" s="6"/>
      <c r="H401" s="6"/>
      <c r="I401" s="6"/>
      <c r="J401" s="8"/>
      <c r="K401" s="6"/>
      <c r="L401" s="6"/>
      <c r="M401" s="8"/>
      <c r="N401" s="8"/>
      <c r="O401" s="8"/>
      <c r="P401" s="8"/>
      <c r="Q401" s="18" t="e">
        <f>(Table1[[#This Row],[A. TÀI SẢN NGẮN HẠN]]-Table1[[#This Row],[I. Nợ ngắn hạn]])/Table1[[#This Row],[TỔNG CỘNG TÀI SẢN]]</f>
        <v>#DIV/0!</v>
      </c>
      <c r="R401" s="18" t="e">
        <f>Table1[[#This Row],[- LNST chưa phân phối kỳ này]]/Table1[[#This Row],[TỔNG CỘNG TÀI SẢN]]</f>
        <v>#DIV/0!</v>
      </c>
      <c r="S401" s="21" t="e">
        <f>Table1[[#This Row],[5. Lợi nhuận gộp về bán hàng và cung cấp dịch vụ]]/Table1[[#This Row],[TỔNG CỘNG TÀI SẢN]]</f>
        <v>#DIV/0!</v>
      </c>
      <c r="T40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401" s="23" t="e">
        <f>Table1[[#This Row],[1. Doanh thu bán hàng và cung cấp dịch vụ ]]/Table1[[#This Row],[TỔNG CỘNG TÀI SẢN]]</f>
        <v>#DIV/0!</v>
      </c>
      <c r="V401" s="23" t="e">
        <f>1.2*Table1[[#This Row],[X1]] + 1.4*Table1[[#This Row],[X2]] + 3.3*Table1[[#This Row],[x3]] + 0.6*Table1[[#This Row],[x4]] + 1*Table1[[#This Row],[x5]]</f>
        <v>#DIV/0!</v>
      </c>
      <c r="W401" s="23" t="e">
        <f>IF(Table1[[#This Row],[Zscore]]&lt;1.81,1,0)</f>
        <v>#DIV/0!</v>
      </c>
    </row>
    <row r="402" spans="1:23" ht="26.25" hidden="1" x14ac:dyDescent="0.45">
      <c r="A402" s="7">
        <v>396</v>
      </c>
      <c r="B402" s="5" t="s">
        <v>805</v>
      </c>
      <c r="C402" s="6" t="s">
        <v>806</v>
      </c>
      <c r="D402" s="6" t="s">
        <v>13</v>
      </c>
      <c r="E402" s="6"/>
      <c r="F402" s="6"/>
      <c r="G402" s="6"/>
      <c r="H402" s="6"/>
      <c r="I402" s="6"/>
      <c r="J402" s="8"/>
      <c r="K402" s="6"/>
      <c r="L402" s="6"/>
      <c r="M402" s="8"/>
      <c r="N402" s="8"/>
      <c r="O402" s="8"/>
      <c r="P402" s="8"/>
      <c r="Q402" s="18" t="e">
        <f>(Table1[[#This Row],[A. TÀI SẢN NGẮN HẠN]]-Table1[[#This Row],[I. Nợ ngắn hạn]])/Table1[[#This Row],[TỔNG CỘNG TÀI SẢN]]</f>
        <v>#DIV/0!</v>
      </c>
      <c r="R402" s="18" t="e">
        <f>Table1[[#This Row],[- LNST chưa phân phối kỳ này]]/Table1[[#This Row],[TỔNG CỘNG TÀI SẢN]]</f>
        <v>#DIV/0!</v>
      </c>
      <c r="S402" s="21" t="e">
        <f>Table1[[#This Row],[5. Lợi nhuận gộp về bán hàng và cung cấp dịch vụ]]/Table1[[#This Row],[TỔNG CỘNG TÀI SẢN]]</f>
        <v>#DIV/0!</v>
      </c>
      <c r="T40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402" s="23" t="e">
        <f>Table1[[#This Row],[1. Doanh thu bán hàng và cung cấp dịch vụ ]]/Table1[[#This Row],[TỔNG CỘNG TÀI SẢN]]</f>
        <v>#DIV/0!</v>
      </c>
      <c r="V402" s="23" t="e">
        <f>1.2*Table1[[#This Row],[X1]] + 1.4*Table1[[#This Row],[X2]] + 3.3*Table1[[#This Row],[x3]] + 0.6*Table1[[#This Row],[x4]] + 1*Table1[[#This Row],[x5]]</f>
        <v>#DIV/0!</v>
      </c>
      <c r="W402" s="23" t="e">
        <f>IF(Table1[[#This Row],[Zscore]]&lt;1.81,1,0)</f>
        <v>#DIV/0!</v>
      </c>
    </row>
    <row r="403" spans="1:23" hidden="1" x14ac:dyDescent="0.45">
      <c r="A403" s="7">
        <v>397</v>
      </c>
      <c r="B403" s="5" t="s">
        <v>807</v>
      </c>
      <c r="C403" s="6" t="s">
        <v>808</v>
      </c>
      <c r="D403" s="6" t="s">
        <v>13</v>
      </c>
      <c r="E403" s="6"/>
      <c r="F403" s="6"/>
      <c r="G403" s="6"/>
      <c r="H403" s="6"/>
      <c r="I403" s="6"/>
      <c r="J403" s="8"/>
      <c r="K403" s="6"/>
      <c r="L403" s="6"/>
      <c r="M403" s="8"/>
      <c r="N403" s="8"/>
      <c r="O403" s="8"/>
      <c r="P403" s="8"/>
      <c r="Q403" s="18" t="e">
        <f>(Table1[[#This Row],[A. TÀI SẢN NGẮN HẠN]]-Table1[[#This Row],[I. Nợ ngắn hạn]])/Table1[[#This Row],[TỔNG CỘNG TÀI SẢN]]</f>
        <v>#DIV/0!</v>
      </c>
      <c r="R403" s="18" t="e">
        <f>Table1[[#This Row],[- LNST chưa phân phối kỳ này]]/Table1[[#This Row],[TỔNG CỘNG TÀI SẢN]]</f>
        <v>#DIV/0!</v>
      </c>
      <c r="S403" s="21" t="e">
        <f>Table1[[#This Row],[5. Lợi nhuận gộp về bán hàng và cung cấp dịch vụ]]/Table1[[#This Row],[TỔNG CỘNG TÀI SẢN]]</f>
        <v>#DIV/0!</v>
      </c>
      <c r="T40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403" s="23" t="e">
        <f>Table1[[#This Row],[1. Doanh thu bán hàng và cung cấp dịch vụ ]]/Table1[[#This Row],[TỔNG CỘNG TÀI SẢN]]</f>
        <v>#DIV/0!</v>
      </c>
      <c r="V403" s="23" t="e">
        <f>1.2*Table1[[#This Row],[X1]] + 1.4*Table1[[#This Row],[X2]] + 3.3*Table1[[#This Row],[x3]] + 0.6*Table1[[#This Row],[x4]] + 1*Table1[[#This Row],[x5]]</f>
        <v>#DIV/0!</v>
      </c>
      <c r="W403" s="23" t="e">
        <f>IF(Table1[[#This Row],[Zscore]]&lt;1.81,1,0)</f>
        <v>#DIV/0!</v>
      </c>
    </row>
    <row r="404" spans="1:23" ht="26.25" hidden="1" x14ac:dyDescent="0.45">
      <c r="A404" s="7">
        <v>398</v>
      </c>
      <c r="B404" s="5" t="s">
        <v>809</v>
      </c>
      <c r="C404" s="6" t="s">
        <v>810</v>
      </c>
      <c r="D404" s="6" t="s">
        <v>13</v>
      </c>
      <c r="E404" s="6"/>
      <c r="F404" s="6"/>
      <c r="G404" s="6"/>
      <c r="H404" s="6"/>
      <c r="I404" s="6"/>
      <c r="J404" s="8"/>
      <c r="K404" s="6"/>
      <c r="L404" s="6"/>
      <c r="M404" s="8"/>
      <c r="N404" s="8"/>
      <c r="O404" s="8"/>
      <c r="P404" s="8"/>
      <c r="Q404" s="18" t="e">
        <f>(Table1[[#This Row],[A. TÀI SẢN NGẮN HẠN]]-Table1[[#This Row],[I. Nợ ngắn hạn]])/Table1[[#This Row],[TỔNG CỘNG TÀI SẢN]]</f>
        <v>#DIV/0!</v>
      </c>
      <c r="R404" s="18" t="e">
        <f>Table1[[#This Row],[- LNST chưa phân phối kỳ này]]/Table1[[#This Row],[TỔNG CỘNG TÀI SẢN]]</f>
        <v>#DIV/0!</v>
      </c>
      <c r="S404" s="21" t="e">
        <f>Table1[[#This Row],[5. Lợi nhuận gộp về bán hàng và cung cấp dịch vụ]]/Table1[[#This Row],[TỔNG CỘNG TÀI SẢN]]</f>
        <v>#DIV/0!</v>
      </c>
      <c r="T40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404" s="23" t="e">
        <f>Table1[[#This Row],[1. Doanh thu bán hàng và cung cấp dịch vụ ]]/Table1[[#This Row],[TỔNG CỘNG TÀI SẢN]]</f>
        <v>#DIV/0!</v>
      </c>
      <c r="V404" s="23" t="e">
        <f>1.2*Table1[[#This Row],[X1]] + 1.4*Table1[[#This Row],[X2]] + 3.3*Table1[[#This Row],[x3]] + 0.6*Table1[[#This Row],[x4]] + 1*Table1[[#This Row],[x5]]</f>
        <v>#DIV/0!</v>
      </c>
      <c r="W404" s="23" t="e">
        <f>IF(Table1[[#This Row],[Zscore]]&lt;1.81,1,0)</f>
        <v>#DIV/0!</v>
      </c>
    </row>
    <row r="405" spans="1:23" ht="26.25" hidden="1" x14ac:dyDescent="0.45">
      <c r="A405" s="7">
        <v>399</v>
      </c>
      <c r="B405" s="5" t="s">
        <v>811</v>
      </c>
      <c r="C405" s="6" t="s">
        <v>812</v>
      </c>
      <c r="D405" s="6" t="s">
        <v>13</v>
      </c>
      <c r="E405" s="6"/>
      <c r="F405" s="6"/>
      <c r="G405" s="6"/>
      <c r="H405" s="6"/>
      <c r="I405" s="6"/>
      <c r="J405" s="8"/>
      <c r="K405" s="6"/>
      <c r="L405" s="6"/>
      <c r="M405" s="8"/>
      <c r="N405" s="8"/>
      <c r="O405" s="8"/>
      <c r="P405" s="8"/>
      <c r="Q405" s="18" t="e">
        <f>(Table1[[#This Row],[A. TÀI SẢN NGẮN HẠN]]-Table1[[#This Row],[I. Nợ ngắn hạn]])/Table1[[#This Row],[TỔNG CỘNG TÀI SẢN]]</f>
        <v>#DIV/0!</v>
      </c>
      <c r="R405" s="18" t="e">
        <f>Table1[[#This Row],[- LNST chưa phân phối kỳ này]]/Table1[[#This Row],[TỔNG CỘNG TÀI SẢN]]</f>
        <v>#DIV/0!</v>
      </c>
      <c r="S405" s="21" t="e">
        <f>Table1[[#This Row],[5. Lợi nhuận gộp về bán hàng và cung cấp dịch vụ]]/Table1[[#This Row],[TỔNG CỘNG TÀI SẢN]]</f>
        <v>#DIV/0!</v>
      </c>
      <c r="T40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405" s="23" t="e">
        <f>Table1[[#This Row],[1. Doanh thu bán hàng và cung cấp dịch vụ ]]/Table1[[#This Row],[TỔNG CỘNG TÀI SẢN]]</f>
        <v>#DIV/0!</v>
      </c>
      <c r="V405" s="23" t="e">
        <f>1.2*Table1[[#This Row],[X1]] + 1.4*Table1[[#This Row],[X2]] + 3.3*Table1[[#This Row],[x3]] + 0.6*Table1[[#This Row],[x4]] + 1*Table1[[#This Row],[x5]]</f>
        <v>#DIV/0!</v>
      </c>
      <c r="W405" s="23" t="e">
        <f>IF(Table1[[#This Row],[Zscore]]&lt;1.81,1,0)</f>
        <v>#DIV/0!</v>
      </c>
    </row>
    <row r="406" spans="1:23" ht="26.25" hidden="1" x14ac:dyDescent="0.45">
      <c r="A406" s="7">
        <v>400</v>
      </c>
      <c r="B406" s="5" t="s">
        <v>813</v>
      </c>
      <c r="C406" s="6" t="s">
        <v>814</v>
      </c>
      <c r="D406" s="6" t="s">
        <v>13</v>
      </c>
      <c r="E406" s="6"/>
      <c r="F406" s="6"/>
      <c r="G406" s="6"/>
      <c r="H406" s="6"/>
      <c r="I406" s="6"/>
      <c r="J406" s="8"/>
      <c r="K406" s="6"/>
      <c r="L406" s="6"/>
      <c r="M406" s="8"/>
      <c r="N406" s="8"/>
      <c r="O406" s="8"/>
      <c r="P406" s="8"/>
      <c r="Q406" s="18" t="e">
        <f>(Table1[[#This Row],[A. TÀI SẢN NGẮN HẠN]]-Table1[[#This Row],[I. Nợ ngắn hạn]])/Table1[[#This Row],[TỔNG CỘNG TÀI SẢN]]</f>
        <v>#DIV/0!</v>
      </c>
      <c r="R406" s="18" t="e">
        <f>Table1[[#This Row],[- LNST chưa phân phối kỳ này]]/Table1[[#This Row],[TỔNG CỘNG TÀI SẢN]]</f>
        <v>#DIV/0!</v>
      </c>
      <c r="S406" s="21" t="e">
        <f>Table1[[#This Row],[5. Lợi nhuận gộp về bán hàng và cung cấp dịch vụ]]/Table1[[#This Row],[TỔNG CỘNG TÀI SẢN]]</f>
        <v>#DIV/0!</v>
      </c>
      <c r="T40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406" s="23" t="e">
        <f>Table1[[#This Row],[1. Doanh thu bán hàng và cung cấp dịch vụ ]]/Table1[[#This Row],[TỔNG CỘNG TÀI SẢN]]</f>
        <v>#DIV/0!</v>
      </c>
      <c r="V406" s="23" t="e">
        <f>1.2*Table1[[#This Row],[X1]] + 1.4*Table1[[#This Row],[X2]] + 3.3*Table1[[#This Row],[x3]] + 0.6*Table1[[#This Row],[x4]] + 1*Table1[[#This Row],[x5]]</f>
        <v>#DIV/0!</v>
      </c>
      <c r="W406" s="23" t="e">
        <f>IF(Table1[[#This Row],[Zscore]]&lt;1.81,1,0)</f>
        <v>#DIV/0!</v>
      </c>
    </row>
    <row r="407" spans="1:23" x14ac:dyDescent="0.45">
      <c r="A407" s="7">
        <v>401</v>
      </c>
      <c r="B407" s="5" t="s">
        <v>815</v>
      </c>
      <c r="C407" s="6" t="s">
        <v>816</v>
      </c>
      <c r="D407" s="6" t="s">
        <v>21</v>
      </c>
      <c r="E407" s="8">
        <v>2164627734956</v>
      </c>
      <c r="F407" s="8">
        <v>1249872501928</v>
      </c>
      <c r="G407" s="8">
        <v>1768485485381</v>
      </c>
      <c r="H407" s="8">
        <v>86010614388</v>
      </c>
      <c r="I407" s="8">
        <v>154002999579</v>
      </c>
      <c r="J407" s="8"/>
      <c r="K407" s="8">
        <v>1769078860381</v>
      </c>
      <c r="L407" s="8">
        <v>517566308267</v>
      </c>
      <c r="M407" s="8">
        <v>458849123530</v>
      </c>
      <c r="N407" s="8">
        <v>433839549500</v>
      </c>
      <c r="O407" s="8">
        <v>424141959570</v>
      </c>
      <c r="P407" s="8">
        <v>456297126180</v>
      </c>
      <c r="Q407" s="18">
        <f>(Table1[[#This Row],[A. TÀI SẢN NGẮN HẠN]]-Table1[[#This Row],[I. Nợ ngắn hạn]])/Table1[[#This Row],[TỔNG CỘNG TÀI SẢN]]</f>
        <v>-0.2395852991616324</v>
      </c>
      <c r="R407" s="18">
        <f>Table1[[#This Row],[- LNST chưa phân phối kỳ này]]/Table1[[#This Row],[TỔNG CỘNG TÀI SẢN]]</f>
        <v>3.9734598702140494E-2</v>
      </c>
      <c r="S407" s="21">
        <f>Table1[[#This Row],[5. Lợi nhuận gộp về bán hàng và cung cấp dịch vụ]]/Table1[[#This Row],[TỔNG CỘNG TÀI SẢN]]</f>
        <v>7.1145258416514923E-2</v>
      </c>
      <c r="T40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0.25057217607559451</v>
      </c>
      <c r="U407" s="23">
        <f>Table1[[#This Row],[1. Doanh thu bán hàng và cung cấp dịch vụ ]]/Table1[[#This Row],[TỔNG CỘNG TÀI SẢN]]</f>
        <v>0.23910176327733346</v>
      </c>
      <c r="V407" s="23">
        <f>1.2*Table1[[#This Row],[X1]] + 1.4*Table1[[#This Row],[X2]] + 3.3*Table1[[#This Row],[x3]] + 0.6*Table1[[#This Row],[x4]] + 1*Table1[[#This Row],[x5]]</f>
        <v>0.39235050088622719</v>
      </c>
      <c r="W407" s="23">
        <f>IF(Table1[[#This Row],[Zscore]]&lt;1.81,1,0)</f>
        <v>1</v>
      </c>
    </row>
    <row r="408" spans="1:23" ht="26.25" x14ac:dyDescent="0.45">
      <c r="A408" s="7">
        <v>402</v>
      </c>
      <c r="B408" s="5" t="s">
        <v>817</v>
      </c>
      <c r="C408" s="6" t="s">
        <v>818</v>
      </c>
      <c r="D408" s="6" t="s">
        <v>21</v>
      </c>
      <c r="E408" s="8">
        <v>37544774178804</v>
      </c>
      <c r="F408" s="8">
        <v>9188856409982</v>
      </c>
      <c r="G408" s="8">
        <v>7407837819047</v>
      </c>
      <c r="H408" s="8">
        <v>23965427086</v>
      </c>
      <c r="I408" s="8">
        <v>1661339129639</v>
      </c>
      <c r="J408" s="8"/>
      <c r="K408" s="8">
        <v>25578307174747</v>
      </c>
      <c r="L408" s="8">
        <v>3068908653925</v>
      </c>
      <c r="M408" s="8">
        <v>7507279187100</v>
      </c>
      <c r="N408" s="8">
        <v>13071913798900</v>
      </c>
      <c r="O408" s="8">
        <v>8085865674250</v>
      </c>
      <c r="P408" s="8">
        <v>15935945035500</v>
      </c>
      <c r="Q408" s="18">
        <f>(Table1[[#This Row],[A. TÀI SẢN NGẮN HẠN]]-Table1[[#This Row],[I. Nợ ngắn hạn]])/Table1[[#This Row],[TỔNG CỘNG TÀI SẢN]]</f>
        <v>4.7437190125396433E-2</v>
      </c>
      <c r="R408" s="18">
        <f>Table1[[#This Row],[- LNST chưa phân phối kỳ này]]/Table1[[#This Row],[TỔNG CỘNG TÀI SẢN]]</f>
        <v>6.3831592039591343E-4</v>
      </c>
      <c r="S408" s="21">
        <f>Table1[[#This Row],[5. Lợi nhuận gộp về bán hàng và cung cấp dịch vụ]]/Table1[[#This Row],[TỔNG CỘNG TÀI SẢN]]</f>
        <v>4.4249543804072561E-2</v>
      </c>
      <c r="T40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0.43592606999989197</v>
      </c>
      <c r="U408" s="23">
        <f>Table1[[#This Row],[1. Doanh thu bán hàng và cung cấp dịch vụ ]]/Table1[[#This Row],[TỔNG CỘNG TÀI SẢN]]</f>
        <v>8.1739968372417607E-2</v>
      </c>
      <c r="V408" s="23">
        <f>1.2*Table1[[#This Row],[X1]] + 1.4*Table1[[#This Row],[X2]] + 3.3*Table1[[#This Row],[x3]] + 0.6*Table1[[#This Row],[x4]] + 1*Table1[[#This Row],[x5]]</f>
        <v>0.54713737536482221</v>
      </c>
      <c r="W408" s="23">
        <f>IF(Table1[[#This Row],[Zscore]]&lt;1.81,1,0)</f>
        <v>1</v>
      </c>
    </row>
    <row r="409" spans="1:23" ht="26.25" hidden="1" x14ac:dyDescent="0.45">
      <c r="A409" s="7">
        <v>403</v>
      </c>
      <c r="B409" s="5" t="s">
        <v>819</v>
      </c>
      <c r="C409" s="6" t="s">
        <v>820</v>
      </c>
      <c r="D409" s="6" t="s">
        <v>18</v>
      </c>
      <c r="E409" s="6"/>
      <c r="F409" s="6"/>
      <c r="G409" s="6"/>
      <c r="H409" s="6"/>
      <c r="I409" s="6"/>
      <c r="J409" s="8"/>
      <c r="K409" s="6"/>
      <c r="L409" s="6"/>
      <c r="M409" s="8"/>
      <c r="N409" s="8"/>
      <c r="O409" s="8"/>
      <c r="P409" s="8"/>
      <c r="Q409" s="18" t="e">
        <f>(Table1[[#This Row],[A. TÀI SẢN NGẮN HẠN]]-Table1[[#This Row],[I. Nợ ngắn hạn]])/Table1[[#This Row],[TỔNG CỘNG TÀI SẢN]]</f>
        <v>#DIV/0!</v>
      </c>
      <c r="R409" s="18" t="e">
        <f>Table1[[#This Row],[- LNST chưa phân phối kỳ này]]/Table1[[#This Row],[TỔNG CỘNG TÀI SẢN]]</f>
        <v>#DIV/0!</v>
      </c>
      <c r="S409" s="21" t="e">
        <f>Table1[[#This Row],[5. Lợi nhuận gộp về bán hàng và cung cấp dịch vụ]]/Table1[[#This Row],[TỔNG CỘNG TÀI SẢN]]</f>
        <v>#DIV/0!</v>
      </c>
      <c r="T40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409" s="23" t="e">
        <f>Table1[[#This Row],[1. Doanh thu bán hàng và cung cấp dịch vụ ]]/Table1[[#This Row],[TỔNG CỘNG TÀI SẢN]]</f>
        <v>#DIV/0!</v>
      </c>
      <c r="V409" s="23" t="e">
        <f>1.2*Table1[[#This Row],[X1]] + 1.4*Table1[[#This Row],[X2]] + 3.3*Table1[[#This Row],[x3]] + 0.6*Table1[[#This Row],[x4]] + 1*Table1[[#This Row],[x5]]</f>
        <v>#DIV/0!</v>
      </c>
      <c r="W409" s="23" t="e">
        <f>IF(Table1[[#This Row],[Zscore]]&lt;1.81,1,0)</f>
        <v>#DIV/0!</v>
      </c>
    </row>
    <row r="410" spans="1:23" ht="26.25" hidden="1" x14ac:dyDescent="0.45">
      <c r="A410" s="7">
        <v>404</v>
      </c>
      <c r="B410" s="5" t="s">
        <v>821</v>
      </c>
      <c r="C410" s="6" t="s">
        <v>822</v>
      </c>
      <c r="D410" s="6" t="s">
        <v>13</v>
      </c>
      <c r="E410" s="6"/>
      <c r="F410" s="6"/>
      <c r="G410" s="6"/>
      <c r="H410" s="6"/>
      <c r="I410" s="6"/>
      <c r="J410" s="8"/>
      <c r="K410" s="6"/>
      <c r="L410" s="6"/>
      <c r="M410" s="8"/>
      <c r="N410" s="8"/>
      <c r="O410" s="8"/>
      <c r="P410" s="8"/>
      <c r="Q410" s="18" t="e">
        <f>(Table1[[#This Row],[A. TÀI SẢN NGẮN HẠN]]-Table1[[#This Row],[I. Nợ ngắn hạn]])/Table1[[#This Row],[TỔNG CỘNG TÀI SẢN]]</f>
        <v>#DIV/0!</v>
      </c>
      <c r="R410" s="18" t="e">
        <f>Table1[[#This Row],[- LNST chưa phân phối kỳ này]]/Table1[[#This Row],[TỔNG CỘNG TÀI SẢN]]</f>
        <v>#DIV/0!</v>
      </c>
      <c r="S410" s="21" t="e">
        <f>Table1[[#This Row],[5. Lợi nhuận gộp về bán hàng và cung cấp dịch vụ]]/Table1[[#This Row],[TỔNG CỘNG TÀI SẢN]]</f>
        <v>#DIV/0!</v>
      </c>
      <c r="T41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410" s="23" t="e">
        <f>Table1[[#This Row],[1. Doanh thu bán hàng và cung cấp dịch vụ ]]/Table1[[#This Row],[TỔNG CỘNG TÀI SẢN]]</f>
        <v>#DIV/0!</v>
      </c>
      <c r="V410" s="23" t="e">
        <f>1.2*Table1[[#This Row],[X1]] + 1.4*Table1[[#This Row],[X2]] + 3.3*Table1[[#This Row],[x3]] + 0.6*Table1[[#This Row],[x4]] + 1*Table1[[#This Row],[x5]]</f>
        <v>#DIV/0!</v>
      </c>
      <c r="W410" s="23" t="e">
        <f>IF(Table1[[#This Row],[Zscore]]&lt;1.81,1,0)</f>
        <v>#DIV/0!</v>
      </c>
    </row>
    <row r="411" spans="1:23" hidden="1" x14ac:dyDescent="0.45">
      <c r="A411" s="7">
        <v>405</v>
      </c>
      <c r="B411" s="5" t="s">
        <v>823</v>
      </c>
      <c r="C411" s="6" t="s">
        <v>824</v>
      </c>
      <c r="D411" s="6" t="s">
        <v>13</v>
      </c>
      <c r="E411" s="6"/>
      <c r="F411" s="6"/>
      <c r="G411" s="6"/>
      <c r="H411" s="6"/>
      <c r="I411" s="6"/>
      <c r="J411" s="8"/>
      <c r="K411" s="6"/>
      <c r="L411" s="6"/>
      <c r="M411" s="8"/>
      <c r="N411" s="8"/>
      <c r="O411" s="8"/>
      <c r="P411" s="8"/>
      <c r="Q411" s="18" t="e">
        <f>(Table1[[#This Row],[A. TÀI SẢN NGẮN HẠN]]-Table1[[#This Row],[I. Nợ ngắn hạn]])/Table1[[#This Row],[TỔNG CỘNG TÀI SẢN]]</f>
        <v>#DIV/0!</v>
      </c>
      <c r="R411" s="18" t="e">
        <f>Table1[[#This Row],[- LNST chưa phân phối kỳ này]]/Table1[[#This Row],[TỔNG CỘNG TÀI SẢN]]</f>
        <v>#DIV/0!</v>
      </c>
      <c r="S411" s="21" t="e">
        <f>Table1[[#This Row],[5. Lợi nhuận gộp về bán hàng và cung cấp dịch vụ]]/Table1[[#This Row],[TỔNG CỘNG TÀI SẢN]]</f>
        <v>#DIV/0!</v>
      </c>
      <c r="T41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411" s="23" t="e">
        <f>Table1[[#This Row],[1. Doanh thu bán hàng và cung cấp dịch vụ ]]/Table1[[#This Row],[TỔNG CỘNG TÀI SẢN]]</f>
        <v>#DIV/0!</v>
      </c>
      <c r="V411" s="23" t="e">
        <f>1.2*Table1[[#This Row],[X1]] + 1.4*Table1[[#This Row],[X2]] + 3.3*Table1[[#This Row],[x3]] + 0.6*Table1[[#This Row],[x4]] + 1*Table1[[#This Row],[x5]]</f>
        <v>#DIV/0!</v>
      </c>
      <c r="W411" s="23" t="e">
        <f>IF(Table1[[#This Row],[Zscore]]&lt;1.81,1,0)</f>
        <v>#DIV/0!</v>
      </c>
    </row>
    <row r="412" spans="1:23" x14ac:dyDescent="0.45">
      <c r="A412" s="7">
        <v>406</v>
      </c>
      <c r="B412" s="5" t="s">
        <v>825</v>
      </c>
      <c r="C412" s="6" t="s">
        <v>826</v>
      </c>
      <c r="D412" s="6" t="s">
        <v>36</v>
      </c>
      <c r="E412" s="8">
        <v>239331248771</v>
      </c>
      <c r="F412" s="8">
        <v>222541371281</v>
      </c>
      <c r="G412" s="8">
        <v>128522950850</v>
      </c>
      <c r="H412" s="8">
        <v>3739452127</v>
      </c>
      <c r="I412" s="8">
        <v>25410517332</v>
      </c>
      <c r="J412" s="8"/>
      <c r="K412" s="8">
        <v>139628873267</v>
      </c>
      <c r="L412" s="8">
        <v>319321691023</v>
      </c>
      <c r="M412" s="8">
        <v>206400000000</v>
      </c>
      <c r="N412" s="8">
        <v>172800000000</v>
      </c>
      <c r="O412" s="8">
        <v>192000000000</v>
      </c>
      <c r="P412" s="8">
        <v>192000000000</v>
      </c>
      <c r="Q412" s="18">
        <f>(Table1[[#This Row],[A. TÀI SẢN NGẮN HẠN]]-Table1[[#This Row],[I. Nợ ngắn hạn]])/Table1[[#This Row],[TỔNG CỘNG TÀI SẢN]]</f>
        <v>0.39283804732477667</v>
      </c>
      <c r="R412" s="18">
        <f>Table1[[#This Row],[- LNST chưa phân phối kỳ này]]/Table1[[#This Row],[TỔNG CỘNG TÀI SẢN]]</f>
        <v>1.5624587872259132E-2</v>
      </c>
      <c r="S412" s="21">
        <f>Table1[[#This Row],[5. Lợi nhuận gộp về bán hàng và cung cấp dịch vụ]]/Table1[[#This Row],[TỔNG CỘNG TÀI SẢN]]</f>
        <v>0.10617300274195961</v>
      </c>
      <c r="T41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1.3664795506524641</v>
      </c>
      <c r="U412" s="23">
        <f>Table1[[#This Row],[1. Doanh thu bán hàng và cung cấp dịch vụ ]]/Table1[[#This Row],[TỔNG CỘNG TÀI SẢN]]</f>
        <v>1.3342248146147329</v>
      </c>
      <c r="V412" s="23">
        <f>1.2*Table1[[#This Row],[X1]] + 1.4*Table1[[#This Row],[X2]] + 3.3*Table1[[#This Row],[x3]] + 0.6*Table1[[#This Row],[x4]] + 1*Table1[[#This Row],[x5]]</f>
        <v>2.997763533865573</v>
      </c>
      <c r="W412" s="23">
        <f>IF(Table1[[#This Row],[Zscore]]&lt;1.81,1,0)</f>
        <v>0</v>
      </c>
    </row>
    <row r="413" spans="1:23" hidden="1" x14ac:dyDescent="0.45">
      <c r="A413" s="7">
        <v>407</v>
      </c>
      <c r="B413" s="5" t="s">
        <v>827</v>
      </c>
      <c r="C413" s="6" t="s">
        <v>828</v>
      </c>
      <c r="D413" s="6" t="s">
        <v>13</v>
      </c>
      <c r="E413" s="6"/>
      <c r="F413" s="6"/>
      <c r="G413" s="6"/>
      <c r="H413" s="6"/>
      <c r="I413" s="6"/>
      <c r="J413" s="8"/>
      <c r="K413" s="6"/>
      <c r="L413" s="6"/>
      <c r="M413" s="8"/>
      <c r="N413" s="8"/>
      <c r="O413" s="8"/>
      <c r="P413" s="8"/>
      <c r="Q413" s="18" t="e">
        <f>(Table1[[#This Row],[A. TÀI SẢN NGẮN HẠN]]-Table1[[#This Row],[I. Nợ ngắn hạn]])/Table1[[#This Row],[TỔNG CỘNG TÀI SẢN]]</f>
        <v>#DIV/0!</v>
      </c>
      <c r="R413" s="18" t="e">
        <f>Table1[[#This Row],[- LNST chưa phân phối kỳ này]]/Table1[[#This Row],[TỔNG CỘNG TÀI SẢN]]</f>
        <v>#DIV/0!</v>
      </c>
      <c r="S413" s="21" t="e">
        <f>Table1[[#This Row],[5. Lợi nhuận gộp về bán hàng và cung cấp dịch vụ]]/Table1[[#This Row],[TỔNG CỘNG TÀI SẢN]]</f>
        <v>#DIV/0!</v>
      </c>
      <c r="T41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413" s="23" t="e">
        <f>Table1[[#This Row],[1. Doanh thu bán hàng và cung cấp dịch vụ ]]/Table1[[#This Row],[TỔNG CỘNG TÀI SẢN]]</f>
        <v>#DIV/0!</v>
      </c>
      <c r="V413" s="23" t="e">
        <f>1.2*Table1[[#This Row],[X1]] + 1.4*Table1[[#This Row],[X2]] + 3.3*Table1[[#This Row],[x3]] + 0.6*Table1[[#This Row],[x4]] + 1*Table1[[#This Row],[x5]]</f>
        <v>#DIV/0!</v>
      </c>
      <c r="W413" s="23" t="e">
        <f>IF(Table1[[#This Row],[Zscore]]&lt;1.81,1,0)</f>
        <v>#DIV/0!</v>
      </c>
    </row>
    <row r="414" spans="1:23" hidden="1" x14ac:dyDescent="0.45">
      <c r="A414" s="7">
        <v>408</v>
      </c>
      <c r="B414" s="5" t="s">
        <v>829</v>
      </c>
      <c r="C414" s="6" t="s">
        <v>830</v>
      </c>
      <c r="D414" s="6" t="s">
        <v>18</v>
      </c>
      <c r="E414" s="6"/>
      <c r="F414" s="6"/>
      <c r="G414" s="6"/>
      <c r="H414" s="6"/>
      <c r="I414" s="6"/>
      <c r="J414" s="8"/>
      <c r="K414" s="6"/>
      <c r="L414" s="6"/>
      <c r="M414" s="8"/>
      <c r="N414" s="8"/>
      <c r="O414" s="8"/>
      <c r="P414" s="8"/>
      <c r="Q414" s="18" t="e">
        <f>(Table1[[#This Row],[A. TÀI SẢN NGẮN HẠN]]-Table1[[#This Row],[I. Nợ ngắn hạn]])/Table1[[#This Row],[TỔNG CỘNG TÀI SẢN]]</f>
        <v>#DIV/0!</v>
      </c>
      <c r="R414" s="18" t="e">
        <f>Table1[[#This Row],[- LNST chưa phân phối kỳ này]]/Table1[[#This Row],[TỔNG CỘNG TÀI SẢN]]</f>
        <v>#DIV/0!</v>
      </c>
      <c r="S414" s="21" t="e">
        <f>Table1[[#This Row],[5. Lợi nhuận gộp về bán hàng và cung cấp dịch vụ]]/Table1[[#This Row],[TỔNG CỘNG TÀI SẢN]]</f>
        <v>#DIV/0!</v>
      </c>
      <c r="T41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414" s="23" t="e">
        <f>Table1[[#This Row],[1. Doanh thu bán hàng và cung cấp dịch vụ ]]/Table1[[#This Row],[TỔNG CỘNG TÀI SẢN]]</f>
        <v>#DIV/0!</v>
      </c>
      <c r="V414" s="23" t="e">
        <f>1.2*Table1[[#This Row],[X1]] + 1.4*Table1[[#This Row],[X2]] + 3.3*Table1[[#This Row],[x3]] + 0.6*Table1[[#This Row],[x4]] + 1*Table1[[#This Row],[x5]]</f>
        <v>#DIV/0!</v>
      </c>
      <c r="W414" s="23" t="e">
        <f>IF(Table1[[#This Row],[Zscore]]&lt;1.81,1,0)</f>
        <v>#DIV/0!</v>
      </c>
    </row>
    <row r="415" spans="1:23" hidden="1" x14ac:dyDescent="0.45">
      <c r="A415" s="7">
        <v>409</v>
      </c>
      <c r="B415" s="5" t="s">
        <v>831</v>
      </c>
      <c r="C415" s="6" t="s">
        <v>832</v>
      </c>
      <c r="D415" s="6" t="s">
        <v>18</v>
      </c>
      <c r="E415" s="6"/>
      <c r="F415" s="6"/>
      <c r="G415" s="6"/>
      <c r="H415" s="6"/>
      <c r="I415" s="6"/>
      <c r="J415" s="8"/>
      <c r="K415" s="6"/>
      <c r="L415" s="6"/>
      <c r="M415" s="8"/>
      <c r="N415" s="8"/>
      <c r="O415" s="8"/>
      <c r="P415" s="8"/>
      <c r="Q415" s="18" t="e">
        <f>(Table1[[#This Row],[A. TÀI SẢN NGẮN HẠN]]-Table1[[#This Row],[I. Nợ ngắn hạn]])/Table1[[#This Row],[TỔNG CỘNG TÀI SẢN]]</f>
        <v>#DIV/0!</v>
      </c>
      <c r="R415" s="18" t="e">
        <f>Table1[[#This Row],[- LNST chưa phân phối kỳ này]]/Table1[[#This Row],[TỔNG CỘNG TÀI SẢN]]</f>
        <v>#DIV/0!</v>
      </c>
      <c r="S415" s="21" t="e">
        <f>Table1[[#This Row],[5. Lợi nhuận gộp về bán hàng và cung cấp dịch vụ]]/Table1[[#This Row],[TỔNG CỘNG TÀI SẢN]]</f>
        <v>#DIV/0!</v>
      </c>
      <c r="T41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415" s="23" t="e">
        <f>Table1[[#This Row],[1. Doanh thu bán hàng và cung cấp dịch vụ ]]/Table1[[#This Row],[TỔNG CỘNG TÀI SẢN]]</f>
        <v>#DIV/0!</v>
      </c>
      <c r="V415" s="23" t="e">
        <f>1.2*Table1[[#This Row],[X1]] + 1.4*Table1[[#This Row],[X2]] + 3.3*Table1[[#This Row],[x3]] + 0.6*Table1[[#This Row],[x4]] + 1*Table1[[#This Row],[x5]]</f>
        <v>#DIV/0!</v>
      </c>
      <c r="W415" s="23" t="e">
        <f>IF(Table1[[#This Row],[Zscore]]&lt;1.81,1,0)</f>
        <v>#DIV/0!</v>
      </c>
    </row>
    <row r="416" spans="1:23" x14ac:dyDescent="0.45">
      <c r="A416" s="7">
        <v>410</v>
      </c>
      <c r="B416" s="5" t="s">
        <v>833</v>
      </c>
      <c r="C416" s="6" t="s">
        <v>834</v>
      </c>
      <c r="D416" s="6" t="s">
        <v>18</v>
      </c>
      <c r="E416" s="8">
        <v>1547144030024</v>
      </c>
      <c r="F416" s="8">
        <v>1191703739615</v>
      </c>
      <c r="G416" s="8">
        <v>890574129024</v>
      </c>
      <c r="H416" s="8">
        <v>121501250185</v>
      </c>
      <c r="I416" s="8">
        <v>105506928095</v>
      </c>
      <c r="J416" s="8"/>
      <c r="K416" s="8">
        <v>965990777862</v>
      </c>
      <c r="L416" s="8">
        <v>1292401424111</v>
      </c>
      <c r="M416" s="8">
        <v>784300000000</v>
      </c>
      <c r="N416" s="8">
        <v>697500000000</v>
      </c>
      <c r="O416" s="8">
        <v>775000000000</v>
      </c>
      <c r="P416" s="8">
        <v>784300000000</v>
      </c>
      <c r="Q416" s="18">
        <f>(Table1[[#This Row],[A. TÀI SẢN NGẮN HẠN]]-Table1[[#This Row],[I. Nợ ngắn hạn]])/Table1[[#This Row],[TỔNG CỘNG TÀI SẢN]]</f>
        <v>0.1946357965045625</v>
      </c>
      <c r="R416" s="18">
        <f>Table1[[#This Row],[- LNST chưa phân phối kỳ này]]/Table1[[#This Row],[TỔNG CỘNG TÀI SẢN]]</f>
        <v>7.8532604480990184E-2</v>
      </c>
      <c r="S416" s="21">
        <f>Table1[[#This Row],[5. Lợi nhuận gộp về bán hàng và cung cấp dịch vụ]]/Table1[[#This Row],[TỔNG CỘNG TÀI SẢN]]</f>
        <v>6.8194638668103408E-2</v>
      </c>
      <c r="T41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0.78704167516246382</v>
      </c>
      <c r="U416" s="23">
        <f>Table1[[#This Row],[1. Doanh thu bán hàng và cung cấp dịch vụ ]]/Table1[[#This Row],[TỔNG CỘNG TÀI SẢN]]</f>
        <v>0.83534654759386018</v>
      </c>
      <c r="V416" s="23">
        <f>1.2*Table1[[#This Row],[X1]] + 1.4*Table1[[#This Row],[X2]] + 3.3*Table1[[#This Row],[x3]] + 0.6*Table1[[#This Row],[x4]] + 1*Table1[[#This Row],[x5]]</f>
        <v>1.8761224623749408</v>
      </c>
      <c r="W416" s="23">
        <f>IF(Table1[[#This Row],[Zscore]]&lt;1.81,1,0)</f>
        <v>0</v>
      </c>
    </row>
    <row r="417" spans="1:23" x14ac:dyDescent="0.45">
      <c r="A417" s="7">
        <v>411</v>
      </c>
      <c r="B417" s="5" t="s">
        <v>835</v>
      </c>
      <c r="C417" s="6" t="s">
        <v>836</v>
      </c>
      <c r="D417" s="6" t="s">
        <v>21</v>
      </c>
      <c r="E417" s="8">
        <v>4919176704363</v>
      </c>
      <c r="F417" s="8">
        <v>3985945481928</v>
      </c>
      <c r="G417" s="8">
        <v>1763791190245</v>
      </c>
      <c r="H417" s="8">
        <v>80069474832</v>
      </c>
      <c r="I417" s="8">
        <v>293209805789</v>
      </c>
      <c r="J417" s="8"/>
      <c r="K417" s="8">
        <v>2885668867331</v>
      </c>
      <c r="L417" s="8">
        <v>863990133658</v>
      </c>
      <c r="M417" s="8">
        <v>1800401922900</v>
      </c>
      <c r="N417" s="8">
        <v>1618075260000</v>
      </c>
      <c r="O417" s="8">
        <v>1537482412000</v>
      </c>
      <c r="P417" s="8">
        <v>2168220848400</v>
      </c>
      <c r="Q417" s="18">
        <f>(Table1[[#This Row],[A. TÀI SẢN NGẮN HẠN]]-Table1[[#This Row],[I. Nợ ngắn hạn]])/Table1[[#This Row],[TỔNG CỘNG TÀI SẢN]]</f>
        <v>0.4517329677773293</v>
      </c>
      <c r="R417" s="18">
        <f>Table1[[#This Row],[- LNST chưa phân phối kỳ này]]/Table1[[#This Row],[TỔNG CỘNG TÀI SẢN]]</f>
        <v>1.6277007240049626E-2</v>
      </c>
      <c r="S417" s="21">
        <f>Table1[[#This Row],[5. Lợi nhuận gộp về bán hàng và cung cấp dịch vụ]]/Table1[[#This Row],[TỔNG CỘNG TÀI SẢN]]</f>
        <v>5.9605463151779316E-2</v>
      </c>
      <c r="T41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0.6172035644797722</v>
      </c>
      <c r="U417" s="23">
        <f>Table1[[#This Row],[1. Doanh thu bán hàng và cung cấp dịch vụ ]]/Table1[[#This Row],[TỔNG CỘNG TÀI SẢN]]</f>
        <v>0.17563714125001753</v>
      </c>
      <c r="V417" s="23">
        <f>1.2*Table1[[#This Row],[X1]] + 1.4*Table1[[#This Row],[X2]] + 3.3*Table1[[#This Row],[x3]] + 0.6*Table1[[#This Row],[x4]] + 1*Table1[[#This Row],[x5]]</f>
        <v>1.307524679807617</v>
      </c>
      <c r="W417" s="23">
        <f>IF(Table1[[#This Row],[Zscore]]&lt;1.81,1,0)</f>
        <v>1</v>
      </c>
    </row>
    <row r="418" spans="1:23" hidden="1" x14ac:dyDescent="0.45">
      <c r="A418" s="7">
        <v>412</v>
      </c>
      <c r="B418" s="5" t="s">
        <v>837</v>
      </c>
      <c r="C418" s="6" t="s">
        <v>838</v>
      </c>
      <c r="D418" s="6" t="s">
        <v>13</v>
      </c>
      <c r="E418" s="6"/>
      <c r="F418" s="6"/>
      <c r="G418" s="6"/>
      <c r="H418" s="6"/>
      <c r="I418" s="6"/>
      <c r="J418" s="8"/>
      <c r="K418" s="6"/>
      <c r="L418" s="6"/>
      <c r="M418" s="8"/>
      <c r="N418" s="8"/>
      <c r="O418" s="8"/>
      <c r="P418" s="8"/>
      <c r="Q418" s="18" t="e">
        <f>(Table1[[#This Row],[A. TÀI SẢN NGẮN HẠN]]-Table1[[#This Row],[I. Nợ ngắn hạn]])/Table1[[#This Row],[TỔNG CỘNG TÀI SẢN]]</f>
        <v>#DIV/0!</v>
      </c>
      <c r="R418" s="18" t="e">
        <f>Table1[[#This Row],[- LNST chưa phân phối kỳ này]]/Table1[[#This Row],[TỔNG CỘNG TÀI SẢN]]</f>
        <v>#DIV/0!</v>
      </c>
      <c r="S418" s="21" t="e">
        <f>Table1[[#This Row],[5. Lợi nhuận gộp về bán hàng và cung cấp dịch vụ]]/Table1[[#This Row],[TỔNG CỘNG TÀI SẢN]]</f>
        <v>#DIV/0!</v>
      </c>
      <c r="T41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418" s="23" t="e">
        <f>Table1[[#This Row],[1. Doanh thu bán hàng và cung cấp dịch vụ ]]/Table1[[#This Row],[TỔNG CỘNG TÀI SẢN]]</f>
        <v>#DIV/0!</v>
      </c>
      <c r="V418" s="23" t="e">
        <f>1.2*Table1[[#This Row],[X1]] + 1.4*Table1[[#This Row],[X2]] + 3.3*Table1[[#This Row],[x3]] + 0.6*Table1[[#This Row],[x4]] + 1*Table1[[#This Row],[x5]]</f>
        <v>#DIV/0!</v>
      </c>
      <c r="W418" s="23" t="e">
        <f>IF(Table1[[#This Row],[Zscore]]&lt;1.81,1,0)</f>
        <v>#DIV/0!</v>
      </c>
    </row>
    <row r="419" spans="1:23" hidden="1" x14ac:dyDescent="0.45">
      <c r="A419" s="7">
        <v>413</v>
      </c>
      <c r="B419" s="5" t="s">
        <v>839</v>
      </c>
      <c r="C419" s="6" t="s">
        <v>840</v>
      </c>
      <c r="D419" s="6" t="s">
        <v>13</v>
      </c>
      <c r="E419" s="6"/>
      <c r="F419" s="6"/>
      <c r="G419" s="6"/>
      <c r="H419" s="6"/>
      <c r="I419" s="6"/>
      <c r="J419" s="8"/>
      <c r="K419" s="6"/>
      <c r="L419" s="6"/>
      <c r="M419" s="8"/>
      <c r="N419" s="8"/>
      <c r="O419" s="8"/>
      <c r="P419" s="8"/>
      <c r="Q419" s="18" t="e">
        <f>(Table1[[#This Row],[A. TÀI SẢN NGẮN HẠN]]-Table1[[#This Row],[I. Nợ ngắn hạn]])/Table1[[#This Row],[TỔNG CỘNG TÀI SẢN]]</f>
        <v>#DIV/0!</v>
      </c>
      <c r="R419" s="18" t="e">
        <f>Table1[[#This Row],[- LNST chưa phân phối kỳ này]]/Table1[[#This Row],[TỔNG CỘNG TÀI SẢN]]</f>
        <v>#DIV/0!</v>
      </c>
      <c r="S419" s="21" t="e">
        <f>Table1[[#This Row],[5. Lợi nhuận gộp về bán hàng và cung cấp dịch vụ]]/Table1[[#This Row],[TỔNG CỘNG TÀI SẢN]]</f>
        <v>#DIV/0!</v>
      </c>
      <c r="T41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419" s="23" t="e">
        <f>Table1[[#This Row],[1. Doanh thu bán hàng và cung cấp dịch vụ ]]/Table1[[#This Row],[TỔNG CỘNG TÀI SẢN]]</f>
        <v>#DIV/0!</v>
      </c>
      <c r="V419" s="23" t="e">
        <f>1.2*Table1[[#This Row],[X1]] + 1.4*Table1[[#This Row],[X2]] + 3.3*Table1[[#This Row],[x3]] + 0.6*Table1[[#This Row],[x4]] + 1*Table1[[#This Row],[x5]]</f>
        <v>#DIV/0!</v>
      </c>
      <c r="W419" s="23" t="e">
        <f>IF(Table1[[#This Row],[Zscore]]&lt;1.81,1,0)</f>
        <v>#DIV/0!</v>
      </c>
    </row>
    <row r="420" spans="1:23" hidden="1" x14ac:dyDescent="0.45">
      <c r="A420" s="7">
        <v>414</v>
      </c>
      <c r="B420" s="5" t="s">
        <v>841</v>
      </c>
      <c r="C420" s="6" t="s">
        <v>842</v>
      </c>
      <c r="D420" s="6" t="s">
        <v>13</v>
      </c>
      <c r="E420" s="6"/>
      <c r="F420" s="6"/>
      <c r="G420" s="6"/>
      <c r="H420" s="6"/>
      <c r="I420" s="6"/>
      <c r="J420" s="8"/>
      <c r="K420" s="6"/>
      <c r="L420" s="6"/>
      <c r="M420" s="8"/>
      <c r="N420" s="8"/>
      <c r="O420" s="8"/>
      <c r="P420" s="8"/>
      <c r="Q420" s="18" t="e">
        <f>(Table1[[#This Row],[A. TÀI SẢN NGẮN HẠN]]-Table1[[#This Row],[I. Nợ ngắn hạn]])/Table1[[#This Row],[TỔNG CỘNG TÀI SẢN]]</f>
        <v>#DIV/0!</v>
      </c>
      <c r="R420" s="18" t="e">
        <f>Table1[[#This Row],[- LNST chưa phân phối kỳ này]]/Table1[[#This Row],[TỔNG CỘNG TÀI SẢN]]</f>
        <v>#DIV/0!</v>
      </c>
      <c r="S420" s="21" t="e">
        <f>Table1[[#This Row],[5. Lợi nhuận gộp về bán hàng và cung cấp dịch vụ]]/Table1[[#This Row],[TỔNG CỘNG TÀI SẢN]]</f>
        <v>#DIV/0!</v>
      </c>
      <c r="T42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420" s="23" t="e">
        <f>Table1[[#This Row],[1. Doanh thu bán hàng và cung cấp dịch vụ ]]/Table1[[#This Row],[TỔNG CỘNG TÀI SẢN]]</f>
        <v>#DIV/0!</v>
      </c>
      <c r="V420" s="23" t="e">
        <f>1.2*Table1[[#This Row],[X1]] + 1.4*Table1[[#This Row],[X2]] + 3.3*Table1[[#This Row],[x3]] + 0.6*Table1[[#This Row],[x4]] + 1*Table1[[#This Row],[x5]]</f>
        <v>#DIV/0!</v>
      </c>
      <c r="W420" s="23" t="e">
        <f>IF(Table1[[#This Row],[Zscore]]&lt;1.81,1,0)</f>
        <v>#DIV/0!</v>
      </c>
    </row>
    <row r="421" spans="1:23" x14ac:dyDescent="0.45">
      <c r="A421" s="7">
        <v>415</v>
      </c>
      <c r="B421" s="5" t="s">
        <v>843</v>
      </c>
      <c r="C421" s="6" t="s">
        <v>844</v>
      </c>
      <c r="D421" s="6" t="s">
        <v>36</v>
      </c>
      <c r="E421" s="8">
        <v>162896634717</v>
      </c>
      <c r="F421" s="8">
        <v>114880952695</v>
      </c>
      <c r="G421" s="8">
        <v>79643653445</v>
      </c>
      <c r="H421" s="8">
        <v>3061518084</v>
      </c>
      <c r="I421" s="8">
        <v>45714424363</v>
      </c>
      <c r="J421" s="8"/>
      <c r="K421" s="8">
        <v>85480745415</v>
      </c>
      <c r="L421" s="8">
        <v>259367321527</v>
      </c>
      <c r="M421" s="8">
        <v>52156000000</v>
      </c>
      <c r="N421" s="8">
        <v>61784800000</v>
      </c>
      <c r="O421" s="8">
        <v>48545200000</v>
      </c>
      <c r="P421" s="8">
        <v>47341600000</v>
      </c>
      <c r="Q421" s="18">
        <f>(Table1[[#This Row],[A. TÀI SẢN NGẮN HẠN]]-Table1[[#This Row],[I. Nợ ngắn hạn]])/Table1[[#This Row],[TỔNG CỘNG TÀI SẢN]]</f>
        <v>0.21631692582979195</v>
      </c>
      <c r="R421" s="18">
        <f>Table1[[#This Row],[- LNST chưa phân phối kỳ này]]/Table1[[#This Row],[TỔNG CỘNG TÀI SẢN]]</f>
        <v>1.8794237765063528E-2</v>
      </c>
      <c r="S421" s="21">
        <f>Table1[[#This Row],[5. Lợi nhuận gộp về bán hàng và cung cấp dịch vụ]]/Table1[[#This Row],[TỔNG CỘNG TÀI SẢN]]</f>
        <v>0.28063455357699424</v>
      </c>
      <c r="T42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0.61366919234650197</v>
      </c>
      <c r="U421" s="23">
        <f>Table1[[#This Row],[1. Doanh thu bán hàng và cung cấp dịch vụ ]]/Table1[[#This Row],[TỔNG CỘNG TÀI SẢN]]</f>
        <v>1.5922202565915393</v>
      </c>
      <c r="V421" s="23">
        <f>1.2*Table1[[#This Row],[X1]] + 1.4*Table1[[#This Row],[X2]] + 3.3*Table1[[#This Row],[x3]] + 0.6*Table1[[#This Row],[x4]] + 1*Table1[[#This Row],[x5]]</f>
        <v>3.1724080426703609</v>
      </c>
      <c r="W421" s="23">
        <f>IF(Table1[[#This Row],[Zscore]]&lt;1.81,1,0)</f>
        <v>0</v>
      </c>
    </row>
    <row r="422" spans="1:23" x14ac:dyDescent="0.45">
      <c r="A422" s="7">
        <v>416</v>
      </c>
      <c r="B422" s="5" t="s">
        <v>845</v>
      </c>
      <c r="C422" s="6" t="s">
        <v>846</v>
      </c>
      <c r="D422" s="6" t="s">
        <v>21</v>
      </c>
      <c r="E422" s="8">
        <v>1922712312660</v>
      </c>
      <c r="F422" s="8">
        <v>1824744334763</v>
      </c>
      <c r="G422" s="8">
        <v>943655342319</v>
      </c>
      <c r="H422" s="8">
        <v>182048908964</v>
      </c>
      <c r="I422" s="8">
        <v>414813303035</v>
      </c>
      <c r="J422" s="8"/>
      <c r="K422" s="8">
        <v>959669887814</v>
      </c>
      <c r="L422" s="8">
        <v>4136289141326</v>
      </c>
      <c r="M422" s="8">
        <v>1336586733000</v>
      </c>
      <c r="N422" s="8">
        <v>1472866164600</v>
      </c>
      <c r="O422" s="8">
        <v>1349690524500</v>
      </c>
      <c r="P422" s="8">
        <v>1362794316000</v>
      </c>
      <c r="Q422" s="18">
        <f>(Table1[[#This Row],[A. TÀI SẢN NGẮN HẠN]]-Table1[[#This Row],[I. Nợ ngắn hạn]])/Table1[[#This Row],[TỔNG CỘNG TÀI SẢN]]</f>
        <v>0.45825315968619695</v>
      </c>
      <c r="R422" s="18">
        <f>Table1[[#This Row],[- LNST chưa phân phối kỳ này]]/Table1[[#This Row],[TỔNG CỘNG TÀI SẢN]]</f>
        <v>9.468338438637354E-2</v>
      </c>
      <c r="S422" s="21">
        <f>Table1[[#This Row],[5. Lợi nhuận gộp về bán hàng và cung cấp dịch vụ]]/Table1[[#This Row],[TỔNG CỘNG TÀI SẢN]]</f>
        <v>0.21574382204955114</v>
      </c>
      <c r="T42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1.4384992715250859</v>
      </c>
      <c r="U422" s="23">
        <f>Table1[[#This Row],[1. Doanh thu bán hàng và cung cấp dịch vụ ]]/Table1[[#This Row],[TỔNG CỘNG TÀI SẢN]]</f>
        <v>2.1512782302848001</v>
      </c>
      <c r="V422" s="23">
        <f>1.2*Table1[[#This Row],[X1]] + 1.4*Table1[[#This Row],[X2]] + 3.3*Table1[[#This Row],[x3]] + 0.6*Table1[[#This Row],[x4]] + 1*Table1[[#This Row],[x5]]</f>
        <v>4.40879293572773</v>
      </c>
      <c r="W422" s="23">
        <f>IF(Table1[[#This Row],[Zscore]]&lt;1.81,1,0)</f>
        <v>0</v>
      </c>
    </row>
    <row r="423" spans="1:23" ht="26.25" hidden="1" x14ac:dyDescent="0.45">
      <c r="A423" s="7">
        <v>417</v>
      </c>
      <c r="B423" s="5" t="s">
        <v>847</v>
      </c>
      <c r="C423" s="6" t="s">
        <v>848</v>
      </c>
      <c r="D423" s="6" t="s">
        <v>13</v>
      </c>
      <c r="E423" s="6"/>
      <c r="F423" s="6"/>
      <c r="G423" s="6"/>
      <c r="H423" s="6"/>
      <c r="I423" s="6"/>
      <c r="J423" s="8"/>
      <c r="K423" s="6"/>
      <c r="L423" s="6"/>
      <c r="M423" s="8"/>
      <c r="N423" s="8"/>
      <c r="O423" s="8"/>
      <c r="P423" s="8"/>
      <c r="Q423" s="18" t="e">
        <f>(Table1[[#This Row],[A. TÀI SẢN NGẮN HẠN]]-Table1[[#This Row],[I. Nợ ngắn hạn]])/Table1[[#This Row],[TỔNG CỘNG TÀI SẢN]]</f>
        <v>#DIV/0!</v>
      </c>
      <c r="R423" s="18" t="e">
        <f>Table1[[#This Row],[- LNST chưa phân phối kỳ này]]/Table1[[#This Row],[TỔNG CỘNG TÀI SẢN]]</f>
        <v>#DIV/0!</v>
      </c>
      <c r="S423" s="21" t="e">
        <f>Table1[[#This Row],[5. Lợi nhuận gộp về bán hàng và cung cấp dịch vụ]]/Table1[[#This Row],[TỔNG CỘNG TÀI SẢN]]</f>
        <v>#DIV/0!</v>
      </c>
      <c r="T42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423" s="23" t="e">
        <f>Table1[[#This Row],[1. Doanh thu bán hàng và cung cấp dịch vụ ]]/Table1[[#This Row],[TỔNG CỘNG TÀI SẢN]]</f>
        <v>#DIV/0!</v>
      </c>
      <c r="V423" s="23" t="e">
        <f>1.2*Table1[[#This Row],[X1]] + 1.4*Table1[[#This Row],[X2]] + 3.3*Table1[[#This Row],[x3]] + 0.6*Table1[[#This Row],[x4]] + 1*Table1[[#This Row],[x5]]</f>
        <v>#DIV/0!</v>
      </c>
      <c r="W423" s="23" t="e">
        <f>IF(Table1[[#This Row],[Zscore]]&lt;1.81,1,0)</f>
        <v>#DIV/0!</v>
      </c>
    </row>
    <row r="424" spans="1:23" x14ac:dyDescent="0.45">
      <c r="A424" s="7">
        <v>418</v>
      </c>
      <c r="B424" s="5" t="s">
        <v>849</v>
      </c>
      <c r="C424" s="6" t="s">
        <v>850</v>
      </c>
      <c r="D424" s="6" t="s">
        <v>36</v>
      </c>
      <c r="E424" s="8">
        <v>315461836509</v>
      </c>
      <c r="F424" s="8">
        <v>215726799869</v>
      </c>
      <c r="G424" s="8">
        <v>111582568477</v>
      </c>
      <c r="H424" s="8">
        <v>41625678547</v>
      </c>
      <c r="I424" s="8">
        <v>98082314885</v>
      </c>
      <c r="J424" s="8"/>
      <c r="K424" s="8">
        <v>112214536370</v>
      </c>
      <c r="L424" s="8">
        <v>705776673879</v>
      </c>
      <c r="M424" s="8">
        <v>286800000000</v>
      </c>
      <c r="N424" s="8">
        <v>259200000000</v>
      </c>
      <c r="O424" s="8">
        <v>246000000000</v>
      </c>
      <c r="P424" s="8">
        <v>271200000000</v>
      </c>
      <c r="Q424" s="18">
        <f>(Table1[[#This Row],[A. TÀI SẢN NGẮN HẠN]]-Table1[[#This Row],[I. Nợ ngắn hạn]])/Table1[[#This Row],[TỔNG CỘNG TÀI SẢN]]</f>
        <v>0.33013258448151084</v>
      </c>
      <c r="R424" s="18">
        <f>Table1[[#This Row],[- LNST chưa phân phối kỳ này]]/Table1[[#This Row],[TỔNG CỘNG TÀI SẢN]]</f>
        <v>0.13195155080450574</v>
      </c>
      <c r="S424" s="21">
        <f>Table1[[#This Row],[5. Lợi nhuận gộp về bán hàng và cung cấp dịch vụ]]/Table1[[#This Row],[TỔNG CỘNG TÀI SẢN]]</f>
        <v>0.31091657859603489</v>
      </c>
      <c r="T42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2.3686770769482974</v>
      </c>
      <c r="U424" s="23">
        <f>Table1[[#This Row],[1. Doanh thu bán hàng và cung cấp dịch vụ ]]/Table1[[#This Row],[TỔNG CỘNG TÀI SẢN]]</f>
        <v>2.237280685642824</v>
      </c>
      <c r="V424" s="23">
        <f>1.2*Table1[[#This Row],[X1]] + 1.4*Table1[[#This Row],[X2]] + 3.3*Table1[[#This Row],[x3]] + 0.6*Table1[[#This Row],[x4]] + 1*Table1[[#This Row],[x5]]</f>
        <v>5.2654029136828386</v>
      </c>
      <c r="W424" s="23">
        <f>IF(Table1[[#This Row],[Zscore]]&lt;1.81,1,0)</f>
        <v>0</v>
      </c>
    </row>
    <row r="425" spans="1:23" x14ac:dyDescent="0.45">
      <c r="A425" s="7">
        <v>419</v>
      </c>
      <c r="B425" s="5" t="s">
        <v>851</v>
      </c>
      <c r="C425" s="6" t="s">
        <v>852</v>
      </c>
      <c r="D425" s="6" t="s">
        <v>21</v>
      </c>
      <c r="E425" s="8">
        <v>724228430787</v>
      </c>
      <c r="F425" s="8">
        <v>415209621555</v>
      </c>
      <c r="G425" s="8">
        <v>82330212488</v>
      </c>
      <c r="H425" s="8">
        <v>93943768721</v>
      </c>
      <c r="I425" s="8">
        <v>144716097636</v>
      </c>
      <c r="J425" s="8"/>
      <c r="K425" s="8">
        <v>95291712488</v>
      </c>
      <c r="L425" s="8">
        <v>399334902664</v>
      </c>
      <c r="M425" s="8">
        <v>1207000000000</v>
      </c>
      <c r="N425" s="8">
        <v>1037000000000</v>
      </c>
      <c r="O425" s="8">
        <v>1157700000000</v>
      </c>
      <c r="P425" s="8">
        <v>1048900000000</v>
      </c>
      <c r="Q425" s="18">
        <f>(Table1[[#This Row],[A. TÀI SẢN NGẮN HẠN]]-Table1[[#This Row],[I. Nợ ngắn hạn]])/Table1[[#This Row],[TỔNG CỘNG TÀI SẢN]]</f>
        <v>0.45963316947564276</v>
      </c>
      <c r="R425" s="18">
        <f>Table1[[#This Row],[- LNST chưa phân phối kỳ này]]/Table1[[#This Row],[TỔNG CỘNG TÀI SẢN]]</f>
        <v>0.12971565976623395</v>
      </c>
      <c r="S425" s="21">
        <f>Table1[[#This Row],[5. Lợi nhuận gộp về bán hàng và cung cấp dịch vụ]]/Table1[[#This Row],[TỔNG CỘNG TÀI SẢN]]</f>
        <v>0.19982106678515896</v>
      </c>
      <c r="T42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11.676251490811596</v>
      </c>
      <c r="U425" s="23">
        <f>Table1[[#This Row],[1. Doanh thu bán hàng và cung cấp dịch vụ ]]/Table1[[#This Row],[TỔNG CỘNG TÀI SẢN]]</f>
        <v>0.55139357375138287</v>
      </c>
      <c r="V425" s="23">
        <f>1.2*Table1[[#This Row],[X1]] + 1.4*Table1[[#This Row],[X2]] + 3.3*Table1[[#This Row],[x3]] + 0.6*Table1[[#This Row],[x4]] + 1*Table1[[#This Row],[x5]]</f>
        <v>8.9497157156728644</v>
      </c>
      <c r="W425" s="23">
        <f>IF(Table1[[#This Row],[Zscore]]&lt;1.81,1,0)</f>
        <v>0</v>
      </c>
    </row>
    <row r="426" spans="1:23" ht="26.25" x14ac:dyDescent="0.45">
      <c r="A426" s="7">
        <v>420</v>
      </c>
      <c r="B426" s="5" t="s">
        <v>853</v>
      </c>
      <c r="C426" s="6" t="s">
        <v>854</v>
      </c>
      <c r="D426" s="6" t="s">
        <v>36</v>
      </c>
      <c r="E426" s="8">
        <v>1774151525831</v>
      </c>
      <c r="F426" s="8">
        <v>1693487588639</v>
      </c>
      <c r="G426" s="8">
        <v>967250905159</v>
      </c>
      <c r="H426" s="8">
        <v>74063447276</v>
      </c>
      <c r="I426" s="8">
        <v>387839373687</v>
      </c>
      <c r="J426" s="8"/>
      <c r="K426" s="8">
        <v>974515626916</v>
      </c>
      <c r="L426" s="8">
        <v>16361221245223</v>
      </c>
      <c r="M426" s="8">
        <v>911900000000</v>
      </c>
      <c r="N426" s="8">
        <v>717200000000</v>
      </c>
      <c r="O426" s="8">
        <v>880000000000</v>
      </c>
      <c r="P426" s="8">
        <v>746900000000</v>
      </c>
      <c r="Q426" s="18">
        <f>(Table1[[#This Row],[A. TÀI SẢN NGẮN HẠN]]-Table1[[#This Row],[I. Nợ ngắn hạn]])/Table1[[#This Row],[TỔNG CỘNG TÀI SẢN]]</f>
        <v>0.40934309888769838</v>
      </c>
      <c r="R426" s="18">
        <f>Table1[[#This Row],[- LNST chưa phân phối kỳ này]]/Table1[[#This Row],[TỔNG CỘNG TÀI SẢN]]</f>
        <v>4.174584086965695E-2</v>
      </c>
      <c r="S426" s="21">
        <f>Table1[[#This Row],[5. Lợi nhuận gộp về bán hàng và cung cấp dịch vụ]]/Table1[[#This Row],[TỔNG CỘNG TÀI SẢN]]</f>
        <v>0.2186055520287867</v>
      </c>
      <c r="T42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0.83528675940890185</v>
      </c>
      <c r="U426" s="23">
        <f>Table1[[#This Row],[1. Doanh thu bán hàng và cung cấp dịch vụ ]]/Table1[[#This Row],[TỔNG CỘNG TÀI SẢN]]</f>
        <v>9.2219976743866443</v>
      </c>
      <c r="V426" s="23">
        <f>1.2*Table1[[#This Row],[X1]] + 1.4*Table1[[#This Row],[X2]] + 3.3*Table1[[#This Row],[x3]] + 0.6*Table1[[#This Row],[x4]] + 1*Table1[[#This Row],[x5]]</f>
        <v>10.99422394760974</v>
      </c>
      <c r="W426" s="23">
        <f>IF(Table1[[#This Row],[Zscore]]&lt;1.81,1,0)</f>
        <v>0</v>
      </c>
    </row>
    <row r="427" spans="1:23" hidden="1" x14ac:dyDescent="0.45">
      <c r="A427" s="7">
        <v>421</v>
      </c>
      <c r="B427" s="5" t="s">
        <v>855</v>
      </c>
      <c r="C427" s="6" t="s">
        <v>856</v>
      </c>
      <c r="D427" s="6" t="s">
        <v>13</v>
      </c>
      <c r="E427" s="6"/>
      <c r="F427" s="6"/>
      <c r="G427" s="6"/>
      <c r="H427" s="6"/>
      <c r="I427" s="6"/>
      <c r="J427" s="8"/>
      <c r="K427" s="6"/>
      <c r="L427" s="6"/>
      <c r="M427" s="8"/>
      <c r="N427" s="8"/>
      <c r="O427" s="8"/>
      <c r="P427" s="8"/>
      <c r="Q427" s="18" t="e">
        <f>(Table1[[#This Row],[A. TÀI SẢN NGẮN HẠN]]-Table1[[#This Row],[I. Nợ ngắn hạn]])/Table1[[#This Row],[TỔNG CỘNG TÀI SẢN]]</f>
        <v>#DIV/0!</v>
      </c>
      <c r="R427" s="18" t="e">
        <f>Table1[[#This Row],[- LNST chưa phân phối kỳ này]]/Table1[[#This Row],[TỔNG CỘNG TÀI SẢN]]</f>
        <v>#DIV/0!</v>
      </c>
      <c r="S427" s="21" t="e">
        <f>Table1[[#This Row],[5. Lợi nhuận gộp về bán hàng và cung cấp dịch vụ]]/Table1[[#This Row],[TỔNG CỘNG TÀI SẢN]]</f>
        <v>#DIV/0!</v>
      </c>
      <c r="T42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427" s="23" t="e">
        <f>Table1[[#This Row],[1. Doanh thu bán hàng và cung cấp dịch vụ ]]/Table1[[#This Row],[TỔNG CỘNG TÀI SẢN]]</f>
        <v>#DIV/0!</v>
      </c>
      <c r="V427" s="23" t="e">
        <f>1.2*Table1[[#This Row],[X1]] + 1.4*Table1[[#This Row],[X2]] + 3.3*Table1[[#This Row],[x3]] + 0.6*Table1[[#This Row],[x4]] + 1*Table1[[#This Row],[x5]]</f>
        <v>#DIV/0!</v>
      </c>
      <c r="W427" s="23" t="e">
        <f>IF(Table1[[#This Row],[Zscore]]&lt;1.81,1,0)</f>
        <v>#DIV/0!</v>
      </c>
    </row>
    <row r="428" spans="1:23" x14ac:dyDescent="0.45">
      <c r="A428" s="7">
        <v>422</v>
      </c>
      <c r="B428" s="5" t="s">
        <v>857</v>
      </c>
      <c r="C428" s="6" t="s">
        <v>858</v>
      </c>
      <c r="D428" s="6" t="s">
        <v>21</v>
      </c>
      <c r="E428" s="8">
        <v>535394921716</v>
      </c>
      <c r="F428" s="8">
        <v>239713018501</v>
      </c>
      <c r="G428" s="8">
        <v>194541905988</v>
      </c>
      <c r="H428" s="8">
        <v>56732922996</v>
      </c>
      <c r="I428" s="8">
        <v>201330692483</v>
      </c>
      <c r="J428" s="8"/>
      <c r="K428" s="8">
        <v>270514114448</v>
      </c>
      <c r="L428" s="8">
        <v>1276460010123</v>
      </c>
      <c r="M428" s="8">
        <v>598000000000</v>
      </c>
      <c r="N428" s="8">
        <v>556400000000</v>
      </c>
      <c r="O428" s="8">
        <v>528450000000</v>
      </c>
      <c r="P428" s="8">
        <v>652600000000</v>
      </c>
      <c r="Q428" s="18">
        <f>(Table1[[#This Row],[A. TÀI SẢN NGẮN HẠN]]-Table1[[#This Row],[I. Nợ ngắn hạn]])/Table1[[#This Row],[TỔNG CỘNG TÀI SẢN]]</f>
        <v>8.4369706698415411E-2</v>
      </c>
      <c r="R428" s="18">
        <f>Table1[[#This Row],[- LNST chưa phân phối kỳ này]]/Table1[[#This Row],[TỔNG CỘNG TÀI SẢN]]</f>
        <v>0.10596462666131516</v>
      </c>
      <c r="S428" s="21">
        <f>Table1[[#This Row],[5. Lợi nhuận gộp về bán hàng và cung cấp dịch vụ]]/Table1[[#This Row],[TỔNG CỘNG TÀI SẢN]]</f>
        <v>0.37604146830103063</v>
      </c>
      <c r="T42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2.1583439414664403</v>
      </c>
      <c r="U428" s="23">
        <f>Table1[[#This Row],[1. Doanh thu bán hàng và cung cấp dịch vụ ]]/Table1[[#This Row],[TỔNG CỘNG TÀI SẢN]]</f>
        <v>2.384146652029878</v>
      </c>
      <c r="V428" s="23">
        <f>1.2*Table1[[#This Row],[X1]] + 1.4*Table1[[#This Row],[X2]] + 3.3*Table1[[#This Row],[x3]] + 0.6*Table1[[#This Row],[x4]] + 1*Table1[[#This Row],[x5]]</f>
        <v>5.1696839876670833</v>
      </c>
      <c r="W428" s="23">
        <f>IF(Table1[[#This Row],[Zscore]]&lt;1.81,1,0)</f>
        <v>0</v>
      </c>
    </row>
    <row r="429" spans="1:23" ht="26.25" x14ac:dyDescent="0.45">
      <c r="A429" s="7">
        <v>423</v>
      </c>
      <c r="B429" s="5" t="s">
        <v>859</v>
      </c>
      <c r="C429" s="6" t="s">
        <v>860</v>
      </c>
      <c r="D429" s="6" t="s">
        <v>18</v>
      </c>
      <c r="E429" s="8">
        <v>2517193487509</v>
      </c>
      <c r="F429" s="8">
        <v>328142655854</v>
      </c>
      <c r="G429" s="8">
        <v>134621156492</v>
      </c>
      <c r="H429" s="8">
        <v>199111780622</v>
      </c>
      <c r="I429" s="8">
        <v>162708325829</v>
      </c>
      <c r="J429" s="8"/>
      <c r="K429" s="8">
        <v>622550017842</v>
      </c>
      <c r="L429" s="8">
        <v>514049353260</v>
      </c>
      <c r="M429" s="8">
        <v>1515500000000</v>
      </c>
      <c r="N429" s="8">
        <v>1350960000000</v>
      </c>
      <c r="O429" s="8">
        <v>1454880000000</v>
      </c>
      <c r="P429" s="8">
        <v>1394260000000</v>
      </c>
      <c r="Q429" s="18">
        <f>(Table1[[#This Row],[A. TÀI SẢN NGẮN HẠN]]-Table1[[#This Row],[I. Nợ ngắn hạn]])/Table1[[#This Row],[TỔNG CỘNG TÀI SẢN]]</f>
        <v>7.6879866534816016E-2</v>
      </c>
      <c r="R429" s="18">
        <f>Table1[[#This Row],[- LNST chưa phân phối kỳ này]]/Table1[[#This Row],[TỔNG CỘNG TÀI SẢN]]</f>
        <v>7.9100705452340839E-2</v>
      </c>
      <c r="S429" s="21">
        <f>Table1[[#This Row],[5. Lợi nhuận gộp về bán hàng và cung cấp dịch vụ]]/Table1[[#This Row],[TỔNG CỘNG TÀI SẢN]]</f>
        <v>6.4638783882289164E-2</v>
      </c>
      <c r="T42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2.2952372645544563</v>
      </c>
      <c r="U429" s="23">
        <f>Table1[[#This Row],[1. Doanh thu bán hàng và cung cấp dịch vụ ]]/Table1[[#This Row],[TỔNG CỘNG TÀI SẢN]]</f>
        <v>0.20421527221123564</v>
      </c>
      <c r="V429" s="23">
        <f>1.2*Table1[[#This Row],[X1]] + 1.4*Table1[[#This Row],[X2]] + 3.3*Table1[[#This Row],[x3]] + 0.6*Table1[[#This Row],[x4]] + 1*Table1[[#This Row],[x5]]</f>
        <v>1.9976624452305198</v>
      </c>
      <c r="W429" s="23">
        <f>IF(Table1[[#This Row],[Zscore]]&lt;1.81,1,0)</f>
        <v>0</v>
      </c>
    </row>
    <row r="430" spans="1:23" x14ac:dyDescent="0.45">
      <c r="A430" s="7">
        <v>424</v>
      </c>
      <c r="B430" s="5" t="s">
        <v>861</v>
      </c>
      <c r="C430" s="6" t="s">
        <v>862</v>
      </c>
      <c r="D430" s="6" t="s">
        <v>36</v>
      </c>
      <c r="E430" s="8">
        <v>159276424394</v>
      </c>
      <c r="F430" s="8">
        <v>88609384680</v>
      </c>
      <c r="G430" s="8">
        <v>89413736426</v>
      </c>
      <c r="H430" s="8">
        <v>8783909794</v>
      </c>
      <c r="I430" s="8">
        <v>9216714976</v>
      </c>
      <c r="J430" s="8"/>
      <c r="K430" s="8">
        <v>89798188278</v>
      </c>
      <c r="L430" s="8">
        <v>124219712431</v>
      </c>
      <c r="M430" s="8">
        <v>31471245000</v>
      </c>
      <c r="N430" s="8">
        <v>47507627100</v>
      </c>
      <c r="O430" s="8">
        <v>39225030000</v>
      </c>
      <c r="P430" s="8">
        <v>43931784200</v>
      </c>
      <c r="Q430" s="18">
        <f>(Table1[[#This Row],[A. TÀI SẢN NGẮN HẠN]]-Table1[[#This Row],[I. Nợ ngắn hạn]])/Table1[[#This Row],[TỔNG CỘNG TÀI SẢN]]</f>
        <v>-5.0500364323240055E-3</v>
      </c>
      <c r="R430" s="18">
        <f>Table1[[#This Row],[- LNST chưa phân phối kỳ này]]/Table1[[#This Row],[TỔNG CỘNG TÀI SẢN]]</f>
        <v>5.5148838426152494E-2</v>
      </c>
      <c r="S430" s="21">
        <f>Table1[[#This Row],[5. Lợi nhuận gộp về bán hàng và cung cấp dịch vụ]]/Table1[[#This Row],[TỔNG CỘNG TÀI SẢN]]</f>
        <v>5.7866159483846352E-2</v>
      </c>
      <c r="T43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0.45138907980541698</v>
      </c>
      <c r="U430" s="23">
        <f>Table1[[#This Row],[1. Doanh thu bán hàng và cung cấp dịch vụ ]]/Table1[[#This Row],[TỔNG CỘNG TÀI SẢN]]</f>
        <v>0.77990018236295489</v>
      </c>
      <c r="V430" s="23">
        <f>1.2*Table1[[#This Row],[X1]] + 1.4*Table1[[#This Row],[X2]] + 3.3*Table1[[#This Row],[x3]] + 0.6*Table1[[#This Row],[x4]] + 1*Table1[[#This Row],[x5]]</f>
        <v>1.3128402866207227</v>
      </c>
      <c r="W430" s="23">
        <f>IF(Table1[[#This Row],[Zscore]]&lt;1.81,1,0)</f>
        <v>1</v>
      </c>
    </row>
    <row r="431" spans="1:23" hidden="1" x14ac:dyDescent="0.45">
      <c r="A431" s="7">
        <v>425</v>
      </c>
      <c r="B431" s="5" t="s">
        <v>863</v>
      </c>
      <c r="C431" s="6" t="s">
        <v>864</v>
      </c>
      <c r="D431" s="6" t="s">
        <v>13</v>
      </c>
      <c r="E431" s="6"/>
      <c r="F431" s="6"/>
      <c r="G431" s="6"/>
      <c r="H431" s="6"/>
      <c r="I431" s="6"/>
      <c r="J431" s="8"/>
      <c r="K431" s="6"/>
      <c r="L431" s="6"/>
      <c r="M431" s="8"/>
      <c r="N431" s="8"/>
      <c r="O431" s="8"/>
      <c r="P431" s="8"/>
      <c r="Q431" s="18" t="e">
        <f>(Table1[[#This Row],[A. TÀI SẢN NGẮN HẠN]]-Table1[[#This Row],[I. Nợ ngắn hạn]])/Table1[[#This Row],[TỔNG CỘNG TÀI SẢN]]</f>
        <v>#DIV/0!</v>
      </c>
      <c r="R431" s="18" t="e">
        <f>Table1[[#This Row],[- LNST chưa phân phối kỳ này]]/Table1[[#This Row],[TỔNG CỘNG TÀI SẢN]]</f>
        <v>#DIV/0!</v>
      </c>
      <c r="S431" s="21" t="e">
        <f>Table1[[#This Row],[5. Lợi nhuận gộp về bán hàng và cung cấp dịch vụ]]/Table1[[#This Row],[TỔNG CỘNG TÀI SẢN]]</f>
        <v>#DIV/0!</v>
      </c>
      <c r="T43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431" s="23" t="e">
        <f>Table1[[#This Row],[1. Doanh thu bán hàng và cung cấp dịch vụ ]]/Table1[[#This Row],[TỔNG CỘNG TÀI SẢN]]</f>
        <v>#DIV/0!</v>
      </c>
      <c r="V431" s="23" t="e">
        <f>1.2*Table1[[#This Row],[X1]] + 1.4*Table1[[#This Row],[X2]] + 3.3*Table1[[#This Row],[x3]] + 0.6*Table1[[#This Row],[x4]] + 1*Table1[[#This Row],[x5]]</f>
        <v>#DIV/0!</v>
      </c>
      <c r="W431" s="23" t="e">
        <f>IF(Table1[[#This Row],[Zscore]]&lt;1.81,1,0)</f>
        <v>#DIV/0!</v>
      </c>
    </row>
    <row r="432" spans="1:23" ht="26.25" x14ac:dyDescent="0.45">
      <c r="A432" s="7">
        <v>426</v>
      </c>
      <c r="B432" s="5" t="s">
        <v>865</v>
      </c>
      <c r="C432" s="6" t="s">
        <v>866</v>
      </c>
      <c r="D432" s="6" t="s">
        <v>18</v>
      </c>
      <c r="E432" s="8">
        <v>436845172021</v>
      </c>
      <c r="F432" s="8">
        <v>373075751311</v>
      </c>
      <c r="G432" s="8">
        <v>197412602878</v>
      </c>
      <c r="H432" s="8">
        <v>31235849638</v>
      </c>
      <c r="I432" s="8">
        <v>83631970662</v>
      </c>
      <c r="J432" s="8"/>
      <c r="K432" s="8">
        <v>200529992878</v>
      </c>
      <c r="L432" s="8">
        <v>884114345984</v>
      </c>
      <c r="M432" s="8">
        <v>261426000000</v>
      </c>
      <c r="N432" s="8">
        <v>264792000000</v>
      </c>
      <c r="O432" s="8">
        <v>274890000000</v>
      </c>
      <c r="P432" s="8">
        <v>254694000000</v>
      </c>
      <c r="Q432" s="18">
        <f>(Table1[[#This Row],[A. TÀI SẢN NGẮN HẠN]]-Table1[[#This Row],[I. Nợ ngắn hạn]])/Table1[[#This Row],[TỔNG CỘNG TÀI SẢN]]</f>
        <v>0.40211763728627298</v>
      </c>
      <c r="R432" s="18">
        <f>Table1[[#This Row],[- LNST chưa phân phối kỳ này]]/Table1[[#This Row],[TỔNG CỘNG TÀI SẢN]]</f>
        <v>7.1503250209889999E-2</v>
      </c>
      <c r="S432" s="21">
        <f>Table1[[#This Row],[5. Lợi nhuận gộp về bán hàng và cung cấp dịch vụ]]/Table1[[#This Row],[TỔNG CỘNG TÀI SẢN]]</f>
        <v>0.19144533582708256</v>
      </c>
      <c r="T43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1.3162644460900383</v>
      </c>
      <c r="U432" s="23">
        <f>Table1[[#This Row],[1. Doanh thu bán hàng và cung cấp dịch vụ ]]/Table1[[#This Row],[TỔNG CỘNG TÀI SẢN]]</f>
        <v>2.0238620056020649</v>
      </c>
      <c r="V432" s="23">
        <f>1.2*Table1[[#This Row],[X1]] + 1.4*Table1[[#This Row],[X2]] + 3.3*Table1[[#This Row],[x3]] + 0.6*Table1[[#This Row],[x4]] + 1*Table1[[#This Row],[x5]]</f>
        <v>4.0280359965228341</v>
      </c>
      <c r="W432" s="23">
        <f>IF(Table1[[#This Row],[Zscore]]&lt;1.81,1,0)</f>
        <v>0</v>
      </c>
    </row>
    <row r="433" spans="1:23" x14ac:dyDescent="0.45">
      <c r="A433" s="7">
        <v>427</v>
      </c>
      <c r="B433" s="5" t="s">
        <v>867</v>
      </c>
      <c r="C433" s="6" t="s">
        <v>868</v>
      </c>
      <c r="D433" s="6" t="s">
        <v>18</v>
      </c>
      <c r="E433" s="8">
        <v>1981899153783</v>
      </c>
      <c r="F433" s="8">
        <v>1066853732646</v>
      </c>
      <c r="G433" s="8">
        <v>581342388877</v>
      </c>
      <c r="H433" s="8">
        <v>284532406639</v>
      </c>
      <c r="I433" s="8">
        <v>1143396469880</v>
      </c>
      <c r="J433" s="8"/>
      <c r="K433" s="8">
        <v>587487514627</v>
      </c>
      <c r="L433" s="8">
        <v>4087670176457</v>
      </c>
      <c r="M433" s="8">
        <v>2647890000000</v>
      </c>
      <c r="N433" s="8">
        <v>3013200000000</v>
      </c>
      <c r="O433" s="8">
        <v>2486700000000</v>
      </c>
      <c r="P433" s="8">
        <v>2673000000000</v>
      </c>
      <c r="Q433" s="18">
        <f>(Table1[[#This Row],[A. TÀI SẢN NGẮN HẠN]]-Table1[[#This Row],[I. Nợ ngắn hạn]])/Table1[[#This Row],[TỔNG CỘNG TÀI SẢN]]</f>
        <v>0.24497277918620025</v>
      </c>
      <c r="R433" s="18">
        <f>Table1[[#This Row],[- LNST chưa phân phối kỳ này]]/Table1[[#This Row],[TỔNG CỘNG TÀI SẢN]]</f>
        <v>0.14356553212906498</v>
      </c>
      <c r="S433" s="21">
        <f>Table1[[#This Row],[5. Lợi nhuận gộp về bán hàng và cung cấp dịch vụ]]/Table1[[#This Row],[TỔNG CỘNG TÀI SẢN]]</f>
        <v>0.57691960143255172</v>
      </c>
      <c r="T43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4.6046893468324157</v>
      </c>
      <c r="U433" s="23">
        <f>Table1[[#This Row],[1. Doanh thu bán hàng và cung cấp dịch vụ ]]/Table1[[#This Row],[TỔNG CỘNG TÀI SẢN]]</f>
        <v>2.0625016003738414</v>
      </c>
      <c r="V433" s="23">
        <f>1.2*Table1[[#This Row],[X1]] + 1.4*Table1[[#This Row],[X2]] + 3.3*Table1[[#This Row],[x3]] + 0.6*Table1[[#This Row],[x4]] + 1*Table1[[#This Row],[x5]]</f>
        <v>7.2241089732048431</v>
      </c>
      <c r="W433" s="23">
        <f>IF(Table1[[#This Row],[Zscore]]&lt;1.81,1,0)</f>
        <v>0</v>
      </c>
    </row>
    <row r="434" spans="1:23" hidden="1" x14ac:dyDescent="0.45">
      <c r="A434" s="7">
        <v>428</v>
      </c>
      <c r="B434" s="5" t="s">
        <v>869</v>
      </c>
      <c r="C434" s="6" t="s">
        <v>870</v>
      </c>
      <c r="D434" s="6" t="s">
        <v>21</v>
      </c>
      <c r="E434" s="6"/>
      <c r="F434" s="6"/>
      <c r="G434" s="6"/>
      <c r="H434" s="6"/>
      <c r="I434" s="6"/>
      <c r="J434" s="8"/>
      <c r="K434" s="6"/>
      <c r="L434" s="6"/>
      <c r="M434" s="8">
        <v>8029430666000</v>
      </c>
      <c r="N434" s="8"/>
      <c r="O434" s="8">
        <v>8726723329100</v>
      </c>
      <c r="P434" s="8">
        <v>8300408194400</v>
      </c>
      <c r="Q434" s="18" t="e">
        <f>(Table1[[#This Row],[A. TÀI SẢN NGẮN HẠN]]-Table1[[#This Row],[I. Nợ ngắn hạn]])/Table1[[#This Row],[TỔNG CỘNG TÀI SẢN]]</f>
        <v>#DIV/0!</v>
      </c>
      <c r="R434" s="18" t="e">
        <f>Table1[[#This Row],[- LNST chưa phân phối kỳ này]]/Table1[[#This Row],[TỔNG CỘNG TÀI SẢN]]</f>
        <v>#DIV/0!</v>
      </c>
      <c r="S434" s="21" t="e">
        <f>Table1[[#This Row],[5. Lợi nhuận gộp về bán hàng và cung cấp dịch vụ]]/Table1[[#This Row],[TỔNG CỘNG TÀI SẢN]]</f>
        <v>#DIV/0!</v>
      </c>
      <c r="T43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434" s="23" t="e">
        <f>Table1[[#This Row],[1. Doanh thu bán hàng và cung cấp dịch vụ ]]/Table1[[#This Row],[TỔNG CỘNG TÀI SẢN]]</f>
        <v>#DIV/0!</v>
      </c>
      <c r="V434" s="23" t="e">
        <f>1.2*Table1[[#This Row],[X1]] + 1.4*Table1[[#This Row],[X2]] + 3.3*Table1[[#This Row],[x3]] + 0.6*Table1[[#This Row],[x4]] + 1*Table1[[#This Row],[x5]]</f>
        <v>#DIV/0!</v>
      </c>
      <c r="W434" s="23" t="e">
        <f>IF(Table1[[#This Row],[Zscore]]&lt;1.81,1,0)</f>
        <v>#DIV/0!</v>
      </c>
    </row>
    <row r="435" spans="1:23" x14ac:dyDescent="0.45">
      <c r="A435" s="7">
        <v>429</v>
      </c>
      <c r="B435" s="5" t="s">
        <v>871</v>
      </c>
      <c r="C435" s="6" t="s">
        <v>872</v>
      </c>
      <c r="D435" s="6" t="s">
        <v>18</v>
      </c>
      <c r="E435" s="8">
        <v>173748519583</v>
      </c>
      <c r="F435" s="8">
        <v>77143606352</v>
      </c>
      <c r="G435" s="8">
        <v>286258665605</v>
      </c>
      <c r="H435" s="8">
        <v>-4534090076</v>
      </c>
      <c r="I435" s="8">
        <v>-2909559487</v>
      </c>
      <c r="J435" s="8"/>
      <c r="K435" s="8">
        <v>305147552212</v>
      </c>
      <c r="L435" s="8">
        <v>48631670116</v>
      </c>
      <c r="M435" s="8">
        <v>12800000000</v>
      </c>
      <c r="N435" s="8">
        <v>12800000000</v>
      </c>
      <c r="O435" s="8">
        <v>12800000000</v>
      </c>
      <c r="P435" s="8">
        <v>9600000000</v>
      </c>
      <c r="Q435" s="18">
        <f>(Table1[[#This Row],[A. TÀI SẢN NGẮN HẠN]]-Table1[[#This Row],[I. Nợ ngắn hạn]])/Table1[[#This Row],[TỔNG CỘNG TÀI SẢN]]</f>
        <v>-1.2035501640812849</v>
      </c>
      <c r="R435" s="18">
        <f>Table1[[#This Row],[- LNST chưa phân phối kỳ này]]/Table1[[#This Row],[TỔNG CỘNG TÀI SẢN]]</f>
        <v>-2.6095704797266236E-2</v>
      </c>
      <c r="S435" s="21">
        <f>Table1[[#This Row],[5. Lợi nhuận gộp về bán hàng và cung cấp dịch vụ]]/Table1[[#This Row],[TỔNG CỘNG TÀI SẢN]]</f>
        <v>-1.674580879297851E-2</v>
      </c>
      <c r="T43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3.9325237620333423E-2</v>
      </c>
      <c r="U435" s="23">
        <f>Table1[[#This Row],[1. Doanh thu bán hàng và cung cấp dịch vụ ]]/Table1[[#This Row],[TỔNG CỘNG TÀI SẢN]]</f>
        <v>0.27989688909417476</v>
      </c>
      <c r="V435" s="23">
        <f>1.2*Table1[[#This Row],[X1]] + 1.4*Table1[[#This Row],[X2]] + 3.3*Table1[[#This Row],[x3]] + 0.6*Table1[[#This Row],[x4]] + 1*Table1[[#This Row],[x5]]</f>
        <v>-1.2325633209641689</v>
      </c>
      <c r="W435" s="23">
        <f>IF(Table1[[#This Row],[Zscore]]&lt;1.81,1,0)</f>
        <v>1</v>
      </c>
    </row>
    <row r="436" spans="1:23" hidden="1" x14ac:dyDescent="0.45">
      <c r="A436" s="7">
        <v>430</v>
      </c>
      <c r="B436" s="5" t="s">
        <v>873</v>
      </c>
      <c r="C436" s="6" t="s">
        <v>874</v>
      </c>
      <c r="D436" s="6" t="s">
        <v>18</v>
      </c>
      <c r="E436" s="8">
        <v>114730497392</v>
      </c>
      <c r="F436" s="8">
        <v>83925557470</v>
      </c>
      <c r="G436" s="8">
        <v>95649844998</v>
      </c>
      <c r="H436" s="8">
        <v>956111177</v>
      </c>
      <c r="I436" s="8">
        <v>20343864025</v>
      </c>
      <c r="J436" s="8"/>
      <c r="K436" s="8">
        <v>96716844998</v>
      </c>
      <c r="L436" s="8">
        <v>182319557166</v>
      </c>
      <c r="M436" s="8"/>
      <c r="N436" s="8"/>
      <c r="O436" s="8"/>
      <c r="P436" s="8"/>
      <c r="Q436" s="18">
        <f>(Table1[[#This Row],[A. TÀI SẢN NGẮN HẠN]]-Table1[[#This Row],[I. Nợ ngắn hạn]])/Table1[[#This Row],[TỔNG CỘNG TÀI SẢN]]</f>
        <v>-0.10218980824201951</v>
      </c>
      <c r="R436" s="18">
        <f>Table1[[#This Row],[- LNST chưa phân phối kỳ này]]/Table1[[#This Row],[TỔNG CỘNG TÀI SẢN]]</f>
        <v>8.333539893348953E-3</v>
      </c>
      <c r="S436" s="21">
        <f>Table1[[#This Row],[5. Lợi nhuận gộp về bán hàng và cung cấp dịch vụ]]/Table1[[#This Row],[TỔNG CỘNG TÀI SẢN]]</f>
        <v>0.17731871200288676</v>
      </c>
      <c r="T43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436" s="23">
        <f>Table1[[#This Row],[1. Doanh thu bán hàng và cung cấp dịch vụ ]]/Table1[[#This Row],[TỔNG CỘNG TÀI SẢN]]</f>
        <v>1.5891115379990752</v>
      </c>
      <c r="V436" s="23" t="e">
        <f>1.2*Table1[[#This Row],[X1]] + 1.4*Table1[[#This Row],[X2]] + 3.3*Table1[[#This Row],[x3]] + 0.6*Table1[[#This Row],[x4]] + 1*Table1[[#This Row],[x5]]</f>
        <v>#DIV/0!</v>
      </c>
      <c r="W436" s="23" t="e">
        <f>IF(Table1[[#This Row],[Zscore]]&lt;1.81,1,0)</f>
        <v>#DIV/0!</v>
      </c>
    </row>
    <row r="437" spans="1:23" x14ac:dyDescent="0.45">
      <c r="A437" s="7">
        <v>431</v>
      </c>
      <c r="B437" s="5" t="s">
        <v>875</v>
      </c>
      <c r="C437" s="6" t="s">
        <v>876</v>
      </c>
      <c r="D437" s="6" t="s">
        <v>18</v>
      </c>
      <c r="E437" s="8">
        <v>3970936990370</v>
      </c>
      <c r="F437" s="8">
        <v>3045580018998</v>
      </c>
      <c r="G437" s="8">
        <v>1954054874048</v>
      </c>
      <c r="H437" s="8">
        <v>131817184388</v>
      </c>
      <c r="I437" s="8">
        <v>550767213376</v>
      </c>
      <c r="J437" s="8"/>
      <c r="K437" s="8">
        <v>2739115930848</v>
      </c>
      <c r="L437" s="8">
        <v>2520083913466</v>
      </c>
      <c r="M437" s="8">
        <v>1138939975200</v>
      </c>
      <c r="N437" s="8">
        <v>2290859953200</v>
      </c>
      <c r="O437" s="8">
        <v>2016739958800</v>
      </c>
      <c r="P437" s="8">
        <v>1566399968000</v>
      </c>
      <c r="Q437" s="18">
        <f>(Table1[[#This Row],[A. TÀI SẢN NGẮN HẠN]]-Table1[[#This Row],[I. Nợ ngắn hạn]])/Table1[[#This Row],[TỔNG CỘNG TÀI SẢN]]</f>
        <v>0.27487848525350056</v>
      </c>
      <c r="R437" s="18">
        <f>Table1[[#This Row],[- LNST chưa phân phối kỳ này]]/Table1[[#This Row],[TỔNG CỘNG TÀI SẢN]]</f>
        <v>3.3195486281366975E-2</v>
      </c>
      <c r="S437" s="21">
        <f>Table1[[#This Row],[5. Lợi nhuận gộp về bán hàng và cung cấp dịch vụ]]/Table1[[#This Row],[TỔNG CỘNG TÀI SẢN]]</f>
        <v>0.13869956000603303</v>
      </c>
      <c r="T43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0.64007329666299217</v>
      </c>
      <c r="U437" s="23">
        <f>Table1[[#This Row],[1. Doanh thu bán hàng và cung cấp dịch vụ ]]/Table1[[#This Row],[TỔNG CỘNG TÀI SẢN]]</f>
        <v>0.63463205776810527</v>
      </c>
      <c r="V437" s="23">
        <f>1.2*Table1[[#This Row],[X1]] + 1.4*Table1[[#This Row],[X2]] + 3.3*Table1[[#This Row],[x3]] + 0.6*Table1[[#This Row],[x4]] + 1*Table1[[#This Row],[x5]]</f>
        <v>1.852712446883924</v>
      </c>
      <c r="W437" s="23">
        <f>IF(Table1[[#This Row],[Zscore]]&lt;1.81,1,0)</f>
        <v>0</v>
      </c>
    </row>
    <row r="438" spans="1:23" ht="26.25" hidden="1" x14ac:dyDescent="0.45">
      <c r="A438" s="7">
        <v>432</v>
      </c>
      <c r="B438" s="5" t="s">
        <v>877</v>
      </c>
      <c r="C438" s="6" t="s">
        <v>878</v>
      </c>
      <c r="D438" s="6" t="s">
        <v>18</v>
      </c>
      <c r="E438" s="6"/>
      <c r="F438" s="6"/>
      <c r="G438" s="6"/>
      <c r="H438" s="6"/>
      <c r="I438" s="6"/>
      <c r="J438" s="8"/>
      <c r="K438" s="6"/>
      <c r="L438" s="6"/>
      <c r="M438" s="8"/>
      <c r="N438" s="8"/>
      <c r="O438" s="8"/>
      <c r="P438" s="8"/>
      <c r="Q438" s="18" t="e">
        <f>(Table1[[#This Row],[A. TÀI SẢN NGẮN HẠN]]-Table1[[#This Row],[I. Nợ ngắn hạn]])/Table1[[#This Row],[TỔNG CỘNG TÀI SẢN]]</f>
        <v>#DIV/0!</v>
      </c>
      <c r="R438" s="18" t="e">
        <f>Table1[[#This Row],[- LNST chưa phân phối kỳ này]]/Table1[[#This Row],[TỔNG CỘNG TÀI SẢN]]</f>
        <v>#DIV/0!</v>
      </c>
      <c r="S438" s="21" t="e">
        <f>Table1[[#This Row],[5. Lợi nhuận gộp về bán hàng và cung cấp dịch vụ]]/Table1[[#This Row],[TỔNG CỘNG TÀI SẢN]]</f>
        <v>#DIV/0!</v>
      </c>
      <c r="T43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438" s="23" t="e">
        <f>Table1[[#This Row],[1. Doanh thu bán hàng và cung cấp dịch vụ ]]/Table1[[#This Row],[TỔNG CỘNG TÀI SẢN]]</f>
        <v>#DIV/0!</v>
      </c>
      <c r="V438" s="23" t="e">
        <f>1.2*Table1[[#This Row],[X1]] + 1.4*Table1[[#This Row],[X2]] + 3.3*Table1[[#This Row],[x3]] + 0.6*Table1[[#This Row],[x4]] + 1*Table1[[#This Row],[x5]]</f>
        <v>#DIV/0!</v>
      </c>
      <c r="W438" s="23" t="e">
        <f>IF(Table1[[#This Row],[Zscore]]&lt;1.81,1,0)</f>
        <v>#DIV/0!</v>
      </c>
    </row>
    <row r="439" spans="1:23" x14ac:dyDescent="0.45">
      <c r="A439" s="7">
        <v>433</v>
      </c>
      <c r="B439" s="5" t="s">
        <v>879</v>
      </c>
      <c r="C439" s="6" t="s">
        <v>880</v>
      </c>
      <c r="D439" s="6" t="s">
        <v>18</v>
      </c>
      <c r="E439" s="8">
        <v>688580659278</v>
      </c>
      <c r="F439" s="8">
        <v>171118538289</v>
      </c>
      <c r="G439" s="8">
        <v>114897470792</v>
      </c>
      <c r="H439" s="8">
        <v>23817492479</v>
      </c>
      <c r="I439" s="8">
        <v>97737316729</v>
      </c>
      <c r="J439" s="8"/>
      <c r="K439" s="8">
        <v>311676132232</v>
      </c>
      <c r="L439" s="8">
        <v>326868523516</v>
      </c>
      <c r="M439" s="8">
        <v>262483861500</v>
      </c>
      <c r="N439" s="8">
        <v>259243320000</v>
      </c>
      <c r="O439" s="8">
        <v>262483861500</v>
      </c>
      <c r="P439" s="8">
        <v>262483861500</v>
      </c>
      <c r="Q439" s="18">
        <f>(Table1[[#This Row],[A. TÀI SẢN NGẮN HẠN]]-Table1[[#This Row],[I. Nợ ngắn hạn]])/Table1[[#This Row],[TỔNG CỘNG TÀI SẢN]]</f>
        <v>8.164775867499631E-2</v>
      </c>
      <c r="R439" s="18">
        <f>Table1[[#This Row],[- LNST chưa phân phối kỳ này]]/Table1[[#This Row],[TỔNG CỘNG TÀI SẢN]]</f>
        <v>3.4589255678446507E-2</v>
      </c>
      <c r="S439" s="21">
        <f>Table1[[#This Row],[5. Lợi nhuận gộp về bán hàng và cung cấp dịch vụ]]/Table1[[#This Row],[TỔNG CỘNG TÀI SẢN]]</f>
        <v>0.14194025843171498</v>
      </c>
      <c r="T43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0.83956934479095724</v>
      </c>
      <c r="U439" s="23">
        <f>Table1[[#This Row],[1. Doanh thu bán hàng và cung cấp dịch vụ ]]/Table1[[#This Row],[TỔNG CỘNG TÀI SẢN]]</f>
        <v>0.47469896098843767</v>
      </c>
      <c r="V439" s="23">
        <f>1.2*Table1[[#This Row],[X1]] + 1.4*Table1[[#This Row],[X2]] + 3.3*Table1[[#This Row],[x3]] + 0.6*Table1[[#This Row],[x4]] + 1*Table1[[#This Row],[x5]]</f>
        <v>1.593245689047492</v>
      </c>
      <c r="W439" s="23">
        <f>IF(Table1[[#This Row],[Zscore]]&lt;1.81,1,0)</f>
        <v>1</v>
      </c>
    </row>
    <row r="440" spans="1:23" x14ac:dyDescent="0.45">
      <c r="A440" s="7">
        <v>434</v>
      </c>
      <c r="B440" s="5" t="s">
        <v>881</v>
      </c>
      <c r="C440" s="6" t="s">
        <v>882</v>
      </c>
      <c r="D440" s="6" t="s">
        <v>36</v>
      </c>
      <c r="E440" s="8">
        <v>641380026362</v>
      </c>
      <c r="F440" s="8">
        <v>563173100871</v>
      </c>
      <c r="G440" s="8">
        <v>169951001555</v>
      </c>
      <c r="H440" s="8">
        <v>31513034840</v>
      </c>
      <c r="I440" s="8">
        <v>38666332138</v>
      </c>
      <c r="J440" s="8"/>
      <c r="K440" s="8">
        <v>333186479944</v>
      </c>
      <c r="L440" s="8">
        <v>340779030440</v>
      </c>
      <c r="M440" s="8">
        <v>239253500000</v>
      </c>
      <c r="N440" s="8">
        <v>206165250000</v>
      </c>
      <c r="O440" s="8">
        <v>198529500000</v>
      </c>
      <c r="P440" s="8">
        <v>213801000000</v>
      </c>
      <c r="Q440" s="18">
        <f>(Table1[[#This Row],[A. TÀI SẢN NGẮN HẠN]]-Table1[[#This Row],[I. Nợ ngắn hạn]])/Table1[[#This Row],[TỔNG CỘNG TÀI SẢN]]</f>
        <v>0.6130875349305972</v>
      </c>
      <c r="R440" s="18">
        <f>Table1[[#This Row],[- LNST chưa phân phối kỳ này]]/Table1[[#This Row],[TỔNG CỘNG TÀI SẢN]]</f>
        <v>4.913317151259991E-2</v>
      </c>
      <c r="S440" s="21">
        <f>Table1[[#This Row],[5. Lợi nhuận gộp về bán hàng và cung cấp dịch vụ]]/Table1[[#This Row],[TỔNG CỘNG TÀI SẢN]]</f>
        <v>6.0286149472600532E-2</v>
      </c>
      <c r="T44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0.64359548003280731</v>
      </c>
      <c r="U440" s="23">
        <f>Table1[[#This Row],[1. Doanh thu bán hàng và cung cấp dịch vụ ]]/Table1[[#This Row],[TỔNG CỘNG TÀI SẢN]]</f>
        <v>0.53132155108251156</v>
      </c>
      <c r="V440" s="23">
        <f>1.2*Table1[[#This Row],[X1]] + 1.4*Table1[[#This Row],[X2]] + 3.3*Table1[[#This Row],[x3]] + 0.6*Table1[[#This Row],[x4]] + 1*Table1[[#This Row],[x5]]</f>
        <v>1.9209146143961342</v>
      </c>
      <c r="W440" s="23">
        <f>IF(Table1[[#This Row],[Zscore]]&lt;1.81,1,0)</f>
        <v>0</v>
      </c>
    </row>
    <row r="441" spans="1:23" ht="26.25" hidden="1" x14ac:dyDescent="0.45">
      <c r="A441" s="7">
        <v>435</v>
      </c>
      <c r="B441" s="5" t="s">
        <v>883</v>
      </c>
      <c r="C441" s="6" t="s">
        <v>884</v>
      </c>
      <c r="D441" s="6" t="s">
        <v>18</v>
      </c>
      <c r="E441" s="6"/>
      <c r="F441" s="6"/>
      <c r="G441" s="6"/>
      <c r="H441" s="6"/>
      <c r="I441" s="6"/>
      <c r="J441" s="8"/>
      <c r="K441" s="6"/>
      <c r="L441" s="6"/>
      <c r="M441" s="8"/>
      <c r="N441" s="8"/>
      <c r="O441" s="8"/>
      <c r="P441" s="8"/>
      <c r="Q441" s="18" t="e">
        <f>(Table1[[#This Row],[A. TÀI SẢN NGẮN HẠN]]-Table1[[#This Row],[I. Nợ ngắn hạn]])/Table1[[#This Row],[TỔNG CỘNG TÀI SẢN]]</f>
        <v>#DIV/0!</v>
      </c>
      <c r="R441" s="18" t="e">
        <f>Table1[[#This Row],[- LNST chưa phân phối kỳ này]]/Table1[[#This Row],[TỔNG CỘNG TÀI SẢN]]</f>
        <v>#DIV/0!</v>
      </c>
      <c r="S441" s="21" t="e">
        <f>Table1[[#This Row],[5. Lợi nhuận gộp về bán hàng và cung cấp dịch vụ]]/Table1[[#This Row],[TỔNG CỘNG TÀI SẢN]]</f>
        <v>#DIV/0!</v>
      </c>
      <c r="T44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441" s="23" t="e">
        <f>Table1[[#This Row],[1. Doanh thu bán hàng và cung cấp dịch vụ ]]/Table1[[#This Row],[TỔNG CỘNG TÀI SẢN]]</f>
        <v>#DIV/0!</v>
      </c>
      <c r="V441" s="23" t="e">
        <f>1.2*Table1[[#This Row],[X1]] + 1.4*Table1[[#This Row],[X2]] + 3.3*Table1[[#This Row],[x3]] + 0.6*Table1[[#This Row],[x4]] + 1*Table1[[#This Row],[x5]]</f>
        <v>#DIV/0!</v>
      </c>
      <c r="W441" s="23" t="e">
        <f>IF(Table1[[#This Row],[Zscore]]&lt;1.81,1,0)</f>
        <v>#DIV/0!</v>
      </c>
    </row>
    <row r="442" spans="1:23" x14ac:dyDescent="0.45">
      <c r="A442" s="7">
        <v>436</v>
      </c>
      <c r="B442" s="5" t="s">
        <v>885</v>
      </c>
      <c r="C442" s="6" t="s">
        <v>886</v>
      </c>
      <c r="D442" s="6" t="s">
        <v>21</v>
      </c>
      <c r="E442" s="8">
        <v>541907573121</v>
      </c>
      <c r="F442" s="8">
        <v>424428255481</v>
      </c>
      <c r="G442" s="8">
        <v>278426879330</v>
      </c>
      <c r="H442" s="8">
        <v>18625046962</v>
      </c>
      <c r="I442" s="8">
        <v>184580365824</v>
      </c>
      <c r="J442" s="8"/>
      <c r="K442" s="8">
        <v>279211357101</v>
      </c>
      <c r="L442" s="8">
        <v>4711550161845</v>
      </c>
      <c r="M442" s="8">
        <v>149059676280</v>
      </c>
      <c r="N442" s="8">
        <v>152327732520</v>
      </c>
      <c r="O442" s="8">
        <v>151601497800</v>
      </c>
      <c r="P442" s="8">
        <v>147244089480</v>
      </c>
      <c r="Q442" s="18">
        <f>(Table1[[#This Row],[A. TÀI SẢN NGẮN HẠN]]-Table1[[#This Row],[I. Nợ ngắn hạn]])/Table1[[#This Row],[TỔNG CỘNG TÀI SẢN]]</f>
        <v>0.26942117695483847</v>
      </c>
      <c r="R442" s="18">
        <f>Table1[[#This Row],[- LNST chưa phân phối kỳ này]]/Table1[[#This Row],[TỔNG CỘNG TÀI SẢN]]</f>
        <v>3.4369416272839758E-2</v>
      </c>
      <c r="S442" s="21">
        <f>Table1[[#This Row],[5. Lợi nhuận gộp về bán hàng và cung cấp dịch vụ]]/Table1[[#This Row],[TỔNG CỘNG TÀI SẢN]]</f>
        <v>0.34061226485717688</v>
      </c>
      <c r="T44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0.53743605051752585</v>
      </c>
      <c r="U442" s="23">
        <f>Table1[[#This Row],[1. Doanh thu bán hàng và cung cấp dịch vụ ]]/Table1[[#This Row],[TỔNG CỘNG TÀI SẢN]]</f>
        <v>8.6943796240193532</v>
      </c>
      <c r="V442" s="23">
        <f>1.2*Table1[[#This Row],[X1]] + 1.4*Table1[[#This Row],[X2]] + 3.3*Table1[[#This Row],[x3]] + 0.6*Table1[[#This Row],[x4]] + 1*Table1[[#This Row],[x5]]</f>
        <v>10.512284323486334</v>
      </c>
      <c r="W442" s="23">
        <f>IF(Table1[[#This Row],[Zscore]]&lt;1.81,1,0)</f>
        <v>0</v>
      </c>
    </row>
    <row r="443" spans="1:23" x14ac:dyDescent="0.45">
      <c r="A443" s="7">
        <v>437</v>
      </c>
      <c r="B443" s="5" t="s">
        <v>887</v>
      </c>
      <c r="C443" s="6" t="s">
        <v>888</v>
      </c>
      <c r="D443" s="6" t="s">
        <v>18</v>
      </c>
      <c r="E443" s="8">
        <v>334080433680</v>
      </c>
      <c r="F443" s="8">
        <v>52573308533</v>
      </c>
      <c r="G443" s="8">
        <v>135210937258</v>
      </c>
      <c r="H443" s="8">
        <v>18790477451</v>
      </c>
      <c r="I443" s="8">
        <v>61207755188</v>
      </c>
      <c r="J443" s="8"/>
      <c r="K443" s="8">
        <v>154415812063</v>
      </c>
      <c r="L443" s="8">
        <v>153212507126</v>
      </c>
      <c r="M443" s="8">
        <v>209721150000</v>
      </c>
      <c r="N443" s="8">
        <v>234576990000</v>
      </c>
      <c r="O443" s="8">
        <v>200400210000</v>
      </c>
      <c r="P443" s="8">
        <v>217488600000</v>
      </c>
      <c r="Q443" s="18">
        <f>(Table1[[#This Row],[A. TÀI SẢN NGẮN HẠN]]-Table1[[#This Row],[I. Nợ ngắn hạn]])/Table1[[#This Row],[TỔNG CỘNG TÀI SẢN]]</f>
        <v>-0.24735848135348959</v>
      </c>
      <c r="R443" s="18">
        <f>Table1[[#This Row],[- LNST chưa phân phối kỳ này]]/Table1[[#This Row],[TỔNG CỘNG TÀI SẢN]]</f>
        <v>5.624536954773747E-2</v>
      </c>
      <c r="S443" s="21">
        <f>Table1[[#This Row],[5. Lợi nhuận gộp về bán hàng và cung cấp dịch vụ]]/Table1[[#This Row],[TỔNG CỘNG TÀI SẢN]]</f>
        <v>0.18321263090381415</v>
      </c>
      <c r="T44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1.3958851403900219</v>
      </c>
      <c r="U443" s="23">
        <f>Table1[[#This Row],[1. Doanh thu bán hàng và cung cấp dịch vụ ]]/Table1[[#This Row],[TỔNG CỘNG TÀI SẢN]]</f>
        <v>0.45860963911689329</v>
      </c>
      <c r="V443" s="23">
        <f>1.2*Table1[[#This Row],[X1]] + 1.4*Table1[[#This Row],[X2]] + 3.3*Table1[[#This Row],[x3]] + 0.6*Table1[[#This Row],[x4]] + 1*Table1[[#This Row],[x5]]</f>
        <v>1.6826557450761379</v>
      </c>
      <c r="W443" s="23">
        <f>IF(Table1[[#This Row],[Zscore]]&lt;1.81,1,0)</f>
        <v>1</v>
      </c>
    </row>
    <row r="444" spans="1:23" x14ac:dyDescent="0.45">
      <c r="A444" s="7">
        <v>438</v>
      </c>
      <c r="B444" s="5" t="s">
        <v>889</v>
      </c>
      <c r="C444" s="6" t="s">
        <v>890</v>
      </c>
      <c r="D444" s="6" t="s">
        <v>21</v>
      </c>
      <c r="E444" s="8">
        <v>4832919229709</v>
      </c>
      <c r="F444" s="8">
        <v>3778046445432</v>
      </c>
      <c r="G444" s="8">
        <v>2043136033289</v>
      </c>
      <c r="H444" s="8">
        <v>94154035214</v>
      </c>
      <c r="I444" s="8">
        <v>603180074971</v>
      </c>
      <c r="J444" s="8"/>
      <c r="K444" s="8">
        <v>3040035765305</v>
      </c>
      <c r="L444" s="8">
        <v>2966786268049</v>
      </c>
      <c r="M444" s="8">
        <v>809077980600</v>
      </c>
      <c r="N444" s="8">
        <v>638906667300</v>
      </c>
      <c r="O444" s="8">
        <v>698008081500</v>
      </c>
      <c r="P444" s="8">
        <v>712273940100</v>
      </c>
      <c r="Q444" s="18">
        <f>(Table1[[#This Row],[A. TÀI SẢN NGẮN HẠN]]-Table1[[#This Row],[I. Nợ ngắn hạn]])/Table1[[#This Row],[TỔNG CỘNG TÀI SẢN]]</f>
        <v>0.35897773781902464</v>
      </c>
      <c r="R444" s="18">
        <f>Table1[[#This Row],[- LNST chưa phân phối kỳ này]]/Table1[[#This Row],[TỔNG CỘNG TÀI SẢN]]</f>
        <v>1.9481814352537648E-2</v>
      </c>
      <c r="S444" s="21">
        <f>Table1[[#This Row],[5. Lợi nhuận gộp về bán hàng và cung cấp dịch vụ]]/Table1[[#This Row],[TỔNG CỘNG TÀI SẢN]]</f>
        <v>0.12480657058432129</v>
      </c>
      <c r="T44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0.23505205942973803</v>
      </c>
      <c r="U444" s="23">
        <f>Table1[[#This Row],[1. Doanh thu bán hàng và cung cấp dịch vụ ]]/Table1[[#This Row],[TỔNG CỘNG TÀI SẢN]]</f>
        <v>0.61387044290157444</v>
      </c>
      <c r="V444" s="23">
        <f>1.2*Table1[[#This Row],[X1]] + 1.4*Table1[[#This Row],[X2]] + 3.3*Table1[[#This Row],[x3]] + 0.6*Table1[[#This Row],[x4]] + 1*Table1[[#This Row],[x5]]</f>
        <v>1.6248111869640596</v>
      </c>
      <c r="W444" s="23">
        <f>IF(Table1[[#This Row],[Zscore]]&lt;1.81,1,0)</f>
        <v>1</v>
      </c>
    </row>
    <row r="445" spans="1:23" hidden="1" x14ac:dyDescent="0.45">
      <c r="A445" s="7">
        <v>439</v>
      </c>
      <c r="B445" s="5" t="s">
        <v>891</v>
      </c>
      <c r="C445" s="6" t="s">
        <v>892</v>
      </c>
      <c r="D445" s="6" t="s">
        <v>18</v>
      </c>
      <c r="E445" s="6"/>
      <c r="F445" s="6"/>
      <c r="G445" s="6"/>
      <c r="H445" s="6"/>
      <c r="I445" s="6"/>
      <c r="J445" s="8"/>
      <c r="K445" s="6"/>
      <c r="L445" s="6"/>
      <c r="M445" s="8"/>
      <c r="N445" s="8"/>
      <c r="O445" s="8"/>
      <c r="P445" s="8"/>
      <c r="Q445" s="18" t="e">
        <f>(Table1[[#This Row],[A. TÀI SẢN NGẮN HẠN]]-Table1[[#This Row],[I. Nợ ngắn hạn]])/Table1[[#This Row],[TỔNG CỘNG TÀI SẢN]]</f>
        <v>#DIV/0!</v>
      </c>
      <c r="R445" s="18" t="e">
        <f>Table1[[#This Row],[- LNST chưa phân phối kỳ này]]/Table1[[#This Row],[TỔNG CỘNG TÀI SẢN]]</f>
        <v>#DIV/0!</v>
      </c>
      <c r="S445" s="21" t="e">
        <f>Table1[[#This Row],[5. Lợi nhuận gộp về bán hàng và cung cấp dịch vụ]]/Table1[[#This Row],[TỔNG CỘNG TÀI SẢN]]</f>
        <v>#DIV/0!</v>
      </c>
      <c r="T44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445" s="23" t="e">
        <f>Table1[[#This Row],[1. Doanh thu bán hàng và cung cấp dịch vụ ]]/Table1[[#This Row],[TỔNG CỘNG TÀI SẢN]]</f>
        <v>#DIV/0!</v>
      </c>
      <c r="V445" s="23" t="e">
        <f>1.2*Table1[[#This Row],[X1]] + 1.4*Table1[[#This Row],[X2]] + 3.3*Table1[[#This Row],[x3]] + 0.6*Table1[[#This Row],[x4]] + 1*Table1[[#This Row],[x5]]</f>
        <v>#DIV/0!</v>
      </c>
      <c r="W445" s="23" t="e">
        <f>IF(Table1[[#This Row],[Zscore]]&lt;1.81,1,0)</f>
        <v>#DIV/0!</v>
      </c>
    </row>
    <row r="446" spans="1:23" hidden="1" x14ac:dyDescent="0.45">
      <c r="A446" s="7">
        <v>440</v>
      </c>
      <c r="B446" s="5" t="s">
        <v>893</v>
      </c>
      <c r="C446" s="6" t="s">
        <v>894</v>
      </c>
      <c r="D446" s="6" t="s">
        <v>18</v>
      </c>
      <c r="E446" s="6"/>
      <c r="F446" s="6"/>
      <c r="G446" s="6"/>
      <c r="H446" s="6"/>
      <c r="I446" s="6"/>
      <c r="J446" s="8"/>
      <c r="K446" s="6"/>
      <c r="L446" s="6"/>
      <c r="M446" s="8"/>
      <c r="N446" s="8"/>
      <c r="O446" s="8"/>
      <c r="P446" s="8"/>
      <c r="Q446" s="18" t="e">
        <f>(Table1[[#This Row],[A. TÀI SẢN NGẮN HẠN]]-Table1[[#This Row],[I. Nợ ngắn hạn]])/Table1[[#This Row],[TỔNG CỘNG TÀI SẢN]]</f>
        <v>#DIV/0!</v>
      </c>
      <c r="R446" s="18" t="e">
        <f>Table1[[#This Row],[- LNST chưa phân phối kỳ này]]/Table1[[#This Row],[TỔNG CỘNG TÀI SẢN]]</f>
        <v>#DIV/0!</v>
      </c>
      <c r="S446" s="21" t="e">
        <f>Table1[[#This Row],[5. Lợi nhuận gộp về bán hàng và cung cấp dịch vụ]]/Table1[[#This Row],[TỔNG CỘNG TÀI SẢN]]</f>
        <v>#DIV/0!</v>
      </c>
      <c r="T44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446" s="23" t="e">
        <f>Table1[[#This Row],[1. Doanh thu bán hàng và cung cấp dịch vụ ]]/Table1[[#This Row],[TỔNG CỘNG TÀI SẢN]]</f>
        <v>#DIV/0!</v>
      </c>
      <c r="V446" s="23" t="e">
        <f>1.2*Table1[[#This Row],[X1]] + 1.4*Table1[[#This Row],[X2]] + 3.3*Table1[[#This Row],[x3]] + 0.6*Table1[[#This Row],[x4]] + 1*Table1[[#This Row],[x5]]</f>
        <v>#DIV/0!</v>
      </c>
      <c r="W446" s="23" t="e">
        <f>IF(Table1[[#This Row],[Zscore]]&lt;1.81,1,0)</f>
        <v>#DIV/0!</v>
      </c>
    </row>
    <row r="447" spans="1:23" x14ac:dyDescent="0.45">
      <c r="A447" s="7">
        <v>441</v>
      </c>
      <c r="B447" s="5" t="s">
        <v>895</v>
      </c>
      <c r="C447" s="6" t="s">
        <v>896</v>
      </c>
      <c r="D447" s="6" t="s">
        <v>21</v>
      </c>
      <c r="E447" s="8">
        <v>1720484866385</v>
      </c>
      <c r="F447" s="8">
        <v>1387012862526</v>
      </c>
      <c r="G447" s="8">
        <v>1038453836055</v>
      </c>
      <c r="H447" s="8">
        <v>54194326791</v>
      </c>
      <c r="I447" s="8">
        <v>361242034418</v>
      </c>
      <c r="J447" s="8"/>
      <c r="K447" s="8">
        <v>1084227776675</v>
      </c>
      <c r="L447" s="8">
        <v>4681429729036</v>
      </c>
      <c r="M447" s="8">
        <v>1103872922100</v>
      </c>
      <c r="N447" s="8">
        <v>858177836100</v>
      </c>
      <c r="O447" s="8">
        <v>1026654466500</v>
      </c>
      <c r="P447" s="8">
        <v>947681046000</v>
      </c>
      <c r="Q447" s="18">
        <f>(Table1[[#This Row],[A. TÀI SẢN NGẮN HẠN]]-Table1[[#This Row],[I. Nợ ngắn hạn]])/Table1[[#This Row],[TỔNG CỘNG TÀI SẢN]]</f>
        <v>0.20259348587202367</v>
      </c>
      <c r="R447" s="18">
        <f>Table1[[#This Row],[- LNST chưa phân phối kỳ này]]/Table1[[#This Row],[TỔNG CỘNG TÀI SẢN]]</f>
        <v>3.1499449864310934E-2</v>
      </c>
      <c r="S447" s="21">
        <f>Table1[[#This Row],[5. Lợi nhuận gộp về bán hàng và cung cấp dịch vụ]]/Table1[[#This Row],[TỔNG CỘNG TÀI SẢN]]</f>
        <v>0.20996524960839927</v>
      </c>
      <c r="T44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0.90764744165928657</v>
      </c>
      <c r="U447" s="23">
        <f>Table1[[#This Row],[1. Doanh thu bán hàng và cung cấp dịch vụ ]]/Table1[[#This Row],[TỔNG CỘNG TÀI SẢN]]</f>
        <v>2.7209944245963609</v>
      </c>
      <c r="V447" s="23">
        <f>1.2*Table1[[#This Row],[X1]] + 1.4*Table1[[#This Row],[X2]] + 3.3*Table1[[#This Row],[x3]] + 0.6*Table1[[#This Row],[x4]] + 1*Table1[[#This Row],[x5]]</f>
        <v>4.2456796261561145</v>
      </c>
      <c r="W447" s="23">
        <f>IF(Table1[[#This Row],[Zscore]]&lt;1.81,1,0)</f>
        <v>0</v>
      </c>
    </row>
    <row r="448" spans="1:23" hidden="1" x14ac:dyDescent="0.45">
      <c r="A448" s="7">
        <v>442</v>
      </c>
      <c r="B448" s="5" t="s">
        <v>897</v>
      </c>
      <c r="C448" s="6" t="s">
        <v>898</v>
      </c>
      <c r="D448" s="6" t="s">
        <v>13</v>
      </c>
      <c r="E448" s="6"/>
      <c r="F448" s="6"/>
      <c r="G448" s="6"/>
      <c r="H448" s="6"/>
      <c r="I448" s="6"/>
      <c r="J448" s="8"/>
      <c r="K448" s="6"/>
      <c r="L448" s="6"/>
      <c r="M448" s="8"/>
      <c r="N448" s="8"/>
      <c r="O448" s="8"/>
      <c r="P448" s="8"/>
      <c r="Q448" s="18" t="e">
        <f>(Table1[[#This Row],[A. TÀI SẢN NGẮN HẠN]]-Table1[[#This Row],[I. Nợ ngắn hạn]])/Table1[[#This Row],[TỔNG CỘNG TÀI SẢN]]</f>
        <v>#DIV/0!</v>
      </c>
      <c r="R448" s="18" t="e">
        <f>Table1[[#This Row],[- LNST chưa phân phối kỳ này]]/Table1[[#This Row],[TỔNG CỘNG TÀI SẢN]]</f>
        <v>#DIV/0!</v>
      </c>
      <c r="S448" s="21" t="e">
        <f>Table1[[#This Row],[5. Lợi nhuận gộp về bán hàng và cung cấp dịch vụ]]/Table1[[#This Row],[TỔNG CỘNG TÀI SẢN]]</f>
        <v>#DIV/0!</v>
      </c>
      <c r="T44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448" s="23" t="e">
        <f>Table1[[#This Row],[1. Doanh thu bán hàng và cung cấp dịch vụ ]]/Table1[[#This Row],[TỔNG CỘNG TÀI SẢN]]</f>
        <v>#DIV/0!</v>
      </c>
      <c r="V448" s="23" t="e">
        <f>1.2*Table1[[#This Row],[X1]] + 1.4*Table1[[#This Row],[X2]] + 3.3*Table1[[#This Row],[x3]] + 0.6*Table1[[#This Row],[x4]] + 1*Table1[[#This Row],[x5]]</f>
        <v>#DIV/0!</v>
      </c>
      <c r="W448" s="23" t="e">
        <f>IF(Table1[[#This Row],[Zscore]]&lt;1.81,1,0)</f>
        <v>#DIV/0!</v>
      </c>
    </row>
    <row r="449" spans="1:23" ht="26.25" hidden="1" x14ac:dyDescent="0.45">
      <c r="A449" s="7">
        <v>443</v>
      </c>
      <c r="B449" s="5" t="s">
        <v>899</v>
      </c>
      <c r="C449" s="6" t="s">
        <v>900</v>
      </c>
      <c r="D449" s="6" t="s">
        <v>18</v>
      </c>
      <c r="E449" s="6"/>
      <c r="F449" s="6"/>
      <c r="G449" s="6"/>
      <c r="H449" s="6"/>
      <c r="I449" s="6"/>
      <c r="J449" s="8"/>
      <c r="K449" s="6"/>
      <c r="L449" s="6"/>
      <c r="M449" s="8"/>
      <c r="N449" s="8"/>
      <c r="O449" s="8"/>
      <c r="P449" s="8"/>
      <c r="Q449" s="18" t="e">
        <f>(Table1[[#This Row],[A. TÀI SẢN NGẮN HẠN]]-Table1[[#This Row],[I. Nợ ngắn hạn]])/Table1[[#This Row],[TỔNG CỘNG TÀI SẢN]]</f>
        <v>#DIV/0!</v>
      </c>
      <c r="R449" s="18" t="e">
        <f>Table1[[#This Row],[- LNST chưa phân phối kỳ này]]/Table1[[#This Row],[TỔNG CỘNG TÀI SẢN]]</f>
        <v>#DIV/0!</v>
      </c>
      <c r="S449" s="21" t="e">
        <f>Table1[[#This Row],[5. Lợi nhuận gộp về bán hàng và cung cấp dịch vụ]]/Table1[[#This Row],[TỔNG CỘNG TÀI SẢN]]</f>
        <v>#DIV/0!</v>
      </c>
      <c r="T44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449" s="23" t="e">
        <f>Table1[[#This Row],[1. Doanh thu bán hàng và cung cấp dịch vụ ]]/Table1[[#This Row],[TỔNG CỘNG TÀI SẢN]]</f>
        <v>#DIV/0!</v>
      </c>
      <c r="V449" s="23" t="e">
        <f>1.2*Table1[[#This Row],[X1]] + 1.4*Table1[[#This Row],[X2]] + 3.3*Table1[[#This Row],[x3]] + 0.6*Table1[[#This Row],[x4]] + 1*Table1[[#This Row],[x5]]</f>
        <v>#DIV/0!</v>
      </c>
      <c r="W449" s="23" t="e">
        <f>IF(Table1[[#This Row],[Zscore]]&lt;1.81,1,0)</f>
        <v>#DIV/0!</v>
      </c>
    </row>
    <row r="450" spans="1:23" ht="26.25" hidden="1" x14ac:dyDescent="0.45">
      <c r="A450" s="7">
        <v>444</v>
      </c>
      <c r="B450" s="5" t="s">
        <v>901</v>
      </c>
      <c r="C450" s="6" t="s">
        <v>902</v>
      </c>
      <c r="D450" s="6" t="s">
        <v>13</v>
      </c>
      <c r="E450" s="6"/>
      <c r="F450" s="6"/>
      <c r="G450" s="6"/>
      <c r="H450" s="6"/>
      <c r="I450" s="6"/>
      <c r="J450" s="8"/>
      <c r="K450" s="6"/>
      <c r="L450" s="6"/>
      <c r="M450" s="8"/>
      <c r="N450" s="8"/>
      <c r="O450" s="8"/>
      <c r="P450" s="8"/>
      <c r="Q450" s="18" t="e">
        <f>(Table1[[#This Row],[A. TÀI SẢN NGẮN HẠN]]-Table1[[#This Row],[I. Nợ ngắn hạn]])/Table1[[#This Row],[TỔNG CỘNG TÀI SẢN]]</f>
        <v>#DIV/0!</v>
      </c>
      <c r="R450" s="18" t="e">
        <f>Table1[[#This Row],[- LNST chưa phân phối kỳ này]]/Table1[[#This Row],[TỔNG CỘNG TÀI SẢN]]</f>
        <v>#DIV/0!</v>
      </c>
      <c r="S450" s="21" t="e">
        <f>Table1[[#This Row],[5. Lợi nhuận gộp về bán hàng và cung cấp dịch vụ]]/Table1[[#This Row],[TỔNG CỘNG TÀI SẢN]]</f>
        <v>#DIV/0!</v>
      </c>
      <c r="T45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450" s="23" t="e">
        <f>Table1[[#This Row],[1. Doanh thu bán hàng và cung cấp dịch vụ ]]/Table1[[#This Row],[TỔNG CỘNG TÀI SẢN]]</f>
        <v>#DIV/0!</v>
      </c>
      <c r="V450" s="23" t="e">
        <f>1.2*Table1[[#This Row],[X1]] + 1.4*Table1[[#This Row],[X2]] + 3.3*Table1[[#This Row],[x3]] + 0.6*Table1[[#This Row],[x4]] + 1*Table1[[#This Row],[x5]]</f>
        <v>#DIV/0!</v>
      </c>
      <c r="W450" s="23" t="e">
        <f>IF(Table1[[#This Row],[Zscore]]&lt;1.81,1,0)</f>
        <v>#DIV/0!</v>
      </c>
    </row>
    <row r="451" spans="1:23" x14ac:dyDescent="0.45">
      <c r="A451" s="7">
        <v>445</v>
      </c>
      <c r="B451" s="5" t="s">
        <v>903</v>
      </c>
      <c r="C451" s="6" t="s">
        <v>904</v>
      </c>
      <c r="D451" s="6" t="s">
        <v>18</v>
      </c>
      <c r="E451" s="8">
        <v>776160013876</v>
      </c>
      <c r="F451" s="8">
        <v>703719015962</v>
      </c>
      <c r="G451" s="8">
        <v>61192090616</v>
      </c>
      <c r="H451" s="8">
        <v>16903754054</v>
      </c>
      <c r="I451" s="8">
        <v>26748055870</v>
      </c>
      <c r="J451" s="8"/>
      <c r="K451" s="8">
        <v>72205799045</v>
      </c>
      <c r="L451" s="8">
        <v>55292878389</v>
      </c>
      <c r="M451" s="8">
        <v>699069711500</v>
      </c>
      <c r="N451" s="8">
        <v>490352122500</v>
      </c>
      <c r="O451" s="8">
        <v>533103521000</v>
      </c>
      <c r="P451" s="8">
        <v>581884518700</v>
      </c>
      <c r="Q451" s="18">
        <f>(Table1[[#This Row],[A. TÀI SẢN NGẮN HẠN]]-Table1[[#This Row],[I. Nợ ngắn hạn]])/Table1[[#This Row],[TỔNG CỘNG TÀI SẢN]]</f>
        <v>0.82782791416597079</v>
      </c>
      <c r="R451" s="18">
        <f>Table1[[#This Row],[- LNST chưa phân phối kỳ này]]/Table1[[#This Row],[TỔNG CỘNG TÀI SẢN]]</f>
        <v>2.1778697371416713E-2</v>
      </c>
      <c r="S451" s="21">
        <f>Table1[[#This Row],[5. Lợi nhuận gộp về bán hàng và cung cấp dịch vụ]]/Table1[[#This Row],[TỔNG CỘNG TÀI SẢN]]</f>
        <v>3.4462037971300714E-2</v>
      </c>
      <c r="T45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7.9786177293871123</v>
      </c>
      <c r="U451" s="23">
        <f>Table1[[#This Row],[1. Doanh thu bán hàng và cung cấp dịch vụ ]]/Table1[[#This Row],[TỔNG CỘNG TÀI SẢN]]</f>
        <v>7.1239019532683162E-2</v>
      </c>
      <c r="V451" s="23">
        <f>1.2*Table1[[#This Row],[X1]] + 1.4*Table1[[#This Row],[X2]] + 3.3*Table1[[#This Row],[x3]] + 0.6*Table1[[#This Row],[x4]] + 1*Table1[[#This Row],[x5]]</f>
        <v>5.9960180557893921</v>
      </c>
      <c r="W451" s="23">
        <f>IF(Table1[[#This Row],[Zscore]]&lt;1.81,1,0)</f>
        <v>0</v>
      </c>
    </row>
    <row r="452" spans="1:23" ht="26.25" hidden="1" x14ac:dyDescent="0.45">
      <c r="A452" s="7">
        <v>446</v>
      </c>
      <c r="B452" s="5" t="s">
        <v>905</v>
      </c>
      <c r="C452" s="6" t="s">
        <v>906</v>
      </c>
      <c r="D452" s="6" t="s">
        <v>13</v>
      </c>
      <c r="E452" s="6"/>
      <c r="F452" s="6"/>
      <c r="G452" s="6"/>
      <c r="H452" s="6"/>
      <c r="I452" s="6"/>
      <c r="J452" s="8"/>
      <c r="K452" s="6"/>
      <c r="L452" s="6"/>
      <c r="M452" s="8"/>
      <c r="N452" s="8"/>
      <c r="O452" s="8"/>
      <c r="P452" s="8"/>
      <c r="Q452" s="18" t="e">
        <f>(Table1[[#This Row],[A. TÀI SẢN NGẮN HẠN]]-Table1[[#This Row],[I. Nợ ngắn hạn]])/Table1[[#This Row],[TỔNG CỘNG TÀI SẢN]]</f>
        <v>#DIV/0!</v>
      </c>
      <c r="R452" s="18" t="e">
        <f>Table1[[#This Row],[- LNST chưa phân phối kỳ này]]/Table1[[#This Row],[TỔNG CỘNG TÀI SẢN]]</f>
        <v>#DIV/0!</v>
      </c>
      <c r="S452" s="21" t="e">
        <f>Table1[[#This Row],[5. Lợi nhuận gộp về bán hàng và cung cấp dịch vụ]]/Table1[[#This Row],[TỔNG CỘNG TÀI SẢN]]</f>
        <v>#DIV/0!</v>
      </c>
      <c r="T45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452" s="23" t="e">
        <f>Table1[[#This Row],[1. Doanh thu bán hàng và cung cấp dịch vụ ]]/Table1[[#This Row],[TỔNG CỘNG TÀI SẢN]]</f>
        <v>#DIV/0!</v>
      </c>
      <c r="V452" s="23" t="e">
        <f>1.2*Table1[[#This Row],[X1]] + 1.4*Table1[[#This Row],[X2]] + 3.3*Table1[[#This Row],[x3]] + 0.6*Table1[[#This Row],[x4]] + 1*Table1[[#This Row],[x5]]</f>
        <v>#DIV/0!</v>
      </c>
      <c r="W452" s="23" t="e">
        <f>IF(Table1[[#This Row],[Zscore]]&lt;1.81,1,0)</f>
        <v>#DIV/0!</v>
      </c>
    </row>
    <row r="453" spans="1:23" hidden="1" x14ac:dyDescent="0.45">
      <c r="A453" s="7">
        <v>447</v>
      </c>
      <c r="B453" s="5" t="s">
        <v>907</v>
      </c>
      <c r="C453" s="6" t="s">
        <v>908</v>
      </c>
      <c r="D453" s="6" t="s">
        <v>13</v>
      </c>
      <c r="E453" s="6"/>
      <c r="F453" s="6"/>
      <c r="G453" s="6"/>
      <c r="H453" s="6"/>
      <c r="I453" s="6"/>
      <c r="J453" s="8"/>
      <c r="K453" s="6"/>
      <c r="L453" s="6"/>
      <c r="M453" s="8"/>
      <c r="N453" s="8"/>
      <c r="O453" s="8"/>
      <c r="P453" s="8"/>
      <c r="Q453" s="18" t="e">
        <f>(Table1[[#This Row],[A. TÀI SẢN NGẮN HẠN]]-Table1[[#This Row],[I. Nợ ngắn hạn]])/Table1[[#This Row],[TỔNG CỘNG TÀI SẢN]]</f>
        <v>#DIV/0!</v>
      </c>
      <c r="R453" s="18" t="e">
        <f>Table1[[#This Row],[- LNST chưa phân phối kỳ này]]/Table1[[#This Row],[TỔNG CỘNG TÀI SẢN]]</f>
        <v>#DIV/0!</v>
      </c>
      <c r="S453" s="21" t="e">
        <f>Table1[[#This Row],[5. Lợi nhuận gộp về bán hàng và cung cấp dịch vụ]]/Table1[[#This Row],[TỔNG CỘNG TÀI SẢN]]</f>
        <v>#DIV/0!</v>
      </c>
      <c r="T45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453" s="23" t="e">
        <f>Table1[[#This Row],[1. Doanh thu bán hàng và cung cấp dịch vụ ]]/Table1[[#This Row],[TỔNG CỘNG TÀI SẢN]]</f>
        <v>#DIV/0!</v>
      </c>
      <c r="V453" s="23" t="e">
        <f>1.2*Table1[[#This Row],[X1]] + 1.4*Table1[[#This Row],[X2]] + 3.3*Table1[[#This Row],[x3]] + 0.6*Table1[[#This Row],[x4]] + 1*Table1[[#This Row],[x5]]</f>
        <v>#DIV/0!</v>
      </c>
      <c r="W453" s="23" t="e">
        <f>IF(Table1[[#This Row],[Zscore]]&lt;1.81,1,0)</f>
        <v>#DIV/0!</v>
      </c>
    </row>
    <row r="454" spans="1:23" hidden="1" x14ac:dyDescent="0.45">
      <c r="A454" s="7">
        <v>448</v>
      </c>
      <c r="B454" s="5" t="s">
        <v>909</v>
      </c>
      <c r="C454" s="6" t="s">
        <v>910</v>
      </c>
      <c r="D454" s="6" t="s">
        <v>13</v>
      </c>
      <c r="E454" s="6"/>
      <c r="F454" s="6"/>
      <c r="G454" s="6"/>
      <c r="H454" s="6"/>
      <c r="I454" s="6"/>
      <c r="J454" s="8"/>
      <c r="K454" s="6"/>
      <c r="L454" s="6"/>
      <c r="M454" s="8"/>
      <c r="N454" s="8"/>
      <c r="O454" s="8"/>
      <c r="P454" s="8"/>
      <c r="Q454" s="18" t="e">
        <f>(Table1[[#This Row],[A. TÀI SẢN NGẮN HẠN]]-Table1[[#This Row],[I. Nợ ngắn hạn]])/Table1[[#This Row],[TỔNG CỘNG TÀI SẢN]]</f>
        <v>#DIV/0!</v>
      </c>
      <c r="R454" s="18" t="e">
        <f>Table1[[#This Row],[- LNST chưa phân phối kỳ này]]/Table1[[#This Row],[TỔNG CỘNG TÀI SẢN]]</f>
        <v>#DIV/0!</v>
      </c>
      <c r="S454" s="21" t="e">
        <f>Table1[[#This Row],[5. Lợi nhuận gộp về bán hàng và cung cấp dịch vụ]]/Table1[[#This Row],[TỔNG CỘNG TÀI SẢN]]</f>
        <v>#DIV/0!</v>
      </c>
      <c r="T45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454" s="23" t="e">
        <f>Table1[[#This Row],[1. Doanh thu bán hàng và cung cấp dịch vụ ]]/Table1[[#This Row],[TỔNG CỘNG TÀI SẢN]]</f>
        <v>#DIV/0!</v>
      </c>
      <c r="V454" s="23" t="e">
        <f>1.2*Table1[[#This Row],[X1]] + 1.4*Table1[[#This Row],[X2]] + 3.3*Table1[[#This Row],[x3]] + 0.6*Table1[[#This Row],[x4]] + 1*Table1[[#This Row],[x5]]</f>
        <v>#DIV/0!</v>
      </c>
      <c r="W454" s="23" t="e">
        <f>IF(Table1[[#This Row],[Zscore]]&lt;1.81,1,0)</f>
        <v>#DIV/0!</v>
      </c>
    </row>
    <row r="455" spans="1:23" hidden="1" x14ac:dyDescent="0.45">
      <c r="A455" s="7">
        <v>449</v>
      </c>
      <c r="B455" s="5" t="s">
        <v>911</v>
      </c>
      <c r="C455" s="6" t="s">
        <v>912</v>
      </c>
      <c r="D455" s="6" t="s">
        <v>13</v>
      </c>
      <c r="E455" s="6"/>
      <c r="F455" s="6"/>
      <c r="G455" s="6"/>
      <c r="H455" s="6"/>
      <c r="I455" s="6"/>
      <c r="J455" s="8"/>
      <c r="K455" s="6"/>
      <c r="L455" s="6"/>
      <c r="M455" s="8"/>
      <c r="N455" s="8"/>
      <c r="O455" s="8"/>
      <c r="P455" s="8"/>
      <c r="Q455" s="18" t="e">
        <f>(Table1[[#This Row],[A. TÀI SẢN NGẮN HẠN]]-Table1[[#This Row],[I. Nợ ngắn hạn]])/Table1[[#This Row],[TỔNG CỘNG TÀI SẢN]]</f>
        <v>#DIV/0!</v>
      </c>
      <c r="R455" s="18" t="e">
        <f>Table1[[#This Row],[- LNST chưa phân phối kỳ này]]/Table1[[#This Row],[TỔNG CỘNG TÀI SẢN]]</f>
        <v>#DIV/0!</v>
      </c>
      <c r="S455" s="21" t="e">
        <f>Table1[[#This Row],[5. Lợi nhuận gộp về bán hàng và cung cấp dịch vụ]]/Table1[[#This Row],[TỔNG CỘNG TÀI SẢN]]</f>
        <v>#DIV/0!</v>
      </c>
      <c r="T45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455" s="23" t="e">
        <f>Table1[[#This Row],[1. Doanh thu bán hàng và cung cấp dịch vụ ]]/Table1[[#This Row],[TỔNG CỘNG TÀI SẢN]]</f>
        <v>#DIV/0!</v>
      </c>
      <c r="V455" s="23" t="e">
        <f>1.2*Table1[[#This Row],[X1]] + 1.4*Table1[[#This Row],[X2]] + 3.3*Table1[[#This Row],[x3]] + 0.6*Table1[[#This Row],[x4]] + 1*Table1[[#This Row],[x5]]</f>
        <v>#DIV/0!</v>
      </c>
      <c r="W455" s="23" t="e">
        <f>IF(Table1[[#This Row],[Zscore]]&lt;1.81,1,0)</f>
        <v>#DIV/0!</v>
      </c>
    </row>
    <row r="456" spans="1:23" x14ac:dyDescent="0.45">
      <c r="A456" s="7">
        <v>450</v>
      </c>
      <c r="B456" s="5" t="s">
        <v>913</v>
      </c>
      <c r="C456" s="6" t="s">
        <v>914</v>
      </c>
      <c r="D456" s="6" t="s">
        <v>21</v>
      </c>
      <c r="E456" s="8">
        <v>483270215775</v>
      </c>
      <c r="F456" s="8">
        <v>208223734370</v>
      </c>
      <c r="G456" s="8">
        <v>54224657263</v>
      </c>
      <c r="H456" s="8">
        <v>28450638639</v>
      </c>
      <c r="I456" s="8">
        <v>190543494202</v>
      </c>
      <c r="J456" s="8"/>
      <c r="K456" s="8">
        <v>54224657263</v>
      </c>
      <c r="L456" s="8">
        <v>3652928497374</v>
      </c>
      <c r="M456" s="8">
        <v>423618840000</v>
      </c>
      <c r="N456" s="8">
        <v>420794714400</v>
      </c>
      <c r="O456" s="8">
        <v>441975656400</v>
      </c>
      <c r="P456" s="8">
        <v>480101352000</v>
      </c>
      <c r="Q456" s="18">
        <f>(Table1[[#This Row],[A. TÀI SẢN NGẮN HẠN]]-Table1[[#This Row],[I. Nợ ngắn hạn]])/Table1[[#This Row],[TỔNG CỘNG TÀI SẢN]]</f>
        <v>0.31866039346132308</v>
      </c>
      <c r="R456" s="18">
        <f>Table1[[#This Row],[- LNST chưa phân phối kỳ này]]/Table1[[#This Row],[TỔNG CỘNG TÀI SẢN]]</f>
        <v>5.8871078146984321E-2</v>
      </c>
      <c r="S456" s="21">
        <f>Table1[[#This Row],[5. Lợi nhuận gộp về bán hàng và cung cấp dịch vụ]]/Table1[[#This Row],[TỔNG CỘNG TÀI SẢN]]</f>
        <v>0.39427940721824428</v>
      </c>
      <c r="T45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8.1443140997285681</v>
      </c>
      <c r="U456" s="23">
        <f>Table1[[#This Row],[1. Doanh thu bán hàng và cung cấp dịch vụ ]]/Table1[[#This Row],[TỔNG CỘNG TÀI SẢN]]</f>
        <v>7.5587701830868124</v>
      </c>
      <c r="V456" s="23">
        <f>1.2*Table1[[#This Row],[X1]] + 1.4*Table1[[#This Row],[X2]] + 3.3*Table1[[#This Row],[x3]] + 0.6*Table1[[#This Row],[x4]] + 1*Table1[[#This Row],[x5]]</f>
        <v>14.211292668303525</v>
      </c>
      <c r="W456" s="23">
        <f>IF(Table1[[#This Row],[Zscore]]&lt;1.81,1,0)</f>
        <v>0</v>
      </c>
    </row>
    <row r="457" spans="1:23" ht="26.25" hidden="1" x14ac:dyDescent="0.45">
      <c r="A457" s="7">
        <v>451</v>
      </c>
      <c r="B457" s="5" t="s">
        <v>915</v>
      </c>
      <c r="C457" s="6" t="s">
        <v>916</v>
      </c>
      <c r="D457" s="6" t="s">
        <v>13</v>
      </c>
      <c r="E457" s="6"/>
      <c r="F457" s="6"/>
      <c r="G457" s="6"/>
      <c r="H457" s="6"/>
      <c r="I457" s="6"/>
      <c r="J457" s="8"/>
      <c r="K457" s="6"/>
      <c r="L457" s="6"/>
      <c r="M457" s="8"/>
      <c r="N457" s="8"/>
      <c r="O457" s="8"/>
      <c r="P457" s="8"/>
      <c r="Q457" s="18" t="e">
        <f>(Table1[[#This Row],[A. TÀI SẢN NGẮN HẠN]]-Table1[[#This Row],[I. Nợ ngắn hạn]])/Table1[[#This Row],[TỔNG CỘNG TÀI SẢN]]</f>
        <v>#DIV/0!</v>
      </c>
      <c r="R457" s="18" t="e">
        <f>Table1[[#This Row],[- LNST chưa phân phối kỳ này]]/Table1[[#This Row],[TỔNG CỘNG TÀI SẢN]]</f>
        <v>#DIV/0!</v>
      </c>
      <c r="S457" s="21" t="e">
        <f>Table1[[#This Row],[5. Lợi nhuận gộp về bán hàng và cung cấp dịch vụ]]/Table1[[#This Row],[TỔNG CỘNG TÀI SẢN]]</f>
        <v>#DIV/0!</v>
      </c>
      <c r="T45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457" s="23" t="e">
        <f>Table1[[#This Row],[1. Doanh thu bán hàng và cung cấp dịch vụ ]]/Table1[[#This Row],[TỔNG CỘNG TÀI SẢN]]</f>
        <v>#DIV/0!</v>
      </c>
      <c r="V457" s="23" t="e">
        <f>1.2*Table1[[#This Row],[X1]] + 1.4*Table1[[#This Row],[X2]] + 3.3*Table1[[#This Row],[x3]] + 0.6*Table1[[#This Row],[x4]] + 1*Table1[[#This Row],[x5]]</f>
        <v>#DIV/0!</v>
      </c>
      <c r="W457" s="23" t="e">
        <f>IF(Table1[[#This Row],[Zscore]]&lt;1.81,1,0)</f>
        <v>#DIV/0!</v>
      </c>
    </row>
    <row r="458" spans="1:23" hidden="1" x14ac:dyDescent="0.45">
      <c r="A458" s="7">
        <v>452</v>
      </c>
      <c r="B458" s="5" t="s">
        <v>917</v>
      </c>
      <c r="C458" s="6" t="s">
        <v>918</v>
      </c>
      <c r="D458" s="6" t="s">
        <v>13</v>
      </c>
      <c r="E458" s="6"/>
      <c r="F458" s="6"/>
      <c r="G458" s="6"/>
      <c r="H458" s="6"/>
      <c r="I458" s="6"/>
      <c r="J458" s="8"/>
      <c r="K458" s="6"/>
      <c r="L458" s="6"/>
      <c r="M458" s="8"/>
      <c r="N458" s="8"/>
      <c r="O458" s="8"/>
      <c r="P458" s="8"/>
      <c r="Q458" s="18" t="e">
        <f>(Table1[[#This Row],[A. TÀI SẢN NGẮN HẠN]]-Table1[[#This Row],[I. Nợ ngắn hạn]])/Table1[[#This Row],[TỔNG CỘNG TÀI SẢN]]</f>
        <v>#DIV/0!</v>
      </c>
      <c r="R458" s="18" t="e">
        <f>Table1[[#This Row],[- LNST chưa phân phối kỳ này]]/Table1[[#This Row],[TỔNG CỘNG TÀI SẢN]]</f>
        <v>#DIV/0!</v>
      </c>
      <c r="S458" s="21" t="e">
        <f>Table1[[#This Row],[5. Lợi nhuận gộp về bán hàng và cung cấp dịch vụ]]/Table1[[#This Row],[TỔNG CỘNG TÀI SẢN]]</f>
        <v>#DIV/0!</v>
      </c>
      <c r="T45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458" s="23" t="e">
        <f>Table1[[#This Row],[1. Doanh thu bán hàng và cung cấp dịch vụ ]]/Table1[[#This Row],[TỔNG CỘNG TÀI SẢN]]</f>
        <v>#DIV/0!</v>
      </c>
      <c r="V458" s="23" t="e">
        <f>1.2*Table1[[#This Row],[X1]] + 1.4*Table1[[#This Row],[X2]] + 3.3*Table1[[#This Row],[x3]] + 0.6*Table1[[#This Row],[x4]] + 1*Table1[[#This Row],[x5]]</f>
        <v>#DIV/0!</v>
      </c>
      <c r="W458" s="23" t="e">
        <f>IF(Table1[[#This Row],[Zscore]]&lt;1.81,1,0)</f>
        <v>#DIV/0!</v>
      </c>
    </row>
    <row r="459" spans="1:23" hidden="1" x14ac:dyDescent="0.45">
      <c r="A459" s="7">
        <v>453</v>
      </c>
      <c r="B459" s="5" t="s">
        <v>919</v>
      </c>
      <c r="C459" s="6" t="s">
        <v>920</v>
      </c>
      <c r="D459" s="6" t="s">
        <v>13</v>
      </c>
      <c r="E459" s="6"/>
      <c r="F459" s="6"/>
      <c r="G459" s="6"/>
      <c r="H459" s="6"/>
      <c r="I459" s="6"/>
      <c r="J459" s="8"/>
      <c r="K459" s="6"/>
      <c r="L459" s="6"/>
      <c r="M459" s="8"/>
      <c r="N459" s="8"/>
      <c r="O459" s="8"/>
      <c r="P459" s="8"/>
      <c r="Q459" s="18" t="e">
        <f>(Table1[[#This Row],[A. TÀI SẢN NGẮN HẠN]]-Table1[[#This Row],[I. Nợ ngắn hạn]])/Table1[[#This Row],[TỔNG CỘNG TÀI SẢN]]</f>
        <v>#DIV/0!</v>
      </c>
      <c r="R459" s="18" t="e">
        <f>Table1[[#This Row],[- LNST chưa phân phối kỳ này]]/Table1[[#This Row],[TỔNG CỘNG TÀI SẢN]]</f>
        <v>#DIV/0!</v>
      </c>
      <c r="S459" s="21" t="e">
        <f>Table1[[#This Row],[5. Lợi nhuận gộp về bán hàng và cung cấp dịch vụ]]/Table1[[#This Row],[TỔNG CỘNG TÀI SẢN]]</f>
        <v>#DIV/0!</v>
      </c>
      <c r="T45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459" s="23" t="e">
        <f>Table1[[#This Row],[1. Doanh thu bán hàng và cung cấp dịch vụ ]]/Table1[[#This Row],[TỔNG CỘNG TÀI SẢN]]</f>
        <v>#DIV/0!</v>
      </c>
      <c r="V459" s="23" t="e">
        <f>1.2*Table1[[#This Row],[X1]] + 1.4*Table1[[#This Row],[X2]] + 3.3*Table1[[#This Row],[x3]] + 0.6*Table1[[#This Row],[x4]] + 1*Table1[[#This Row],[x5]]</f>
        <v>#DIV/0!</v>
      </c>
      <c r="W459" s="23" t="e">
        <f>IF(Table1[[#This Row],[Zscore]]&lt;1.81,1,0)</f>
        <v>#DIV/0!</v>
      </c>
    </row>
    <row r="460" spans="1:23" hidden="1" x14ac:dyDescent="0.45">
      <c r="A460" s="7">
        <v>454</v>
      </c>
      <c r="B460" s="5" t="s">
        <v>921</v>
      </c>
      <c r="C460" s="6" t="s">
        <v>922</v>
      </c>
      <c r="D460" s="6" t="s">
        <v>13</v>
      </c>
      <c r="E460" s="6"/>
      <c r="F460" s="6"/>
      <c r="G460" s="6"/>
      <c r="H460" s="6"/>
      <c r="I460" s="6"/>
      <c r="J460" s="8"/>
      <c r="K460" s="6"/>
      <c r="L460" s="6"/>
      <c r="M460" s="8"/>
      <c r="N460" s="8"/>
      <c r="O460" s="8"/>
      <c r="P460" s="8"/>
      <c r="Q460" s="18" t="e">
        <f>(Table1[[#This Row],[A. TÀI SẢN NGẮN HẠN]]-Table1[[#This Row],[I. Nợ ngắn hạn]])/Table1[[#This Row],[TỔNG CỘNG TÀI SẢN]]</f>
        <v>#DIV/0!</v>
      </c>
      <c r="R460" s="18" t="e">
        <f>Table1[[#This Row],[- LNST chưa phân phối kỳ này]]/Table1[[#This Row],[TỔNG CỘNG TÀI SẢN]]</f>
        <v>#DIV/0!</v>
      </c>
      <c r="S460" s="21" t="e">
        <f>Table1[[#This Row],[5. Lợi nhuận gộp về bán hàng và cung cấp dịch vụ]]/Table1[[#This Row],[TỔNG CỘNG TÀI SẢN]]</f>
        <v>#DIV/0!</v>
      </c>
      <c r="T46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460" s="23" t="e">
        <f>Table1[[#This Row],[1. Doanh thu bán hàng và cung cấp dịch vụ ]]/Table1[[#This Row],[TỔNG CỘNG TÀI SẢN]]</f>
        <v>#DIV/0!</v>
      </c>
      <c r="V460" s="23" t="e">
        <f>1.2*Table1[[#This Row],[X1]] + 1.4*Table1[[#This Row],[X2]] + 3.3*Table1[[#This Row],[x3]] + 0.6*Table1[[#This Row],[x4]] + 1*Table1[[#This Row],[x5]]</f>
        <v>#DIV/0!</v>
      </c>
      <c r="W460" s="23" t="e">
        <f>IF(Table1[[#This Row],[Zscore]]&lt;1.81,1,0)</f>
        <v>#DIV/0!</v>
      </c>
    </row>
    <row r="461" spans="1:23" hidden="1" x14ac:dyDescent="0.45">
      <c r="A461" s="7">
        <v>455</v>
      </c>
      <c r="B461" s="5" t="s">
        <v>923</v>
      </c>
      <c r="C461" s="6" t="s">
        <v>924</v>
      </c>
      <c r="D461" s="6" t="s">
        <v>13</v>
      </c>
      <c r="E461" s="6"/>
      <c r="F461" s="6"/>
      <c r="G461" s="6"/>
      <c r="H461" s="6"/>
      <c r="I461" s="6"/>
      <c r="J461" s="8"/>
      <c r="K461" s="6"/>
      <c r="L461" s="6"/>
      <c r="M461" s="8"/>
      <c r="N461" s="8"/>
      <c r="O461" s="8"/>
      <c r="P461" s="8"/>
      <c r="Q461" s="18" t="e">
        <f>(Table1[[#This Row],[A. TÀI SẢN NGẮN HẠN]]-Table1[[#This Row],[I. Nợ ngắn hạn]])/Table1[[#This Row],[TỔNG CỘNG TÀI SẢN]]</f>
        <v>#DIV/0!</v>
      </c>
      <c r="R461" s="18" t="e">
        <f>Table1[[#This Row],[- LNST chưa phân phối kỳ này]]/Table1[[#This Row],[TỔNG CỘNG TÀI SẢN]]</f>
        <v>#DIV/0!</v>
      </c>
      <c r="S461" s="21" t="e">
        <f>Table1[[#This Row],[5. Lợi nhuận gộp về bán hàng và cung cấp dịch vụ]]/Table1[[#This Row],[TỔNG CỘNG TÀI SẢN]]</f>
        <v>#DIV/0!</v>
      </c>
      <c r="T46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461" s="23" t="e">
        <f>Table1[[#This Row],[1. Doanh thu bán hàng và cung cấp dịch vụ ]]/Table1[[#This Row],[TỔNG CỘNG TÀI SẢN]]</f>
        <v>#DIV/0!</v>
      </c>
      <c r="V461" s="23" t="e">
        <f>1.2*Table1[[#This Row],[X1]] + 1.4*Table1[[#This Row],[X2]] + 3.3*Table1[[#This Row],[x3]] + 0.6*Table1[[#This Row],[x4]] + 1*Table1[[#This Row],[x5]]</f>
        <v>#DIV/0!</v>
      </c>
      <c r="W461" s="23" t="e">
        <f>IF(Table1[[#This Row],[Zscore]]&lt;1.81,1,0)</f>
        <v>#DIV/0!</v>
      </c>
    </row>
    <row r="462" spans="1:23" ht="26.25" hidden="1" x14ac:dyDescent="0.45">
      <c r="A462" s="7">
        <v>456</v>
      </c>
      <c r="B462" s="5" t="s">
        <v>925</v>
      </c>
      <c r="C462" s="6" t="s">
        <v>926</v>
      </c>
      <c r="D462" s="6" t="s">
        <v>13</v>
      </c>
      <c r="E462" s="6"/>
      <c r="F462" s="6"/>
      <c r="G462" s="6"/>
      <c r="H462" s="6"/>
      <c r="I462" s="6"/>
      <c r="J462" s="8"/>
      <c r="K462" s="6"/>
      <c r="L462" s="6"/>
      <c r="M462" s="8"/>
      <c r="N462" s="8"/>
      <c r="O462" s="8"/>
      <c r="P462" s="8"/>
      <c r="Q462" s="18" t="e">
        <f>(Table1[[#This Row],[A. TÀI SẢN NGẮN HẠN]]-Table1[[#This Row],[I. Nợ ngắn hạn]])/Table1[[#This Row],[TỔNG CỘNG TÀI SẢN]]</f>
        <v>#DIV/0!</v>
      </c>
      <c r="R462" s="18" t="e">
        <f>Table1[[#This Row],[- LNST chưa phân phối kỳ này]]/Table1[[#This Row],[TỔNG CỘNG TÀI SẢN]]</f>
        <v>#DIV/0!</v>
      </c>
      <c r="S462" s="21" t="e">
        <f>Table1[[#This Row],[5. Lợi nhuận gộp về bán hàng và cung cấp dịch vụ]]/Table1[[#This Row],[TỔNG CỘNG TÀI SẢN]]</f>
        <v>#DIV/0!</v>
      </c>
      <c r="T46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462" s="23" t="e">
        <f>Table1[[#This Row],[1. Doanh thu bán hàng và cung cấp dịch vụ ]]/Table1[[#This Row],[TỔNG CỘNG TÀI SẢN]]</f>
        <v>#DIV/0!</v>
      </c>
      <c r="V462" s="23" t="e">
        <f>1.2*Table1[[#This Row],[X1]] + 1.4*Table1[[#This Row],[X2]] + 3.3*Table1[[#This Row],[x3]] + 0.6*Table1[[#This Row],[x4]] + 1*Table1[[#This Row],[x5]]</f>
        <v>#DIV/0!</v>
      </c>
      <c r="W462" s="23" t="e">
        <f>IF(Table1[[#This Row],[Zscore]]&lt;1.81,1,0)</f>
        <v>#DIV/0!</v>
      </c>
    </row>
    <row r="463" spans="1:23" hidden="1" x14ac:dyDescent="0.45">
      <c r="A463" s="7">
        <v>457</v>
      </c>
      <c r="B463" s="5" t="s">
        <v>927</v>
      </c>
      <c r="C463" s="6" t="s">
        <v>928</v>
      </c>
      <c r="D463" s="6" t="s">
        <v>13</v>
      </c>
      <c r="E463" s="6"/>
      <c r="F463" s="6"/>
      <c r="G463" s="6"/>
      <c r="H463" s="6"/>
      <c r="I463" s="6"/>
      <c r="J463" s="8"/>
      <c r="K463" s="6"/>
      <c r="L463" s="6"/>
      <c r="M463" s="8"/>
      <c r="N463" s="8"/>
      <c r="O463" s="8"/>
      <c r="P463" s="8"/>
      <c r="Q463" s="18" t="e">
        <f>(Table1[[#This Row],[A. TÀI SẢN NGẮN HẠN]]-Table1[[#This Row],[I. Nợ ngắn hạn]])/Table1[[#This Row],[TỔNG CỘNG TÀI SẢN]]</f>
        <v>#DIV/0!</v>
      </c>
      <c r="R463" s="18" t="e">
        <f>Table1[[#This Row],[- LNST chưa phân phối kỳ này]]/Table1[[#This Row],[TỔNG CỘNG TÀI SẢN]]</f>
        <v>#DIV/0!</v>
      </c>
      <c r="S463" s="21" t="e">
        <f>Table1[[#This Row],[5. Lợi nhuận gộp về bán hàng và cung cấp dịch vụ]]/Table1[[#This Row],[TỔNG CỘNG TÀI SẢN]]</f>
        <v>#DIV/0!</v>
      </c>
      <c r="T46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463" s="23" t="e">
        <f>Table1[[#This Row],[1. Doanh thu bán hàng và cung cấp dịch vụ ]]/Table1[[#This Row],[TỔNG CỘNG TÀI SẢN]]</f>
        <v>#DIV/0!</v>
      </c>
      <c r="V463" s="23" t="e">
        <f>1.2*Table1[[#This Row],[X1]] + 1.4*Table1[[#This Row],[X2]] + 3.3*Table1[[#This Row],[x3]] + 0.6*Table1[[#This Row],[x4]] + 1*Table1[[#This Row],[x5]]</f>
        <v>#DIV/0!</v>
      </c>
      <c r="W463" s="23" t="e">
        <f>IF(Table1[[#This Row],[Zscore]]&lt;1.81,1,0)</f>
        <v>#DIV/0!</v>
      </c>
    </row>
    <row r="464" spans="1:23" ht="26.25" hidden="1" x14ac:dyDescent="0.45">
      <c r="A464" s="7">
        <v>458</v>
      </c>
      <c r="B464" s="5" t="s">
        <v>929</v>
      </c>
      <c r="C464" s="6" t="s">
        <v>930</v>
      </c>
      <c r="D464" s="6" t="s">
        <v>13</v>
      </c>
      <c r="E464" s="6"/>
      <c r="F464" s="6"/>
      <c r="G464" s="6"/>
      <c r="H464" s="6"/>
      <c r="I464" s="6"/>
      <c r="J464" s="8"/>
      <c r="K464" s="6"/>
      <c r="L464" s="6"/>
      <c r="M464" s="8"/>
      <c r="N464" s="8"/>
      <c r="O464" s="8"/>
      <c r="P464" s="8"/>
      <c r="Q464" s="18" t="e">
        <f>(Table1[[#This Row],[A. TÀI SẢN NGẮN HẠN]]-Table1[[#This Row],[I. Nợ ngắn hạn]])/Table1[[#This Row],[TỔNG CỘNG TÀI SẢN]]</f>
        <v>#DIV/0!</v>
      </c>
      <c r="R464" s="18" t="e">
        <f>Table1[[#This Row],[- LNST chưa phân phối kỳ này]]/Table1[[#This Row],[TỔNG CỘNG TÀI SẢN]]</f>
        <v>#DIV/0!</v>
      </c>
      <c r="S464" s="21" t="e">
        <f>Table1[[#This Row],[5. Lợi nhuận gộp về bán hàng và cung cấp dịch vụ]]/Table1[[#This Row],[TỔNG CỘNG TÀI SẢN]]</f>
        <v>#DIV/0!</v>
      </c>
      <c r="T46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464" s="23" t="e">
        <f>Table1[[#This Row],[1. Doanh thu bán hàng và cung cấp dịch vụ ]]/Table1[[#This Row],[TỔNG CỘNG TÀI SẢN]]</f>
        <v>#DIV/0!</v>
      </c>
      <c r="V464" s="23" t="e">
        <f>1.2*Table1[[#This Row],[X1]] + 1.4*Table1[[#This Row],[X2]] + 3.3*Table1[[#This Row],[x3]] + 0.6*Table1[[#This Row],[x4]] + 1*Table1[[#This Row],[x5]]</f>
        <v>#DIV/0!</v>
      </c>
      <c r="W464" s="23" t="e">
        <f>IF(Table1[[#This Row],[Zscore]]&lt;1.81,1,0)</f>
        <v>#DIV/0!</v>
      </c>
    </row>
    <row r="465" spans="1:23" ht="26.25" hidden="1" x14ac:dyDescent="0.45">
      <c r="A465" s="7">
        <v>459</v>
      </c>
      <c r="B465" s="5" t="s">
        <v>931</v>
      </c>
      <c r="C465" s="6" t="s">
        <v>932</v>
      </c>
      <c r="D465" s="6" t="s">
        <v>13</v>
      </c>
      <c r="E465" s="6"/>
      <c r="F465" s="6"/>
      <c r="G465" s="6"/>
      <c r="H465" s="6"/>
      <c r="I465" s="6"/>
      <c r="J465" s="8"/>
      <c r="K465" s="6"/>
      <c r="L465" s="6"/>
      <c r="M465" s="8"/>
      <c r="N465" s="8"/>
      <c r="O465" s="8"/>
      <c r="P465" s="8"/>
      <c r="Q465" s="18" t="e">
        <f>(Table1[[#This Row],[A. TÀI SẢN NGẮN HẠN]]-Table1[[#This Row],[I. Nợ ngắn hạn]])/Table1[[#This Row],[TỔNG CỘNG TÀI SẢN]]</f>
        <v>#DIV/0!</v>
      </c>
      <c r="R465" s="18" t="e">
        <f>Table1[[#This Row],[- LNST chưa phân phối kỳ này]]/Table1[[#This Row],[TỔNG CỘNG TÀI SẢN]]</f>
        <v>#DIV/0!</v>
      </c>
      <c r="S465" s="21" t="e">
        <f>Table1[[#This Row],[5. Lợi nhuận gộp về bán hàng và cung cấp dịch vụ]]/Table1[[#This Row],[TỔNG CỘNG TÀI SẢN]]</f>
        <v>#DIV/0!</v>
      </c>
      <c r="T46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465" s="23" t="e">
        <f>Table1[[#This Row],[1. Doanh thu bán hàng và cung cấp dịch vụ ]]/Table1[[#This Row],[TỔNG CỘNG TÀI SẢN]]</f>
        <v>#DIV/0!</v>
      </c>
      <c r="V465" s="23" t="e">
        <f>1.2*Table1[[#This Row],[X1]] + 1.4*Table1[[#This Row],[X2]] + 3.3*Table1[[#This Row],[x3]] + 0.6*Table1[[#This Row],[x4]] + 1*Table1[[#This Row],[x5]]</f>
        <v>#DIV/0!</v>
      </c>
      <c r="W465" s="23" t="e">
        <f>IF(Table1[[#This Row],[Zscore]]&lt;1.81,1,0)</f>
        <v>#DIV/0!</v>
      </c>
    </row>
    <row r="466" spans="1:23" hidden="1" x14ac:dyDescent="0.45">
      <c r="A466" s="7">
        <v>460</v>
      </c>
      <c r="B466" s="5" t="s">
        <v>933</v>
      </c>
      <c r="C466" s="6" t="s">
        <v>934</v>
      </c>
      <c r="D466" s="6" t="s">
        <v>13</v>
      </c>
      <c r="E466" s="6"/>
      <c r="F466" s="6"/>
      <c r="G466" s="6"/>
      <c r="H466" s="6"/>
      <c r="I466" s="6"/>
      <c r="J466" s="8"/>
      <c r="K466" s="6"/>
      <c r="L466" s="6"/>
      <c r="M466" s="8"/>
      <c r="N466" s="8"/>
      <c r="O466" s="8"/>
      <c r="P466" s="8"/>
      <c r="Q466" s="18" t="e">
        <f>(Table1[[#This Row],[A. TÀI SẢN NGẮN HẠN]]-Table1[[#This Row],[I. Nợ ngắn hạn]])/Table1[[#This Row],[TỔNG CỘNG TÀI SẢN]]</f>
        <v>#DIV/0!</v>
      </c>
      <c r="R466" s="18" t="e">
        <f>Table1[[#This Row],[- LNST chưa phân phối kỳ này]]/Table1[[#This Row],[TỔNG CỘNG TÀI SẢN]]</f>
        <v>#DIV/0!</v>
      </c>
      <c r="S466" s="21" t="e">
        <f>Table1[[#This Row],[5. Lợi nhuận gộp về bán hàng và cung cấp dịch vụ]]/Table1[[#This Row],[TỔNG CỘNG TÀI SẢN]]</f>
        <v>#DIV/0!</v>
      </c>
      <c r="T46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466" s="23" t="e">
        <f>Table1[[#This Row],[1. Doanh thu bán hàng và cung cấp dịch vụ ]]/Table1[[#This Row],[TỔNG CỘNG TÀI SẢN]]</f>
        <v>#DIV/0!</v>
      </c>
      <c r="V466" s="23" t="e">
        <f>1.2*Table1[[#This Row],[X1]] + 1.4*Table1[[#This Row],[X2]] + 3.3*Table1[[#This Row],[x3]] + 0.6*Table1[[#This Row],[x4]] + 1*Table1[[#This Row],[x5]]</f>
        <v>#DIV/0!</v>
      </c>
      <c r="W466" s="23" t="e">
        <f>IF(Table1[[#This Row],[Zscore]]&lt;1.81,1,0)</f>
        <v>#DIV/0!</v>
      </c>
    </row>
    <row r="467" spans="1:23" hidden="1" x14ac:dyDescent="0.45">
      <c r="A467" s="7">
        <v>461</v>
      </c>
      <c r="B467" s="5" t="s">
        <v>935</v>
      </c>
      <c r="C467" s="6" t="s">
        <v>936</v>
      </c>
      <c r="D467" s="6" t="s">
        <v>13</v>
      </c>
      <c r="E467" s="6"/>
      <c r="F467" s="6"/>
      <c r="G467" s="6"/>
      <c r="H467" s="6"/>
      <c r="I467" s="6"/>
      <c r="J467" s="8"/>
      <c r="K467" s="6"/>
      <c r="L467" s="6"/>
      <c r="M467" s="8"/>
      <c r="N467" s="8"/>
      <c r="O467" s="8"/>
      <c r="P467" s="8"/>
      <c r="Q467" s="18" t="e">
        <f>(Table1[[#This Row],[A. TÀI SẢN NGẮN HẠN]]-Table1[[#This Row],[I. Nợ ngắn hạn]])/Table1[[#This Row],[TỔNG CỘNG TÀI SẢN]]</f>
        <v>#DIV/0!</v>
      </c>
      <c r="R467" s="18" t="e">
        <f>Table1[[#This Row],[- LNST chưa phân phối kỳ này]]/Table1[[#This Row],[TỔNG CỘNG TÀI SẢN]]</f>
        <v>#DIV/0!</v>
      </c>
      <c r="S467" s="21" t="e">
        <f>Table1[[#This Row],[5. Lợi nhuận gộp về bán hàng và cung cấp dịch vụ]]/Table1[[#This Row],[TỔNG CỘNG TÀI SẢN]]</f>
        <v>#DIV/0!</v>
      </c>
      <c r="T46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467" s="23" t="e">
        <f>Table1[[#This Row],[1. Doanh thu bán hàng và cung cấp dịch vụ ]]/Table1[[#This Row],[TỔNG CỘNG TÀI SẢN]]</f>
        <v>#DIV/0!</v>
      </c>
      <c r="V467" s="23" t="e">
        <f>1.2*Table1[[#This Row],[X1]] + 1.4*Table1[[#This Row],[X2]] + 3.3*Table1[[#This Row],[x3]] + 0.6*Table1[[#This Row],[x4]] + 1*Table1[[#This Row],[x5]]</f>
        <v>#DIV/0!</v>
      </c>
      <c r="W467" s="23" t="e">
        <f>IF(Table1[[#This Row],[Zscore]]&lt;1.81,1,0)</f>
        <v>#DIV/0!</v>
      </c>
    </row>
    <row r="468" spans="1:23" ht="26.25" hidden="1" x14ac:dyDescent="0.45">
      <c r="A468" s="7">
        <v>462</v>
      </c>
      <c r="B468" s="5" t="s">
        <v>937</v>
      </c>
      <c r="C468" s="6" t="s">
        <v>938</v>
      </c>
      <c r="D468" s="6" t="s">
        <v>13</v>
      </c>
      <c r="E468" s="6"/>
      <c r="F468" s="6"/>
      <c r="G468" s="6"/>
      <c r="H468" s="6"/>
      <c r="I468" s="6"/>
      <c r="J468" s="8"/>
      <c r="K468" s="6"/>
      <c r="L468" s="6"/>
      <c r="M468" s="8"/>
      <c r="N468" s="8"/>
      <c r="O468" s="8"/>
      <c r="P468" s="8"/>
      <c r="Q468" s="18" t="e">
        <f>(Table1[[#This Row],[A. TÀI SẢN NGẮN HẠN]]-Table1[[#This Row],[I. Nợ ngắn hạn]])/Table1[[#This Row],[TỔNG CỘNG TÀI SẢN]]</f>
        <v>#DIV/0!</v>
      </c>
      <c r="R468" s="18" t="e">
        <f>Table1[[#This Row],[- LNST chưa phân phối kỳ này]]/Table1[[#This Row],[TỔNG CỘNG TÀI SẢN]]</f>
        <v>#DIV/0!</v>
      </c>
      <c r="S468" s="21" t="e">
        <f>Table1[[#This Row],[5. Lợi nhuận gộp về bán hàng và cung cấp dịch vụ]]/Table1[[#This Row],[TỔNG CỘNG TÀI SẢN]]</f>
        <v>#DIV/0!</v>
      </c>
      <c r="T46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468" s="23" t="e">
        <f>Table1[[#This Row],[1. Doanh thu bán hàng và cung cấp dịch vụ ]]/Table1[[#This Row],[TỔNG CỘNG TÀI SẢN]]</f>
        <v>#DIV/0!</v>
      </c>
      <c r="V468" s="23" t="e">
        <f>1.2*Table1[[#This Row],[X1]] + 1.4*Table1[[#This Row],[X2]] + 3.3*Table1[[#This Row],[x3]] + 0.6*Table1[[#This Row],[x4]] + 1*Table1[[#This Row],[x5]]</f>
        <v>#DIV/0!</v>
      </c>
      <c r="W468" s="23" t="e">
        <f>IF(Table1[[#This Row],[Zscore]]&lt;1.81,1,0)</f>
        <v>#DIV/0!</v>
      </c>
    </row>
    <row r="469" spans="1:23" ht="26.25" hidden="1" x14ac:dyDescent="0.45">
      <c r="A469" s="7">
        <v>463</v>
      </c>
      <c r="B469" s="5" t="s">
        <v>939</v>
      </c>
      <c r="C469" s="6" t="s">
        <v>940</v>
      </c>
      <c r="D469" s="6" t="s">
        <v>13</v>
      </c>
      <c r="E469" s="6"/>
      <c r="F469" s="6"/>
      <c r="G469" s="6"/>
      <c r="H469" s="6"/>
      <c r="I469" s="6"/>
      <c r="J469" s="8"/>
      <c r="K469" s="6"/>
      <c r="L469" s="6"/>
      <c r="M469" s="8"/>
      <c r="N469" s="8"/>
      <c r="O469" s="8"/>
      <c r="P469" s="8"/>
      <c r="Q469" s="18" t="e">
        <f>(Table1[[#This Row],[A. TÀI SẢN NGẮN HẠN]]-Table1[[#This Row],[I. Nợ ngắn hạn]])/Table1[[#This Row],[TỔNG CỘNG TÀI SẢN]]</f>
        <v>#DIV/0!</v>
      </c>
      <c r="R469" s="18" t="e">
        <f>Table1[[#This Row],[- LNST chưa phân phối kỳ này]]/Table1[[#This Row],[TỔNG CỘNG TÀI SẢN]]</f>
        <v>#DIV/0!</v>
      </c>
      <c r="S469" s="21" t="e">
        <f>Table1[[#This Row],[5. Lợi nhuận gộp về bán hàng và cung cấp dịch vụ]]/Table1[[#This Row],[TỔNG CỘNG TÀI SẢN]]</f>
        <v>#DIV/0!</v>
      </c>
      <c r="T46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469" s="23" t="e">
        <f>Table1[[#This Row],[1. Doanh thu bán hàng và cung cấp dịch vụ ]]/Table1[[#This Row],[TỔNG CỘNG TÀI SẢN]]</f>
        <v>#DIV/0!</v>
      </c>
      <c r="V469" s="23" t="e">
        <f>1.2*Table1[[#This Row],[X1]] + 1.4*Table1[[#This Row],[X2]] + 3.3*Table1[[#This Row],[x3]] + 0.6*Table1[[#This Row],[x4]] + 1*Table1[[#This Row],[x5]]</f>
        <v>#DIV/0!</v>
      </c>
      <c r="W469" s="23" t="e">
        <f>IF(Table1[[#This Row],[Zscore]]&lt;1.81,1,0)</f>
        <v>#DIV/0!</v>
      </c>
    </row>
    <row r="470" spans="1:23" ht="26.25" hidden="1" x14ac:dyDescent="0.45">
      <c r="A470" s="7">
        <v>464</v>
      </c>
      <c r="B470" s="5" t="s">
        <v>941</v>
      </c>
      <c r="C470" s="6" t="s">
        <v>942</v>
      </c>
      <c r="D470" s="6" t="s">
        <v>13</v>
      </c>
      <c r="E470" s="6"/>
      <c r="F470" s="6"/>
      <c r="G470" s="6"/>
      <c r="H470" s="6"/>
      <c r="I470" s="6"/>
      <c r="J470" s="8"/>
      <c r="K470" s="6"/>
      <c r="L470" s="6"/>
      <c r="M470" s="8"/>
      <c r="N470" s="8"/>
      <c r="O470" s="8"/>
      <c r="P470" s="8"/>
      <c r="Q470" s="18" t="e">
        <f>(Table1[[#This Row],[A. TÀI SẢN NGẮN HẠN]]-Table1[[#This Row],[I. Nợ ngắn hạn]])/Table1[[#This Row],[TỔNG CỘNG TÀI SẢN]]</f>
        <v>#DIV/0!</v>
      </c>
      <c r="R470" s="18" t="e">
        <f>Table1[[#This Row],[- LNST chưa phân phối kỳ này]]/Table1[[#This Row],[TỔNG CỘNG TÀI SẢN]]</f>
        <v>#DIV/0!</v>
      </c>
      <c r="S470" s="21" t="e">
        <f>Table1[[#This Row],[5. Lợi nhuận gộp về bán hàng và cung cấp dịch vụ]]/Table1[[#This Row],[TỔNG CỘNG TÀI SẢN]]</f>
        <v>#DIV/0!</v>
      </c>
      <c r="T47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470" s="23" t="e">
        <f>Table1[[#This Row],[1. Doanh thu bán hàng và cung cấp dịch vụ ]]/Table1[[#This Row],[TỔNG CỘNG TÀI SẢN]]</f>
        <v>#DIV/0!</v>
      </c>
      <c r="V470" s="23" t="e">
        <f>1.2*Table1[[#This Row],[X1]] + 1.4*Table1[[#This Row],[X2]] + 3.3*Table1[[#This Row],[x3]] + 0.6*Table1[[#This Row],[x4]] + 1*Table1[[#This Row],[x5]]</f>
        <v>#DIV/0!</v>
      </c>
      <c r="W470" s="23" t="e">
        <f>IF(Table1[[#This Row],[Zscore]]&lt;1.81,1,0)</f>
        <v>#DIV/0!</v>
      </c>
    </row>
    <row r="471" spans="1:23" hidden="1" x14ac:dyDescent="0.45">
      <c r="A471" s="7">
        <v>465</v>
      </c>
      <c r="B471" s="5" t="s">
        <v>943</v>
      </c>
      <c r="C471" s="6" t="s">
        <v>944</v>
      </c>
      <c r="D471" s="6" t="s">
        <v>13</v>
      </c>
      <c r="E471" s="6"/>
      <c r="F471" s="6"/>
      <c r="G471" s="6"/>
      <c r="H471" s="6"/>
      <c r="I471" s="6"/>
      <c r="J471" s="8"/>
      <c r="K471" s="6"/>
      <c r="L471" s="6"/>
      <c r="M471" s="8"/>
      <c r="N471" s="8"/>
      <c r="O471" s="8"/>
      <c r="P471" s="8"/>
      <c r="Q471" s="18" t="e">
        <f>(Table1[[#This Row],[A. TÀI SẢN NGẮN HẠN]]-Table1[[#This Row],[I. Nợ ngắn hạn]])/Table1[[#This Row],[TỔNG CỘNG TÀI SẢN]]</f>
        <v>#DIV/0!</v>
      </c>
      <c r="R471" s="18" t="e">
        <f>Table1[[#This Row],[- LNST chưa phân phối kỳ này]]/Table1[[#This Row],[TỔNG CỘNG TÀI SẢN]]</f>
        <v>#DIV/0!</v>
      </c>
      <c r="S471" s="21" t="e">
        <f>Table1[[#This Row],[5. Lợi nhuận gộp về bán hàng và cung cấp dịch vụ]]/Table1[[#This Row],[TỔNG CỘNG TÀI SẢN]]</f>
        <v>#DIV/0!</v>
      </c>
      <c r="T47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471" s="23" t="e">
        <f>Table1[[#This Row],[1. Doanh thu bán hàng và cung cấp dịch vụ ]]/Table1[[#This Row],[TỔNG CỘNG TÀI SẢN]]</f>
        <v>#DIV/0!</v>
      </c>
      <c r="V471" s="23" t="e">
        <f>1.2*Table1[[#This Row],[X1]] + 1.4*Table1[[#This Row],[X2]] + 3.3*Table1[[#This Row],[x3]] + 0.6*Table1[[#This Row],[x4]] + 1*Table1[[#This Row],[x5]]</f>
        <v>#DIV/0!</v>
      </c>
      <c r="W471" s="23" t="e">
        <f>IF(Table1[[#This Row],[Zscore]]&lt;1.81,1,0)</f>
        <v>#DIV/0!</v>
      </c>
    </row>
    <row r="472" spans="1:23" ht="26.25" hidden="1" x14ac:dyDescent="0.45">
      <c r="A472" s="7">
        <v>466</v>
      </c>
      <c r="B472" s="5" t="s">
        <v>945</v>
      </c>
      <c r="C472" s="6" t="s">
        <v>946</v>
      </c>
      <c r="D472" s="6" t="s">
        <v>13</v>
      </c>
      <c r="E472" s="6"/>
      <c r="F472" s="6"/>
      <c r="G472" s="6"/>
      <c r="H472" s="6"/>
      <c r="I472" s="6"/>
      <c r="J472" s="8"/>
      <c r="K472" s="6"/>
      <c r="L472" s="6"/>
      <c r="M472" s="8"/>
      <c r="N472" s="8"/>
      <c r="O472" s="8"/>
      <c r="P472" s="8"/>
      <c r="Q472" s="18" t="e">
        <f>(Table1[[#This Row],[A. TÀI SẢN NGẮN HẠN]]-Table1[[#This Row],[I. Nợ ngắn hạn]])/Table1[[#This Row],[TỔNG CỘNG TÀI SẢN]]</f>
        <v>#DIV/0!</v>
      </c>
      <c r="R472" s="18" t="e">
        <f>Table1[[#This Row],[- LNST chưa phân phối kỳ này]]/Table1[[#This Row],[TỔNG CỘNG TÀI SẢN]]</f>
        <v>#DIV/0!</v>
      </c>
      <c r="S472" s="21" t="e">
        <f>Table1[[#This Row],[5. Lợi nhuận gộp về bán hàng và cung cấp dịch vụ]]/Table1[[#This Row],[TỔNG CỘNG TÀI SẢN]]</f>
        <v>#DIV/0!</v>
      </c>
      <c r="T47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472" s="23" t="e">
        <f>Table1[[#This Row],[1. Doanh thu bán hàng và cung cấp dịch vụ ]]/Table1[[#This Row],[TỔNG CỘNG TÀI SẢN]]</f>
        <v>#DIV/0!</v>
      </c>
      <c r="V472" s="23" t="e">
        <f>1.2*Table1[[#This Row],[X1]] + 1.4*Table1[[#This Row],[X2]] + 3.3*Table1[[#This Row],[x3]] + 0.6*Table1[[#This Row],[x4]] + 1*Table1[[#This Row],[x5]]</f>
        <v>#DIV/0!</v>
      </c>
      <c r="W472" s="23" t="e">
        <f>IF(Table1[[#This Row],[Zscore]]&lt;1.81,1,0)</f>
        <v>#DIV/0!</v>
      </c>
    </row>
    <row r="473" spans="1:23" hidden="1" x14ac:dyDescent="0.45">
      <c r="A473" s="7">
        <v>467</v>
      </c>
      <c r="B473" s="5" t="s">
        <v>947</v>
      </c>
      <c r="C473" s="6" t="s">
        <v>948</v>
      </c>
      <c r="D473" s="6" t="s">
        <v>13</v>
      </c>
      <c r="E473" s="6"/>
      <c r="F473" s="6"/>
      <c r="G473" s="6"/>
      <c r="H473" s="6"/>
      <c r="I473" s="6"/>
      <c r="J473" s="8"/>
      <c r="K473" s="6"/>
      <c r="L473" s="6"/>
      <c r="M473" s="8"/>
      <c r="N473" s="8"/>
      <c r="O473" s="8"/>
      <c r="P473" s="8"/>
      <c r="Q473" s="18" t="e">
        <f>(Table1[[#This Row],[A. TÀI SẢN NGẮN HẠN]]-Table1[[#This Row],[I. Nợ ngắn hạn]])/Table1[[#This Row],[TỔNG CỘNG TÀI SẢN]]</f>
        <v>#DIV/0!</v>
      </c>
      <c r="R473" s="18" t="e">
        <f>Table1[[#This Row],[- LNST chưa phân phối kỳ này]]/Table1[[#This Row],[TỔNG CỘNG TÀI SẢN]]</f>
        <v>#DIV/0!</v>
      </c>
      <c r="S473" s="21" t="e">
        <f>Table1[[#This Row],[5. Lợi nhuận gộp về bán hàng và cung cấp dịch vụ]]/Table1[[#This Row],[TỔNG CỘNG TÀI SẢN]]</f>
        <v>#DIV/0!</v>
      </c>
      <c r="T47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473" s="23" t="e">
        <f>Table1[[#This Row],[1. Doanh thu bán hàng và cung cấp dịch vụ ]]/Table1[[#This Row],[TỔNG CỘNG TÀI SẢN]]</f>
        <v>#DIV/0!</v>
      </c>
      <c r="V473" s="23" t="e">
        <f>1.2*Table1[[#This Row],[X1]] + 1.4*Table1[[#This Row],[X2]] + 3.3*Table1[[#This Row],[x3]] + 0.6*Table1[[#This Row],[x4]] + 1*Table1[[#This Row],[x5]]</f>
        <v>#DIV/0!</v>
      </c>
      <c r="W473" s="23" t="e">
        <f>IF(Table1[[#This Row],[Zscore]]&lt;1.81,1,0)</f>
        <v>#DIV/0!</v>
      </c>
    </row>
    <row r="474" spans="1:23" hidden="1" x14ac:dyDescent="0.45">
      <c r="A474" s="7">
        <v>468</v>
      </c>
      <c r="B474" s="5" t="s">
        <v>949</v>
      </c>
      <c r="C474" s="6" t="s">
        <v>950</v>
      </c>
      <c r="D474" s="6" t="s">
        <v>13</v>
      </c>
      <c r="E474" s="6"/>
      <c r="F474" s="6"/>
      <c r="G474" s="6"/>
      <c r="H474" s="6"/>
      <c r="I474" s="6"/>
      <c r="J474" s="8"/>
      <c r="K474" s="6"/>
      <c r="L474" s="6"/>
      <c r="M474" s="8"/>
      <c r="N474" s="8"/>
      <c r="O474" s="8"/>
      <c r="P474" s="8"/>
      <c r="Q474" s="18" t="e">
        <f>(Table1[[#This Row],[A. TÀI SẢN NGẮN HẠN]]-Table1[[#This Row],[I. Nợ ngắn hạn]])/Table1[[#This Row],[TỔNG CỘNG TÀI SẢN]]</f>
        <v>#DIV/0!</v>
      </c>
      <c r="R474" s="18" t="e">
        <f>Table1[[#This Row],[- LNST chưa phân phối kỳ này]]/Table1[[#This Row],[TỔNG CỘNG TÀI SẢN]]</f>
        <v>#DIV/0!</v>
      </c>
      <c r="S474" s="21" t="e">
        <f>Table1[[#This Row],[5. Lợi nhuận gộp về bán hàng và cung cấp dịch vụ]]/Table1[[#This Row],[TỔNG CỘNG TÀI SẢN]]</f>
        <v>#DIV/0!</v>
      </c>
      <c r="T47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474" s="23" t="e">
        <f>Table1[[#This Row],[1. Doanh thu bán hàng và cung cấp dịch vụ ]]/Table1[[#This Row],[TỔNG CỘNG TÀI SẢN]]</f>
        <v>#DIV/0!</v>
      </c>
      <c r="V474" s="23" t="e">
        <f>1.2*Table1[[#This Row],[X1]] + 1.4*Table1[[#This Row],[X2]] + 3.3*Table1[[#This Row],[x3]] + 0.6*Table1[[#This Row],[x4]] + 1*Table1[[#This Row],[x5]]</f>
        <v>#DIV/0!</v>
      </c>
      <c r="W474" s="23" t="e">
        <f>IF(Table1[[#This Row],[Zscore]]&lt;1.81,1,0)</f>
        <v>#DIV/0!</v>
      </c>
    </row>
    <row r="475" spans="1:23" ht="26.25" hidden="1" x14ac:dyDescent="0.45">
      <c r="A475" s="7">
        <v>469</v>
      </c>
      <c r="B475" s="5" t="s">
        <v>951</v>
      </c>
      <c r="C475" s="6" t="s">
        <v>952</v>
      </c>
      <c r="D475" s="6" t="s">
        <v>13</v>
      </c>
      <c r="E475" s="6"/>
      <c r="F475" s="6"/>
      <c r="G475" s="6"/>
      <c r="H475" s="6"/>
      <c r="I475" s="6"/>
      <c r="J475" s="8"/>
      <c r="K475" s="6"/>
      <c r="L475" s="6"/>
      <c r="M475" s="8"/>
      <c r="N475" s="8"/>
      <c r="O475" s="8"/>
      <c r="P475" s="8"/>
      <c r="Q475" s="18" t="e">
        <f>(Table1[[#This Row],[A. TÀI SẢN NGẮN HẠN]]-Table1[[#This Row],[I. Nợ ngắn hạn]])/Table1[[#This Row],[TỔNG CỘNG TÀI SẢN]]</f>
        <v>#DIV/0!</v>
      </c>
      <c r="R475" s="18" t="e">
        <f>Table1[[#This Row],[- LNST chưa phân phối kỳ này]]/Table1[[#This Row],[TỔNG CỘNG TÀI SẢN]]</f>
        <v>#DIV/0!</v>
      </c>
      <c r="S475" s="21" t="e">
        <f>Table1[[#This Row],[5. Lợi nhuận gộp về bán hàng và cung cấp dịch vụ]]/Table1[[#This Row],[TỔNG CỘNG TÀI SẢN]]</f>
        <v>#DIV/0!</v>
      </c>
      <c r="T47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475" s="23" t="e">
        <f>Table1[[#This Row],[1. Doanh thu bán hàng và cung cấp dịch vụ ]]/Table1[[#This Row],[TỔNG CỘNG TÀI SẢN]]</f>
        <v>#DIV/0!</v>
      </c>
      <c r="V475" s="23" t="e">
        <f>1.2*Table1[[#This Row],[X1]] + 1.4*Table1[[#This Row],[X2]] + 3.3*Table1[[#This Row],[x3]] + 0.6*Table1[[#This Row],[x4]] + 1*Table1[[#This Row],[x5]]</f>
        <v>#DIV/0!</v>
      </c>
      <c r="W475" s="23" t="e">
        <f>IF(Table1[[#This Row],[Zscore]]&lt;1.81,1,0)</f>
        <v>#DIV/0!</v>
      </c>
    </row>
    <row r="476" spans="1:23" hidden="1" x14ac:dyDescent="0.45">
      <c r="A476" s="7">
        <v>470</v>
      </c>
      <c r="B476" s="5" t="s">
        <v>953</v>
      </c>
      <c r="C476" s="6" t="s">
        <v>954</v>
      </c>
      <c r="D476" s="6" t="s">
        <v>13</v>
      </c>
      <c r="E476" s="6"/>
      <c r="F476" s="6"/>
      <c r="G476" s="6"/>
      <c r="H476" s="6"/>
      <c r="I476" s="6"/>
      <c r="J476" s="8"/>
      <c r="K476" s="6"/>
      <c r="L476" s="6"/>
      <c r="M476" s="8"/>
      <c r="N476" s="8"/>
      <c r="O476" s="8"/>
      <c r="P476" s="8"/>
      <c r="Q476" s="18" t="e">
        <f>(Table1[[#This Row],[A. TÀI SẢN NGẮN HẠN]]-Table1[[#This Row],[I. Nợ ngắn hạn]])/Table1[[#This Row],[TỔNG CỘNG TÀI SẢN]]</f>
        <v>#DIV/0!</v>
      </c>
      <c r="R476" s="18" t="e">
        <f>Table1[[#This Row],[- LNST chưa phân phối kỳ này]]/Table1[[#This Row],[TỔNG CỘNG TÀI SẢN]]</f>
        <v>#DIV/0!</v>
      </c>
      <c r="S476" s="21" t="e">
        <f>Table1[[#This Row],[5. Lợi nhuận gộp về bán hàng và cung cấp dịch vụ]]/Table1[[#This Row],[TỔNG CỘNG TÀI SẢN]]</f>
        <v>#DIV/0!</v>
      </c>
      <c r="T47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476" s="23" t="e">
        <f>Table1[[#This Row],[1. Doanh thu bán hàng và cung cấp dịch vụ ]]/Table1[[#This Row],[TỔNG CỘNG TÀI SẢN]]</f>
        <v>#DIV/0!</v>
      </c>
      <c r="V476" s="23" t="e">
        <f>1.2*Table1[[#This Row],[X1]] + 1.4*Table1[[#This Row],[X2]] + 3.3*Table1[[#This Row],[x3]] + 0.6*Table1[[#This Row],[x4]] + 1*Table1[[#This Row],[x5]]</f>
        <v>#DIV/0!</v>
      </c>
      <c r="W476" s="23" t="e">
        <f>IF(Table1[[#This Row],[Zscore]]&lt;1.81,1,0)</f>
        <v>#DIV/0!</v>
      </c>
    </row>
    <row r="477" spans="1:23" ht="26.25" hidden="1" x14ac:dyDescent="0.45">
      <c r="A477" s="7">
        <v>471</v>
      </c>
      <c r="B477" s="5" t="s">
        <v>955</v>
      </c>
      <c r="C477" s="6" t="s">
        <v>956</v>
      </c>
      <c r="D477" s="6" t="s">
        <v>13</v>
      </c>
      <c r="E477" s="6"/>
      <c r="F477" s="6"/>
      <c r="G477" s="6"/>
      <c r="H477" s="6"/>
      <c r="I477" s="6"/>
      <c r="J477" s="8"/>
      <c r="K477" s="6"/>
      <c r="L477" s="6"/>
      <c r="M477" s="8"/>
      <c r="N477" s="8"/>
      <c r="O477" s="8"/>
      <c r="P477" s="8"/>
      <c r="Q477" s="18" t="e">
        <f>(Table1[[#This Row],[A. TÀI SẢN NGẮN HẠN]]-Table1[[#This Row],[I. Nợ ngắn hạn]])/Table1[[#This Row],[TỔNG CỘNG TÀI SẢN]]</f>
        <v>#DIV/0!</v>
      </c>
      <c r="R477" s="18" t="e">
        <f>Table1[[#This Row],[- LNST chưa phân phối kỳ này]]/Table1[[#This Row],[TỔNG CỘNG TÀI SẢN]]</f>
        <v>#DIV/0!</v>
      </c>
      <c r="S477" s="21" t="e">
        <f>Table1[[#This Row],[5. Lợi nhuận gộp về bán hàng và cung cấp dịch vụ]]/Table1[[#This Row],[TỔNG CỘNG TÀI SẢN]]</f>
        <v>#DIV/0!</v>
      </c>
      <c r="T47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477" s="23" t="e">
        <f>Table1[[#This Row],[1. Doanh thu bán hàng và cung cấp dịch vụ ]]/Table1[[#This Row],[TỔNG CỘNG TÀI SẢN]]</f>
        <v>#DIV/0!</v>
      </c>
      <c r="V477" s="23" t="e">
        <f>1.2*Table1[[#This Row],[X1]] + 1.4*Table1[[#This Row],[X2]] + 3.3*Table1[[#This Row],[x3]] + 0.6*Table1[[#This Row],[x4]] + 1*Table1[[#This Row],[x5]]</f>
        <v>#DIV/0!</v>
      </c>
      <c r="W477" s="23" t="e">
        <f>IF(Table1[[#This Row],[Zscore]]&lt;1.81,1,0)</f>
        <v>#DIV/0!</v>
      </c>
    </row>
    <row r="478" spans="1:23" x14ac:dyDescent="0.45">
      <c r="A478" s="7">
        <v>472</v>
      </c>
      <c r="B478" s="5" t="s">
        <v>957</v>
      </c>
      <c r="C478" s="6" t="s">
        <v>958</v>
      </c>
      <c r="D478" s="6" t="s">
        <v>18</v>
      </c>
      <c r="E478" s="8">
        <v>102228048175</v>
      </c>
      <c r="F478" s="8">
        <v>35059254492</v>
      </c>
      <c r="G478" s="8">
        <v>30931352381</v>
      </c>
      <c r="H478" s="8">
        <v>-5592503648</v>
      </c>
      <c r="I478" s="8">
        <v>3224274845</v>
      </c>
      <c r="J478" s="8"/>
      <c r="K478" s="8">
        <v>66952362622</v>
      </c>
      <c r="L478" s="8">
        <v>24343309168</v>
      </c>
      <c r="M478" s="8">
        <v>212651910000</v>
      </c>
      <c r="N478" s="8">
        <v>181935523000</v>
      </c>
      <c r="O478" s="8">
        <v>174847126000</v>
      </c>
      <c r="P478" s="8">
        <v>148856337000</v>
      </c>
      <c r="Q478" s="18">
        <f>(Table1[[#This Row],[A. TÀI SẢN NGẮN HẠN]]-Table1[[#This Row],[I. Nợ ngắn hạn]])/Table1[[#This Row],[TỔNG CỘNG TÀI SẢN]]</f>
        <v>4.0379349744931195E-2</v>
      </c>
      <c r="R478" s="18">
        <f>Table1[[#This Row],[- LNST chưa phân phối kỳ này]]/Table1[[#This Row],[TỔNG CỘNG TÀI SẢN]]</f>
        <v>-5.4706156948496391E-2</v>
      </c>
      <c r="S478" s="21">
        <f>Table1[[#This Row],[5. Lợi nhuận gộp về bán hàng và cung cấp dịch vụ]]/Table1[[#This Row],[TỔNG CỘNG TÀI SẢN]]</f>
        <v>3.1540021574905708E-2</v>
      </c>
      <c r="T47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2.6820968964729839</v>
      </c>
      <c r="U478" s="23">
        <f>Table1[[#This Row],[1. Doanh thu bán hàng và cung cấp dịch vụ ]]/Table1[[#This Row],[TỔNG CỘNG TÀI SẢN]]</f>
        <v>0.23812749634354446</v>
      </c>
      <c r="V478" s="23">
        <f>1.2*Table1[[#This Row],[X1]] + 1.4*Table1[[#This Row],[X2]] + 3.3*Table1[[#This Row],[x3]] + 0.6*Table1[[#This Row],[x4]] + 1*Table1[[#This Row],[x5]]</f>
        <v>1.9233343053905461</v>
      </c>
      <c r="W478" s="23">
        <f>IF(Table1[[#This Row],[Zscore]]&lt;1.81,1,0)</f>
        <v>0</v>
      </c>
    </row>
    <row r="479" spans="1:23" x14ac:dyDescent="0.45">
      <c r="A479" s="7">
        <v>473</v>
      </c>
      <c r="B479" s="5" t="s">
        <v>959</v>
      </c>
      <c r="C479" s="6" t="s">
        <v>960</v>
      </c>
      <c r="D479" s="6" t="s">
        <v>36</v>
      </c>
      <c r="E479" s="8">
        <v>135245869614</v>
      </c>
      <c r="F479" s="8">
        <v>118804928183</v>
      </c>
      <c r="G479" s="8">
        <v>49173266878</v>
      </c>
      <c r="H479" s="8">
        <v>8963367514</v>
      </c>
      <c r="I479" s="8">
        <v>37869372286</v>
      </c>
      <c r="J479" s="8"/>
      <c r="K479" s="8">
        <v>49173266878</v>
      </c>
      <c r="L479" s="8">
        <v>171318102521</v>
      </c>
      <c r="M479" s="8">
        <v>76323115000</v>
      </c>
      <c r="N479" s="8">
        <v>71833520000</v>
      </c>
      <c r="O479" s="8">
        <v>70200940000</v>
      </c>
      <c r="P479" s="8">
        <v>71017230000</v>
      </c>
      <c r="Q479" s="18">
        <f>(Table1[[#This Row],[A. TÀI SẢN NGẮN HẠN]]-Table1[[#This Row],[I. Nợ ngắn hạn]])/Table1[[#This Row],[TỔNG CỘNG TÀI SẢN]]</f>
        <v>0.51485240550216449</v>
      </c>
      <c r="R479" s="18">
        <f>Table1[[#This Row],[- LNST chưa phân phối kỳ này]]/Table1[[#This Row],[TỔNG CỘNG TÀI SẢN]]</f>
        <v>6.62746118575155E-2</v>
      </c>
      <c r="S479" s="21">
        <f>Table1[[#This Row],[5. Lợi nhuận gộp về bán hàng và cung cấp dịch vụ]]/Table1[[#This Row],[TỔNG CỘNG TÀI SẢN]]</f>
        <v>0.28000390987230522</v>
      </c>
      <c r="T47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1.4711998173618681</v>
      </c>
      <c r="U479" s="23">
        <f>Table1[[#This Row],[1. Doanh thu bán hàng và cung cấp dịch vụ ]]/Table1[[#This Row],[TỔNG CỘNG TÀI SẢN]]</f>
        <v>1.2667159670750194</v>
      </c>
      <c r="V479" s="23">
        <f>1.2*Table1[[#This Row],[X1]] + 1.4*Table1[[#This Row],[X2]] + 3.3*Table1[[#This Row],[x3]] + 0.6*Table1[[#This Row],[x4]] + 1*Table1[[#This Row],[x5]]</f>
        <v>3.7840561032738664</v>
      </c>
      <c r="W479" s="23">
        <f>IF(Table1[[#This Row],[Zscore]]&lt;1.81,1,0)</f>
        <v>0</v>
      </c>
    </row>
    <row r="480" spans="1:23" hidden="1" x14ac:dyDescent="0.45">
      <c r="A480" s="7">
        <v>474</v>
      </c>
      <c r="B480" s="5" t="s">
        <v>961</v>
      </c>
      <c r="C480" s="6" t="s">
        <v>962</v>
      </c>
      <c r="D480" s="6" t="s">
        <v>18</v>
      </c>
      <c r="E480" s="8">
        <v>246337641655</v>
      </c>
      <c r="F480" s="8">
        <v>176494972235</v>
      </c>
      <c r="G480" s="8">
        <v>195851174542</v>
      </c>
      <c r="H480" s="8">
        <v>1013032152</v>
      </c>
      <c r="I480" s="8">
        <v>41837925891</v>
      </c>
      <c r="J480" s="8"/>
      <c r="K480" s="8">
        <v>195851174542</v>
      </c>
      <c r="L480" s="8">
        <v>151322265450</v>
      </c>
      <c r="M480" s="8"/>
      <c r="N480" s="8"/>
      <c r="O480" s="8"/>
      <c r="P480" s="8"/>
      <c r="Q480" s="18">
        <f>(Table1[[#This Row],[A. TÀI SẢN NGẮN HẠN]]-Table1[[#This Row],[I. Nợ ngắn hạn]])/Table1[[#This Row],[TỔNG CỘNG TÀI SẢN]]</f>
        <v>-7.857590166471061E-2</v>
      </c>
      <c r="R480" s="18">
        <f>Table1[[#This Row],[- LNST chưa phân phối kỳ này]]/Table1[[#This Row],[TỔNG CỘNG TÀI SẢN]]</f>
        <v>4.1123725354924381E-3</v>
      </c>
      <c r="S480" s="21">
        <f>Table1[[#This Row],[5. Lợi nhuận gộp về bán hàng và cung cấp dịch vụ]]/Table1[[#This Row],[TỔNG CỘNG TÀI SẢN]]</f>
        <v>0.16983975981062088</v>
      </c>
      <c r="T48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480" s="23">
        <f>Table1[[#This Row],[1. Doanh thu bán hàng và cung cấp dịch vụ ]]/Table1[[#This Row],[TỔNG CỘNG TÀI SẢN]]</f>
        <v>0.61428803342174298</v>
      </c>
      <c r="V480" s="23" t="e">
        <f>1.2*Table1[[#This Row],[X1]] + 1.4*Table1[[#This Row],[X2]] + 3.3*Table1[[#This Row],[x3]] + 0.6*Table1[[#This Row],[x4]] + 1*Table1[[#This Row],[x5]]</f>
        <v>#DIV/0!</v>
      </c>
      <c r="W480" s="23" t="e">
        <f>IF(Table1[[#This Row],[Zscore]]&lt;1.81,1,0)</f>
        <v>#DIV/0!</v>
      </c>
    </row>
    <row r="481" spans="1:23" x14ac:dyDescent="0.45">
      <c r="A481" s="7">
        <v>475</v>
      </c>
      <c r="B481" s="5" t="s">
        <v>963</v>
      </c>
      <c r="C481" s="6" t="s">
        <v>964</v>
      </c>
      <c r="D481" s="6" t="s">
        <v>18</v>
      </c>
      <c r="E481" s="8">
        <v>56088242101</v>
      </c>
      <c r="F481" s="8">
        <v>24995363823</v>
      </c>
      <c r="G481" s="8">
        <v>23290965790</v>
      </c>
      <c r="H481" s="8">
        <v>3059893869</v>
      </c>
      <c r="I481" s="8">
        <v>6986661833</v>
      </c>
      <c r="J481" s="8"/>
      <c r="K481" s="8">
        <v>78360073360</v>
      </c>
      <c r="L481" s="8">
        <v>67601991494</v>
      </c>
      <c r="M481" s="8">
        <v>171573500000</v>
      </c>
      <c r="N481" s="8">
        <v>138719000000</v>
      </c>
      <c r="O481" s="8">
        <v>160622000000</v>
      </c>
      <c r="P481" s="8">
        <v>160622000000</v>
      </c>
      <c r="Q481" s="18">
        <f>(Table1[[#This Row],[A. TÀI SẢN NGẮN HẠN]]-Table1[[#This Row],[I. Nợ ngắn hạn]])/Table1[[#This Row],[TỔNG CỘNG TÀI SẢN]]</f>
        <v>3.0387795537090156E-2</v>
      </c>
      <c r="R481" s="18">
        <f>Table1[[#This Row],[- LNST chưa phân phối kỳ này]]/Table1[[#This Row],[TỔNG CỘNG TÀI SẢN]]</f>
        <v>5.4554996811808532E-2</v>
      </c>
      <c r="S481" s="21">
        <f>Table1[[#This Row],[5. Lợi nhuận gộp về bán hàng và cung cấp dịch vụ]]/Table1[[#This Row],[TỔNG CỘNG TÀI SẢN]]</f>
        <v>0.1245655340814369</v>
      </c>
      <c r="T48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2.0148542265223832</v>
      </c>
      <c r="U481" s="23">
        <f>Table1[[#This Row],[1. Doanh thu bán hàng và cung cấp dịch vụ ]]/Table1[[#This Row],[TỔNG CỘNG TÀI SẢN]]</f>
        <v>1.2052791986646114</v>
      </c>
      <c r="V481" s="23">
        <f>1.2*Table1[[#This Row],[X1]] + 1.4*Table1[[#This Row],[X2]] + 3.3*Table1[[#This Row],[x3]] + 0.6*Table1[[#This Row],[x4]] + 1*Table1[[#This Row],[x5]]</f>
        <v>2.9381003472278233</v>
      </c>
      <c r="W481" s="23">
        <f>IF(Table1[[#This Row],[Zscore]]&lt;1.81,1,0)</f>
        <v>0</v>
      </c>
    </row>
    <row r="482" spans="1:23" hidden="1" x14ac:dyDescent="0.45">
      <c r="A482" s="7">
        <v>476</v>
      </c>
      <c r="B482" s="5" t="s">
        <v>965</v>
      </c>
      <c r="C482" s="6" t="s">
        <v>966</v>
      </c>
      <c r="D482" s="6" t="s">
        <v>13</v>
      </c>
      <c r="E482" s="6"/>
      <c r="F482" s="6"/>
      <c r="G482" s="6"/>
      <c r="H482" s="6"/>
      <c r="I482" s="6"/>
      <c r="J482" s="8"/>
      <c r="K482" s="6"/>
      <c r="L482" s="6"/>
      <c r="M482" s="8"/>
      <c r="N482" s="8"/>
      <c r="O482" s="8"/>
      <c r="P482" s="8"/>
      <c r="Q482" s="18" t="e">
        <f>(Table1[[#This Row],[A. TÀI SẢN NGẮN HẠN]]-Table1[[#This Row],[I. Nợ ngắn hạn]])/Table1[[#This Row],[TỔNG CỘNG TÀI SẢN]]</f>
        <v>#DIV/0!</v>
      </c>
      <c r="R482" s="18" t="e">
        <f>Table1[[#This Row],[- LNST chưa phân phối kỳ này]]/Table1[[#This Row],[TỔNG CỘNG TÀI SẢN]]</f>
        <v>#DIV/0!</v>
      </c>
      <c r="S482" s="21" t="e">
        <f>Table1[[#This Row],[5. Lợi nhuận gộp về bán hàng và cung cấp dịch vụ]]/Table1[[#This Row],[TỔNG CỘNG TÀI SẢN]]</f>
        <v>#DIV/0!</v>
      </c>
      <c r="T48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482" s="23" t="e">
        <f>Table1[[#This Row],[1. Doanh thu bán hàng và cung cấp dịch vụ ]]/Table1[[#This Row],[TỔNG CỘNG TÀI SẢN]]</f>
        <v>#DIV/0!</v>
      </c>
      <c r="V482" s="23" t="e">
        <f>1.2*Table1[[#This Row],[X1]] + 1.4*Table1[[#This Row],[X2]] + 3.3*Table1[[#This Row],[x3]] + 0.6*Table1[[#This Row],[x4]] + 1*Table1[[#This Row],[x5]]</f>
        <v>#DIV/0!</v>
      </c>
      <c r="W482" s="23" t="e">
        <f>IF(Table1[[#This Row],[Zscore]]&lt;1.81,1,0)</f>
        <v>#DIV/0!</v>
      </c>
    </row>
    <row r="483" spans="1:23" ht="26.25" hidden="1" x14ac:dyDescent="0.45">
      <c r="A483" s="7">
        <v>477</v>
      </c>
      <c r="B483" s="5" t="s">
        <v>967</v>
      </c>
      <c r="C483" s="6" t="s">
        <v>968</v>
      </c>
      <c r="D483" s="6" t="s">
        <v>13</v>
      </c>
      <c r="E483" s="6"/>
      <c r="F483" s="6"/>
      <c r="G483" s="6"/>
      <c r="H483" s="6"/>
      <c r="I483" s="6"/>
      <c r="J483" s="8"/>
      <c r="K483" s="6"/>
      <c r="L483" s="6"/>
      <c r="M483" s="8"/>
      <c r="N483" s="8"/>
      <c r="O483" s="8"/>
      <c r="P483" s="8"/>
      <c r="Q483" s="18" t="e">
        <f>(Table1[[#This Row],[A. TÀI SẢN NGẮN HẠN]]-Table1[[#This Row],[I. Nợ ngắn hạn]])/Table1[[#This Row],[TỔNG CỘNG TÀI SẢN]]</f>
        <v>#DIV/0!</v>
      </c>
      <c r="R483" s="18" t="e">
        <f>Table1[[#This Row],[- LNST chưa phân phối kỳ này]]/Table1[[#This Row],[TỔNG CỘNG TÀI SẢN]]</f>
        <v>#DIV/0!</v>
      </c>
      <c r="S483" s="21" t="e">
        <f>Table1[[#This Row],[5. Lợi nhuận gộp về bán hàng và cung cấp dịch vụ]]/Table1[[#This Row],[TỔNG CỘNG TÀI SẢN]]</f>
        <v>#DIV/0!</v>
      </c>
      <c r="T48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483" s="23" t="e">
        <f>Table1[[#This Row],[1. Doanh thu bán hàng và cung cấp dịch vụ ]]/Table1[[#This Row],[TỔNG CỘNG TÀI SẢN]]</f>
        <v>#DIV/0!</v>
      </c>
      <c r="V483" s="23" t="e">
        <f>1.2*Table1[[#This Row],[X1]] + 1.4*Table1[[#This Row],[X2]] + 3.3*Table1[[#This Row],[x3]] + 0.6*Table1[[#This Row],[x4]] + 1*Table1[[#This Row],[x5]]</f>
        <v>#DIV/0!</v>
      </c>
      <c r="W483" s="23" t="e">
        <f>IF(Table1[[#This Row],[Zscore]]&lt;1.81,1,0)</f>
        <v>#DIV/0!</v>
      </c>
    </row>
    <row r="484" spans="1:23" x14ac:dyDescent="0.45">
      <c r="A484" s="7">
        <v>478</v>
      </c>
      <c r="B484" s="5" t="s">
        <v>969</v>
      </c>
      <c r="C484" s="6" t="s">
        <v>970</v>
      </c>
      <c r="D484" s="6" t="s">
        <v>18</v>
      </c>
      <c r="E484" s="8">
        <v>1203180313058</v>
      </c>
      <c r="F484" s="8">
        <v>459439928877</v>
      </c>
      <c r="G484" s="8">
        <v>178600353095</v>
      </c>
      <c r="H484" s="8">
        <v>134304275088</v>
      </c>
      <c r="I484" s="8">
        <v>204636012590</v>
      </c>
      <c r="J484" s="8"/>
      <c r="K484" s="8">
        <v>178600353095</v>
      </c>
      <c r="L484" s="8">
        <v>702167879096</v>
      </c>
      <c r="M484" s="8">
        <v>2544192830400</v>
      </c>
      <c r="N484" s="8">
        <v>2349062996800</v>
      </c>
      <c r="O484" s="8">
        <v>2379082971200</v>
      </c>
      <c r="P484" s="8">
        <v>2356567990400</v>
      </c>
      <c r="Q484" s="18">
        <f>(Table1[[#This Row],[A. TÀI SẢN NGẮN HẠN]]-Table1[[#This Row],[I. Nợ ngắn hạn]])/Table1[[#This Row],[TỔNG CỘNG TÀI SẢN]]</f>
        <v>0.23341437084207176</v>
      </c>
      <c r="R484" s="18">
        <f>Table1[[#This Row],[- LNST chưa phân phối kỳ này]]/Table1[[#This Row],[TỔNG CỘNG TÀI SẢN]]</f>
        <v>0.11162439547124288</v>
      </c>
      <c r="S484" s="21">
        <f>Table1[[#This Row],[5. Lợi nhuận gộp về bán hàng và cung cấp dịch vụ]]/Table1[[#This Row],[TỔNG CỘNG TÀI SẢN]]</f>
        <v>0.17007925609246186</v>
      </c>
      <c r="T48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13.478286327460745</v>
      </c>
      <c r="U484" s="23">
        <f>Table1[[#This Row],[1. Doanh thu bán hàng và cung cấp dịch vụ ]]/Table1[[#This Row],[TỔNG CỘNG TÀI SẢN]]</f>
        <v>0.58359322495177124</v>
      </c>
      <c r="V484" s="23">
        <f>1.2*Table1[[#This Row],[X1]] + 1.4*Table1[[#This Row],[X2]] + 3.3*Table1[[#This Row],[x3]] + 0.6*Table1[[#This Row],[x4]] + 1*Table1[[#This Row],[x5]]</f>
        <v>9.6681979652035697</v>
      </c>
      <c r="W484" s="23">
        <f>IF(Table1[[#This Row],[Zscore]]&lt;1.81,1,0)</f>
        <v>0</v>
      </c>
    </row>
    <row r="485" spans="1:23" x14ac:dyDescent="0.45">
      <c r="A485" s="7">
        <v>479</v>
      </c>
      <c r="B485" s="5" t="s">
        <v>971</v>
      </c>
      <c r="C485" s="6" t="s">
        <v>972</v>
      </c>
      <c r="D485" s="6" t="s">
        <v>18</v>
      </c>
      <c r="E485" s="8">
        <v>435640246029</v>
      </c>
      <c r="F485" s="8">
        <v>73468972851</v>
      </c>
      <c r="G485" s="8">
        <v>164009296028</v>
      </c>
      <c r="H485" s="8">
        <v>9641893647</v>
      </c>
      <c r="I485" s="8">
        <v>60195783701</v>
      </c>
      <c r="J485" s="8"/>
      <c r="K485" s="8">
        <v>175998352382</v>
      </c>
      <c r="L485" s="8">
        <v>593315204805</v>
      </c>
      <c r="M485" s="8">
        <v>232500000000</v>
      </c>
      <c r="N485" s="8">
        <v>202500000000</v>
      </c>
      <c r="O485" s="8">
        <v>222500000000</v>
      </c>
      <c r="P485" s="8">
        <v>225000000000</v>
      </c>
      <c r="Q485" s="18">
        <f>(Table1[[#This Row],[A. TÀI SẢN NGẮN HẠN]]-Table1[[#This Row],[I. Nợ ngắn hạn]])/Table1[[#This Row],[TỔNG CỘNG TÀI SẢN]]</f>
        <v>-0.20783277946035511</v>
      </c>
      <c r="R485" s="18">
        <f>Table1[[#This Row],[- LNST chưa phân phối kỳ này]]/Table1[[#This Row],[TỔNG CỘNG TÀI SẢN]]</f>
        <v>2.2132697185094675E-2</v>
      </c>
      <c r="S485" s="21">
        <f>Table1[[#This Row],[5. Lợi nhuận gộp về bán hàng và cung cấp dịch vụ]]/Table1[[#This Row],[TỔNG CỘNG TÀI SẢN]]</f>
        <v>0.13817773782313228</v>
      </c>
      <c r="T48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1.2535628715497233</v>
      </c>
      <c r="U485" s="23">
        <f>Table1[[#This Row],[1. Doanh thu bán hàng và cung cấp dịch vụ ]]/Table1[[#This Row],[TỔNG CỘNG TÀI SẢN]]</f>
        <v>1.3619384577372216</v>
      </c>
      <c r="V485" s="23">
        <f>1.2*Table1[[#This Row],[X1]] + 1.4*Table1[[#This Row],[X2]] + 3.3*Table1[[#This Row],[x3]] + 0.6*Table1[[#This Row],[x4]] + 1*Table1[[#This Row],[x5]]</f>
        <v>2.3516491561900983</v>
      </c>
      <c r="W485" s="23">
        <f>IF(Table1[[#This Row],[Zscore]]&lt;1.81,1,0)</f>
        <v>0</v>
      </c>
    </row>
    <row r="486" spans="1:23" x14ac:dyDescent="0.45">
      <c r="A486" s="7">
        <v>480</v>
      </c>
      <c r="B486" s="5" t="s">
        <v>973</v>
      </c>
      <c r="C486" s="6" t="s">
        <v>974</v>
      </c>
      <c r="D486" s="6" t="s">
        <v>21</v>
      </c>
      <c r="E486" s="8">
        <v>1391203092609</v>
      </c>
      <c r="F486" s="8">
        <v>757472540803</v>
      </c>
      <c r="G486" s="8">
        <v>367007400675</v>
      </c>
      <c r="H486" s="8">
        <v>57448275272</v>
      </c>
      <c r="I486" s="8">
        <v>99888617975</v>
      </c>
      <c r="J486" s="8"/>
      <c r="K486" s="8">
        <v>509991827302</v>
      </c>
      <c r="L486" s="8">
        <v>577804895472</v>
      </c>
      <c r="M486" s="8">
        <v>447000000000</v>
      </c>
      <c r="N486" s="8">
        <v>647063281040</v>
      </c>
      <c r="O486" s="8">
        <v>577200000000</v>
      </c>
      <c r="P486" s="8">
        <v>671687253680</v>
      </c>
      <c r="Q486" s="18">
        <f>(Table1[[#This Row],[A. TÀI SẢN NGẮN HẠN]]-Table1[[#This Row],[I. Nợ ngắn hạn]])/Table1[[#This Row],[TỔNG CỘNG TÀI SẢN]]</f>
        <v>0.28066724563969964</v>
      </c>
      <c r="R486" s="18">
        <f>Table1[[#This Row],[- LNST chưa phân phối kỳ này]]/Table1[[#This Row],[TỔNG CỘNG TÀI SẢN]]</f>
        <v>4.1293953109509035E-2</v>
      </c>
      <c r="S486" s="21">
        <f>Table1[[#This Row],[5. Lợi nhuận gộp về bán hàng và cung cấp dịch vụ]]/Table1[[#This Row],[TỔNG CỘNG TÀI SẢN]]</f>
        <v>7.1800169583919882E-2</v>
      </c>
      <c r="T48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1.148523569051521</v>
      </c>
      <c r="U486" s="23">
        <f>Table1[[#This Row],[1. Doanh thu bán hàng và cung cấp dịch vụ ]]/Table1[[#This Row],[TỔNG CỘNG TÀI SẢN]]</f>
        <v>0.41532749498738575</v>
      </c>
      <c r="V486" s="23">
        <f>1.2*Table1[[#This Row],[X1]] + 1.4*Table1[[#This Row],[X2]] + 3.3*Table1[[#This Row],[x3]] + 0.6*Table1[[#This Row],[x4]] + 1*Table1[[#This Row],[x5]]</f>
        <v>1.7359944251661861</v>
      </c>
      <c r="W486" s="23">
        <f>IF(Table1[[#This Row],[Zscore]]&lt;1.81,1,0)</f>
        <v>1</v>
      </c>
    </row>
    <row r="487" spans="1:23" x14ac:dyDescent="0.45">
      <c r="A487" s="7">
        <v>481</v>
      </c>
      <c r="B487" s="5" t="s">
        <v>975</v>
      </c>
      <c r="C487" s="6" t="s">
        <v>976</v>
      </c>
      <c r="D487" s="6" t="s">
        <v>21</v>
      </c>
      <c r="E487" s="8">
        <v>7583220384342</v>
      </c>
      <c r="F487" s="8">
        <v>4292316620619</v>
      </c>
      <c r="G487" s="8">
        <v>1472032977872</v>
      </c>
      <c r="H487" s="8">
        <v>74962102033</v>
      </c>
      <c r="I487" s="8">
        <v>336991750199</v>
      </c>
      <c r="J487" s="8"/>
      <c r="K487" s="8">
        <v>1641596451739</v>
      </c>
      <c r="L487" s="8">
        <v>1356239232522</v>
      </c>
      <c r="M487" s="8">
        <v>3153013296800</v>
      </c>
      <c r="N487" s="8">
        <v>3982997679340</v>
      </c>
      <c r="O487" s="8">
        <v>3899535562660</v>
      </c>
      <c r="P487" s="8">
        <v>4868623473000</v>
      </c>
      <c r="Q487" s="18">
        <f>(Table1[[#This Row],[A. TÀI SẢN NGẮN HẠN]]-Table1[[#This Row],[I. Nợ ngắn hạn]])/Table1[[#This Row],[TỔNG CỘNG TÀI SẢN]]</f>
        <v>0.3719110746893739</v>
      </c>
      <c r="R487" s="18">
        <f>Table1[[#This Row],[- LNST chưa phân phối kỳ này]]/Table1[[#This Row],[TỔNG CỘNG TÀI SẢN]]</f>
        <v>9.8852595907384412E-3</v>
      </c>
      <c r="S487" s="21">
        <f>Table1[[#This Row],[5. Lợi nhuận gộp về bán hàng và cung cấp dịch vụ]]/Table1[[#This Row],[TỔNG CỘNG TÀI SẢN]]</f>
        <v>4.4439134446735577E-2</v>
      </c>
      <c r="T48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2.4220584168161672</v>
      </c>
      <c r="U487" s="23">
        <f>Table1[[#This Row],[1. Doanh thu bán hàng và cung cấp dịch vụ ]]/Table1[[#This Row],[TỔNG CỘNG TÀI SẢN]]</f>
        <v>0.17884739777870529</v>
      </c>
      <c r="V487" s="23">
        <f>1.2*Table1[[#This Row],[X1]] + 1.4*Table1[[#This Row],[X2]] + 3.3*Table1[[#This Row],[x3]] + 0.6*Table1[[#This Row],[x4]] + 1*Table1[[#This Row],[x5]]</f>
        <v>2.2388642445969156</v>
      </c>
      <c r="W487" s="23">
        <f>IF(Table1[[#This Row],[Zscore]]&lt;1.81,1,0)</f>
        <v>0</v>
      </c>
    </row>
    <row r="488" spans="1:23" hidden="1" x14ac:dyDescent="0.45">
      <c r="A488" s="7">
        <v>482</v>
      </c>
      <c r="B488" s="5" t="s">
        <v>977</v>
      </c>
      <c r="C488" s="6" t="s">
        <v>978</v>
      </c>
      <c r="D488" s="6" t="s">
        <v>21</v>
      </c>
      <c r="E488" s="6"/>
      <c r="F488" s="6"/>
      <c r="G488" s="6"/>
      <c r="H488" s="6"/>
      <c r="I488" s="6"/>
      <c r="J488" s="8"/>
      <c r="K488" s="6"/>
      <c r="L488" s="6"/>
      <c r="M488" s="8"/>
      <c r="N488" s="8"/>
      <c r="O488" s="8"/>
      <c r="P488" s="8"/>
      <c r="Q488" s="18" t="e">
        <f>(Table1[[#This Row],[A. TÀI SẢN NGẮN HẠN]]-Table1[[#This Row],[I. Nợ ngắn hạn]])/Table1[[#This Row],[TỔNG CỘNG TÀI SẢN]]</f>
        <v>#DIV/0!</v>
      </c>
      <c r="R488" s="18" t="e">
        <f>Table1[[#This Row],[- LNST chưa phân phối kỳ này]]/Table1[[#This Row],[TỔNG CỘNG TÀI SẢN]]</f>
        <v>#DIV/0!</v>
      </c>
      <c r="S488" s="21" t="e">
        <f>Table1[[#This Row],[5. Lợi nhuận gộp về bán hàng và cung cấp dịch vụ]]/Table1[[#This Row],[TỔNG CỘNG TÀI SẢN]]</f>
        <v>#DIV/0!</v>
      </c>
      <c r="T48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488" s="23" t="e">
        <f>Table1[[#This Row],[1. Doanh thu bán hàng và cung cấp dịch vụ ]]/Table1[[#This Row],[TỔNG CỘNG TÀI SẢN]]</f>
        <v>#DIV/0!</v>
      </c>
      <c r="V488" s="23" t="e">
        <f>1.2*Table1[[#This Row],[X1]] + 1.4*Table1[[#This Row],[X2]] + 3.3*Table1[[#This Row],[x3]] + 0.6*Table1[[#This Row],[x4]] + 1*Table1[[#This Row],[x5]]</f>
        <v>#DIV/0!</v>
      </c>
      <c r="W488" s="23" t="e">
        <f>IF(Table1[[#This Row],[Zscore]]&lt;1.81,1,0)</f>
        <v>#DIV/0!</v>
      </c>
    </row>
    <row r="489" spans="1:23" x14ac:dyDescent="0.45">
      <c r="A489" s="7">
        <v>483</v>
      </c>
      <c r="B489" s="5" t="s">
        <v>979</v>
      </c>
      <c r="C489" s="6" t="s">
        <v>980</v>
      </c>
      <c r="D489" s="6" t="s">
        <v>36</v>
      </c>
      <c r="E489" s="8">
        <v>2136250856308</v>
      </c>
      <c r="F489" s="8">
        <v>2063251492063</v>
      </c>
      <c r="G489" s="8">
        <v>854528814140</v>
      </c>
      <c r="H489" s="8">
        <v>56557577181</v>
      </c>
      <c r="I489" s="8">
        <v>216788627698</v>
      </c>
      <c r="J489" s="8"/>
      <c r="K489" s="8">
        <v>1206134047363</v>
      </c>
      <c r="L489" s="8">
        <v>894871701734</v>
      </c>
      <c r="M489" s="8">
        <v>942706346400</v>
      </c>
      <c r="N489" s="8">
        <v>724227046400</v>
      </c>
      <c r="O489" s="8">
        <v>774365927400</v>
      </c>
      <c r="P489" s="8">
        <v>860019617600</v>
      </c>
      <c r="Q489" s="18">
        <f>(Table1[[#This Row],[A. TÀI SẢN NGẮN HẠN]]-Table1[[#This Row],[I. Nợ ngắn hạn]])/Table1[[#This Row],[TỔNG CỘNG TÀI SẢN]]</f>
        <v>0.56581495303037055</v>
      </c>
      <c r="R489" s="18">
        <f>Table1[[#This Row],[- LNST chưa phân phối kỳ này]]/Table1[[#This Row],[TỔNG CỘNG TÀI SẢN]]</f>
        <v>2.6475157172667577E-2</v>
      </c>
      <c r="S489" s="21">
        <f>Table1[[#This Row],[5. Lợi nhuận gộp về bán hàng và cung cấp dịch vụ]]/Table1[[#This Row],[TỔNG CỘNG TÀI SẢN]]</f>
        <v>0.10148088510198068</v>
      </c>
      <c r="T48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0.68427695599377059</v>
      </c>
      <c r="U489" s="23">
        <f>Table1[[#This Row],[1. Doanh thu bán hàng và cung cấp dịch vụ ]]/Table1[[#This Row],[TỔNG CỘNG TÀI SẢN]]</f>
        <v>0.41889822962110934</v>
      </c>
      <c r="V489" s="23">
        <f>1.2*Table1[[#This Row],[X1]] + 1.4*Table1[[#This Row],[X2]] + 3.3*Table1[[#This Row],[x3]] + 0.6*Table1[[#This Row],[x4]] + 1*Table1[[#This Row],[x5]]</f>
        <v>1.8803944877320871</v>
      </c>
      <c r="W489" s="23">
        <f>IF(Table1[[#This Row],[Zscore]]&lt;1.81,1,0)</f>
        <v>0</v>
      </c>
    </row>
    <row r="490" spans="1:23" hidden="1" x14ac:dyDescent="0.45">
      <c r="A490" s="7">
        <v>484</v>
      </c>
      <c r="B490" s="5" t="s">
        <v>981</v>
      </c>
      <c r="C490" s="6" t="s">
        <v>982</v>
      </c>
      <c r="D490" s="6" t="s">
        <v>13</v>
      </c>
      <c r="E490" s="8">
        <v>345061051174</v>
      </c>
      <c r="F490" s="8">
        <v>340732453204</v>
      </c>
      <c r="G490" s="8">
        <v>4144439746</v>
      </c>
      <c r="H490" s="8">
        <v>-712804000</v>
      </c>
      <c r="I490" s="8">
        <v>27579048729</v>
      </c>
      <c r="J490" s="8"/>
      <c r="K490" s="8">
        <v>4144439746</v>
      </c>
      <c r="L490" s="8">
        <v>37116665398</v>
      </c>
      <c r="M490" s="8"/>
      <c r="N490" s="8"/>
      <c r="O490" s="8"/>
      <c r="P490" s="8"/>
      <c r="Q490" s="18">
        <f>(Table1[[#This Row],[A. TÀI SẢN NGẮN HẠN]]-Table1[[#This Row],[I. Nợ ngắn hạn]])/Table1[[#This Row],[TỔNG CỘNG TÀI SẢN]]</f>
        <v>0.97544481567197394</v>
      </c>
      <c r="R490" s="18">
        <f>Table1[[#This Row],[- LNST chưa phân phối kỳ này]]/Table1[[#This Row],[TỔNG CỘNG TÀI SẢN]]</f>
        <v>-2.0657329987688539E-3</v>
      </c>
      <c r="S490" s="21">
        <f>Table1[[#This Row],[5. Lợi nhuận gộp về bán hàng và cung cấp dịch vụ]]/Table1[[#This Row],[TỔNG CỘNG TÀI SẢN]]</f>
        <v>7.9925128133609691E-2</v>
      </c>
      <c r="T49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490" s="23">
        <f>Table1[[#This Row],[1. Doanh thu bán hàng và cung cấp dịch vụ ]]/Table1[[#This Row],[TỔNG CỘNG TÀI SẢN]]</f>
        <v>0.10756550260227313</v>
      </c>
      <c r="V490" s="23" t="e">
        <f>1.2*Table1[[#This Row],[X1]] + 1.4*Table1[[#This Row],[X2]] + 3.3*Table1[[#This Row],[x3]] + 0.6*Table1[[#This Row],[x4]] + 1*Table1[[#This Row],[x5]]</f>
        <v>#DIV/0!</v>
      </c>
      <c r="W490" s="23" t="e">
        <f>IF(Table1[[#This Row],[Zscore]]&lt;1.81,1,0)</f>
        <v>#DIV/0!</v>
      </c>
    </row>
    <row r="491" spans="1:23" ht="26.25" x14ac:dyDescent="0.45">
      <c r="A491" s="7">
        <v>485</v>
      </c>
      <c r="B491" s="5" t="s">
        <v>983</v>
      </c>
      <c r="C491" s="6" t="s">
        <v>984</v>
      </c>
      <c r="D491" s="6" t="s">
        <v>18</v>
      </c>
      <c r="E491" s="8">
        <v>179525140224</v>
      </c>
      <c r="F491" s="8">
        <v>172141341595</v>
      </c>
      <c r="G491" s="8">
        <v>5035890557</v>
      </c>
      <c r="H491" s="8">
        <v>3712322324</v>
      </c>
      <c r="I491" s="8">
        <v>29574478428</v>
      </c>
      <c r="J491" s="8"/>
      <c r="K491" s="8">
        <v>6024206273</v>
      </c>
      <c r="L491" s="8">
        <v>83429641487</v>
      </c>
      <c r="M491" s="8">
        <v>584640000000</v>
      </c>
      <c r="N491" s="8">
        <v>473760000000</v>
      </c>
      <c r="O491" s="8">
        <v>579600000000</v>
      </c>
      <c r="P491" s="8">
        <v>467040000000</v>
      </c>
      <c r="Q491" s="18">
        <f>(Table1[[#This Row],[A. TÀI SẢN NGẮN HẠN]]-Table1[[#This Row],[I. Nợ ngắn hạn]])/Table1[[#This Row],[TỔNG CỘNG TÀI SẢN]]</f>
        <v>0.93081922024679387</v>
      </c>
      <c r="R491" s="18">
        <f>Table1[[#This Row],[- LNST chưa phân phối kỳ này]]/Table1[[#This Row],[TỔNG CỘNG TÀI SẢN]]</f>
        <v>2.0678565238094238E-2</v>
      </c>
      <c r="S491" s="21">
        <f>Table1[[#This Row],[5. Lợi nhuận gộp về bán hàng và cung cấp dịch vụ]]/Table1[[#This Row],[TỔNG CỘNG TÀI SẢN]]</f>
        <v>0.16473725290563124</v>
      </c>
      <c r="T49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87.357566482850075</v>
      </c>
      <c r="U491" s="23">
        <f>Table1[[#This Row],[1. Doanh thu bán hàng và cung cấp dịch vụ ]]/Table1[[#This Row],[TỔNG CỘNG TÀI SẢN]]</f>
        <v>0.46472400123404345</v>
      </c>
      <c r="V491" s="23">
        <f>1.2*Table1[[#This Row],[X1]] + 1.4*Table1[[#This Row],[X2]] + 3.3*Table1[[#This Row],[x3]] + 0.6*Table1[[#This Row],[x4]] + 1*Table1[[#This Row],[x5]]</f>
        <v>54.568829881162159</v>
      </c>
      <c r="W491" s="23">
        <f>IF(Table1[[#This Row],[Zscore]]&lt;1.81,1,0)</f>
        <v>0</v>
      </c>
    </row>
    <row r="492" spans="1:23" ht="26.25" x14ac:dyDescent="0.45">
      <c r="A492" s="7">
        <v>486</v>
      </c>
      <c r="B492" s="5" t="s">
        <v>985</v>
      </c>
      <c r="C492" s="6" t="s">
        <v>986</v>
      </c>
      <c r="D492" s="6" t="s">
        <v>21</v>
      </c>
      <c r="E492" s="8">
        <v>3822349117432</v>
      </c>
      <c r="F492" s="8">
        <v>2964981655150</v>
      </c>
      <c r="G492" s="8">
        <v>2392267277713</v>
      </c>
      <c r="H492" s="8">
        <v>42554678057</v>
      </c>
      <c r="I492" s="8">
        <v>533216256974</v>
      </c>
      <c r="J492" s="8"/>
      <c r="K492" s="8">
        <v>2458180384361</v>
      </c>
      <c r="L492" s="8">
        <v>4506802898145</v>
      </c>
      <c r="M492" s="8">
        <v>1398941037000</v>
      </c>
      <c r="N492" s="8">
        <v>1383397247700</v>
      </c>
      <c r="O492" s="8">
        <v>1347128406000</v>
      </c>
      <c r="P492" s="8">
        <v>1502566299000</v>
      </c>
      <c r="Q492" s="18">
        <f>(Table1[[#This Row],[A. TÀI SẢN NGẮN HẠN]]-Table1[[#This Row],[I. Nợ ngắn hạn]])/Table1[[#This Row],[TỔNG CỘNG TÀI SẢN]]</f>
        <v>0.14983308950642671</v>
      </c>
      <c r="R492" s="18">
        <f>Table1[[#This Row],[- LNST chưa phân phối kỳ này]]/Table1[[#This Row],[TỔNG CỘNG TÀI SẢN]]</f>
        <v>1.1133121739960231E-2</v>
      </c>
      <c r="S492" s="21">
        <f>Table1[[#This Row],[5. Lợi nhuận gộp về bán hàng và cung cấp dịch vụ]]/Table1[[#This Row],[TỔNG CỘNG TÀI SẢN]]</f>
        <v>0.13949962198435581</v>
      </c>
      <c r="T49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0.57278475427709896</v>
      </c>
      <c r="U492" s="23">
        <f>Table1[[#This Row],[1. Doanh thu bán hàng và cung cấp dịch vụ ]]/Table1[[#This Row],[TỔNG CỘNG TÀI SẢN]]</f>
        <v>1.1790662651905648</v>
      </c>
      <c r="V492" s="23">
        <f>1.2*Table1[[#This Row],[X1]] + 1.4*Table1[[#This Row],[X2]] + 3.3*Table1[[#This Row],[x3]] + 0.6*Table1[[#This Row],[x4]] + 1*Table1[[#This Row],[x5]]</f>
        <v>2.1784719481488546</v>
      </c>
      <c r="W492" s="23">
        <f>IF(Table1[[#This Row],[Zscore]]&lt;1.81,1,0)</f>
        <v>0</v>
      </c>
    </row>
    <row r="493" spans="1:23" x14ac:dyDescent="0.45">
      <c r="A493" s="7">
        <v>487</v>
      </c>
      <c r="B493" s="5" t="s">
        <v>987</v>
      </c>
      <c r="C493" s="6" t="s">
        <v>988</v>
      </c>
      <c r="D493" s="6" t="s">
        <v>36</v>
      </c>
      <c r="E493" s="8">
        <v>2501219296073</v>
      </c>
      <c r="F493" s="8">
        <v>1241220835422</v>
      </c>
      <c r="G493" s="8">
        <v>1066751781722</v>
      </c>
      <c r="H493" s="8">
        <v>83146367767</v>
      </c>
      <c r="I493" s="8">
        <v>363684292596</v>
      </c>
      <c r="J493" s="8"/>
      <c r="K493" s="8">
        <v>1472634781722</v>
      </c>
      <c r="L493" s="8">
        <v>8538981207226</v>
      </c>
      <c r="M493" s="8">
        <v>994045133600</v>
      </c>
      <c r="N493" s="8">
        <v>552723371700</v>
      </c>
      <c r="O493" s="8">
        <v>672694336100</v>
      </c>
      <c r="P493" s="8">
        <v>608424176600</v>
      </c>
      <c r="Q493" s="18">
        <f>(Table1[[#This Row],[A. TÀI SẢN NGẮN HẠN]]-Table1[[#This Row],[I. Nợ ngắn hạn]])/Table1[[#This Row],[TỔNG CỘNG TÀI SẢN]]</f>
        <v>6.9753601363112136E-2</v>
      </c>
      <c r="R493" s="18">
        <f>Table1[[#This Row],[- LNST chưa phân phối kỳ này]]/Table1[[#This Row],[TỔNG CỘNG TÀI SẢN]]</f>
        <v>3.3242334207777238E-2</v>
      </c>
      <c r="S493" s="21">
        <f>Table1[[#This Row],[5. Lợi nhuận gộp về bán hàng và cung cấp dịch vụ]]/Table1[[#This Row],[TỔNG CỘNG TÀI SẢN]]</f>
        <v>0.14540280141249382</v>
      </c>
      <c r="T49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0.48007269913407508</v>
      </c>
      <c r="U493" s="23">
        <f>Table1[[#This Row],[1. Doanh thu bán hàng và cung cấp dịch vụ ]]/Table1[[#This Row],[TỔNG CỘNG TÀI SẢN]]</f>
        <v>3.4139274475582742</v>
      </c>
      <c r="V493" s="23">
        <f>1.2*Table1[[#This Row],[X1]] + 1.4*Table1[[#This Row],[X2]] + 3.3*Table1[[#This Row],[x3]] + 0.6*Table1[[#This Row],[x4]] + 1*Table1[[#This Row],[x5]]</f>
        <v>4.3120439012265717</v>
      </c>
      <c r="W493" s="23">
        <f>IF(Table1[[#This Row],[Zscore]]&lt;1.81,1,0)</f>
        <v>0</v>
      </c>
    </row>
    <row r="494" spans="1:23" ht="26.25" hidden="1" x14ac:dyDescent="0.45">
      <c r="A494" s="7">
        <v>488</v>
      </c>
      <c r="B494" s="5" t="s">
        <v>989</v>
      </c>
      <c r="C494" s="6" t="s">
        <v>990</v>
      </c>
      <c r="D494" s="6" t="s">
        <v>13</v>
      </c>
      <c r="E494" s="6"/>
      <c r="F494" s="6"/>
      <c r="G494" s="6"/>
      <c r="H494" s="6"/>
      <c r="I494" s="6"/>
      <c r="J494" s="8"/>
      <c r="K494" s="6"/>
      <c r="L494" s="6"/>
      <c r="M494" s="8"/>
      <c r="N494" s="8"/>
      <c r="O494" s="8"/>
      <c r="P494" s="8"/>
      <c r="Q494" s="18" t="e">
        <f>(Table1[[#This Row],[A. TÀI SẢN NGẮN HẠN]]-Table1[[#This Row],[I. Nợ ngắn hạn]])/Table1[[#This Row],[TỔNG CỘNG TÀI SẢN]]</f>
        <v>#DIV/0!</v>
      </c>
      <c r="R494" s="18" t="e">
        <f>Table1[[#This Row],[- LNST chưa phân phối kỳ này]]/Table1[[#This Row],[TỔNG CỘNG TÀI SẢN]]</f>
        <v>#DIV/0!</v>
      </c>
      <c r="S494" s="21" t="e">
        <f>Table1[[#This Row],[5. Lợi nhuận gộp về bán hàng và cung cấp dịch vụ]]/Table1[[#This Row],[TỔNG CỘNG TÀI SẢN]]</f>
        <v>#DIV/0!</v>
      </c>
      <c r="T49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494" s="23" t="e">
        <f>Table1[[#This Row],[1. Doanh thu bán hàng và cung cấp dịch vụ ]]/Table1[[#This Row],[TỔNG CỘNG TÀI SẢN]]</f>
        <v>#DIV/0!</v>
      </c>
      <c r="V494" s="23" t="e">
        <f>1.2*Table1[[#This Row],[X1]] + 1.4*Table1[[#This Row],[X2]] + 3.3*Table1[[#This Row],[x3]] + 0.6*Table1[[#This Row],[x4]] + 1*Table1[[#This Row],[x5]]</f>
        <v>#DIV/0!</v>
      </c>
      <c r="W494" s="23" t="e">
        <f>IF(Table1[[#This Row],[Zscore]]&lt;1.81,1,0)</f>
        <v>#DIV/0!</v>
      </c>
    </row>
    <row r="495" spans="1:23" x14ac:dyDescent="0.45">
      <c r="A495" s="7">
        <v>489</v>
      </c>
      <c r="B495" s="5" t="s">
        <v>991</v>
      </c>
      <c r="C495" s="6" t="s">
        <v>992</v>
      </c>
      <c r="D495" s="6" t="s">
        <v>21</v>
      </c>
      <c r="E495" s="8">
        <v>2058704288231</v>
      </c>
      <c r="F495" s="8">
        <v>1678566437240</v>
      </c>
      <c r="G495" s="8">
        <v>421333701407</v>
      </c>
      <c r="H495" s="8">
        <v>188048230404</v>
      </c>
      <c r="I495" s="8">
        <v>540977624910</v>
      </c>
      <c r="J495" s="8"/>
      <c r="K495" s="8">
        <v>437085321328</v>
      </c>
      <c r="L495" s="8">
        <v>2160143700681</v>
      </c>
      <c r="M495" s="8">
        <v>4221096562000</v>
      </c>
      <c r="N495" s="8">
        <v>3016647543000</v>
      </c>
      <c r="O495" s="8">
        <v>4066396688000</v>
      </c>
      <c r="P495" s="8">
        <v>3480747165000</v>
      </c>
      <c r="Q495" s="18">
        <f>(Table1[[#This Row],[A. TÀI SẢN NGẮN HẠN]]-Table1[[#This Row],[I. Nợ ngắn hạn]])/Table1[[#This Row],[TỔNG CỘNG TÀI SẢN]]</f>
        <v>0.61069126975652865</v>
      </c>
      <c r="R495" s="18">
        <f>Table1[[#This Row],[- LNST chưa phân phối kỳ này]]/Table1[[#This Row],[TỔNG CỘNG TÀI SẢN]]</f>
        <v>9.1343002236414325E-2</v>
      </c>
      <c r="S495" s="21">
        <f>Table1[[#This Row],[5. Lợi nhuận gộp về bán hàng và cung cấp dịch vụ]]/Table1[[#This Row],[TỔNG CỘNG TÀI SẢN]]</f>
        <v>0.26277577989350298</v>
      </c>
      <c r="T49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8.4565228094819975</v>
      </c>
      <c r="U495" s="23">
        <f>Table1[[#This Row],[1. Doanh thu bán hàng và cung cấp dịch vụ ]]/Table1[[#This Row],[TỔNG CỘNG TÀI SẢN]]</f>
        <v>1.0492734255375573</v>
      </c>
      <c r="V495" s="23">
        <f>1.2*Table1[[#This Row],[X1]] + 1.4*Table1[[#This Row],[X2]] + 3.3*Table1[[#This Row],[x3]] + 0.6*Table1[[#This Row],[x4]] + 1*Table1[[#This Row],[x5]]</f>
        <v>7.8510569117141298</v>
      </c>
      <c r="W495" s="23">
        <f>IF(Table1[[#This Row],[Zscore]]&lt;1.81,1,0)</f>
        <v>0</v>
      </c>
    </row>
    <row r="496" spans="1:23" ht="26.25" hidden="1" x14ac:dyDescent="0.45">
      <c r="A496" s="7">
        <v>490</v>
      </c>
      <c r="B496" s="5" t="s">
        <v>993</v>
      </c>
      <c r="C496" s="6" t="s">
        <v>994</v>
      </c>
      <c r="D496" s="6" t="s">
        <v>18</v>
      </c>
      <c r="E496" s="6"/>
      <c r="F496" s="6"/>
      <c r="G496" s="6"/>
      <c r="H496" s="6"/>
      <c r="I496" s="6"/>
      <c r="J496" s="8"/>
      <c r="K496" s="6"/>
      <c r="L496" s="6"/>
      <c r="M496" s="8"/>
      <c r="N496" s="8"/>
      <c r="O496" s="8"/>
      <c r="P496" s="8"/>
      <c r="Q496" s="18" t="e">
        <f>(Table1[[#This Row],[A. TÀI SẢN NGẮN HẠN]]-Table1[[#This Row],[I. Nợ ngắn hạn]])/Table1[[#This Row],[TỔNG CỘNG TÀI SẢN]]</f>
        <v>#DIV/0!</v>
      </c>
      <c r="R496" s="18" t="e">
        <f>Table1[[#This Row],[- LNST chưa phân phối kỳ này]]/Table1[[#This Row],[TỔNG CỘNG TÀI SẢN]]</f>
        <v>#DIV/0!</v>
      </c>
      <c r="S496" s="21" t="e">
        <f>Table1[[#This Row],[5. Lợi nhuận gộp về bán hàng và cung cấp dịch vụ]]/Table1[[#This Row],[TỔNG CỘNG TÀI SẢN]]</f>
        <v>#DIV/0!</v>
      </c>
      <c r="T49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496" s="23" t="e">
        <f>Table1[[#This Row],[1. Doanh thu bán hàng và cung cấp dịch vụ ]]/Table1[[#This Row],[TỔNG CỘNG TÀI SẢN]]</f>
        <v>#DIV/0!</v>
      </c>
      <c r="V496" s="23" t="e">
        <f>1.2*Table1[[#This Row],[X1]] + 1.4*Table1[[#This Row],[X2]] + 3.3*Table1[[#This Row],[x3]] + 0.6*Table1[[#This Row],[x4]] + 1*Table1[[#This Row],[x5]]</f>
        <v>#DIV/0!</v>
      </c>
      <c r="W496" s="23" t="e">
        <f>IF(Table1[[#This Row],[Zscore]]&lt;1.81,1,0)</f>
        <v>#DIV/0!</v>
      </c>
    </row>
    <row r="497" spans="1:23" hidden="1" x14ac:dyDescent="0.45">
      <c r="A497" s="7">
        <v>491</v>
      </c>
      <c r="B497" s="5" t="s">
        <v>995</v>
      </c>
      <c r="C497" s="6" t="s">
        <v>996</v>
      </c>
      <c r="D497" s="6" t="s">
        <v>13</v>
      </c>
      <c r="E497" s="6"/>
      <c r="F497" s="6"/>
      <c r="G497" s="6"/>
      <c r="H497" s="6"/>
      <c r="I497" s="6"/>
      <c r="J497" s="8"/>
      <c r="K497" s="6"/>
      <c r="L497" s="6"/>
      <c r="M497" s="8"/>
      <c r="N497" s="8"/>
      <c r="O497" s="8"/>
      <c r="P497" s="8"/>
      <c r="Q497" s="18" t="e">
        <f>(Table1[[#This Row],[A. TÀI SẢN NGẮN HẠN]]-Table1[[#This Row],[I. Nợ ngắn hạn]])/Table1[[#This Row],[TỔNG CỘNG TÀI SẢN]]</f>
        <v>#DIV/0!</v>
      </c>
      <c r="R497" s="18" t="e">
        <f>Table1[[#This Row],[- LNST chưa phân phối kỳ này]]/Table1[[#This Row],[TỔNG CỘNG TÀI SẢN]]</f>
        <v>#DIV/0!</v>
      </c>
      <c r="S497" s="21" t="e">
        <f>Table1[[#This Row],[5. Lợi nhuận gộp về bán hàng và cung cấp dịch vụ]]/Table1[[#This Row],[TỔNG CỘNG TÀI SẢN]]</f>
        <v>#DIV/0!</v>
      </c>
      <c r="T49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497" s="23" t="e">
        <f>Table1[[#This Row],[1. Doanh thu bán hàng và cung cấp dịch vụ ]]/Table1[[#This Row],[TỔNG CỘNG TÀI SẢN]]</f>
        <v>#DIV/0!</v>
      </c>
      <c r="V497" s="23" t="e">
        <f>1.2*Table1[[#This Row],[X1]] + 1.4*Table1[[#This Row],[X2]] + 3.3*Table1[[#This Row],[x3]] + 0.6*Table1[[#This Row],[x4]] + 1*Table1[[#This Row],[x5]]</f>
        <v>#DIV/0!</v>
      </c>
      <c r="W497" s="23" t="e">
        <f>IF(Table1[[#This Row],[Zscore]]&lt;1.81,1,0)</f>
        <v>#DIV/0!</v>
      </c>
    </row>
    <row r="498" spans="1:23" hidden="1" x14ac:dyDescent="0.45">
      <c r="A498" s="7">
        <v>492</v>
      </c>
      <c r="B498" s="5" t="s">
        <v>997</v>
      </c>
      <c r="C498" s="6" t="s">
        <v>998</v>
      </c>
      <c r="D498" s="6" t="s">
        <v>18</v>
      </c>
      <c r="E498" s="6"/>
      <c r="F498" s="6"/>
      <c r="G498" s="6"/>
      <c r="H498" s="6"/>
      <c r="I498" s="6"/>
      <c r="J498" s="8"/>
      <c r="K498" s="6"/>
      <c r="L498" s="6"/>
      <c r="M498" s="8">
        <v>57394134600</v>
      </c>
      <c r="N498" s="8"/>
      <c r="O498" s="8">
        <v>50067223800</v>
      </c>
      <c r="P498" s="8">
        <v>57394134600</v>
      </c>
      <c r="Q498" s="18" t="e">
        <f>(Table1[[#This Row],[A. TÀI SẢN NGẮN HẠN]]-Table1[[#This Row],[I. Nợ ngắn hạn]])/Table1[[#This Row],[TỔNG CỘNG TÀI SẢN]]</f>
        <v>#DIV/0!</v>
      </c>
      <c r="R498" s="18" t="e">
        <f>Table1[[#This Row],[- LNST chưa phân phối kỳ này]]/Table1[[#This Row],[TỔNG CỘNG TÀI SẢN]]</f>
        <v>#DIV/0!</v>
      </c>
      <c r="S498" s="21" t="e">
        <f>Table1[[#This Row],[5. Lợi nhuận gộp về bán hàng và cung cấp dịch vụ]]/Table1[[#This Row],[TỔNG CỘNG TÀI SẢN]]</f>
        <v>#DIV/0!</v>
      </c>
      <c r="T49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498" s="23" t="e">
        <f>Table1[[#This Row],[1. Doanh thu bán hàng và cung cấp dịch vụ ]]/Table1[[#This Row],[TỔNG CỘNG TÀI SẢN]]</f>
        <v>#DIV/0!</v>
      </c>
      <c r="V498" s="23" t="e">
        <f>1.2*Table1[[#This Row],[X1]] + 1.4*Table1[[#This Row],[X2]] + 3.3*Table1[[#This Row],[x3]] + 0.6*Table1[[#This Row],[x4]] + 1*Table1[[#This Row],[x5]]</f>
        <v>#DIV/0!</v>
      </c>
      <c r="W498" s="23" t="e">
        <f>IF(Table1[[#This Row],[Zscore]]&lt;1.81,1,0)</f>
        <v>#DIV/0!</v>
      </c>
    </row>
    <row r="499" spans="1:23" hidden="1" x14ac:dyDescent="0.45">
      <c r="A499" s="7">
        <v>493</v>
      </c>
      <c r="B499" s="5" t="s">
        <v>999</v>
      </c>
      <c r="C499" s="6" t="s">
        <v>1000</v>
      </c>
      <c r="D499" s="6" t="s">
        <v>18</v>
      </c>
      <c r="E499" s="6"/>
      <c r="F499" s="6"/>
      <c r="G499" s="6"/>
      <c r="H499" s="6"/>
      <c r="I499" s="6"/>
      <c r="J499" s="8"/>
      <c r="K499" s="6"/>
      <c r="L499" s="6"/>
      <c r="M499" s="8"/>
      <c r="N499" s="8"/>
      <c r="O499" s="8"/>
      <c r="P499" s="8"/>
      <c r="Q499" s="18" t="e">
        <f>(Table1[[#This Row],[A. TÀI SẢN NGẮN HẠN]]-Table1[[#This Row],[I. Nợ ngắn hạn]])/Table1[[#This Row],[TỔNG CỘNG TÀI SẢN]]</f>
        <v>#DIV/0!</v>
      </c>
      <c r="R499" s="18" t="e">
        <f>Table1[[#This Row],[- LNST chưa phân phối kỳ này]]/Table1[[#This Row],[TỔNG CỘNG TÀI SẢN]]</f>
        <v>#DIV/0!</v>
      </c>
      <c r="S499" s="21" t="e">
        <f>Table1[[#This Row],[5. Lợi nhuận gộp về bán hàng và cung cấp dịch vụ]]/Table1[[#This Row],[TỔNG CỘNG TÀI SẢN]]</f>
        <v>#DIV/0!</v>
      </c>
      <c r="T49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499" s="23" t="e">
        <f>Table1[[#This Row],[1. Doanh thu bán hàng và cung cấp dịch vụ ]]/Table1[[#This Row],[TỔNG CỘNG TÀI SẢN]]</f>
        <v>#DIV/0!</v>
      </c>
      <c r="V499" s="23" t="e">
        <f>1.2*Table1[[#This Row],[X1]] + 1.4*Table1[[#This Row],[X2]] + 3.3*Table1[[#This Row],[x3]] + 0.6*Table1[[#This Row],[x4]] + 1*Table1[[#This Row],[x5]]</f>
        <v>#DIV/0!</v>
      </c>
      <c r="W499" s="23" t="e">
        <f>IF(Table1[[#This Row],[Zscore]]&lt;1.81,1,0)</f>
        <v>#DIV/0!</v>
      </c>
    </row>
    <row r="500" spans="1:23" x14ac:dyDescent="0.45">
      <c r="A500" s="7">
        <v>494</v>
      </c>
      <c r="B500" s="5" t="s">
        <v>1001</v>
      </c>
      <c r="C500" s="6" t="s">
        <v>1002</v>
      </c>
      <c r="D500" s="6" t="s">
        <v>36</v>
      </c>
      <c r="E500" s="8">
        <v>578657645413</v>
      </c>
      <c r="F500" s="8">
        <v>416045863886</v>
      </c>
      <c r="G500" s="8">
        <v>252936892856</v>
      </c>
      <c r="H500" s="8">
        <v>38937022892</v>
      </c>
      <c r="I500" s="8">
        <v>115006818182</v>
      </c>
      <c r="J500" s="8"/>
      <c r="K500" s="8">
        <v>264751511193</v>
      </c>
      <c r="L500" s="8">
        <v>584375119381</v>
      </c>
      <c r="M500" s="8">
        <v>363888000000</v>
      </c>
      <c r="N500" s="8">
        <v>348839320000</v>
      </c>
      <c r="O500" s="8">
        <v>325584000000</v>
      </c>
      <c r="P500" s="8">
        <v>363888000000</v>
      </c>
      <c r="Q500" s="18">
        <f>(Table1[[#This Row],[A. TÀI SẢN NGẮN HẠN]]-Table1[[#This Row],[I. Nợ ngắn hạn]])/Table1[[#This Row],[TỔNG CỘNG TÀI SẢN]]</f>
        <v>0.28187473599106383</v>
      </c>
      <c r="R500" s="18">
        <f>Table1[[#This Row],[- LNST chưa phân phối kỳ này]]/Table1[[#This Row],[TỔNG CỘNG TÀI SẢN]]</f>
        <v>6.7288530965852592E-2</v>
      </c>
      <c r="S500" s="21">
        <f>Table1[[#This Row],[5. Lợi nhuận gộp về bán hàng và cung cấp dịch vụ]]/Table1[[#This Row],[TỔNG CỘNG TÀI SẢN]]</f>
        <v>0.19874759988683333</v>
      </c>
      <c r="T50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1.3240711202001574</v>
      </c>
      <c r="U500" s="23">
        <f>Table1[[#This Row],[1. Doanh thu bán hàng và cung cấp dịch vụ ]]/Table1[[#This Row],[TỔNG CỘNG TÀI SẢN]]</f>
        <v>1.009880581399593</v>
      </c>
      <c r="V500" s="23">
        <f>1.2*Table1[[#This Row],[X1]] + 1.4*Table1[[#This Row],[X2]] + 3.3*Table1[[#This Row],[x3]] + 0.6*Table1[[#This Row],[x4]] + 1*Table1[[#This Row],[x5]]</f>
        <v>2.8926439596877076</v>
      </c>
      <c r="W500" s="23">
        <f>IF(Table1[[#This Row],[Zscore]]&lt;1.81,1,0)</f>
        <v>0</v>
      </c>
    </row>
    <row r="501" spans="1:23" ht="26.25" hidden="1" x14ac:dyDescent="0.45">
      <c r="A501" s="7">
        <v>495</v>
      </c>
      <c r="B501" s="5" t="s">
        <v>1003</v>
      </c>
      <c r="C501" s="6" t="s">
        <v>1004</v>
      </c>
      <c r="D501" s="6" t="s">
        <v>13</v>
      </c>
      <c r="E501" s="6"/>
      <c r="F501" s="6"/>
      <c r="G501" s="6"/>
      <c r="H501" s="6"/>
      <c r="I501" s="6"/>
      <c r="J501" s="8"/>
      <c r="K501" s="6"/>
      <c r="L501" s="6"/>
      <c r="M501" s="8"/>
      <c r="N501" s="8"/>
      <c r="O501" s="8"/>
      <c r="P501" s="8"/>
      <c r="Q501" s="18" t="e">
        <f>(Table1[[#This Row],[A. TÀI SẢN NGẮN HẠN]]-Table1[[#This Row],[I. Nợ ngắn hạn]])/Table1[[#This Row],[TỔNG CỘNG TÀI SẢN]]</f>
        <v>#DIV/0!</v>
      </c>
      <c r="R501" s="18" t="e">
        <f>Table1[[#This Row],[- LNST chưa phân phối kỳ này]]/Table1[[#This Row],[TỔNG CỘNG TÀI SẢN]]</f>
        <v>#DIV/0!</v>
      </c>
      <c r="S501" s="21" t="e">
        <f>Table1[[#This Row],[5. Lợi nhuận gộp về bán hàng và cung cấp dịch vụ]]/Table1[[#This Row],[TỔNG CỘNG TÀI SẢN]]</f>
        <v>#DIV/0!</v>
      </c>
      <c r="T50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501" s="23" t="e">
        <f>Table1[[#This Row],[1. Doanh thu bán hàng và cung cấp dịch vụ ]]/Table1[[#This Row],[TỔNG CỘNG TÀI SẢN]]</f>
        <v>#DIV/0!</v>
      </c>
      <c r="V501" s="23" t="e">
        <f>1.2*Table1[[#This Row],[X1]] + 1.4*Table1[[#This Row],[X2]] + 3.3*Table1[[#This Row],[x3]] + 0.6*Table1[[#This Row],[x4]] + 1*Table1[[#This Row],[x5]]</f>
        <v>#DIV/0!</v>
      </c>
      <c r="W501" s="23" t="e">
        <f>IF(Table1[[#This Row],[Zscore]]&lt;1.81,1,0)</f>
        <v>#DIV/0!</v>
      </c>
    </row>
    <row r="502" spans="1:23" hidden="1" x14ac:dyDescent="0.45">
      <c r="A502" s="7">
        <v>496</v>
      </c>
      <c r="B502" s="5" t="s">
        <v>1005</v>
      </c>
      <c r="C502" s="6" t="s">
        <v>1006</v>
      </c>
      <c r="D502" s="6" t="s">
        <v>13</v>
      </c>
      <c r="E502" s="6"/>
      <c r="F502" s="6"/>
      <c r="G502" s="6"/>
      <c r="H502" s="6"/>
      <c r="I502" s="6"/>
      <c r="J502" s="8"/>
      <c r="K502" s="6"/>
      <c r="L502" s="6"/>
      <c r="M502" s="8"/>
      <c r="N502" s="8"/>
      <c r="O502" s="8"/>
      <c r="P502" s="8"/>
      <c r="Q502" s="18" t="e">
        <f>(Table1[[#This Row],[A. TÀI SẢN NGẮN HẠN]]-Table1[[#This Row],[I. Nợ ngắn hạn]])/Table1[[#This Row],[TỔNG CỘNG TÀI SẢN]]</f>
        <v>#DIV/0!</v>
      </c>
      <c r="R502" s="18" t="e">
        <f>Table1[[#This Row],[- LNST chưa phân phối kỳ này]]/Table1[[#This Row],[TỔNG CỘNG TÀI SẢN]]</f>
        <v>#DIV/0!</v>
      </c>
      <c r="S502" s="21" t="e">
        <f>Table1[[#This Row],[5. Lợi nhuận gộp về bán hàng và cung cấp dịch vụ]]/Table1[[#This Row],[TỔNG CỘNG TÀI SẢN]]</f>
        <v>#DIV/0!</v>
      </c>
      <c r="T50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502" s="23" t="e">
        <f>Table1[[#This Row],[1. Doanh thu bán hàng và cung cấp dịch vụ ]]/Table1[[#This Row],[TỔNG CỘNG TÀI SẢN]]</f>
        <v>#DIV/0!</v>
      </c>
      <c r="V502" s="23" t="e">
        <f>1.2*Table1[[#This Row],[X1]] + 1.4*Table1[[#This Row],[X2]] + 3.3*Table1[[#This Row],[x3]] + 0.6*Table1[[#This Row],[x4]] + 1*Table1[[#This Row],[x5]]</f>
        <v>#DIV/0!</v>
      </c>
      <c r="W502" s="23" t="e">
        <f>IF(Table1[[#This Row],[Zscore]]&lt;1.81,1,0)</f>
        <v>#DIV/0!</v>
      </c>
    </row>
    <row r="503" spans="1:23" x14ac:dyDescent="0.45">
      <c r="A503" s="7">
        <v>497</v>
      </c>
      <c r="B503" s="5" t="s">
        <v>1007</v>
      </c>
      <c r="C503" s="6" t="s">
        <v>1008</v>
      </c>
      <c r="D503" s="6" t="s">
        <v>21</v>
      </c>
      <c r="E503" s="8">
        <v>29701487775326</v>
      </c>
      <c r="F503" s="8">
        <v>27963158562687</v>
      </c>
      <c r="G503" s="8">
        <v>20683693565533</v>
      </c>
      <c r="H503" s="8">
        <v>456184761211</v>
      </c>
      <c r="I503" s="8">
        <v>815142288987</v>
      </c>
      <c r="J503" s="8"/>
      <c r="K503" s="8">
        <v>20736323013125</v>
      </c>
      <c r="L503" s="8">
        <v>24884629649283</v>
      </c>
      <c r="M503" s="8">
        <v>8494051190000</v>
      </c>
      <c r="N503" s="8">
        <v>7708681064000</v>
      </c>
      <c r="O503" s="8">
        <v>8544016197000</v>
      </c>
      <c r="P503" s="8">
        <v>7921684093400</v>
      </c>
      <c r="Q503" s="18">
        <f>(Table1[[#This Row],[A. TÀI SẢN NGẮN HẠN]]-Table1[[#This Row],[I. Nợ ngắn hạn]])/Table1[[#This Row],[TỔNG CỘNG TÀI SẢN]]</f>
        <v>0.24508755427400813</v>
      </c>
      <c r="R503" s="18">
        <f>Table1[[#This Row],[- LNST chưa phân phối kỳ này]]/Table1[[#This Row],[TỔNG CỘNG TÀI SẢN]]</f>
        <v>1.5358986885160939E-2</v>
      </c>
      <c r="S503" s="21">
        <f>Table1[[#This Row],[5. Lợi nhuận gộp về bán hàng và cung cấp dịch vụ]]/Table1[[#This Row],[TỔNG CỘNG TÀI SẢN]]</f>
        <v>2.7444493526824789E-2</v>
      </c>
      <c r="T50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0.39385517533318953</v>
      </c>
      <c r="U503" s="23">
        <f>Table1[[#This Row],[1. Doanh thu bán hàng và cung cấp dịch vụ ]]/Table1[[#This Row],[TỔNG CỘNG TÀI SẢN]]</f>
        <v>0.83782434864948008</v>
      </c>
      <c r="V503" s="23">
        <f>1.2*Table1[[#This Row],[X1]] + 1.4*Table1[[#This Row],[X2]] + 3.3*Table1[[#This Row],[x3]] + 0.6*Table1[[#This Row],[x4]] + 1*Table1[[#This Row],[x5]]</f>
        <v>1.4803119292559506</v>
      </c>
      <c r="W503" s="23">
        <f>IF(Table1[[#This Row],[Zscore]]&lt;1.81,1,0)</f>
        <v>1</v>
      </c>
    </row>
    <row r="504" spans="1:23" hidden="1" x14ac:dyDescent="0.45">
      <c r="A504" s="7">
        <v>498</v>
      </c>
      <c r="B504" s="5" t="s">
        <v>1009</v>
      </c>
      <c r="C504" s="6" t="s">
        <v>1010</v>
      </c>
      <c r="D504" s="6" t="s">
        <v>13</v>
      </c>
      <c r="E504" s="6"/>
      <c r="F504" s="6"/>
      <c r="G504" s="6"/>
      <c r="H504" s="6"/>
      <c r="I504" s="6"/>
      <c r="J504" s="8"/>
      <c r="K504" s="6"/>
      <c r="L504" s="6"/>
      <c r="M504" s="8"/>
      <c r="N504" s="8"/>
      <c r="O504" s="8"/>
      <c r="P504" s="8"/>
      <c r="Q504" s="18" t="e">
        <f>(Table1[[#This Row],[A. TÀI SẢN NGẮN HẠN]]-Table1[[#This Row],[I. Nợ ngắn hạn]])/Table1[[#This Row],[TỔNG CỘNG TÀI SẢN]]</f>
        <v>#DIV/0!</v>
      </c>
      <c r="R504" s="18" t="e">
        <f>Table1[[#This Row],[- LNST chưa phân phối kỳ này]]/Table1[[#This Row],[TỔNG CỘNG TÀI SẢN]]</f>
        <v>#DIV/0!</v>
      </c>
      <c r="S504" s="21" t="e">
        <f>Table1[[#This Row],[5. Lợi nhuận gộp về bán hàng và cung cấp dịch vụ]]/Table1[[#This Row],[TỔNG CỘNG TÀI SẢN]]</f>
        <v>#DIV/0!</v>
      </c>
      <c r="T50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504" s="23" t="e">
        <f>Table1[[#This Row],[1. Doanh thu bán hàng và cung cấp dịch vụ ]]/Table1[[#This Row],[TỔNG CỘNG TÀI SẢN]]</f>
        <v>#DIV/0!</v>
      </c>
      <c r="V504" s="23" t="e">
        <f>1.2*Table1[[#This Row],[X1]] + 1.4*Table1[[#This Row],[X2]] + 3.3*Table1[[#This Row],[x3]] + 0.6*Table1[[#This Row],[x4]] + 1*Table1[[#This Row],[x5]]</f>
        <v>#DIV/0!</v>
      </c>
      <c r="W504" s="23" t="e">
        <f>IF(Table1[[#This Row],[Zscore]]&lt;1.81,1,0)</f>
        <v>#DIV/0!</v>
      </c>
    </row>
    <row r="505" spans="1:23" x14ac:dyDescent="0.45">
      <c r="A505" s="7">
        <v>499</v>
      </c>
      <c r="B505" s="5" t="s">
        <v>1011</v>
      </c>
      <c r="C505" s="6" t="s">
        <v>1012</v>
      </c>
      <c r="D505" s="6" t="s">
        <v>21</v>
      </c>
      <c r="E505" s="8">
        <v>3950244561674</v>
      </c>
      <c r="F505" s="8">
        <v>2947422817762</v>
      </c>
      <c r="G505" s="8">
        <v>2618132542697</v>
      </c>
      <c r="H505" s="8">
        <v>10159420894</v>
      </c>
      <c r="I505" s="8">
        <v>449578382574</v>
      </c>
      <c r="J505" s="8"/>
      <c r="K505" s="8">
        <v>2865441705420</v>
      </c>
      <c r="L505" s="8">
        <v>8923486216666</v>
      </c>
      <c r="M505" s="8">
        <v>1932207951800</v>
      </c>
      <c r="N505" s="8">
        <v>1817423321000</v>
      </c>
      <c r="O505" s="8">
        <v>2090036819150</v>
      </c>
      <c r="P505" s="8">
        <v>1922642565900</v>
      </c>
      <c r="Q505" s="18">
        <f>(Table1[[#This Row],[A. TÀI SẢN NGẮN HẠN]]-Table1[[#This Row],[I. Nợ ngắn hạn]])/Table1[[#This Row],[TỔNG CỘNG TÀI SẢN]]</f>
        <v>8.3359465451793763E-2</v>
      </c>
      <c r="R505" s="18">
        <f>Table1[[#This Row],[- LNST chưa phân phối kỳ này]]/Table1[[#This Row],[TỔNG CỘNG TÀI SẢN]]</f>
        <v>2.5718460554489645E-3</v>
      </c>
      <c r="S505" s="21">
        <f>Table1[[#This Row],[5. Lợi nhuận gộp về bán hàng và cung cấp dịch vụ]]/Table1[[#This Row],[TỔNG CỘNG TÀI SẢN]]</f>
        <v>0.11381026555568033</v>
      </c>
      <c r="T50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0.6772350876278117</v>
      </c>
      <c r="U505" s="23">
        <f>Table1[[#This Row],[1. Doanh thu bán hàng và cung cấp dịch vụ ]]/Table1[[#This Row],[TỔNG CỘNG TÀI SẢN]]</f>
        <v>2.2589705719092197</v>
      </c>
      <c r="V505" s="23">
        <f>1.2*Table1[[#This Row],[X1]] + 1.4*Table1[[#This Row],[X2]] + 3.3*Table1[[#This Row],[x3]] + 0.6*Table1[[#This Row],[x4]] + 1*Table1[[#This Row],[x5]]</f>
        <v>3.1445174438394328</v>
      </c>
      <c r="W505" s="23">
        <f>IF(Table1[[#This Row],[Zscore]]&lt;1.81,1,0)</f>
        <v>0</v>
      </c>
    </row>
    <row r="506" spans="1:23" ht="26.25" x14ac:dyDescent="0.45">
      <c r="A506" s="7">
        <v>500</v>
      </c>
      <c r="B506" s="5" t="s">
        <v>1013</v>
      </c>
      <c r="C506" s="6" t="s">
        <v>1014</v>
      </c>
      <c r="D506" s="6" t="s">
        <v>21</v>
      </c>
      <c r="E506" s="8">
        <v>2767699300000000</v>
      </c>
      <c r="F506" s="6"/>
      <c r="G506" s="6"/>
      <c r="H506" s="6"/>
      <c r="I506" s="6"/>
      <c r="J506" s="8"/>
      <c r="K506" s="8">
        <v>2588058119000000</v>
      </c>
      <c r="L506" s="8">
        <v>143142328000000</v>
      </c>
      <c r="M506" s="8">
        <v>222586157954600</v>
      </c>
      <c r="N506" s="8">
        <v>191977204991000</v>
      </c>
      <c r="O506" s="8">
        <v>225002654241200</v>
      </c>
      <c r="P506" s="8">
        <v>272795580798400</v>
      </c>
      <c r="Q506" s="18">
        <f>(Table1[[#This Row],[A. TÀI SẢN NGẮN HẠN]]-Table1[[#This Row],[I. Nợ ngắn hạn]])/Table1[[#This Row],[TỔNG CỘNG TÀI SẢN]]</f>
        <v>0</v>
      </c>
      <c r="R506" s="18">
        <f>Table1[[#This Row],[- LNST chưa phân phối kỳ này]]/Table1[[#This Row],[TỔNG CỘNG TÀI SẢN]]</f>
        <v>0</v>
      </c>
      <c r="S506" s="21">
        <f>Table1[[#This Row],[5. Lợi nhuận gộp về bán hàng và cung cấp dịch vụ]]/Table1[[#This Row],[TỔNG CỘNG TÀI SẢN]]</f>
        <v>0</v>
      </c>
      <c r="T50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8.8131869149998793E-2</v>
      </c>
      <c r="U506" s="23">
        <f>Table1[[#This Row],[1. Doanh thu bán hàng và cung cấp dịch vụ ]]/Table1[[#This Row],[TỔNG CỘNG TÀI SẢN]]</f>
        <v>5.1718887236051982E-2</v>
      </c>
      <c r="V506" s="23">
        <f>1.2*Table1[[#This Row],[X1]] + 1.4*Table1[[#This Row],[X2]] + 3.3*Table1[[#This Row],[x3]] + 0.6*Table1[[#This Row],[x4]] + 1*Table1[[#This Row],[x5]]</f>
        <v>0.10459800872605125</v>
      </c>
      <c r="W506" s="23">
        <f>IF(Table1[[#This Row],[Zscore]]&lt;1.81,1,0)</f>
        <v>1</v>
      </c>
    </row>
    <row r="507" spans="1:23" ht="26.25" hidden="1" x14ac:dyDescent="0.45">
      <c r="A507" s="7">
        <v>501</v>
      </c>
      <c r="B507" s="5" t="s">
        <v>1015</v>
      </c>
      <c r="C507" s="6" t="s">
        <v>1016</v>
      </c>
      <c r="D507" s="6" t="s">
        <v>13</v>
      </c>
      <c r="E507" s="6"/>
      <c r="F507" s="6"/>
      <c r="G507" s="6"/>
      <c r="H507" s="6"/>
      <c r="I507" s="6"/>
      <c r="J507" s="8"/>
      <c r="K507" s="6"/>
      <c r="L507" s="6"/>
      <c r="M507" s="8"/>
      <c r="N507" s="8"/>
      <c r="O507" s="8"/>
      <c r="P507" s="8"/>
      <c r="Q507" s="18" t="e">
        <f>(Table1[[#This Row],[A. TÀI SẢN NGẮN HẠN]]-Table1[[#This Row],[I. Nợ ngắn hạn]])/Table1[[#This Row],[TỔNG CỘNG TÀI SẢN]]</f>
        <v>#DIV/0!</v>
      </c>
      <c r="R507" s="18" t="e">
        <f>Table1[[#This Row],[- LNST chưa phân phối kỳ này]]/Table1[[#This Row],[TỔNG CỘNG TÀI SẢN]]</f>
        <v>#DIV/0!</v>
      </c>
      <c r="S507" s="21" t="e">
        <f>Table1[[#This Row],[5. Lợi nhuận gộp về bán hàng và cung cấp dịch vụ]]/Table1[[#This Row],[TỔNG CỘNG TÀI SẢN]]</f>
        <v>#DIV/0!</v>
      </c>
      <c r="T50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507" s="23" t="e">
        <f>Table1[[#This Row],[1. Doanh thu bán hàng và cung cấp dịch vụ ]]/Table1[[#This Row],[TỔNG CỘNG TÀI SẢN]]</f>
        <v>#DIV/0!</v>
      </c>
      <c r="V507" s="23" t="e">
        <f>1.2*Table1[[#This Row],[X1]] + 1.4*Table1[[#This Row],[X2]] + 3.3*Table1[[#This Row],[x3]] + 0.6*Table1[[#This Row],[x4]] + 1*Table1[[#This Row],[x5]]</f>
        <v>#DIV/0!</v>
      </c>
      <c r="W507" s="23" t="e">
        <f>IF(Table1[[#This Row],[Zscore]]&lt;1.81,1,0)</f>
        <v>#DIV/0!</v>
      </c>
    </row>
    <row r="508" spans="1:23" ht="26.25" x14ac:dyDescent="0.45">
      <c r="A508" s="7">
        <v>502</v>
      </c>
      <c r="B508" s="5" t="s">
        <v>1017</v>
      </c>
      <c r="C508" s="6" t="s">
        <v>1018</v>
      </c>
      <c r="D508" s="6" t="s">
        <v>21</v>
      </c>
      <c r="E508" s="8">
        <v>4614184610275</v>
      </c>
      <c r="F508" s="8">
        <v>425156760991</v>
      </c>
      <c r="G508" s="8">
        <v>733052316173</v>
      </c>
      <c r="H508" s="8">
        <v>147171950571</v>
      </c>
      <c r="I508" s="8">
        <v>522544028725</v>
      </c>
      <c r="J508" s="8"/>
      <c r="K508" s="8">
        <v>2733967701349</v>
      </c>
      <c r="L508" s="8">
        <v>1478441999415</v>
      </c>
      <c r="M508" s="8">
        <v>1172719935800</v>
      </c>
      <c r="N508" s="8">
        <v>1401749933250</v>
      </c>
      <c r="O508" s="8">
        <v>1518075976650</v>
      </c>
      <c r="P508" s="8">
        <v>1584449924550</v>
      </c>
      <c r="Q508" s="18">
        <f>(Table1[[#This Row],[A. TÀI SẢN NGẮN HẠN]]-Table1[[#This Row],[I. Nợ ngắn hạn]])/Table1[[#This Row],[TỔNG CỘNG TÀI SẢN]]</f>
        <v>-6.6728052990417688E-2</v>
      </c>
      <c r="R508" s="18">
        <f>Table1[[#This Row],[- LNST chưa phân phối kỳ này]]/Table1[[#This Row],[TỔNG CỘNG TÀI SẢN]]</f>
        <v>3.1895548835058143E-2</v>
      </c>
      <c r="S508" s="21">
        <f>Table1[[#This Row],[5. Lợi nhuận gộp về bán hàng và cung cấp dịch vụ]]/Table1[[#This Row],[TỔNG CỘNG TÀI SẢN]]</f>
        <v>0.11324731731829364</v>
      </c>
      <c r="T50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0.51911693830991901</v>
      </c>
      <c r="U508" s="23">
        <f>Table1[[#This Row],[1. Doanh thu bán hàng và cung cấp dịch vụ ]]/Table1[[#This Row],[TỔNG CỘNG TÀI SẢN]]</f>
        <v>0.32041240745391125</v>
      </c>
      <c r="V508" s="23">
        <f>1.2*Table1[[#This Row],[X1]] + 1.4*Table1[[#This Row],[X2]] + 3.3*Table1[[#This Row],[x3]] + 0.6*Table1[[#This Row],[x4]] + 1*Table1[[#This Row],[x5]]</f>
        <v>0.97017882237081166</v>
      </c>
      <c r="W508" s="23">
        <f>IF(Table1[[#This Row],[Zscore]]&lt;1.81,1,0)</f>
        <v>1</v>
      </c>
    </row>
    <row r="509" spans="1:23" ht="26.25" hidden="1" x14ac:dyDescent="0.45">
      <c r="A509" s="7">
        <v>503</v>
      </c>
      <c r="B509" s="5" t="s">
        <v>1019</v>
      </c>
      <c r="C509" s="6" t="s">
        <v>1020</v>
      </c>
      <c r="D509" s="6" t="s">
        <v>13</v>
      </c>
      <c r="E509" s="6"/>
      <c r="F509" s="6"/>
      <c r="G509" s="6"/>
      <c r="H509" s="6"/>
      <c r="I509" s="6"/>
      <c r="J509" s="8"/>
      <c r="K509" s="6"/>
      <c r="L509" s="6"/>
      <c r="M509" s="8"/>
      <c r="N509" s="8"/>
      <c r="O509" s="8"/>
      <c r="P509" s="8"/>
      <c r="Q509" s="18" t="e">
        <f>(Table1[[#This Row],[A. TÀI SẢN NGẮN HẠN]]-Table1[[#This Row],[I. Nợ ngắn hạn]])/Table1[[#This Row],[TỔNG CỘNG TÀI SẢN]]</f>
        <v>#DIV/0!</v>
      </c>
      <c r="R509" s="18" t="e">
        <f>Table1[[#This Row],[- LNST chưa phân phối kỳ này]]/Table1[[#This Row],[TỔNG CỘNG TÀI SẢN]]</f>
        <v>#DIV/0!</v>
      </c>
      <c r="S509" s="21" t="e">
        <f>Table1[[#This Row],[5. Lợi nhuận gộp về bán hàng và cung cấp dịch vụ]]/Table1[[#This Row],[TỔNG CỘNG TÀI SẢN]]</f>
        <v>#DIV/0!</v>
      </c>
      <c r="T50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509" s="23" t="e">
        <f>Table1[[#This Row],[1. Doanh thu bán hàng và cung cấp dịch vụ ]]/Table1[[#This Row],[TỔNG CỘNG TÀI SẢN]]</f>
        <v>#DIV/0!</v>
      </c>
      <c r="V509" s="23" t="e">
        <f>1.2*Table1[[#This Row],[X1]] + 1.4*Table1[[#This Row],[X2]] + 3.3*Table1[[#This Row],[x3]] + 0.6*Table1[[#This Row],[x4]] + 1*Table1[[#This Row],[x5]]</f>
        <v>#DIV/0!</v>
      </c>
      <c r="W509" s="23" t="e">
        <f>IF(Table1[[#This Row],[Zscore]]&lt;1.81,1,0)</f>
        <v>#DIV/0!</v>
      </c>
    </row>
    <row r="510" spans="1:23" hidden="1" x14ac:dyDescent="0.45">
      <c r="A510" s="7">
        <v>504</v>
      </c>
      <c r="B510" s="5" t="s">
        <v>1021</v>
      </c>
      <c r="C510" s="6" t="s">
        <v>1022</v>
      </c>
      <c r="D510" s="6" t="s">
        <v>13</v>
      </c>
      <c r="E510" s="6"/>
      <c r="F510" s="6"/>
      <c r="G510" s="6"/>
      <c r="H510" s="6"/>
      <c r="I510" s="6"/>
      <c r="J510" s="8"/>
      <c r="K510" s="6"/>
      <c r="L510" s="6"/>
      <c r="M510" s="8"/>
      <c r="N510" s="8"/>
      <c r="O510" s="8"/>
      <c r="P510" s="8"/>
      <c r="Q510" s="18" t="e">
        <f>(Table1[[#This Row],[A. TÀI SẢN NGẮN HẠN]]-Table1[[#This Row],[I. Nợ ngắn hạn]])/Table1[[#This Row],[TỔNG CỘNG TÀI SẢN]]</f>
        <v>#DIV/0!</v>
      </c>
      <c r="R510" s="18" t="e">
        <f>Table1[[#This Row],[- LNST chưa phân phối kỳ này]]/Table1[[#This Row],[TỔNG CỘNG TÀI SẢN]]</f>
        <v>#DIV/0!</v>
      </c>
      <c r="S510" s="21" t="e">
        <f>Table1[[#This Row],[5. Lợi nhuận gộp về bán hàng và cung cấp dịch vụ]]/Table1[[#This Row],[TỔNG CỘNG TÀI SẢN]]</f>
        <v>#DIV/0!</v>
      </c>
      <c r="T51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510" s="23" t="e">
        <f>Table1[[#This Row],[1. Doanh thu bán hàng và cung cấp dịch vụ ]]/Table1[[#This Row],[TỔNG CỘNG TÀI SẢN]]</f>
        <v>#DIV/0!</v>
      </c>
      <c r="V510" s="23" t="e">
        <f>1.2*Table1[[#This Row],[X1]] + 1.4*Table1[[#This Row],[X2]] + 3.3*Table1[[#This Row],[x3]] + 0.6*Table1[[#This Row],[x4]] + 1*Table1[[#This Row],[x5]]</f>
        <v>#DIV/0!</v>
      </c>
      <c r="W510" s="23" t="e">
        <f>IF(Table1[[#This Row],[Zscore]]&lt;1.81,1,0)</f>
        <v>#DIV/0!</v>
      </c>
    </row>
    <row r="511" spans="1:23" x14ac:dyDescent="0.45">
      <c r="A511" s="7">
        <v>505</v>
      </c>
      <c r="B511" s="5" t="s">
        <v>1023</v>
      </c>
      <c r="C511" s="6" t="s">
        <v>1024</v>
      </c>
      <c r="D511" s="6" t="s">
        <v>36</v>
      </c>
      <c r="E511" s="8">
        <v>153898553227</v>
      </c>
      <c r="F511" s="8">
        <v>14898553227</v>
      </c>
      <c r="G511" s="8">
        <v>5335495045</v>
      </c>
      <c r="H511" s="8">
        <v>45991691</v>
      </c>
      <c r="I511" s="8">
        <v>643203441</v>
      </c>
      <c r="J511" s="8"/>
      <c r="K511" s="8">
        <v>5335495045</v>
      </c>
      <c r="L511" s="8">
        <v>52498252900</v>
      </c>
      <c r="M511" s="8">
        <v>407769730400</v>
      </c>
      <c r="N511" s="8">
        <v>93169938400</v>
      </c>
      <c r="O511" s="8">
        <v>211749860000</v>
      </c>
      <c r="P511" s="8">
        <v>136729909600</v>
      </c>
      <c r="Q511" s="18">
        <f>(Table1[[#This Row],[A. TÀI SẢN NGẮN HẠN]]-Table1[[#This Row],[I. Nợ ngắn hạn]])/Table1[[#This Row],[TỔNG CỘNG TÀI SẢN]]</f>
        <v>6.2138713987093253E-2</v>
      </c>
      <c r="R511" s="18">
        <f>Table1[[#This Row],[- LNST chưa phân phối kỳ này]]/Table1[[#This Row],[TỔNG CỘNG TÀI SẢN]]</f>
        <v>2.9884420636601026E-4</v>
      </c>
      <c r="S511" s="21">
        <f>Table1[[#This Row],[5. Lợi nhuận gộp về bán hàng và cung cấp dịch vụ]]/Table1[[#This Row],[TỔNG CỘNG TÀI SẢN]]</f>
        <v>4.1793988800614421E-3</v>
      </c>
      <c r="T51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39.800404237841441</v>
      </c>
      <c r="U511" s="23">
        <f>Table1[[#This Row],[1. Doanh thu bán hàng và cung cấp dịch vụ ]]/Table1[[#This Row],[TỔNG CỘNG TÀI SẢN]]</f>
        <v>0.34112245891334148</v>
      </c>
      <c r="V511" s="23">
        <f>1.2*Table1[[#This Row],[X1]] + 1.4*Table1[[#This Row],[X2]] + 3.3*Table1[[#This Row],[x3]] + 0.6*Table1[[#This Row],[x4]] + 1*Table1[[#This Row],[x5]]</f>
        <v>24.310141856595834</v>
      </c>
      <c r="W511" s="23">
        <f>IF(Table1[[#This Row],[Zscore]]&lt;1.81,1,0)</f>
        <v>0</v>
      </c>
    </row>
    <row r="512" spans="1:23" ht="26.25" x14ac:dyDescent="0.45">
      <c r="A512" s="7">
        <v>506</v>
      </c>
      <c r="B512" s="5" t="s">
        <v>1025</v>
      </c>
      <c r="C512" s="6" t="s">
        <v>1026</v>
      </c>
      <c r="D512" s="6" t="s">
        <v>21</v>
      </c>
      <c r="E512" s="8">
        <v>8185325319555</v>
      </c>
      <c r="F512" s="8">
        <v>6625120940577</v>
      </c>
      <c r="G512" s="8">
        <v>5598135329084</v>
      </c>
      <c r="H512" s="8">
        <v>599830934458</v>
      </c>
      <c r="I512" s="8">
        <v>981666154490</v>
      </c>
      <c r="J512" s="8"/>
      <c r="K512" s="8">
        <v>6116552960496</v>
      </c>
      <c r="L512" s="8">
        <v>13939517269142</v>
      </c>
      <c r="M512" s="8">
        <v>11781745537000</v>
      </c>
      <c r="N512" s="8">
        <v>9757115478700</v>
      </c>
      <c r="O512" s="8">
        <v>11758868361200</v>
      </c>
      <c r="P512" s="8">
        <v>9802869830300</v>
      </c>
      <c r="Q512" s="18">
        <f>(Table1[[#This Row],[A. TÀI SẢN NGẮN HẠN]]-Table1[[#This Row],[I. Nợ ngắn hạn]])/Table1[[#This Row],[TỔNG CỘNG TÀI SẢN]]</f>
        <v>0.12546668231249147</v>
      </c>
      <c r="R512" s="18">
        <f>Table1[[#This Row],[- LNST chưa phân phối kỳ này]]/Table1[[#This Row],[TỔNG CỘNG TÀI SẢN]]</f>
        <v>7.3281257743658026E-2</v>
      </c>
      <c r="S512" s="21">
        <f>Table1[[#This Row],[5. Lợi nhuận gộp về bán hàng và cung cấp dịch vụ]]/Table1[[#This Row],[TỔNG CỘNG TÀI SẢN]]</f>
        <v>0.11993001086282651</v>
      </c>
      <c r="T51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1.7616376203053798</v>
      </c>
      <c r="U512" s="23">
        <f>Table1[[#This Row],[1. Doanh thu bán hàng và cung cấp dịch vụ ]]/Table1[[#This Row],[TỔNG CỘNG TÀI SẢN]]</f>
        <v>1.7029887909085366</v>
      </c>
      <c r="V512" s="23">
        <f>1.2*Table1[[#This Row],[X1]] + 1.4*Table1[[#This Row],[X2]] + 3.3*Table1[[#This Row],[x3]] + 0.6*Table1[[#This Row],[x4]] + 1*Table1[[#This Row],[x5]]</f>
        <v>3.4088941785552027</v>
      </c>
      <c r="W512" s="23">
        <f>IF(Table1[[#This Row],[Zscore]]&lt;1.81,1,0)</f>
        <v>0</v>
      </c>
    </row>
    <row r="513" spans="1:23" x14ac:dyDescent="0.45">
      <c r="A513" s="7">
        <v>507</v>
      </c>
      <c r="B513" s="5" t="s">
        <v>1027</v>
      </c>
      <c r="C513" s="6" t="s">
        <v>1028</v>
      </c>
      <c r="D513" s="6" t="s">
        <v>21</v>
      </c>
      <c r="E513" s="8">
        <v>12410698820601</v>
      </c>
      <c r="F513" s="8">
        <v>12312369495806</v>
      </c>
      <c r="G513" s="8">
        <v>9534204197869</v>
      </c>
      <c r="H513" s="8">
        <v>32444620798</v>
      </c>
      <c r="I513" s="8">
        <v>1246564132400</v>
      </c>
      <c r="J513" s="8"/>
      <c r="K513" s="8">
        <v>9555262431087</v>
      </c>
      <c r="L513" s="8">
        <v>2095841946317</v>
      </c>
      <c r="M513" s="8">
        <v>5815667960100</v>
      </c>
      <c r="N513" s="8">
        <v>7050787469700</v>
      </c>
      <c r="O513" s="8">
        <v>3986186734800</v>
      </c>
      <c r="P513" s="8">
        <v>8826777677000</v>
      </c>
      <c r="Q513" s="18">
        <f>(Table1[[#This Row],[A. TÀI SẢN NGẮN HẠN]]-Table1[[#This Row],[I. Nợ ngắn hạn]])/Table1[[#This Row],[TỔNG CỘNG TÀI SẢN]]</f>
        <v>0.22385244683606501</v>
      </c>
      <c r="R513" s="18">
        <f>Table1[[#This Row],[- LNST chưa phân phối kỳ này]]/Table1[[#This Row],[TỔNG CỘNG TÀI SẢN]]</f>
        <v>2.6142460845269984E-3</v>
      </c>
      <c r="S513" s="21">
        <f>Table1[[#This Row],[5. Lợi nhuận gộp về bán hàng và cung cấp dịch vụ]]/Table1[[#This Row],[TỔNG CỘNG TÀI SẢN]]</f>
        <v>0.10044270273731724</v>
      </c>
      <c r="T51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0.6718658965884291</v>
      </c>
      <c r="U513" s="23">
        <f>Table1[[#This Row],[1. Doanh thu bán hàng và cung cấp dịch vụ ]]/Table1[[#This Row],[TỔNG CỘNG TÀI SẢN]]</f>
        <v>0.16887380610977609</v>
      </c>
      <c r="V513" s="23">
        <f>1.2*Table1[[#This Row],[X1]] + 1.4*Table1[[#This Row],[X2]] + 3.3*Table1[[#This Row],[x3]] + 0.6*Table1[[#This Row],[x4]] + 1*Table1[[#This Row],[x5]]</f>
        <v>1.1757371438175961</v>
      </c>
      <c r="W513" s="23">
        <f>IF(Table1[[#This Row],[Zscore]]&lt;1.81,1,0)</f>
        <v>1</v>
      </c>
    </row>
    <row r="514" spans="1:23" x14ac:dyDescent="0.45">
      <c r="A514" s="7">
        <v>508</v>
      </c>
      <c r="B514" s="5" t="s">
        <v>1029</v>
      </c>
      <c r="C514" s="6" t="s">
        <v>1030</v>
      </c>
      <c r="D514" s="6" t="s">
        <v>36</v>
      </c>
      <c r="E514" s="8">
        <v>734377753526</v>
      </c>
      <c r="F514" s="8">
        <v>637155213271</v>
      </c>
      <c r="G514" s="8">
        <v>648090506303</v>
      </c>
      <c r="H514" s="8">
        <v>16355933354</v>
      </c>
      <c r="I514" s="8">
        <v>144850109449</v>
      </c>
      <c r="J514" s="8"/>
      <c r="K514" s="8">
        <v>662637851903</v>
      </c>
      <c r="L514" s="8">
        <v>2305608116157</v>
      </c>
      <c r="M514" s="8">
        <v>76097086200</v>
      </c>
      <c r="N514" s="8">
        <v>139981059800</v>
      </c>
      <c r="O514" s="8">
        <v>83143112700</v>
      </c>
      <c r="P514" s="8">
        <v>107569337900</v>
      </c>
      <c r="Q514" s="18">
        <f>(Table1[[#This Row],[A. TÀI SẢN NGẮN HẠN]]-Table1[[#This Row],[I. Nợ ngắn hạn]])/Table1[[#This Row],[TỔNG CỘNG TÀI SẢN]]</f>
        <v>-1.4890555956380622E-2</v>
      </c>
      <c r="R514" s="18">
        <f>Table1[[#This Row],[- LNST chưa phân phối kỳ này]]/Table1[[#This Row],[TỔNG CỘNG TÀI SẢN]]</f>
        <v>2.227182574018554E-2</v>
      </c>
      <c r="S514" s="21">
        <f>Table1[[#This Row],[5. Lợi nhuận gộp về bán hàng và cung cấp dịch vụ]]/Table1[[#This Row],[TỔNG CỘNG TÀI SẢN]]</f>
        <v>0.19724196267319488</v>
      </c>
      <c r="T51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0.1534739509038596</v>
      </c>
      <c r="U514" s="23">
        <f>Table1[[#This Row],[1. Doanh thu bán hàng và cung cấp dịch vụ ]]/Table1[[#This Row],[TỔNG CỘNG TÀI SẢN]]</f>
        <v>3.1395397056718877</v>
      </c>
      <c r="V514" s="23">
        <f>1.2*Table1[[#This Row],[X1]] + 1.4*Table1[[#This Row],[X2]] + 3.3*Table1[[#This Row],[x3]] + 0.6*Table1[[#This Row],[x4]] + 1*Table1[[#This Row],[x5]]</f>
        <v>3.8958344419243494</v>
      </c>
      <c r="W514" s="23">
        <f>IF(Table1[[#This Row],[Zscore]]&lt;1.81,1,0)</f>
        <v>0</v>
      </c>
    </row>
    <row r="515" spans="1:23" ht="26.25" hidden="1" x14ac:dyDescent="0.45">
      <c r="A515" s="7">
        <v>509</v>
      </c>
      <c r="B515" s="5" t="s">
        <v>1031</v>
      </c>
      <c r="C515" s="6" t="s">
        <v>1032</v>
      </c>
      <c r="D515" s="6" t="s">
        <v>13</v>
      </c>
      <c r="E515" s="6"/>
      <c r="F515" s="6"/>
      <c r="G515" s="6"/>
      <c r="H515" s="6"/>
      <c r="I515" s="6"/>
      <c r="J515" s="8"/>
      <c r="K515" s="6"/>
      <c r="L515" s="6"/>
      <c r="M515" s="8"/>
      <c r="N515" s="8"/>
      <c r="O515" s="8"/>
      <c r="P515" s="8"/>
      <c r="Q515" s="18" t="e">
        <f>(Table1[[#This Row],[A. TÀI SẢN NGẮN HẠN]]-Table1[[#This Row],[I. Nợ ngắn hạn]])/Table1[[#This Row],[TỔNG CỘNG TÀI SẢN]]</f>
        <v>#DIV/0!</v>
      </c>
      <c r="R515" s="18" t="e">
        <f>Table1[[#This Row],[- LNST chưa phân phối kỳ này]]/Table1[[#This Row],[TỔNG CỘNG TÀI SẢN]]</f>
        <v>#DIV/0!</v>
      </c>
      <c r="S515" s="21" t="e">
        <f>Table1[[#This Row],[5. Lợi nhuận gộp về bán hàng và cung cấp dịch vụ]]/Table1[[#This Row],[TỔNG CỘNG TÀI SẢN]]</f>
        <v>#DIV/0!</v>
      </c>
      <c r="T51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515" s="23" t="e">
        <f>Table1[[#This Row],[1. Doanh thu bán hàng và cung cấp dịch vụ ]]/Table1[[#This Row],[TỔNG CỘNG TÀI SẢN]]</f>
        <v>#DIV/0!</v>
      </c>
      <c r="V515" s="23" t="e">
        <f>1.2*Table1[[#This Row],[X1]] + 1.4*Table1[[#This Row],[X2]] + 3.3*Table1[[#This Row],[x3]] + 0.6*Table1[[#This Row],[x4]] + 1*Table1[[#This Row],[x5]]</f>
        <v>#DIV/0!</v>
      </c>
      <c r="W515" s="23" t="e">
        <f>IF(Table1[[#This Row],[Zscore]]&lt;1.81,1,0)</f>
        <v>#DIV/0!</v>
      </c>
    </row>
    <row r="516" spans="1:23" x14ac:dyDescent="0.45">
      <c r="A516" s="7">
        <v>510</v>
      </c>
      <c r="B516" s="5" t="s">
        <v>1033</v>
      </c>
      <c r="C516" s="6" t="s">
        <v>1034</v>
      </c>
      <c r="D516" s="6" t="s">
        <v>18</v>
      </c>
      <c r="E516" s="8">
        <v>942129326431</v>
      </c>
      <c r="F516" s="8">
        <v>210514229951</v>
      </c>
      <c r="G516" s="8">
        <v>176748889070</v>
      </c>
      <c r="H516" s="8">
        <v>73996743794</v>
      </c>
      <c r="I516" s="8">
        <v>230640565814</v>
      </c>
      <c r="J516" s="8"/>
      <c r="K516" s="8">
        <v>339463688363</v>
      </c>
      <c r="L516" s="8">
        <v>458428673887</v>
      </c>
      <c r="M516" s="8">
        <v>901554920000</v>
      </c>
      <c r="N516" s="8">
        <v>671966400000</v>
      </c>
      <c r="O516" s="8">
        <v>867956600000</v>
      </c>
      <c r="P516" s="8">
        <v>772761360000</v>
      </c>
      <c r="Q516" s="18">
        <f>(Table1[[#This Row],[A. TÀI SẢN NGẮN HẠN]]-Table1[[#This Row],[I. Nợ ngắn hạn]])/Table1[[#This Row],[TỔNG CỘNG TÀI SẢN]]</f>
        <v>3.5839390552580279E-2</v>
      </c>
      <c r="R516" s="18">
        <f>Table1[[#This Row],[- LNST chưa phân phối kỳ này]]/Table1[[#This Row],[TỔNG CỘNG TÀI SẢN]]</f>
        <v>7.8542023603401123E-2</v>
      </c>
      <c r="S516" s="21">
        <f>Table1[[#This Row],[5. Lợi nhuận gộp về bán hàng và cung cấp dịch vụ]]/Table1[[#This Row],[TỔNG CỘNG TÀI SẢN]]</f>
        <v>0.24480775552091014</v>
      </c>
      <c r="T51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2.3671451396613774</v>
      </c>
      <c r="U516" s="23">
        <f>Table1[[#This Row],[1. Doanh thu bán hàng và cung cấp dịch vụ ]]/Table1[[#This Row],[TỔNG CỘNG TÀI SẢN]]</f>
        <v>0.48658783993449389</v>
      </c>
      <c r="V516" s="23">
        <f>1.2*Table1[[#This Row],[X1]] + 1.4*Table1[[#This Row],[X2]] + 3.3*Table1[[#This Row],[x3]] + 0.6*Table1[[#This Row],[x4]] + 1*Table1[[#This Row],[x5]]</f>
        <v>2.8677066186581821</v>
      </c>
      <c r="W516" s="23">
        <f>IF(Table1[[#This Row],[Zscore]]&lt;1.81,1,0)</f>
        <v>0</v>
      </c>
    </row>
    <row r="517" spans="1:23" ht="26.25" x14ac:dyDescent="0.45">
      <c r="A517" s="7">
        <v>511</v>
      </c>
      <c r="B517" s="5" t="s">
        <v>1035</v>
      </c>
      <c r="C517" s="6" t="s">
        <v>1036</v>
      </c>
      <c r="D517" s="6" t="s">
        <v>18</v>
      </c>
      <c r="E517" s="8">
        <v>2496899068395</v>
      </c>
      <c r="F517" s="8">
        <v>1331069030407</v>
      </c>
      <c r="G517" s="8">
        <v>959944509580</v>
      </c>
      <c r="H517" s="8">
        <v>196756193394</v>
      </c>
      <c r="I517" s="8">
        <v>296537386170</v>
      </c>
      <c r="J517" s="8"/>
      <c r="K517" s="8">
        <v>1274889507361</v>
      </c>
      <c r="L517" s="8">
        <v>6011129027956</v>
      </c>
      <c r="M517" s="8">
        <v>599695297600</v>
      </c>
      <c r="N517" s="8">
        <v>765400577200</v>
      </c>
      <c r="O517" s="8">
        <v>1262516416000</v>
      </c>
      <c r="P517" s="8">
        <v>1475566061200</v>
      </c>
      <c r="Q517" s="18">
        <f>(Table1[[#This Row],[A. TÀI SẢN NGẮN HẠN]]-Table1[[#This Row],[I. Nợ ngắn hạn]])/Table1[[#This Row],[TỔNG CỘNG TÀI SẢN]]</f>
        <v>0.14863417008904484</v>
      </c>
      <c r="R517" s="18">
        <f>Table1[[#This Row],[- LNST chưa phân phối kỳ này]]/Table1[[#This Row],[TỔNG CỘNG TÀI SẢN]]</f>
        <v>7.8800218993423057E-2</v>
      </c>
      <c r="S517" s="21">
        <f>Table1[[#This Row],[5. Lợi nhuận gộp về bán hàng và cung cấp dịch vụ]]/Table1[[#This Row],[TỔNG CỘNG TÀI SẢN]]</f>
        <v>0.11876226393108209</v>
      </c>
      <c r="T51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0.80461450351362418</v>
      </c>
      <c r="U517" s="23">
        <f>Table1[[#This Row],[1. Doanh thu bán hàng và cung cấp dịch vụ ]]/Table1[[#This Row],[TỔNG CỘNG TÀI SẢN]]</f>
        <v>2.4074377310813517</v>
      </c>
      <c r="V517" s="23">
        <f>1.2*Table1[[#This Row],[X1]] + 1.4*Table1[[#This Row],[X2]] + 3.3*Table1[[#This Row],[x3]] + 0.6*Table1[[#This Row],[x4]] + 1*Table1[[#This Row],[x5]]</f>
        <v>3.5708032148597431</v>
      </c>
      <c r="W517" s="23">
        <f>IF(Table1[[#This Row],[Zscore]]&lt;1.81,1,0)</f>
        <v>0</v>
      </c>
    </row>
    <row r="518" spans="1:23" hidden="1" x14ac:dyDescent="0.45">
      <c r="A518" s="7">
        <v>512</v>
      </c>
      <c r="B518" s="5" t="s">
        <v>1037</v>
      </c>
      <c r="C518" s="6" t="s">
        <v>1038</v>
      </c>
      <c r="D518" s="6" t="s">
        <v>13</v>
      </c>
      <c r="E518" s="6"/>
      <c r="F518" s="6"/>
      <c r="G518" s="6"/>
      <c r="H518" s="6"/>
      <c r="I518" s="6"/>
      <c r="J518" s="8"/>
      <c r="K518" s="6"/>
      <c r="L518" s="6"/>
      <c r="M518" s="8"/>
      <c r="N518" s="8"/>
      <c r="O518" s="8"/>
      <c r="P518" s="8"/>
      <c r="Q518" s="18" t="e">
        <f>(Table1[[#This Row],[A. TÀI SẢN NGẮN HẠN]]-Table1[[#This Row],[I. Nợ ngắn hạn]])/Table1[[#This Row],[TỔNG CỘNG TÀI SẢN]]</f>
        <v>#DIV/0!</v>
      </c>
      <c r="R518" s="18" t="e">
        <f>Table1[[#This Row],[- LNST chưa phân phối kỳ này]]/Table1[[#This Row],[TỔNG CỘNG TÀI SẢN]]</f>
        <v>#DIV/0!</v>
      </c>
      <c r="S518" s="21" t="e">
        <f>Table1[[#This Row],[5. Lợi nhuận gộp về bán hàng và cung cấp dịch vụ]]/Table1[[#This Row],[TỔNG CỘNG TÀI SẢN]]</f>
        <v>#DIV/0!</v>
      </c>
      <c r="T51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518" s="23" t="e">
        <f>Table1[[#This Row],[1. Doanh thu bán hàng và cung cấp dịch vụ ]]/Table1[[#This Row],[TỔNG CỘNG TÀI SẢN]]</f>
        <v>#DIV/0!</v>
      </c>
      <c r="V518" s="23" t="e">
        <f>1.2*Table1[[#This Row],[X1]] + 1.4*Table1[[#This Row],[X2]] + 3.3*Table1[[#This Row],[x3]] + 0.6*Table1[[#This Row],[x4]] + 1*Table1[[#This Row],[x5]]</f>
        <v>#DIV/0!</v>
      </c>
      <c r="W518" s="23" t="e">
        <f>IF(Table1[[#This Row],[Zscore]]&lt;1.81,1,0)</f>
        <v>#DIV/0!</v>
      </c>
    </row>
    <row r="519" spans="1:23" hidden="1" x14ac:dyDescent="0.45">
      <c r="A519" s="7">
        <v>513</v>
      </c>
      <c r="B519" s="5" t="s">
        <v>1039</v>
      </c>
      <c r="C519" s="6" t="s">
        <v>1040</v>
      </c>
      <c r="D519" s="6" t="s">
        <v>13</v>
      </c>
      <c r="E519" s="6"/>
      <c r="F519" s="6"/>
      <c r="G519" s="6"/>
      <c r="H519" s="6"/>
      <c r="I519" s="6"/>
      <c r="J519" s="8"/>
      <c r="K519" s="6"/>
      <c r="L519" s="6"/>
      <c r="M519" s="8"/>
      <c r="N519" s="8"/>
      <c r="O519" s="8"/>
      <c r="P519" s="8"/>
      <c r="Q519" s="18" t="e">
        <f>(Table1[[#This Row],[A. TÀI SẢN NGẮN HẠN]]-Table1[[#This Row],[I. Nợ ngắn hạn]])/Table1[[#This Row],[TỔNG CỘNG TÀI SẢN]]</f>
        <v>#DIV/0!</v>
      </c>
      <c r="R519" s="18" t="e">
        <f>Table1[[#This Row],[- LNST chưa phân phối kỳ này]]/Table1[[#This Row],[TỔNG CỘNG TÀI SẢN]]</f>
        <v>#DIV/0!</v>
      </c>
      <c r="S519" s="21" t="e">
        <f>Table1[[#This Row],[5. Lợi nhuận gộp về bán hàng và cung cấp dịch vụ]]/Table1[[#This Row],[TỔNG CỘNG TÀI SẢN]]</f>
        <v>#DIV/0!</v>
      </c>
      <c r="T51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519" s="23" t="e">
        <f>Table1[[#This Row],[1. Doanh thu bán hàng và cung cấp dịch vụ ]]/Table1[[#This Row],[TỔNG CỘNG TÀI SẢN]]</f>
        <v>#DIV/0!</v>
      </c>
      <c r="V519" s="23" t="e">
        <f>1.2*Table1[[#This Row],[X1]] + 1.4*Table1[[#This Row],[X2]] + 3.3*Table1[[#This Row],[x3]] + 0.6*Table1[[#This Row],[x4]] + 1*Table1[[#This Row],[x5]]</f>
        <v>#DIV/0!</v>
      </c>
      <c r="W519" s="23" t="e">
        <f>IF(Table1[[#This Row],[Zscore]]&lt;1.81,1,0)</f>
        <v>#DIV/0!</v>
      </c>
    </row>
    <row r="520" spans="1:23" ht="26.25" hidden="1" x14ac:dyDescent="0.45">
      <c r="A520" s="7">
        <v>514</v>
      </c>
      <c r="B520" s="5" t="s">
        <v>1041</v>
      </c>
      <c r="C520" s="6" t="s">
        <v>1042</v>
      </c>
      <c r="D520" s="6" t="s">
        <v>13</v>
      </c>
      <c r="E520" s="6"/>
      <c r="F520" s="6"/>
      <c r="G520" s="6"/>
      <c r="H520" s="6"/>
      <c r="I520" s="6"/>
      <c r="J520" s="8"/>
      <c r="K520" s="6"/>
      <c r="L520" s="6"/>
      <c r="M520" s="8"/>
      <c r="N520" s="8"/>
      <c r="O520" s="8"/>
      <c r="P520" s="8"/>
      <c r="Q520" s="18" t="e">
        <f>(Table1[[#This Row],[A. TÀI SẢN NGẮN HẠN]]-Table1[[#This Row],[I. Nợ ngắn hạn]])/Table1[[#This Row],[TỔNG CỘNG TÀI SẢN]]</f>
        <v>#DIV/0!</v>
      </c>
      <c r="R520" s="18" t="e">
        <f>Table1[[#This Row],[- LNST chưa phân phối kỳ này]]/Table1[[#This Row],[TỔNG CỘNG TÀI SẢN]]</f>
        <v>#DIV/0!</v>
      </c>
      <c r="S520" s="21" t="e">
        <f>Table1[[#This Row],[5. Lợi nhuận gộp về bán hàng và cung cấp dịch vụ]]/Table1[[#This Row],[TỔNG CỘNG TÀI SẢN]]</f>
        <v>#DIV/0!</v>
      </c>
      <c r="T52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520" s="23" t="e">
        <f>Table1[[#This Row],[1. Doanh thu bán hàng và cung cấp dịch vụ ]]/Table1[[#This Row],[TỔNG CỘNG TÀI SẢN]]</f>
        <v>#DIV/0!</v>
      </c>
      <c r="V520" s="23" t="e">
        <f>1.2*Table1[[#This Row],[X1]] + 1.4*Table1[[#This Row],[X2]] + 3.3*Table1[[#This Row],[x3]] + 0.6*Table1[[#This Row],[x4]] + 1*Table1[[#This Row],[x5]]</f>
        <v>#DIV/0!</v>
      </c>
      <c r="W520" s="23" t="e">
        <f>IF(Table1[[#This Row],[Zscore]]&lt;1.81,1,0)</f>
        <v>#DIV/0!</v>
      </c>
    </row>
    <row r="521" spans="1:23" x14ac:dyDescent="0.45">
      <c r="A521" s="7">
        <v>515</v>
      </c>
      <c r="B521" s="5" t="s">
        <v>1043</v>
      </c>
      <c r="C521" s="6" t="s">
        <v>1044</v>
      </c>
      <c r="D521" s="6" t="s">
        <v>18</v>
      </c>
      <c r="E521" s="8">
        <v>457087914379</v>
      </c>
      <c r="F521" s="8">
        <v>44406569562</v>
      </c>
      <c r="G521" s="8">
        <v>67434165205</v>
      </c>
      <c r="H521" s="8">
        <v>-11141452832</v>
      </c>
      <c r="I521" s="8">
        <v>4944372390</v>
      </c>
      <c r="J521" s="8"/>
      <c r="K521" s="8">
        <v>67434165205</v>
      </c>
      <c r="L521" s="8">
        <v>47420007094</v>
      </c>
      <c r="M521" s="8">
        <v>56429982900</v>
      </c>
      <c r="N521" s="8">
        <v>38609988300</v>
      </c>
      <c r="O521" s="8">
        <v>41579987400</v>
      </c>
      <c r="P521" s="8">
        <v>38609988300</v>
      </c>
      <c r="Q521" s="18">
        <f>(Table1[[#This Row],[A. TÀI SẢN NGẮN HẠN]]-Table1[[#This Row],[I. Nợ ngắn hạn]])/Table1[[#This Row],[TỔNG CỘNG TÀI SẢN]]</f>
        <v>-5.0378920375274652E-2</v>
      </c>
      <c r="R521" s="18">
        <f>Table1[[#This Row],[- LNST chưa phân phối kỳ này]]/Table1[[#This Row],[TỔNG CỘNG TÀI SẢN]]</f>
        <v>-2.4374857618225994E-2</v>
      </c>
      <c r="S521" s="21">
        <f>Table1[[#This Row],[5. Lợi nhuận gộp về bán hàng và cung cấp dịch vụ]]/Table1[[#This Row],[TỔNG CỘNG TÀI SẢN]]</f>
        <v>1.0817114682888582E-2</v>
      </c>
      <c r="T52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0.64963341048006085</v>
      </c>
      <c r="U521" s="23">
        <f>Table1[[#This Row],[1. Doanh thu bán hàng và cung cấp dịch vụ ]]/Table1[[#This Row],[TỔNG CỘNG TÀI SẢN]]</f>
        <v>0.10374373419700859</v>
      </c>
      <c r="V521" s="23">
        <f>1.2*Table1[[#This Row],[X1]] + 1.4*Table1[[#This Row],[X2]] + 3.3*Table1[[#This Row],[x3]] + 0.6*Table1[[#This Row],[x4]] + 1*Table1[[#This Row],[x5]]</f>
        <v>0.43464075382273143</v>
      </c>
      <c r="W521" s="23">
        <f>IF(Table1[[#This Row],[Zscore]]&lt;1.81,1,0)</f>
        <v>1</v>
      </c>
    </row>
    <row r="522" spans="1:23" hidden="1" x14ac:dyDescent="0.45">
      <c r="A522" s="7">
        <v>516</v>
      </c>
      <c r="B522" s="5" t="s">
        <v>1045</v>
      </c>
      <c r="C522" s="6" t="s">
        <v>1046</v>
      </c>
      <c r="D522" s="6" t="s">
        <v>13</v>
      </c>
      <c r="E522" s="6"/>
      <c r="F522" s="6"/>
      <c r="G522" s="6"/>
      <c r="H522" s="6"/>
      <c r="I522" s="6"/>
      <c r="J522" s="8"/>
      <c r="K522" s="6"/>
      <c r="L522" s="6"/>
      <c r="M522" s="8"/>
      <c r="N522" s="8"/>
      <c r="O522" s="8"/>
      <c r="P522" s="8"/>
      <c r="Q522" s="18" t="e">
        <f>(Table1[[#This Row],[A. TÀI SẢN NGẮN HẠN]]-Table1[[#This Row],[I. Nợ ngắn hạn]])/Table1[[#This Row],[TỔNG CỘNG TÀI SẢN]]</f>
        <v>#DIV/0!</v>
      </c>
      <c r="R522" s="18" t="e">
        <f>Table1[[#This Row],[- LNST chưa phân phối kỳ này]]/Table1[[#This Row],[TỔNG CỘNG TÀI SẢN]]</f>
        <v>#DIV/0!</v>
      </c>
      <c r="S522" s="21" t="e">
        <f>Table1[[#This Row],[5. Lợi nhuận gộp về bán hàng và cung cấp dịch vụ]]/Table1[[#This Row],[TỔNG CỘNG TÀI SẢN]]</f>
        <v>#DIV/0!</v>
      </c>
      <c r="T52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522" s="23" t="e">
        <f>Table1[[#This Row],[1. Doanh thu bán hàng và cung cấp dịch vụ ]]/Table1[[#This Row],[TỔNG CỘNG TÀI SẢN]]</f>
        <v>#DIV/0!</v>
      </c>
      <c r="V522" s="23" t="e">
        <f>1.2*Table1[[#This Row],[X1]] + 1.4*Table1[[#This Row],[X2]] + 3.3*Table1[[#This Row],[x3]] + 0.6*Table1[[#This Row],[x4]] + 1*Table1[[#This Row],[x5]]</f>
        <v>#DIV/0!</v>
      </c>
      <c r="W522" s="23" t="e">
        <f>IF(Table1[[#This Row],[Zscore]]&lt;1.81,1,0)</f>
        <v>#DIV/0!</v>
      </c>
    </row>
    <row r="523" spans="1:23" hidden="1" x14ac:dyDescent="0.45">
      <c r="A523" s="7">
        <v>517</v>
      </c>
      <c r="B523" s="5" t="s">
        <v>1047</v>
      </c>
      <c r="C523" s="6" t="s">
        <v>1048</v>
      </c>
      <c r="D523" s="6" t="s">
        <v>13</v>
      </c>
      <c r="E523" s="8">
        <v>317185330558</v>
      </c>
      <c r="F523" s="8">
        <v>292381859408</v>
      </c>
      <c r="G523" s="8">
        <v>5249762459</v>
      </c>
      <c r="H523" s="6"/>
      <c r="I523" s="8">
        <v>-8151611058</v>
      </c>
      <c r="J523" s="8"/>
      <c r="K523" s="8">
        <v>5313743709</v>
      </c>
      <c r="L523" s="8">
        <v>25811905257</v>
      </c>
      <c r="M523" s="8"/>
      <c r="N523" s="8"/>
      <c r="O523" s="8"/>
      <c r="P523" s="8"/>
      <c r="Q523" s="18">
        <f>(Table1[[#This Row],[A. TÀI SẢN NGẮN HẠN]]-Table1[[#This Row],[I. Nợ ngắn hạn]])/Table1[[#This Row],[TỔNG CỘNG TÀI SẢN]]</f>
        <v>0.90525024106212715</v>
      </c>
      <c r="R523" s="18">
        <f>Table1[[#This Row],[- LNST chưa phân phối kỳ này]]/Table1[[#This Row],[TỔNG CỘNG TÀI SẢN]]</f>
        <v>0</v>
      </c>
      <c r="S523" s="21">
        <f>Table1[[#This Row],[5. Lợi nhuận gộp về bán hàng và cung cấp dịch vụ]]/Table1[[#This Row],[TỔNG CỘNG TÀI SẢN]]</f>
        <v>-2.5699836255540228E-2</v>
      </c>
      <c r="T52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523" s="23">
        <f>Table1[[#This Row],[1. Doanh thu bán hàng và cung cấp dịch vụ ]]/Table1[[#This Row],[TỔNG CỘNG TÀI SẢN]]</f>
        <v>8.1377991887553819E-2</v>
      </c>
      <c r="V523" s="23" t="e">
        <f>1.2*Table1[[#This Row],[X1]] + 1.4*Table1[[#This Row],[X2]] + 3.3*Table1[[#This Row],[x3]] + 0.6*Table1[[#This Row],[x4]] + 1*Table1[[#This Row],[x5]]</f>
        <v>#DIV/0!</v>
      </c>
      <c r="W523" s="23" t="e">
        <f>IF(Table1[[#This Row],[Zscore]]&lt;1.81,1,0)</f>
        <v>#DIV/0!</v>
      </c>
    </row>
    <row r="524" spans="1:23" x14ac:dyDescent="0.45">
      <c r="A524" s="7">
        <v>518</v>
      </c>
      <c r="B524" s="5" t="s">
        <v>1049</v>
      </c>
      <c r="C524" s="6" t="s">
        <v>1050</v>
      </c>
      <c r="D524" s="6" t="s">
        <v>21</v>
      </c>
      <c r="E524" s="8">
        <v>3149852871826</v>
      </c>
      <c r="F524" s="8">
        <v>2533831042900</v>
      </c>
      <c r="G524" s="8">
        <v>1495118011032</v>
      </c>
      <c r="H524" s="8">
        <v>49970458544</v>
      </c>
      <c r="I524" s="8">
        <v>222155836783</v>
      </c>
      <c r="J524" s="8"/>
      <c r="K524" s="8">
        <v>2130173611030</v>
      </c>
      <c r="L524" s="8">
        <v>2246083482724</v>
      </c>
      <c r="M524" s="8">
        <v>1008999392500</v>
      </c>
      <c r="N524" s="8">
        <v>1064035723000</v>
      </c>
      <c r="O524" s="8">
        <v>999826670750</v>
      </c>
      <c r="P524" s="8">
        <v>1014503025550</v>
      </c>
      <c r="Q524" s="18">
        <f>(Table1[[#This Row],[A. TÀI SẢN NGẮN HẠN]]-Table1[[#This Row],[I. Nợ ngắn hạn]])/Table1[[#This Row],[TỔNG CỘNG TÀI SẢN]]</f>
        <v>0.32976557132519274</v>
      </c>
      <c r="R524" s="18">
        <f>Table1[[#This Row],[- LNST chưa phân phối kỳ này]]/Table1[[#This Row],[TỔNG CỘNG TÀI SẢN]]</f>
        <v>1.5864378616208714E-2</v>
      </c>
      <c r="S524" s="21">
        <f>Table1[[#This Row],[5. Lợi nhuận gộp về bán hàng và cung cấp dịch vụ]]/Table1[[#This Row],[TỔNG CỘNG TÀI SẢN]]</f>
        <v>7.0528956691940384E-2</v>
      </c>
      <c r="T52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0.47969855492478403</v>
      </c>
      <c r="U524" s="23">
        <f>Table1[[#This Row],[1. Doanh thu bán hàng và cung cấp dịch vụ ]]/Table1[[#This Row],[TỔNG CỘNG TÀI SẢN]]</f>
        <v>0.71307568134822874</v>
      </c>
      <c r="V524" s="23">
        <f>1.2*Table1[[#This Row],[X1]] + 1.4*Table1[[#This Row],[X2]] + 3.3*Table1[[#This Row],[x3]] + 0.6*Table1[[#This Row],[x4]] + 1*Table1[[#This Row],[x5]]</f>
        <v>1.6515691870394258</v>
      </c>
      <c r="W524" s="23">
        <f>IF(Table1[[#This Row],[Zscore]]&lt;1.81,1,0)</f>
        <v>1</v>
      </c>
    </row>
    <row r="525" spans="1:23" ht="26.25" x14ac:dyDescent="0.45">
      <c r="A525" s="7">
        <v>519</v>
      </c>
      <c r="B525" s="5" t="s">
        <v>1051</v>
      </c>
      <c r="C525" s="6" t="s">
        <v>1052</v>
      </c>
      <c r="D525" s="6" t="s">
        <v>36</v>
      </c>
      <c r="E525" s="8">
        <v>142041246994</v>
      </c>
      <c r="F525" s="8">
        <v>137861155343</v>
      </c>
      <c r="G525" s="8">
        <v>110938692741</v>
      </c>
      <c r="H525" s="8">
        <v>1094910018</v>
      </c>
      <c r="I525" s="8">
        <v>3822969487</v>
      </c>
      <c r="J525" s="8"/>
      <c r="K525" s="8">
        <v>113579906960</v>
      </c>
      <c r="L525" s="8">
        <v>102528850338</v>
      </c>
      <c r="M525" s="8">
        <v>22980550200</v>
      </c>
      <c r="N525" s="8">
        <v>24516201600</v>
      </c>
      <c r="O525" s="8">
        <v>23494693200</v>
      </c>
      <c r="P525" s="8">
        <v>24771578700</v>
      </c>
      <c r="Q525" s="18">
        <f>(Table1[[#This Row],[A. TÀI SẢN NGẮN HẠN]]-Table1[[#This Row],[I. Nợ ngắn hạn]])/Table1[[#This Row],[TỔNG CỘNG TÀI SẢN]]</f>
        <v>0.18953975110579843</v>
      </c>
      <c r="R525" s="18">
        <f>Table1[[#This Row],[- LNST chưa phân phối kỳ này]]/Table1[[#This Row],[TỔNG CỘNG TÀI SẢN]]</f>
        <v>7.7083948583347084E-3</v>
      </c>
      <c r="S525" s="21">
        <f>Table1[[#This Row],[5. Lợi nhuận gộp về bán hàng và cung cấp dịch vụ]]/Table1[[#This Row],[TỔNG CỘNG TÀI SẢN]]</f>
        <v>2.691450242732301E-2</v>
      </c>
      <c r="T52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0.21078337327245156</v>
      </c>
      <c r="U525" s="23">
        <f>Table1[[#This Row],[1. Doanh thu bán hàng và cung cấp dịch vụ ]]/Table1[[#This Row],[TỔNG CỘNG TÀI SẢN]]</f>
        <v>0.7218244876597778</v>
      </c>
      <c r="V525" s="23">
        <f>1.2*Table1[[#This Row],[X1]] + 1.4*Table1[[#This Row],[X2]] + 3.3*Table1[[#This Row],[x3]] + 0.6*Table1[[#This Row],[x4]] + 1*Table1[[#This Row],[x5]]</f>
        <v>1.1753518237620413</v>
      </c>
      <c r="W525" s="23">
        <f>IF(Table1[[#This Row],[Zscore]]&lt;1.81,1,0)</f>
        <v>1</v>
      </c>
    </row>
    <row r="526" spans="1:23" hidden="1" x14ac:dyDescent="0.45">
      <c r="A526" s="7">
        <v>520</v>
      </c>
      <c r="B526" s="5" t="s">
        <v>1053</v>
      </c>
      <c r="C526" s="6" t="s">
        <v>1054</v>
      </c>
      <c r="D526" s="6" t="s">
        <v>13</v>
      </c>
      <c r="E526" s="6"/>
      <c r="F526" s="6"/>
      <c r="G526" s="6"/>
      <c r="H526" s="6"/>
      <c r="I526" s="6"/>
      <c r="J526" s="8"/>
      <c r="K526" s="6"/>
      <c r="L526" s="6"/>
      <c r="M526" s="8"/>
      <c r="N526" s="8"/>
      <c r="O526" s="8"/>
      <c r="P526" s="8"/>
      <c r="Q526" s="18" t="e">
        <f>(Table1[[#This Row],[A. TÀI SẢN NGẮN HẠN]]-Table1[[#This Row],[I. Nợ ngắn hạn]])/Table1[[#This Row],[TỔNG CỘNG TÀI SẢN]]</f>
        <v>#DIV/0!</v>
      </c>
      <c r="R526" s="18" t="e">
        <f>Table1[[#This Row],[- LNST chưa phân phối kỳ này]]/Table1[[#This Row],[TỔNG CỘNG TÀI SẢN]]</f>
        <v>#DIV/0!</v>
      </c>
      <c r="S526" s="21" t="e">
        <f>Table1[[#This Row],[5. Lợi nhuận gộp về bán hàng và cung cấp dịch vụ]]/Table1[[#This Row],[TỔNG CỘNG TÀI SẢN]]</f>
        <v>#DIV/0!</v>
      </c>
      <c r="T52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526" s="23" t="e">
        <f>Table1[[#This Row],[1. Doanh thu bán hàng và cung cấp dịch vụ ]]/Table1[[#This Row],[TỔNG CỘNG TÀI SẢN]]</f>
        <v>#DIV/0!</v>
      </c>
      <c r="V526" s="23" t="e">
        <f>1.2*Table1[[#This Row],[X1]] + 1.4*Table1[[#This Row],[X2]] + 3.3*Table1[[#This Row],[x3]] + 0.6*Table1[[#This Row],[x4]] + 1*Table1[[#This Row],[x5]]</f>
        <v>#DIV/0!</v>
      </c>
      <c r="W526" s="23" t="e">
        <f>IF(Table1[[#This Row],[Zscore]]&lt;1.81,1,0)</f>
        <v>#DIV/0!</v>
      </c>
    </row>
    <row r="527" spans="1:23" hidden="1" x14ac:dyDescent="0.45">
      <c r="A527" s="7">
        <v>521</v>
      </c>
      <c r="B527" s="5" t="s">
        <v>1055</v>
      </c>
      <c r="C527" s="6" t="s">
        <v>1056</v>
      </c>
      <c r="D527" s="6" t="s">
        <v>13</v>
      </c>
      <c r="E527" s="6"/>
      <c r="F527" s="6"/>
      <c r="G527" s="6"/>
      <c r="H527" s="6"/>
      <c r="I527" s="6"/>
      <c r="J527" s="8"/>
      <c r="K527" s="6"/>
      <c r="L527" s="6"/>
      <c r="M527" s="8"/>
      <c r="N527" s="8"/>
      <c r="O527" s="8"/>
      <c r="P527" s="8"/>
      <c r="Q527" s="18" t="e">
        <f>(Table1[[#This Row],[A. TÀI SẢN NGẮN HẠN]]-Table1[[#This Row],[I. Nợ ngắn hạn]])/Table1[[#This Row],[TỔNG CỘNG TÀI SẢN]]</f>
        <v>#DIV/0!</v>
      </c>
      <c r="R527" s="18" t="e">
        <f>Table1[[#This Row],[- LNST chưa phân phối kỳ này]]/Table1[[#This Row],[TỔNG CỘNG TÀI SẢN]]</f>
        <v>#DIV/0!</v>
      </c>
      <c r="S527" s="21" t="e">
        <f>Table1[[#This Row],[5. Lợi nhuận gộp về bán hàng và cung cấp dịch vụ]]/Table1[[#This Row],[TỔNG CỘNG TÀI SẢN]]</f>
        <v>#DIV/0!</v>
      </c>
      <c r="T52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527" s="23" t="e">
        <f>Table1[[#This Row],[1. Doanh thu bán hàng và cung cấp dịch vụ ]]/Table1[[#This Row],[TỔNG CỘNG TÀI SẢN]]</f>
        <v>#DIV/0!</v>
      </c>
      <c r="V527" s="23" t="e">
        <f>1.2*Table1[[#This Row],[X1]] + 1.4*Table1[[#This Row],[X2]] + 3.3*Table1[[#This Row],[x3]] + 0.6*Table1[[#This Row],[x4]] + 1*Table1[[#This Row],[x5]]</f>
        <v>#DIV/0!</v>
      </c>
      <c r="W527" s="23" t="e">
        <f>IF(Table1[[#This Row],[Zscore]]&lt;1.81,1,0)</f>
        <v>#DIV/0!</v>
      </c>
    </row>
    <row r="528" spans="1:23" hidden="1" x14ac:dyDescent="0.45">
      <c r="A528" s="7">
        <v>522</v>
      </c>
      <c r="B528" s="5" t="s">
        <v>1057</v>
      </c>
      <c r="C528" s="6" t="s">
        <v>1058</v>
      </c>
      <c r="D528" s="6" t="s">
        <v>18</v>
      </c>
      <c r="E528" s="6"/>
      <c r="F528" s="6"/>
      <c r="G528" s="6"/>
      <c r="H528" s="6"/>
      <c r="I528" s="6"/>
      <c r="J528" s="8"/>
      <c r="K528" s="6"/>
      <c r="L528" s="6"/>
      <c r="M528" s="8"/>
      <c r="N528" s="8"/>
      <c r="O528" s="8"/>
      <c r="P528" s="8"/>
      <c r="Q528" s="18" t="e">
        <f>(Table1[[#This Row],[A. TÀI SẢN NGẮN HẠN]]-Table1[[#This Row],[I. Nợ ngắn hạn]])/Table1[[#This Row],[TỔNG CỘNG TÀI SẢN]]</f>
        <v>#DIV/0!</v>
      </c>
      <c r="R528" s="18" t="e">
        <f>Table1[[#This Row],[- LNST chưa phân phối kỳ này]]/Table1[[#This Row],[TỔNG CỘNG TÀI SẢN]]</f>
        <v>#DIV/0!</v>
      </c>
      <c r="S528" s="21" t="e">
        <f>Table1[[#This Row],[5. Lợi nhuận gộp về bán hàng và cung cấp dịch vụ]]/Table1[[#This Row],[TỔNG CỘNG TÀI SẢN]]</f>
        <v>#DIV/0!</v>
      </c>
      <c r="T52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528" s="23" t="e">
        <f>Table1[[#This Row],[1. Doanh thu bán hàng và cung cấp dịch vụ ]]/Table1[[#This Row],[TỔNG CỘNG TÀI SẢN]]</f>
        <v>#DIV/0!</v>
      </c>
      <c r="V528" s="23" t="e">
        <f>1.2*Table1[[#This Row],[X1]] + 1.4*Table1[[#This Row],[X2]] + 3.3*Table1[[#This Row],[x3]] + 0.6*Table1[[#This Row],[x4]] + 1*Table1[[#This Row],[x5]]</f>
        <v>#DIV/0!</v>
      </c>
      <c r="W528" s="23" t="e">
        <f>IF(Table1[[#This Row],[Zscore]]&lt;1.81,1,0)</f>
        <v>#DIV/0!</v>
      </c>
    </row>
    <row r="529" spans="1:23" hidden="1" x14ac:dyDescent="0.45">
      <c r="A529" s="7">
        <v>523</v>
      </c>
      <c r="B529" s="5" t="s">
        <v>1059</v>
      </c>
      <c r="C529" s="6" t="s">
        <v>1060</v>
      </c>
      <c r="D529" s="6" t="s">
        <v>13</v>
      </c>
      <c r="E529" s="6"/>
      <c r="F529" s="6"/>
      <c r="G529" s="6"/>
      <c r="H529" s="6"/>
      <c r="I529" s="6"/>
      <c r="J529" s="8"/>
      <c r="K529" s="6"/>
      <c r="L529" s="6"/>
      <c r="M529" s="8"/>
      <c r="N529" s="8"/>
      <c r="O529" s="8"/>
      <c r="P529" s="8"/>
      <c r="Q529" s="18" t="e">
        <f>(Table1[[#This Row],[A. TÀI SẢN NGẮN HẠN]]-Table1[[#This Row],[I. Nợ ngắn hạn]])/Table1[[#This Row],[TỔNG CỘNG TÀI SẢN]]</f>
        <v>#DIV/0!</v>
      </c>
      <c r="R529" s="18" t="e">
        <f>Table1[[#This Row],[- LNST chưa phân phối kỳ này]]/Table1[[#This Row],[TỔNG CỘNG TÀI SẢN]]</f>
        <v>#DIV/0!</v>
      </c>
      <c r="S529" s="21" t="e">
        <f>Table1[[#This Row],[5. Lợi nhuận gộp về bán hàng và cung cấp dịch vụ]]/Table1[[#This Row],[TỔNG CỘNG TÀI SẢN]]</f>
        <v>#DIV/0!</v>
      </c>
      <c r="T52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529" s="23" t="e">
        <f>Table1[[#This Row],[1. Doanh thu bán hàng và cung cấp dịch vụ ]]/Table1[[#This Row],[TỔNG CỘNG TÀI SẢN]]</f>
        <v>#DIV/0!</v>
      </c>
      <c r="V529" s="23" t="e">
        <f>1.2*Table1[[#This Row],[X1]] + 1.4*Table1[[#This Row],[X2]] + 3.3*Table1[[#This Row],[x3]] + 0.6*Table1[[#This Row],[x4]] + 1*Table1[[#This Row],[x5]]</f>
        <v>#DIV/0!</v>
      </c>
      <c r="W529" s="23" t="e">
        <f>IF(Table1[[#This Row],[Zscore]]&lt;1.81,1,0)</f>
        <v>#DIV/0!</v>
      </c>
    </row>
    <row r="530" spans="1:23" x14ac:dyDescent="0.45">
      <c r="A530" s="7">
        <v>524</v>
      </c>
      <c r="B530" s="5" t="s">
        <v>1061</v>
      </c>
      <c r="C530" s="6" t="s">
        <v>1062</v>
      </c>
      <c r="D530" s="6" t="s">
        <v>36</v>
      </c>
      <c r="E530" s="8">
        <v>358117126162</v>
      </c>
      <c r="F530" s="8">
        <v>259227156266</v>
      </c>
      <c r="G530" s="8">
        <v>146541883772</v>
      </c>
      <c r="H530" s="8">
        <v>3212382400</v>
      </c>
      <c r="I530" s="8">
        <v>22754386260</v>
      </c>
      <c r="J530" s="8"/>
      <c r="K530" s="8">
        <v>162180634907</v>
      </c>
      <c r="L530" s="8">
        <v>209494437958</v>
      </c>
      <c r="M530" s="8">
        <v>75582821400</v>
      </c>
      <c r="N530" s="8">
        <v>90403016000</v>
      </c>
      <c r="O530" s="8">
        <v>75582821400</v>
      </c>
      <c r="P530" s="8">
        <v>75582821400</v>
      </c>
      <c r="Q530" s="18">
        <f>(Table1[[#This Row],[A. TÀI SẢN NGẮN HẠN]]-Table1[[#This Row],[I. Nợ ngắn hạn]])/Table1[[#This Row],[TỔNG CỘNG TÀI SẢN]]</f>
        <v>0.31466038416443959</v>
      </c>
      <c r="R530" s="18">
        <f>Table1[[#This Row],[- LNST chưa phân phối kỳ này]]/Table1[[#This Row],[TỔNG CỘNG TÀI SẢN]]</f>
        <v>8.970200432544595E-3</v>
      </c>
      <c r="S530" s="21">
        <f>Table1[[#This Row],[5. Lợi nhuận gộp về bán hàng và cung cấp dịch vụ]]/Table1[[#This Row],[TỔNG CỘNG TÀI SẢN]]</f>
        <v>6.3538950241957118E-2</v>
      </c>
      <c r="T53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0.48888617371282589</v>
      </c>
      <c r="U530" s="23">
        <f>Table1[[#This Row],[1. Doanh thu bán hàng và cung cấp dịch vụ ]]/Table1[[#This Row],[TỔNG CỘNG TÀI SẢN]]</f>
        <v>0.58498860471484915</v>
      </c>
      <c r="V530" s="23">
        <f>1.2*Table1[[#This Row],[X1]] + 1.4*Table1[[#This Row],[X2]] + 3.3*Table1[[#This Row],[x3]] + 0.6*Table1[[#This Row],[x4]] + 1*Table1[[#This Row],[x5]]</f>
        <v>1.4781495863438932</v>
      </c>
      <c r="W530" s="23">
        <f>IF(Table1[[#This Row],[Zscore]]&lt;1.81,1,0)</f>
        <v>1</v>
      </c>
    </row>
    <row r="531" spans="1:23" hidden="1" x14ac:dyDescent="0.45">
      <c r="A531" s="7">
        <v>525</v>
      </c>
      <c r="B531" s="5" t="s">
        <v>1063</v>
      </c>
      <c r="C531" s="6" t="s">
        <v>1064</v>
      </c>
      <c r="D531" s="6" t="s">
        <v>13</v>
      </c>
      <c r="E531" s="6"/>
      <c r="F531" s="6"/>
      <c r="G531" s="6"/>
      <c r="H531" s="6"/>
      <c r="I531" s="6"/>
      <c r="J531" s="8"/>
      <c r="K531" s="6"/>
      <c r="L531" s="6"/>
      <c r="M531" s="8"/>
      <c r="N531" s="8"/>
      <c r="O531" s="8"/>
      <c r="P531" s="8"/>
      <c r="Q531" s="18" t="e">
        <f>(Table1[[#This Row],[A. TÀI SẢN NGẮN HẠN]]-Table1[[#This Row],[I. Nợ ngắn hạn]])/Table1[[#This Row],[TỔNG CỘNG TÀI SẢN]]</f>
        <v>#DIV/0!</v>
      </c>
      <c r="R531" s="18" t="e">
        <f>Table1[[#This Row],[- LNST chưa phân phối kỳ này]]/Table1[[#This Row],[TỔNG CỘNG TÀI SẢN]]</f>
        <v>#DIV/0!</v>
      </c>
      <c r="S531" s="21" t="e">
        <f>Table1[[#This Row],[5. Lợi nhuận gộp về bán hàng và cung cấp dịch vụ]]/Table1[[#This Row],[TỔNG CỘNG TÀI SẢN]]</f>
        <v>#DIV/0!</v>
      </c>
      <c r="T53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531" s="23" t="e">
        <f>Table1[[#This Row],[1. Doanh thu bán hàng và cung cấp dịch vụ ]]/Table1[[#This Row],[TỔNG CỘNG TÀI SẢN]]</f>
        <v>#DIV/0!</v>
      </c>
      <c r="V531" s="23" t="e">
        <f>1.2*Table1[[#This Row],[X1]] + 1.4*Table1[[#This Row],[X2]] + 3.3*Table1[[#This Row],[x3]] + 0.6*Table1[[#This Row],[x4]] + 1*Table1[[#This Row],[x5]]</f>
        <v>#DIV/0!</v>
      </c>
      <c r="W531" s="23" t="e">
        <f>IF(Table1[[#This Row],[Zscore]]&lt;1.81,1,0)</f>
        <v>#DIV/0!</v>
      </c>
    </row>
    <row r="532" spans="1:23" ht="26.25" hidden="1" x14ac:dyDescent="0.45">
      <c r="A532" s="7">
        <v>526</v>
      </c>
      <c r="B532" s="5" t="s">
        <v>1065</v>
      </c>
      <c r="C532" s="6" t="s">
        <v>1066</v>
      </c>
      <c r="D532" s="6" t="s">
        <v>13</v>
      </c>
      <c r="E532" s="6"/>
      <c r="F532" s="6"/>
      <c r="G532" s="6"/>
      <c r="H532" s="6"/>
      <c r="I532" s="6"/>
      <c r="J532" s="8"/>
      <c r="K532" s="6"/>
      <c r="L532" s="6"/>
      <c r="M532" s="8"/>
      <c r="N532" s="8"/>
      <c r="O532" s="8"/>
      <c r="P532" s="8"/>
      <c r="Q532" s="18" t="e">
        <f>(Table1[[#This Row],[A. TÀI SẢN NGẮN HẠN]]-Table1[[#This Row],[I. Nợ ngắn hạn]])/Table1[[#This Row],[TỔNG CỘNG TÀI SẢN]]</f>
        <v>#DIV/0!</v>
      </c>
      <c r="R532" s="18" t="e">
        <f>Table1[[#This Row],[- LNST chưa phân phối kỳ này]]/Table1[[#This Row],[TỔNG CỘNG TÀI SẢN]]</f>
        <v>#DIV/0!</v>
      </c>
      <c r="S532" s="21" t="e">
        <f>Table1[[#This Row],[5. Lợi nhuận gộp về bán hàng và cung cấp dịch vụ]]/Table1[[#This Row],[TỔNG CỘNG TÀI SẢN]]</f>
        <v>#DIV/0!</v>
      </c>
      <c r="T53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532" s="23" t="e">
        <f>Table1[[#This Row],[1. Doanh thu bán hàng và cung cấp dịch vụ ]]/Table1[[#This Row],[TỔNG CỘNG TÀI SẢN]]</f>
        <v>#DIV/0!</v>
      </c>
      <c r="V532" s="23" t="e">
        <f>1.2*Table1[[#This Row],[X1]] + 1.4*Table1[[#This Row],[X2]] + 3.3*Table1[[#This Row],[x3]] + 0.6*Table1[[#This Row],[x4]] + 1*Table1[[#This Row],[x5]]</f>
        <v>#DIV/0!</v>
      </c>
      <c r="W532" s="23" t="e">
        <f>IF(Table1[[#This Row],[Zscore]]&lt;1.81,1,0)</f>
        <v>#DIV/0!</v>
      </c>
    </row>
    <row r="533" spans="1:23" ht="26.25" x14ac:dyDescent="0.45">
      <c r="A533" s="7">
        <v>527</v>
      </c>
      <c r="B533" s="5" t="s">
        <v>1067</v>
      </c>
      <c r="C533" s="6" t="s">
        <v>1068</v>
      </c>
      <c r="D533" s="6" t="s">
        <v>21</v>
      </c>
      <c r="E533" s="8">
        <v>1401890509209</v>
      </c>
      <c r="F533" s="8">
        <v>307200952428</v>
      </c>
      <c r="G533" s="8">
        <v>104917831363</v>
      </c>
      <c r="H533" s="8">
        <v>191581630490</v>
      </c>
      <c r="I533" s="8">
        <v>363953107228</v>
      </c>
      <c r="J533" s="8"/>
      <c r="K533" s="8">
        <v>681707272821</v>
      </c>
      <c r="L533" s="8">
        <v>780962492792</v>
      </c>
      <c r="M533" s="8">
        <v>1270909164000</v>
      </c>
      <c r="N533" s="8">
        <v>1065142918400</v>
      </c>
      <c r="O533" s="8">
        <v>1040935124800</v>
      </c>
      <c r="P533" s="8">
        <v>1110532531400</v>
      </c>
      <c r="Q533" s="18">
        <f>(Table1[[#This Row],[A. TÀI SẢN NGẮN HẠN]]-Table1[[#This Row],[I. Nợ ngắn hạn]])/Table1[[#This Row],[TỔNG CỘNG TÀI SẢN]]</f>
        <v>0.14429309545660299</v>
      </c>
      <c r="R533" s="18">
        <f>Table1[[#This Row],[- LNST chưa phân phối kỳ này]]/Table1[[#This Row],[TỔNG CỘNG TÀI SẢN]]</f>
        <v>0.13665948177229451</v>
      </c>
      <c r="S533" s="21">
        <f>Table1[[#This Row],[5. Lợi nhuận gộp về bán hàng và cung cấp dịch vụ]]/Table1[[#This Row],[TỔNG CỘNG TÀI SẢN]]</f>
        <v>0.25961592923070448</v>
      </c>
      <c r="T53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1.6456916030945423</v>
      </c>
      <c r="U533" s="23">
        <f>Table1[[#This Row],[1. Doanh thu bán hàng và cung cấp dịch vụ ]]/Table1[[#This Row],[TỔNG CỘNG TÀI SẢN]]</f>
        <v>0.55707809394661556</v>
      </c>
      <c r="V533" s="23">
        <f>1.2*Table1[[#This Row],[X1]] + 1.4*Table1[[#This Row],[X2]] + 3.3*Table1[[#This Row],[x3]] + 0.6*Table1[[#This Row],[x4]] + 1*Table1[[#This Row],[x5]]</f>
        <v>2.7657006112938016</v>
      </c>
      <c r="W533" s="23">
        <f>IF(Table1[[#This Row],[Zscore]]&lt;1.81,1,0)</f>
        <v>0</v>
      </c>
    </row>
    <row r="534" spans="1:23" hidden="1" x14ac:dyDescent="0.45">
      <c r="A534" s="7">
        <v>528</v>
      </c>
      <c r="B534" s="5" t="s">
        <v>1069</v>
      </c>
      <c r="C534" s="6" t="s">
        <v>1070</v>
      </c>
      <c r="D534" s="6" t="s">
        <v>13</v>
      </c>
      <c r="E534" s="6"/>
      <c r="F534" s="6"/>
      <c r="G534" s="6"/>
      <c r="H534" s="6"/>
      <c r="I534" s="6"/>
      <c r="J534" s="8"/>
      <c r="K534" s="6"/>
      <c r="L534" s="6"/>
      <c r="M534" s="8"/>
      <c r="N534" s="8"/>
      <c r="O534" s="8"/>
      <c r="P534" s="8"/>
      <c r="Q534" s="18" t="e">
        <f>(Table1[[#This Row],[A. TÀI SẢN NGẮN HẠN]]-Table1[[#This Row],[I. Nợ ngắn hạn]])/Table1[[#This Row],[TỔNG CỘNG TÀI SẢN]]</f>
        <v>#DIV/0!</v>
      </c>
      <c r="R534" s="18" t="e">
        <f>Table1[[#This Row],[- LNST chưa phân phối kỳ này]]/Table1[[#This Row],[TỔNG CỘNG TÀI SẢN]]</f>
        <v>#DIV/0!</v>
      </c>
      <c r="S534" s="21" t="e">
        <f>Table1[[#This Row],[5. Lợi nhuận gộp về bán hàng và cung cấp dịch vụ]]/Table1[[#This Row],[TỔNG CỘNG TÀI SẢN]]</f>
        <v>#DIV/0!</v>
      </c>
      <c r="T53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534" s="23" t="e">
        <f>Table1[[#This Row],[1. Doanh thu bán hàng và cung cấp dịch vụ ]]/Table1[[#This Row],[TỔNG CỘNG TÀI SẢN]]</f>
        <v>#DIV/0!</v>
      </c>
      <c r="V534" s="23" t="e">
        <f>1.2*Table1[[#This Row],[X1]] + 1.4*Table1[[#This Row],[X2]] + 3.3*Table1[[#This Row],[x3]] + 0.6*Table1[[#This Row],[x4]] + 1*Table1[[#This Row],[x5]]</f>
        <v>#DIV/0!</v>
      </c>
      <c r="W534" s="23" t="e">
        <f>IF(Table1[[#This Row],[Zscore]]&lt;1.81,1,0)</f>
        <v>#DIV/0!</v>
      </c>
    </row>
    <row r="535" spans="1:23" hidden="1" x14ac:dyDescent="0.45">
      <c r="A535" s="7">
        <v>529</v>
      </c>
      <c r="B535" s="5" t="s">
        <v>1071</v>
      </c>
      <c r="C535" s="6" t="s">
        <v>1072</v>
      </c>
      <c r="D535" s="6" t="s">
        <v>18</v>
      </c>
      <c r="E535" s="8">
        <v>14474532896</v>
      </c>
      <c r="F535" s="8">
        <v>12411420522</v>
      </c>
      <c r="G535" s="8">
        <v>16570629739</v>
      </c>
      <c r="H535" s="8">
        <v>3668424355</v>
      </c>
      <c r="I535" s="8">
        <v>10003938517</v>
      </c>
      <c r="J535" s="8"/>
      <c r="K535" s="8">
        <v>16570629739</v>
      </c>
      <c r="L535" s="8">
        <v>49379996602</v>
      </c>
      <c r="M535" s="8"/>
      <c r="N535" s="8"/>
      <c r="O535" s="8"/>
      <c r="P535" s="8"/>
      <c r="Q535" s="18">
        <f>(Table1[[#This Row],[A. TÀI SẢN NGẮN HẠN]]-Table1[[#This Row],[I. Nợ ngắn hạn]])/Table1[[#This Row],[TỔNG CỘNG TÀI SẢN]]</f>
        <v>-0.28734669691133086</v>
      </c>
      <c r="R535" s="18">
        <f>Table1[[#This Row],[- LNST chưa phân phối kỳ này]]/Table1[[#This Row],[TỔNG CỘNG TÀI SẢN]]</f>
        <v>0.25343991280117645</v>
      </c>
      <c r="S535" s="21">
        <f>Table1[[#This Row],[5. Lợi nhuận gộp về bán hàng và cung cấp dịch vụ]]/Table1[[#This Row],[TỔNG CỘNG TÀI SẢN]]</f>
        <v>0.69114068059250211</v>
      </c>
      <c r="T53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535" s="23">
        <f>Table1[[#This Row],[1. Doanh thu bán hàng và cung cấp dịch vụ ]]/Table1[[#This Row],[TỔNG CỘNG TÀI SẢN]]</f>
        <v>3.4115088173688863</v>
      </c>
      <c r="V535" s="23" t="e">
        <f>1.2*Table1[[#This Row],[X1]] + 1.4*Table1[[#This Row],[X2]] + 3.3*Table1[[#This Row],[x3]] + 0.6*Table1[[#This Row],[x4]] + 1*Table1[[#This Row],[x5]]</f>
        <v>#DIV/0!</v>
      </c>
      <c r="W535" s="23" t="e">
        <f>IF(Table1[[#This Row],[Zscore]]&lt;1.81,1,0)</f>
        <v>#DIV/0!</v>
      </c>
    </row>
    <row r="536" spans="1:23" ht="26.25" x14ac:dyDescent="0.45">
      <c r="A536" s="7">
        <v>530</v>
      </c>
      <c r="B536" s="5" t="s">
        <v>1073</v>
      </c>
      <c r="C536" s="6" t="s">
        <v>1074</v>
      </c>
      <c r="D536" s="6" t="s">
        <v>36</v>
      </c>
      <c r="E536" s="8">
        <v>190416769104</v>
      </c>
      <c r="F536" s="8">
        <v>168163734734</v>
      </c>
      <c r="G536" s="8">
        <v>94144790409</v>
      </c>
      <c r="H536" s="8">
        <v>8304731676</v>
      </c>
      <c r="I536" s="8">
        <v>66482397850</v>
      </c>
      <c r="J536" s="8"/>
      <c r="K536" s="8">
        <v>94144790409</v>
      </c>
      <c r="L536" s="8">
        <v>407661806436</v>
      </c>
      <c r="M536" s="8">
        <v>89456640000</v>
      </c>
      <c r="N536" s="8">
        <v>84797440000</v>
      </c>
      <c r="O536" s="8">
        <v>86195200000</v>
      </c>
      <c r="P536" s="8">
        <v>82933760000</v>
      </c>
      <c r="Q536" s="18">
        <f>(Table1[[#This Row],[A. TÀI SẢN NGẮN HẠN]]-Table1[[#This Row],[I. Nợ ngắn hạn]])/Table1[[#This Row],[TỔNG CỘNG TÀI SẢN]]</f>
        <v>0.38872072388001211</v>
      </c>
      <c r="R536" s="18">
        <f>Table1[[#This Row],[- LNST chưa phân phối kỳ này]]/Table1[[#This Row],[TỔNG CỘNG TÀI SẢN]]</f>
        <v>4.3613447046064527E-2</v>
      </c>
      <c r="S536" s="21">
        <f>Table1[[#This Row],[5. Lợi nhuận gộp về bán hàng và cung cấp dịch vụ]]/Table1[[#This Row],[TỔNG CỘNG TÀI SẢN]]</f>
        <v>0.34914150766673963</v>
      </c>
      <c r="T53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0.91184822470849503</v>
      </c>
      <c r="U536" s="23">
        <f>Table1[[#This Row],[1. Doanh thu bán hàng và cung cấp dịch vụ ]]/Table1[[#This Row],[TỔNG CỘNG TÀI SẢN]]</f>
        <v>2.1408923612885542</v>
      </c>
      <c r="V536" s="23">
        <f>1.2*Table1[[#This Row],[X1]] + 1.4*Table1[[#This Row],[X2]] + 3.3*Table1[[#This Row],[x3]] + 0.6*Table1[[#This Row],[x4]] + 1*Table1[[#This Row],[x5]]</f>
        <v>4.3676919659343962</v>
      </c>
      <c r="W536" s="23">
        <f>IF(Table1[[#This Row],[Zscore]]&lt;1.81,1,0)</f>
        <v>0</v>
      </c>
    </row>
    <row r="537" spans="1:23" ht="26.25" x14ac:dyDescent="0.45">
      <c r="A537" s="7">
        <v>531</v>
      </c>
      <c r="B537" s="5" t="s">
        <v>1075</v>
      </c>
      <c r="C537" s="6" t="s">
        <v>1076</v>
      </c>
      <c r="D537" s="6" t="s">
        <v>36</v>
      </c>
      <c r="E537" s="8">
        <v>47821725540</v>
      </c>
      <c r="F537" s="8">
        <v>43969445277</v>
      </c>
      <c r="G537" s="8">
        <v>5536250567</v>
      </c>
      <c r="H537" s="8">
        <v>2698338452</v>
      </c>
      <c r="I537" s="8">
        <v>15463242592</v>
      </c>
      <c r="J537" s="8"/>
      <c r="K537" s="8">
        <v>5542250567</v>
      </c>
      <c r="L537" s="8">
        <v>59777561126</v>
      </c>
      <c r="M537" s="8">
        <v>30810528000</v>
      </c>
      <c r="N537" s="8">
        <v>27536909400</v>
      </c>
      <c r="O537" s="8">
        <v>27922041000</v>
      </c>
      <c r="P537" s="8">
        <v>28692304200</v>
      </c>
      <c r="Q537" s="18">
        <f>(Table1[[#This Row],[A. TÀI SẢN NGẮN HẠN]]-Table1[[#This Row],[I. Nợ ngắn hạn]])/Table1[[#This Row],[TỔNG CỘNG TÀI SẢN]]</f>
        <v>0.80367645198944027</v>
      </c>
      <c r="R537" s="18">
        <f>Table1[[#This Row],[- LNST chưa phân phối kỳ này]]/Table1[[#This Row],[TỔNG CỘNG TÀI SẢN]]</f>
        <v>5.6424949571152593E-2</v>
      </c>
      <c r="S537" s="21">
        <f>Table1[[#This Row],[5. Lợi nhuận gộp về bán hàng và cung cấp dịch vụ]]/Table1[[#This Row],[TỔNG CỘNG TÀI SẢN]]</f>
        <v>0.32335183261143363</v>
      </c>
      <c r="T53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5.1856994379012891</v>
      </c>
      <c r="U537" s="23">
        <f>Table1[[#This Row],[1. Doanh thu bán hàng và cung cấp dịch vụ ]]/Table1[[#This Row],[TỔNG CỘNG TÀI SẢN]]</f>
        <v>1.2500084522462425</v>
      </c>
      <c r="V537" s="23">
        <f>1.2*Table1[[#This Row],[X1]] + 1.4*Table1[[#This Row],[X2]] + 3.3*Table1[[#This Row],[x3]] + 0.6*Table1[[#This Row],[x4]] + 1*Table1[[#This Row],[x5]]</f>
        <v>6.471895834391689</v>
      </c>
      <c r="W537" s="23">
        <f>IF(Table1[[#This Row],[Zscore]]&lt;1.81,1,0)</f>
        <v>0</v>
      </c>
    </row>
    <row r="538" spans="1:23" hidden="1" x14ac:dyDescent="0.45">
      <c r="A538" s="7">
        <v>532</v>
      </c>
      <c r="B538" s="5" t="s">
        <v>1077</v>
      </c>
      <c r="C538" s="6" t="s">
        <v>1078</v>
      </c>
      <c r="D538" s="6" t="s">
        <v>18</v>
      </c>
      <c r="E538" s="6"/>
      <c r="F538" s="6"/>
      <c r="G538" s="6"/>
      <c r="H538" s="6"/>
      <c r="I538" s="6"/>
      <c r="J538" s="8"/>
      <c r="K538" s="6"/>
      <c r="L538" s="6"/>
      <c r="M538" s="8"/>
      <c r="N538" s="8"/>
      <c r="O538" s="8"/>
      <c r="P538" s="8"/>
      <c r="Q538" s="18" t="e">
        <f>(Table1[[#This Row],[A. TÀI SẢN NGẮN HẠN]]-Table1[[#This Row],[I. Nợ ngắn hạn]])/Table1[[#This Row],[TỔNG CỘNG TÀI SẢN]]</f>
        <v>#DIV/0!</v>
      </c>
      <c r="R538" s="18" t="e">
        <f>Table1[[#This Row],[- LNST chưa phân phối kỳ này]]/Table1[[#This Row],[TỔNG CỘNG TÀI SẢN]]</f>
        <v>#DIV/0!</v>
      </c>
      <c r="S538" s="21" t="e">
        <f>Table1[[#This Row],[5. Lợi nhuận gộp về bán hàng và cung cấp dịch vụ]]/Table1[[#This Row],[TỔNG CỘNG TÀI SẢN]]</f>
        <v>#DIV/0!</v>
      </c>
      <c r="T53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538" s="23" t="e">
        <f>Table1[[#This Row],[1. Doanh thu bán hàng và cung cấp dịch vụ ]]/Table1[[#This Row],[TỔNG CỘNG TÀI SẢN]]</f>
        <v>#DIV/0!</v>
      </c>
      <c r="V538" s="23" t="e">
        <f>1.2*Table1[[#This Row],[X1]] + 1.4*Table1[[#This Row],[X2]] + 3.3*Table1[[#This Row],[x3]] + 0.6*Table1[[#This Row],[x4]] + 1*Table1[[#This Row],[x5]]</f>
        <v>#DIV/0!</v>
      </c>
      <c r="W538" s="23" t="e">
        <f>IF(Table1[[#This Row],[Zscore]]&lt;1.81,1,0)</f>
        <v>#DIV/0!</v>
      </c>
    </row>
    <row r="539" spans="1:23" ht="26.25" hidden="1" x14ac:dyDescent="0.45">
      <c r="A539" s="7">
        <v>533</v>
      </c>
      <c r="B539" s="5" t="s">
        <v>1079</v>
      </c>
      <c r="C539" s="6" t="s">
        <v>1080</v>
      </c>
      <c r="D539" s="6" t="s">
        <v>13</v>
      </c>
      <c r="E539" s="6"/>
      <c r="F539" s="6"/>
      <c r="G539" s="6"/>
      <c r="H539" s="6"/>
      <c r="I539" s="6"/>
      <c r="J539" s="8"/>
      <c r="K539" s="6"/>
      <c r="L539" s="6"/>
      <c r="M539" s="8"/>
      <c r="N539" s="8"/>
      <c r="O539" s="8"/>
      <c r="P539" s="8"/>
      <c r="Q539" s="18" t="e">
        <f>(Table1[[#This Row],[A. TÀI SẢN NGẮN HẠN]]-Table1[[#This Row],[I. Nợ ngắn hạn]])/Table1[[#This Row],[TỔNG CỘNG TÀI SẢN]]</f>
        <v>#DIV/0!</v>
      </c>
      <c r="R539" s="18" t="e">
        <f>Table1[[#This Row],[- LNST chưa phân phối kỳ này]]/Table1[[#This Row],[TỔNG CỘNG TÀI SẢN]]</f>
        <v>#DIV/0!</v>
      </c>
      <c r="S539" s="21" t="e">
        <f>Table1[[#This Row],[5. Lợi nhuận gộp về bán hàng và cung cấp dịch vụ]]/Table1[[#This Row],[TỔNG CỘNG TÀI SẢN]]</f>
        <v>#DIV/0!</v>
      </c>
      <c r="T53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539" s="23" t="e">
        <f>Table1[[#This Row],[1. Doanh thu bán hàng và cung cấp dịch vụ ]]/Table1[[#This Row],[TỔNG CỘNG TÀI SẢN]]</f>
        <v>#DIV/0!</v>
      </c>
      <c r="V539" s="23" t="e">
        <f>1.2*Table1[[#This Row],[X1]] + 1.4*Table1[[#This Row],[X2]] + 3.3*Table1[[#This Row],[x3]] + 0.6*Table1[[#This Row],[x4]] + 1*Table1[[#This Row],[x5]]</f>
        <v>#DIV/0!</v>
      </c>
      <c r="W539" s="23" t="e">
        <f>IF(Table1[[#This Row],[Zscore]]&lt;1.81,1,0)</f>
        <v>#DIV/0!</v>
      </c>
    </row>
    <row r="540" spans="1:23" hidden="1" x14ac:dyDescent="0.45">
      <c r="A540" s="7">
        <v>534</v>
      </c>
      <c r="B540" s="5" t="s">
        <v>1081</v>
      </c>
      <c r="C540" s="6" t="s">
        <v>1082</v>
      </c>
      <c r="D540" s="6" t="s">
        <v>13</v>
      </c>
      <c r="E540" s="6"/>
      <c r="F540" s="6"/>
      <c r="G540" s="6"/>
      <c r="H540" s="6"/>
      <c r="I540" s="6"/>
      <c r="J540" s="8"/>
      <c r="K540" s="6"/>
      <c r="L540" s="6"/>
      <c r="M540" s="8"/>
      <c r="N540" s="8"/>
      <c r="O540" s="8"/>
      <c r="P540" s="8"/>
      <c r="Q540" s="18" t="e">
        <f>(Table1[[#This Row],[A. TÀI SẢN NGẮN HẠN]]-Table1[[#This Row],[I. Nợ ngắn hạn]])/Table1[[#This Row],[TỔNG CỘNG TÀI SẢN]]</f>
        <v>#DIV/0!</v>
      </c>
      <c r="R540" s="18" t="e">
        <f>Table1[[#This Row],[- LNST chưa phân phối kỳ này]]/Table1[[#This Row],[TỔNG CỘNG TÀI SẢN]]</f>
        <v>#DIV/0!</v>
      </c>
      <c r="S540" s="21" t="e">
        <f>Table1[[#This Row],[5. Lợi nhuận gộp về bán hàng và cung cấp dịch vụ]]/Table1[[#This Row],[TỔNG CỘNG TÀI SẢN]]</f>
        <v>#DIV/0!</v>
      </c>
      <c r="T54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540" s="23" t="e">
        <f>Table1[[#This Row],[1. Doanh thu bán hàng và cung cấp dịch vụ ]]/Table1[[#This Row],[TỔNG CỘNG TÀI SẢN]]</f>
        <v>#DIV/0!</v>
      </c>
      <c r="V540" s="23" t="e">
        <f>1.2*Table1[[#This Row],[X1]] + 1.4*Table1[[#This Row],[X2]] + 3.3*Table1[[#This Row],[x3]] + 0.6*Table1[[#This Row],[x4]] + 1*Table1[[#This Row],[x5]]</f>
        <v>#DIV/0!</v>
      </c>
      <c r="W540" s="23" t="e">
        <f>IF(Table1[[#This Row],[Zscore]]&lt;1.81,1,0)</f>
        <v>#DIV/0!</v>
      </c>
    </row>
    <row r="541" spans="1:23" x14ac:dyDescent="0.45">
      <c r="A541" s="7">
        <v>535</v>
      </c>
      <c r="B541" s="5" t="s">
        <v>1083</v>
      </c>
      <c r="C541" s="6" t="s">
        <v>1084</v>
      </c>
      <c r="D541" s="6" t="s">
        <v>21</v>
      </c>
      <c r="E541" s="8">
        <v>997098578899</v>
      </c>
      <c r="F541" s="8">
        <v>37874344174</v>
      </c>
      <c r="G541" s="8">
        <v>24516126839</v>
      </c>
      <c r="H541" s="8">
        <v>-70045210331</v>
      </c>
      <c r="I541" s="8">
        <v>-980763290</v>
      </c>
      <c r="J541" s="8"/>
      <c r="K541" s="8">
        <v>144853840077</v>
      </c>
      <c r="L541" s="8">
        <v>52502532749</v>
      </c>
      <c r="M541" s="8">
        <v>291332000000</v>
      </c>
      <c r="N541" s="8">
        <v>311540000000</v>
      </c>
      <c r="O541" s="8">
        <v>276176000000</v>
      </c>
      <c r="P541" s="8">
        <v>335958000000</v>
      </c>
      <c r="Q541" s="18">
        <f>(Table1[[#This Row],[A. TÀI SẢN NGẮN HẠN]]-Table1[[#This Row],[I. Nợ ngắn hạn]])/Table1[[#This Row],[TỔNG CỘNG TÀI SẢN]]</f>
        <v>1.3397087928608015E-2</v>
      </c>
      <c r="R541" s="18">
        <f>Table1[[#This Row],[- LNST chưa phân phối kỳ này]]/Table1[[#This Row],[TỔNG CỘNG TÀI SẢN]]</f>
        <v>-7.024903235580196E-2</v>
      </c>
      <c r="S541" s="21">
        <f>Table1[[#This Row],[5. Lợi nhuận gộp về bán hàng và cung cấp dịch vụ]]/Table1[[#This Row],[TỔNG CỘNG TÀI SẢN]]</f>
        <v>-9.8361717763449479E-4</v>
      </c>
      <c r="T54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2.096951657191378</v>
      </c>
      <c r="U541" s="23">
        <f>Table1[[#This Row],[1. Doanh thu bán hàng và cung cấp dịch vụ ]]/Table1[[#This Row],[TỔNG CỘNG TÀI SẢN]]</f>
        <v>5.2655307970625627E-2</v>
      </c>
      <c r="V541" s="23">
        <f>1.2*Table1[[#This Row],[X1]] + 1.4*Table1[[#This Row],[X2]] + 3.3*Table1[[#This Row],[x3]] + 0.6*Table1[[#This Row],[x4]] + 1*Table1[[#This Row],[x5]]</f>
        <v>1.2253082258154653</v>
      </c>
      <c r="W541" s="23">
        <f>IF(Table1[[#This Row],[Zscore]]&lt;1.81,1,0)</f>
        <v>1</v>
      </c>
    </row>
    <row r="542" spans="1:23" hidden="1" x14ac:dyDescent="0.45">
      <c r="A542" s="7">
        <v>536</v>
      </c>
      <c r="B542" s="5" t="s">
        <v>1085</v>
      </c>
      <c r="C542" s="6" t="s">
        <v>1086</v>
      </c>
      <c r="D542" s="6" t="s">
        <v>13</v>
      </c>
      <c r="E542" s="6"/>
      <c r="F542" s="6"/>
      <c r="G542" s="6"/>
      <c r="H542" s="6"/>
      <c r="I542" s="6"/>
      <c r="J542" s="8"/>
      <c r="K542" s="6"/>
      <c r="L542" s="6"/>
      <c r="M542" s="8"/>
      <c r="N542" s="8"/>
      <c r="O542" s="8"/>
      <c r="P542" s="8"/>
      <c r="Q542" s="18" t="e">
        <f>(Table1[[#This Row],[A. TÀI SẢN NGẮN HẠN]]-Table1[[#This Row],[I. Nợ ngắn hạn]])/Table1[[#This Row],[TỔNG CỘNG TÀI SẢN]]</f>
        <v>#DIV/0!</v>
      </c>
      <c r="R542" s="18" t="e">
        <f>Table1[[#This Row],[- LNST chưa phân phối kỳ này]]/Table1[[#This Row],[TỔNG CỘNG TÀI SẢN]]</f>
        <v>#DIV/0!</v>
      </c>
      <c r="S542" s="21" t="e">
        <f>Table1[[#This Row],[5. Lợi nhuận gộp về bán hàng và cung cấp dịch vụ]]/Table1[[#This Row],[TỔNG CỘNG TÀI SẢN]]</f>
        <v>#DIV/0!</v>
      </c>
      <c r="T54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542" s="23" t="e">
        <f>Table1[[#This Row],[1. Doanh thu bán hàng và cung cấp dịch vụ ]]/Table1[[#This Row],[TỔNG CỘNG TÀI SẢN]]</f>
        <v>#DIV/0!</v>
      </c>
      <c r="V542" s="23" t="e">
        <f>1.2*Table1[[#This Row],[X1]] + 1.4*Table1[[#This Row],[X2]] + 3.3*Table1[[#This Row],[x3]] + 0.6*Table1[[#This Row],[x4]] + 1*Table1[[#This Row],[x5]]</f>
        <v>#DIV/0!</v>
      </c>
      <c r="W542" s="23" t="e">
        <f>IF(Table1[[#This Row],[Zscore]]&lt;1.81,1,0)</f>
        <v>#DIV/0!</v>
      </c>
    </row>
    <row r="543" spans="1:23" x14ac:dyDescent="0.45">
      <c r="A543" s="7">
        <v>537</v>
      </c>
      <c r="B543" s="5" t="s">
        <v>1087</v>
      </c>
      <c r="C543" s="6" t="s">
        <v>1088</v>
      </c>
      <c r="D543" s="6" t="s">
        <v>18</v>
      </c>
      <c r="E543" s="8">
        <v>2180999157473</v>
      </c>
      <c r="F543" s="8">
        <v>657862535833</v>
      </c>
      <c r="G543" s="8">
        <v>516175200539</v>
      </c>
      <c r="H543" s="8">
        <v>85749552728</v>
      </c>
      <c r="I543" s="8">
        <v>355913907118</v>
      </c>
      <c r="J543" s="8"/>
      <c r="K543" s="8">
        <v>1330179658069</v>
      </c>
      <c r="L543" s="8">
        <v>650620486940</v>
      </c>
      <c r="M543" s="8">
        <v>711892000000</v>
      </c>
      <c r="N543" s="8">
        <v>766330800000</v>
      </c>
      <c r="O543" s="8">
        <v>659547000000</v>
      </c>
      <c r="P543" s="8">
        <v>833332400000</v>
      </c>
      <c r="Q543" s="18">
        <f>(Table1[[#This Row],[A. TÀI SẢN NGẮN HẠN]]-Table1[[#This Row],[I. Nợ ngắn hạn]])/Table1[[#This Row],[TỔNG CỘNG TÀI SẢN]]</f>
        <v>6.4964415418740956E-2</v>
      </c>
      <c r="R543" s="18">
        <f>Table1[[#This Row],[- LNST chưa phân phối kỳ này]]/Table1[[#This Row],[TỔNG CỘNG TÀI SẢN]]</f>
        <v>3.9316637255079522E-2</v>
      </c>
      <c r="S543" s="21">
        <f>Table1[[#This Row],[5. Lợi nhuận gộp về bán hàng và cung cấp dịch vụ]]/Table1[[#This Row],[TỔNG CỘNG TÀI SẢN]]</f>
        <v>0.16318846612044419</v>
      </c>
      <c r="T54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0.55840242744222612</v>
      </c>
      <c r="U543" s="23">
        <f>Table1[[#This Row],[1. Doanh thu bán hàng và cung cấp dịch vụ ]]/Table1[[#This Row],[TỔNG CỘNG TÀI SẢN]]</f>
        <v>0.29831303909985779</v>
      </c>
      <c r="V543" s="23">
        <f>1.2*Table1[[#This Row],[X1]] + 1.4*Table1[[#This Row],[X2]] + 3.3*Table1[[#This Row],[x3]] + 0.6*Table1[[#This Row],[x4]] + 1*Table1[[#This Row],[x5]]</f>
        <v>1.3048770244222596</v>
      </c>
      <c r="W543" s="23">
        <f>IF(Table1[[#This Row],[Zscore]]&lt;1.81,1,0)</f>
        <v>1</v>
      </c>
    </row>
    <row r="544" spans="1:23" ht="26.25" hidden="1" x14ac:dyDescent="0.45">
      <c r="A544" s="7">
        <v>538</v>
      </c>
      <c r="B544" s="5" t="s">
        <v>1089</v>
      </c>
      <c r="C544" s="6" t="s">
        <v>1090</v>
      </c>
      <c r="D544" s="6" t="s">
        <v>13</v>
      </c>
      <c r="E544" s="6"/>
      <c r="F544" s="6"/>
      <c r="G544" s="6"/>
      <c r="H544" s="6"/>
      <c r="I544" s="6"/>
      <c r="J544" s="8"/>
      <c r="K544" s="6"/>
      <c r="L544" s="6"/>
      <c r="M544" s="8"/>
      <c r="N544" s="8"/>
      <c r="O544" s="8"/>
      <c r="P544" s="8"/>
      <c r="Q544" s="18" t="e">
        <f>(Table1[[#This Row],[A. TÀI SẢN NGẮN HẠN]]-Table1[[#This Row],[I. Nợ ngắn hạn]])/Table1[[#This Row],[TỔNG CỘNG TÀI SẢN]]</f>
        <v>#DIV/0!</v>
      </c>
      <c r="R544" s="18" t="e">
        <f>Table1[[#This Row],[- LNST chưa phân phối kỳ này]]/Table1[[#This Row],[TỔNG CỘNG TÀI SẢN]]</f>
        <v>#DIV/0!</v>
      </c>
      <c r="S544" s="21" t="e">
        <f>Table1[[#This Row],[5. Lợi nhuận gộp về bán hàng và cung cấp dịch vụ]]/Table1[[#This Row],[TỔNG CỘNG TÀI SẢN]]</f>
        <v>#DIV/0!</v>
      </c>
      <c r="T54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544" s="23" t="e">
        <f>Table1[[#This Row],[1. Doanh thu bán hàng và cung cấp dịch vụ ]]/Table1[[#This Row],[TỔNG CỘNG TÀI SẢN]]</f>
        <v>#DIV/0!</v>
      </c>
      <c r="V544" s="23" t="e">
        <f>1.2*Table1[[#This Row],[X1]] + 1.4*Table1[[#This Row],[X2]] + 3.3*Table1[[#This Row],[x3]] + 0.6*Table1[[#This Row],[x4]] + 1*Table1[[#This Row],[x5]]</f>
        <v>#DIV/0!</v>
      </c>
      <c r="W544" s="23" t="e">
        <f>IF(Table1[[#This Row],[Zscore]]&lt;1.81,1,0)</f>
        <v>#DIV/0!</v>
      </c>
    </row>
    <row r="545" spans="1:23" hidden="1" x14ac:dyDescent="0.45">
      <c r="A545" s="7">
        <v>539</v>
      </c>
      <c r="B545" s="5" t="s">
        <v>1091</v>
      </c>
      <c r="C545" s="6" t="s">
        <v>1092</v>
      </c>
      <c r="D545" s="6" t="s">
        <v>13</v>
      </c>
      <c r="E545" s="6"/>
      <c r="F545" s="6"/>
      <c r="G545" s="6"/>
      <c r="H545" s="6"/>
      <c r="I545" s="6"/>
      <c r="J545" s="8"/>
      <c r="K545" s="6"/>
      <c r="L545" s="6"/>
      <c r="M545" s="8"/>
      <c r="N545" s="8"/>
      <c r="O545" s="8"/>
      <c r="P545" s="8"/>
      <c r="Q545" s="18" t="e">
        <f>(Table1[[#This Row],[A. TÀI SẢN NGẮN HẠN]]-Table1[[#This Row],[I. Nợ ngắn hạn]])/Table1[[#This Row],[TỔNG CỘNG TÀI SẢN]]</f>
        <v>#DIV/0!</v>
      </c>
      <c r="R545" s="18" t="e">
        <f>Table1[[#This Row],[- LNST chưa phân phối kỳ này]]/Table1[[#This Row],[TỔNG CỘNG TÀI SẢN]]</f>
        <v>#DIV/0!</v>
      </c>
      <c r="S545" s="21" t="e">
        <f>Table1[[#This Row],[5. Lợi nhuận gộp về bán hàng và cung cấp dịch vụ]]/Table1[[#This Row],[TỔNG CỘNG TÀI SẢN]]</f>
        <v>#DIV/0!</v>
      </c>
      <c r="T54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545" s="23" t="e">
        <f>Table1[[#This Row],[1. Doanh thu bán hàng và cung cấp dịch vụ ]]/Table1[[#This Row],[TỔNG CỘNG TÀI SẢN]]</f>
        <v>#DIV/0!</v>
      </c>
      <c r="V545" s="23" t="e">
        <f>1.2*Table1[[#This Row],[X1]] + 1.4*Table1[[#This Row],[X2]] + 3.3*Table1[[#This Row],[x3]] + 0.6*Table1[[#This Row],[x4]] + 1*Table1[[#This Row],[x5]]</f>
        <v>#DIV/0!</v>
      </c>
      <c r="W545" s="23" t="e">
        <f>IF(Table1[[#This Row],[Zscore]]&lt;1.81,1,0)</f>
        <v>#DIV/0!</v>
      </c>
    </row>
    <row r="546" spans="1:23" hidden="1" x14ac:dyDescent="0.45">
      <c r="A546" s="7">
        <v>540</v>
      </c>
      <c r="B546" s="5" t="s">
        <v>1093</v>
      </c>
      <c r="C546" s="6" t="s">
        <v>1094</v>
      </c>
      <c r="D546" s="6" t="s">
        <v>13</v>
      </c>
      <c r="E546" s="6"/>
      <c r="F546" s="6"/>
      <c r="G546" s="6"/>
      <c r="H546" s="6"/>
      <c r="I546" s="6"/>
      <c r="J546" s="8"/>
      <c r="K546" s="6"/>
      <c r="L546" s="6"/>
      <c r="M546" s="8"/>
      <c r="N546" s="8"/>
      <c r="O546" s="8"/>
      <c r="P546" s="8"/>
      <c r="Q546" s="18" t="e">
        <f>(Table1[[#This Row],[A. TÀI SẢN NGẮN HẠN]]-Table1[[#This Row],[I. Nợ ngắn hạn]])/Table1[[#This Row],[TỔNG CỘNG TÀI SẢN]]</f>
        <v>#DIV/0!</v>
      </c>
      <c r="R546" s="18" t="e">
        <f>Table1[[#This Row],[- LNST chưa phân phối kỳ này]]/Table1[[#This Row],[TỔNG CỘNG TÀI SẢN]]</f>
        <v>#DIV/0!</v>
      </c>
      <c r="S546" s="21" t="e">
        <f>Table1[[#This Row],[5. Lợi nhuận gộp về bán hàng và cung cấp dịch vụ]]/Table1[[#This Row],[TỔNG CỘNG TÀI SẢN]]</f>
        <v>#DIV/0!</v>
      </c>
      <c r="T54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546" s="23" t="e">
        <f>Table1[[#This Row],[1. Doanh thu bán hàng và cung cấp dịch vụ ]]/Table1[[#This Row],[TỔNG CỘNG TÀI SẢN]]</f>
        <v>#DIV/0!</v>
      </c>
      <c r="V546" s="23" t="e">
        <f>1.2*Table1[[#This Row],[X1]] + 1.4*Table1[[#This Row],[X2]] + 3.3*Table1[[#This Row],[x3]] + 0.6*Table1[[#This Row],[x4]] + 1*Table1[[#This Row],[x5]]</f>
        <v>#DIV/0!</v>
      </c>
      <c r="W546" s="23" t="e">
        <f>IF(Table1[[#This Row],[Zscore]]&lt;1.81,1,0)</f>
        <v>#DIV/0!</v>
      </c>
    </row>
    <row r="547" spans="1:23" hidden="1" x14ac:dyDescent="0.45">
      <c r="A547" s="7">
        <v>541</v>
      </c>
      <c r="B547" s="5" t="s">
        <v>1095</v>
      </c>
      <c r="C547" s="6" t="s">
        <v>1096</v>
      </c>
      <c r="D547" s="6" t="s">
        <v>13</v>
      </c>
      <c r="E547" s="6"/>
      <c r="F547" s="6"/>
      <c r="G547" s="6"/>
      <c r="H547" s="6"/>
      <c r="I547" s="6"/>
      <c r="J547" s="8"/>
      <c r="K547" s="6"/>
      <c r="L547" s="6"/>
      <c r="M547" s="8"/>
      <c r="N547" s="8"/>
      <c r="O547" s="8"/>
      <c r="P547" s="8"/>
      <c r="Q547" s="18" t="e">
        <f>(Table1[[#This Row],[A. TÀI SẢN NGẮN HẠN]]-Table1[[#This Row],[I. Nợ ngắn hạn]])/Table1[[#This Row],[TỔNG CỘNG TÀI SẢN]]</f>
        <v>#DIV/0!</v>
      </c>
      <c r="R547" s="18" t="e">
        <f>Table1[[#This Row],[- LNST chưa phân phối kỳ này]]/Table1[[#This Row],[TỔNG CỘNG TÀI SẢN]]</f>
        <v>#DIV/0!</v>
      </c>
      <c r="S547" s="21" t="e">
        <f>Table1[[#This Row],[5. Lợi nhuận gộp về bán hàng và cung cấp dịch vụ]]/Table1[[#This Row],[TỔNG CỘNG TÀI SẢN]]</f>
        <v>#DIV/0!</v>
      </c>
      <c r="T54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547" s="23" t="e">
        <f>Table1[[#This Row],[1. Doanh thu bán hàng và cung cấp dịch vụ ]]/Table1[[#This Row],[TỔNG CỘNG TÀI SẢN]]</f>
        <v>#DIV/0!</v>
      </c>
      <c r="V547" s="23" t="e">
        <f>1.2*Table1[[#This Row],[X1]] + 1.4*Table1[[#This Row],[X2]] + 3.3*Table1[[#This Row],[x3]] + 0.6*Table1[[#This Row],[x4]] + 1*Table1[[#This Row],[x5]]</f>
        <v>#DIV/0!</v>
      </c>
      <c r="W547" s="23" t="e">
        <f>IF(Table1[[#This Row],[Zscore]]&lt;1.81,1,0)</f>
        <v>#DIV/0!</v>
      </c>
    </row>
    <row r="548" spans="1:23" ht="26.25" hidden="1" x14ac:dyDescent="0.45">
      <c r="A548" s="7">
        <v>542</v>
      </c>
      <c r="B548" s="5" t="s">
        <v>1097</v>
      </c>
      <c r="C548" s="6" t="s">
        <v>1098</v>
      </c>
      <c r="D548" s="6" t="s">
        <v>18</v>
      </c>
      <c r="E548" s="6"/>
      <c r="F548" s="6"/>
      <c r="G548" s="6"/>
      <c r="H548" s="6"/>
      <c r="I548" s="6"/>
      <c r="J548" s="8"/>
      <c r="K548" s="6"/>
      <c r="L548" s="6"/>
      <c r="M548" s="8"/>
      <c r="N548" s="8"/>
      <c r="O548" s="8"/>
      <c r="P548" s="8"/>
      <c r="Q548" s="18" t="e">
        <f>(Table1[[#This Row],[A. TÀI SẢN NGẮN HẠN]]-Table1[[#This Row],[I. Nợ ngắn hạn]])/Table1[[#This Row],[TỔNG CỘNG TÀI SẢN]]</f>
        <v>#DIV/0!</v>
      </c>
      <c r="R548" s="18" t="e">
        <f>Table1[[#This Row],[- LNST chưa phân phối kỳ này]]/Table1[[#This Row],[TỔNG CỘNG TÀI SẢN]]</f>
        <v>#DIV/0!</v>
      </c>
      <c r="S548" s="21" t="e">
        <f>Table1[[#This Row],[5. Lợi nhuận gộp về bán hàng và cung cấp dịch vụ]]/Table1[[#This Row],[TỔNG CỘNG TÀI SẢN]]</f>
        <v>#DIV/0!</v>
      </c>
      <c r="T54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548" s="23" t="e">
        <f>Table1[[#This Row],[1. Doanh thu bán hàng và cung cấp dịch vụ ]]/Table1[[#This Row],[TỔNG CỘNG TÀI SẢN]]</f>
        <v>#DIV/0!</v>
      </c>
      <c r="V548" s="23" t="e">
        <f>1.2*Table1[[#This Row],[X1]] + 1.4*Table1[[#This Row],[X2]] + 3.3*Table1[[#This Row],[x3]] + 0.6*Table1[[#This Row],[x4]] + 1*Table1[[#This Row],[x5]]</f>
        <v>#DIV/0!</v>
      </c>
      <c r="W548" s="23" t="e">
        <f>IF(Table1[[#This Row],[Zscore]]&lt;1.81,1,0)</f>
        <v>#DIV/0!</v>
      </c>
    </row>
    <row r="549" spans="1:23" ht="26.25" x14ac:dyDescent="0.45">
      <c r="A549" s="7">
        <v>543</v>
      </c>
      <c r="B549" s="5" t="s">
        <v>1099</v>
      </c>
      <c r="C549" s="6" t="s">
        <v>1100</v>
      </c>
      <c r="D549" s="6" t="s">
        <v>21</v>
      </c>
      <c r="E549" s="8">
        <v>1557801453709</v>
      </c>
      <c r="F549" s="8">
        <v>1299597825758</v>
      </c>
      <c r="G549" s="8">
        <v>582488323404</v>
      </c>
      <c r="H549" s="8">
        <v>71850941419</v>
      </c>
      <c r="I549" s="8">
        <v>101137515321</v>
      </c>
      <c r="J549" s="8"/>
      <c r="K549" s="8">
        <v>582488323404</v>
      </c>
      <c r="L549" s="8">
        <v>2533776163916</v>
      </c>
      <c r="M549" s="8">
        <v>545519327080</v>
      </c>
      <c r="N549" s="8">
        <v>740743248700</v>
      </c>
      <c r="O549" s="8">
        <v>519212557500</v>
      </c>
      <c r="P549" s="8">
        <v>754588916900</v>
      </c>
      <c r="Q549" s="18">
        <f>(Table1[[#This Row],[A. TÀI SẢN NGẮN HẠN]]-Table1[[#This Row],[I. Nợ ngắn hạn]])/Table1[[#This Row],[TỔNG CỘNG TÀI SẢN]]</f>
        <v>0.46033433891502662</v>
      </c>
      <c r="R549" s="18">
        <f>Table1[[#This Row],[- LNST chưa phân phối kỳ này]]/Table1[[#This Row],[TỔNG CỘNG TÀI SẢN]]</f>
        <v>4.612329847807542E-2</v>
      </c>
      <c r="S549" s="21">
        <f>Table1[[#This Row],[5. Lợi nhuận gộp về bán hàng và cung cấp dịch vụ]]/Table1[[#This Row],[TỔNG CỘNG TÀI SẢN]]</f>
        <v>6.4923238503982461E-2</v>
      </c>
      <c r="T54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1.0987619611064721</v>
      </c>
      <c r="U549" s="23">
        <f>Table1[[#This Row],[1. Doanh thu bán hàng và cung cấp dịch vụ ]]/Table1[[#This Row],[TỔNG CỘNG TÀI SẢN]]</f>
        <v>1.6265077670092569</v>
      </c>
      <c r="V549" s="23">
        <f>1.2*Table1[[#This Row],[X1]] + 1.4*Table1[[#This Row],[X2]] + 3.3*Table1[[#This Row],[x3]] + 0.6*Table1[[#This Row],[x4]] + 1*Table1[[#This Row],[x5]]</f>
        <v>3.1169854553036194</v>
      </c>
      <c r="W549" s="23">
        <f>IF(Table1[[#This Row],[Zscore]]&lt;1.81,1,0)</f>
        <v>0</v>
      </c>
    </row>
    <row r="550" spans="1:23" hidden="1" x14ac:dyDescent="0.45">
      <c r="A550" s="7">
        <v>544</v>
      </c>
      <c r="B550" s="5" t="s">
        <v>1101</v>
      </c>
      <c r="C550" s="6" t="s">
        <v>1102</v>
      </c>
      <c r="D550" s="6" t="s">
        <v>13</v>
      </c>
      <c r="E550" s="6"/>
      <c r="F550" s="6"/>
      <c r="G550" s="6"/>
      <c r="H550" s="6"/>
      <c r="I550" s="6"/>
      <c r="J550" s="8"/>
      <c r="K550" s="6"/>
      <c r="L550" s="6"/>
      <c r="M550" s="8"/>
      <c r="N550" s="8"/>
      <c r="O550" s="8"/>
      <c r="P550" s="8"/>
      <c r="Q550" s="18" t="e">
        <f>(Table1[[#This Row],[A. TÀI SẢN NGẮN HẠN]]-Table1[[#This Row],[I. Nợ ngắn hạn]])/Table1[[#This Row],[TỔNG CỘNG TÀI SẢN]]</f>
        <v>#DIV/0!</v>
      </c>
      <c r="R550" s="18" t="e">
        <f>Table1[[#This Row],[- LNST chưa phân phối kỳ này]]/Table1[[#This Row],[TỔNG CỘNG TÀI SẢN]]</f>
        <v>#DIV/0!</v>
      </c>
      <c r="S550" s="21" t="e">
        <f>Table1[[#This Row],[5. Lợi nhuận gộp về bán hàng và cung cấp dịch vụ]]/Table1[[#This Row],[TỔNG CỘNG TÀI SẢN]]</f>
        <v>#DIV/0!</v>
      </c>
      <c r="T55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550" s="23" t="e">
        <f>Table1[[#This Row],[1. Doanh thu bán hàng và cung cấp dịch vụ ]]/Table1[[#This Row],[TỔNG CỘNG TÀI SẢN]]</f>
        <v>#DIV/0!</v>
      </c>
      <c r="V550" s="23" t="e">
        <f>1.2*Table1[[#This Row],[X1]] + 1.4*Table1[[#This Row],[X2]] + 3.3*Table1[[#This Row],[x3]] + 0.6*Table1[[#This Row],[x4]] + 1*Table1[[#This Row],[x5]]</f>
        <v>#DIV/0!</v>
      </c>
      <c r="W550" s="23" t="e">
        <f>IF(Table1[[#This Row],[Zscore]]&lt;1.81,1,0)</f>
        <v>#DIV/0!</v>
      </c>
    </row>
    <row r="551" spans="1:23" hidden="1" x14ac:dyDescent="0.45">
      <c r="A551" s="7">
        <v>545</v>
      </c>
      <c r="B551" s="5" t="s">
        <v>1103</v>
      </c>
      <c r="C551" s="6" t="s">
        <v>1104</v>
      </c>
      <c r="D551" s="6" t="s">
        <v>13</v>
      </c>
      <c r="E551" s="6"/>
      <c r="F551" s="6"/>
      <c r="G551" s="6"/>
      <c r="H551" s="6"/>
      <c r="I551" s="6"/>
      <c r="J551" s="8"/>
      <c r="K551" s="6"/>
      <c r="L551" s="6"/>
      <c r="M551" s="8"/>
      <c r="N551" s="8"/>
      <c r="O551" s="8"/>
      <c r="P551" s="8"/>
      <c r="Q551" s="18" t="e">
        <f>(Table1[[#This Row],[A. TÀI SẢN NGẮN HẠN]]-Table1[[#This Row],[I. Nợ ngắn hạn]])/Table1[[#This Row],[TỔNG CỘNG TÀI SẢN]]</f>
        <v>#DIV/0!</v>
      </c>
      <c r="R551" s="18" t="e">
        <f>Table1[[#This Row],[- LNST chưa phân phối kỳ này]]/Table1[[#This Row],[TỔNG CỘNG TÀI SẢN]]</f>
        <v>#DIV/0!</v>
      </c>
      <c r="S551" s="21" t="e">
        <f>Table1[[#This Row],[5. Lợi nhuận gộp về bán hàng và cung cấp dịch vụ]]/Table1[[#This Row],[TỔNG CỘNG TÀI SẢN]]</f>
        <v>#DIV/0!</v>
      </c>
      <c r="T55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551" s="23" t="e">
        <f>Table1[[#This Row],[1. Doanh thu bán hàng và cung cấp dịch vụ ]]/Table1[[#This Row],[TỔNG CỘNG TÀI SẢN]]</f>
        <v>#DIV/0!</v>
      </c>
      <c r="V551" s="23" t="e">
        <f>1.2*Table1[[#This Row],[X1]] + 1.4*Table1[[#This Row],[X2]] + 3.3*Table1[[#This Row],[x3]] + 0.6*Table1[[#This Row],[x4]] + 1*Table1[[#This Row],[x5]]</f>
        <v>#DIV/0!</v>
      </c>
      <c r="W551" s="23" t="e">
        <f>IF(Table1[[#This Row],[Zscore]]&lt;1.81,1,0)</f>
        <v>#DIV/0!</v>
      </c>
    </row>
    <row r="552" spans="1:23" ht="26.25" hidden="1" x14ac:dyDescent="0.45">
      <c r="A552" s="7">
        <v>546</v>
      </c>
      <c r="B552" s="5" t="s">
        <v>1105</v>
      </c>
      <c r="C552" s="6" t="s">
        <v>1106</v>
      </c>
      <c r="D552" s="6" t="s">
        <v>13</v>
      </c>
      <c r="E552" s="6"/>
      <c r="F552" s="6"/>
      <c r="G552" s="6"/>
      <c r="H552" s="6"/>
      <c r="I552" s="6"/>
      <c r="J552" s="8"/>
      <c r="K552" s="6"/>
      <c r="L552" s="6"/>
      <c r="M552" s="8"/>
      <c r="N552" s="8"/>
      <c r="O552" s="8"/>
      <c r="P552" s="8"/>
      <c r="Q552" s="18" t="e">
        <f>(Table1[[#This Row],[A. TÀI SẢN NGẮN HẠN]]-Table1[[#This Row],[I. Nợ ngắn hạn]])/Table1[[#This Row],[TỔNG CỘNG TÀI SẢN]]</f>
        <v>#DIV/0!</v>
      </c>
      <c r="R552" s="18" t="e">
        <f>Table1[[#This Row],[- LNST chưa phân phối kỳ này]]/Table1[[#This Row],[TỔNG CỘNG TÀI SẢN]]</f>
        <v>#DIV/0!</v>
      </c>
      <c r="S552" s="21" t="e">
        <f>Table1[[#This Row],[5. Lợi nhuận gộp về bán hàng và cung cấp dịch vụ]]/Table1[[#This Row],[TỔNG CỘNG TÀI SẢN]]</f>
        <v>#DIV/0!</v>
      </c>
      <c r="T55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552" s="23" t="e">
        <f>Table1[[#This Row],[1. Doanh thu bán hàng và cung cấp dịch vụ ]]/Table1[[#This Row],[TỔNG CỘNG TÀI SẢN]]</f>
        <v>#DIV/0!</v>
      </c>
      <c r="V552" s="23" t="e">
        <f>1.2*Table1[[#This Row],[X1]] + 1.4*Table1[[#This Row],[X2]] + 3.3*Table1[[#This Row],[x3]] + 0.6*Table1[[#This Row],[x4]] + 1*Table1[[#This Row],[x5]]</f>
        <v>#DIV/0!</v>
      </c>
      <c r="W552" s="23" t="e">
        <f>IF(Table1[[#This Row],[Zscore]]&lt;1.81,1,0)</f>
        <v>#DIV/0!</v>
      </c>
    </row>
    <row r="553" spans="1:23" x14ac:dyDescent="0.45">
      <c r="A553" s="7">
        <v>547</v>
      </c>
      <c r="B553" s="5" t="s">
        <v>1107</v>
      </c>
      <c r="C553" s="6" t="s">
        <v>1108</v>
      </c>
      <c r="D553" s="6" t="s">
        <v>21</v>
      </c>
      <c r="E553" s="8">
        <v>15976734904060</v>
      </c>
      <c r="F553" s="8">
        <v>9449733593939</v>
      </c>
      <c r="G553" s="8">
        <v>6646289319377</v>
      </c>
      <c r="H553" s="8">
        <v>1506767998626</v>
      </c>
      <c r="I553" s="8">
        <v>2746567149524</v>
      </c>
      <c r="J553" s="8"/>
      <c r="K553" s="8">
        <v>7907672405534</v>
      </c>
      <c r="L553" s="8">
        <v>15552786565082</v>
      </c>
      <c r="M553" s="8">
        <v>9956407063750</v>
      </c>
      <c r="N553" s="8">
        <v>10410643342350</v>
      </c>
      <c r="O553" s="8">
        <v>11378750930000</v>
      </c>
      <c r="P553" s="8">
        <v>10487616675750</v>
      </c>
      <c r="Q553" s="18">
        <f>(Table1[[#This Row],[A. TÀI SẢN NGẮN HẠN]]-Table1[[#This Row],[I. Nợ ngắn hạn]])/Table1[[#This Row],[TỔNG CỘNG TÀI SẢN]]</f>
        <v>0.17547041315992482</v>
      </c>
      <c r="R553" s="18">
        <f>Table1[[#This Row],[- LNST chưa phân phối kỳ này]]/Table1[[#This Row],[TỔNG CỘNG TÀI SẢN]]</f>
        <v>9.4310133307845073E-2</v>
      </c>
      <c r="S553" s="21">
        <f>Table1[[#This Row],[5. Lợi nhuận gộp về bán hàng và cung cấp dịch vụ]]/Table1[[#This Row],[TỔNG CỘNG TÀI SẢN]]</f>
        <v>0.17191041636586482</v>
      </c>
      <c r="T55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1.3352038326187465</v>
      </c>
      <c r="U553" s="23">
        <f>Table1[[#This Row],[1. Doanh thu bán hàng và cung cấp dịch vụ ]]/Table1[[#This Row],[TỔNG CỘNG TÀI SẢN]]</f>
        <v>0.97346464458953585</v>
      </c>
      <c r="V553" s="23">
        <f>1.2*Table1[[#This Row],[X1]] + 1.4*Table1[[#This Row],[X2]] + 3.3*Table1[[#This Row],[x3]] + 0.6*Table1[[#This Row],[x4]] + 1*Table1[[#This Row],[x5]]</f>
        <v>2.6844900005910306</v>
      </c>
      <c r="W553" s="23">
        <f>IF(Table1[[#This Row],[Zscore]]&lt;1.81,1,0)</f>
        <v>0</v>
      </c>
    </row>
    <row r="554" spans="1:23" ht="26.25" x14ac:dyDescent="0.45">
      <c r="A554" s="7">
        <v>548</v>
      </c>
      <c r="B554" s="5" t="s">
        <v>1109</v>
      </c>
      <c r="C554" s="6" t="s">
        <v>1110</v>
      </c>
      <c r="D554" s="6" t="s">
        <v>21</v>
      </c>
      <c r="E554" s="8">
        <v>2584097309626</v>
      </c>
      <c r="F554" s="8">
        <v>1481235078687</v>
      </c>
      <c r="G554" s="8">
        <v>590330429509</v>
      </c>
      <c r="H554" s="8">
        <v>220922174780</v>
      </c>
      <c r="I554" s="8">
        <v>881860607919</v>
      </c>
      <c r="J554" s="8"/>
      <c r="K554" s="8">
        <v>862891321873</v>
      </c>
      <c r="L554" s="8">
        <v>1946612659960</v>
      </c>
      <c r="M554" s="8">
        <v>5051903148000</v>
      </c>
      <c r="N554" s="8">
        <v>4611075985600</v>
      </c>
      <c r="O554" s="8">
        <v>5023837019400</v>
      </c>
      <c r="P554" s="8">
        <v>5092971221800</v>
      </c>
      <c r="Q554" s="18">
        <f>(Table1[[#This Row],[A. TÀI SẢN NGẮN HẠN]]-Table1[[#This Row],[I. Nợ ngắn hạn]])/Table1[[#This Row],[TỔNG CỘNG TÀI SẢN]]</f>
        <v>0.34476435769632136</v>
      </c>
      <c r="R554" s="18">
        <f>Table1[[#This Row],[- LNST chưa phân phối kỳ này]]/Table1[[#This Row],[TỔNG CỘNG TÀI SẢN]]</f>
        <v>8.5492978130910391E-2</v>
      </c>
      <c r="S554" s="21">
        <f>Table1[[#This Row],[5. Lợi nhuận gộp về bán hàng và cung cấp dịch vụ]]/Table1[[#This Row],[TỔNG CỘNG TÀI SẢN]]</f>
        <v>0.34126447352968797</v>
      </c>
      <c r="T55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5.7306716597478946</v>
      </c>
      <c r="U554" s="23">
        <f>Table1[[#This Row],[1. Doanh thu bán hàng và cung cấp dịch vụ ]]/Table1[[#This Row],[TỔNG CỘNG TÀI SẢN]]</f>
        <v>0.75330470439665287</v>
      </c>
      <c r="V554" s="23">
        <f>1.2*Table1[[#This Row],[X1]] + 1.4*Table1[[#This Row],[X2]] + 3.3*Table1[[#This Row],[x3]] + 0.6*Table1[[#This Row],[x4]] + 1*Table1[[#This Row],[x5]]</f>
        <v>5.8512878615122199</v>
      </c>
      <c r="W554" s="23">
        <f>IF(Table1[[#This Row],[Zscore]]&lt;1.81,1,0)</f>
        <v>0</v>
      </c>
    </row>
    <row r="555" spans="1:23" hidden="1" x14ac:dyDescent="0.45">
      <c r="A555" s="7">
        <v>549</v>
      </c>
      <c r="B555" s="5" t="s">
        <v>1111</v>
      </c>
      <c r="C555" s="6" t="s">
        <v>1112</v>
      </c>
      <c r="D555" s="6" t="s">
        <v>13</v>
      </c>
      <c r="E555" s="6"/>
      <c r="F555" s="6"/>
      <c r="G555" s="6"/>
      <c r="H555" s="6"/>
      <c r="I555" s="6"/>
      <c r="J555" s="8"/>
      <c r="K555" s="6"/>
      <c r="L555" s="6"/>
      <c r="M555" s="8"/>
      <c r="N555" s="8"/>
      <c r="O555" s="8"/>
      <c r="P555" s="8"/>
      <c r="Q555" s="18" t="e">
        <f>(Table1[[#This Row],[A. TÀI SẢN NGẮN HẠN]]-Table1[[#This Row],[I. Nợ ngắn hạn]])/Table1[[#This Row],[TỔNG CỘNG TÀI SẢN]]</f>
        <v>#DIV/0!</v>
      </c>
      <c r="R555" s="18" t="e">
        <f>Table1[[#This Row],[- LNST chưa phân phối kỳ này]]/Table1[[#This Row],[TỔNG CỘNG TÀI SẢN]]</f>
        <v>#DIV/0!</v>
      </c>
      <c r="S555" s="21" t="e">
        <f>Table1[[#This Row],[5. Lợi nhuận gộp về bán hàng và cung cấp dịch vụ]]/Table1[[#This Row],[TỔNG CỘNG TÀI SẢN]]</f>
        <v>#DIV/0!</v>
      </c>
      <c r="T55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555" s="23" t="e">
        <f>Table1[[#This Row],[1. Doanh thu bán hàng và cung cấp dịch vụ ]]/Table1[[#This Row],[TỔNG CỘNG TÀI SẢN]]</f>
        <v>#DIV/0!</v>
      </c>
      <c r="V555" s="23" t="e">
        <f>1.2*Table1[[#This Row],[X1]] + 1.4*Table1[[#This Row],[X2]] + 3.3*Table1[[#This Row],[x3]] + 0.6*Table1[[#This Row],[x4]] + 1*Table1[[#This Row],[x5]]</f>
        <v>#DIV/0!</v>
      </c>
      <c r="W555" s="23" t="e">
        <f>IF(Table1[[#This Row],[Zscore]]&lt;1.81,1,0)</f>
        <v>#DIV/0!</v>
      </c>
    </row>
    <row r="556" spans="1:23" hidden="1" x14ac:dyDescent="0.45">
      <c r="A556" s="7">
        <v>550</v>
      </c>
      <c r="B556" s="5" t="s">
        <v>1113</v>
      </c>
      <c r="C556" s="6" t="s">
        <v>1114</v>
      </c>
      <c r="D556" s="6" t="s">
        <v>13</v>
      </c>
      <c r="E556" s="6"/>
      <c r="F556" s="6"/>
      <c r="G556" s="6"/>
      <c r="H556" s="6"/>
      <c r="I556" s="6"/>
      <c r="J556" s="8"/>
      <c r="K556" s="6"/>
      <c r="L556" s="6"/>
      <c r="M556" s="8"/>
      <c r="N556" s="8"/>
      <c r="O556" s="8"/>
      <c r="P556" s="8"/>
      <c r="Q556" s="18" t="e">
        <f>(Table1[[#This Row],[A. TÀI SẢN NGẮN HẠN]]-Table1[[#This Row],[I. Nợ ngắn hạn]])/Table1[[#This Row],[TỔNG CỘNG TÀI SẢN]]</f>
        <v>#DIV/0!</v>
      </c>
      <c r="R556" s="18" t="e">
        <f>Table1[[#This Row],[- LNST chưa phân phối kỳ này]]/Table1[[#This Row],[TỔNG CỘNG TÀI SẢN]]</f>
        <v>#DIV/0!</v>
      </c>
      <c r="S556" s="21" t="e">
        <f>Table1[[#This Row],[5. Lợi nhuận gộp về bán hàng và cung cấp dịch vụ]]/Table1[[#This Row],[TỔNG CỘNG TÀI SẢN]]</f>
        <v>#DIV/0!</v>
      </c>
      <c r="T55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556" s="23" t="e">
        <f>Table1[[#This Row],[1. Doanh thu bán hàng và cung cấp dịch vụ ]]/Table1[[#This Row],[TỔNG CỘNG TÀI SẢN]]</f>
        <v>#DIV/0!</v>
      </c>
      <c r="V556" s="23" t="e">
        <f>1.2*Table1[[#This Row],[X1]] + 1.4*Table1[[#This Row],[X2]] + 3.3*Table1[[#This Row],[x3]] + 0.6*Table1[[#This Row],[x4]] + 1*Table1[[#This Row],[x5]]</f>
        <v>#DIV/0!</v>
      </c>
      <c r="W556" s="23" t="e">
        <f>IF(Table1[[#This Row],[Zscore]]&lt;1.81,1,0)</f>
        <v>#DIV/0!</v>
      </c>
    </row>
    <row r="557" spans="1:23" hidden="1" x14ac:dyDescent="0.45">
      <c r="A557" s="7">
        <v>551</v>
      </c>
      <c r="B557" s="5" t="s">
        <v>1115</v>
      </c>
      <c r="C557" s="6" t="s">
        <v>1116</v>
      </c>
      <c r="D557" s="6" t="s">
        <v>18</v>
      </c>
      <c r="E557" s="6"/>
      <c r="F557" s="6"/>
      <c r="G557" s="6"/>
      <c r="H557" s="6"/>
      <c r="I557" s="6"/>
      <c r="J557" s="8"/>
      <c r="K557" s="6"/>
      <c r="L557" s="6"/>
      <c r="M557" s="8"/>
      <c r="N557" s="8"/>
      <c r="O557" s="8"/>
      <c r="P557" s="8"/>
      <c r="Q557" s="18" t="e">
        <f>(Table1[[#This Row],[A. TÀI SẢN NGẮN HẠN]]-Table1[[#This Row],[I. Nợ ngắn hạn]])/Table1[[#This Row],[TỔNG CỘNG TÀI SẢN]]</f>
        <v>#DIV/0!</v>
      </c>
      <c r="R557" s="18" t="e">
        <f>Table1[[#This Row],[- LNST chưa phân phối kỳ này]]/Table1[[#This Row],[TỔNG CỘNG TÀI SẢN]]</f>
        <v>#DIV/0!</v>
      </c>
      <c r="S557" s="21" t="e">
        <f>Table1[[#This Row],[5. Lợi nhuận gộp về bán hàng và cung cấp dịch vụ]]/Table1[[#This Row],[TỔNG CỘNG TÀI SẢN]]</f>
        <v>#DIV/0!</v>
      </c>
      <c r="T55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557" s="23" t="e">
        <f>Table1[[#This Row],[1. Doanh thu bán hàng và cung cấp dịch vụ ]]/Table1[[#This Row],[TỔNG CỘNG TÀI SẢN]]</f>
        <v>#DIV/0!</v>
      </c>
      <c r="V557" s="23" t="e">
        <f>1.2*Table1[[#This Row],[X1]] + 1.4*Table1[[#This Row],[X2]] + 3.3*Table1[[#This Row],[x3]] + 0.6*Table1[[#This Row],[x4]] + 1*Table1[[#This Row],[x5]]</f>
        <v>#DIV/0!</v>
      </c>
      <c r="W557" s="23" t="e">
        <f>IF(Table1[[#This Row],[Zscore]]&lt;1.81,1,0)</f>
        <v>#DIV/0!</v>
      </c>
    </row>
    <row r="558" spans="1:23" x14ac:dyDescent="0.45">
      <c r="A558" s="7">
        <v>552</v>
      </c>
      <c r="B558" s="5" t="s">
        <v>1117</v>
      </c>
      <c r="C558" s="6" t="s">
        <v>1118</v>
      </c>
      <c r="D558" s="6" t="s">
        <v>21</v>
      </c>
      <c r="E558" s="8">
        <v>990017066930</v>
      </c>
      <c r="F558" s="8">
        <v>758906471764</v>
      </c>
      <c r="G558" s="8">
        <v>680177513282</v>
      </c>
      <c r="H558" s="8">
        <v>13554762455</v>
      </c>
      <c r="I558" s="8">
        <v>338465384449</v>
      </c>
      <c r="J558" s="8"/>
      <c r="K558" s="8">
        <v>699408414522</v>
      </c>
      <c r="L558" s="8">
        <v>913573754649</v>
      </c>
      <c r="M558" s="8">
        <v>245341267500</v>
      </c>
      <c r="N558" s="8">
        <v>247131697500</v>
      </c>
      <c r="O558" s="8">
        <v>242261670000</v>
      </c>
      <c r="P558" s="8">
        <v>235075942500</v>
      </c>
      <c r="Q558" s="18">
        <f>(Table1[[#This Row],[A. TÀI SẢN NGẮN HẠN]]-Table1[[#This Row],[I. Nợ ngắn hạn]])/Table1[[#This Row],[TỔNG CỘNG TÀI SẢN]]</f>
        <v>7.9522829567105435E-2</v>
      </c>
      <c r="R558" s="18">
        <f>Table1[[#This Row],[- LNST chưa phân phối kỳ này]]/Table1[[#This Row],[TỔNG CỘNG TÀI SẢN]]</f>
        <v>1.3691443216259626E-2</v>
      </c>
      <c r="S558" s="21">
        <f>Table1[[#This Row],[5. Lợi nhuận gộp về bán hàng và cung cấp dịch vụ]]/Table1[[#This Row],[TỔNG CỘNG TÀI SẢN]]</f>
        <v>0.34187833296507353</v>
      </c>
      <c r="T55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0.34665388539927783</v>
      </c>
      <c r="U558" s="23">
        <f>Table1[[#This Row],[1. Doanh thu bán hàng và cung cấp dịch vụ ]]/Table1[[#This Row],[TỔNG CỘNG TÀI SẢN]]</f>
        <v>0.92278586416894059</v>
      </c>
      <c r="V558" s="23">
        <f>1.2*Table1[[#This Row],[X1]] + 1.4*Table1[[#This Row],[X2]] + 3.3*Table1[[#This Row],[x3]] + 0.6*Table1[[#This Row],[x4]] + 1*Table1[[#This Row],[x5]]</f>
        <v>2.3735721101765401</v>
      </c>
      <c r="W558" s="23">
        <f>IF(Table1[[#This Row],[Zscore]]&lt;1.81,1,0)</f>
        <v>0</v>
      </c>
    </row>
    <row r="559" spans="1:23" hidden="1" x14ac:dyDescent="0.45">
      <c r="A559" s="7">
        <v>553</v>
      </c>
      <c r="B559" s="5" t="s">
        <v>1119</v>
      </c>
      <c r="C559" s="6" t="s">
        <v>1120</v>
      </c>
      <c r="D559" s="6" t="s">
        <v>13</v>
      </c>
      <c r="E559" s="6"/>
      <c r="F559" s="6"/>
      <c r="G559" s="6"/>
      <c r="H559" s="6"/>
      <c r="I559" s="6"/>
      <c r="J559" s="8"/>
      <c r="K559" s="6"/>
      <c r="L559" s="6"/>
      <c r="M559" s="8"/>
      <c r="N559" s="8"/>
      <c r="O559" s="8"/>
      <c r="P559" s="8"/>
      <c r="Q559" s="18" t="e">
        <f>(Table1[[#This Row],[A. TÀI SẢN NGẮN HẠN]]-Table1[[#This Row],[I. Nợ ngắn hạn]])/Table1[[#This Row],[TỔNG CỘNG TÀI SẢN]]</f>
        <v>#DIV/0!</v>
      </c>
      <c r="R559" s="18" t="e">
        <f>Table1[[#This Row],[- LNST chưa phân phối kỳ này]]/Table1[[#This Row],[TỔNG CỘNG TÀI SẢN]]</f>
        <v>#DIV/0!</v>
      </c>
      <c r="S559" s="21" t="e">
        <f>Table1[[#This Row],[5. Lợi nhuận gộp về bán hàng và cung cấp dịch vụ]]/Table1[[#This Row],[TỔNG CỘNG TÀI SẢN]]</f>
        <v>#DIV/0!</v>
      </c>
      <c r="T55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559" s="23" t="e">
        <f>Table1[[#This Row],[1. Doanh thu bán hàng và cung cấp dịch vụ ]]/Table1[[#This Row],[TỔNG CỘNG TÀI SẢN]]</f>
        <v>#DIV/0!</v>
      </c>
      <c r="V559" s="23" t="e">
        <f>1.2*Table1[[#This Row],[X1]] + 1.4*Table1[[#This Row],[X2]] + 3.3*Table1[[#This Row],[x3]] + 0.6*Table1[[#This Row],[x4]] + 1*Table1[[#This Row],[x5]]</f>
        <v>#DIV/0!</v>
      </c>
      <c r="W559" s="23" t="e">
        <f>IF(Table1[[#This Row],[Zscore]]&lt;1.81,1,0)</f>
        <v>#DIV/0!</v>
      </c>
    </row>
    <row r="560" spans="1:23" ht="26.25" hidden="1" x14ac:dyDescent="0.45">
      <c r="A560" s="7">
        <v>554</v>
      </c>
      <c r="B560" s="5" t="s">
        <v>1121</v>
      </c>
      <c r="C560" s="6" t="s">
        <v>1122</v>
      </c>
      <c r="D560" s="6" t="s">
        <v>18</v>
      </c>
      <c r="E560" s="6"/>
      <c r="F560" s="6"/>
      <c r="G560" s="6"/>
      <c r="H560" s="6"/>
      <c r="I560" s="6"/>
      <c r="J560" s="8"/>
      <c r="K560" s="6"/>
      <c r="L560" s="6"/>
      <c r="M560" s="8"/>
      <c r="N560" s="8"/>
      <c r="O560" s="8"/>
      <c r="P560" s="8"/>
      <c r="Q560" s="18" t="e">
        <f>(Table1[[#This Row],[A. TÀI SẢN NGẮN HẠN]]-Table1[[#This Row],[I. Nợ ngắn hạn]])/Table1[[#This Row],[TỔNG CỘNG TÀI SẢN]]</f>
        <v>#DIV/0!</v>
      </c>
      <c r="R560" s="18" t="e">
        <f>Table1[[#This Row],[- LNST chưa phân phối kỳ này]]/Table1[[#This Row],[TỔNG CỘNG TÀI SẢN]]</f>
        <v>#DIV/0!</v>
      </c>
      <c r="S560" s="21" t="e">
        <f>Table1[[#This Row],[5. Lợi nhuận gộp về bán hàng và cung cấp dịch vụ]]/Table1[[#This Row],[TỔNG CỘNG TÀI SẢN]]</f>
        <v>#DIV/0!</v>
      </c>
      <c r="T56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560" s="23" t="e">
        <f>Table1[[#This Row],[1. Doanh thu bán hàng và cung cấp dịch vụ ]]/Table1[[#This Row],[TỔNG CỘNG TÀI SẢN]]</f>
        <v>#DIV/0!</v>
      </c>
      <c r="V560" s="23" t="e">
        <f>1.2*Table1[[#This Row],[X1]] + 1.4*Table1[[#This Row],[X2]] + 3.3*Table1[[#This Row],[x3]] + 0.6*Table1[[#This Row],[x4]] + 1*Table1[[#This Row],[x5]]</f>
        <v>#DIV/0!</v>
      </c>
      <c r="W560" s="23" t="e">
        <f>IF(Table1[[#This Row],[Zscore]]&lt;1.81,1,0)</f>
        <v>#DIV/0!</v>
      </c>
    </row>
    <row r="561" spans="1:23" ht="26.25" x14ac:dyDescent="0.45">
      <c r="A561" s="7">
        <v>555</v>
      </c>
      <c r="B561" s="5" t="s">
        <v>1123</v>
      </c>
      <c r="C561" s="6" t="s">
        <v>1124</v>
      </c>
      <c r="D561" s="6" t="s">
        <v>36</v>
      </c>
      <c r="E561" s="8">
        <v>410779117449</v>
      </c>
      <c r="F561" s="8">
        <v>301929749341</v>
      </c>
      <c r="G561" s="8">
        <v>288268692042</v>
      </c>
      <c r="H561" s="8">
        <v>5825764260</v>
      </c>
      <c r="I561" s="8">
        <v>36373801043</v>
      </c>
      <c r="J561" s="8"/>
      <c r="K561" s="8">
        <v>288268692042</v>
      </c>
      <c r="L561" s="8">
        <v>204338499814</v>
      </c>
      <c r="M561" s="8">
        <v>85610070000</v>
      </c>
      <c r="N561" s="8">
        <v>73480543500</v>
      </c>
      <c r="O561" s="8">
        <v>78002423100</v>
      </c>
      <c r="P561" s="8">
        <v>79132893000</v>
      </c>
      <c r="Q561" s="18">
        <f>(Table1[[#This Row],[A. TÀI SẢN NGẮN HẠN]]-Table1[[#This Row],[I. Nợ ngắn hạn]])/Table1[[#This Row],[TỔNG CỘNG TÀI SẢN]]</f>
        <v>3.325645515730502E-2</v>
      </c>
      <c r="R561" s="18">
        <f>Table1[[#This Row],[- LNST chưa phân phối kỳ này]]/Table1[[#This Row],[TỔNG CỘNG TÀI SẢN]]</f>
        <v>1.4182230820736143E-2</v>
      </c>
      <c r="S561" s="21">
        <f>Table1[[#This Row],[5. Lợi nhuận gộp về bán hàng và cung cấp dịch vụ]]/Table1[[#This Row],[TỔNG CỘNG TÀI SẢN]]</f>
        <v>8.8548320734721783E-2</v>
      </c>
      <c r="T56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0.2742458150414811</v>
      </c>
      <c r="U561" s="23">
        <f>Table1[[#This Row],[1. Doanh thu bán hàng và cung cấp dịch vụ ]]/Table1[[#This Row],[TỔNG CỘNG TÀI SẢN]]</f>
        <v>0.49744130393719321</v>
      </c>
      <c r="V561" s="23">
        <f>1.2*Table1[[#This Row],[X1]] + 1.4*Table1[[#This Row],[X2]] + 3.3*Table1[[#This Row],[x3]] + 0.6*Table1[[#This Row],[x4]] + 1*Table1[[#This Row],[x5]]</f>
        <v>1.0139611207244603</v>
      </c>
      <c r="W561" s="23">
        <f>IF(Table1[[#This Row],[Zscore]]&lt;1.81,1,0)</f>
        <v>1</v>
      </c>
    </row>
    <row r="562" spans="1:23" x14ac:dyDescent="0.45">
      <c r="A562" s="7">
        <v>556</v>
      </c>
      <c r="B562" s="5" t="s">
        <v>1125</v>
      </c>
      <c r="C562" s="6" t="s">
        <v>1126</v>
      </c>
      <c r="D562" s="6" t="s">
        <v>21</v>
      </c>
      <c r="E562" s="8">
        <v>2537076592069</v>
      </c>
      <c r="F562" s="8">
        <v>2070811043146</v>
      </c>
      <c r="G562" s="8">
        <v>1235535707576</v>
      </c>
      <c r="H562" s="8">
        <v>177594582946</v>
      </c>
      <c r="I562" s="8">
        <v>442663040633</v>
      </c>
      <c r="J562" s="8"/>
      <c r="K562" s="8">
        <v>1281164612073</v>
      </c>
      <c r="L562" s="8">
        <v>1646340884101</v>
      </c>
      <c r="M562" s="8">
        <v>1191078625000</v>
      </c>
      <c r="N562" s="8">
        <v>1021651321600</v>
      </c>
      <c r="O562" s="8">
        <v>1314942715200</v>
      </c>
      <c r="P562" s="8">
        <v>1157721303600</v>
      </c>
      <c r="Q562" s="18">
        <f>(Table1[[#This Row],[A. TÀI SẢN NGẮN HẠN]]-Table1[[#This Row],[I. Nợ ngắn hạn]])/Table1[[#This Row],[TỔNG CỘNG TÀI SẢN]]</f>
        <v>0.3292274810232782</v>
      </c>
      <c r="R562" s="18">
        <f>Table1[[#This Row],[- LNST chưa phân phối kỳ này]]/Table1[[#This Row],[TỔNG CỘNG TÀI SẢN]]</f>
        <v>6.9999693151230655E-2</v>
      </c>
      <c r="S562" s="21">
        <f>Table1[[#This Row],[5. Lợi nhuận gộp về bán hàng và cung cấp dịch vụ]]/Table1[[#This Row],[TỔNG CỘNG TÀI SẢN]]</f>
        <v>0.17447760229895379</v>
      </c>
      <c r="T56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0.91428414452900708</v>
      </c>
      <c r="U562" s="23">
        <f>Table1[[#This Row],[1. Doanh thu bán hàng và cung cấp dịch vụ ]]/Table1[[#This Row],[TỔNG CỘNG TÀI SẢN]]</f>
        <v>0.64891256702597211</v>
      </c>
      <c r="V562" s="23">
        <f>1.2*Table1[[#This Row],[X1]] + 1.4*Table1[[#This Row],[X2]] + 3.3*Table1[[#This Row],[x3]] + 0.6*Table1[[#This Row],[x4]] + 1*Table1[[#This Row],[x5]]</f>
        <v>2.2663316889695806</v>
      </c>
      <c r="W562" s="23">
        <f>IF(Table1[[#This Row],[Zscore]]&lt;1.81,1,0)</f>
        <v>0</v>
      </c>
    </row>
    <row r="563" spans="1:23" ht="26.25" hidden="1" x14ac:dyDescent="0.45">
      <c r="A563" s="7">
        <v>557</v>
      </c>
      <c r="B563" s="5" t="s">
        <v>1127</v>
      </c>
      <c r="C563" s="6" t="s">
        <v>1128</v>
      </c>
      <c r="D563" s="6" t="s">
        <v>13</v>
      </c>
      <c r="E563" s="6"/>
      <c r="F563" s="6"/>
      <c r="G563" s="6"/>
      <c r="H563" s="6"/>
      <c r="I563" s="6"/>
      <c r="J563" s="8"/>
      <c r="K563" s="6"/>
      <c r="L563" s="6"/>
      <c r="M563" s="8"/>
      <c r="N563" s="8"/>
      <c r="O563" s="8"/>
      <c r="P563" s="8"/>
      <c r="Q563" s="18" t="e">
        <f>(Table1[[#This Row],[A. TÀI SẢN NGẮN HẠN]]-Table1[[#This Row],[I. Nợ ngắn hạn]])/Table1[[#This Row],[TỔNG CỘNG TÀI SẢN]]</f>
        <v>#DIV/0!</v>
      </c>
      <c r="R563" s="18" t="e">
        <f>Table1[[#This Row],[- LNST chưa phân phối kỳ này]]/Table1[[#This Row],[TỔNG CỘNG TÀI SẢN]]</f>
        <v>#DIV/0!</v>
      </c>
      <c r="S563" s="21" t="e">
        <f>Table1[[#This Row],[5. Lợi nhuận gộp về bán hàng và cung cấp dịch vụ]]/Table1[[#This Row],[TỔNG CỘNG TÀI SẢN]]</f>
        <v>#DIV/0!</v>
      </c>
      <c r="T56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563" s="23" t="e">
        <f>Table1[[#This Row],[1. Doanh thu bán hàng và cung cấp dịch vụ ]]/Table1[[#This Row],[TỔNG CỘNG TÀI SẢN]]</f>
        <v>#DIV/0!</v>
      </c>
      <c r="V563" s="23" t="e">
        <f>1.2*Table1[[#This Row],[X1]] + 1.4*Table1[[#This Row],[X2]] + 3.3*Table1[[#This Row],[x3]] + 0.6*Table1[[#This Row],[x4]] + 1*Table1[[#This Row],[x5]]</f>
        <v>#DIV/0!</v>
      </c>
      <c r="W563" s="23" t="e">
        <f>IF(Table1[[#This Row],[Zscore]]&lt;1.81,1,0)</f>
        <v>#DIV/0!</v>
      </c>
    </row>
    <row r="564" spans="1:23" x14ac:dyDescent="0.45">
      <c r="A564" s="7">
        <v>558</v>
      </c>
      <c r="B564" s="5" t="s">
        <v>1129</v>
      </c>
      <c r="C564" s="6" t="s">
        <v>1130</v>
      </c>
      <c r="D564" s="6" t="s">
        <v>18</v>
      </c>
      <c r="E564" s="8">
        <v>1687494382883</v>
      </c>
      <c r="F564" s="8">
        <v>1248242348710</v>
      </c>
      <c r="G564" s="8">
        <v>1029284015276</v>
      </c>
      <c r="H564" s="8">
        <v>75236373278</v>
      </c>
      <c r="I564" s="8">
        <v>157648142957</v>
      </c>
      <c r="J564" s="8"/>
      <c r="K564" s="8">
        <v>1033743265276</v>
      </c>
      <c r="L564" s="8">
        <v>1969711686292</v>
      </c>
      <c r="M564" s="8">
        <v>1515000000000</v>
      </c>
      <c r="N564" s="8">
        <v>2066956749000</v>
      </c>
      <c r="O564" s="8">
        <v>1926350316800</v>
      </c>
      <c r="P564" s="8">
        <v>1715655750900</v>
      </c>
      <c r="Q564" s="18">
        <f>(Table1[[#This Row],[A. TÀI SẢN NGẮN HẠN]]-Table1[[#This Row],[I. Nợ ngắn hạn]])/Table1[[#This Row],[TỔNG CỘNG TÀI SẢN]]</f>
        <v>0.12975351838500382</v>
      </c>
      <c r="R564" s="18">
        <f>Table1[[#This Row],[- LNST chưa phân phối kỳ này]]/Table1[[#This Row],[TỔNG CỘNG TÀI SẢN]]</f>
        <v>4.4584665905353954E-2</v>
      </c>
      <c r="S564" s="21">
        <f>Table1[[#This Row],[5. Lợi nhuận gộp về bán hàng và cung cấp dịch vụ]]/Table1[[#This Row],[TỔNG CỘNG TÀI SẢN]]</f>
        <v>9.3421432720662459E-2</v>
      </c>
      <c r="T56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1.7470398742504185</v>
      </c>
      <c r="U564" s="23">
        <f>Table1[[#This Row],[1. Doanh thu bán hàng và cung cấp dịch vụ ]]/Table1[[#This Row],[TỔNG CỘNG TÀI SẢN]]</f>
        <v>1.1672404401885155</v>
      </c>
      <c r="V564" s="23">
        <f>1.2*Table1[[#This Row],[X1]] + 1.4*Table1[[#This Row],[X2]] + 3.3*Table1[[#This Row],[x3]] + 0.6*Table1[[#This Row],[x4]] + 1*Table1[[#This Row],[x5]]</f>
        <v>2.7418778470464527</v>
      </c>
      <c r="W564" s="23">
        <f>IF(Table1[[#This Row],[Zscore]]&lt;1.81,1,0)</f>
        <v>0</v>
      </c>
    </row>
    <row r="565" spans="1:23" hidden="1" x14ac:dyDescent="0.45">
      <c r="A565" s="7">
        <v>559</v>
      </c>
      <c r="B565" s="5" t="s">
        <v>1131</v>
      </c>
      <c r="C565" s="6" t="s">
        <v>1132</v>
      </c>
      <c r="D565" s="6" t="s">
        <v>18</v>
      </c>
      <c r="E565" s="6"/>
      <c r="F565" s="6"/>
      <c r="G565" s="6"/>
      <c r="H565" s="6"/>
      <c r="I565" s="6"/>
      <c r="J565" s="8"/>
      <c r="K565" s="6"/>
      <c r="L565" s="6"/>
      <c r="M565" s="8"/>
      <c r="N565" s="8"/>
      <c r="O565" s="8"/>
      <c r="P565" s="8"/>
      <c r="Q565" s="18" t="e">
        <f>(Table1[[#This Row],[A. TÀI SẢN NGẮN HẠN]]-Table1[[#This Row],[I. Nợ ngắn hạn]])/Table1[[#This Row],[TỔNG CỘNG TÀI SẢN]]</f>
        <v>#DIV/0!</v>
      </c>
      <c r="R565" s="18" t="e">
        <f>Table1[[#This Row],[- LNST chưa phân phối kỳ này]]/Table1[[#This Row],[TỔNG CỘNG TÀI SẢN]]</f>
        <v>#DIV/0!</v>
      </c>
      <c r="S565" s="21" t="e">
        <f>Table1[[#This Row],[5. Lợi nhuận gộp về bán hàng và cung cấp dịch vụ]]/Table1[[#This Row],[TỔNG CỘNG TÀI SẢN]]</f>
        <v>#DIV/0!</v>
      </c>
      <c r="T56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565" s="23" t="e">
        <f>Table1[[#This Row],[1. Doanh thu bán hàng và cung cấp dịch vụ ]]/Table1[[#This Row],[TỔNG CỘNG TÀI SẢN]]</f>
        <v>#DIV/0!</v>
      </c>
      <c r="V565" s="23" t="e">
        <f>1.2*Table1[[#This Row],[X1]] + 1.4*Table1[[#This Row],[X2]] + 3.3*Table1[[#This Row],[x3]] + 0.6*Table1[[#This Row],[x4]] + 1*Table1[[#This Row],[x5]]</f>
        <v>#DIV/0!</v>
      </c>
      <c r="W565" s="23" t="e">
        <f>IF(Table1[[#This Row],[Zscore]]&lt;1.81,1,0)</f>
        <v>#DIV/0!</v>
      </c>
    </row>
    <row r="566" spans="1:23" hidden="1" x14ac:dyDescent="0.45">
      <c r="A566" s="7">
        <v>560</v>
      </c>
      <c r="B566" s="5" t="s">
        <v>1133</v>
      </c>
      <c r="C566" s="6" t="s">
        <v>1134</v>
      </c>
      <c r="D566" s="6" t="s">
        <v>18</v>
      </c>
      <c r="E566" s="6"/>
      <c r="F566" s="6"/>
      <c r="G566" s="6"/>
      <c r="H566" s="6"/>
      <c r="I566" s="6"/>
      <c r="J566" s="8"/>
      <c r="K566" s="6"/>
      <c r="L566" s="6"/>
      <c r="M566" s="8"/>
      <c r="N566" s="8"/>
      <c r="O566" s="8"/>
      <c r="P566" s="8"/>
      <c r="Q566" s="18" t="e">
        <f>(Table1[[#This Row],[A. TÀI SẢN NGẮN HẠN]]-Table1[[#This Row],[I. Nợ ngắn hạn]])/Table1[[#This Row],[TỔNG CỘNG TÀI SẢN]]</f>
        <v>#DIV/0!</v>
      </c>
      <c r="R566" s="18" t="e">
        <f>Table1[[#This Row],[- LNST chưa phân phối kỳ này]]/Table1[[#This Row],[TỔNG CỘNG TÀI SẢN]]</f>
        <v>#DIV/0!</v>
      </c>
      <c r="S566" s="21" t="e">
        <f>Table1[[#This Row],[5. Lợi nhuận gộp về bán hàng và cung cấp dịch vụ]]/Table1[[#This Row],[TỔNG CỘNG TÀI SẢN]]</f>
        <v>#DIV/0!</v>
      </c>
      <c r="T56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566" s="23" t="e">
        <f>Table1[[#This Row],[1. Doanh thu bán hàng và cung cấp dịch vụ ]]/Table1[[#This Row],[TỔNG CỘNG TÀI SẢN]]</f>
        <v>#DIV/0!</v>
      </c>
      <c r="V566" s="23" t="e">
        <f>1.2*Table1[[#This Row],[X1]] + 1.4*Table1[[#This Row],[X2]] + 3.3*Table1[[#This Row],[x3]] + 0.6*Table1[[#This Row],[x4]] + 1*Table1[[#This Row],[x5]]</f>
        <v>#DIV/0!</v>
      </c>
      <c r="W566" s="23" t="e">
        <f>IF(Table1[[#This Row],[Zscore]]&lt;1.81,1,0)</f>
        <v>#DIV/0!</v>
      </c>
    </row>
    <row r="567" spans="1:23" ht="26.25" hidden="1" x14ac:dyDescent="0.45">
      <c r="A567" s="7">
        <v>561</v>
      </c>
      <c r="B567" s="5" t="s">
        <v>1135</v>
      </c>
      <c r="C567" s="6" t="s">
        <v>1136</v>
      </c>
      <c r="D567" s="6" t="s">
        <v>13</v>
      </c>
      <c r="E567" s="6"/>
      <c r="F567" s="6"/>
      <c r="G567" s="6"/>
      <c r="H567" s="6"/>
      <c r="I567" s="6"/>
      <c r="J567" s="8"/>
      <c r="K567" s="6"/>
      <c r="L567" s="6"/>
      <c r="M567" s="8"/>
      <c r="N567" s="8"/>
      <c r="O567" s="8"/>
      <c r="P567" s="8"/>
      <c r="Q567" s="18" t="e">
        <f>(Table1[[#This Row],[A. TÀI SẢN NGẮN HẠN]]-Table1[[#This Row],[I. Nợ ngắn hạn]])/Table1[[#This Row],[TỔNG CỘNG TÀI SẢN]]</f>
        <v>#DIV/0!</v>
      </c>
      <c r="R567" s="18" t="e">
        <f>Table1[[#This Row],[- LNST chưa phân phối kỳ này]]/Table1[[#This Row],[TỔNG CỘNG TÀI SẢN]]</f>
        <v>#DIV/0!</v>
      </c>
      <c r="S567" s="21" t="e">
        <f>Table1[[#This Row],[5. Lợi nhuận gộp về bán hàng và cung cấp dịch vụ]]/Table1[[#This Row],[TỔNG CỘNG TÀI SẢN]]</f>
        <v>#DIV/0!</v>
      </c>
      <c r="T56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567" s="23" t="e">
        <f>Table1[[#This Row],[1. Doanh thu bán hàng và cung cấp dịch vụ ]]/Table1[[#This Row],[TỔNG CỘNG TÀI SẢN]]</f>
        <v>#DIV/0!</v>
      </c>
      <c r="V567" s="23" t="e">
        <f>1.2*Table1[[#This Row],[X1]] + 1.4*Table1[[#This Row],[X2]] + 3.3*Table1[[#This Row],[x3]] + 0.6*Table1[[#This Row],[x4]] + 1*Table1[[#This Row],[x5]]</f>
        <v>#DIV/0!</v>
      </c>
      <c r="W567" s="23" t="e">
        <f>IF(Table1[[#This Row],[Zscore]]&lt;1.81,1,0)</f>
        <v>#DIV/0!</v>
      </c>
    </row>
    <row r="568" spans="1:23" x14ac:dyDescent="0.45">
      <c r="A568" s="7">
        <v>562</v>
      </c>
      <c r="B568" s="5" t="s">
        <v>1137</v>
      </c>
      <c r="C568" s="6" t="s">
        <v>1138</v>
      </c>
      <c r="D568" s="6" t="s">
        <v>21</v>
      </c>
      <c r="E568" s="8">
        <v>2420559087223</v>
      </c>
      <c r="F568" s="8">
        <v>1365218265862</v>
      </c>
      <c r="G568" s="8">
        <v>672073493454</v>
      </c>
      <c r="H568" s="8">
        <v>19516497827</v>
      </c>
      <c r="I568" s="8">
        <v>204243814108</v>
      </c>
      <c r="J568" s="8"/>
      <c r="K568" s="8">
        <v>899274885944</v>
      </c>
      <c r="L568" s="8">
        <v>1349319783540</v>
      </c>
      <c r="M568" s="8">
        <v>1763940874500</v>
      </c>
      <c r="N568" s="8">
        <v>3140764290000</v>
      </c>
      <c r="O568" s="8">
        <v>1679943690000</v>
      </c>
      <c r="P568" s="8">
        <v>2092625509500</v>
      </c>
      <c r="Q568" s="18">
        <f>(Table1[[#This Row],[A. TÀI SẢN NGẮN HẠN]]-Table1[[#This Row],[I. Nợ ngắn hạn]])/Table1[[#This Row],[TỔNG CỘNG TÀI SẢN]]</f>
        <v>0.28635730318123082</v>
      </c>
      <c r="R568" s="18">
        <f>Table1[[#This Row],[- LNST chưa phân phối kỳ này]]/Table1[[#This Row],[TỔNG CỘNG TÀI SẢN]]</f>
        <v>8.0628057914464753E-3</v>
      </c>
      <c r="S568" s="21">
        <f>Table1[[#This Row],[5. Lợi nhuận gộp về bán hàng và cung cấp dịch vụ]]/Table1[[#This Row],[TỔNG CỘNG TÀI SẢN]]</f>
        <v>8.4378776451319706E-2</v>
      </c>
      <c r="T56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2.4122975353890719</v>
      </c>
      <c r="U568" s="23">
        <f>Table1[[#This Row],[1. Doanh thu bán hàng và cung cấp dịch vụ ]]/Table1[[#This Row],[TỔNG CỘNG TÀI SẢN]]</f>
        <v>0.55744137404553706</v>
      </c>
      <c r="V568" s="23">
        <f>1.2*Table1[[#This Row],[X1]] + 1.4*Table1[[#This Row],[X2]] + 3.3*Table1[[#This Row],[x3]] + 0.6*Table1[[#This Row],[x4]] + 1*Table1[[#This Row],[x5]]</f>
        <v>2.6381865494938372</v>
      </c>
      <c r="W568" s="23">
        <f>IF(Table1[[#This Row],[Zscore]]&lt;1.81,1,0)</f>
        <v>0</v>
      </c>
    </row>
    <row r="569" spans="1:23" ht="26.25" x14ac:dyDescent="0.45">
      <c r="A569" s="7">
        <v>563</v>
      </c>
      <c r="B569" s="5" t="s">
        <v>1139</v>
      </c>
      <c r="C569" s="6" t="s">
        <v>1140</v>
      </c>
      <c r="D569" s="6" t="s">
        <v>21</v>
      </c>
      <c r="E569" s="8">
        <v>17643638367886</v>
      </c>
      <c r="F569" s="8">
        <v>14447094769514</v>
      </c>
      <c r="G569" s="8">
        <v>5935262101827</v>
      </c>
      <c r="H569" s="8">
        <v>1107905175692</v>
      </c>
      <c r="I569" s="8">
        <v>4048657437023</v>
      </c>
      <c r="J569" s="8"/>
      <c r="K569" s="8">
        <v>6849275971125</v>
      </c>
      <c r="L569" s="8">
        <v>17223063258575</v>
      </c>
      <c r="M569" s="8">
        <v>17496670000000</v>
      </c>
      <c r="N569" s="8">
        <v>17311380000000</v>
      </c>
      <c r="O569" s="8">
        <v>17840780000000</v>
      </c>
      <c r="P569" s="8">
        <v>19667210000000</v>
      </c>
      <c r="Q569" s="18">
        <f>(Table1[[#This Row],[A. TÀI SẢN NGẮN HẠN]]-Table1[[#This Row],[I. Nợ ngắn hạn]])/Table1[[#This Row],[TỔNG CỘNG TÀI SẢN]]</f>
        <v>0.48243069202663885</v>
      </c>
      <c r="R569" s="18">
        <f>Table1[[#This Row],[- LNST chưa phân phối kỳ này]]/Table1[[#This Row],[TỔNG CỘNG TÀI SẢN]]</f>
        <v>6.2793464283905823E-2</v>
      </c>
      <c r="S569" s="21">
        <f>Table1[[#This Row],[5. Lợi nhuận gộp về bán hàng và cung cấp dịch vụ]]/Table1[[#This Row],[TỔNG CỘNG TÀI SẢN]]</f>
        <v>0.22946839833172664</v>
      </c>
      <c r="T56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2.6395505271238919</v>
      </c>
      <c r="U569" s="23">
        <f>Table1[[#This Row],[1. Doanh thu bán hàng và cung cấp dịch vụ ]]/Table1[[#This Row],[TỔNG CỘNG TÀI SẢN]]</f>
        <v>0.97616279020564667</v>
      </c>
      <c r="V569" s="23">
        <f>1.2*Table1[[#This Row],[X1]] + 1.4*Table1[[#This Row],[X2]] + 3.3*Table1[[#This Row],[x3]] + 0.6*Table1[[#This Row],[x4]] + 1*Table1[[#This Row],[x5]]</f>
        <v>3.9839665014041143</v>
      </c>
      <c r="W569" s="23">
        <f>IF(Table1[[#This Row],[Zscore]]&lt;1.81,1,0)</f>
        <v>0</v>
      </c>
    </row>
    <row r="570" spans="1:23" hidden="1" x14ac:dyDescent="0.45">
      <c r="A570" s="7">
        <v>564</v>
      </c>
      <c r="B570" s="5" t="s">
        <v>1141</v>
      </c>
      <c r="C570" s="6" t="s">
        <v>1142</v>
      </c>
      <c r="D570" s="6" t="s">
        <v>18</v>
      </c>
      <c r="E570" s="6"/>
      <c r="F570" s="6"/>
      <c r="G570" s="6"/>
      <c r="H570" s="6"/>
      <c r="I570" s="6"/>
      <c r="J570" s="8"/>
      <c r="K570" s="6"/>
      <c r="L570" s="6"/>
      <c r="M570" s="8"/>
      <c r="N570" s="8"/>
      <c r="O570" s="8"/>
      <c r="P570" s="8"/>
      <c r="Q570" s="18" t="e">
        <f>(Table1[[#This Row],[A. TÀI SẢN NGẮN HẠN]]-Table1[[#This Row],[I. Nợ ngắn hạn]])/Table1[[#This Row],[TỔNG CỘNG TÀI SẢN]]</f>
        <v>#DIV/0!</v>
      </c>
      <c r="R570" s="18" t="e">
        <f>Table1[[#This Row],[- LNST chưa phân phối kỳ này]]/Table1[[#This Row],[TỔNG CỘNG TÀI SẢN]]</f>
        <v>#DIV/0!</v>
      </c>
      <c r="S570" s="21" t="e">
        <f>Table1[[#This Row],[5. Lợi nhuận gộp về bán hàng và cung cấp dịch vụ]]/Table1[[#This Row],[TỔNG CỘNG TÀI SẢN]]</f>
        <v>#DIV/0!</v>
      </c>
      <c r="T57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570" s="23" t="e">
        <f>Table1[[#This Row],[1. Doanh thu bán hàng và cung cấp dịch vụ ]]/Table1[[#This Row],[TỔNG CỘNG TÀI SẢN]]</f>
        <v>#DIV/0!</v>
      </c>
      <c r="V570" s="23" t="e">
        <f>1.2*Table1[[#This Row],[X1]] + 1.4*Table1[[#This Row],[X2]] + 3.3*Table1[[#This Row],[x3]] + 0.6*Table1[[#This Row],[x4]] + 1*Table1[[#This Row],[x5]]</f>
        <v>#DIV/0!</v>
      </c>
      <c r="W570" s="23" t="e">
        <f>IF(Table1[[#This Row],[Zscore]]&lt;1.81,1,0)</f>
        <v>#DIV/0!</v>
      </c>
    </row>
    <row r="571" spans="1:23" x14ac:dyDescent="0.45">
      <c r="A571" s="7">
        <v>565</v>
      </c>
      <c r="B571" s="5" t="s">
        <v>1143</v>
      </c>
      <c r="C571" s="6" t="s">
        <v>1144</v>
      </c>
      <c r="D571" s="6" t="s">
        <v>18</v>
      </c>
      <c r="E571" s="8">
        <v>53478560587</v>
      </c>
      <c r="F571" s="8">
        <v>25710560587</v>
      </c>
      <c r="G571" s="8">
        <v>39018272331</v>
      </c>
      <c r="H571" s="8">
        <v>-619599025725</v>
      </c>
      <c r="I571" s="8">
        <v>5783636928</v>
      </c>
      <c r="J571" s="8"/>
      <c r="K571" s="8">
        <v>39018272331</v>
      </c>
      <c r="L571" s="8">
        <v>16913704928</v>
      </c>
      <c r="M571" s="8">
        <v>66340486300</v>
      </c>
      <c r="N571" s="8">
        <v>66340486300</v>
      </c>
      <c r="O571" s="8">
        <v>60309533000</v>
      </c>
      <c r="P571" s="8">
        <v>66340486300</v>
      </c>
      <c r="Q571" s="18">
        <f>(Table1[[#This Row],[A. TÀI SẢN NGẮN HẠN]]-Table1[[#This Row],[I. Nợ ngắn hạn]])/Table1[[#This Row],[TỔNG CỘNG TÀI SẢN]]</f>
        <v>-0.24884199570687296</v>
      </c>
      <c r="R571" s="18">
        <f>Table1[[#This Row],[- LNST chưa phân phối kỳ này]]/Table1[[#This Row],[TỔNG CỘNG TÀI SẢN]]</f>
        <v>-11.585933108970348</v>
      </c>
      <c r="S571" s="21">
        <f>Table1[[#This Row],[5. Lợi nhuận gộp về bán hàng và cung cấp dịch vụ]]/Table1[[#This Row],[TỔNG CỘNG TÀI SẢN]]</f>
        <v>0.10814870229334357</v>
      </c>
      <c r="T57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1.6615996583603321</v>
      </c>
      <c r="U571" s="23">
        <f>Table1[[#This Row],[1. Doanh thu bán hàng và cung cấp dịch vụ ]]/Table1[[#This Row],[TỔNG CỘNG TÀI SẢN]]</f>
        <v>0.31627075864325938</v>
      </c>
      <c r="V571" s="23">
        <f>1.2*Table1[[#This Row],[X1]] + 1.4*Table1[[#This Row],[X2]] + 3.3*Table1[[#This Row],[x3]] + 0.6*Table1[[#This Row],[x4]] + 1*Table1[[#This Row],[x5]]</f>
        <v>-14.848795476179241</v>
      </c>
      <c r="W571" s="23">
        <f>IF(Table1[[#This Row],[Zscore]]&lt;1.81,1,0)</f>
        <v>1</v>
      </c>
    </row>
    <row r="572" spans="1:23" ht="26.25" x14ac:dyDescent="0.45">
      <c r="A572" s="7">
        <v>566</v>
      </c>
      <c r="B572" s="5" t="s">
        <v>1145</v>
      </c>
      <c r="C572" s="6" t="s">
        <v>1146</v>
      </c>
      <c r="D572" s="6" t="s">
        <v>18</v>
      </c>
      <c r="E572" s="8">
        <v>796945725477</v>
      </c>
      <c r="F572" s="8">
        <v>430675478627</v>
      </c>
      <c r="G572" s="8">
        <v>1355368101056</v>
      </c>
      <c r="H572" s="8">
        <v>-62008345086</v>
      </c>
      <c r="I572" s="8">
        <v>-21860588694</v>
      </c>
      <c r="J572" s="8"/>
      <c r="K572" s="8">
        <v>1355368101056</v>
      </c>
      <c r="L572" s="8">
        <v>249921292439</v>
      </c>
      <c r="M572" s="8">
        <v>19056552900</v>
      </c>
      <c r="N572" s="8">
        <v>24481214100</v>
      </c>
      <c r="O572" s="8">
        <v>13600674500</v>
      </c>
      <c r="P572" s="8">
        <v>16320809400</v>
      </c>
      <c r="Q572" s="18">
        <f>(Table1[[#This Row],[A. TÀI SẢN NGẮN HẠN]]-Table1[[#This Row],[I. Nợ ngắn hạn]])/Table1[[#This Row],[TỔNG CỘNG TÀI SẢN]]</f>
        <v>-1.1602956046668536</v>
      </c>
      <c r="R572" s="18">
        <f>Table1[[#This Row],[- LNST chưa phân phối kỳ này]]/Table1[[#This Row],[TỔNG CỘNG TÀI SẢN]]</f>
        <v>-7.780748814341884E-2</v>
      </c>
      <c r="S572" s="21">
        <f>Table1[[#This Row],[5. Lợi nhuận gộp về bán hàng và cung cấp dịch vụ]]/Table1[[#This Row],[TỔNG CỘNG TÀI SẢN]]</f>
        <v>-2.743046106548306E-2</v>
      </c>
      <c r="T57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1.3549686399356404E-2</v>
      </c>
      <c r="U572" s="23">
        <f>Table1[[#This Row],[1. Doanh thu bán hàng và cung cấp dịch vụ ]]/Table1[[#This Row],[TỔNG CỘNG TÀI SẢN]]</f>
        <v>0.31359888691217125</v>
      </c>
      <c r="V572" s="23">
        <f>1.2*Table1[[#This Row],[X1]] + 1.4*Table1[[#This Row],[X2]] + 3.3*Table1[[#This Row],[x3]] + 0.6*Table1[[#This Row],[x4]] + 1*Table1[[#This Row],[x5]]</f>
        <v>-1.2700770317653194</v>
      </c>
      <c r="W572" s="23">
        <f>IF(Table1[[#This Row],[Zscore]]&lt;1.81,1,0)</f>
        <v>1</v>
      </c>
    </row>
    <row r="573" spans="1:23" ht="26.25" hidden="1" x14ac:dyDescent="0.45">
      <c r="A573" s="7">
        <v>567</v>
      </c>
      <c r="B573" s="5" t="s">
        <v>1147</v>
      </c>
      <c r="C573" s="6" t="s">
        <v>1148</v>
      </c>
      <c r="D573" s="6" t="s">
        <v>18</v>
      </c>
      <c r="E573" s="6"/>
      <c r="F573" s="6"/>
      <c r="G573" s="6"/>
      <c r="H573" s="6"/>
      <c r="I573" s="6"/>
      <c r="J573" s="8"/>
      <c r="K573" s="6"/>
      <c r="L573" s="6"/>
      <c r="M573" s="8"/>
      <c r="N573" s="8"/>
      <c r="O573" s="8"/>
      <c r="P573" s="8"/>
      <c r="Q573" s="18" t="e">
        <f>(Table1[[#This Row],[A. TÀI SẢN NGẮN HẠN]]-Table1[[#This Row],[I. Nợ ngắn hạn]])/Table1[[#This Row],[TỔNG CỘNG TÀI SẢN]]</f>
        <v>#DIV/0!</v>
      </c>
      <c r="R573" s="18" t="e">
        <f>Table1[[#This Row],[- LNST chưa phân phối kỳ này]]/Table1[[#This Row],[TỔNG CỘNG TÀI SẢN]]</f>
        <v>#DIV/0!</v>
      </c>
      <c r="S573" s="21" t="e">
        <f>Table1[[#This Row],[5. Lợi nhuận gộp về bán hàng và cung cấp dịch vụ]]/Table1[[#This Row],[TỔNG CỘNG TÀI SẢN]]</f>
        <v>#DIV/0!</v>
      </c>
      <c r="T57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573" s="23" t="e">
        <f>Table1[[#This Row],[1. Doanh thu bán hàng và cung cấp dịch vụ ]]/Table1[[#This Row],[TỔNG CỘNG TÀI SẢN]]</f>
        <v>#DIV/0!</v>
      </c>
      <c r="V573" s="23" t="e">
        <f>1.2*Table1[[#This Row],[X1]] + 1.4*Table1[[#This Row],[X2]] + 3.3*Table1[[#This Row],[x3]] + 0.6*Table1[[#This Row],[x4]] + 1*Table1[[#This Row],[x5]]</f>
        <v>#DIV/0!</v>
      </c>
      <c r="W573" s="23" t="e">
        <f>IF(Table1[[#This Row],[Zscore]]&lt;1.81,1,0)</f>
        <v>#DIV/0!</v>
      </c>
    </row>
    <row r="574" spans="1:23" ht="26.25" x14ac:dyDescent="0.45">
      <c r="A574" s="7">
        <v>568</v>
      </c>
      <c r="B574" s="5" t="s">
        <v>1149</v>
      </c>
      <c r="C574" s="6" t="s">
        <v>1150</v>
      </c>
      <c r="D574" s="6" t="s">
        <v>18</v>
      </c>
      <c r="E574" s="8">
        <v>331930695699</v>
      </c>
      <c r="F574" s="8">
        <v>289105866693</v>
      </c>
      <c r="G574" s="8">
        <v>178807554657</v>
      </c>
      <c r="H574" s="8">
        <v>643277801</v>
      </c>
      <c r="I574" s="8">
        <v>20792875040</v>
      </c>
      <c r="J574" s="8"/>
      <c r="K574" s="8">
        <v>178807554657</v>
      </c>
      <c r="L574" s="8">
        <v>401873773672</v>
      </c>
      <c r="M574" s="8">
        <v>160800000000</v>
      </c>
      <c r="N574" s="8">
        <v>122400000000</v>
      </c>
      <c r="O574" s="8">
        <v>157200000000</v>
      </c>
      <c r="P574" s="8">
        <v>111600000000</v>
      </c>
      <c r="Q574" s="18">
        <f>(Table1[[#This Row],[A. TÀI SẢN NGẮN HẠN]]-Table1[[#This Row],[I. Nợ ngắn hạn]])/Table1[[#This Row],[TỔNG CỘNG TÀI SẢN]]</f>
        <v>0.33229319693897863</v>
      </c>
      <c r="R574" s="18">
        <f>Table1[[#This Row],[- LNST chưa phân phối kỳ này]]/Table1[[#This Row],[TỔNG CỘNG TÀI SẢN]]</f>
        <v>1.937988288926838E-3</v>
      </c>
      <c r="S574" s="21">
        <f>Table1[[#This Row],[5. Lợi nhuận gộp về bán hàng và cung cấp dịch vụ]]/Table1[[#This Row],[TỔNG CỘNG TÀI SẢN]]</f>
        <v>6.2642218117890808E-2</v>
      </c>
      <c r="T57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0.77177947131328073</v>
      </c>
      <c r="U574" s="23">
        <f>Table1[[#This Row],[1. Doanh thu bán hàng và cung cấp dịch vụ ]]/Table1[[#This Row],[TỔNG CỘNG TÀI SẢN]]</f>
        <v>1.2107159081075933</v>
      </c>
      <c r="V574" s="23">
        <f>1.2*Table1[[#This Row],[X1]] + 1.4*Table1[[#This Row],[X2]] + 3.3*Table1[[#This Row],[x3]] + 0.6*Table1[[#This Row],[x4]] + 1*Table1[[#This Row],[x5]]</f>
        <v>2.2819679306158731</v>
      </c>
      <c r="W574" s="23">
        <f>IF(Table1[[#This Row],[Zscore]]&lt;1.81,1,0)</f>
        <v>0</v>
      </c>
    </row>
    <row r="575" spans="1:23" ht="26.25" x14ac:dyDescent="0.45">
      <c r="A575" s="7">
        <v>569</v>
      </c>
      <c r="B575" s="5" t="s">
        <v>1151</v>
      </c>
      <c r="C575" s="6" t="s">
        <v>1152</v>
      </c>
      <c r="D575" s="6" t="s">
        <v>36</v>
      </c>
      <c r="E575" s="8">
        <v>1358221308574</v>
      </c>
      <c r="F575" s="8">
        <v>415292075150</v>
      </c>
      <c r="G575" s="8">
        <v>931947483608</v>
      </c>
      <c r="H575" s="8">
        <v>-373141505072</v>
      </c>
      <c r="I575" s="8">
        <v>-49134953734</v>
      </c>
      <c r="J575" s="8"/>
      <c r="K575" s="8">
        <v>978825675573</v>
      </c>
      <c r="L575" s="8">
        <v>69871903112</v>
      </c>
      <c r="M575" s="8">
        <v>247503646600</v>
      </c>
      <c r="N575" s="8">
        <v>87823874600</v>
      </c>
      <c r="O575" s="8">
        <v>215567692200</v>
      </c>
      <c r="P575" s="8">
        <v>207583703600</v>
      </c>
      <c r="Q575" s="18">
        <f>(Table1[[#This Row],[A. TÀI SẢN NGẮN HẠN]]-Table1[[#This Row],[I. Nợ ngắn hạn]])/Table1[[#This Row],[TỔNG CỘNG TÀI SẢN]]</f>
        <v>-0.38039118161121904</v>
      </c>
      <c r="R575" s="18">
        <f>Table1[[#This Row],[- LNST chưa phân phối kỳ này]]/Table1[[#This Row],[TỔNG CỘNG TÀI SẢN]]</f>
        <v>-0.27472805993874605</v>
      </c>
      <c r="S575" s="21">
        <f>Table1[[#This Row],[5. Lợi nhuận gộp về bán hàng và cung cấp dịch vụ]]/Table1[[#This Row],[TỔNG CỘNG TÀI SẢN]]</f>
        <v>-3.6175955585313939E-2</v>
      </c>
      <c r="T57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0.19372165440899117</v>
      </c>
      <c r="U575" s="23">
        <f>Table1[[#This Row],[1. Doanh thu bán hàng và cung cấp dịch vụ ]]/Table1[[#This Row],[TỔNG CỘNG TÀI SẢN]]</f>
        <v>5.1443680548171264E-2</v>
      </c>
      <c r="V575" s="23">
        <f>1.2*Table1[[#This Row],[X1]] + 1.4*Table1[[#This Row],[X2]] + 3.3*Table1[[#This Row],[x3]] + 0.6*Table1[[#This Row],[x4]] + 1*Table1[[#This Row],[x5]]</f>
        <v>-0.79279268208567744</v>
      </c>
      <c r="W575" s="23">
        <f>IF(Table1[[#This Row],[Zscore]]&lt;1.81,1,0)</f>
        <v>1</v>
      </c>
    </row>
    <row r="576" spans="1:23" ht="26.25" hidden="1" x14ac:dyDescent="0.45">
      <c r="A576" s="7">
        <v>570</v>
      </c>
      <c r="B576" s="5" t="s">
        <v>1153</v>
      </c>
      <c r="C576" s="6" t="s">
        <v>1154</v>
      </c>
      <c r="D576" s="6" t="s">
        <v>18</v>
      </c>
      <c r="E576" s="6"/>
      <c r="F576" s="6"/>
      <c r="G576" s="6"/>
      <c r="H576" s="6"/>
      <c r="I576" s="6"/>
      <c r="J576" s="8"/>
      <c r="K576" s="6"/>
      <c r="L576" s="6"/>
      <c r="M576" s="8"/>
      <c r="N576" s="8"/>
      <c r="O576" s="8"/>
      <c r="P576" s="8"/>
      <c r="Q576" s="18" t="e">
        <f>(Table1[[#This Row],[A. TÀI SẢN NGẮN HẠN]]-Table1[[#This Row],[I. Nợ ngắn hạn]])/Table1[[#This Row],[TỔNG CỘNG TÀI SẢN]]</f>
        <v>#DIV/0!</v>
      </c>
      <c r="R576" s="18" t="e">
        <f>Table1[[#This Row],[- LNST chưa phân phối kỳ này]]/Table1[[#This Row],[TỔNG CỘNG TÀI SẢN]]</f>
        <v>#DIV/0!</v>
      </c>
      <c r="S576" s="21" t="e">
        <f>Table1[[#This Row],[5. Lợi nhuận gộp về bán hàng và cung cấp dịch vụ]]/Table1[[#This Row],[TỔNG CỘNG TÀI SẢN]]</f>
        <v>#DIV/0!</v>
      </c>
      <c r="T57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576" s="23" t="e">
        <f>Table1[[#This Row],[1. Doanh thu bán hàng và cung cấp dịch vụ ]]/Table1[[#This Row],[TỔNG CỘNG TÀI SẢN]]</f>
        <v>#DIV/0!</v>
      </c>
      <c r="V576" s="23" t="e">
        <f>1.2*Table1[[#This Row],[X1]] + 1.4*Table1[[#This Row],[X2]] + 3.3*Table1[[#This Row],[x3]] + 0.6*Table1[[#This Row],[x4]] + 1*Table1[[#This Row],[x5]]</f>
        <v>#DIV/0!</v>
      </c>
      <c r="W576" s="23" t="e">
        <f>IF(Table1[[#This Row],[Zscore]]&lt;1.81,1,0)</f>
        <v>#DIV/0!</v>
      </c>
    </row>
    <row r="577" spans="1:23" x14ac:dyDescent="0.45">
      <c r="A577" s="7">
        <v>571</v>
      </c>
      <c r="B577" s="5" t="s">
        <v>1155</v>
      </c>
      <c r="C577" s="6" t="s">
        <v>1156</v>
      </c>
      <c r="D577" s="6" t="s">
        <v>18</v>
      </c>
      <c r="E577" s="8">
        <v>339369080092</v>
      </c>
      <c r="F577" s="8">
        <v>76635756907</v>
      </c>
      <c r="G577" s="8">
        <v>535153666776</v>
      </c>
      <c r="H577" s="8">
        <v>89514553582</v>
      </c>
      <c r="I577" s="8">
        <v>-13344084384</v>
      </c>
      <c r="J577" s="8"/>
      <c r="K577" s="8">
        <v>1060937080644</v>
      </c>
      <c r="L577" s="8">
        <v>216483274442</v>
      </c>
      <c r="M577" s="8">
        <v>30611230000</v>
      </c>
      <c r="N577" s="8">
        <v>24488984000</v>
      </c>
      <c r="O577" s="8">
        <v>19591187200</v>
      </c>
      <c r="P577" s="8">
        <v>24488984000</v>
      </c>
      <c r="Q577" s="18">
        <f>(Table1[[#This Row],[A. TÀI SẢN NGẮN HẠN]]-Table1[[#This Row],[I. Nợ ngắn hạn]])/Table1[[#This Row],[TỔNG CỘNG TÀI SẢN]]</f>
        <v>-1.3510892322444337</v>
      </c>
      <c r="R577" s="18">
        <f>Table1[[#This Row],[- LNST chưa phân phối kỳ này]]/Table1[[#This Row],[TỔNG CỘNG TÀI SẢN]]</f>
        <v>0.26376755819278935</v>
      </c>
      <c r="S577" s="21">
        <f>Table1[[#This Row],[5. Lợi nhuận gộp về bán hàng và cung cấp dịch vụ]]/Table1[[#This Row],[TỔNG CỘNG TÀI SẢN]]</f>
        <v>-3.9320271547374129E-2</v>
      </c>
      <c r="T57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2.3370939476400537E-2</v>
      </c>
      <c r="U577" s="23">
        <f>Table1[[#This Row],[1. Doanh thu bán hàng và cung cấp dịch vụ ]]/Table1[[#This Row],[TỔNG CỘNG TÀI SẢN]]</f>
        <v>0.6378992287196974</v>
      </c>
      <c r="V577" s="23">
        <f>1.2*Table1[[#This Row],[X1]] + 1.4*Table1[[#This Row],[X2]] + 3.3*Table1[[#This Row],[x3]] + 0.6*Table1[[#This Row],[x4]] + 1*Table1[[#This Row],[x5]]</f>
        <v>-0.72986760092421221</v>
      </c>
      <c r="W577" s="23">
        <f>IF(Table1[[#This Row],[Zscore]]&lt;1.81,1,0)</f>
        <v>1</v>
      </c>
    </row>
    <row r="578" spans="1:23" ht="26.25" x14ac:dyDescent="0.45">
      <c r="A578" s="7">
        <v>572</v>
      </c>
      <c r="B578" s="5" t="s">
        <v>1157</v>
      </c>
      <c r="C578" s="6" t="s">
        <v>1158</v>
      </c>
      <c r="D578" s="6" t="s">
        <v>18</v>
      </c>
      <c r="E578" s="8">
        <v>1006959710738</v>
      </c>
      <c r="F578" s="8">
        <v>918889529640</v>
      </c>
      <c r="G578" s="8">
        <v>797141172987</v>
      </c>
      <c r="H578" s="8">
        <v>4038458923</v>
      </c>
      <c r="I578" s="8">
        <v>95033061392</v>
      </c>
      <c r="J578" s="8"/>
      <c r="K578" s="8">
        <v>799869872987</v>
      </c>
      <c r="L578" s="8">
        <v>1070322073288</v>
      </c>
      <c r="M578" s="8">
        <v>116654892800</v>
      </c>
      <c r="N578" s="8">
        <v>109591404400</v>
      </c>
      <c r="O578" s="8">
        <v>105910363200</v>
      </c>
      <c r="P578" s="8">
        <v>104756489500</v>
      </c>
      <c r="Q578" s="18">
        <f>(Table1[[#This Row],[A. TÀI SẢN NGẮN HẠN]]-Table1[[#This Row],[I. Nợ ngắn hạn]])/Table1[[#This Row],[TỔNG CỘNG TÀI SẢN]]</f>
        <v>0.12090687974374935</v>
      </c>
      <c r="R578" s="18">
        <f>Table1[[#This Row],[- LNST chưa phân phối kỳ này]]/Table1[[#This Row],[TỔNG CỘNG TÀI SẢN]]</f>
        <v>4.0105466782183533E-3</v>
      </c>
      <c r="S578" s="21">
        <f>Table1[[#This Row],[5. Lợi nhuận gộp về bán hàng và cung cấp dịch vụ]]/Table1[[#This Row],[TỔNG CỘNG TÀI SẢN]]</f>
        <v>9.4376230129753991E-2</v>
      </c>
      <c r="T57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0.13655757162987342</v>
      </c>
      <c r="U578" s="23">
        <f>Table1[[#This Row],[1. Doanh thu bán hàng và cung cấp dịch vụ ]]/Table1[[#This Row],[TỔNG CỘNG TÀI SẢN]]</f>
        <v>1.0629244267415245</v>
      </c>
      <c r="V578" s="23">
        <f>1.2*Table1[[#This Row],[X1]] + 1.4*Table1[[#This Row],[X2]] + 3.3*Table1[[#This Row],[x3]] + 0.6*Table1[[#This Row],[x4]] + 1*Table1[[#This Row],[x5]]</f>
        <v>1.6070035501896416</v>
      </c>
      <c r="W578" s="23">
        <f>IF(Table1[[#This Row],[Zscore]]&lt;1.81,1,0)</f>
        <v>1</v>
      </c>
    </row>
    <row r="579" spans="1:23" x14ac:dyDescent="0.45">
      <c r="A579" s="7">
        <v>573</v>
      </c>
      <c r="B579" s="5" t="s">
        <v>1159</v>
      </c>
      <c r="C579" s="6" t="s">
        <v>1160</v>
      </c>
      <c r="D579" s="6" t="s">
        <v>18</v>
      </c>
      <c r="E579" s="8">
        <v>3038988023033</v>
      </c>
      <c r="F579" s="8">
        <v>2473354025721</v>
      </c>
      <c r="G579" s="8">
        <v>767441908884</v>
      </c>
      <c r="H579" s="8">
        <v>630831836799</v>
      </c>
      <c r="I579" s="8">
        <v>939608528612</v>
      </c>
      <c r="J579" s="8"/>
      <c r="K579" s="8">
        <v>773815220606</v>
      </c>
      <c r="L579" s="8">
        <v>5651994006900</v>
      </c>
      <c r="M579" s="8">
        <v>2819921070000</v>
      </c>
      <c r="N579" s="8">
        <v>3784246410000</v>
      </c>
      <c r="O579" s="8">
        <v>4047244230000</v>
      </c>
      <c r="P579" s="8">
        <v>4617072840000</v>
      </c>
      <c r="Q579" s="18">
        <f>(Table1[[#This Row],[A. TÀI SẢN NGẮN HẠN]]-Table1[[#This Row],[I. Nợ ngắn hạn]])/Table1[[#This Row],[TỔNG CỘNG TÀI SẢN]]</f>
        <v>0.56134216519038771</v>
      </c>
      <c r="R579" s="18">
        <f>Table1[[#This Row],[- LNST chưa phân phối kỳ này]]/Table1[[#This Row],[TỔNG CỘNG TÀI SẢN]]</f>
        <v>0.20757957320588949</v>
      </c>
      <c r="S579" s="21">
        <f>Table1[[#This Row],[5. Lợi nhuận gộp về bán hàng và cung cấp dịch vụ]]/Table1[[#This Row],[TỔNG CỘNG TÀI SẢN]]</f>
        <v>0.30918467644181197</v>
      </c>
      <c r="T57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4.9328586926872386</v>
      </c>
      <c r="U579" s="23">
        <f>Table1[[#This Row],[1. Doanh thu bán hàng và cung cấp dịch vụ ]]/Table1[[#This Row],[TỔNG CỘNG TÀI SẢN]]</f>
        <v>1.8598276676520569</v>
      </c>
      <c r="V579" s="23">
        <f>1.2*Table1[[#This Row],[X1]] + 1.4*Table1[[#This Row],[X2]] + 3.3*Table1[[#This Row],[x3]] + 0.6*Table1[[#This Row],[x4]] + 1*Table1[[#This Row],[x5]]</f>
        <v>6.80407431623909</v>
      </c>
      <c r="W579" s="23">
        <f>IF(Table1[[#This Row],[Zscore]]&lt;1.81,1,0)</f>
        <v>0</v>
      </c>
    </row>
    <row r="580" spans="1:23" ht="26.25" hidden="1" x14ac:dyDescent="0.45">
      <c r="A580" s="7">
        <v>574</v>
      </c>
      <c r="B580" s="5" t="s">
        <v>1161</v>
      </c>
      <c r="C580" s="6" t="s">
        <v>1162</v>
      </c>
      <c r="D580" s="6" t="s">
        <v>13</v>
      </c>
      <c r="E580" s="6"/>
      <c r="F580" s="6"/>
      <c r="G580" s="6"/>
      <c r="H580" s="6"/>
      <c r="I580" s="6"/>
      <c r="J580" s="8"/>
      <c r="K580" s="6"/>
      <c r="L580" s="6"/>
      <c r="M580" s="8"/>
      <c r="N580" s="8"/>
      <c r="O580" s="8"/>
      <c r="P580" s="8"/>
      <c r="Q580" s="18" t="e">
        <f>(Table1[[#This Row],[A. TÀI SẢN NGẮN HẠN]]-Table1[[#This Row],[I. Nợ ngắn hạn]])/Table1[[#This Row],[TỔNG CỘNG TÀI SẢN]]</f>
        <v>#DIV/0!</v>
      </c>
      <c r="R580" s="18" t="e">
        <f>Table1[[#This Row],[- LNST chưa phân phối kỳ này]]/Table1[[#This Row],[TỔNG CỘNG TÀI SẢN]]</f>
        <v>#DIV/0!</v>
      </c>
      <c r="S580" s="21" t="e">
        <f>Table1[[#This Row],[5. Lợi nhuận gộp về bán hàng và cung cấp dịch vụ]]/Table1[[#This Row],[TỔNG CỘNG TÀI SẢN]]</f>
        <v>#DIV/0!</v>
      </c>
      <c r="T58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580" s="23" t="e">
        <f>Table1[[#This Row],[1. Doanh thu bán hàng và cung cấp dịch vụ ]]/Table1[[#This Row],[TỔNG CỘNG TÀI SẢN]]</f>
        <v>#DIV/0!</v>
      </c>
      <c r="V580" s="23" t="e">
        <f>1.2*Table1[[#This Row],[X1]] + 1.4*Table1[[#This Row],[X2]] + 3.3*Table1[[#This Row],[x3]] + 0.6*Table1[[#This Row],[x4]] + 1*Table1[[#This Row],[x5]]</f>
        <v>#DIV/0!</v>
      </c>
      <c r="W580" s="23" t="e">
        <f>IF(Table1[[#This Row],[Zscore]]&lt;1.81,1,0)</f>
        <v>#DIV/0!</v>
      </c>
    </row>
    <row r="581" spans="1:23" hidden="1" x14ac:dyDescent="0.45">
      <c r="A581" s="7">
        <v>575</v>
      </c>
      <c r="B581" s="5" t="s">
        <v>1163</v>
      </c>
      <c r="C581" s="6" t="s">
        <v>1164</v>
      </c>
      <c r="D581" s="6" t="s">
        <v>13</v>
      </c>
      <c r="E581" s="6"/>
      <c r="F581" s="6"/>
      <c r="G581" s="6"/>
      <c r="H581" s="6"/>
      <c r="I581" s="6"/>
      <c r="J581" s="8"/>
      <c r="K581" s="6"/>
      <c r="L581" s="6"/>
      <c r="M581" s="8"/>
      <c r="N581" s="8"/>
      <c r="O581" s="8"/>
      <c r="P581" s="8"/>
      <c r="Q581" s="18" t="e">
        <f>(Table1[[#This Row],[A. TÀI SẢN NGẮN HẠN]]-Table1[[#This Row],[I. Nợ ngắn hạn]])/Table1[[#This Row],[TỔNG CỘNG TÀI SẢN]]</f>
        <v>#DIV/0!</v>
      </c>
      <c r="R581" s="18" t="e">
        <f>Table1[[#This Row],[- LNST chưa phân phối kỳ này]]/Table1[[#This Row],[TỔNG CỘNG TÀI SẢN]]</f>
        <v>#DIV/0!</v>
      </c>
      <c r="S581" s="21" t="e">
        <f>Table1[[#This Row],[5. Lợi nhuận gộp về bán hàng và cung cấp dịch vụ]]/Table1[[#This Row],[TỔNG CỘNG TÀI SẢN]]</f>
        <v>#DIV/0!</v>
      </c>
      <c r="T58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581" s="23" t="e">
        <f>Table1[[#This Row],[1. Doanh thu bán hàng và cung cấp dịch vụ ]]/Table1[[#This Row],[TỔNG CỘNG TÀI SẢN]]</f>
        <v>#DIV/0!</v>
      </c>
      <c r="V581" s="23" t="e">
        <f>1.2*Table1[[#This Row],[X1]] + 1.4*Table1[[#This Row],[X2]] + 3.3*Table1[[#This Row],[x3]] + 0.6*Table1[[#This Row],[x4]] + 1*Table1[[#This Row],[x5]]</f>
        <v>#DIV/0!</v>
      </c>
      <c r="W581" s="23" t="e">
        <f>IF(Table1[[#This Row],[Zscore]]&lt;1.81,1,0)</f>
        <v>#DIV/0!</v>
      </c>
    </row>
    <row r="582" spans="1:23" hidden="1" x14ac:dyDescent="0.45">
      <c r="A582" s="7">
        <v>576</v>
      </c>
      <c r="B582" s="5" t="s">
        <v>1165</v>
      </c>
      <c r="C582" s="6" t="s">
        <v>1166</v>
      </c>
      <c r="D582" s="6" t="s">
        <v>13</v>
      </c>
      <c r="E582" s="6"/>
      <c r="F582" s="6"/>
      <c r="G582" s="6"/>
      <c r="H582" s="6"/>
      <c r="I582" s="6"/>
      <c r="J582" s="8"/>
      <c r="K582" s="6"/>
      <c r="L582" s="6"/>
      <c r="M582" s="8"/>
      <c r="N582" s="8"/>
      <c r="O582" s="8"/>
      <c r="P582" s="8"/>
      <c r="Q582" s="18" t="e">
        <f>(Table1[[#This Row],[A. TÀI SẢN NGẮN HẠN]]-Table1[[#This Row],[I. Nợ ngắn hạn]])/Table1[[#This Row],[TỔNG CỘNG TÀI SẢN]]</f>
        <v>#DIV/0!</v>
      </c>
      <c r="R582" s="18" t="e">
        <f>Table1[[#This Row],[- LNST chưa phân phối kỳ này]]/Table1[[#This Row],[TỔNG CỘNG TÀI SẢN]]</f>
        <v>#DIV/0!</v>
      </c>
      <c r="S582" s="21" t="e">
        <f>Table1[[#This Row],[5. Lợi nhuận gộp về bán hàng và cung cấp dịch vụ]]/Table1[[#This Row],[TỔNG CỘNG TÀI SẢN]]</f>
        <v>#DIV/0!</v>
      </c>
      <c r="T58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582" s="23" t="e">
        <f>Table1[[#This Row],[1. Doanh thu bán hàng và cung cấp dịch vụ ]]/Table1[[#This Row],[TỔNG CỘNG TÀI SẢN]]</f>
        <v>#DIV/0!</v>
      </c>
      <c r="V582" s="23" t="e">
        <f>1.2*Table1[[#This Row],[X1]] + 1.4*Table1[[#This Row],[X2]] + 3.3*Table1[[#This Row],[x3]] + 0.6*Table1[[#This Row],[x4]] + 1*Table1[[#This Row],[x5]]</f>
        <v>#DIV/0!</v>
      </c>
      <c r="W582" s="23" t="e">
        <f>IF(Table1[[#This Row],[Zscore]]&lt;1.81,1,0)</f>
        <v>#DIV/0!</v>
      </c>
    </row>
    <row r="583" spans="1:23" hidden="1" x14ac:dyDescent="0.45">
      <c r="A583" s="7">
        <v>577</v>
      </c>
      <c r="B583" s="5" t="s">
        <v>1167</v>
      </c>
      <c r="C583" s="6" t="s">
        <v>1168</v>
      </c>
      <c r="D583" s="6" t="s">
        <v>13</v>
      </c>
      <c r="E583" s="6"/>
      <c r="F583" s="6"/>
      <c r="G583" s="6"/>
      <c r="H583" s="6"/>
      <c r="I583" s="6"/>
      <c r="J583" s="8"/>
      <c r="K583" s="6"/>
      <c r="L583" s="6"/>
      <c r="M583" s="8"/>
      <c r="N583" s="8"/>
      <c r="O583" s="8"/>
      <c r="P583" s="8"/>
      <c r="Q583" s="18" t="e">
        <f>(Table1[[#This Row],[A. TÀI SẢN NGẮN HẠN]]-Table1[[#This Row],[I. Nợ ngắn hạn]])/Table1[[#This Row],[TỔNG CỘNG TÀI SẢN]]</f>
        <v>#DIV/0!</v>
      </c>
      <c r="R583" s="18" t="e">
        <f>Table1[[#This Row],[- LNST chưa phân phối kỳ này]]/Table1[[#This Row],[TỔNG CỘNG TÀI SẢN]]</f>
        <v>#DIV/0!</v>
      </c>
      <c r="S583" s="21" t="e">
        <f>Table1[[#This Row],[5. Lợi nhuận gộp về bán hàng và cung cấp dịch vụ]]/Table1[[#This Row],[TỔNG CỘNG TÀI SẢN]]</f>
        <v>#DIV/0!</v>
      </c>
      <c r="T58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583" s="23" t="e">
        <f>Table1[[#This Row],[1. Doanh thu bán hàng và cung cấp dịch vụ ]]/Table1[[#This Row],[TỔNG CỘNG TÀI SẢN]]</f>
        <v>#DIV/0!</v>
      </c>
      <c r="V583" s="23" t="e">
        <f>1.2*Table1[[#This Row],[X1]] + 1.4*Table1[[#This Row],[X2]] + 3.3*Table1[[#This Row],[x3]] + 0.6*Table1[[#This Row],[x4]] + 1*Table1[[#This Row],[x5]]</f>
        <v>#DIV/0!</v>
      </c>
      <c r="W583" s="23" t="e">
        <f>IF(Table1[[#This Row],[Zscore]]&lt;1.81,1,0)</f>
        <v>#DIV/0!</v>
      </c>
    </row>
    <row r="584" spans="1:23" hidden="1" x14ac:dyDescent="0.45">
      <c r="A584" s="7">
        <v>578</v>
      </c>
      <c r="B584" s="5" t="s">
        <v>1169</v>
      </c>
      <c r="C584" s="6" t="s">
        <v>1170</v>
      </c>
      <c r="D584" s="6" t="s">
        <v>13</v>
      </c>
      <c r="E584" s="6"/>
      <c r="F584" s="6"/>
      <c r="G584" s="6"/>
      <c r="H584" s="6"/>
      <c r="I584" s="6"/>
      <c r="J584" s="8"/>
      <c r="K584" s="6"/>
      <c r="L584" s="6"/>
      <c r="M584" s="8"/>
      <c r="N584" s="8"/>
      <c r="O584" s="8"/>
      <c r="P584" s="8"/>
      <c r="Q584" s="18" t="e">
        <f>(Table1[[#This Row],[A. TÀI SẢN NGẮN HẠN]]-Table1[[#This Row],[I. Nợ ngắn hạn]])/Table1[[#This Row],[TỔNG CỘNG TÀI SẢN]]</f>
        <v>#DIV/0!</v>
      </c>
      <c r="R584" s="18" t="e">
        <f>Table1[[#This Row],[- LNST chưa phân phối kỳ này]]/Table1[[#This Row],[TỔNG CỘNG TÀI SẢN]]</f>
        <v>#DIV/0!</v>
      </c>
      <c r="S584" s="21" t="e">
        <f>Table1[[#This Row],[5. Lợi nhuận gộp về bán hàng và cung cấp dịch vụ]]/Table1[[#This Row],[TỔNG CỘNG TÀI SẢN]]</f>
        <v>#DIV/0!</v>
      </c>
      <c r="T58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584" s="23" t="e">
        <f>Table1[[#This Row],[1. Doanh thu bán hàng và cung cấp dịch vụ ]]/Table1[[#This Row],[TỔNG CỘNG TÀI SẢN]]</f>
        <v>#DIV/0!</v>
      </c>
      <c r="V584" s="23" t="e">
        <f>1.2*Table1[[#This Row],[X1]] + 1.4*Table1[[#This Row],[X2]] + 3.3*Table1[[#This Row],[x3]] + 0.6*Table1[[#This Row],[x4]] + 1*Table1[[#This Row],[x5]]</f>
        <v>#DIV/0!</v>
      </c>
      <c r="W584" s="23" t="e">
        <f>IF(Table1[[#This Row],[Zscore]]&lt;1.81,1,0)</f>
        <v>#DIV/0!</v>
      </c>
    </row>
    <row r="585" spans="1:23" hidden="1" x14ac:dyDescent="0.45">
      <c r="A585" s="7">
        <v>579</v>
      </c>
      <c r="B585" s="5" t="s">
        <v>1171</v>
      </c>
      <c r="C585" s="6" t="s">
        <v>1172</v>
      </c>
      <c r="D585" s="6" t="s">
        <v>13</v>
      </c>
      <c r="E585" s="6"/>
      <c r="F585" s="6"/>
      <c r="G585" s="6"/>
      <c r="H585" s="6"/>
      <c r="I585" s="6"/>
      <c r="J585" s="8"/>
      <c r="K585" s="6"/>
      <c r="L585" s="6"/>
      <c r="M585" s="8"/>
      <c r="N585" s="8"/>
      <c r="O585" s="8"/>
      <c r="P585" s="8"/>
      <c r="Q585" s="18" t="e">
        <f>(Table1[[#This Row],[A. TÀI SẢN NGẮN HẠN]]-Table1[[#This Row],[I. Nợ ngắn hạn]])/Table1[[#This Row],[TỔNG CỘNG TÀI SẢN]]</f>
        <v>#DIV/0!</v>
      </c>
      <c r="R585" s="18" t="e">
        <f>Table1[[#This Row],[- LNST chưa phân phối kỳ này]]/Table1[[#This Row],[TỔNG CỘNG TÀI SẢN]]</f>
        <v>#DIV/0!</v>
      </c>
      <c r="S585" s="21" t="e">
        <f>Table1[[#This Row],[5. Lợi nhuận gộp về bán hàng và cung cấp dịch vụ]]/Table1[[#This Row],[TỔNG CỘNG TÀI SẢN]]</f>
        <v>#DIV/0!</v>
      </c>
      <c r="T58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585" s="23" t="e">
        <f>Table1[[#This Row],[1. Doanh thu bán hàng và cung cấp dịch vụ ]]/Table1[[#This Row],[TỔNG CỘNG TÀI SẢN]]</f>
        <v>#DIV/0!</v>
      </c>
      <c r="V585" s="23" t="e">
        <f>1.2*Table1[[#This Row],[X1]] + 1.4*Table1[[#This Row],[X2]] + 3.3*Table1[[#This Row],[x3]] + 0.6*Table1[[#This Row],[x4]] + 1*Table1[[#This Row],[x5]]</f>
        <v>#DIV/0!</v>
      </c>
      <c r="W585" s="23" t="e">
        <f>IF(Table1[[#This Row],[Zscore]]&lt;1.81,1,0)</f>
        <v>#DIV/0!</v>
      </c>
    </row>
    <row r="586" spans="1:23" hidden="1" x14ac:dyDescent="0.45">
      <c r="A586" s="7">
        <v>580</v>
      </c>
      <c r="B586" s="5" t="s">
        <v>1173</v>
      </c>
      <c r="C586" s="6" t="s">
        <v>1174</v>
      </c>
      <c r="D586" s="6" t="s">
        <v>18</v>
      </c>
      <c r="E586" s="6"/>
      <c r="F586" s="6"/>
      <c r="G586" s="6"/>
      <c r="H586" s="6"/>
      <c r="I586" s="6"/>
      <c r="J586" s="8"/>
      <c r="K586" s="6"/>
      <c r="L586" s="6"/>
      <c r="M586" s="8"/>
      <c r="N586" s="8"/>
      <c r="O586" s="8"/>
      <c r="P586" s="8"/>
      <c r="Q586" s="18" t="e">
        <f>(Table1[[#This Row],[A. TÀI SẢN NGẮN HẠN]]-Table1[[#This Row],[I. Nợ ngắn hạn]])/Table1[[#This Row],[TỔNG CỘNG TÀI SẢN]]</f>
        <v>#DIV/0!</v>
      </c>
      <c r="R586" s="18" t="e">
        <f>Table1[[#This Row],[- LNST chưa phân phối kỳ này]]/Table1[[#This Row],[TỔNG CỘNG TÀI SẢN]]</f>
        <v>#DIV/0!</v>
      </c>
      <c r="S586" s="21" t="e">
        <f>Table1[[#This Row],[5. Lợi nhuận gộp về bán hàng và cung cấp dịch vụ]]/Table1[[#This Row],[TỔNG CỘNG TÀI SẢN]]</f>
        <v>#DIV/0!</v>
      </c>
      <c r="T58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586" s="23" t="e">
        <f>Table1[[#This Row],[1. Doanh thu bán hàng và cung cấp dịch vụ ]]/Table1[[#This Row],[TỔNG CỘNG TÀI SẢN]]</f>
        <v>#DIV/0!</v>
      </c>
      <c r="V586" s="23" t="e">
        <f>1.2*Table1[[#This Row],[X1]] + 1.4*Table1[[#This Row],[X2]] + 3.3*Table1[[#This Row],[x3]] + 0.6*Table1[[#This Row],[x4]] + 1*Table1[[#This Row],[x5]]</f>
        <v>#DIV/0!</v>
      </c>
      <c r="W586" s="23" t="e">
        <f>IF(Table1[[#This Row],[Zscore]]&lt;1.81,1,0)</f>
        <v>#DIV/0!</v>
      </c>
    </row>
    <row r="587" spans="1:23" x14ac:dyDescent="0.45">
      <c r="A587" s="7">
        <v>581</v>
      </c>
      <c r="B587" s="5" t="s">
        <v>1175</v>
      </c>
      <c r="C587" s="6" t="s">
        <v>1176</v>
      </c>
      <c r="D587" s="6" t="s">
        <v>18</v>
      </c>
      <c r="E587" s="8">
        <v>2687668586695</v>
      </c>
      <c r="F587" s="8">
        <v>2042403718106</v>
      </c>
      <c r="G587" s="8">
        <v>2628192577045</v>
      </c>
      <c r="H587" s="8">
        <v>-760181191671</v>
      </c>
      <c r="I587" s="8">
        <v>-25882899087</v>
      </c>
      <c r="J587" s="8"/>
      <c r="K587" s="8">
        <v>3202037941685</v>
      </c>
      <c r="L587" s="8">
        <v>225501264658</v>
      </c>
      <c r="M587" s="8">
        <v>144000000000</v>
      </c>
      <c r="N587" s="8">
        <v>56000000000</v>
      </c>
      <c r="O587" s="8">
        <v>96000000000</v>
      </c>
      <c r="P587" s="8">
        <v>96000000000</v>
      </c>
      <c r="Q587" s="18">
        <f>(Table1[[#This Row],[A. TÀI SẢN NGẮN HẠN]]-Table1[[#This Row],[I. Nợ ngắn hạn]])/Table1[[#This Row],[TỔNG CỘNG TÀI SẢN]]</f>
        <v>-0.21795427525509717</v>
      </c>
      <c r="R587" s="18">
        <f>Table1[[#This Row],[- LNST chưa phân phối kỳ này]]/Table1[[#This Row],[TỔNG CỘNG TÀI SẢN]]</f>
        <v>-0.2828403752732726</v>
      </c>
      <c r="S587" s="21">
        <f>Table1[[#This Row],[5. Lợi nhuận gộp về bán hàng và cung cấp dịch vụ]]/Table1[[#This Row],[TỔNG CỘNG TÀI SẢN]]</f>
        <v>-9.6302420674670864E-3</v>
      </c>
      <c r="T58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3.0605508674400567E-2</v>
      </c>
      <c r="U587" s="23">
        <f>Table1[[#This Row],[1. Doanh thu bán hàng và cung cấp dịch vụ ]]/Table1[[#This Row],[TỔNG CỘNG TÀI SẢN]]</f>
        <v>8.3902184136213281E-2</v>
      </c>
      <c r="V587" s="23">
        <f>1.2*Table1[[#This Row],[X1]] + 1.4*Table1[[#This Row],[X2]] + 3.3*Table1[[#This Row],[x3]] + 0.6*Table1[[#This Row],[x4]] + 1*Table1[[#This Row],[x5]]</f>
        <v>-0.58703596517048595</v>
      </c>
      <c r="W587" s="23">
        <f>IF(Table1[[#This Row],[Zscore]]&lt;1.81,1,0)</f>
        <v>1</v>
      </c>
    </row>
    <row r="588" spans="1:23" ht="26.25" hidden="1" x14ac:dyDescent="0.45">
      <c r="A588" s="7">
        <v>582</v>
      </c>
      <c r="B588" s="5" t="s">
        <v>1177</v>
      </c>
      <c r="C588" s="6" t="s">
        <v>1178</v>
      </c>
      <c r="D588" s="6" t="s">
        <v>13</v>
      </c>
      <c r="E588" s="6"/>
      <c r="F588" s="6"/>
      <c r="G588" s="6"/>
      <c r="H588" s="6"/>
      <c r="I588" s="6"/>
      <c r="J588" s="8"/>
      <c r="K588" s="6"/>
      <c r="L588" s="6"/>
      <c r="M588" s="8">
        <v>157500000000</v>
      </c>
      <c r="N588" s="8"/>
      <c r="O588" s="8">
        <v>157500000000</v>
      </c>
      <c r="P588" s="8"/>
      <c r="Q588" s="18" t="e">
        <f>(Table1[[#This Row],[A. TÀI SẢN NGẮN HẠN]]-Table1[[#This Row],[I. Nợ ngắn hạn]])/Table1[[#This Row],[TỔNG CỘNG TÀI SẢN]]</f>
        <v>#DIV/0!</v>
      </c>
      <c r="R588" s="18" t="e">
        <f>Table1[[#This Row],[- LNST chưa phân phối kỳ này]]/Table1[[#This Row],[TỔNG CỘNG TÀI SẢN]]</f>
        <v>#DIV/0!</v>
      </c>
      <c r="S588" s="21" t="e">
        <f>Table1[[#This Row],[5. Lợi nhuận gộp về bán hàng và cung cấp dịch vụ]]/Table1[[#This Row],[TỔNG CỘNG TÀI SẢN]]</f>
        <v>#DIV/0!</v>
      </c>
      <c r="T58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588" s="23" t="e">
        <f>Table1[[#This Row],[1. Doanh thu bán hàng và cung cấp dịch vụ ]]/Table1[[#This Row],[TỔNG CỘNG TÀI SẢN]]</f>
        <v>#DIV/0!</v>
      </c>
      <c r="V588" s="23" t="e">
        <f>1.2*Table1[[#This Row],[X1]] + 1.4*Table1[[#This Row],[X2]] + 3.3*Table1[[#This Row],[x3]] + 0.6*Table1[[#This Row],[x4]] + 1*Table1[[#This Row],[x5]]</f>
        <v>#DIV/0!</v>
      </c>
      <c r="W588" s="23" t="e">
        <f>IF(Table1[[#This Row],[Zscore]]&lt;1.81,1,0)</f>
        <v>#DIV/0!</v>
      </c>
    </row>
    <row r="589" spans="1:23" ht="26.25" x14ac:dyDescent="0.45">
      <c r="A589" s="7">
        <v>583</v>
      </c>
      <c r="B589" s="5" t="s">
        <v>1179</v>
      </c>
      <c r="C589" s="6" t="s">
        <v>1180</v>
      </c>
      <c r="D589" s="6" t="s">
        <v>21</v>
      </c>
      <c r="E589" s="8">
        <v>19550157059427</v>
      </c>
      <c r="F589" s="8">
        <v>16123562441502</v>
      </c>
      <c r="G589" s="8">
        <v>4080509528892</v>
      </c>
      <c r="H589" s="8">
        <v>3024975472108</v>
      </c>
      <c r="I589" s="8">
        <v>3552598691323</v>
      </c>
      <c r="J589" s="8"/>
      <c r="K589" s="8">
        <v>4144126400937</v>
      </c>
      <c r="L589" s="8">
        <v>11266651695024</v>
      </c>
      <c r="M589" s="8">
        <v>37825929934800</v>
      </c>
      <c r="N589" s="8">
        <v>26014821290500</v>
      </c>
      <c r="O589" s="8">
        <v>38623464602100</v>
      </c>
      <c r="P589" s="8">
        <v>34863658313400</v>
      </c>
      <c r="Q589" s="18">
        <f>(Table1[[#This Row],[A. TÀI SẢN NGẮN HẠN]]-Table1[[#This Row],[I. Nợ ngắn hạn]])/Table1[[#This Row],[TỔNG CỘNG TÀI SẢN]]</f>
        <v>0.61600798786436817</v>
      </c>
      <c r="R589" s="18">
        <f>Table1[[#This Row],[- LNST chưa phân phối kỳ này]]/Table1[[#This Row],[TỔNG CỘNG TÀI SẢN]]</f>
        <v>0.15472896012614742</v>
      </c>
      <c r="S589" s="21">
        <f>Table1[[#This Row],[5. Lợi nhuận gộp về bán hàng và cung cấp dịch vụ]]/Table1[[#This Row],[TỔNG CỘNG TÀI SẢN]]</f>
        <v>0.18171714327020982</v>
      </c>
      <c r="T58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8.2844887471186777</v>
      </c>
      <c r="U589" s="23">
        <f>Table1[[#This Row],[1. Doanh thu bán hàng và cung cấp dịch vụ ]]/Table1[[#This Row],[TỔNG CỘNG TÀI SẢN]]</f>
        <v>0.57629468964246866</v>
      </c>
      <c r="V589" s="23">
        <f>1.2*Table1[[#This Row],[X1]] + 1.4*Table1[[#This Row],[X2]] + 3.3*Table1[[#This Row],[x3]] + 0.6*Table1[[#This Row],[x4]] + 1*Table1[[#This Row],[x5]]</f>
        <v>7.102484640319215</v>
      </c>
      <c r="W589" s="23">
        <f>IF(Table1[[#This Row],[Zscore]]&lt;1.81,1,0)</f>
        <v>0</v>
      </c>
    </row>
    <row r="590" spans="1:23" ht="26.25" x14ac:dyDescent="0.45">
      <c r="A590" s="7">
        <v>584</v>
      </c>
      <c r="B590" s="5" t="s">
        <v>1181</v>
      </c>
      <c r="C590" s="6" t="s">
        <v>1182</v>
      </c>
      <c r="D590" s="6" t="s">
        <v>18</v>
      </c>
      <c r="E590" s="8">
        <v>1732580862763</v>
      </c>
      <c r="F590" s="8">
        <v>1549123762096</v>
      </c>
      <c r="G590" s="8">
        <v>409563100423</v>
      </c>
      <c r="H590" s="8">
        <v>-8558984490</v>
      </c>
      <c r="I590" s="8">
        <v>58161284115</v>
      </c>
      <c r="J590" s="8"/>
      <c r="K590" s="8">
        <v>689865932613</v>
      </c>
      <c r="L590" s="8">
        <v>462834253366</v>
      </c>
      <c r="M590" s="8">
        <v>426600000000</v>
      </c>
      <c r="N590" s="8">
        <v>395000000000</v>
      </c>
      <c r="O590" s="8">
        <v>395000000000</v>
      </c>
      <c r="P590" s="8">
        <v>395000000000</v>
      </c>
      <c r="Q590" s="18">
        <f>(Table1[[#This Row],[A. TÀI SẢN NGẮN HẠN]]-Table1[[#This Row],[I. Nợ ngắn hạn]])/Table1[[#This Row],[TỔNG CỘNG TÀI SẢN]]</f>
        <v>0.65772437302332176</v>
      </c>
      <c r="R590" s="18">
        <f>Table1[[#This Row],[- LNST chưa phân phối kỳ này]]/Table1[[#This Row],[TỔNG CỘNG TÀI SẢN]]</f>
        <v>-4.9400202172097899E-3</v>
      </c>
      <c r="S590" s="21">
        <f>Table1[[#This Row],[5. Lợi nhuận gộp về bán hàng và cung cấp dịch vụ]]/Table1[[#This Row],[TỔNG CỘNG TÀI SẢN]]</f>
        <v>3.3569159953809262E-2</v>
      </c>
      <c r="T59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0.58402652015869039</v>
      </c>
      <c r="U590" s="23">
        <f>Table1[[#This Row],[1. Doanh thu bán hàng và cung cấp dịch vụ ]]/Table1[[#This Row],[TỔNG CỘNG TÀI SẢN]]</f>
        <v>0.26713572988905349</v>
      </c>
      <c r="V590" s="23">
        <f>1.2*Table1[[#This Row],[X1]] + 1.4*Table1[[#This Row],[X2]] + 3.3*Table1[[#This Row],[x3]] + 0.6*Table1[[#This Row],[x4]] + 1*Table1[[#This Row],[x5]]</f>
        <v>1.5106830891557308</v>
      </c>
      <c r="W590" s="23">
        <f>IF(Table1[[#This Row],[Zscore]]&lt;1.81,1,0)</f>
        <v>1</v>
      </c>
    </row>
    <row r="591" spans="1:23" x14ac:dyDescent="0.45">
      <c r="A591" s="7">
        <v>585</v>
      </c>
      <c r="B591" s="5" t="s">
        <v>1183</v>
      </c>
      <c r="C591" s="6" t="s">
        <v>1184</v>
      </c>
      <c r="D591" s="6" t="s">
        <v>21</v>
      </c>
      <c r="E591" s="8">
        <v>11256852732859</v>
      </c>
      <c r="F591" s="8">
        <v>10701198692583</v>
      </c>
      <c r="G591" s="8">
        <v>7779849389337</v>
      </c>
      <c r="H591" s="8">
        <v>547878824084</v>
      </c>
      <c r="I591" s="8">
        <v>2310995057427</v>
      </c>
      <c r="J591" s="8"/>
      <c r="K591" s="8">
        <v>7784383018764</v>
      </c>
      <c r="L591" s="8">
        <v>27242826032601</v>
      </c>
      <c r="M591" s="8">
        <v>8240743120000</v>
      </c>
      <c r="N591" s="8">
        <v>8625579300000</v>
      </c>
      <c r="O591" s="8">
        <v>9643422800000</v>
      </c>
      <c r="P591" s="8">
        <v>9029750440000</v>
      </c>
      <c r="Q591" s="18">
        <f>(Table1[[#This Row],[A. TÀI SẢN NGẮN HẠN]]-Table1[[#This Row],[I. Nợ ngắn hạn]])/Table1[[#This Row],[TỔNG CỘNG TÀI SẢN]]</f>
        <v>0.25951741331025119</v>
      </c>
      <c r="R591" s="18">
        <f>Table1[[#This Row],[- LNST chưa phân phối kỳ này]]/Table1[[#This Row],[TỔNG CỘNG TÀI SẢN]]</f>
        <v>4.8670693051240665E-2</v>
      </c>
      <c r="S591" s="21">
        <f>Table1[[#This Row],[5. Lợi nhuận gộp về bán hàng và cung cấp dịch vụ]]/Table1[[#This Row],[TỔNG CỘNG TÀI SẢN]]</f>
        <v>0.20529673011366265</v>
      </c>
      <c r="T59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1.141371627473019</v>
      </c>
      <c r="U591" s="23">
        <f>Table1[[#This Row],[1. Doanh thu bán hàng và cung cấp dịch vụ ]]/Table1[[#This Row],[TỔNG CỘNG TÀI SẢN]]</f>
        <v>2.4201103700218618</v>
      </c>
      <c r="V591" s="23">
        <f>1.2*Table1[[#This Row],[X1]] + 1.4*Table1[[#This Row],[X2]] + 3.3*Table1[[#This Row],[x3]] + 0.6*Table1[[#This Row],[x4]] + 1*Table1[[#This Row],[x5]]</f>
        <v>4.1619724221247978</v>
      </c>
      <c r="W591" s="23">
        <f>IF(Table1[[#This Row],[Zscore]]&lt;1.81,1,0)</f>
        <v>0</v>
      </c>
    </row>
    <row r="592" spans="1:23" x14ac:dyDescent="0.45">
      <c r="A592" s="7">
        <v>586</v>
      </c>
      <c r="B592" s="5" t="s">
        <v>1185</v>
      </c>
      <c r="C592" s="6" t="s">
        <v>1186</v>
      </c>
      <c r="D592" s="6" t="s">
        <v>21</v>
      </c>
      <c r="E592" s="8">
        <v>542972576614</v>
      </c>
      <c r="F592" s="8">
        <v>326392911817</v>
      </c>
      <c r="G592" s="8">
        <v>46499654982</v>
      </c>
      <c r="H592" s="8">
        <v>109743442537</v>
      </c>
      <c r="I592" s="8">
        <v>145332830267</v>
      </c>
      <c r="J592" s="8"/>
      <c r="K592" s="8">
        <v>54314043342</v>
      </c>
      <c r="L592" s="8">
        <v>403979082955</v>
      </c>
      <c r="M592" s="8">
        <v>574316847000</v>
      </c>
      <c r="N592" s="8">
        <v>986311891000</v>
      </c>
      <c r="O592" s="8">
        <v>646255104700</v>
      </c>
      <c r="P592" s="8">
        <v>722804684300</v>
      </c>
      <c r="Q592" s="18">
        <f>(Table1[[#This Row],[A. TÀI SẢN NGẮN HẠN]]-Table1[[#This Row],[I. Nợ ngắn hạn]])/Table1[[#This Row],[TỔNG CỘNG TÀI SẢN]]</f>
        <v>0.5154832286013894</v>
      </c>
      <c r="R592" s="18">
        <f>Table1[[#This Row],[- LNST chưa phân phối kỳ này]]/Table1[[#This Row],[TỔNG CỘNG TÀI SẢN]]</f>
        <v>0.20211599492070992</v>
      </c>
      <c r="S592" s="21">
        <f>Table1[[#This Row],[5. Lợi nhuận gộp về bán hàng và cung cấp dịch vụ]]/Table1[[#This Row],[TỔNG CỘNG TÀI SẢN]]</f>
        <v>0.26766145570979238</v>
      </c>
      <c r="T59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13.484949502620294</v>
      </c>
      <c r="U592" s="23">
        <f>Table1[[#This Row],[1. Doanh thu bán hàng và cung cấp dịch vụ ]]/Table1[[#This Row],[TỔNG CỘNG TÀI SẢN]]</f>
        <v>0.74401378698392229</v>
      </c>
      <c r="V592" s="23">
        <f>1.2*Table1[[#This Row],[X1]] + 1.4*Table1[[#This Row],[X2]] + 3.3*Table1[[#This Row],[x3]] + 0.6*Table1[[#This Row],[x4]] + 1*Table1[[#This Row],[x5]]</f>
        <v>10.619808559609075</v>
      </c>
      <c r="W592" s="23">
        <f>IF(Table1[[#This Row],[Zscore]]&lt;1.81,1,0)</f>
        <v>0</v>
      </c>
    </row>
    <row r="593" spans="1:23" ht="26.25" x14ac:dyDescent="0.45">
      <c r="A593" s="7">
        <v>587</v>
      </c>
      <c r="B593" s="5" t="s">
        <v>1187</v>
      </c>
      <c r="C593" s="6" t="s">
        <v>1188</v>
      </c>
      <c r="D593" s="6" t="s">
        <v>18</v>
      </c>
      <c r="E593" s="8">
        <v>5786151071211</v>
      </c>
      <c r="F593" s="8">
        <v>1480637952059</v>
      </c>
      <c r="G593" s="8">
        <v>1203122872920</v>
      </c>
      <c r="H593" s="8">
        <v>10854585043</v>
      </c>
      <c r="I593" s="8">
        <v>484910979798</v>
      </c>
      <c r="J593" s="8"/>
      <c r="K593" s="8">
        <v>5154508639439</v>
      </c>
      <c r="L593" s="8">
        <v>4351995843532</v>
      </c>
      <c r="M593" s="8">
        <v>2477020000000</v>
      </c>
      <c r="N593" s="8">
        <v>2068720000000</v>
      </c>
      <c r="O593" s="8">
        <v>2558680000000</v>
      </c>
      <c r="P593" s="8">
        <v>2368140000000</v>
      </c>
      <c r="Q593" s="18">
        <f>(Table1[[#This Row],[A. TÀI SẢN NGẮN HẠN]]-Table1[[#This Row],[I. Nợ ngắn hạn]])/Table1[[#This Row],[TỔNG CỘNG TÀI SẢN]]</f>
        <v>4.7961948404661697E-2</v>
      </c>
      <c r="R593" s="18">
        <f>Table1[[#This Row],[- LNST chưa phân phối kỳ này]]/Table1[[#This Row],[TỔNG CỘNG TÀI SẢN]]</f>
        <v>1.8759594952518605E-3</v>
      </c>
      <c r="S593" s="21">
        <f>Table1[[#This Row],[5. Lợi nhuận gộp về bán hàng và cung cấp dịch vụ]]/Table1[[#This Row],[TỔNG CỘNG TÀI SẢN]]</f>
        <v>8.3805447495257257E-2</v>
      </c>
      <c r="T59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0.45943079460193526</v>
      </c>
      <c r="U593" s="23">
        <f>Table1[[#This Row],[1. Doanh thu bán hàng và cung cấp dịch vụ ]]/Table1[[#This Row],[TỔNG CỘNG TÀI SẢN]]</f>
        <v>0.75214003056113754</v>
      </c>
      <c r="V593" s="23">
        <f>1.2*Table1[[#This Row],[X1]] + 1.4*Table1[[#This Row],[X2]] + 3.3*Table1[[#This Row],[x3]] + 0.6*Table1[[#This Row],[x4]] + 1*Table1[[#This Row],[x5]]</f>
        <v>1.3645371654355944</v>
      </c>
      <c r="W593" s="23">
        <f>IF(Table1[[#This Row],[Zscore]]&lt;1.81,1,0)</f>
        <v>1</v>
      </c>
    </row>
    <row r="594" spans="1:23" x14ac:dyDescent="0.45">
      <c r="A594" s="7">
        <v>588</v>
      </c>
      <c r="B594" s="5" t="s">
        <v>1189</v>
      </c>
      <c r="C594" s="6" t="s">
        <v>1190</v>
      </c>
      <c r="D594" s="6" t="s">
        <v>21</v>
      </c>
      <c r="E594" s="8">
        <v>3579098394544</v>
      </c>
      <c r="F594" s="8">
        <v>2552207693716</v>
      </c>
      <c r="G594" s="8">
        <v>1367856007665</v>
      </c>
      <c r="H594" s="8">
        <v>392920881923</v>
      </c>
      <c r="I594" s="8">
        <v>587402401322</v>
      </c>
      <c r="J594" s="8"/>
      <c r="K594" s="8">
        <v>1367856007665</v>
      </c>
      <c r="L594" s="8">
        <v>3633053711641</v>
      </c>
      <c r="M594" s="8">
        <v>2591876145600</v>
      </c>
      <c r="N594" s="8">
        <v>3221316720100</v>
      </c>
      <c r="O594" s="8">
        <v>2641769484100</v>
      </c>
      <c r="P594" s="8">
        <v>3371033089400</v>
      </c>
      <c r="Q594" s="18">
        <f>(Table1[[#This Row],[A. TÀI SẢN NGẮN HẠN]]-Table1[[#This Row],[I. Nợ ngắn hạn]])/Table1[[#This Row],[TỔNG CỘNG TÀI SẢN]]</f>
        <v>0.33090783082589548</v>
      </c>
      <c r="R594" s="18">
        <f>Table1[[#This Row],[- LNST chưa phân phối kỳ này]]/Table1[[#This Row],[TỔNG CỘNG TÀI SẢN]]</f>
        <v>0.10978208437129615</v>
      </c>
      <c r="S594" s="21">
        <f>Table1[[#This Row],[5. Lợi nhuận gộp về bán hàng và cung cấp dịch vụ]]/Table1[[#This Row],[TỔNG CỘNG TÀI SẢN]]</f>
        <v>0.16412021592293743</v>
      </c>
      <c r="T59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2.1614108818711806</v>
      </c>
      <c r="U594" s="23">
        <f>Table1[[#This Row],[1. Doanh thu bán hàng và cung cấp dịch vụ ]]/Table1[[#This Row],[TỔNG CỘNG TÀI SẢN]]</f>
        <v>1.0150751142184997</v>
      </c>
      <c r="V594" s="23">
        <f>1.2*Table1[[#This Row],[X1]] + 1.4*Table1[[#This Row],[X2]] + 3.3*Table1[[#This Row],[x3]] + 0.6*Table1[[#This Row],[x4]] + 1*Table1[[#This Row],[x5]]</f>
        <v>3.404302670997791</v>
      </c>
      <c r="W594" s="23">
        <f>IF(Table1[[#This Row],[Zscore]]&lt;1.81,1,0)</f>
        <v>0</v>
      </c>
    </row>
    <row r="595" spans="1:23" x14ac:dyDescent="0.45">
      <c r="A595" s="7">
        <v>589</v>
      </c>
      <c r="B595" s="5" t="s">
        <v>1191</v>
      </c>
      <c r="C595" s="6" t="s">
        <v>1192</v>
      </c>
      <c r="D595" s="6" t="s">
        <v>18</v>
      </c>
      <c r="E595" s="8">
        <v>955194869372</v>
      </c>
      <c r="F595" s="8">
        <v>335480100418</v>
      </c>
      <c r="G595" s="8">
        <v>213669861101</v>
      </c>
      <c r="H595" s="8">
        <v>55332195249</v>
      </c>
      <c r="I595" s="8">
        <v>245490983215</v>
      </c>
      <c r="J595" s="8"/>
      <c r="K595" s="8">
        <v>450724137958</v>
      </c>
      <c r="L595" s="8">
        <v>689563310105</v>
      </c>
      <c r="M595" s="8">
        <v>978156095000</v>
      </c>
      <c r="N595" s="8">
        <v>1259857515000</v>
      </c>
      <c r="O595" s="8">
        <v>1079877870000</v>
      </c>
      <c r="P595" s="8">
        <v>1108674613200</v>
      </c>
      <c r="Q595" s="18">
        <f>(Table1[[#This Row],[A. TÀI SẢN NGẮN HẠN]]-Table1[[#This Row],[I. Nợ ngắn hạn]])/Table1[[#This Row],[TỔNG CỘNG TÀI SẢN]]</f>
        <v>0.12752396733148813</v>
      </c>
      <c r="R595" s="18">
        <f>Table1[[#This Row],[- LNST chưa phân phối kỳ này]]/Table1[[#This Row],[TỔNG CỘNG TÀI SẢN]]</f>
        <v>5.7927651229302109E-2</v>
      </c>
      <c r="S595" s="21">
        <f>Table1[[#This Row],[5. Lợi nhuận gộp về bán hàng và cung cấp dịch vụ]]/Table1[[#This Row],[TỔNG CỘNG TÀI SẢN]]</f>
        <v>0.25700617862028496</v>
      </c>
      <c r="T59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2.4552524040838493</v>
      </c>
      <c r="U595" s="23">
        <f>Table1[[#This Row],[1. Doanh thu bán hàng và cung cấp dịch vụ ]]/Table1[[#This Row],[TỔNG CỘNG TÀI SẢN]]</f>
        <v>0.72190851544079016</v>
      </c>
      <c r="V595" s="23">
        <f>1.2*Table1[[#This Row],[X1]] + 1.4*Table1[[#This Row],[X2]] + 3.3*Table1[[#This Row],[x3]] + 0.6*Table1[[#This Row],[x4]] + 1*Table1[[#This Row],[x5]]</f>
        <v>3.2773078198568486</v>
      </c>
      <c r="W595" s="23">
        <f>IF(Table1[[#This Row],[Zscore]]&lt;1.81,1,0)</f>
        <v>0</v>
      </c>
    </row>
    <row r="596" spans="1:23" x14ac:dyDescent="0.45">
      <c r="A596" s="7">
        <v>590</v>
      </c>
      <c r="B596" s="5" t="s">
        <v>1193</v>
      </c>
      <c r="C596" s="6" t="s">
        <v>1194</v>
      </c>
      <c r="D596" s="6" t="s">
        <v>21</v>
      </c>
      <c r="E596" s="8">
        <v>5165748810209</v>
      </c>
      <c r="F596" s="8">
        <v>3887364378369</v>
      </c>
      <c r="G596" s="8">
        <v>906042527059</v>
      </c>
      <c r="H596" s="8">
        <v>897576116728</v>
      </c>
      <c r="I596" s="8">
        <v>2512371708761</v>
      </c>
      <c r="J596" s="8"/>
      <c r="K596" s="8">
        <v>983261625111</v>
      </c>
      <c r="L596" s="8">
        <v>6136905368338</v>
      </c>
      <c r="M596" s="8">
        <v>13074607100000</v>
      </c>
      <c r="N596" s="8">
        <v>13375323063300</v>
      </c>
      <c r="O596" s="8">
        <v>13035383278700</v>
      </c>
      <c r="P596" s="8">
        <v>13270726206500</v>
      </c>
      <c r="Q596" s="18">
        <f>(Table1[[#This Row],[A. TÀI SẢN NGẮN HẠN]]-Table1[[#This Row],[I. Nợ ngắn hạn]])/Table1[[#This Row],[TỔNG CỘNG TÀI SẢN]]</f>
        <v>0.5771325631277413</v>
      </c>
      <c r="R596" s="18">
        <f>Table1[[#This Row],[- LNST chưa phân phối kỳ này]]/Table1[[#This Row],[TỔNG CỘNG TÀI SẢN]]</f>
        <v>0.17375527725121523</v>
      </c>
      <c r="S596" s="21">
        <f>Table1[[#This Row],[5. Lợi nhuận gộp về bán hàng và cung cấp dịch vụ]]/Table1[[#This Row],[TỔNG CỘNG TÀI SẢN]]</f>
        <v>0.4863518922553558</v>
      </c>
      <c r="T59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13.413530616163422</v>
      </c>
      <c r="U596" s="23">
        <f>Table1[[#This Row],[1. Doanh thu bán hàng và cung cấp dịch vụ ]]/Table1[[#This Row],[TỔNG CỘNG TÀI SẢN]]</f>
        <v>1.1879991834310093</v>
      </c>
      <c r="V596" s="23">
        <f>1.2*Table1[[#This Row],[X1]] + 1.4*Table1[[#This Row],[X2]] + 3.3*Table1[[#This Row],[x3]] + 0.6*Table1[[#This Row],[x4]] + 1*Table1[[#This Row],[x5]]</f>
        <v>11.776895261476726</v>
      </c>
      <c r="W596" s="23">
        <f>IF(Table1[[#This Row],[Zscore]]&lt;1.81,1,0)</f>
        <v>0</v>
      </c>
    </row>
    <row r="597" spans="1:23" ht="26.25" x14ac:dyDescent="0.45">
      <c r="A597" s="7">
        <v>591</v>
      </c>
      <c r="B597" s="5" t="s">
        <v>1195</v>
      </c>
      <c r="C597" s="6" t="s">
        <v>1196</v>
      </c>
      <c r="D597" s="6" t="s">
        <v>21</v>
      </c>
      <c r="E597" s="8">
        <v>1270604113315</v>
      </c>
      <c r="F597" s="8">
        <v>1034554983806</v>
      </c>
      <c r="G597" s="8">
        <v>908800043498</v>
      </c>
      <c r="H597" s="8">
        <v>6557706842</v>
      </c>
      <c r="I597" s="8">
        <v>39021520785</v>
      </c>
      <c r="J597" s="8"/>
      <c r="K597" s="8">
        <v>908800043498</v>
      </c>
      <c r="L597" s="8">
        <v>3004418008183</v>
      </c>
      <c r="M597" s="8">
        <v>255909529590</v>
      </c>
      <c r="N597" s="8">
        <v>212739905840</v>
      </c>
      <c r="O597" s="8">
        <v>226208828450</v>
      </c>
      <c r="P597" s="8">
        <v>219301688650</v>
      </c>
      <c r="Q597" s="18">
        <f>(Table1[[#This Row],[A. TÀI SẢN NGẮN HẠN]]-Table1[[#This Row],[I. Nợ ngắn hạn]])/Table1[[#This Row],[TỔNG CỘNG TÀI SẢN]]</f>
        <v>9.897255879323888E-2</v>
      </c>
      <c r="R597" s="18">
        <f>Table1[[#This Row],[- LNST chưa phân phối kỳ này]]/Table1[[#This Row],[TỔNG CỘNG TÀI SẢN]]</f>
        <v>5.161093666611054E-3</v>
      </c>
      <c r="S597" s="21">
        <f>Table1[[#This Row],[5. Lợi nhuận gộp về bán hàng và cung cấp dịch vụ]]/Table1[[#This Row],[TỔNG CỘNG TÀI SẢN]]</f>
        <v>3.0710998316535464E-2</v>
      </c>
      <c r="T59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0.25147444673620656</v>
      </c>
      <c r="U597" s="23">
        <f>Table1[[#This Row],[1. Doanh thu bán hàng và cung cấp dịch vụ ]]/Table1[[#This Row],[TỔNG CỘNG TÀI SẢN]]</f>
        <v>2.3645586982592777</v>
      </c>
      <c r="V597" s="23">
        <f>1.2*Table1[[#This Row],[X1]] + 1.4*Table1[[#This Row],[X2]] + 3.3*Table1[[#This Row],[x3]] + 0.6*Table1[[#This Row],[x4]] + 1*Table1[[#This Row],[x5]]</f>
        <v>2.742782262430711</v>
      </c>
      <c r="W597" s="23">
        <f>IF(Table1[[#This Row],[Zscore]]&lt;1.81,1,0)</f>
        <v>0</v>
      </c>
    </row>
    <row r="598" spans="1:23" hidden="1" x14ac:dyDescent="0.45">
      <c r="A598" s="7">
        <v>592</v>
      </c>
      <c r="B598" s="5" t="s">
        <v>1197</v>
      </c>
      <c r="C598" s="6" t="s">
        <v>1198</v>
      </c>
      <c r="D598" s="6" t="s">
        <v>18</v>
      </c>
      <c r="E598" s="6"/>
      <c r="F598" s="6"/>
      <c r="G598" s="6"/>
      <c r="H598" s="6"/>
      <c r="I598" s="6"/>
      <c r="J598" s="8"/>
      <c r="K598" s="6"/>
      <c r="L598" s="6"/>
      <c r="M598" s="8"/>
      <c r="N598" s="8"/>
      <c r="O598" s="8"/>
      <c r="P598" s="8"/>
      <c r="Q598" s="18" t="e">
        <f>(Table1[[#This Row],[A. TÀI SẢN NGẮN HẠN]]-Table1[[#This Row],[I. Nợ ngắn hạn]])/Table1[[#This Row],[TỔNG CỘNG TÀI SẢN]]</f>
        <v>#DIV/0!</v>
      </c>
      <c r="R598" s="18" t="e">
        <f>Table1[[#This Row],[- LNST chưa phân phối kỳ này]]/Table1[[#This Row],[TỔNG CỘNG TÀI SẢN]]</f>
        <v>#DIV/0!</v>
      </c>
      <c r="S598" s="21" t="e">
        <f>Table1[[#This Row],[5. Lợi nhuận gộp về bán hàng và cung cấp dịch vụ]]/Table1[[#This Row],[TỔNG CỘNG TÀI SẢN]]</f>
        <v>#DIV/0!</v>
      </c>
      <c r="T59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598" s="23" t="e">
        <f>Table1[[#This Row],[1. Doanh thu bán hàng và cung cấp dịch vụ ]]/Table1[[#This Row],[TỔNG CỘNG TÀI SẢN]]</f>
        <v>#DIV/0!</v>
      </c>
      <c r="V598" s="23" t="e">
        <f>1.2*Table1[[#This Row],[X1]] + 1.4*Table1[[#This Row],[X2]] + 3.3*Table1[[#This Row],[x3]] + 0.6*Table1[[#This Row],[x4]] + 1*Table1[[#This Row],[x5]]</f>
        <v>#DIV/0!</v>
      </c>
      <c r="W598" s="23" t="e">
        <f>IF(Table1[[#This Row],[Zscore]]&lt;1.81,1,0)</f>
        <v>#DIV/0!</v>
      </c>
    </row>
    <row r="599" spans="1:23" x14ac:dyDescent="0.45">
      <c r="A599" s="7">
        <v>593</v>
      </c>
      <c r="B599" s="5" t="s">
        <v>1199</v>
      </c>
      <c r="C599" s="6" t="s">
        <v>1200</v>
      </c>
      <c r="D599" s="6" t="s">
        <v>36</v>
      </c>
      <c r="E599" s="8">
        <v>208833212071</v>
      </c>
      <c r="F599" s="8">
        <v>152910571537</v>
      </c>
      <c r="G599" s="8">
        <v>31714236581</v>
      </c>
      <c r="H599" s="8">
        <v>12977272994</v>
      </c>
      <c r="I599" s="8">
        <v>32480591019</v>
      </c>
      <c r="J599" s="8"/>
      <c r="K599" s="8">
        <v>31714236581</v>
      </c>
      <c r="L599" s="8">
        <v>230862668782</v>
      </c>
      <c r="M599" s="8">
        <v>116754060000</v>
      </c>
      <c r="N599" s="8">
        <v>113906400000</v>
      </c>
      <c r="O599" s="8">
        <v>112957180000</v>
      </c>
      <c r="P599" s="8">
        <v>113906400000</v>
      </c>
      <c r="Q599" s="18">
        <f>(Table1[[#This Row],[A. TÀI SẢN NGẮN HẠN]]-Table1[[#This Row],[I. Nợ ngắn hạn]])/Table1[[#This Row],[TỔNG CỘNG TÀI SẢN]]</f>
        <v>0.58034990581285106</v>
      </c>
      <c r="R599" s="18">
        <f>Table1[[#This Row],[- LNST chưa phân phối kỳ này]]/Table1[[#This Row],[TỔNG CỘNG TÀI SẢN]]</f>
        <v>6.2141806206514376E-2</v>
      </c>
      <c r="S599" s="21">
        <f>Table1[[#This Row],[5. Lợi nhuận gộp về bán hàng và cung cấp dịch vụ]]/Table1[[#This Row],[TỔNG CỘNG TÀI SẢN]]</f>
        <v>0.15553364666898439</v>
      </c>
      <c r="T59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3.606614010962057</v>
      </c>
      <c r="U599" s="23">
        <f>Table1[[#This Row],[1. Doanh thu bán hàng và cung cấp dịch vụ ]]/Table1[[#This Row],[TỔNG CỘNG TÀI SẢN]]</f>
        <v>1.1054882817370559</v>
      </c>
      <c r="V599" s="23">
        <f>1.2*Table1[[#This Row],[X1]] + 1.4*Table1[[#This Row],[X2]] + 3.3*Table1[[#This Row],[x3]] + 0.6*Table1[[#This Row],[x4]] + 1*Table1[[#This Row],[x5]]</f>
        <v>4.5661361379864802</v>
      </c>
      <c r="W599" s="23">
        <f>IF(Table1[[#This Row],[Zscore]]&lt;1.81,1,0)</f>
        <v>0</v>
      </c>
    </row>
    <row r="600" spans="1:23" x14ac:dyDescent="0.45">
      <c r="A600" s="7">
        <v>594</v>
      </c>
      <c r="B600" s="5" t="s">
        <v>1201</v>
      </c>
      <c r="C600" s="6" t="s">
        <v>1202</v>
      </c>
      <c r="D600" s="6" t="s">
        <v>36</v>
      </c>
      <c r="E600" s="8">
        <v>1931917272419</v>
      </c>
      <c r="F600" s="8">
        <v>896739416323</v>
      </c>
      <c r="G600" s="8">
        <v>734022780548</v>
      </c>
      <c r="H600" s="8">
        <v>53656833607</v>
      </c>
      <c r="I600" s="8">
        <v>209189120603</v>
      </c>
      <c r="J600" s="8"/>
      <c r="K600" s="8">
        <v>820716628095</v>
      </c>
      <c r="L600" s="8">
        <v>2402749241489</v>
      </c>
      <c r="M600" s="8">
        <v>7130666516000</v>
      </c>
      <c r="N600" s="8">
        <v>6340182660000</v>
      </c>
      <c r="O600" s="8">
        <v>6751901320000</v>
      </c>
      <c r="P600" s="8">
        <v>6982454048000</v>
      </c>
      <c r="Q600" s="18">
        <f>(Table1[[#This Row],[A. TÀI SẢN NGẮN HẠN]]-Table1[[#This Row],[I. Nợ ngắn hạn]])/Table1[[#This Row],[TỔNG CỘNG TÀI SẢN]]</f>
        <v>8.4225467672980947E-2</v>
      </c>
      <c r="R600" s="18">
        <f>Table1[[#This Row],[- LNST chưa phân phối kỳ này]]/Table1[[#This Row],[TỔNG CỘNG TÀI SẢN]]</f>
        <v>2.7773877470340637E-2</v>
      </c>
      <c r="S600" s="21">
        <f>Table1[[#This Row],[5. Lợi nhuận gộp về bán hàng và cung cấp dịch vụ]]/Table1[[#This Row],[TỔNG CỘNG TÀI SẢN]]</f>
        <v>0.10828057887855068</v>
      </c>
      <c r="T60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8.2870273407117239</v>
      </c>
      <c r="U600" s="23">
        <f>Table1[[#This Row],[1. Doanh thu bán hàng và cung cấp dịch vụ ]]/Table1[[#This Row],[TỔNG CỘNG TÀI SẢN]]</f>
        <v>1.2437122830215499</v>
      </c>
      <c r="V600" s="23">
        <f>1.2*Table1[[#This Row],[X1]] + 1.4*Table1[[#This Row],[X2]] + 3.3*Table1[[#This Row],[x3]] + 0.6*Table1[[#This Row],[x4]] + 1*Table1[[#This Row],[x5]]</f>
        <v>6.7132085874138552</v>
      </c>
      <c r="W600" s="23">
        <f>IF(Table1[[#This Row],[Zscore]]&lt;1.81,1,0)</f>
        <v>0</v>
      </c>
    </row>
    <row r="601" spans="1:23" ht="26.25" hidden="1" x14ac:dyDescent="0.45">
      <c r="A601" s="7">
        <v>595</v>
      </c>
      <c r="B601" s="5" t="s">
        <v>1203</v>
      </c>
      <c r="C601" s="6" t="s">
        <v>1204</v>
      </c>
      <c r="D601" s="6" t="s">
        <v>13</v>
      </c>
      <c r="E601" s="6"/>
      <c r="F601" s="6"/>
      <c r="G601" s="6"/>
      <c r="H601" s="6"/>
      <c r="I601" s="6"/>
      <c r="J601" s="8"/>
      <c r="K601" s="6"/>
      <c r="L601" s="6"/>
      <c r="M601" s="8"/>
      <c r="N601" s="8"/>
      <c r="O601" s="8"/>
      <c r="P601" s="8"/>
      <c r="Q601" s="18" t="e">
        <f>(Table1[[#This Row],[A. TÀI SẢN NGẮN HẠN]]-Table1[[#This Row],[I. Nợ ngắn hạn]])/Table1[[#This Row],[TỔNG CỘNG TÀI SẢN]]</f>
        <v>#DIV/0!</v>
      </c>
      <c r="R601" s="18" t="e">
        <f>Table1[[#This Row],[- LNST chưa phân phối kỳ này]]/Table1[[#This Row],[TỔNG CỘNG TÀI SẢN]]</f>
        <v>#DIV/0!</v>
      </c>
      <c r="S601" s="21" t="e">
        <f>Table1[[#This Row],[5. Lợi nhuận gộp về bán hàng và cung cấp dịch vụ]]/Table1[[#This Row],[TỔNG CỘNG TÀI SẢN]]</f>
        <v>#DIV/0!</v>
      </c>
      <c r="T60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601" s="23" t="e">
        <f>Table1[[#This Row],[1. Doanh thu bán hàng và cung cấp dịch vụ ]]/Table1[[#This Row],[TỔNG CỘNG TÀI SẢN]]</f>
        <v>#DIV/0!</v>
      </c>
      <c r="V601" s="23" t="e">
        <f>1.2*Table1[[#This Row],[X1]] + 1.4*Table1[[#This Row],[X2]] + 3.3*Table1[[#This Row],[x3]] + 0.6*Table1[[#This Row],[x4]] + 1*Table1[[#This Row],[x5]]</f>
        <v>#DIV/0!</v>
      </c>
      <c r="W601" s="23" t="e">
        <f>IF(Table1[[#This Row],[Zscore]]&lt;1.81,1,0)</f>
        <v>#DIV/0!</v>
      </c>
    </row>
    <row r="602" spans="1:23" hidden="1" x14ac:dyDescent="0.45">
      <c r="A602" s="7">
        <v>596</v>
      </c>
      <c r="B602" s="5" t="s">
        <v>1205</v>
      </c>
      <c r="C602" s="6" t="s">
        <v>1206</v>
      </c>
      <c r="D602" s="6" t="s">
        <v>13</v>
      </c>
      <c r="E602" s="6"/>
      <c r="F602" s="6"/>
      <c r="G602" s="6"/>
      <c r="H602" s="6"/>
      <c r="I602" s="6"/>
      <c r="J602" s="8"/>
      <c r="K602" s="6"/>
      <c r="L602" s="6"/>
      <c r="M602" s="8"/>
      <c r="N602" s="8"/>
      <c r="O602" s="8"/>
      <c r="P602" s="8"/>
      <c r="Q602" s="18" t="e">
        <f>(Table1[[#This Row],[A. TÀI SẢN NGẮN HẠN]]-Table1[[#This Row],[I. Nợ ngắn hạn]])/Table1[[#This Row],[TỔNG CỘNG TÀI SẢN]]</f>
        <v>#DIV/0!</v>
      </c>
      <c r="R602" s="18" t="e">
        <f>Table1[[#This Row],[- LNST chưa phân phối kỳ này]]/Table1[[#This Row],[TỔNG CỘNG TÀI SẢN]]</f>
        <v>#DIV/0!</v>
      </c>
      <c r="S602" s="21" t="e">
        <f>Table1[[#This Row],[5. Lợi nhuận gộp về bán hàng và cung cấp dịch vụ]]/Table1[[#This Row],[TỔNG CỘNG TÀI SẢN]]</f>
        <v>#DIV/0!</v>
      </c>
      <c r="T60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602" s="23" t="e">
        <f>Table1[[#This Row],[1. Doanh thu bán hàng và cung cấp dịch vụ ]]/Table1[[#This Row],[TỔNG CỘNG TÀI SẢN]]</f>
        <v>#DIV/0!</v>
      </c>
      <c r="V602" s="23" t="e">
        <f>1.2*Table1[[#This Row],[X1]] + 1.4*Table1[[#This Row],[X2]] + 3.3*Table1[[#This Row],[x3]] + 0.6*Table1[[#This Row],[x4]] + 1*Table1[[#This Row],[x5]]</f>
        <v>#DIV/0!</v>
      </c>
      <c r="W602" s="23" t="e">
        <f>IF(Table1[[#This Row],[Zscore]]&lt;1.81,1,0)</f>
        <v>#DIV/0!</v>
      </c>
    </row>
    <row r="603" spans="1:23" x14ac:dyDescent="0.45">
      <c r="A603" s="7">
        <v>597</v>
      </c>
      <c r="B603" s="5" t="s">
        <v>1207</v>
      </c>
      <c r="C603" s="6" t="s">
        <v>1208</v>
      </c>
      <c r="D603" s="6" t="s">
        <v>18</v>
      </c>
      <c r="E603" s="8">
        <v>1070590721511</v>
      </c>
      <c r="F603" s="8">
        <v>916613594665</v>
      </c>
      <c r="G603" s="8">
        <v>1133544045079</v>
      </c>
      <c r="H603" s="8">
        <v>1891744617</v>
      </c>
      <c r="I603" s="8">
        <v>26859421662</v>
      </c>
      <c r="J603" s="8"/>
      <c r="K603" s="8">
        <v>1134017421470</v>
      </c>
      <c r="L603" s="8">
        <v>26859421662</v>
      </c>
      <c r="M603" s="8">
        <v>28693016000</v>
      </c>
      <c r="N603" s="8">
        <v>28693016000</v>
      </c>
      <c r="O603" s="8">
        <v>23476104000</v>
      </c>
      <c r="P603" s="8">
        <v>28693016000</v>
      </c>
      <c r="Q603" s="18">
        <f>(Table1[[#This Row],[A. TÀI SẢN NGẮN HẠN]]-Table1[[#This Row],[I. Nợ ngắn hạn]])/Table1[[#This Row],[TỔNG CỘNG TÀI SẢN]]</f>
        <v>-0.20262687323483505</v>
      </c>
      <c r="R603" s="18">
        <f>Table1[[#This Row],[- LNST chưa phân phối kỳ này]]/Table1[[#This Row],[TỔNG CỘNG TÀI SẢN]]</f>
        <v>1.7670100991815506E-3</v>
      </c>
      <c r="S603" s="21">
        <f>Table1[[#This Row],[5. Lợi nhuận gộp về bán hàng và cung cấp dịch vụ]]/Table1[[#This Row],[TỔNG CỘNG TÀI SẢN]]</f>
        <v>2.5088412520604893E-2</v>
      </c>
      <c r="T60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2.4151999326867978E-2</v>
      </c>
      <c r="U603" s="23">
        <f>Table1[[#This Row],[1. Doanh thu bán hàng và cung cấp dịch vụ ]]/Table1[[#This Row],[TỔNG CỘNG TÀI SẢN]]</f>
        <v>2.5088412520604893E-2</v>
      </c>
      <c r="V603" s="23">
        <f>1.2*Table1[[#This Row],[X1]] + 1.4*Table1[[#This Row],[X2]] + 3.3*Table1[[#This Row],[x3]] + 0.6*Table1[[#This Row],[x4]] + 1*Table1[[#This Row],[x5]]</f>
        <v>-0.11830706030822608</v>
      </c>
      <c r="W603" s="23">
        <f>IF(Table1[[#This Row],[Zscore]]&lt;1.81,1,0)</f>
        <v>1</v>
      </c>
    </row>
    <row r="604" spans="1:23" ht="26.25" hidden="1" x14ac:dyDescent="0.45">
      <c r="A604" s="7">
        <v>598</v>
      </c>
      <c r="B604" s="5" t="s">
        <v>1209</v>
      </c>
      <c r="C604" s="6" t="s">
        <v>1210</v>
      </c>
      <c r="D604" s="6" t="s">
        <v>13</v>
      </c>
      <c r="E604" s="6"/>
      <c r="F604" s="6"/>
      <c r="G604" s="6"/>
      <c r="H604" s="6"/>
      <c r="I604" s="6"/>
      <c r="J604" s="8"/>
      <c r="K604" s="6"/>
      <c r="L604" s="6"/>
      <c r="M604" s="8"/>
      <c r="N604" s="8"/>
      <c r="O604" s="8"/>
      <c r="P604" s="8"/>
      <c r="Q604" s="18" t="e">
        <f>(Table1[[#This Row],[A. TÀI SẢN NGẮN HẠN]]-Table1[[#This Row],[I. Nợ ngắn hạn]])/Table1[[#This Row],[TỔNG CỘNG TÀI SẢN]]</f>
        <v>#DIV/0!</v>
      </c>
      <c r="R604" s="18" t="e">
        <f>Table1[[#This Row],[- LNST chưa phân phối kỳ này]]/Table1[[#This Row],[TỔNG CỘNG TÀI SẢN]]</f>
        <v>#DIV/0!</v>
      </c>
      <c r="S604" s="21" t="e">
        <f>Table1[[#This Row],[5. Lợi nhuận gộp về bán hàng và cung cấp dịch vụ]]/Table1[[#This Row],[TỔNG CỘNG TÀI SẢN]]</f>
        <v>#DIV/0!</v>
      </c>
      <c r="T60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604" s="23" t="e">
        <f>Table1[[#This Row],[1. Doanh thu bán hàng và cung cấp dịch vụ ]]/Table1[[#This Row],[TỔNG CỘNG TÀI SẢN]]</f>
        <v>#DIV/0!</v>
      </c>
      <c r="V604" s="23" t="e">
        <f>1.2*Table1[[#This Row],[X1]] + 1.4*Table1[[#This Row],[X2]] + 3.3*Table1[[#This Row],[x3]] + 0.6*Table1[[#This Row],[x4]] + 1*Table1[[#This Row],[x5]]</f>
        <v>#DIV/0!</v>
      </c>
      <c r="W604" s="23" t="e">
        <f>IF(Table1[[#This Row],[Zscore]]&lt;1.81,1,0)</f>
        <v>#DIV/0!</v>
      </c>
    </row>
    <row r="605" spans="1:23" ht="26.25" hidden="1" x14ac:dyDescent="0.45">
      <c r="A605" s="7">
        <v>599</v>
      </c>
      <c r="B605" s="5" t="s">
        <v>1211</v>
      </c>
      <c r="C605" s="6" t="s">
        <v>1212</v>
      </c>
      <c r="D605" s="6" t="s">
        <v>13</v>
      </c>
      <c r="E605" s="6"/>
      <c r="F605" s="6"/>
      <c r="G605" s="6"/>
      <c r="H605" s="6"/>
      <c r="I605" s="6"/>
      <c r="J605" s="8"/>
      <c r="K605" s="6"/>
      <c r="L605" s="6"/>
      <c r="M605" s="8"/>
      <c r="N605" s="8"/>
      <c r="O605" s="8"/>
      <c r="P605" s="8"/>
      <c r="Q605" s="18" t="e">
        <f>(Table1[[#This Row],[A. TÀI SẢN NGẮN HẠN]]-Table1[[#This Row],[I. Nợ ngắn hạn]])/Table1[[#This Row],[TỔNG CỘNG TÀI SẢN]]</f>
        <v>#DIV/0!</v>
      </c>
      <c r="R605" s="18" t="e">
        <f>Table1[[#This Row],[- LNST chưa phân phối kỳ này]]/Table1[[#This Row],[TỔNG CỘNG TÀI SẢN]]</f>
        <v>#DIV/0!</v>
      </c>
      <c r="S605" s="21" t="e">
        <f>Table1[[#This Row],[5. Lợi nhuận gộp về bán hàng và cung cấp dịch vụ]]/Table1[[#This Row],[TỔNG CỘNG TÀI SẢN]]</f>
        <v>#DIV/0!</v>
      </c>
      <c r="T60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605" s="23" t="e">
        <f>Table1[[#This Row],[1. Doanh thu bán hàng và cung cấp dịch vụ ]]/Table1[[#This Row],[TỔNG CỘNG TÀI SẢN]]</f>
        <v>#DIV/0!</v>
      </c>
      <c r="V605" s="23" t="e">
        <f>1.2*Table1[[#This Row],[X1]] + 1.4*Table1[[#This Row],[X2]] + 3.3*Table1[[#This Row],[x3]] + 0.6*Table1[[#This Row],[x4]] + 1*Table1[[#This Row],[x5]]</f>
        <v>#DIV/0!</v>
      </c>
      <c r="W605" s="23" t="e">
        <f>IF(Table1[[#This Row],[Zscore]]&lt;1.81,1,0)</f>
        <v>#DIV/0!</v>
      </c>
    </row>
    <row r="606" spans="1:23" x14ac:dyDescent="0.45">
      <c r="A606" s="7">
        <v>600</v>
      </c>
      <c r="B606" s="5" t="s">
        <v>1213</v>
      </c>
      <c r="C606" s="6" t="s">
        <v>1214</v>
      </c>
      <c r="D606" s="6" t="s">
        <v>18</v>
      </c>
      <c r="E606" s="8">
        <v>279899733750</v>
      </c>
      <c r="F606" s="8">
        <v>83286464181</v>
      </c>
      <c r="G606" s="8">
        <v>74549223038</v>
      </c>
      <c r="H606" s="8">
        <v>1818643397</v>
      </c>
      <c r="I606" s="8">
        <v>3152871555</v>
      </c>
      <c r="J606" s="8"/>
      <c r="K606" s="8">
        <v>93507716839</v>
      </c>
      <c r="L606" s="8">
        <v>442553845832</v>
      </c>
      <c r="M606" s="8">
        <v>70301484000</v>
      </c>
      <c r="N606" s="8">
        <v>60927952800</v>
      </c>
      <c r="O606" s="8">
        <v>65614718400</v>
      </c>
      <c r="P606" s="8">
        <v>67176973600</v>
      </c>
      <c r="Q606" s="18">
        <f>(Table1[[#This Row],[A. TÀI SẢN NGẮN HẠN]]-Table1[[#This Row],[I. Nợ ngắn hạn]])/Table1[[#This Row],[TỔNG CỘNG TÀI SẢN]]</f>
        <v>3.121561076869013E-2</v>
      </c>
      <c r="R606" s="18">
        <f>Table1[[#This Row],[- LNST chưa phân phối kỳ này]]/Table1[[#This Row],[TỔNG CỘNG TÀI SẢN]]</f>
        <v>6.4974816968721037E-3</v>
      </c>
      <c r="S606" s="21">
        <f>Table1[[#This Row],[5. Lợi nhuận gộp về bán hàng và cung cấp dịch vụ]]/Table1[[#This Row],[TỔNG CỘNG TÀI SẢN]]</f>
        <v>1.1264289225141144E-2</v>
      </c>
      <c r="T60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0.70588058858978209</v>
      </c>
      <c r="U606" s="23">
        <f>Table1[[#This Row],[1. Doanh thu bán hàng và cung cấp dịch vụ ]]/Table1[[#This Row],[TỔNG CỘNG TÀI SẢN]]</f>
        <v>1.5811156370276469</v>
      </c>
      <c r="V606" s="23">
        <f>1.2*Table1[[#This Row],[X1]] + 1.4*Table1[[#This Row],[X2]] + 3.3*Table1[[#This Row],[x3]] + 0.6*Table1[[#This Row],[x4]] + 1*Table1[[#This Row],[x5]]</f>
        <v>2.0883713519225311</v>
      </c>
      <c r="W606" s="23">
        <f>IF(Table1[[#This Row],[Zscore]]&lt;1.81,1,0)</f>
        <v>0</v>
      </c>
    </row>
    <row r="607" spans="1:23" hidden="1" x14ac:dyDescent="0.45">
      <c r="A607" s="7">
        <v>601</v>
      </c>
      <c r="B607" s="5" t="s">
        <v>1215</v>
      </c>
      <c r="C607" s="6" t="s">
        <v>1216</v>
      </c>
      <c r="D607" s="6" t="s">
        <v>13</v>
      </c>
      <c r="E607" s="6"/>
      <c r="F607" s="6"/>
      <c r="G607" s="6"/>
      <c r="H607" s="6"/>
      <c r="I607" s="6"/>
      <c r="J607" s="8"/>
      <c r="K607" s="6"/>
      <c r="L607" s="6"/>
      <c r="M607" s="8"/>
      <c r="N607" s="8"/>
      <c r="O607" s="8"/>
      <c r="P607" s="8"/>
      <c r="Q607" s="18" t="e">
        <f>(Table1[[#This Row],[A. TÀI SẢN NGẮN HẠN]]-Table1[[#This Row],[I. Nợ ngắn hạn]])/Table1[[#This Row],[TỔNG CỘNG TÀI SẢN]]</f>
        <v>#DIV/0!</v>
      </c>
      <c r="R607" s="18" t="e">
        <f>Table1[[#This Row],[- LNST chưa phân phối kỳ này]]/Table1[[#This Row],[TỔNG CỘNG TÀI SẢN]]</f>
        <v>#DIV/0!</v>
      </c>
      <c r="S607" s="21" t="e">
        <f>Table1[[#This Row],[5. Lợi nhuận gộp về bán hàng và cung cấp dịch vụ]]/Table1[[#This Row],[TỔNG CỘNG TÀI SẢN]]</f>
        <v>#DIV/0!</v>
      </c>
      <c r="T60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607" s="23" t="e">
        <f>Table1[[#This Row],[1. Doanh thu bán hàng và cung cấp dịch vụ ]]/Table1[[#This Row],[TỔNG CỘNG TÀI SẢN]]</f>
        <v>#DIV/0!</v>
      </c>
      <c r="V607" s="23" t="e">
        <f>1.2*Table1[[#This Row],[X1]] + 1.4*Table1[[#This Row],[X2]] + 3.3*Table1[[#This Row],[x3]] + 0.6*Table1[[#This Row],[x4]] + 1*Table1[[#This Row],[x5]]</f>
        <v>#DIV/0!</v>
      </c>
      <c r="W607" s="23" t="e">
        <f>IF(Table1[[#This Row],[Zscore]]&lt;1.81,1,0)</f>
        <v>#DIV/0!</v>
      </c>
    </row>
    <row r="608" spans="1:23" ht="26.25" hidden="1" x14ac:dyDescent="0.45">
      <c r="A608" s="7">
        <v>602</v>
      </c>
      <c r="B608" s="5" t="s">
        <v>1217</v>
      </c>
      <c r="C608" s="6" t="s">
        <v>1218</v>
      </c>
      <c r="D608" s="6" t="s">
        <v>13</v>
      </c>
      <c r="E608" s="6"/>
      <c r="F608" s="6"/>
      <c r="G608" s="6"/>
      <c r="H608" s="6"/>
      <c r="I608" s="6"/>
      <c r="J608" s="8"/>
      <c r="K608" s="6"/>
      <c r="L608" s="6"/>
      <c r="M608" s="8"/>
      <c r="N608" s="8"/>
      <c r="O608" s="8"/>
      <c r="P608" s="8"/>
      <c r="Q608" s="18" t="e">
        <f>(Table1[[#This Row],[A. TÀI SẢN NGẮN HẠN]]-Table1[[#This Row],[I. Nợ ngắn hạn]])/Table1[[#This Row],[TỔNG CỘNG TÀI SẢN]]</f>
        <v>#DIV/0!</v>
      </c>
      <c r="R608" s="18" t="e">
        <f>Table1[[#This Row],[- LNST chưa phân phối kỳ này]]/Table1[[#This Row],[TỔNG CỘNG TÀI SẢN]]</f>
        <v>#DIV/0!</v>
      </c>
      <c r="S608" s="21" t="e">
        <f>Table1[[#This Row],[5. Lợi nhuận gộp về bán hàng và cung cấp dịch vụ]]/Table1[[#This Row],[TỔNG CỘNG TÀI SẢN]]</f>
        <v>#DIV/0!</v>
      </c>
      <c r="T60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608" s="23" t="e">
        <f>Table1[[#This Row],[1. Doanh thu bán hàng và cung cấp dịch vụ ]]/Table1[[#This Row],[TỔNG CỘNG TÀI SẢN]]</f>
        <v>#DIV/0!</v>
      </c>
      <c r="V608" s="23" t="e">
        <f>1.2*Table1[[#This Row],[X1]] + 1.4*Table1[[#This Row],[X2]] + 3.3*Table1[[#This Row],[x3]] + 0.6*Table1[[#This Row],[x4]] + 1*Table1[[#This Row],[x5]]</f>
        <v>#DIV/0!</v>
      </c>
      <c r="W608" s="23" t="e">
        <f>IF(Table1[[#This Row],[Zscore]]&lt;1.81,1,0)</f>
        <v>#DIV/0!</v>
      </c>
    </row>
    <row r="609" spans="1:23" hidden="1" x14ac:dyDescent="0.45">
      <c r="A609" s="7">
        <v>603</v>
      </c>
      <c r="B609" s="5" t="s">
        <v>1219</v>
      </c>
      <c r="C609" s="6" t="s">
        <v>1220</v>
      </c>
      <c r="D609" s="6" t="s">
        <v>13</v>
      </c>
      <c r="E609" s="6"/>
      <c r="F609" s="6"/>
      <c r="G609" s="6"/>
      <c r="H609" s="6"/>
      <c r="I609" s="6"/>
      <c r="J609" s="8"/>
      <c r="K609" s="6"/>
      <c r="L609" s="6"/>
      <c r="M609" s="8"/>
      <c r="N609" s="8"/>
      <c r="O609" s="8"/>
      <c r="P609" s="8"/>
      <c r="Q609" s="18" t="e">
        <f>(Table1[[#This Row],[A. TÀI SẢN NGẮN HẠN]]-Table1[[#This Row],[I. Nợ ngắn hạn]])/Table1[[#This Row],[TỔNG CỘNG TÀI SẢN]]</f>
        <v>#DIV/0!</v>
      </c>
      <c r="R609" s="18" t="e">
        <f>Table1[[#This Row],[- LNST chưa phân phối kỳ này]]/Table1[[#This Row],[TỔNG CỘNG TÀI SẢN]]</f>
        <v>#DIV/0!</v>
      </c>
      <c r="S609" s="21" t="e">
        <f>Table1[[#This Row],[5. Lợi nhuận gộp về bán hàng và cung cấp dịch vụ]]/Table1[[#This Row],[TỔNG CỘNG TÀI SẢN]]</f>
        <v>#DIV/0!</v>
      </c>
      <c r="T60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609" s="23" t="e">
        <f>Table1[[#This Row],[1. Doanh thu bán hàng và cung cấp dịch vụ ]]/Table1[[#This Row],[TỔNG CỘNG TÀI SẢN]]</f>
        <v>#DIV/0!</v>
      </c>
      <c r="V609" s="23" t="e">
        <f>1.2*Table1[[#This Row],[X1]] + 1.4*Table1[[#This Row],[X2]] + 3.3*Table1[[#This Row],[x3]] + 0.6*Table1[[#This Row],[x4]] + 1*Table1[[#This Row],[x5]]</f>
        <v>#DIV/0!</v>
      </c>
      <c r="W609" s="23" t="e">
        <f>IF(Table1[[#This Row],[Zscore]]&lt;1.81,1,0)</f>
        <v>#DIV/0!</v>
      </c>
    </row>
    <row r="610" spans="1:23" ht="26.25" x14ac:dyDescent="0.45">
      <c r="A610" s="7">
        <v>604</v>
      </c>
      <c r="B610" s="5" t="s">
        <v>1221</v>
      </c>
      <c r="C610" s="6" t="s">
        <v>1222</v>
      </c>
      <c r="D610" s="6" t="s">
        <v>21</v>
      </c>
      <c r="E610" s="8">
        <v>19017962270083</v>
      </c>
      <c r="F610" s="8">
        <v>16660835869065</v>
      </c>
      <c r="G610" s="8">
        <v>7215468676038</v>
      </c>
      <c r="H610" s="8">
        <v>410092675366</v>
      </c>
      <c r="I610" s="8">
        <v>1116683497148</v>
      </c>
      <c r="J610" s="8"/>
      <c r="K610" s="8">
        <v>8989433792815</v>
      </c>
      <c r="L610" s="8">
        <v>5006715942419</v>
      </c>
      <c r="M610" s="8">
        <v>12105562100750</v>
      </c>
      <c r="N610" s="8">
        <v>13340222449250</v>
      </c>
      <c r="O610" s="8">
        <v>11441832080700</v>
      </c>
      <c r="P610" s="8">
        <v>15061846750300</v>
      </c>
      <c r="Q610" s="18">
        <f>(Table1[[#This Row],[A. TÀI SẢN NGẮN HẠN]]-Table1[[#This Row],[I. Nợ ngắn hạn]])/Table1[[#This Row],[TỔNG CỘNG TÀI SẢN]]</f>
        <v>0.49665506003686993</v>
      </c>
      <c r="R610" s="18">
        <f>Table1[[#This Row],[- LNST chưa phân phối kỳ này]]/Table1[[#This Row],[TỔNG CỘNG TÀI SẢN]]</f>
        <v>2.1563439318160463E-2</v>
      </c>
      <c r="S610" s="21">
        <f>Table1[[#This Row],[5. Lợi nhuận gộp về bán hàng và cung cấp dịch vụ]]/Table1[[#This Row],[TỔNG CỘNG TÀI SẢN]]</f>
        <v>5.8717305318490697E-2</v>
      </c>
      <c r="T61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1.4447368037384549</v>
      </c>
      <c r="U610" s="23">
        <f>Table1[[#This Row],[1. Doanh thu bán hàng và cung cấp dịch vụ ]]/Table1[[#This Row],[TỔNG CỘNG TÀI SẢN]]</f>
        <v>0.2632624816116616</v>
      </c>
      <c r="V610" s="23">
        <f>1.2*Table1[[#This Row],[X1]] + 1.4*Table1[[#This Row],[X2]] + 3.3*Table1[[#This Row],[x3]] + 0.6*Table1[[#This Row],[x4]] + 1*Table1[[#This Row],[x5]]</f>
        <v>1.9500465584954223</v>
      </c>
      <c r="W610" s="23">
        <f>IF(Table1[[#This Row],[Zscore]]&lt;1.81,1,0)</f>
        <v>0</v>
      </c>
    </row>
    <row r="611" spans="1:23" hidden="1" x14ac:dyDescent="0.45">
      <c r="A611" s="7">
        <v>605</v>
      </c>
      <c r="B611" s="5" t="s">
        <v>1223</v>
      </c>
      <c r="C611" s="6" t="s">
        <v>1224</v>
      </c>
      <c r="D611" s="6" t="s">
        <v>13</v>
      </c>
      <c r="E611" s="6"/>
      <c r="F611" s="6"/>
      <c r="G611" s="6"/>
      <c r="H611" s="6"/>
      <c r="I611" s="6"/>
      <c r="J611" s="8"/>
      <c r="K611" s="6"/>
      <c r="L611" s="6"/>
      <c r="M611" s="8"/>
      <c r="N611" s="8"/>
      <c r="O611" s="8"/>
      <c r="P611" s="8"/>
      <c r="Q611" s="18" t="e">
        <f>(Table1[[#This Row],[A. TÀI SẢN NGẮN HẠN]]-Table1[[#This Row],[I. Nợ ngắn hạn]])/Table1[[#This Row],[TỔNG CỘNG TÀI SẢN]]</f>
        <v>#DIV/0!</v>
      </c>
      <c r="R611" s="18" t="e">
        <f>Table1[[#This Row],[- LNST chưa phân phối kỳ này]]/Table1[[#This Row],[TỔNG CỘNG TÀI SẢN]]</f>
        <v>#DIV/0!</v>
      </c>
      <c r="S611" s="21" t="e">
        <f>Table1[[#This Row],[5. Lợi nhuận gộp về bán hàng và cung cấp dịch vụ]]/Table1[[#This Row],[TỔNG CỘNG TÀI SẢN]]</f>
        <v>#DIV/0!</v>
      </c>
      <c r="T61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611" s="23" t="e">
        <f>Table1[[#This Row],[1. Doanh thu bán hàng và cung cấp dịch vụ ]]/Table1[[#This Row],[TỔNG CỘNG TÀI SẢN]]</f>
        <v>#DIV/0!</v>
      </c>
      <c r="V611" s="23" t="e">
        <f>1.2*Table1[[#This Row],[X1]] + 1.4*Table1[[#This Row],[X2]] + 3.3*Table1[[#This Row],[x3]] + 0.6*Table1[[#This Row],[x4]] + 1*Table1[[#This Row],[x5]]</f>
        <v>#DIV/0!</v>
      </c>
      <c r="W611" s="23" t="e">
        <f>IF(Table1[[#This Row],[Zscore]]&lt;1.81,1,0)</f>
        <v>#DIV/0!</v>
      </c>
    </row>
    <row r="612" spans="1:23" ht="26.25" x14ac:dyDescent="0.45">
      <c r="A612" s="7">
        <v>606</v>
      </c>
      <c r="B612" s="5" t="s">
        <v>1225</v>
      </c>
      <c r="C612" s="6" t="s">
        <v>1226</v>
      </c>
      <c r="D612" s="6" t="s">
        <v>36</v>
      </c>
      <c r="E612" s="8">
        <v>467512394206</v>
      </c>
      <c r="F612" s="8">
        <v>452100468029</v>
      </c>
      <c r="G612" s="8">
        <v>182728747506</v>
      </c>
      <c r="H612" s="8">
        <v>175595898</v>
      </c>
      <c r="I612" s="8">
        <v>39917219347</v>
      </c>
      <c r="J612" s="8"/>
      <c r="K612" s="8">
        <v>342978747506</v>
      </c>
      <c r="L612" s="8">
        <v>258962931790</v>
      </c>
      <c r="M612" s="8">
        <v>109617207600</v>
      </c>
      <c r="N612" s="8">
        <v>77214636800</v>
      </c>
      <c r="O612" s="8">
        <v>108927791200</v>
      </c>
      <c r="P612" s="8">
        <v>96518296000</v>
      </c>
      <c r="Q612" s="18">
        <f>(Table1[[#This Row],[A. TÀI SẢN NGẮN HẠN]]-Table1[[#This Row],[I. Nợ ngắn hạn]])/Table1[[#This Row],[TỔNG CỘNG TÀI SẢN]]</f>
        <v>0.57618091811338534</v>
      </c>
      <c r="R612" s="18">
        <f>Table1[[#This Row],[- LNST chưa phân phối kỳ này]]/Table1[[#This Row],[TỔNG CỘNG TÀI SẢN]]</f>
        <v>3.7559624124665916E-4</v>
      </c>
      <c r="S612" s="21">
        <f>Table1[[#This Row],[5. Lợi nhuận gộp về bán hàng và cung cấp dịch vụ]]/Table1[[#This Row],[TỔNG CỘNG TÀI SẢN]]</f>
        <v>8.5382162786921276E-2</v>
      </c>
      <c r="T61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0.28593457645151726</v>
      </c>
      <c r="U612" s="23">
        <f>Table1[[#This Row],[1. Doanh thu bán hàng và cung cấp dịch vụ ]]/Table1[[#This Row],[TỔNG CỘNG TÀI SẢN]]</f>
        <v>0.55391671964079126</v>
      </c>
      <c r="V612" s="23">
        <f>1.2*Table1[[#This Row],[X1]] + 1.4*Table1[[#This Row],[X2]] + 3.3*Table1[[#This Row],[x3]] + 0.6*Table1[[#This Row],[x4]] + 1*Table1[[#This Row],[x5]]</f>
        <v>1.6991815391823495</v>
      </c>
      <c r="W612" s="23">
        <f>IF(Table1[[#This Row],[Zscore]]&lt;1.81,1,0)</f>
        <v>1</v>
      </c>
    </row>
    <row r="613" spans="1:23" hidden="1" x14ac:dyDescent="0.45">
      <c r="A613" s="7">
        <v>607</v>
      </c>
      <c r="B613" s="5" t="s">
        <v>1227</v>
      </c>
      <c r="C613" s="6" t="s">
        <v>1228</v>
      </c>
      <c r="D613" s="6" t="s">
        <v>18</v>
      </c>
      <c r="E613" s="6"/>
      <c r="F613" s="6"/>
      <c r="G613" s="6"/>
      <c r="H613" s="6"/>
      <c r="I613" s="6"/>
      <c r="J613" s="8"/>
      <c r="K613" s="6"/>
      <c r="L613" s="6"/>
      <c r="M613" s="8"/>
      <c r="N613" s="8"/>
      <c r="O613" s="8"/>
      <c r="P613" s="8"/>
      <c r="Q613" s="18" t="e">
        <f>(Table1[[#This Row],[A. TÀI SẢN NGẮN HẠN]]-Table1[[#This Row],[I. Nợ ngắn hạn]])/Table1[[#This Row],[TỔNG CỘNG TÀI SẢN]]</f>
        <v>#DIV/0!</v>
      </c>
      <c r="R613" s="18" t="e">
        <f>Table1[[#This Row],[- LNST chưa phân phối kỳ này]]/Table1[[#This Row],[TỔNG CỘNG TÀI SẢN]]</f>
        <v>#DIV/0!</v>
      </c>
      <c r="S613" s="21" t="e">
        <f>Table1[[#This Row],[5. Lợi nhuận gộp về bán hàng và cung cấp dịch vụ]]/Table1[[#This Row],[TỔNG CỘNG TÀI SẢN]]</f>
        <v>#DIV/0!</v>
      </c>
      <c r="T61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613" s="23" t="e">
        <f>Table1[[#This Row],[1. Doanh thu bán hàng và cung cấp dịch vụ ]]/Table1[[#This Row],[TỔNG CỘNG TÀI SẢN]]</f>
        <v>#DIV/0!</v>
      </c>
      <c r="V613" s="23" t="e">
        <f>1.2*Table1[[#This Row],[X1]] + 1.4*Table1[[#This Row],[X2]] + 3.3*Table1[[#This Row],[x3]] + 0.6*Table1[[#This Row],[x4]] + 1*Table1[[#This Row],[x5]]</f>
        <v>#DIV/0!</v>
      </c>
      <c r="W613" s="23" t="e">
        <f>IF(Table1[[#This Row],[Zscore]]&lt;1.81,1,0)</f>
        <v>#DIV/0!</v>
      </c>
    </row>
    <row r="614" spans="1:23" x14ac:dyDescent="0.45">
      <c r="A614" s="7">
        <v>608</v>
      </c>
      <c r="B614" s="5" t="s">
        <v>1229</v>
      </c>
      <c r="C614" s="6" t="s">
        <v>1230</v>
      </c>
      <c r="D614" s="6" t="s">
        <v>18</v>
      </c>
      <c r="E614" s="8">
        <v>255257082860</v>
      </c>
      <c r="F614" s="8">
        <v>82150835140</v>
      </c>
      <c r="G614" s="8">
        <v>81966995577</v>
      </c>
      <c r="H614" s="8">
        <v>414521370</v>
      </c>
      <c r="I614" s="8">
        <v>15777527270</v>
      </c>
      <c r="J614" s="8"/>
      <c r="K614" s="8">
        <v>86236995577</v>
      </c>
      <c r="L614" s="8">
        <v>211306238888</v>
      </c>
      <c r="M614" s="8"/>
      <c r="N614" s="8">
        <v>123625000000</v>
      </c>
      <c r="O614" s="8">
        <v>150937500000</v>
      </c>
      <c r="P614" s="8">
        <v>139437500000</v>
      </c>
      <c r="Q614" s="18">
        <f>(Table1[[#This Row],[A. TÀI SẢN NGẮN HẠN]]-Table1[[#This Row],[I. Nợ ngắn hạn]])/Table1[[#This Row],[TỔNG CỘNG TÀI SẢN]]</f>
        <v>7.20213366619213E-4</v>
      </c>
      <c r="R614" s="18">
        <f>Table1[[#This Row],[- LNST chưa phân phối kỳ này]]/Table1[[#This Row],[TỔNG CỘNG TÀI SẢN]]</f>
        <v>1.6239367987581021E-3</v>
      </c>
      <c r="S614" s="21">
        <f>Table1[[#This Row],[5. Lợi nhuận gộp về bán hàng và cung cấp dịch vụ]]/Table1[[#This Row],[TỔNG CỘNG TÀI SẢN]]</f>
        <v>6.1810340748324887E-2</v>
      </c>
      <c r="T61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1.6002412778490342</v>
      </c>
      <c r="U614" s="23">
        <f>Table1[[#This Row],[1. Doanh thu bán hàng và cung cấp dịch vụ ]]/Table1[[#This Row],[TỔNG CỘNG TÀI SẢN]]</f>
        <v>0.8278173381927052</v>
      </c>
      <c r="V614" s="23">
        <f>1.2*Table1[[#This Row],[X1]] + 1.4*Table1[[#This Row],[X2]] + 3.3*Table1[[#This Row],[x3]] + 0.6*Table1[[#This Row],[x4]] + 1*Table1[[#This Row],[x5]]</f>
        <v>1.9950739969298021</v>
      </c>
      <c r="W614" s="23">
        <f>IF(Table1[[#This Row],[Zscore]]&lt;1.81,1,0)</f>
        <v>0</v>
      </c>
    </row>
    <row r="615" spans="1:23" ht="26.25" hidden="1" x14ac:dyDescent="0.45">
      <c r="A615" s="7">
        <v>609</v>
      </c>
      <c r="B615" s="5" t="s">
        <v>1231</v>
      </c>
      <c r="C615" s="6" t="s">
        <v>1232</v>
      </c>
      <c r="D615" s="6" t="s">
        <v>13</v>
      </c>
      <c r="E615" s="6"/>
      <c r="F615" s="6"/>
      <c r="G615" s="6"/>
      <c r="H615" s="6"/>
      <c r="I615" s="6"/>
      <c r="J615" s="8"/>
      <c r="K615" s="6"/>
      <c r="L615" s="6"/>
      <c r="M615" s="8"/>
      <c r="N615" s="8"/>
      <c r="O615" s="8"/>
      <c r="P615" s="8"/>
      <c r="Q615" s="18" t="e">
        <f>(Table1[[#This Row],[A. TÀI SẢN NGẮN HẠN]]-Table1[[#This Row],[I. Nợ ngắn hạn]])/Table1[[#This Row],[TỔNG CỘNG TÀI SẢN]]</f>
        <v>#DIV/0!</v>
      </c>
      <c r="R615" s="18" t="e">
        <f>Table1[[#This Row],[- LNST chưa phân phối kỳ này]]/Table1[[#This Row],[TỔNG CỘNG TÀI SẢN]]</f>
        <v>#DIV/0!</v>
      </c>
      <c r="S615" s="21" t="e">
        <f>Table1[[#This Row],[5. Lợi nhuận gộp về bán hàng và cung cấp dịch vụ]]/Table1[[#This Row],[TỔNG CỘNG TÀI SẢN]]</f>
        <v>#DIV/0!</v>
      </c>
      <c r="T61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615" s="23" t="e">
        <f>Table1[[#This Row],[1. Doanh thu bán hàng và cung cấp dịch vụ ]]/Table1[[#This Row],[TỔNG CỘNG TÀI SẢN]]</f>
        <v>#DIV/0!</v>
      </c>
      <c r="V615" s="23" t="e">
        <f>1.2*Table1[[#This Row],[X1]] + 1.4*Table1[[#This Row],[X2]] + 3.3*Table1[[#This Row],[x3]] + 0.6*Table1[[#This Row],[x4]] + 1*Table1[[#This Row],[x5]]</f>
        <v>#DIV/0!</v>
      </c>
      <c r="W615" s="23" t="e">
        <f>IF(Table1[[#This Row],[Zscore]]&lt;1.81,1,0)</f>
        <v>#DIV/0!</v>
      </c>
    </row>
    <row r="616" spans="1:23" hidden="1" x14ac:dyDescent="0.45">
      <c r="A616" s="7">
        <v>610</v>
      </c>
      <c r="B616" s="5" t="s">
        <v>1233</v>
      </c>
      <c r="C616" s="6" t="s">
        <v>1234</v>
      </c>
      <c r="D616" s="6" t="s">
        <v>13</v>
      </c>
      <c r="E616" s="6"/>
      <c r="F616" s="6"/>
      <c r="G616" s="6"/>
      <c r="H616" s="6"/>
      <c r="I616" s="6"/>
      <c r="J616" s="8"/>
      <c r="K616" s="6"/>
      <c r="L616" s="6"/>
      <c r="M616" s="8"/>
      <c r="N616" s="8"/>
      <c r="O616" s="8"/>
      <c r="P616" s="8"/>
      <c r="Q616" s="18" t="e">
        <f>(Table1[[#This Row],[A. TÀI SẢN NGẮN HẠN]]-Table1[[#This Row],[I. Nợ ngắn hạn]])/Table1[[#This Row],[TỔNG CỘNG TÀI SẢN]]</f>
        <v>#DIV/0!</v>
      </c>
      <c r="R616" s="18" t="e">
        <f>Table1[[#This Row],[- LNST chưa phân phối kỳ này]]/Table1[[#This Row],[TỔNG CỘNG TÀI SẢN]]</f>
        <v>#DIV/0!</v>
      </c>
      <c r="S616" s="21" t="e">
        <f>Table1[[#This Row],[5. Lợi nhuận gộp về bán hàng và cung cấp dịch vụ]]/Table1[[#This Row],[TỔNG CỘNG TÀI SẢN]]</f>
        <v>#DIV/0!</v>
      </c>
      <c r="T61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616" s="23" t="e">
        <f>Table1[[#This Row],[1. Doanh thu bán hàng và cung cấp dịch vụ ]]/Table1[[#This Row],[TỔNG CỘNG TÀI SẢN]]</f>
        <v>#DIV/0!</v>
      </c>
      <c r="V616" s="23" t="e">
        <f>1.2*Table1[[#This Row],[X1]] + 1.4*Table1[[#This Row],[X2]] + 3.3*Table1[[#This Row],[x3]] + 0.6*Table1[[#This Row],[x4]] + 1*Table1[[#This Row],[x5]]</f>
        <v>#DIV/0!</v>
      </c>
      <c r="W616" s="23" t="e">
        <f>IF(Table1[[#This Row],[Zscore]]&lt;1.81,1,0)</f>
        <v>#DIV/0!</v>
      </c>
    </row>
    <row r="617" spans="1:23" ht="26.25" hidden="1" x14ac:dyDescent="0.45">
      <c r="A617" s="7">
        <v>611</v>
      </c>
      <c r="B617" s="5" t="s">
        <v>1235</v>
      </c>
      <c r="C617" s="6" t="s">
        <v>1236</v>
      </c>
      <c r="D617" s="6" t="s">
        <v>13</v>
      </c>
      <c r="E617" s="6"/>
      <c r="F617" s="6"/>
      <c r="G617" s="6"/>
      <c r="H617" s="6"/>
      <c r="I617" s="6"/>
      <c r="J617" s="8"/>
      <c r="K617" s="6"/>
      <c r="L617" s="6"/>
      <c r="M617" s="8"/>
      <c r="N617" s="8"/>
      <c r="O617" s="8"/>
      <c r="P617" s="8"/>
      <c r="Q617" s="18" t="e">
        <f>(Table1[[#This Row],[A. TÀI SẢN NGẮN HẠN]]-Table1[[#This Row],[I. Nợ ngắn hạn]])/Table1[[#This Row],[TỔNG CỘNG TÀI SẢN]]</f>
        <v>#DIV/0!</v>
      </c>
      <c r="R617" s="18" t="e">
        <f>Table1[[#This Row],[- LNST chưa phân phối kỳ này]]/Table1[[#This Row],[TỔNG CỘNG TÀI SẢN]]</f>
        <v>#DIV/0!</v>
      </c>
      <c r="S617" s="21" t="e">
        <f>Table1[[#This Row],[5. Lợi nhuận gộp về bán hàng và cung cấp dịch vụ]]/Table1[[#This Row],[TỔNG CỘNG TÀI SẢN]]</f>
        <v>#DIV/0!</v>
      </c>
      <c r="T61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617" s="23" t="e">
        <f>Table1[[#This Row],[1. Doanh thu bán hàng và cung cấp dịch vụ ]]/Table1[[#This Row],[TỔNG CỘNG TÀI SẢN]]</f>
        <v>#DIV/0!</v>
      </c>
      <c r="V617" s="23" t="e">
        <f>1.2*Table1[[#This Row],[X1]] + 1.4*Table1[[#This Row],[X2]] + 3.3*Table1[[#This Row],[x3]] + 0.6*Table1[[#This Row],[x4]] + 1*Table1[[#This Row],[x5]]</f>
        <v>#DIV/0!</v>
      </c>
      <c r="W617" s="23" t="e">
        <f>IF(Table1[[#This Row],[Zscore]]&lt;1.81,1,0)</f>
        <v>#DIV/0!</v>
      </c>
    </row>
    <row r="618" spans="1:23" x14ac:dyDescent="0.45">
      <c r="A618" s="7">
        <v>612</v>
      </c>
      <c r="B618" s="5" t="s">
        <v>1237</v>
      </c>
      <c r="C618" s="6" t="s">
        <v>1238</v>
      </c>
      <c r="D618" s="6" t="s">
        <v>36</v>
      </c>
      <c r="E618" s="8">
        <v>3390289442494</v>
      </c>
      <c r="F618" s="8">
        <v>1237753479807</v>
      </c>
      <c r="G618" s="8">
        <v>1339152460811</v>
      </c>
      <c r="H618" s="8">
        <v>3511650865</v>
      </c>
      <c r="I618" s="8">
        <v>147087217492</v>
      </c>
      <c r="J618" s="8"/>
      <c r="K618" s="8">
        <v>2029171930238</v>
      </c>
      <c r="L618" s="8">
        <v>842840651165</v>
      </c>
      <c r="M618" s="8">
        <v>722405439200</v>
      </c>
      <c r="N618" s="8">
        <v>531180470000</v>
      </c>
      <c r="O618" s="8">
        <v>913630408400</v>
      </c>
      <c r="P618" s="8">
        <v>679911001600</v>
      </c>
      <c r="Q618" s="18">
        <f>(Table1[[#This Row],[A. TÀI SẢN NGẮN HẠN]]-Table1[[#This Row],[I. Nợ ngắn hạn]])/Table1[[#This Row],[TỔNG CỘNG TÀI SẢN]]</f>
        <v>-2.9908650197550044E-2</v>
      </c>
      <c r="R618" s="18">
        <f>Table1[[#This Row],[- LNST chưa phân phối kỳ này]]/Table1[[#This Row],[TỔNG CỘNG TÀI SẢN]]</f>
        <v>1.035796773273943E-3</v>
      </c>
      <c r="S618" s="21">
        <f>Table1[[#This Row],[5. Lợi nhuận gộp về bán hàng và cung cấp dịch vụ]]/Table1[[#This Row],[TỔNG CỘNG TÀI SẢN]]</f>
        <v>4.3384855478238511E-2</v>
      </c>
      <c r="T61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0.35077452984307528</v>
      </c>
      <c r="U618" s="23">
        <f>Table1[[#This Row],[1. Doanh thu bán hàng và cung cấp dịch vụ ]]/Table1[[#This Row],[TỔNG CỘNG TÀI SẢN]]</f>
        <v>0.2486043346626419</v>
      </c>
      <c r="V618" s="23">
        <f>1.2*Table1[[#This Row],[X1]] + 1.4*Table1[[#This Row],[X2]] + 3.3*Table1[[#This Row],[x3]] + 0.6*Table1[[#This Row],[x4]] + 1*Table1[[#This Row],[x5]]</f>
        <v>0.56779881089219764</v>
      </c>
      <c r="W618" s="23">
        <f>IF(Table1[[#This Row],[Zscore]]&lt;1.81,1,0)</f>
        <v>1</v>
      </c>
    </row>
    <row r="619" spans="1:23" hidden="1" x14ac:dyDescent="0.45">
      <c r="A619" s="7">
        <v>613</v>
      </c>
      <c r="B619" s="5" t="s">
        <v>1239</v>
      </c>
      <c r="C619" s="6" t="s">
        <v>1240</v>
      </c>
      <c r="D619" s="6" t="s">
        <v>13</v>
      </c>
      <c r="E619" s="6"/>
      <c r="F619" s="6"/>
      <c r="G619" s="6"/>
      <c r="H619" s="6"/>
      <c r="I619" s="6"/>
      <c r="J619" s="8"/>
      <c r="K619" s="6"/>
      <c r="L619" s="6"/>
      <c r="M619" s="8"/>
      <c r="N619" s="8"/>
      <c r="O619" s="8"/>
      <c r="P619" s="8"/>
      <c r="Q619" s="18" t="e">
        <f>(Table1[[#This Row],[A. TÀI SẢN NGẮN HẠN]]-Table1[[#This Row],[I. Nợ ngắn hạn]])/Table1[[#This Row],[TỔNG CỘNG TÀI SẢN]]</f>
        <v>#DIV/0!</v>
      </c>
      <c r="R619" s="18" t="e">
        <f>Table1[[#This Row],[- LNST chưa phân phối kỳ này]]/Table1[[#This Row],[TỔNG CỘNG TÀI SẢN]]</f>
        <v>#DIV/0!</v>
      </c>
      <c r="S619" s="21" t="e">
        <f>Table1[[#This Row],[5. Lợi nhuận gộp về bán hàng và cung cấp dịch vụ]]/Table1[[#This Row],[TỔNG CỘNG TÀI SẢN]]</f>
        <v>#DIV/0!</v>
      </c>
      <c r="T61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619" s="23" t="e">
        <f>Table1[[#This Row],[1. Doanh thu bán hàng và cung cấp dịch vụ ]]/Table1[[#This Row],[TỔNG CỘNG TÀI SẢN]]</f>
        <v>#DIV/0!</v>
      </c>
      <c r="V619" s="23" t="e">
        <f>1.2*Table1[[#This Row],[X1]] + 1.4*Table1[[#This Row],[X2]] + 3.3*Table1[[#This Row],[x3]] + 0.6*Table1[[#This Row],[x4]] + 1*Table1[[#This Row],[x5]]</f>
        <v>#DIV/0!</v>
      </c>
      <c r="W619" s="23" t="e">
        <f>IF(Table1[[#This Row],[Zscore]]&lt;1.81,1,0)</f>
        <v>#DIV/0!</v>
      </c>
    </row>
    <row r="620" spans="1:23" hidden="1" x14ac:dyDescent="0.45">
      <c r="A620" s="7">
        <v>614</v>
      </c>
      <c r="B620" s="5" t="s">
        <v>1241</v>
      </c>
      <c r="C620" s="6" t="s">
        <v>1242</v>
      </c>
      <c r="D620" s="6" t="s">
        <v>13</v>
      </c>
      <c r="E620" s="6"/>
      <c r="F620" s="6"/>
      <c r="G620" s="6"/>
      <c r="H620" s="6"/>
      <c r="I620" s="6"/>
      <c r="J620" s="8"/>
      <c r="K620" s="6"/>
      <c r="L620" s="6"/>
      <c r="M620" s="8"/>
      <c r="N620" s="8"/>
      <c r="O620" s="8"/>
      <c r="P620" s="8"/>
      <c r="Q620" s="18" t="e">
        <f>(Table1[[#This Row],[A. TÀI SẢN NGẮN HẠN]]-Table1[[#This Row],[I. Nợ ngắn hạn]])/Table1[[#This Row],[TỔNG CỘNG TÀI SẢN]]</f>
        <v>#DIV/0!</v>
      </c>
      <c r="R620" s="18" t="e">
        <f>Table1[[#This Row],[- LNST chưa phân phối kỳ này]]/Table1[[#This Row],[TỔNG CỘNG TÀI SẢN]]</f>
        <v>#DIV/0!</v>
      </c>
      <c r="S620" s="21" t="e">
        <f>Table1[[#This Row],[5. Lợi nhuận gộp về bán hàng và cung cấp dịch vụ]]/Table1[[#This Row],[TỔNG CỘNG TÀI SẢN]]</f>
        <v>#DIV/0!</v>
      </c>
      <c r="T62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620" s="23" t="e">
        <f>Table1[[#This Row],[1. Doanh thu bán hàng và cung cấp dịch vụ ]]/Table1[[#This Row],[TỔNG CỘNG TÀI SẢN]]</f>
        <v>#DIV/0!</v>
      </c>
      <c r="V620" s="23" t="e">
        <f>1.2*Table1[[#This Row],[X1]] + 1.4*Table1[[#This Row],[X2]] + 3.3*Table1[[#This Row],[x3]] + 0.6*Table1[[#This Row],[x4]] + 1*Table1[[#This Row],[x5]]</f>
        <v>#DIV/0!</v>
      </c>
      <c r="W620" s="23" t="e">
        <f>IF(Table1[[#This Row],[Zscore]]&lt;1.81,1,0)</f>
        <v>#DIV/0!</v>
      </c>
    </row>
    <row r="621" spans="1:23" hidden="1" x14ac:dyDescent="0.45">
      <c r="A621" s="7">
        <v>615</v>
      </c>
      <c r="B621" s="5" t="s">
        <v>1243</v>
      </c>
      <c r="C621" s="6" t="s">
        <v>1244</v>
      </c>
      <c r="D621" s="6" t="s">
        <v>18</v>
      </c>
      <c r="E621" s="6"/>
      <c r="F621" s="6"/>
      <c r="G621" s="6"/>
      <c r="H621" s="6"/>
      <c r="I621" s="6"/>
      <c r="J621" s="8"/>
      <c r="K621" s="6"/>
      <c r="L621" s="6"/>
      <c r="M621" s="8"/>
      <c r="N621" s="8"/>
      <c r="O621" s="8"/>
      <c r="P621" s="8"/>
      <c r="Q621" s="18" t="e">
        <f>(Table1[[#This Row],[A. TÀI SẢN NGẮN HẠN]]-Table1[[#This Row],[I. Nợ ngắn hạn]])/Table1[[#This Row],[TỔNG CỘNG TÀI SẢN]]</f>
        <v>#DIV/0!</v>
      </c>
      <c r="R621" s="18" t="e">
        <f>Table1[[#This Row],[- LNST chưa phân phối kỳ này]]/Table1[[#This Row],[TỔNG CỘNG TÀI SẢN]]</f>
        <v>#DIV/0!</v>
      </c>
      <c r="S621" s="21" t="e">
        <f>Table1[[#This Row],[5. Lợi nhuận gộp về bán hàng và cung cấp dịch vụ]]/Table1[[#This Row],[TỔNG CỘNG TÀI SẢN]]</f>
        <v>#DIV/0!</v>
      </c>
      <c r="T62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621" s="23" t="e">
        <f>Table1[[#This Row],[1. Doanh thu bán hàng và cung cấp dịch vụ ]]/Table1[[#This Row],[TỔNG CỘNG TÀI SẢN]]</f>
        <v>#DIV/0!</v>
      </c>
      <c r="V621" s="23" t="e">
        <f>1.2*Table1[[#This Row],[X1]] + 1.4*Table1[[#This Row],[X2]] + 3.3*Table1[[#This Row],[x3]] + 0.6*Table1[[#This Row],[x4]] + 1*Table1[[#This Row],[x5]]</f>
        <v>#DIV/0!</v>
      </c>
      <c r="W621" s="23" t="e">
        <f>IF(Table1[[#This Row],[Zscore]]&lt;1.81,1,0)</f>
        <v>#DIV/0!</v>
      </c>
    </row>
    <row r="622" spans="1:23" x14ac:dyDescent="0.45">
      <c r="A622" s="7">
        <v>616</v>
      </c>
      <c r="B622" s="5" t="s">
        <v>1245</v>
      </c>
      <c r="C622" s="6" t="s">
        <v>1246</v>
      </c>
      <c r="D622" s="6" t="s">
        <v>21</v>
      </c>
      <c r="E622" s="8">
        <v>4216045743243</v>
      </c>
      <c r="F622" s="8">
        <v>1850417441563</v>
      </c>
      <c r="G622" s="8">
        <v>2002560856225</v>
      </c>
      <c r="H622" s="8">
        <v>364828801399</v>
      </c>
      <c r="I622" s="8">
        <v>319106273154</v>
      </c>
      <c r="J622" s="8"/>
      <c r="K622" s="8">
        <v>3220487871868</v>
      </c>
      <c r="L622" s="8">
        <v>698264530730</v>
      </c>
      <c r="M622" s="8">
        <v>652495189600</v>
      </c>
      <c r="N622" s="8">
        <v>796163855200</v>
      </c>
      <c r="O622" s="8">
        <v>688412356000</v>
      </c>
      <c r="P622" s="8">
        <v>859018896400</v>
      </c>
      <c r="Q622" s="18">
        <f>(Table1[[#This Row],[A. TÀI SẢN NGẮN HẠN]]-Table1[[#This Row],[I. Nợ ngắn hạn]])/Table1[[#This Row],[TỔNG CỘNG TÀI SẢN]]</f>
        <v>-3.6086756151979191E-2</v>
      </c>
      <c r="R622" s="18">
        <f>Table1[[#This Row],[- LNST chưa phân phối kỳ này]]/Table1[[#This Row],[TỔNG CỘNG TÀI SẢN]]</f>
        <v>8.6533406802738383E-2</v>
      </c>
      <c r="S622" s="21">
        <f>Table1[[#This Row],[5. Lợi nhuận gộp về bán hàng và cung cấp dịch vụ]]/Table1[[#This Row],[TỔNG CỘNG TÀI SẢN]]</f>
        <v>7.5688522513169446E-2</v>
      </c>
      <c r="T62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0.23258046733942198</v>
      </c>
      <c r="U622" s="23">
        <f>Table1[[#This Row],[1. Doanh thu bán hàng và cung cấp dịch vụ ]]/Table1[[#This Row],[TỔNG CỘNG TÀI SẢN]]</f>
        <v>0.16562071980577991</v>
      </c>
      <c r="V622" s="23">
        <f>1.2*Table1[[#This Row],[X1]] + 1.4*Table1[[#This Row],[X2]] + 3.3*Table1[[#This Row],[x3]] + 0.6*Table1[[#This Row],[x4]] + 1*Table1[[#This Row],[x5]]</f>
        <v>0.63278378664435098</v>
      </c>
      <c r="W622" s="23">
        <f>IF(Table1[[#This Row],[Zscore]]&lt;1.81,1,0)</f>
        <v>1</v>
      </c>
    </row>
    <row r="623" spans="1:23" ht="26.25" hidden="1" x14ac:dyDescent="0.45">
      <c r="A623" s="7">
        <v>617</v>
      </c>
      <c r="B623" s="5" t="s">
        <v>1247</v>
      </c>
      <c r="C623" s="6" t="s">
        <v>1248</v>
      </c>
      <c r="D623" s="6" t="s">
        <v>13</v>
      </c>
      <c r="E623" s="6"/>
      <c r="F623" s="6"/>
      <c r="G623" s="6"/>
      <c r="H623" s="6"/>
      <c r="I623" s="6"/>
      <c r="J623" s="8"/>
      <c r="K623" s="6"/>
      <c r="L623" s="6"/>
      <c r="M623" s="8"/>
      <c r="N623" s="8"/>
      <c r="O623" s="8"/>
      <c r="P623" s="8"/>
      <c r="Q623" s="18" t="e">
        <f>(Table1[[#This Row],[A. TÀI SẢN NGẮN HẠN]]-Table1[[#This Row],[I. Nợ ngắn hạn]])/Table1[[#This Row],[TỔNG CỘNG TÀI SẢN]]</f>
        <v>#DIV/0!</v>
      </c>
      <c r="R623" s="18" t="e">
        <f>Table1[[#This Row],[- LNST chưa phân phối kỳ này]]/Table1[[#This Row],[TỔNG CỘNG TÀI SẢN]]</f>
        <v>#DIV/0!</v>
      </c>
      <c r="S623" s="21" t="e">
        <f>Table1[[#This Row],[5. Lợi nhuận gộp về bán hàng và cung cấp dịch vụ]]/Table1[[#This Row],[TỔNG CỘNG TÀI SẢN]]</f>
        <v>#DIV/0!</v>
      </c>
      <c r="T62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623" s="23" t="e">
        <f>Table1[[#This Row],[1. Doanh thu bán hàng và cung cấp dịch vụ ]]/Table1[[#This Row],[TỔNG CỘNG TÀI SẢN]]</f>
        <v>#DIV/0!</v>
      </c>
      <c r="V623" s="23" t="e">
        <f>1.2*Table1[[#This Row],[X1]] + 1.4*Table1[[#This Row],[X2]] + 3.3*Table1[[#This Row],[x3]] + 0.6*Table1[[#This Row],[x4]] + 1*Table1[[#This Row],[x5]]</f>
        <v>#DIV/0!</v>
      </c>
      <c r="W623" s="23" t="e">
        <f>IF(Table1[[#This Row],[Zscore]]&lt;1.81,1,0)</f>
        <v>#DIV/0!</v>
      </c>
    </row>
    <row r="624" spans="1:23" x14ac:dyDescent="0.45">
      <c r="A624" s="7">
        <v>618</v>
      </c>
      <c r="B624" s="5" t="s">
        <v>1249</v>
      </c>
      <c r="C624" s="6" t="s">
        <v>1250</v>
      </c>
      <c r="D624" s="6" t="s">
        <v>18</v>
      </c>
      <c r="E624" s="8">
        <v>69072432902</v>
      </c>
      <c r="F624" s="8">
        <v>42636266579</v>
      </c>
      <c r="G624" s="8">
        <v>50655679675</v>
      </c>
      <c r="H624" s="8">
        <v>21991679380</v>
      </c>
      <c r="I624" s="8">
        <v>7803502169</v>
      </c>
      <c r="J624" s="8"/>
      <c r="K624" s="8">
        <v>53255696875</v>
      </c>
      <c r="L624" s="8">
        <v>12279507166</v>
      </c>
      <c r="M624" s="8">
        <v>99000000000</v>
      </c>
      <c r="N624" s="8">
        <v>71550000000</v>
      </c>
      <c r="O624" s="8">
        <v>83700000000</v>
      </c>
      <c r="P624" s="8">
        <v>83700000000</v>
      </c>
      <c r="Q624" s="18">
        <f>(Table1[[#This Row],[A. TÀI SẢN NGẮN HẠN]]-Table1[[#This Row],[I. Nợ ngắn hạn]])/Table1[[#This Row],[TỔNG CỘNG TÀI SẢN]]</f>
        <v>-0.11610150039709687</v>
      </c>
      <c r="R624" s="18">
        <f>Table1[[#This Row],[- LNST chưa phân phối kỳ này]]/Table1[[#This Row],[TỔNG CỘNG TÀI SẢN]]</f>
        <v>0.31838576485646314</v>
      </c>
      <c r="S624" s="21">
        <f>Table1[[#This Row],[5. Lợi nhuận gộp về bán hàng và cung cấp dịch vụ]]/Table1[[#This Row],[TỔNG CỘNG TÀI SẢN]]</f>
        <v>0.11297563790856495</v>
      </c>
      <c r="T62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1.5864499942289039</v>
      </c>
      <c r="U624" s="23">
        <f>Table1[[#This Row],[1. Doanh thu bán hàng và cung cấp dịch vụ ]]/Table1[[#This Row],[TỔNG CỘNG TÀI SẢN]]</f>
        <v>0.17777724991129487</v>
      </c>
      <c r="V624" s="23">
        <f>1.2*Table1[[#This Row],[X1]] + 1.4*Table1[[#This Row],[X2]] + 3.3*Table1[[#This Row],[x3]] + 0.6*Table1[[#This Row],[x4]] + 1*Table1[[#This Row],[x5]]</f>
        <v>1.8088851218694335</v>
      </c>
      <c r="W624" s="23">
        <f>IF(Table1[[#This Row],[Zscore]]&lt;1.81,1,0)</f>
        <v>1</v>
      </c>
    </row>
    <row r="625" spans="1:23" ht="26.25" hidden="1" x14ac:dyDescent="0.45">
      <c r="A625" s="7">
        <v>619</v>
      </c>
      <c r="B625" s="5" t="s">
        <v>1251</v>
      </c>
      <c r="C625" s="6" t="s">
        <v>1252</v>
      </c>
      <c r="D625" s="6" t="s">
        <v>18</v>
      </c>
      <c r="E625" s="8">
        <v>498136967699</v>
      </c>
      <c r="F625" s="8">
        <v>464798380270</v>
      </c>
      <c r="G625" s="8">
        <v>438818697279</v>
      </c>
      <c r="H625" s="8">
        <v>4967742293</v>
      </c>
      <c r="I625" s="8">
        <v>159264278116</v>
      </c>
      <c r="J625" s="8"/>
      <c r="K625" s="8">
        <v>438818697279</v>
      </c>
      <c r="L625" s="8">
        <v>1256030837703</v>
      </c>
      <c r="M625" s="8"/>
      <c r="N625" s="8"/>
      <c r="O625" s="8"/>
      <c r="P625" s="8"/>
      <c r="Q625" s="18">
        <f>(Table1[[#This Row],[A. TÀI SẢN NGẮN HẠN]]-Table1[[#This Row],[I. Nợ ngắn hạn]])/Table1[[#This Row],[TỔNG CỘNG TÀI SẢN]]</f>
        <v>5.2153694015133326E-2</v>
      </c>
      <c r="R625" s="18">
        <f>Table1[[#This Row],[- LNST chưa phân phối kỳ này]]/Table1[[#This Row],[TỔNG CỘNG TÀI SẢN]]</f>
        <v>9.9726432991854679E-3</v>
      </c>
      <c r="S625" s="21">
        <f>Table1[[#This Row],[5. Lợi nhuận gộp về bán hàng và cung cấp dịch vụ]]/Table1[[#This Row],[TỔNG CỘNG TÀI SẢN]]</f>
        <v>0.31971985305903994</v>
      </c>
      <c r="T62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625" s="23">
        <f>Table1[[#This Row],[1. Doanh thu bán hàng và cung cấp dịch vụ ]]/Table1[[#This Row],[TỔNG CỘNG TÀI SẢN]]</f>
        <v>2.5214567862828412</v>
      </c>
      <c r="V625" s="23" t="e">
        <f>1.2*Table1[[#This Row],[X1]] + 1.4*Table1[[#This Row],[X2]] + 3.3*Table1[[#This Row],[x3]] + 0.6*Table1[[#This Row],[x4]] + 1*Table1[[#This Row],[x5]]</f>
        <v>#DIV/0!</v>
      </c>
      <c r="W625" s="23" t="e">
        <f>IF(Table1[[#This Row],[Zscore]]&lt;1.81,1,0)</f>
        <v>#DIV/0!</v>
      </c>
    </row>
    <row r="626" spans="1:23" hidden="1" x14ac:dyDescent="0.45">
      <c r="A626" s="7">
        <v>620</v>
      </c>
      <c r="B626" s="5" t="s">
        <v>1253</v>
      </c>
      <c r="C626" s="6" t="s">
        <v>1254</v>
      </c>
      <c r="D626" s="6" t="s">
        <v>13</v>
      </c>
      <c r="E626" s="6"/>
      <c r="F626" s="6"/>
      <c r="G626" s="6"/>
      <c r="H626" s="6"/>
      <c r="I626" s="6"/>
      <c r="J626" s="8"/>
      <c r="K626" s="6"/>
      <c r="L626" s="6"/>
      <c r="M626" s="8"/>
      <c r="N626" s="8"/>
      <c r="O626" s="8"/>
      <c r="P626" s="8"/>
      <c r="Q626" s="18" t="e">
        <f>(Table1[[#This Row],[A. TÀI SẢN NGẮN HẠN]]-Table1[[#This Row],[I. Nợ ngắn hạn]])/Table1[[#This Row],[TỔNG CỘNG TÀI SẢN]]</f>
        <v>#DIV/0!</v>
      </c>
      <c r="R626" s="18" t="e">
        <f>Table1[[#This Row],[- LNST chưa phân phối kỳ này]]/Table1[[#This Row],[TỔNG CỘNG TÀI SẢN]]</f>
        <v>#DIV/0!</v>
      </c>
      <c r="S626" s="21" t="e">
        <f>Table1[[#This Row],[5. Lợi nhuận gộp về bán hàng và cung cấp dịch vụ]]/Table1[[#This Row],[TỔNG CỘNG TÀI SẢN]]</f>
        <v>#DIV/0!</v>
      </c>
      <c r="T62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626" s="23" t="e">
        <f>Table1[[#This Row],[1. Doanh thu bán hàng và cung cấp dịch vụ ]]/Table1[[#This Row],[TỔNG CỘNG TÀI SẢN]]</f>
        <v>#DIV/0!</v>
      </c>
      <c r="V626" s="23" t="e">
        <f>1.2*Table1[[#This Row],[X1]] + 1.4*Table1[[#This Row],[X2]] + 3.3*Table1[[#This Row],[x3]] + 0.6*Table1[[#This Row],[x4]] + 1*Table1[[#This Row],[x5]]</f>
        <v>#DIV/0!</v>
      </c>
      <c r="W626" s="23" t="e">
        <f>IF(Table1[[#This Row],[Zscore]]&lt;1.81,1,0)</f>
        <v>#DIV/0!</v>
      </c>
    </row>
    <row r="627" spans="1:23" hidden="1" x14ac:dyDescent="0.45">
      <c r="A627" s="7">
        <v>621</v>
      </c>
      <c r="B627" s="5" t="s">
        <v>1255</v>
      </c>
      <c r="C627" s="6" t="s">
        <v>1256</v>
      </c>
      <c r="D627" s="6" t="s">
        <v>13</v>
      </c>
      <c r="E627" s="6"/>
      <c r="F627" s="6"/>
      <c r="G627" s="6"/>
      <c r="H627" s="6"/>
      <c r="I627" s="6"/>
      <c r="J627" s="8"/>
      <c r="K627" s="6"/>
      <c r="L627" s="6"/>
      <c r="M627" s="8"/>
      <c r="N627" s="8"/>
      <c r="O627" s="8"/>
      <c r="P627" s="8"/>
      <c r="Q627" s="18" t="e">
        <f>(Table1[[#This Row],[A. TÀI SẢN NGẮN HẠN]]-Table1[[#This Row],[I. Nợ ngắn hạn]])/Table1[[#This Row],[TỔNG CỘNG TÀI SẢN]]</f>
        <v>#DIV/0!</v>
      </c>
      <c r="R627" s="18" t="e">
        <f>Table1[[#This Row],[- LNST chưa phân phối kỳ này]]/Table1[[#This Row],[TỔNG CỘNG TÀI SẢN]]</f>
        <v>#DIV/0!</v>
      </c>
      <c r="S627" s="21" t="e">
        <f>Table1[[#This Row],[5. Lợi nhuận gộp về bán hàng và cung cấp dịch vụ]]/Table1[[#This Row],[TỔNG CỘNG TÀI SẢN]]</f>
        <v>#DIV/0!</v>
      </c>
      <c r="T62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627" s="23" t="e">
        <f>Table1[[#This Row],[1. Doanh thu bán hàng và cung cấp dịch vụ ]]/Table1[[#This Row],[TỔNG CỘNG TÀI SẢN]]</f>
        <v>#DIV/0!</v>
      </c>
      <c r="V627" s="23" t="e">
        <f>1.2*Table1[[#This Row],[X1]] + 1.4*Table1[[#This Row],[X2]] + 3.3*Table1[[#This Row],[x3]] + 0.6*Table1[[#This Row],[x4]] + 1*Table1[[#This Row],[x5]]</f>
        <v>#DIV/0!</v>
      </c>
      <c r="W627" s="23" t="e">
        <f>IF(Table1[[#This Row],[Zscore]]&lt;1.81,1,0)</f>
        <v>#DIV/0!</v>
      </c>
    </row>
    <row r="628" spans="1:23" x14ac:dyDescent="0.45">
      <c r="A628" s="7">
        <v>622</v>
      </c>
      <c r="B628" s="5" t="s">
        <v>1257</v>
      </c>
      <c r="C628" s="6" t="s">
        <v>1258</v>
      </c>
      <c r="D628" s="6" t="s">
        <v>18</v>
      </c>
      <c r="E628" s="8">
        <v>546179376122</v>
      </c>
      <c r="F628" s="8">
        <v>406303984542</v>
      </c>
      <c r="G628" s="8">
        <v>242304701547</v>
      </c>
      <c r="H628" s="8">
        <v>39512884589</v>
      </c>
      <c r="I628" s="8">
        <v>120386663632</v>
      </c>
      <c r="J628" s="8"/>
      <c r="K628" s="8">
        <v>242304701547</v>
      </c>
      <c r="L628" s="8">
        <v>741070971989</v>
      </c>
      <c r="M628" s="8">
        <v>354455300000</v>
      </c>
      <c r="N628" s="8">
        <v>339044200000</v>
      </c>
      <c r="O628" s="8">
        <v>351373080000</v>
      </c>
      <c r="P628" s="8">
        <v>369866400000</v>
      </c>
      <c r="Q628" s="18">
        <f>(Table1[[#This Row],[A. TÀI SẢN NGẮN HẠN]]-Table1[[#This Row],[I. Nợ ngắn hạn]])/Table1[[#This Row],[TỔNG CỘNG TÀI SẢN]]</f>
        <v>0.30026634136102476</v>
      </c>
      <c r="R628" s="18">
        <f>Table1[[#This Row],[- LNST chưa phân phối kỳ này]]/Table1[[#This Row],[TỔNG CỘNG TÀI SẢN]]</f>
        <v>7.234415343462916E-2</v>
      </c>
      <c r="S628" s="21">
        <f>Table1[[#This Row],[5. Lợi nhuận gộp về bán hàng và cung cấp dịch vụ]]/Table1[[#This Row],[TỔNG CỘNG TÀI SẢN]]</f>
        <v>0.22041598217562366</v>
      </c>
      <c r="T62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1.4596693450101939</v>
      </c>
      <c r="U628" s="23">
        <f>Table1[[#This Row],[1. Doanh thu bán hàng và cung cấp dịch vụ ]]/Table1[[#This Row],[TỔNG CỘNG TÀI SẢN]]</f>
        <v>1.3568270871939094</v>
      </c>
      <c r="V628" s="23">
        <f>1.2*Table1[[#This Row],[X1]] + 1.4*Table1[[#This Row],[X2]] + 3.3*Table1[[#This Row],[x3]] + 0.6*Table1[[#This Row],[x4]] + 1*Table1[[#This Row],[x5]]</f>
        <v>3.4216028598212946</v>
      </c>
      <c r="W628" s="23">
        <f>IF(Table1[[#This Row],[Zscore]]&lt;1.81,1,0)</f>
        <v>0</v>
      </c>
    </row>
    <row r="629" spans="1:23" ht="26.25" x14ac:dyDescent="0.45">
      <c r="A629" s="7">
        <v>623</v>
      </c>
      <c r="B629" s="5" t="s">
        <v>1259</v>
      </c>
      <c r="C629" s="6" t="s">
        <v>1260</v>
      </c>
      <c r="D629" s="6" t="s">
        <v>21</v>
      </c>
      <c r="E629" s="8">
        <v>1902485017989</v>
      </c>
      <c r="F629" s="8">
        <v>1681858589992</v>
      </c>
      <c r="G629" s="8">
        <v>214026660166</v>
      </c>
      <c r="H629" s="8">
        <v>198031786940</v>
      </c>
      <c r="I629" s="8">
        <v>408917559330</v>
      </c>
      <c r="J629" s="8"/>
      <c r="K629" s="8">
        <v>214609989502</v>
      </c>
      <c r="L629" s="8">
        <v>2069012016718</v>
      </c>
      <c r="M629" s="8">
        <v>2354522127000</v>
      </c>
      <c r="N629" s="8">
        <v>2073229660500</v>
      </c>
      <c r="O629" s="8">
        <v>2160048323000</v>
      </c>
      <c r="P629" s="8">
        <v>2104484379000</v>
      </c>
      <c r="Q629" s="18">
        <f>(Table1[[#This Row],[A. TÀI SẢN NGẮN HẠN]]-Table1[[#This Row],[I. Nợ ngắn hạn]])/Table1[[#This Row],[TỔNG CỘNG TÀI SẢN]]</f>
        <v>0.77153402836126139</v>
      </c>
      <c r="R629" s="18">
        <f>Table1[[#This Row],[- LNST chưa phân phối kỳ này]]/Table1[[#This Row],[TỔNG CỘNG TÀI SẢN]]</f>
        <v>0.1040911150771254</v>
      </c>
      <c r="S629" s="21">
        <f>Table1[[#This Row],[5. Lợi nhuận gộp về bán hàng và cung cấp dịch vụ]]/Table1[[#This Row],[TỔNG CỘNG TÀI SẢN]]</f>
        <v>0.21493864890575676</v>
      </c>
      <c r="T62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10.12567554482243</v>
      </c>
      <c r="U629" s="23">
        <f>Table1[[#This Row],[1. Doanh thu bán hàng và cung cấp dịch vụ ]]/Table1[[#This Row],[TỔNG CỘNG TÀI SẢN]]</f>
        <v>1.0875313062412577</v>
      </c>
      <c r="V629" s="23">
        <f>1.2*Table1[[#This Row],[X1]] + 1.4*Table1[[#This Row],[X2]] + 3.3*Table1[[#This Row],[x3]] + 0.6*Table1[[#This Row],[x4]] + 1*Table1[[#This Row],[x5]]</f>
        <v>8.9438025696652019</v>
      </c>
      <c r="W629" s="23">
        <f>IF(Table1[[#This Row],[Zscore]]&lt;1.81,1,0)</f>
        <v>0</v>
      </c>
    </row>
    <row r="630" spans="1:23" hidden="1" x14ac:dyDescent="0.45">
      <c r="A630" s="7">
        <v>624</v>
      </c>
      <c r="B630" s="5" t="s">
        <v>1261</v>
      </c>
      <c r="C630" s="6" t="s">
        <v>1262</v>
      </c>
      <c r="D630" s="6" t="s">
        <v>13</v>
      </c>
      <c r="E630" s="6"/>
      <c r="F630" s="6"/>
      <c r="G630" s="6"/>
      <c r="H630" s="6"/>
      <c r="I630" s="6"/>
      <c r="J630" s="8"/>
      <c r="K630" s="6"/>
      <c r="L630" s="6"/>
      <c r="M630" s="8"/>
      <c r="N630" s="8"/>
      <c r="O630" s="8"/>
      <c r="P630" s="8"/>
      <c r="Q630" s="18" t="e">
        <f>(Table1[[#This Row],[A. TÀI SẢN NGẮN HẠN]]-Table1[[#This Row],[I. Nợ ngắn hạn]])/Table1[[#This Row],[TỔNG CỘNG TÀI SẢN]]</f>
        <v>#DIV/0!</v>
      </c>
      <c r="R630" s="18" t="e">
        <f>Table1[[#This Row],[- LNST chưa phân phối kỳ này]]/Table1[[#This Row],[TỔNG CỘNG TÀI SẢN]]</f>
        <v>#DIV/0!</v>
      </c>
      <c r="S630" s="21" t="e">
        <f>Table1[[#This Row],[5. Lợi nhuận gộp về bán hàng và cung cấp dịch vụ]]/Table1[[#This Row],[TỔNG CỘNG TÀI SẢN]]</f>
        <v>#DIV/0!</v>
      </c>
      <c r="T63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630" s="23" t="e">
        <f>Table1[[#This Row],[1. Doanh thu bán hàng và cung cấp dịch vụ ]]/Table1[[#This Row],[TỔNG CỘNG TÀI SẢN]]</f>
        <v>#DIV/0!</v>
      </c>
      <c r="V630" s="23" t="e">
        <f>1.2*Table1[[#This Row],[X1]] + 1.4*Table1[[#This Row],[X2]] + 3.3*Table1[[#This Row],[x3]] + 0.6*Table1[[#This Row],[x4]] + 1*Table1[[#This Row],[x5]]</f>
        <v>#DIV/0!</v>
      </c>
      <c r="W630" s="23" t="e">
        <f>IF(Table1[[#This Row],[Zscore]]&lt;1.81,1,0)</f>
        <v>#DIV/0!</v>
      </c>
    </row>
    <row r="631" spans="1:23" x14ac:dyDescent="0.45">
      <c r="A631" s="7">
        <v>625</v>
      </c>
      <c r="B631" s="5" t="s">
        <v>1263</v>
      </c>
      <c r="C631" s="6" t="s">
        <v>1264</v>
      </c>
      <c r="D631" s="6" t="s">
        <v>18</v>
      </c>
      <c r="E631" s="8">
        <v>653629998820</v>
      </c>
      <c r="F631" s="8">
        <v>402168139637</v>
      </c>
      <c r="G631" s="8">
        <v>330448066533</v>
      </c>
      <c r="H631" s="8">
        <v>24353167230</v>
      </c>
      <c r="I631" s="8">
        <v>67867662708</v>
      </c>
      <c r="J631" s="8"/>
      <c r="K631" s="8">
        <v>475841234781</v>
      </c>
      <c r="L631" s="8">
        <v>978745856755</v>
      </c>
      <c r="M631" s="8">
        <v>78750000000</v>
      </c>
      <c r="N631" s="8">
        <v>87500000000</v>
      </c>
      <c r="O631" s="8">
        <v>68750000000</v>
      </c>
      <c r="P631" s="8">
        <v>110000000000</v>
      </c>
      <c r="Q631" s="18">
        <f>(Table1[[#This Row],[A. TÀI SẢN NGẮN HẠN]]-Table1[[#This Row],[I. Nợ ngắn hạn]])/Table1[[#This Row],[TỔNG CỘNG TÀI SẢN]]</f>
        <v>0.1097257978267161</v>
      </c>
      <c r="R631" s="18">
        <f>Table1[[#This Row],[- LNST chưa phân phối kỳ này]]/Table1[[#This Row],[TỔNG CỘNG TÀI SẢN]]</f>
        <v>3.7258337704763916E-2</v>
      </c>
      <c r="S631" s="21">
        <f>Table1[[#This Row],[5. Lợi nhuận gộp về bán hàng và cung cấp dịch vụ]]/Table1[[#This Row],[TỔNG CỘNG TÀI SẢN]]</f>
        <v>0.10383192758980107</v>
      </c>
      <c r="T63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0.18125793583167607</v>
      </c>
      <c r="U631" s="23">
        <f>Table1[[#This Row],[1. Doanh thu bán hàng và cung cấp dịch vụ ]]/Table1[[#This Row],[TỔNG CỘNG TÀI SẢN]]</f>
        <v>1.4974004536541048</v>
      </c>
      <c r="V631" s="23">
        <f>1.2*Table1[[#This Row],[X1]] + 1.4*Table1[[#This Row],[X2]] + 3.3*Table1[[#This Row],[x3]] + 0.6*Table1[[#This Row],[x4]] + 1*Table1[[#This Row],[x5]]</f>
        <v>2.1326332063781828</v>
      </c>
      <c r="W631" s="23">
        <f>IF(Table1[[#This Row],[Zscore]]&lt;1.81,1,0)</f>
        <v>0</v>
      </c>
    </row>
    <row r="632" spans="1:23" ht="26.25" hidden="1" x14ac:dyDescent="0.45">
      <c r="A632" s="7">
        <v>626</v>
      </c>
      <c r="B632" s="5" t="s">
        <v>1265</v>
      </c>
      <c r="C632" s="6" t="s">
        <v>1266</v>
      </c>
      <c r="D632" s="6" t="s">
        <v>18</v>
      </c>
      <c r="E632" s="8">
        <v>81399046689</v>
      </c>
      <c r="F632" s="8">
        <v>73792891118</v>
      </c>
      <c r="G632" s="8">
        <v>35927760320</v>
      </c>
      <c r="H632" s="8">
        <v>4562636837</v>
      </c>
      <c r="I632" s="8">
        <v>29843051352</v>
      </c>
      <c r="J632" s="8"/>
      <c r="K632" s="8">
        <v>35927760320</v>
      </c>
      <c r="L632" s="8">
        <v>404767142424</v>
      </c>
      <c r="M632" s="8"/>
      <c r="N632" s="8"/>
      <c r="O632" s="8"/>
      <c r="P632" s="8"/>
      <c r="Q632" s="18">
        <f>(Table1[[#This Row],[A. TÀI SẢN NGẮN HẠN]]-Table1[[#This Row],[I. Nợ ngắn hạn]])/Table1[[#This Row],[TỔNG CỘNG TÀI SẢN]]</f>
        <v>0.46517904494226675</v>
      </c>
      <c r="R632" s="18">
        <f>Table1[[#This Row],[- LNST chưa phân phối kỳ này]]/Table1[[#This Row],[TỔNG CỘNG TÀI SẢN]]</f>
        <v>5.6052706052349625E-2</v>
      </c>
      <c r="S632" s="21">
        <f>Table1[[#This Row],[5. Lợi nhuận gộp về bán hàng và cung cấp dịch vụ]]/Table1[[#This Row],[TỔNG CỘNG TÀI SẢN]]</f>
        <v>0.36662654620539792</v>
      </c>
      <c r="T63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632" s="23">
        <f>Table1[[#This Row],[1. Doanh thu bán hàng và cung cấp dịch vụ ]]/Table1[[#This Row],[TỔNG CỘNG TÀI SẢN]]</f>
        <v>4.9726275538642017</v>
      </c>
      <c r="V632" s="23" t="e">
        <f>1.2*Table1[[#This Row],[X1]] + 1.4*Table1[[#This Row],[X2]] + 3.3*Table1[[#This Row],[x3]] + 0.6*Table1[[#This Row],[x4]] + 1*Table1[[#This Row],[x5]]</f>
        <v>#DIV/0!</v>
      </c>
      <c r="W632" s="23" t="e">
        <f>IF(Table1[[#This Row],[Zscore]]&lt;1.81,1,0)</f>
        <v>#DIV/0!</v>
      </c>
    </row>
    <row r="633" spans="1:23" ht="26.25" hidden="1" x14ac:dyDescent="0.45">
      <c r="A633" s="7">
        <v>627</v>
      </c>
      <c r="B633" s="5" t="s">
        <v>1267</v>
      </c>
      <c r="C633" s="6" t="s">
        <v>1268</v>
      </c>
      <c r="D633" s="6" t="s">
        <v>13</v>
      </c>
      <c r="E633" s="6"/>
      <c r="F633" s="6"/>
      <c r="G633" s="6"/>
      <c r="H633" s="6"/>
      <c r="I633" s="6"/>
      <c r="J633" s="8"/>
      <c r="K633" s="6"/>
      <c r="L633" s="6"/>
      <c r="M633" s="8"/>
      <c r="N633" s="8"/>
      <c r="O633" s="8"/>
      <c r="P633" s="8"/>
      <c r="Q633" s="18" t="e">
        <f>(Table1[[#This Row],[A. TÀI SẢN NGẮN HẠN]]-Table1[[#This Row],[I. Nợ ngắn hạn]])/Table1[[#This Row],[TỔNG CỘNG TÀI SẢN]]</f>
        <v>#DIV/0!</v>
      </c>
      <c r="R633" s="18" t="e">
        <f>Table1[[#This Row],[- LNST chưa phân phối kỳ này]]/Table1[[#This Row],[TỔNG CỘNG TÀI SẢN]]</f>
        <v>#DIV/0!</v>
      </c>
      <c r="S633" s="21" t="e">
        <f>Table1[[#This Row],[5. Lợi nhuận gộp về bán hàng và cung cấp dịch vụ]]/Table1[[#This Row],[TỔNG CỘNG TÀI SẢN]]</f>
        <v>#DIV/0!</v>
      </c>
      <c r="T63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633" s="23" t="e">
        <f>Table1[[#This Row],[1. Doanh thu bán hàng và cung cấp dịch vụ ]]/Table1[[#This Row],[TỔNG CỘNG TÀI SẢN]]</f>
        <v>#DIV/0!</v>
      </c>
      <c r="V633" s="23" t="e">
        <f>1.2*Table1[[#This Row],[X1]] + 1.4*Table1[[#This Row],[X2]] + 3.3*Table1[[#This Row],[x3]] + 0.6*Table1[[#This Row],[x4]] + 1*Table1[[#This Row],[x5]]</f>
        <v>#DIV/0!</v>
      </c>
      <c r="W633" s="23" t="e">
        <f>IF(Table1[[#This Row],[Zscore]]&lt;1.81,1,0)</f>
        <v>#DIV/0!</v>
      </c>
    </row>
    <row r="634" spans="1:23" hidden="1" x14ac:dyDescent="0.45">
      <c r="A634" s="7">
        <v>628</v>
      </c>
      <c r="B634" s="5" t="s">
        <v>1269</v>
      </c>
      <c r="C634" s="6" t="s">
        <v>1270</v>
      </c>
      <c r="D634" s="6" t="s">
        <v>13</v>
      </c>
      <c r="E634" s="6"/>
      <c r="F634" s="6"/>
      <c r="G634" s="6"/>
      <c r="H634" s="6"/>
      <c r="I634" s="6"/>
      <c r="J634" s="8"/>
      <c r="K634" s="6"/>
      <c r="L634" s="6"/>
      <c r="M634" s="8"/>
      <c r="N634" s="8"/>
      <c r="O634" s="8"/>
      <c r="P634" s="8"/>
      <c r="Q634" s="18" t="e">
        <f>(Table1[[#This Row],[A. TÀI SẢN NGẮN HẠN]]-Table1[[#This Row],[I. Nợ ngắn hạn]])/Table1[[#This Row],[TỔNG CỘNG TÀI SẢN]]</f>
        <v>#DIV/0!</v>
      </c>
      <c r="R634" s="18" t="e">
        <f>Table1[[#This Row],[- LNST chưa phân phối kỳ này]]/Table1[[#This Row],[TỔNG CỘNG TÀI SẢN]]</f>
        <v>#DIV/0!</v>
      </c>
      <c r="S634" s="21" t="e">
        <f>Table1[[#This Row],[5. Lợi nhuận gộp về bán hàng và cung cấp dịch vụ]]/Table1[[#This Row],[TỔNG CỘNG TÀI SẢN]]</f>
        <v>#DIV/0!</v>
      </c>
      <c r="T63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634" s="23" t="e">
        <f>Table1[[#This Row],[1. Doanh thu bán hàng và cung cấp dịch vụ ]]/Table1[[#This Row],[TỔNG CỘNG TÀI SẢN]]</f>
        <v>#DIV/0!</v>
      </c>
      <c r="V634" s="23" t="e">
        <f>1.2*Table1[[#This Row],[X1]] + 1.4*Table1[[#This Row],[X2]] + 3.3*Table1[[#This Row],[x3]] + 0.6*Table1[[#This Row],[x4]] + 1*Table1[[#This Row],[x5]]</f>
        <v>#DIV/0!</v>
      </c>
      <c r="W634" s="23" t="e">
        <f>IF(Table1[[#This Row],[Zscore]]&lt;1.81,1,0)</f>
        <v>#DIV/0!</v>
      </c>
    </row>
    <row r="635" spans="1:23" x14ac:dyDescent="0.45">
      <c r="A635" s="7">
        <v>629</v>
      </c>
      <c r="B635" s="5" t="s">
        <v>1271</v>
      </c>
      <c r="C635" s="6" t="s">
        <v>1272</v>
      </c>
      <c r="D635" s="6" t="s">
        <v>18</v>
      </c>
      <c r="E635" s="8">
        <v>1652966653507</v>
      </c>
      <c r="F635" s="8">
        <v>500104523198</v>
      </c>
      <c r="G635" s="8">
        <v>478028101281</v>
      </c>
      <c r="H635" s="8">
        <v>84494350500</v>
      </c>
      <c r="I635" s="8">
        <v>524364314327</v>
      </c>
      <c r="J635" s="8"/>
      <c r="K635" s="8">
        <v>787513582634</v>
      </c>
      <c r="L635" s="8">
        <v>2752010029424</v>
      </c>
      <c r="M635" s="8">
        <v>1357542564700</v>
      </c>
      <c r="N635" s="8">
        <v>1396973261600</v>
      </c>
      <c r="O635" s="8">
        <v>1323744824500</v>
      </c>
      <c r="P635" s="8">
        <v>1408239175000</v>
      </c>
      <c r="Q635" s="18">
        <f>(Table1[[#This Row],[A. TÀI SẢN NGẮN HẠN]]-Table1[[#This Row],[I. Nợ ngắn hạn]])/Table1[[#This Row],[TỔNG CỘNG TÀI SẢN]]</f>
        <v>1.3355636588410167E-2</v>
      </c>
      <c r="R635" s="18">
        <f>Table1[[#This Row],[- LNST chưa phân phối kỳ này]]/Table1[[#This Row],[TỔNG CỘNG TÀI SẢN]]</f>
        <v>5.1116790723353928E-2</v>
      </c>
      <c r="S635" s="21">
        <f>Table1[[#This Row],[5. Lợi nhuận gộp về bán hàng và cung cấp dịch vụ]]/Table1[[#This Row],[TỔNG CỘNG TÀI SẢN]]</f>
        <v>0.31722619038592687</v>
      </c>
      <c r="T63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1.7417159356951282</v>
      </c>
      <c r="U635" s="23">
        <f>Table1[[#This Row],[1. Doanh thu bán hàng và cung cấp dịch vụ ]]/Table1[[#This Row],[TỔNG CỘNG TÀI SẢN]]</f>
        <v>1.6648914384238942</v>
      </c>
      <c r="V635" s="23">
        <f>1.2*Table1[[#This Row],[X1]] + 1.4*Table1[[#This Row],[X2]] + 3.3*Table1[[#This Row],[x3]] + 0.6*Table1[[#This Row],[x4]] + 1*Table1[[#This Row],[x5]]</f>
        <v>3.844357699033317</v>
      </c>
      <c r="W635" s="23">
        <f>IF(Table1[[#This Row],[Zscore]]&lt;1.81,1,0)</f>
        <v>0</v>
      </c>
    </row>
    <row r="636" spans="1:23" ht="26.25" hidden="1" x14ac:dyDescent="0.45">
      <c r="A636" s="7">
        <v>630</v>
      </c>
      <c r="B636" s="5" t="s">
        <v>1273</v>
      </c>
      <c r="C636" s="6" t="s">
        <v>1274</v>
      </c>
      <c r="D636" s="6" t="s">
        <v>13</v>
      </c>
      <c r="E636" s="6"/>
      <c r="F636" s="6"/>
      <c r="G636" s="6"/>
      <c r="H636" s="6"/>
      <c r="I636" s="6"/>
      <c r="J636" s="8"/>
      <c r="K636" s="6"/>
      <c r="L636" s="6"/>
      <c r="M636" s="8"/>
      <c r="N636" s="8"/>
      <c r="O636" s="8"/>
      <c r="P636" s="8"/>
      <c r="Q636" s="18" t="e">
        <f>(Table1[[#This Row],[A. TÀI SẢN NGẮN HẠN]]-Table1[[#This Row],[I. Nợ ngắn hạn]])/Table1[[#This Row],[TỔNG CỘNG TÀI SẢN]]</f>
        <v>#DIV/0!</v>
      </c>
      <c r="R636" s="18" t="e">
        <f>Table1[[#This Row],[- LNST chưa phân phối kỳ này]]/Table1[[#This Row],[TỔNG CỘNG TÀI SẢN]]</f>
        <v>#DIV/0!</v>
      </c>
      <c r="S636" s="21" t="e">
        <f>Table1[[#This Row],[5. Lợi nhuận gộp về bán hàng và cung cấp dịch vụ]]/Table1[[#This Row],[TỔNG CỘNG TÀI SẢN]]</f>
        <v>#DIV/0!</v>
      </c>
      <c r="T63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636" s="23" t="e">
        <f>Table1[[#This Row],[1. Doanh thu bán hàng và cung cấp dịch vụ ]]/Table1[[#This Row],[TỔNG CỘNG TÀI SẢN]]</f>
        <v>#DIV/0!</v>
      </c>
      <c r="V636" s="23" t="e">
        <f>1.2*Table1[[#This Row],[X1]] + 1.4*Table1[[#This Row],[X2]] + 3.3*Table1[[#This Row],[x3]] + 0.6*Table1[[#This Row],[x4]] + 1*Table1[[#This Row],[x5]]</f>
        <v>#DIV/0!</v>
      </c>
      <c r="W636" s="23" t="e">
        <f>IF(Table1[[#This Row],[Zscore]]&lt;1.81,1,0)</f>
        <v>#DIV/0!</v>
      </c>
    </row>
    <row r="637" spans="1:23" ht="26.25" x14ac:dyDescent="0.45">
      <c r="A637" s="7">
        <v>631</v>
      </c>
      <c r="B637" s="5" t="s">
        <v>1275</v>
      </c>
      <c r="C637" s="6" t="s">
        <v>1276</v>
      </c>
      <c r="D637" s="6" t="s">
        <v>36</v>
      </c>
      <c r="E637" s="8">
        <v>254040865698</v>
      </c>
      <c r="F637" s="8">
        <v>156076908632</v>
      </c>
      <c r="G637" s="8">
        <v>91624162416</v>
      </c>
      <c r="H637" s="8">
        <v>55578787846</v>
      </c>
      <c r="I637" s="8">
        <v>94032403452</v>
      </c>
      <c r="J637" s="8"/>
      <c r="K637" s="8">
        <v>93267606958</v>
      </c>
      <c r="L637" s="8">
        <v>1132865358118</v>
      </c>
      <c r="M637" s="8">
        <v>521805700000</v>
      </c>
      <c r="N637" s="8">
        <v>502737518100</v>
      </c>
      <c r="O637" s="8">
        <v>541072372000</v>
      </c>
      <c r="P637" s="8">
        <v>433500120000</v>
      </c>
      <c r="Q637" s="18">
        <f>(Table1[[#This Row],[A. TÀI SẢN NGẮN HẠN]]-Table1[[#This Row],[I. Nợ ngắn hạn]])/Table1[[#This Row],[TỔNG CỘNG TÀI SẢN]]</f>
        <v>0.25371015028983751</v>
      </c>
      <c r="R637" s="18">
        <f>Table1[[#This Row],[- LNST chưa phân phối kỳ này]]/Table1[[#This Row],[TỔNG CỘNG TÀI SẢN]]</f>
        <v>0.21877892634829563</v>
      </c>
      <c r="S637" s="21">
        <f>Table1[[#This Row],[5. Lợi nhuận gộp về bán hàng và cung cấp dịch vụ]]/Table1[[#This Row],[TỔNG CỘNG TÀI SẢN]]</f>
        <v>0.37014676041839789</v>
      </c>
      <c r="T63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5.3585477726479995</v>
      </c>
      <c r="U637" s="23">
        <f>Table1[[#This Row],[1. Doanh thu bán hàng và cung cấp dịch vụ ]]/Table1[[#This Row],[TỔNG CỘNG TÀI SẢN]]</f>
        <v>4.4593823714359937</v>
      </c>
      <c r="V637" s="23">
        <f>1.2*Table1[[#This Row],[X1]] + 1.4*Table1[[#This Row],[X2]] + 3.3*Table1[[#This Row],[x3]] + 0.6*Table1[[#This Row],[x4]] + 1*Table1[[#This Row],[x5]]</f>
        <v>9.5067380216409241</v>
      </c>
      <c r="W637" s="23">
        <f>IF(Table1[[#This Row],[Zscore]]&lt;1.81,1,0)</f>
        <v>0</v>
      </c>
    </row>
    <row r="638" spans="1:23" ht="26.25" x14ac:dyDescent="0.45">
      <c r="A638" s="7">
        <v>632</v>
      </c>
      <c r="B638" s="5" t="s">
        <v>1277</v>
      </c>
      <c r="C638" s="6" t="s">
        <v>1278</v>
      </c>
      <c r="D638" s="6" t="s">
        <v>18</v>
      </c>
      <c r="E638" s="8">
        <v>186186088612</v>
      </c>
      <c r="F638" s="8">
        <v>25264386519</v>
      </c>
      <c r="G638" s="8">
        <v>35402157080</v>
      </c>
      <c r="H638" s="8">
        <v>-26469784046</v>
      </c>
      <c r="I638" s="8">
        <v>-4373545018</v>
      </c>
      <c r="J638" s="8"/>
      <c r="K638" s="8">
        <v>48343928060</v>
      </c>
      <c r="L638" s="8">
        <v>34712779671</v>
      </c>
      <c r="M638" s="8">
        <v>138607200000</v>
      </c>
      <c r="N638" s="8">
        <v>118072800000</v>
      </c>
      <c r="O638" s="8">
        <v>139890600000</v>
      </c>
      <c r="P638" s="8">
        <v>111655800000</v>
      </c>
      <c r="Q638" s="18">
        <f>(Table1[[#This Row],[A. TÀI SẢN NGẮN HẠN]]-Table1[[#This Row],[I. Nợ ngắn hạn]])/Table1[[#This Row],[TỔNG CỘNG TÀI SẢN]]</f>
        <v>-5.4449667193591844E-2</v>
      </c>
      <c r="R638" s="18">
        <f>Table1[[#This Row],[- LNST chưa phân phối kỳ này]]/Table1[[#This Row],[TỔNG CỘNG TÀI SẢN]]</f>
        <v>-0.14216843075296218</v>
      </c>
      <c r="S638" s="21">
        <f>Table1[[#This Row],[5. Lợi nhuận gộp về bán hàng và cung cấp dịch vụ]]/Table1[[#This Row],[TỔNG CỘNG TÀI SẢN]]</f>
        <v>-2.3490181520028547E-2</v>
      </c>
      <c r="T63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2.6281811408106748</v>
      </c>
      <c r="U638" s="23">
        <f>Table1[[#This Row],[1. Doanh thu bán hàng và cung cấp dịch vụ ]]/Table1[[#This Row],[TỔNG CỘNG TÀI SẢN]]</f>
        <v>0.18644131755374715</v>
      </c>
      <c r="V638" s="23">
        <f>1.2*Table1[[#This Row],[X1]] + 1.4*Table1[[#This Row],[X2]] + 3.3*Table1[[#This Row],[x3]] + 0.6*Table1[[#This Row],[x4]] + 1*Table1[[#This Row],[x5]]</f>
        <v>1.4214569993376007</v>
      </c>
      <c r="W638" s="23">
        <f>IF(Table1[[#This Row],[Zscore]]&lt;1.81,1,0)</f>
        <v>1</v>
      </c>
    </row>
    <row r="639" spans="1:23" hidden="1" x14ac:dyDescent="0.45">
      <c r="A639" s="7">
        <v>633</v>
      </c>
      <c r="B639" s="5" t="s">
        <v>1279</v>
      </c>
      <c r="C639" s="6" t="s">
        <v>1280</v>
      </c>
      <c r="D639" s="6" t="s">
        <v>18</v>
      </c>
      <c r="E639" s="6"/>
      <c r="F639" s="6"/>
      <c r="G639" s="6"/>
      <c r="H639" s="6"/>
      <c r="I639" s="6"/>
      <c r="J639" s="8"/>
      <c r="K639" s="6"/>
      <c r="L639" s="6"/>
      <c r="M639" s="8"/>
      <c r="N639" s="8"/>
      <c r="O639" s="8"/>
      <c r="P639" s="8"/>
      <c r="Q639" s="18" t="e">
        <f>(Table1[[#This Row],[A. TÀI SẢN NGẮN HẠN]]-Table1[[#This Row],[I. Nợ ngắn hạn]])/Table1[[#This Row],[TỔNG CỘNG TÀI SẢN]]</f>
        <v>#DIV/0!</v>
      </c>
      <c r="R639" s="18" t="e">
        <f>Table1[[#This Row],[- LNST chưa phân phối kỳ này]]/Table1[[#This Row],[TỔNG CỘNG TÀI SẢN]]</f>
        <v>#DIV/0!</v>
      </c>
      <c r="S639" s="21" t="e">
        <f>Table1[[#This Row],[5. Lợi nhuận gộp về bán hàng và cung cấp dịch vụ]]/Table1[[#This Row],[TỔNG CỘNG TÀI SẢN]]</f>
        <v>#DIV/0!</v>
      </c>
      <c r="T63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639" s="23" t="e">
        <f>Table1[[#This Row],[1. Doanh thu bán hàng và cung cấp dịch vụ ]]/Table1[[#This Row],[TỔNG CỘNG TÀI SẢN]]</f>
        <v>#DIV/0!</v>
      </c>
      <c r="V639" s="23" t="e">
        <f>1.2*Table1[[#This Row],[X1]] + 1.4*Table1[[#This Row],[X2]] + 3.3*Table1[[#This Row],[x3]] + 0.6*Table1[[#This Row],[x4]] + 1*Table1[[#This Row],[x5]]</f>
        <v>#DIV/0!</v>
      </c>
      <c r="W639" s="23" t="e">
        <f>IF(Table1[[#This Row],[Zscore]]&lt;1.81,1,0)</f>
        <v>#DIV/0!</v>
      </c>
    </row>
    <row r="640" spans="1:23" hidden="1" x14ac:dyDescent="0.45">
      <c r="A640" s="7">
        <v>634</v>
      </c>
      <c r="B640" s="5" t="s">
        <v>1281</v>
      </c>
      <c r="C640" s="6" t="s">
        <v>1282</v>
      </c>
      <c r="D640" s="6" t="s">
        <v>13</v>
      </c>
      <c r="E640" s="6"/>
      <c r="F640" s="6"/>
      <c r="G640" s="6"/>
      <c r="H640" s="6"/>
      <c r="I640" s="6"/>
      <c r="J640" s="8"/>
      <c r="K640" s="6"/>
      <c r="L640" s="6"/>
      <c r="M640" s="8"/>
      <c r="N640" s="8"/>
      <c r="O640" s="8"/>
      <c r="P640" s="8"/>
      <c r="Q640" s="18" t="e">
        <f>(Table1[[#This Row],[A. TÀI SẢN NGẮN HẠN]]-Table1[[#This Row],[I. Nợ ngắn hạn]])/Table1[[#This Row],[TỔNG CỘNG TÀI SẢN]]</f>
        <v>#DIV/0!</v>
      </c>
      <c r="R640" s="18" t="e">
        <f>Table1[[#This Row],[- LNST chưa phân phối kỳ này]]/Table1[[#This Row],[TỔNG CỘNG TÀI SẢN]]</f>
        <v>#DIV/0!</v>
      </c>
      <c r="S640" s="21" t="e">
        <f>Table1[[#This Row],[5. Lợi nhuận gộp về bán hàng và cung cấp dịch vụ]]/Table1[[#This Row],[TỔNG CỘNG TÀI SẢN]]</f>
        <v>#DIV/0!</v>
      </c>
      <c r="T64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640" s="23" t="e">
        <f>Table1[[#This Row],[1. Doanh thu bán hàng và cung cấp dịch vụ ]]/Table1[[#This Row],[TỔNG CỘNG TÀI SẢN]]</f>
        <v>#DIV/0!</v>
      </c>
      <c r="V640" s="23" t="e">
        <f>1.2*Table1[[#This Row],[X1]] + 1.4*Table1[[#This Row],[X2]] + 3.3*Table1[[#This Row],[x3]] + 0.6*Table1[[#This Row],[x4]] + 1*Table1[[#This Row],[x5]]</f>
        <v>#DIV/0!</v>
      </c>
      <c r="W640" s="23" t="e">
        <f>IF(Table1[[#This Row],[Zscore]]&lt;1.81,1,0)</f>
        <v>#DIV/0!</v>
      </c>
    </row>
    <row r="641" spans="1:23" ht="26.25" hidden="1" x14ac:dyDescent="0.45">
      <c r="A641" s="7">
        <v>635</v>
      </c>
      <c r="B641" s="5" t="s">
        <v>1283</v>
      </c>
      <c r="C641" s="6" t="s">
        <v>1284</v>
      </c>
      <c r="D641" s="6" t="s">
        <v>13</v>
      </c>
      <c r="E641" s="6"/>
      <c r="F641" s="6"/>
      <c r="G641" s="6"/>
      <c r="H641" s="6"/>
      <c r="I641" s="6"/>
      <c r="J641" s="8"/>
      <c r="K641" s="6"/>
      <c r="L641" s="6"/>
      <c r="M641" s="8"/>
      <c r="N641" s="8"/>
      <c r="O641" s="8"/>
      <c r="P641" s="8"/>
      <c r="Q641" s="18" t="e">
        <f>(Table1[[#This Row],[A. TÀI SẢN NGẮN HẠN]]-Table1[[#This Row],[I. Nợ ngắn hạn]])/Table1[[#This Row],[TỔNG CỘNG TÀI SẢN]]</f>
        <v>#DIV/0!</v>
      </c>
      <c r="R641" s="18" t="e">
        <f>Table1[[#This Row],[- LNST chưa phân phối kỳ này]]/Table1[[#This Row],[TỔNG CỘNG TÀI SẢN]]</f>
        <v>#DIV/0!</v>
      </c>
      <c r="S641" s="21" t="e">
        <f>Table1[[#This Row],[5. Lợi nhuận gộp về bán hàng và cung cấp dịch vụ]]/Table1[[#This Row],[TỔNG CỘNG TÀI SẢN]]</f>
        <v>#DIV/0!</v>
      </c>
      <c r="T64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641" s="23" t="e">
        <f>Table1[[#This Row],[1. Doanh thu bán hàng và cung cấp dịch vụ ]]/Table1[[#This Row],[TỔNG CỘNG TÀI SẢN]]</f>
        <v>#DIV/0!</v>
      </c>
      <c r="V641" s="23" t="e">
        <f>1.2*Table1[[#This Row],[X1]] + 1.4*Table1[[#This Row],[X2]] + 3.3*Table1[[#This Row],[x3]] + 0.6*Table1[[#This Row],[x4]] + 1*Table1[[#This Row],[x5]]</f>
        <v>#DIV/0!</v>
      </c>
      <c r="W641" s="23" t="e">
        <f>IF(Table1[[#This Row],[Zscore]]&lt;1.81,1,0)</f>
        <v>#DIV/0!</v>
      </c>
    </row>
    <row r="642" spans="1:23" ht="26.25" x14ac:dyDescent="0.45">
      <c r="A642" s="7">
        <v>636</v>
      </c>
      <c r="B642" s="5" t="s">
        <v>1285</v>
      </c>
      <c r="C642" s="6" t="s">
        <v>1286</v>
      </c>
      <c r="D642" s="6" t="s">
        <v>18</v>
      </c>
      <c r="E642" s="8">
        <v>7422940181888</v>
      </c>
      <c r="F642" s="8">
        <v>2825980163669</v>
      </c>
      <c r="G642" s="8">
        <v>449922142018</v>
      </c>
      <c r="H642" s="8">
        <v>300672541289</v>
      </c>
      <c r="I642" s="8">
        <v>1225548417877</v>
      </c>
      <c r="J642" s="8"/>
      <c r="K642" s="8">
        <v>1627615612753</v>
      </c>
      <c r="L642" s="8">
        <v>2284689908294</v>
      </c>
      <c r="M642" s="8">
        <v>21120000000000</v>
      </c>
      <c r="N642" s="8">
        <v>21457920000000</v>
      </c>
      <c r="O642" s="8">
        <v>15459840000000</v>
      </c>
      <c r="P642" s="8">
        <v>19092480000000</v>
      </c>
      <c r="Q642" s="18">
        <f>(Table1[[#This Row],[A. TÀI SẢN NGẮN HẠN]]-Table1[[#This Row],[I. Nợ ngắn hạn]])/Table1[[#This Row],[TỔNG CỘNG TÀI SẢN]]</f>
        <v>0.32009661447206456</v>
      </c>
      <c r="R642" s="18">
        <f>Table1[[#This Row],[- LNST chưa phân phối kỳ này]]/Table1[[#This Row],[TỔNG CỘNG TÀI SẢN]]</f>
        <v>4.0505855351312417E-2</v>
      </c>
      <c r="S642" s="21">
        <f>Table1[[#This Row],[5. Lợi nhuận gộp về bán hàng và cung cấp dịch vụ]]/Table1[[#This Row],[TỔNG CỘNG TÀI SẢN]]</f>
        <v>0.16510282823878097</v>
      </c>
      <c r="T64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11.847121549408632</v>
      </c>
      <c r="U642" s="23">
        <f>Table1[[#This Row],[1. Doanh thu bán hàng và cung cấp dịch vụ ]]/Table1[[#This Row],[TỔNG CỘNG TÀI SẢN]]</f>
        <v>0.30778772997102299</v>
      </c>
      <c r="V642" s="23">
        <f>1.2*Table1[[#This Row],[X1]] + 1.4*Table1[[#This Row],[X2]] + 3.3*Table1[[#This Row],[x3]] + 0.6*Table1[[#This Row],[x4]] + 1*Table1[[#This Row],[x5]]</f>
        <v>8.4017241276624937</v>
      </c>
      <c r="W642" s="23">
        <f>IF(Table1[[#This Row],[Zscore]]&lt;1.81,1,0)</f>
        <v>0</v>
      </c>
    </row>
    <row r="643" spans="1:23" hidden="1" x14ac:dyDescent="0.45">
      <c r="A643" s="7">
        <v>637</v>
      </c>
      <c r="B643" s="5" t="s">
        <v>1287</v>
      </c>
      <c r="C643" s="6" t="s">
        <v>1288</v>
      </c>
      <c r="D643" s="6" t="s">
        <v>18</v>
      </c>
      <c r="E643" s="6"/>
      <c r="F643" s="6"/>
      <c r="G643" s="6"/>
      <c r="H643" s="6"/>
      <c r="I643" s="6"/>
      <c r="J643" s="8"/>
      <c r="K643" s="6"/>
      <c r="L643" s="6"/>
      <c r="M643" s="8"/>
      <c r="N643" s="8"/>
      <c r="O643" s="8"/>
      <c r="P643" s="8"/>
      <c r="Q643" s="18" t="e">
        <f>(Table1[[#This Row],[A. TÀI SẢN NGẮN HẠN]]-Table1[[#This Row],[I. Nợ ngắn hạn]])/Table1[[#This Row],[TỔNG CỘNG TÀI SẢN]]</f>
        <v>#DIV/0!</v>
      </c>
      <c r="R643" s="18" t="e">
        <f>Table1[[#This Row],[- LNST chưa phân phối kỳ này]]/Table1[[#This Row],[TỔNG CỘNG TÀI SẢN]]</f>
        <v>#DIV/0!</v>
      </c>
      <c r="S643" s="21" t="e">
        <f>Table1[[#This Row],[5. Lợi nhuận gộp về bán hàng và cung cấp dịch vụ]]/Table1[[#This Row],[TỔNG CỘNG TÀI SẢN]]</f>
        <v>#DIV/0!</v>
      </c>
      <c r="T64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643" s="23" t="e">
        <f>Table1[[#This Row],[1. Doanh thu bán hàng và cung cấp dịch vụ ]]/Table1[[#This Row],[TỔNG CỘNG TÀI SẢN]]</f>
        <v>#DIV/0!</v>
      </c>
      <c r="V643" s="23" t="e">
        <f>1.2*Table1[[#This Row],[X1]] + 1.4*Table1[[#This Row],[X2]] + 3.3*Table1[[#This Row],[x3]] + 0.6*Table1[[#This Row],[x4]] + 1*Table1[[#This Row],[x5]]</f>
        <v>#DIV/0!</v>
      </c>
      <c r="W643" s="23" t="e">
        <f>IF(Table1[[#This Row],[Zscore]]&lt;1.81,1,0)</f>
        <v>#DIV/0!</v>
      </c>
    </row>
    <row r="644" spans="1:23" ht="26.25" hidden="1" x14ac:dyDescent="0.45">
      <c r="A644" s="7">
        <v>638</v>
      </c>
      <c r="B644" s="5" t="s">
        <v>1289</v>
      </c>
      <c r="C644" s="6" t="s">
        <v>1290</v>
      </c>
      <c r="D644" s="6" t="s">
        <v>18</v>
      </c>
      <c r="E644" s="6"/>
      <c r="F644" s="6"/>
      <c r="G644" s="6"/>
      <c r="H644" s="6"/>
      <c r="I644" s="6"/>
      <c r="J644" s="8"/>
      <c r="K644" s="6"/>
      <c r="L644" s="6"/>
      <c r="M644" s="8"/>
      <c r="N644" s="8"/>
      <c r="O644" s="8"/>
      <c r="P644" s="8"/>
      <c r="Q644" s="18" t="e">
        <f>(Table1[[#This Row],[A. TÀI SẢN NGẮN HẠN]]-Table1[[#This Row],[I. Nợ ngắn hạn]])/Table1[[#This Row],[TỔNG CỘNG TÀI SẢN]]</f>
        <v>#DIV/0!</v>
      </c>
      <c r="R644" s="18" t="e">
        <f>Table1[[#This Row],[- LNST chưa phân phối kỳ này]]/Table1[[#This Row],[TỔNG CỘNG TÀI SẢN]]</f>
        <v>#DIV/0!</v>
      </c>
      <c r="S644" s="21" t="e">
        <f>Table1[[#This Row],[5. Lợi nhuận gộp về bán hàng và cung cấp dịch vụ]]/Table1[[#This Row],[TỔNG CỘNG TÀI SẢN]]</f>
        <v>#DIV/0!</v>
      </c>
      <c r="T64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644" s="23" t="e">
        <f>Table1[[#This Row],[1. Doanh thu bán hàng và cung cấp dịch vụ ]]/Table1[[#This Row],[TỔNG CỘNG TÀI SẢN]]</f>
        <v>#DIV/0!</v>
      </c>
      <c r="V644" s="23" t="e">
        <f>1.2*Table1[[#This Row],[X1]] + 1.4*Table1[[#This Row],[X2]] + 3.3*Table1[[#This Row],[x3]] + 0.6*Table1[[#This Row],[x4]] + 1*Table1[[#This Row],[x5]]</f>
        <v>#DIV/0!</v>
      </c>
      <c r="W644" s="23" t="e">
        <f>IF(Table1[[#This Row],[Zscore]]&lt;1.81,1,0)</f>
        <v>#DIV/0!</v>
      </c>
    </row>
    <row r="645" spans="1:23" x14ac:dyDescent="0.45">
      <c r="A645" s="7">
        <v>639</v>
      </c>
      <c r="B645" s="5" t="s">
        <v>1291</v>
      </c>
      <c r="C645" s="6" t="s">
        <v>1292</v>
      </c>
      <c r="D645" s="6" t="s">
        <v>18</v>
      </c>
      <c r="E645" s="8">
        <v>1562688701188</v>
      </c>
      <c r="F645" s="8">
        <v>590133052327</v>
      </c>
      <c r="G645" s="8">
        <v>256319483112</v>
      </c>
      <c r="H645" s="8">
        <v>181868776920</v>
      </c>
      <c r="I645" s="8">
        <v>340186858583</v>
      </c>
      <c r="J645" s="8"/>
      <c r="K645" s="8">
        <v>666853658268</v>
      </c>
      <c r="L645" s="8">
        <v>774253058664</v>
      </c>
      <c r="M645" s="8">
        <v>11592812200</v>
      </c>
      <c r="N645" s="8">
        <v>237652650100</v>
      </c>
      <c r="O645" s="8">
        <v>75353279300</v>
      </c>
      <c r="P645" s="8">
        <v>185484995200</v>
      </c>
      <c r="Q645" s="18">
        <f>(Table1[[#This Row],[A. TÀI SẢN NGẮN HẠN]]-Table1[[#This Row],[I. Nợ ngắn hạn]])/Table1[[#This Row],[TỔNG CỘNG TÀI SẢN]]</f>
        <v>0.21361488629259653</v>
      </c>
      <c r="R645" s="18">
        <f>Table1[[#This Row],[- LNST chưa phân phối kỳ này]]/Table1[[#This Row],[TỔNG CỘNG TÀI SẢN]]</f>
        <v>0.11638196192353488</v>
      </c>
      <c r="S645" s="21">
        <f>Table1[[#This Row],[5. Lợi nhuận gộp về bán hàng và cung cấp dịch vụ]]/Table1[[#This Row],[TỔNG CỘNG TÀI SẢN]]</f>
        <v>0.21769329894327666</v>
      </c>
      <c r="T64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0.19122776432119529</v>
      </c>
      <c r="U645" s="23">
        <f>Table1[[#This Row],[1. Doanh thu bán hàng và cung cấp dịch vụ ]]/Table1[[#This Row],[TỔNG CỘNG TÀI SẢN]]</f>
        <v>0.49546212119879729</v>
      </c>
      <c r="V645" s="23">
        <f>1.2*Table1[[#This Row],[X1]] + 1.4*Table1[[#This Row],[X2]] + 3.3*Table1[[#This Row],[x3]] + 0.6*Table1[[#This Row],[x4]] + 1*Table1[[#This Row],[x5]]</f>
        <v>1.747859276548392</v>
      </c>
      <c r="W645" s="23">
        <f>IF(Table1[[#This Row],[Zscore]]&lt;1.81,1,0)</f>
        <v>1</v>
      </c>
    </row>
    <row r="646" spans="1:23" x14ac:dyDescent="0.45">
      <c r="A646" s="7">
        <v>640</v>
      </c>
      <c r="B646" s="5" t="s">
        <v>1293</v>
      </c>
      <c r="C646" s="6" t="s">
        <v>1294</v>
      </c>
      <c r="D646" s="6" t="s">
        <v>36</v>
      </c>
      <c r="E646" s="8">
        <v>19194863087020</v>
      </c>
      <c r="F646" s="8">
        <v>10684582955060</v>
      </c>
      <c r="G646" s="8">
        <v>6393641970790</v>
      </c>
      <c r="H646" s="8">
        <v>147931366444</v>
      </c>
      <c r="I646" s="8">
        <v>1615434410206</v>
      </c>
      <c r="J646" s="8"/>
      <c r="K646" s="8">
        <v>12800633980560</v>
      </c>
      <c r="L646" s="8">
        <v>9679765509197</v>
      </c>
      <c r="M646" s="8">
        <v>2664258080400</v>
      </c>
      <c r="N646" s="8">
        <v>3044866377600</v>
      </c>
      <c r="O646" s="8">
        <v>3101252792000</v>
      </c>
      <c r="P646" s="8">
        <v>2960286756000</v>
      </c>
      <c r="Q646" s="18">
        <f>(Table1[[#This Row],[A. TÀI SẢN NGẮN HẠN]]-Table1[[#This Row],[I. Nợ ngắn hạn]])/Table1[[#This Row],[TỔNG CỘNG TÀI SẢN]]</f>
        <v>0.22354631886755322</v>
      </c>
      <c r="R646" s="18">
        <f>Table1[[#This Row],[- LNST chưa phân phối kỳ này]]/Table1[[#This Row],[TỔNG CỘNG TÀI SẢN]]</f>
        <v>7.7068206099388395E-3</v>
      </c>
      <c r="S646" s="21">
        <f>Table1[[#This Row],[5. Lợi nhuận gộp về bán hàng và cung cấp dịch vụ]]/Table1[[#This Row],[TỔNG CỘNG TÀI SẢN]]</f>
        <v>8.4159725593374674E-2</v>
      </c>
      <c r="T64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0.22988439525487195</v>
      </c>
      <c r="U646" s="23">
        <f>Table1[[#This Row],[1. Doanh thu bán hàng và cung cấp dịch vụ ]]/Table1[[#This Row],[TỔNG CỘNG TÀI SẢN]]</f>
        <v>0.50428937499130566</v>
      </c>
      <c r="V646" s="23">
        <f>1.2*Table1[[#This Row],[X1]] + 1.4*Table1[[#This Row],[X2]] + 3.3*Table1[[#This Row],[x3]] + 0.6*Table1[[#This Row],[x4]] + 1*Table1[[#This Row],[x5]]</f>
        <v>1.1989922380973437</v>
      </c>
      <c r="W646" s="23">
        <f>IF(Table1[[#This Row],[Zscore]]&lt;1.81,1,0)</f>
        <v>1</v>
      </c>
    </row>
    <row r="647" spans="1:23" ht="26.25" hidden="1" x14ac:dyDescent="0.45">
      <c r="A647" s="7">
        <v>641</v>
      </c>
      <c r="B647" s="5" t="s">
        <v>1295</v>
      </c>
      <c r="C647" s="6" t="s">
        <v>1296</v>
      </c>
      <c r="D647" s="6" t="s">
        <v>13</v>
      </c>
      <c r="E647" s="6"/>
      <c r="F647" s="6"/>
      <c r="G647" s="6"/>
      <c r="H647" s="6"/>
      <c r="I647" s="6"/>
      <c r="J647" s="8"/>
      <c r="K647" s="6"/>
      <c r="L647" s="6"/>
      <c r="M647" s="8"/>
      <c r="N647" s="8"/>
      <c r="O647" s="8"/>
      <c r="P647" s="8"/>
      <c r="Q647" s="18" t="e">
        <f>(Table1[[#This Row],[A. TÀI SẢN NGẮN HẠN]]-Table1[[#This Row],[I. Nợ ngắn hạn]])/Table1[[#This Row],[TỔNG CỘNG TÀI SẢN]]</f>
        <v>#DIV/0!</v>
      </c>
      <c r="R647" s="18" t="e">
        <f>Table1[[#This Row],[- LNST chưa phân phối kỳ này]]/Table1[[#This Row],[TỔNG CỘNG TÀI SẢN]]</f>
        <v>#DIV/0!</v>
      </c>
      <c r="S647" s="21" t="e">
        <f>Table1[[#This Row],[5. Lợi nhuận gộp về bán hàng và cung cấp dịch vụ]]/Table1[[#This Row],[TỔNG CỘNG TÀI SẢN]]</f>
        <v>#DIV/0!</v>
      </c>
      <c r="T64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647" s="23" t="e">
        <f>Table1[[#This Row],[1. Doanh thu bán hàng và cung cấp dịch vụ ]]/Table1[[#This Row],[TỔNG CỘNG TÀI SẢN]]</f>
        <v>#DIV/0!</v>
      </c>
      <c r="V647" s="23" t="e">
        <f>1.2*Table1[[#This Row],[X1]] + 1.4*Table1[[#This Row],[X2]] + 3.3*Table1[[#This Row],[x3]] + 0.6*Table1[[#This Row],[x4]] + 1*Table1[[#This Row],[x5]]</f>
        <v>#DIV/0!</v>
      </c>
      <c r="W647" s="23" t="e">
        <f>IF(Table1[[#This Row],[Zscore]]&lt;1.81,1,0)</f>
        <v>#DIV/0!</v>
      </c>
    </row>
    <row r="648" spans="1:23" hidden="1" x14ac:dyDescent="0.45">
      <c r="A648" s="7">
        <v>642</v>
      </c>
      <c r="B648" s="5" t="s">
        <v>1297</v>
      </c>
      <c r="C648" s="6" t="s">
        <v>1298</v>
      </c>
      <c r="D648" s="6" t="s">
        <v>13</v>
      </c>
      <c r="E648" s="6"/>
      <c r="F648" s="6"/>
      <c r="G648" s="6"/>
      <c r="H648" s="6"/>
      <c r="I648" s="6"/>
      <c r="J648" s="8"/>
      <c r="K648" s="6"/>
      <c r="L648" s="6"/>
      <c r="M648" s="8"/>
      <c r="N648" s="8"/>
      <c r="O648" s="8"/>
      <c r="P648" s="8"/>
      <c r="Q648" s="18" t="e">
        <f>(Table1[[#This Row],[A. TÀI SẢN NGẮN HẠN]]-Table1[[#This Row],[I. Nợ ngắn hạn]])/Table1[[#This Row],[TỔNG CỘNG TÀI SẢN]]</f>
        <v>#DIV/0!</v>
      </c>
      <c r="R648" s="18" t="e">
        <f>Table1[[#This Row],[- LNST chưa phân phối kỳ này]]/Table1[[#This Row],[TỔNG CỘNG TÀI SẢN]]</f>
        <v>#DIV/0!</v>
      </c>
      <c r="S648" s="21" t="e">
        <f>Table1[[#This Row],[5. Lợi nhuận gộp về bán hàng và cung cấp dịch vụ]]/Table1[[#This Row],[TỔNG CỘNG TÀI SẢN]]</f>
        <v>#DIV/0!</v>
      </c>
      <c r="T64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648" s="23" t="e">
        <f>Table1[[#This Row],[1. Doanh thu bán hàng và cung cấp dịch vụ ]]/Table1[[#This Row],[TỔNG CỘNG TÀI SẢN]]</f>
        <v>#DIV/0!</v>
      </c>
      <c r="V648" s="23" t="e">
        <f>1.2*Table1[[#This Row],[X1]] + 1.4*Table1[[#This Row],[X2]] + 3.3*Table1[[#This Row],[x3]] + 0.6*Table1[[#This Row],[x4]] + 1*Table1[[#This Row],[x5]]</f>
        <v>#DIV/0!</v>
      </c>
      <c r="W648" s="23" t="e">
        <f>IF(Table1[[#This Row],[Zscore]]&lt;1.81,1,0)</f>
        <v>#DIV/0!</v>
      </c>
    </row>
    <row r="649" spans="1:23" hidden="1" x14ac:dyDescent="0.45">
      <c r="A649" s="7">
        <v>643</v>
      </c>
      <c r="B649" s="5" t="s">
        <v>1299</v>
      </c>
      <c r="C649" s="6" t="s">
        <v>1300</v>
      </c>
      <c r="D649" s="6" t="s">
        <v>18</v>
      </c>
      <c r="E649" s="6"/>
      <c r="F649" s="6"/>
      <c r="G649" s="6"/>
      <c r="H649" s="6"/>
      <c r="I649" s="6"/>
      <c r="J649" s="8"/>
      <c r="K649" s="6"/>
      <c r="L649" s="6"/>
      <c r="M649" s="8"/>
      <c r="N649" s="8"/>
      <c r="O649" s="8"/>
      <c r="P649" s="8"/>
      <c r="Q649" s="18" t="e">
        <f>(Table1[[#This Row],[A. TÀI SẢN NGẮN HẠN]]-Table1[[#This Row],[I. Nợ ngắn hạn]])/Table1[[#This Row],[TỔNG CỘNG TÀI SẢN]]</f>
        <v>#DIV/0!</v>
      </c>
      <c r="R649" s="18" t="e">
        <f>Table1[[#This Row],[- LNST chưa phân phối kỳ này]]/Table1[[#This Row],[TỔNG CỘNG TÀI SẢN]]</f>
        <v>#DIV/0!</v>
      </c>
      <c r="S649" s="21" t="e">
        <f>Table1[[#This Row],[5. Lợi nhuận gộp về bán hàng và cung cấp dịch vụ]]/Table1[[#This Row],[TỔNG CỘNG TÀI SẢN]]</f>
        <v>#DIV/0!</v>
      </c>
      <c r="T64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649" s="23" t="e">
        <f>Table1[[#This Row],[1. Doanh thu bán hàng và cung cấp dịch vụ ]]/Table1[[#This Row],[TỔNG CỘNG TÀI SẢN]]</f>
        <v>#DIV/0!</v>
      </c>
      <c r="V649" s="23" t="e">
        <f>1.2*Table1[[#This Row],[X1]] + 1.4*Table1[[#This Row],[X2]] + 3.3*Table1[[#This Row],[x3]] + 0.6*Table1[[#This Row],[x4]] + 1*Table1[[#This Row],[x5]]</f>
        <v>#DIV/0!</v>
      </c>
      <c r="W649" s="23" t="e">
        <f>IF(Table1[[#This Row],[Zscore]]&lt;1.81,1,0)</f>
        <v>#DIV/0!</v>
      </c>
    </row>
    <row r="650" spans="1:23" ht="26.25" hidden="1" x14ac:dyDescent="0.45">
      <c r="A650" s="7">
        <v>644</v>
      </c>
      <c r="B650" s="5" t="s">
        <v>1301</v>
      </c>
      <c r="C650" s="6" t="s">
        <v>1302</v>
      </c>
      <c r="D650" s="6" t="s">
        <v>13</v>
      </c>
      <c r="E650" s="6"/>
      <c r="F650" s="6"/>
      <c r="G650" s="6"/>
      <c r="H650" s="6"/>
      <c r="I650" s="6"/>
      <c r="J650" s="8"/>
      <c r="K650" s="6"/>
      <c r="L650" s="6"/>
      <c r="M650" s="8"/>
      <c r="N650" s="8"/>
      <c r="O650" s="8"/>
      <c r="P650" s="8"/>
      <c r="Q650" s="18" t="e">
        <f>(Table1[[#This Row],[A. TÀI SẢN NGẮN HẠN]]-Table1[[#This Row],[I. Nợ ngắn hạn]])/Table1[[#This Row],[TỔNG CỘNG TÀI SẢN]]</f>
        <v>#DIV/0!</v>
      </c>
      <c r="R650" s="18" t="e">
        <f>Table1[[#This Row],[- LNST chưa phân phối kỳ này]]/Table1[[#This Row],[TỔNG CỘNG TÀI SẢN]]</f>
        <v>#DIV/0!</v>
      </c>
      <c r="S650" s="21" t="e">
        <f>Table1[[#This Row],[5. Lợi nhuận gộp về bán hàng và cung cấp dịch vụ]]/Table1[[#This Row],[TỔNG CỘNG TÀI SẢN]]</f>
        <v>#DIV/0!</v>
      </c>
      <c r="T65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650" s="23" t="e">
        <f>Table1[[#This Row],[1. Doanh thu bán hàng và cung cấp dịch vụ ]]/Table1[[#This Row],[TỔNG CỘNG TÀI SẢN]]</f>
        <v>#DIV/0!</v>
      </c>
      <c r="V650" s="23" t="e">
        <f>1.2*Table1[[#This Row],[X1]] + 1.4*Table1[[#This Row],[X2]] + 3.3*Table1[[#This Row],[x3]] + 0.6*Table1[[#This Row],[x4]] + 1*Table1[[#This Row],[x5]]</f>
        <v>#DIV/0!</v>
      </c>
      <c r="W650" s="23" t="e">
        <f>IF(Table1[[#This Row],[Zscore]]&lt;1.81,1,0)</f>
        <v>#DIV/0!</v>
      </c>
    </row>
    <row r="651" spans="1:23" ht="26.25" hidden="1" x14ac:dyDescent="0.45">
      <c r="A651" s="7">
        <v>645</v>
      </c>
      <c r="B651" s="5" t="s">
        <v>1303</v>
      </c>
      <c r="C651" s="6" t="s">
        <v>1304</v>
      </c>
      <c r="D651" s="6" t="s">
        <v>13</v>
      </c>
      <c r="E651" s="6"/>
      <c r="F651" s="6"/>
      <c r="G651" s="6"/>
      <c r="H651" s="6"/>
      <c r="I651" s="6"/>
      <c r="J651" s="8"/>
      <c r="K651" s="6"/>
      <c r="L651" s="6"/>
      <c r="M651" s="8"/>
      <c r="N651" s="8"/>
      <c r="O651" s="8"/>
      <c r="P651" s="8"/>
      <c r="Q651" s="18" t="e">
        <f>(Table1[[#This Row],[A. TÀI SẢN NGẮN HẠN]]-Table1[[#This Row],[I. Nợ ngắn hạn]])/Table1[[#This Row],[TỔNG CỘNG TÀI SẢN]]</f>
        <v>#DIV/0!</v>
      </c>
      <c r="R651" s="18" t="e">
        <f>Table1[[#This Row],[- LNST chưa phân phối kỳ này]]/Table1[[#This Row],[TỔNG CỘNG TÀI SẢN]]</f>
        <v>#DIV/0!</v>
      </c>
      <c r="S651" s="21" t="e">
        <f>Table1[[#This Row],[5. Lợi nhuận gộp về bán hàng và cung cấp dịch vụ]]/Table1[[#This Row],[TỔNG CỘNG TÀI SẢN]]</f>
        <v>#DIV/0!</v>
      </c>
      <c r="T65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651" s="23" t="e">
        <f>Table1[[#This Row],[1. Doanh thu bán hàng và cung cấp dịch vụ ]]/Table1[[#This Row],[TỔNG CỘNG TÀI SẢN]]</f>
        <v>#DIV/0!</v>
      </c>
      <c r="V651" s="23" t="e">
        <f>1.2*Table1[[#This Row],[X1]] + 1.4*Table1[[#This Row],[X2]] + 3.3*Table1[[#This Row],[x3]] + 0.6*Table1[[#This Row],[x4]] + 1*Table1[[#This Row],[x5]]</f>
        <v>#DIV/0!</v>
      </c>
      <c r="W651" s="23" t="e">
        <f>IF(Table1[[#This Row],[Zscore]]&lt;1.81,1,0)</f>
        <v>#DIV/0!</v>
      </c>
    </row>
    <row r="652" spans="1:23" x14ac:dyDescent="0.45">
      <c r="A652" s="7">
        <v>646</v>
      </c>
      <c r="B652" s="5" t="s">
        <v>1305</v>
      </c>
      <c r="C652" s="6" t="s">
        <v>1306</v>
      </c>
      <c r="D652" s="6" t="s">
        <v>18</v>
      </c>
      <c r="E652" s="8">
        <v>3442157722650</v>
      </c>
      <c r="F652" s="8">
        <v>823034993764</v>
      </c>
      <c r="G652" s="8">
        <v>422976932347</v>
      </c>
      <c r="H652" s="8">
        <v>269829375542</v>
      </c>
      <c r="I652" s="8">
        <v>485895952641</v>
      </c>
      <c r="J652" s="8"/>
      <c r="K652" s="8">
        <v>957739391374</v>
      </c>
      <c r="L652" s="8">
        <v>1309241279689</v>
      </c>
      <c r="M652" s="8">
        <v>3840000000000</v>
      </c>
      <c r="N652" s="8">
        <v>4080000000000</v>
      </c>
      <c r="O652" s="8">
        <v>3804000000000</v>
      </c>
      <c r="P652" s="8">
        <v>4080000000000</v>
      </c>
      <c r="Q652" s="18">
        <f>(Table1[[#This Row],[A. TÀI SẢN NGẮN HẠN]]-Table1[[#This Row],[I. Nợ ngắn hạn]])/Table1[[#This Row],[TỔNG CỘNG TÀI SẢN]]</f>
        <v>0.1162230477658092</v>
      </c>
      <c r="R652" s="18">
        <f>Table1[[#This Row],[- LNST chưa phân phối kỳ này]]/Table1[[#This Row],[TỔNG CỘNG TÀI SẢN]]</f>
        <v>7.8389602477096129E-2</v>
      </c>
      <c r="S652" s="21">
        <f>Table1[[#This Row],[5. Lợi nhuận gộp về bán hàng và cung cấp dịch vụ]]/Table1[[#This Row],[TỔNG CỘNG TÀI SẢN]]</f>
        <v>0.14116028136761999</v>
      </c>
      <c r="T65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4.1253393517956738</v>
      </c>
      <c r="U652" s="23">
        <f>Table1[[#This Row],[1. Doanh thu bán hàng và cung cấp dịch vụ ]]/Table1[[#This Row],[TỔNG CỘNG TÀI SẢN]]</f>
        <v>0.38035481961618534</v>
      </c>
      <c r="V652" s="23">
        <f>1.2*Table1[[#This Row],[X1]] + 1.4*Table1[[#This Row],[X2]] + 3.3*Table1[[#This Row],[x3]] + 0.6*Table1[[#This Row],[x4]] + 1*Table1[[#This Row],[x5]]</f>
        <v>3.5706004599936412</v>
      </c>
      <c r="W652" s="23">
        <f>IF(Table1[[#This Row],[Zscore]]&lt;1.81,1,0)</f>
        <v>0</v>
      </c>
    </row>
    <row r="653" spans="1:23" hidden="1" x14ac:dyDescent="0.45">
      <c r="A653" s="7">
        <v>647</v>
      </c>
      <c r="B653" s="5" t="s">
        <v>1307</v>
      </c>
      <c r="C653" s="6" t="s">
        <v>1308</v>
      </c>
      <c r="D653" s="6" t="s">
        <v>13</v>
      </c>
      <c r="E653" s="6"/>
      <c r="F653" s="6"/>
      <c r="G653" s="6"/>
      <c r="H653" s="6"/>
      <c r="I653" s="6"/>
      <c r="J653" s="8"/>
      <c r="K653" s="6"/>
      <c r="L653" s="6"/>
      <c r="M653" s="8"/>
      <c r="N653" s="8"/>
      <c r="O653" s="8"/>
      <c r="P653" s="8"/>
      <c r="Q653" s="18" t="e">
        <f>(Table1[[#This Row],[A. TÀI SẢN NGẮN HẠN]]-Table1[[#This Row],[I. Nợ ngắn hạn]])/Table1[[#This Row],[TỔNG CỘNG TÀI SẢN]]</f>
        <v>#DIV/0!</v>
      </c>
      <c r="R653" s="18" t="e">
        <f>Table1[[#This Row],[- LNST chưa phân phối kỳ này]]/Table1[[#This Row],[TỔNG CỘNG TÀI SẢN]]</f>
        <v>#DIV/0!</v>
      </c>
      <c r="S653" s="21" t="e">
        <f>Table1[[#This Row],[5. Lợi nhuận gộp về bán hàng và cung cấp dịch vụ]]/Table1[[#This Row],[TỔNG CỘNG TÀI SẢN]]</f>
        <v>#DIV/0!</v>
      </c>
      <c r="T65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653" s="23" t="e">
        <f>Table1[[#This Row],[1. Doanh thu bán hàng và cung cấp dịch vụ ]]/Table1[[#This Row],[TỔNG CỘNG TÀI SẢN]]</f>
        <v>#DIV/0!</v>
      </c>
      <c r="V653" s="23" t="e">
        <f>1.2*Table1[[#This Row],[X1]] + 1.4*Table1[[#This Row],[X2]] + 3.3*Table1[[#This Row],[x3]] + 0.6*Table1[[#This Row],[x4]] + 1*Table1[[#This Row],[x5]]</f>
        <v>#DIV/0!</v>
      </c>
      <c r="W653" s="23" t="e">
        <f>IF(Table1[[#This Row],[Zscore]]&lt;1.81,1,0)</f>
        <v>#DIV/0!</v>
      </c>
    </row>
    <row r="654" spans="1:23" ht="26.25" hidden="1" x14ac:dyDescent="0.45">
      <c r="A654" s="7">
        <v>648</v>
      </c>
      <c r="B654" s="5" t="s">
        <v>1309</v>
      </c>
      <c r="C654" s="6" t="s">
        <v>1310</v>
      </c>
      <c r="D654" s="6" t="s">
        <v>18</v>
      </c>
      <c r="E654" s="6"/>
      <c r="F654" s="6"/>
      <c r="G654" s="6"/>
      <c r="H654" s="6"/>
      <c r="I654" s="6"/>
      <c r="J654" s="8"/>
      <c r="K654" s="6"/>
      <c r="L654" s="6"/>
      <c r="M654" s="8"/>
      <c r="N654" s="8"/>
      <c r="O654" s="8"/>
      <c r="P654" s="8"/>
      <c r="Q654" s="18" t="e">
        <f>(Table1[[#This Row],[A. TÀI SẢN NGẮN HẠN]]-Table1[[#This Row],[I. Nợ ngắn hạn]])/Table1[[#This Row],[TỔNG CỘNG TÀI SẢN]]</f>
        <v>#DIV/0!</v>
      </c>
      <c r="R654" s="18" t="e">
        <f>Table1[[#This Row],[- LNST chưa phân phối kỳ này]]/Table1[[#This Row],[TỔNG CỘNG TÀI SẢN]]</f>
        <v>#DIV/0!</v>
      </c>
      <c r="S654" s="21" t="e">
        <f>Table1[[#This Row],[5. Lợi nhuận gộp về bán hàng và cung cấp dịch vụ]]/Table1[[#This Row],[TỔNG CỘNG TÀI SẢN]]</f>
        <v>#DIV/0!</v>
      </c>
      <c r="T65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654" s="23" t="e">
        <f>Table1[[#This Row],[1. Doanh thu bán hàng và cung cấp dịch vụ ]]/Table1[[#This Row],[TỔNG CỘNG TÀI SẢN]]</f>
        <v>#DIV/0!</v>
      </c>
      <c r="V654" s="23" t="e">
        <f>1.2*Table1[[#This Row],[X1]] + 1.4*Table1[[#This Row],[X2]] + 3.3*Table1[[#This Row],[x3]] + 0.6*Table1[[#This Row],[x4]] + 1*Table1[[#This Row],[x5]]</f>
        <v>#DIV/0!</v>
      </c>
      <c r="W654" s="23" t="e">
        <f>IF(Table1[[#This Row],[Zscore]]&lt;1.81,1,0)</f>
        <v>#DIV/0!</v>
      </c>
    </row>
    <row r="655" spans="1:23" ht="26.25" hidden="1" x14ac:dyDescent="0.45">
      <c r="A655" s="7">
        <v>649</v>
      </c>
      <c r="B655" s="5" t="s">
        <v>1311</v>
      </c>
      <c r="C655" s="6" t="s">
        <v>1312</v>
      </c>
      <c r="D655" s="6" t="s">
        <v>13</v>
      </c>
      <c r="E655" s="6"/>
      <c r="F655" s="6"/>
      <c r="G655" s="6"/>
      <c r="H655" s="6"/>
      <c r="I655" s="6"/>
      <c r="J655" s="8"/>
      <c r="K655" s="6"/>
      <c r="L655" s="6"/>
      <c r="M655" s="8"/>
      <c r="N655" s="8"/>
      <c r="O655" s="8"/>
      <c r="P655" s="8"/>
      <c r="Q655" s="18" t="e">
        <f>(Table1[[#This Row],[A. TÀI SẢN NGẮN HẠN]]-Table1[[#This Row],[I. Nợ ngắn hạn]])/Table1[[#This Row],[TỔNG CỘNG TÀI SẢN]]</f>
        <v>#DIV/0!</v>
      </c>
      <c r="R655" s="18" t="e">
        <f>Table1[[#This Row],[- LNST chưa phân phối kỳ này]]/Table1[[#This Row],[TỔNG CỘNG TÀI SẢN]]</f>
        <v>#DIV/0!</v>
      </c>
      <c r="S655" s="21" t="e">
        <f>Table1[[#This Row],[5. Lợi nhuận gộp về bán hàng và cung cấp dịch vụ]]/Table1[[#This Row],[TỔNG CỘNG TÀI SẢN]]</f>
        <v>#DIV/0!</v>
      </c>
      <c r="T65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655" s="23" t="e">
        <f>Table1[[#This Row],[1. Doanh thu bán hàng và cung cấp dịch vụ ]]/Table1[[#This Row],[TỔNG CỘNG TÀI SẢN]]</f>
        <v>#DIV/0!</v>
      </c>
      <c r="V655" s="23" t="e">
        <f>1.2*Table1[[#This Row],[X1]] + 1.4*Table1[[#This Row],[X2]] + 3.3*Table1[[#This Row],[x3]] + 0.6*Table1[[#This Row],[x4]] + 1*Table1[[#This Row],[x5]]</f>
        <v>#DIV/0!</v>
      </c>
      <c r="W655" s="23" t="e">
        <f>IF(Table1[[#This Row],[Zscore]]&lt;1.81,1,0)</f>
        <v>#DIV/0!</v>
      </c>
    </row>
    <row r="656" spans="1:23" ht="26.25" hidden="1" x14ac:dyDescent="0.45">
      <c r="A656" s="7">
        <v>650</v>
      </c>
      <c r="B656" s="5" t="s">
        <v>1313</v>
      </c>
      <c r="C656" s="6" t="s">
        <v>1314</v>
      </c>
      <c r="D656" s="6" t="s">
        <v>13</v>
      </c>
      <c r="E656" s="6"/>
      <c r="F656" s="6"/>
      <c r="G656" s="6"/>
      <c r="H656" s="6"/>
      <c r="I656" s="6"/>
      <c r="J656" s="8"/>
      <c r="K656" s="6"/>
      <c r="L656" s="6"/>
      <c r="M656" s="8"/>
      <c r="N656" s="8"/>
      <c r="O656" s="8"/>
      <c r="P656" s="8"/>
      <c r="Q656" s="18" t="e">
        <f>(Table1[[#This Row],[A. TÀI SẢN NGẮN HẠN]]-Table1[[#This Row],[I. Nợ ngắn hạn]])/Table1[[#This Row],[TỔNG CỘNG TÀI SẢN]]</f>
        <v>#DIV/0!</v>
      </c>
      <c r="R656" s="18" t="e">
        <f>Table1[[#This Row],[- LNST chưa phân phối kỳ này]]/Table1[[#This Row],[TỔNG CỘNG TÀI SẢN]]</f>
        <v>#DIV/0!</v>
      </c>
      <c r="S656" s="21" t="e">
        <f>Table1[[#This Row],[5. Lợi nhuận gộp về bán hàng và cung cấp dịch vụ]]/Table1[[#This Row],[TỔNG CỘNG TÀI SẢN]]</f>
        <v>#DIV/0!</v>
      </c>
      <c r="T65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656" s="23" t="e">
        <f>Table1[[#This Row],[1. Doanh thu bán hàng và cung cấp dịch vụ ]]/Table1[[#This Row],[TỔNG CỘNG TÀI SẢN]]</f>
        <v>#DIV/0!</v>
      </c>
      <c r="V656" s="23" t="e">
        <f>1.2*Table1[[#This Row],[X1]] + 1.4*Table1[[#This Row],[X2]] + 3.3*Table1[[#This Row],[x3]] + 0.6*Table1[[#This Row],[x4]] + 1*Table1[[#This Row],[x5]]</f>
        <v>#DIV/0!</v>
      </c>
      <c r="W656" s="23" t="e">
        <f>IF(Table1[[#This Row],[Zscore]]&lt;1.81,1,0)</f>
        <v>#DIV/0!</v>
      </c>
    </row>
    <row r="657" spans="1:23" hidden="1" x14ac:dyDescent="0.45">
      <c r="A657" s="7">
        <v>651</v>
      </c>
      <c r="B657" s="5" t="s">
        <v>1315</v>
      </c>
      <c r="C657" s="6" t="s">
        <v>1316</v>
      </c>
      <c r="D657" s="6" t="s">
        <v>13</v>
      </c>
      <c r="E657" s="6"/>
      <c r="F657" s="6"/>
      <c r="G657" s="6"/>
      <c r="H657" s="6"/>
      <c r="I657" s="6"/>
      <c r="J657" s="8"/>
      <c r="K657" s="6"/>
      <c r="L657" s="6"/>
      <c r="M657" s="8"/>
      <c r="N657" s="8"/>
      <c r="O657" s="8"/>
      <c r="P657" s="8"/>
      <c r="Q657" s="18" t="e">
        <f>(Table1[[#This Row],[A. TÀI SẢN NGẮN HẠN]]-Table1[[#This Row],[I. Nợ ngắn hạn]])/Table1[[#This Row],[TỔNG CỘNG TÀI SẢN]]</f>
        <v>#DIV/0!</v>
      </c>
      <c r="R657" s="18" t="e">
        <f>Table1[[#This Row],[- LNST chưa phân phối kỳ này]]/Table1[[#This Row],[TỔNG CỘNG TÀI SẢN]]</f>
        <v>#DIV/0!</v>
      </c>
      <c r="S657" s="21" t="e">
        <f>Table1[[#This Row],[5. Lợi nhuận gộp về bán hàng và cung cấp dịch vụ]]/Table1[[#This Row],[TỔNG CỘNG TÀI SẢN]]</f>
        <v>#DIV/0!</v>
      </c>
      <c r="T65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657" s="23" t="e">
        <f>Table1[[#This Row],[1. Doanh thu bán hàng và cung cấp dịch vụ ]]/Table1[[#This Row],[TỔNG CỘNG TÀI SẢN]]</f>
        <v>#DIV/0!</v>
      </c>
      <c r="V657" s="23" t="e">
        <f>1.2*Table1[[#This Row],[X1]] + 1.4*Table1[[#This Row],[X2]] + 3.3*Table1[[#This Row],[x3]] + 0.6*Table1[[#This Row],[x4]] + 1*Table1[[#This Row],[x5]]</f>
        <v>#DIV/0!</v>
      </c>
      <c r="W657" s="23" t="e">
        <f>IF(Table1[[#This Row],[Zscore]]&lt;1.81,1,0)</f>
        <v>#DIV/0!</v>
      </c>
    </row>
    <row r="658" spans="1:23" hidden="1" x14ac:dyDescent="0.45">
      <c r="A658" s="7">
        <v>652</v>
      </c>
      <c r="B658" s="5" t="s">
        <v>1317</v>
      </c>
      <c r="C658" s="6" t="s">
        <v>1318</v>
      </c>
      <c r="D658" s="6" t="s">
        <v>13</v>
      </c>
      <c r="E658" s="6"/>
      <c r="F658" s="6"/>
      <c r="G658" s="6"/>
      <c r="H658" s="6"/>
      <c r="I658" s="6"/>
      <c r="J658" s="8"/>
      <c r="K658" s="6"/>
      <c r="L658" s="6"/>
      <c r="M658" s="8"/>
      <c r="N658" s="8"/>
      <c r="O658" s="8"/>
      <c r="P658" s="8"/>
      <c r="Q658" s="18" t="e">
        <f>(Table1[[#This Row],[A. TÀI SẢN NGẮN HẠN]]-Table1[[#This Row],[I. Nợ ngắn hạn]])/Table1[[#This Row],[TỔNG CỘNG TÀI SẢN]]</f>
        <v>#DIV/0!</v>
      </c>
      <c r="R658" s="18" t="e">
        <f>Table1[[#This Row],[- LNST chưa phân phối kỳ này]]/Table1[[#This Row],[TỔNG CỘNG TÀI SẢN]]</f>
        <v>#DIV/0!</v>
      </c>
      <c r="S658" s="21" t="e">
        <f>Table1[[#This Row],[5. Lợi nhuận gộp về bán hàng và cung cấp dịch vụ]]/Table1[[#This Row],[TỔNG CỘNG TÀI SẢN]]</f>
        <v>#DIV/0!</v>
      </c>
      <c r="T65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658" s="23" t="e">
        <f>Table1[[#This Row],[1. Doanh thu bán hàng và cung cấp dịch vụ ]]/Table1[[#This Row],[TỔNG CỘNG TÀI SẢN]]</f>
        <v>#DIV/0!</v>
      </c>
      <c r="V658" s="23" t="e">
        <f>1.2*Table1[[#This Row],[X1]] + 1.4*Table1[[#This Row],[X2]] + 3.3*Table1[[#This Row],[x3]] + 0.6*Table1[[#This Row],[x4]] + 1*Table1[[#This Row],[x5]]</f>
        <v>#DIV/0!</v>
      </c>
      <c r="W658" s="23" t="e">
        <f>IF(Table1[[#This Row],[Zscore]]&lt;1.81,1,0)</f>
        <v>#DIV/0!</v>
      </c>
    </row>
    <row r="659" spans="1:23" hidden="1" x14ac:dyDescent="0.45">
      <c r="A659" s="7">
        <v>653</v>
      </c>
      <c r="B659" s="5" t="s">
        <v>1319</v>
      </c>
      <c r="C659" s="6" t="s">
        <v>1320</v>
      </c>
      <c r="D659" s="6" t="s">
        <v>13</v>
      </c>
      <c r="E659" s="6"/>
      <c r="F659" s="6"/>
      <c r="G659" s="6"/>
      <c r="H659" s="6"/>
      <c r="I659" s="6"/>
      <c r="J659" s="8"/>
      <c r="K659" s="6"/>
      <c r="L659" s="6"/>
      <c r="M659" s="8"/>
      <c r="N659" s="8"/>
      <c r="O659" s="8"/>
      <c r="P659" s="8"/>
      <c r="Q659" s="18" t="e">
        <f>(Table1[[#This Row],[A. TÀI SẢN NGẮN HẠN]]-Table1[[#This Row],[I. Nợ ngắn hạn]])/Table1[[#This Row],[TỔNG CỘNG TÀI SẢN]]</f>
        <v>#DIV/0!</v>
      </c>
      <c r="R659" s="18" t="e">
        <f>Table1[[#This Row],[- LNST chưa phân phối kỳ này]]/Table1[[#This Row],[TỔNG CỘNG TÀI SẢN]]</f>
        <v>#DIV/0!</v>
      </c>
      <c r="S659" s="21" t="e">
        <f>Table1[[#This Row],[5. Lợi nhuận gộp về bán hàng và cung cấp dịch vụ]]/Table1[[#This Row],[TỔNG CỘNG TÀI SẢN]]</f>
        <v>#DIV/0!</v>
      </c>
      <c r="T65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659" s="23" t="e">
        <f>Table1[[#This Row],[1. Doanh thu bán hàng và cung cấp dịch vụ ]]/Table1[[#This Row],[TỔNG CỘNG TÀI SẢN]]</f>
        <v>#DIV/0!</v>
      </c>
      <c r="V659" s="23" t="e">
        <f>1.2*Table1[[#This Row],[X1]] + 1.4*Table1[[#This Row],[X2]] + 3.3*Table1[[#This Row],[x3]] + 0.6*Table1[[#This Row],[x4]] + 1*Table1[[#This Row],[x5]]</f>
        <v>#DIV/0!</v>
      </c>
      <c r="W659" s="23" t="e">
        <f>IF(Table1[[#This Row],[Zscore]]&lt;1.81,1,0)</f>
        <v>#DIV/0!</v>
      </c>
    </row>
    <row r="660" spans="1:23" hidden="1" x14ac:dyDescent="0.45">
      <c r="A660" s="7">
        <v>654</v>
      </c>
      <c r="B660" s="5" t="s">
        <v>1321</v>
      </c>
      <c r="C660" s="6" t="s">
        <v>1322</v>
      </c>
      <c r="D660" s="6" t="s">
        <v>13</v>
      </c>
      <c r="E660" s="6"/>
      <c r="F660" s="6"/>
      <c r="G660" s="6"/>
      <c r="H660" s="6"/>
      <c r="I660" s="6"/>
      <c r="J660" s="8"/>
      <c r="K660" s="6"/>
      <c r="L660" s="6"/>
      <c r="M660" s="8"/>
      <c r="N660" s="8"/>
      <c r="O660" s="8"/>
      <c r="P660" s="8"/>
      <c r="Q660" s="18" t="e">
        <f>(Table1[[#This Row],[A. TÀI SẢN NGẮN HẠN]]-Table1[[#This Row],[I. Nợ ngắn hạn]])/Table1[[#This Row],[TỔNG CỘNG TÀI SẢN]]</f>
        <v>#DIV/0!</v>
      </c>
      <c r="R660" s="18" t="e">
        <f>Table1[[#This Row],[- LNST chưa phân phối kỳ này]]/Table1[[#This Row],[TỔNG CỘNG TÀI SẢN]]</f>
        <v>#DIV/0!</v>
      </c>
      <c r="S660" s="21" t="e">
        <f>Table1[[#This Row],[5. Lợi nhuận gộp về bán hàng và cung cấp dịch vụ]]/Table1[[#This Row],[TỔNG CỘNG TÀI SẢN]]</f>
        <v>#DIV/0!</v>
      </c>
      <c r="T66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660" s="23" t="e">
        <f>Table1[[#This Row],[1. Doanh thu bán hàng và cung cấp dịch vụ ]]/Table1[[#This Row],[TỔNG CỘNG TÀI SẢN]]</f>
        <v>#DIV/0!</v>
      </c>
      <c r="V660" s="23" t="e">
        <f>1.2*Table1[[#This Row],[X1]] + 1.4*Table1[[#This Row],[X2]] + 3.3*Table1[[#This Row],[x3]] + 0.6*Table1[[#This Row],[x4]] + 1*Table1[[#This Row],[x5]]</f>
        <v>#DIV/0!</v>
      </c>
      <c r="W660" s="23" t="e">
        <f>IF(Table1[[#This Row],[Zscore]]&lt;1.81,1,0)</f>
        <v>#DIV/0!</v>
      </c>
    </row>
    <row r="661" spans="1:23" hidden="1" x14ac:dyDescent="0.45">
      <c r="A661" s="7">
        <v>655</v>
      </c>
      <c r="B661" s="5" t="s">
        <v>1323</v>
      </c>
      <c r="C661" s="6" t="s">
        <v>1324</v>
      </c>
      <c r="D661" s="6" t="s">
        <v>13</v>
      </c>
      <c r="E661" s="6"/>
      <c r="F661" s="6"/>
      <c r="G661" s="6"/>
      <c r="H661" s="6"/>
      <c r="I661" s="6"/>
      <c r="J661" s="8"/>
      <c r="K661" s="6"/>
      <c r="L661" s="6"/>
      <c r="M661" s="8"/>
      <c r="N661" s="8"/>
      <c r="O661" s="8"/>
      <c r="P661" s="8"/>
      <c r="Q661" s="18" t="e">
        <f>(Table1[[#This Row],[A. TÀI SẢN NGẮN HẠN]]-Table1[[#This Row],[I. Nợ ngắn hạn]])/Table1[[#This Row],[TỔNG CỘNG TÀI SẢN]]</f>
        <v>#DIV/0!</v>
      </c>
      <c r="R661" s="18" t="e">
        <f>Table1[[#This Row],[- LNST chưa phân phối kỳ này]]/Table1[[#This Row],[TỔNG CỘNG TÀI SẢN]]</f>
        <v>#DIV/0!</v>
      </c>
      <c r="S661" s="21" t="e">
        <f>Table1[[#This Row],[5. Lợi nhuận gộp về bán hàng và cung cấp dịch vụ]]/Table1[[#This Row],[TỔNG CỘNG TÀI SẢN]]</f>
        <v>#DIV/0!</v>
      </c>
      <c r="T66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661" s="23" t="e">
        <f>Table1[[#This Row],[1. Doanh thu bán hàng và cung cấp dịch vụ ]]/Table1[[#This Row],[TỔNG CỘNG TÀI SẢN]]</f>
        <v>#DIV/0!</v>
      </c>
      <c r="V661" s="23" t="e">
        <f>1.2*Table1[[#This Row],[X1]] + 1.4*Table1[[#This Row],[X2]] + 3.3*Table1[[#This Row],[x3]] + 0.6*Table1[[#This Row],[x4]] + 1*Table1[[#This Row],[x5]]</f>
        <v>#DIV/0!</v>
      </c>
      <c r="W661" s="23" t="e">
        <f>IF(Table1[[#This Row],[Zscore]]&lt;1.81,1,0)</f>
        <v>#DIV/0!</v>
      </c>
    </row>
    <row r="662" spans="1:23" hidden="1" x14ac:dyDescent="0.45">
      <c r="A662" s="7">
        <v>656</v>
      </c>
      <c r="B662" s="5" t="s">
        <v>1325</v>
      </c>
      <c r="C662" s="6" t="s">
        <v>1326</v>
      </c>
      <c r="D662" s="6" t="s">
        <v>13</v>
      </c>
      <c r="E662" s="6"/>
      <c r="F662" s="6"/>
      <c r="G662" s="6"/>
      <c r="H662" s="6"/>
      <c r="I662" s="6"/>
      <c r="J662" s="8"/>
      <c r="K662" s="6"/>
      <c r="L662" s="6"/>
      <c r="M662" s="8"/>
      <c r="N662" s="8"/>
      <c r="O662" s="8"/>
      <c r="P662" s="8"/>
      <c r="Q662" s="18" t="e">
        <f>(Table1[[#This Row],[A. TÀI SẢN NGẮN HẠN]]-Table1[[#This Row],[I. Nợ ngắn hạn]])/Table1[[#This Row],[TỔNG CỘNG TÀI SẢN]]</f>
        <v>#DIV/0!</v>
      </c>
      <c r="R662" s="18" t="e">
        <f>Table1[[#This Row],[- LNST chưa phân phối kỳ này]]/Table1[[#This Row],[TỔNG CỘNG TÀI SẢN]]</f>
        <v>#DIV/0!</v>
      </c>
      <c r="S662" s="21" t="e">
        <f>Table1[[#This Row],[5. Lợi nhuận gộp về bán hàng và cung cấp dịch vụ]]/Table1[[#This Row],[TỔNG CỘNG TÀI SẢN]]</f>
        <v>#DIV/0!</v>
      </c>
      <c r="T66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662" s="23" t="e">
        <f>Table1[[#This Row],[1. Doanh thu bán hàng và cung cấp dịch vụ ]]/Table1[[#This Row],[TỔNG CỘNG TÀI SẢN]]</f>
        <v>#DIV/0!</v>
      </c>
      <c r="V662" s="23" t="e">
        <f>1.2*Table1[[#This Row],[X1]] + 1.4*Table1[[#This Row],[X2]] + 3.3*Table1[[#This Row],[x3]] + 0.6*Table1[[#This Row],[x4]] + 1*Table1[[#This Row],[x5]]</f>
        <v>#DIV/0!</v>
      </c>
      <c r="W662" s="23" t="e">
        <f>IF(Table1[[#This Row],[Zscore]]&lt;1.81,1,0)</f>
        <v>#DIV/0!</v>
      </c>
    </row>
    <row r="663" spans="1:23" hidden="1" x14ac:dyDescent="0.45">
      <c r="A663" s="7">
        <v>657</v>
      </c>
      <c r="B663" s="5" t="s">
        <v>1327</v>
      </c>
      <c r="C663" s="6" t="s">
        <v>1328</v>
      </c>
      <c r="D663" s="6" t="s">
        <v>18</v>
      </c>
      <c r="E663" s="6"/>
      <c r="F663" s="6"/>
      <c r="G663" s="6"/>
      <c r="H663" s="6"/>
      <c r="I663" s="6"/>
      <c r="J663" s="8"/>
      <c r="K663" s="6"/>
      <c r="L663" s="6"/>
      <c r="M663" s="8"/>
      <c r="N663" s="8"/>
      <c r="O663" s="8"/>
      <c r="P663" s="8"/>
      <c r="Q663" s="18" t="e">
        <f>(Table1[[#This Row],[A. TÀI SẢN NGẮN HẠN]]-Table1[[#This Row],[I. Nợ ngắn hạn]])/Table1[[#This Row],[TỔNG CỘNG TÀI SẢN]]</f>
        <v>#DIV/0!</v>
      </c>
      <c r="R663" s="18" t="e">
        <f>Table1[[#This Row],[- LNST chưa phân phối kỳ này]]/Table1[[#This Row],[TỔNG CỘNG TÀI SẢN]]</f>
        <v>#DIV/0!</v>
      </c>
      <c r="S663" s="21" t="e">
        <f>Table1[[#This Row],[5. Lợi nhuận gộp về bán hàng và cung cấp dịch vụ]]/Table1[[#This Row],[TỔNG CỘNG TÀI SẢN]]</f>
        <v>#DIV/0!</v>
      </c>
      <c r="T66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663" s="23" t="e">
        <f>Table1[[#This Row],[1. Doanh thu bán hàng và cung cấp dịch vụ ]]/Table1[[#This Row],[TỔNG CỘNG TÀI SẢN]]</f>
        <v>#DIV/0!</v>
      </c>
      <c r="V663" s="23" t="e">
        <f>1.2*Table1[[#This Row],[X1]] + 1.4*Table1[[#This Row],[X2]] + 3.3*Table1[[#This Row],[x3]] + 0.6*Table1[[#This Row],[x4]] + 1*Table1[[#This Row],[x5]]</f>
        <v>#DIV/0!</v>
      </c>
      <c r="W663" s="23" t="e">
        <f>IF(Table1[[#This Row],[Zscore]]&lt;1.81,1,0)</f>
        <v>#DIV/0!</v>
      </c>
    </row>
    <row r="664" spans="1:23" hidden="1" x14ac:dyDescent="0.45">
      <c r="A664" s="7">
        <v>658</v>
      </c>
      <c r="B664" s="5" t="s">
        <v>1329</v>
      </c>
      <c r="C664" s="6" t="s">
        <v>1330</v>
      </c>
      <c r="D664" s="6" t="s">
        <v>13</v>
      </c>
      <c r="E664" s="6"/>
      <c r="F664" s="6"/>
      <c r="G664" s="6"/>
      <c r="H664" s="6"/>
      <c r="I664" s="6"/>
      <c r="J664" s="8"/>
      <c r="K664" s="6"/>
      <c r="L664" s="6"/>
      <c r="M664" s="8"/>
      <c r="N664" s="8"/>
      <c r="O664" s="8"/>
      <c r="P664" s="8"/>
      <c r="Q664" s="18" t="e">
        <f>(Table1[[#This Row],[A. TÀI SẢN NGẮN HẠN]]-Table1[[#This Row],[I. Nợ ngắn hạn]])/Table1[[#This Row],[TỔNG CỘNG TÀI SẢN]]</f>
        <v>#DIV/0!</v>
      </c>
      <c r="R664" s="18" t="e">
        <f>Table1[[#This Row],[- LNST chưa phân phối kỳ này]]/Table1[[#This Row],[TỔNG CỘNG TÀI SẢN]]</f>
        <v>#DIV/0!</v>
      </c>
      <c r="S664" s="21" t="e">
        <f>Table1[[#This Row],[5. Lợi nhuận gộp về bán hàng và cung cấp dịch vụ]]/Table1[[#This Row],[TỔNG CỘNG TÀI SẢN]]</f>
        <v>#DIV/0!</v>
      </c>
      <c r="T66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664" s="23" t="e">
        <f>Table1[[#This Row],[1. Doanh thu bán hàng và cung cấp dịch vụ ]]/Table1[[#This Row],[TỔNG CỘNG TÀI SẢN]]</f>
        <v>#DIV/0!</v>
      </c>
      <c r="V664" s="23" t="e">
        <f>1.2*Table1[[#This Row],[X1]] + 1.4*Table1[[#This Row],[X2]] + 3.3*Table1[[#This Row],[x3]] + 0.6*Table1[[#This Row],[x4]] + 1*Table1[[#This Row],[x5]]</f>
        <v>#DIV/0!</v>
      </c>
      <c r="W664" s="23" t="e">
        <f>IF(Table1[[#This Row],[Zscore]]&lt;1.81,1,0)</f>
        <v>#DIV/0!</v>
      </c>
    </row>
    <row r="665" spans="1:23" hidden="1" x14ac:dyDescent="0.45">
      <c r="A665" s="7">
        <v>659</v>
      </c>
      <c r="B665" s="5" t="s">
        <v>1331</v>
      </c>
      <c r="C665" s="6" t="s">
        <v>1332</v>
      </c>
      <c r="D665" s="6" t="s">
        <v>13</v>
      </c>
      <c r="E665" s="6"/>
      <c r="F665" s="6"/>
      <c r="G665" s="6"/>
      <c r="H665" s="6"/>
      <c r="I665" s="6"/>
      <c r="J665" s="8"/>
      <c r="K665" s="6"/>
      <c r="L665" s="6"/>
      <c r="M665" s="8"/>
      <c r="N665" s="8"/>
      <c r="O665" s="8"/>
      <c r="P665" s="8"/>
      <c r="Q665" s="18" t="e">
        <f>(Table1[[#This Row],[A. TÀI SẢN NGẮN HẠN]]-Table1[[#This Row],[I. Nợ ngắn hạn]])/Table1[[#This Row],[TỔNG CỘNG TÀI SẢN]]</f>
        <v>#DIV/0!</v>
      </c>
      <c r="R665" s="18" t="e">
        <f>Table1[[#This Row],[- LNST chưa phân phối kỳ này]]/Table1[[#This Row],[TỔNG CỘNG TÀI SẢN]]</f>
        <v>#DIV/0!</v>
      </c>
      <c r="S665" s="21" t="e">
        <f>Table1[[#This Row],[5. Lợi nhuận gộp về bán hàng và cung cấp dịch vụ]]/Table1[[#This Row],[TỔNG CỘNG TÀI SẢN]]</f>
        <v>#DIV/0!</v>
      </c>
      <c r="T66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665" s="23" t="e">
        <f>Table1[[#This Row],[1. Doanh thu bán hàng và cung cấp dịch vụ ]]/Table1[[#This Row],[TỔNG CỘNG TÀI SẢN]]</f>
        <v>#DIV/0!</v>
      </c>
      <c r="V665" s="23" t="e">
        <f>1.2*Table1[[#This Row],[X1]] + 1.4*Table1[[#This Row],[X2]] + 3.3*Table1[[#This Row],[x3]] + 0.6*Table1[[#This Row],[x4]] + 1*Table1[[#This Row],[x5]]</f>
        <v>#DIV/0!</v>
      </c>
      <c r="W665" s="23" t="e">
        <f>IF(Table1[[#This Row],[Zscore]]&lt;1.81,1,0)</f>
        <v>#DIV/0!</v>
      </c>
    </row>
    <row r="666" spans="1:23" ht="26.25" x14ac:dyDescent="0.45">
      <c r="A666" s="7">
        <v>660</v>
      </c>
      <c r="B666" s="5" t="s">
        <v>1333</v>
      </c>
      <c r="C666" s="6" t="s">
        <v>1334</v>
      </c>
      <c r="D666" s="6" t="s">
        <v>18</v>
      </c>
      <c r="E666" s="8">
        <v>1906201643352</v>
      </c>
      <c r="F666" s="8">
        <v>1755509241894</v>
      </c>
      <c r="G666" s="8">
        <v>1316529926710</v>
      </c>
      <c r="H666" s="8">
        <v>113082355399</v>
      </c>
      <c r="I666" s="8">
        <v>288837788634</v>
      </c>
      <c r="J666" s="8"/>
      <c r="K666" s="8">
        <v>1316529926710</v>
      </c>
      <c r="L666" s="8">
        <v>2134449600673</v>
      </c>
      <c r="M666" s="8">
        <v>807691500000</v>
      </c>
      <c r="N666" s="8">
        <v>723775500000</v>
      </c>
      <c r="O666" s="8">
        <v>780418800000</v>
      </c>
      <c r="P666" s="8">
        <v>784614600000</v>
      </c>
      <c r="Q666" s="18">
        <f>(Table1[[#This Row],[A. TÀI SẢN NGẮN HẠN]]-Table1[[#This Row],[I. Nợ ngắn hạn]])/Table1[[#This Row],[TỔNG CỘNG TÀI SẢN]]</f>
        <v>0.23029007278163274</v>
      </c>
      <c r="R666" s="18">
        <f>Table1[[#This Row],[- LNST chưa phân phối kỳ này]]/Table1[[#This Row],[TỔNG CỘNG TÀI SẢN]]</f>
        <v>5.9323396238473478E-2</v>
      </c>
      <c r="S666" s="21">
        <f>Table1[[#This Row],[5. Lợi nhuận gộp về bán hàng và cung cấp dịch vụ]]/Table1[[#This Row],[TỔNG CỘNG TÀI SẢN]]</f>
        <v>0.15152530669635095</v>
      </c>
      <c r="T66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0.58800417999956422</v>
      </c>
      <c r="U666" s="23">
        <f>Table1[[#This Row],[1. Doanh thu bán hàng và cung cấp dịch vụ ]]/Table1[[#This Row],[TỔNG CỘNG TÀI SẢN]]</f>
        <v>1.1197396708354697</v>
      </c>
      <c r="V666" s="23">
        <f>1.2*Table1[[#This Row],[X1]] + 1.4*Table1[[#This Row],[X2]] + 3.3*Table1[[#This Row],[x3]] + 0.6*Table1[[#This Row],[x4]] + 1*Table1[[#This Row],[x5]]</f>
        <v>2.3319765330049886</v>
      </c>
      <c r="W666" s="23">
        <f>IF(Table1[[#This Row],[Zscore]]&lt;1.81,1,0)</f>
        <v>0</v>
      </c>
    </row>
    <row r="667" spans="1:23" x14ac:dyDescent="0.45">
      <c r="A667" s="7">
        <v>661</v>
      </c>
      <c r="B667" s="5" t="s">
        <v>1335</v>
      </c>
      <c r="C667" s="6" t="s">
        <v>1336</v>
      </c>
      <c r="D667" s="6" t="s">
        <v>18</v>
      </c>
      <c r="E667" s="8">
        <v>410488226365</v>
      </c>
      <c r="F667" s="8">
        <v>146606183577</v>
      </c>
      <c r="G667" s="8">
        <v>245865986377</v>
      </c>
      <c r="H667" s="8">
        <v>-10310618973</v>
      </c>
      <c r="I667" s="8">
        <v>24834616820</v>
      </c>
      <c r="J667" s="8"/>
      <c r="K667" s="8">
        <v>339825986377</v>
      </c>
      <c r="L667" s="8">
        <v>200471437158</v>
      </c>
      <c r="M667" s="8">
        <v>108000000000</v>
      </c>
      <c r="N667" s="8">
        <v>84000000000</v>
      </c>
      <c r="O667" s="8">
        <v>92000000000</v>
      </c>
      <c r="P667" s="8">
        <v>84000000000</v>
      </c>
      <c r="Q667" s="18">
        <f>(Table1[[#This Row],[A. TÀI SẢN NGẮN HẠN]]-Table1[[#This Row],[I. Nợ ngắn hạn]])/Table1[[#This Row],[TỔNG CỘNG TÀI SẢN]]</f>
        <v>-0.2418091346467503</v>
      </c>
      <c r="R667" s="18">
        <f>Table1[[#This Row],[- LNST chưa phân phối kỳ này]]/Table1[[#This Row],[TỔNG CỘNG TÀI SẢN]]</f>
        <v>-2.5117940809907546E-2</v>
      </c>
      <c r="S667" s="21">
        <f>Table1[[#This Row],[5. Lợi nhuận gộp về bán hàng và cung cấp dịch vụ]]/Table1[[#This Row],[TỔNG CỘNG TÀI SẢN]]</f>
        <v>6.0500192758068116E-2</v>
      </c>
      <c r="T66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0.27072679455989573</v>
      </c>
      <c r="U667" s="23">
        <f>Table1[[#This Row],[1. Doanh thu bán hàng và cung cấp dịch vụ ]]/Table1[[#This Row],[TỔNG CỘNG TÀI SẢN]]</f>
        <v>0.48837317194998864</v>
      </c>
      <c r="V667" s="23">
        <f>1.2*Table1[[#This Row],[X1]] + 1.4*Table1[[#This Row],[X2]] + 3.3*Table1[[#This Row],[x3]] + 0.6*Table1[[#This Row],[x4]] + 1*Table1[[#This Row],[x5]]</f>
        <v>0.52512380607758002</v>
      </c>
      <c r="W667" s="23">
        <f>IF(Table1[[#This Row],[Zscore]]&lt;1.81,1,0)</f>
        <v>1</v>
      </c>
    </row>
    <row r="668" spans="1:23" x14ac:dyDescent="0.45">
      <c r="A668" s="7">
        <v>662</v>
      </c>
      <c r="B668" s="5" t="s">
        <v>1337</v>
      </c>
      <c r="C668" s="6" t="s">
        <v>1338</v>
      </c>
      <c r="D668" s="6" t="s">
        <v>36</v>
      </c>
      <c r="E668" s="8">
        <v>756188851927</v>
      </c>
      <c r="F668" s="8">
        <v>587651438577</v>
      </c>
      <c r="G668" s="8">
        <v>148246591518</v>
      </c>
      <c r="H668" s="8">
        <v>153561363999</v>
      </c>
      <c r="I668" s="8">
        <v>287661319484</v>
      </c>
      <c r="J668" s="8"/>
      <c r="K668" s="8">
        <v>148246591518</v>
      </c>
      <c r="L668" s="8">
        <v>444709503598</v>
      </c>
      <c r="M668" s="8">
        <v>1257746080500</v>
      </c>
      <c r="N668" s="8">
        <v>1135196462400</v>
      </c>
      <c r="O668" s="8">
        <v>1145946428900</v>
      </c>
      <c r="P668" s="8">
        <v>1150246415500</v>
      </c>
      <c r="Q668" s="18">
        <f>(Table1[[#This Row],[A. TÀI SẢN NGẮN HẠN]]-Table1[[#This Row],[I. Nợ ngắn hạn]])/Table1[[#This Row],[TỔNG CỘNG TÀI SẢN]]</f>
        <v>0.58107818693605751</v>
      </c>
      <c r="R668" s="18">
        <f>Table1[[#This Row],[- LNST chưa phân phối kỳ này]]/Table1[[#This Row],[TỔNG CỘNG TÀI SẢN]]</f>
        <v>0.20307276893553611</v>
      </c>
      <c r="S668" s="21">
        <f>Table1[[#This Row],[5. Lợi nhuận gộp về bán hàng và cung cấp dịch vụ]]/Table1[[#This Row],[TỔNG CỘNG TÀI SẢN]]</f>
        <v>0.38040936301950384</v>
      </c>
      <c r="T66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7.9076613824383415</v>
      </c>
      <c r="U668" s="23">
        <f>Table1[[#This Row],[1. Doanh thu bán hàng và cung cấp dịch vụ ]]/Table1[[#This Row],[TỔNG CỘNG TÀI SẢN]]</f>
        <v>0.58809317601647315</v>
      </c>
      <c r="V668" s="23">
        <f>1.2*Table1[[#This Row],[X1]] + 1.4*Table1[[#This Row],[X2]] + 3.3*Table1[[#This Row],[x3]] + 0.6*Table1[[#This Row],[x4]] + 1*Table1[[#This Row],[x5]]</f>
        <v>7.5696366042768597</v>
      </c>
      <c r="W668" s="23">
        <f>IF(Table1[[#This Row],[Zscore]]&lt;1.81,1,0)</f>
        <v>0</v>
      </c>
    </row>
    <row r="669" spans="1:23" x14ac:dyDescent="0.45">
      <c r="A669" s="7">
        <v>663</v>
      </c>
      <c r="B669" s="5" t="s">
        <v>1339</v>
      </c>
      <c r="C669" s="6" t="s">
        <v>1340</v>
      </c>
      <c r="D669" s="6" t="s">
        <v>18</v>
      </c>
      <c r="E669" s="8">
        <v>65999138064</v>
      </c>
      <c r="F669" s="8">
        <v>6833542317</v>
      </c>
      <c r="G669" s="8">
        <v>10025116928</v>
      </c>
      <c r="H669" s="8">
        <v>4207936920</v>
      </c>
      <c r="I669" s="8">
        <v>13559665102</v>
      </c>
      <c r="J669" s="8"/>
      <c r="K669" s="8">
        <v>37100055156</v>
      </c>
      <c r="L669" s="8">
        <v>21168111275</v>
      </c>
      <c r="M669" s="8">
        <v>21477888000</v>
      </c>
      <c r="N669" s="8">
        <v>19911792000</v>
      </c>
      <c r="O669" s="8">
        <v>26847360000</v>
      </c>
      <c r="P669" s="8">
        <v>19016880000</v>
      </c>
      <c r="Q669" s="18">
        <f>(Table1[[#This Row],[A. TÀI SẢN NGẮN HẠN]]-Table1[[#This Row],[I. Nợ ngắn hạn]])/Table1[[#This Row],[TỔNG CỘNG TÀI SẢN]]</f>
        <v>-4.8357822611336219E-2</v>
      </c>
      <c r="R669" s="18">
        <f>Table1[[#This Row],[- LNST chưa phân phối kỳ này]]/Table1[[#This Row],[TỔNG CỘNG TÀI SẢN]]</f>
        <v>6.3757452649147076E-2</v>
      </c>
      <c r="S669" s="21">
        <f>Table1[[#This Row],[5. Lợi nhuận gộp về bán hàng và cung cấp dịch vụ]]/Table1[[#This Row],[TỔNG CỘNG TÀI SẢN]]</f>
        <v>0.20545215437285047</v>
      </c>
      <c r="T66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0.58796354636880421</v>
      </c>
      <c r="U669" s="23">
        <f>Table1[[#This Row],[1. Doanh thu bán hàng và cung cấp dịch vụ ]]/Table1[[#This Row],[TỔNG CỘNG TÀI SẢN]]</f>
        <v>0.32073314737039565</v>
      </c>
      <c r="V669" s="23">
        <f>1.2*Table1[[#This Row],[X1]] + 1.4*Table1[[#This Row],[X2]] + 3.3*Table1[[#This Row],[x3]] + 0.6*Table1[[#This Row],[x4]] + 1*Table1[[#This Row],[x5]]</f>
        <v>1.3827344311972871</v>
      </c>
      <c r="W669" s="23">
        <f>IF(Table1[[#This Row],[Zscore]]&lt;1.81,1,0)</f>
        <v>1</v>
      </c>
    </row>
    <row r="670" spans="1:23" x14ac:dyDescent="0.45">
      <c r="A670" s="7">
        <v>664</v>
      </c>
      <c r="B670" s="5" t="s">
        <v>1341</v>
      </c>
      <c r="C670" s="6" t="s">
        <v>1342</v>
      </c>
      <c r="D670" s="6" t="s">
        <v>21</v>
      </c>
      <c r="E670" s="8">
        <v>8125816055123</v>
      </c>
      <c r="F670" s="8">
        <v>4656091248115</v>
      </c>
      <c r="G670" s="8">
        <v>2477133970469</v>
      </c>
      <c r="H670" s="8">
        <v>326722460735</v>
      </c>
      <c r="I670" s="8">
        <v>677461792448</v>
      </c>
      <c r="J670" s="8"/>
      <c r="K670" s="8">
        <v>5201759901200</v>
      </c>
      <c r="L670" s="8">
        <v>4483983693366</v>
      </c>
      <c r="M670" s="8">
        <v>3238177075600</v>
      </c>
      <c r="N670" s="8">
        <v>3779963700000</v>
      </c>
      <c r="O670" s="8">
        <v>2734180643600</v>
      </c>
      <c r="P670" s="8">
        <v>4586355956000</v>
      </c>
      <c r="Q670" s="18">
        <f>(Table1[[#This Row],[A. TÀI SẢN NGẮN HẠN]]-Table1[[#This Row],[I. Nợ ngắn hạn]])/Table1[[#This Row],[TỔNG CỘNG TÀI SẢN]]</f>
        <v>0.26815242467521216</v>
      </c>
      <c r="R670" s="18">
        <f>Table1[[#This Row],[- LNST chưa phân phối kỳ này]]/Table1[[#This Row],[TỔNG CỘNG TÀI SẢN]]</f>
        <v>4.0207956778570524E-2</v>
      </c>
      <c r="S670" s="21">
        <f>Table1[[#This Row],[5. Lợi nhuận gộp về bán hàng và cung cấp dịch vụ]]/Table1[[#This Row],[TỔNG CỘNG TÀI SẢN]]</f>
        <v>8.3371539283231447E-2</v>
      </c>
      <c r="T67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0.68912625955170448</v>
      </c>
      <c r="U670" s="23">
        <f>Table1[[#This Row],[1. Doanh thu bán hàng và cung cấp dịch vụ ]]/Table1[[#This Row],[TỔNG CỘNG TÀI SẢN]]</f>
        <v>0.55181949270670838</v>
      </c>
      <c r="V670" s="23">
        <f>1.2*Table1[[#This Row],[X1]] + 1.4*Table1[[#This Row],[X2]] + 3.3*Table1[[#This Row],[x3]] + 0.6*Table1[[#This Row],[x4]] + 1*Table1[[#This Row],[x5]]</f>
        <v>1.618495377172648</v>
      </c>
      <c r="W670" s="23">
        <f>IF(Table1[[#This Row],[Zscore]]&lt;1.81,1,0)</f>
        <v>1</v>
      </c>
    </row>
    <row r="671" spans="1:23" hidden="1" x14ac:dyDescent="0.45">
      <c r="A671" s="7">
        <v>665</v>
      </c>
      <c r="B671" s="5" t="s">
        <v>1343</v>
      </c>
      <c r="C671" s="6" t="s">
        <v>1344</v>
      </c>
      <c r="D671" s="6" t="s">
        <v>18</v>
      </c>
      <c r="E671" s="6"/>
      <c r="F671" s="6"/>
      <c r="G671" s="6"/>
      <c r="H671" s="6"/>
      <c r="I671" s="6"/>
      <c r="J671" s="8"/>
      <c r="K671" s="6"/>
      <c r="L671" s="6"/>
      <c r="M671" s="8"/>
      <c r="N671" s="8"/>
      <c r="O671" s="8"/>
      <c r="P671" s="8"/>
      <c r="Q671" s="18" t="e">
        <f>(Table1[[#This Row],[A. TÀI SẢN NGẮN HẠN]]-Table1[[#This Row],[I. Nợ ngắn hạn]])/Table1[[#This Row],[TỔNG CỘNG TÀI SẢN]]</f>
        <v>#DIV/0!</v>
      </c>
      <c r="R671" s="18" t="e">
        <f>Table1[[#This Row],[- LNST chưa phân phối kỳ này]]/Table1[[#This Row],[TỔNG CỘNG TÀI SẢN]]</f>
        <v>#DIV/0!</v>
      </c>
      <c r="S671" s="21" t="e">
        <f>Table1[[#This Row],[5. Lợi nhuận gộp về bán hàng và cung cấp dịch vụ]]/Table1[[#This Row],[TỔNG CỘNG TÀI SẢN]]</f>
        <v>#DIV/0!</v>
      </c>
      <c r="T67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671" s="23" t="e">
        <f>Table1[[#This Row],[1. Doanh thu bán hàng và cung cấp dịch vụ ]]/Table1[[#This Row],[TỔNG CỘNG TÀI SẢN]]</f>
        <v>#DIV/0!</v>
      </c>
      <c r="V671" s="23" t="e">
        <f>1.2*Table1[[#This Row],[X1]] + 1.4*Table1[[#This Row],[X2]] + 3.3*Table1[[#This Row],[x3]] + 0.6*Table1[[#This Row],[x4]] + 1*Table1[[#This Row],[x5]]</f>
        <v>#DIV/0!</v>
      </c>
      <c r="W671" s="23" t="e">
        <f>IF(Table1[[#This Row],[Zscore]]&lt;1.81,1,0)</f>
        <v>#DIV/0!</v>
      </c>
    </row>
    <row r="672" spans="1:23" ht="26.25" x14ac:dyDescent="0.45">
      <c r="A672" s="7">
        <v>666</v>
      </c>
      <c r="B672" s="5" t="s">
        <v>1345</v>
      </c>
      <c r="C672" s="6" t="s">
        <v>1346</v>
      </c>
      <c r="D672" s="6" t="s">
        <v>21</v>
      </c>
      <c r="E672" s="8">
        <v>17776665981155</v>
      </c>
      <c r="F672" s="8">
        <v>14509793783696</v>
      </c>
      <c r="G672" s="8">
        <v>6028412183148</v>
      </c>
      <c r="H672" s="8">
        <v>964982047397</v>
      </c>
      <c r="I672" s="8">
        <v>2938740236178</v>
      </c>
      <c r="J672" s="8"/>
      <c r="K672" s="8">
        <v>6243698414930</v>
      </c>
      <c r="L672" s="8">
        <v>16820114094194</v>
      </c>
      <c r="M672" s="8">
        <v>13598865535000</v>
      </c>
      <c r="N672" s="8">
        <v>15128331717250</v>
      </c>
      <c r="O672" s="8">
        <v>15066369010000</v>
      </c>
      <c r="P672" s="8">
        <v>17066118027100</v>
      </c>
      <c r="Q672" s="18">
        <f>(Table1[[#This Row],[A. TÀI SẢN NGẮN HẠN]]-Table1[[#This Row],[I. Nợ ngắn hạn]])/Table1[[#This Row],[TỔNG CỘNG TÀI SẢN]]</f>
        <v>0.47710755265014776</v>
      </c>
      <c r="R672" s="18">
        <f>Table1[[#This Row],[- LNST chưa phân phối kỳ này]]/Table1[[#This Row],[TỔNG CỘNG TÀI SẢN]]</f>
        <v>5.4283634986446568E-2</v>
      </c>
      <c r="S672" s="21">
        <f>Table1[[#This Row],[5. Lợi nhuận gộp về bán hàng và cung cấp dịch vụ]]/Table1[[#This Row],[TỔNG CỘNG TÀI SẢN]]</f>
        <v>0.1653144768143448</v>
      </c>
      <c r="T67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2.4368443286683119</v>
      </c>
      <c r="U672" s="23">
        <f>Table1[[#This Row],[1. Doanh thu bán hàng và cung cấp dịch vụ ]]/Table1[[#This Row],[TỔNG CỘNG TÀI SẢN]]</f>
        <v>0.94619059119550097</v>
      </c>
      <c r="V672" s="23">
        <f>1.2*Table1[[#This Row],[X1]] + 1.4*Table1[[#This Row],[X2]] + 3.3*Table1[[#This Row],[x3]] + 0.6*Table1[[#This Row],[x4]] + 1*Table1[[#This Row],[x5]]</f>
        <v>3.6023611140450287</v>
      </c>
      <c r="W672" s="23">
        <f>IF(Table1[[#This Row],[Zscore]]&lt;1.81,1,0)</f>
        <v>0</v>
      </c>
    </row>
    <row r="673" spans="1:23" hidden="1" x14ac:dyDescent="0.45">
      <c r="A673" s="7">
        <v>667</v>
      </c>
      <c r="B673" s="5" t="s">
        <v>1347</v>
      </c>
      <c r="C673" s="6" t="s">
        <v>1348</v>
      </c>
      <c r="D673" s="6" t="s">
        <v>18</v>
      </c>
      <c r="E673" s="8">
        <v>132534329645</v>
      </c>
      <c r="F673" s="8">
        <v>120876720744</v>
      </c>
      <c r="G673" s="8">
        <v>70653452327</v>
      </c>
      <c r="H673" s="8">
        <v>10949309501</v>
      </c>
      <c r="I673" s="8">
        <v>35100133995</v>
      </c>
      <c r="J673" s="8"/>
      <c r="K673" s="8">
        <v>70778052327</v>
      </c>
      <c r="L673" s="8">
        <v>420963817835</v>
      </c>
      <c r="M673" s="8"/>
      <c r="N673" s="8"/>
      <c r="O673" s="8"/>
      <c r="P673" s="8"/>
      <c r="Q673" s="18">
        <f>(Table1[[#This Row],[A. TÀI SẢN NGẮN HẠN]]-Table1[[#This Row],[I. Nợ ngắn hạn]])/Table1[[#This Row],[TỔNG CỘNG TÀI SẢN]]</f>
        <v>0.37894535364177417</v>
      </c>
      <c r="R673" s="18">
        <f>Table1[[#This Row],[- LNST chưa phân phối kỳ này]]/Table1[[#This Row],[TỔNG CỘNG TÀI SẢN]]</f>
        <v>8.2614893290880079E-2</v>
      </c>
      <c r="S673" s="21">
        <f>Table1[[#This Row],[5. Lợi nhuận gộp về bán hàng và cung cấp dịch vụ]]/Table1[[#This Row],[TỔNG CỘNG TÀI SẢN]]</f>
        <v>0.26483805432915009</v>
      </c>
      <c r="T67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673" s="23">
        <f>Table1[[#This Row],[1. Doanh thu bán hàng và cung cấp dịch vụ ]]/Table1[[#This Row],[TỔNG CỘNG TÀI SẢN]]</f>
        <v>3.1762624745043277</v>
      </c>
      <c r="V673" s="23" t="e">
        <f>1.2*Table1[[#This Row],[X1]] + 1.4*Table1[[#This Row],[X2]] + 3.3*Table1[[#This Row],[x3]] + 0.6*Table1[[#This Row],[x4]] + 1*Table1[[#This Row],[x5]]</f>
        <v>#DIV/0!</v>
      </c>
      <c r="W673" s="23" t="e">
        <f>IF(Table1[[#This Row],[Zscore]]&lt;1.81,1,0)</f>
        <v>#DIV/0!</v>
      </c>
    </row>
    <row r="674" spans="1:23" x14ac:dyDescent="0.45">
      <c r="A674" s="7">
        <v>668</v>
      </c>
      <c r="B674" s="5" t="s">
        <v>1349</v>
      </c>
      <c r="C674" s="6" t="s">
        <v>1350</v>
      </c>
      <c r="D674" s="6" t="s">
        <v>21</v>
      </c>
      <c r="E674" s="8">
        <v>2529869076926</v>
      </c>
      <c r="F674" s="8">
        <v>978814397126</v>
      </c>
      <c r="G674" s="8">
        <v>188550882020</v>
      </c>
      <c r="H674" s="8">
        <v>252762080453</v>
      </c>
      <c r="I674" s="8">
        <v>323642073473</v>
      </c>
      <c r="J674" s="8"/>
      <c r="K674" s="8">
        <v>277946558611</v>
      </c>
      <c r="L674" s="8">
        <v>785094447783</v>
      </c>
      <c r="M674" s="8">
        <v>4227000591800</v>
      </c>
      <c r="N674" s="8">
        <v>3301665416000</v>
      </c>
      <c r="O674" s="8">
        <v>3575356101800</v>
      </c>
      <c r="P674" s="8">
        <v>3262566746600</v>
      </c>
      <c r="Q674" s="18">
        <f>(Table1[[#This Row],[A. TÀI SẢN NGẮN HẠN]]-Table1[[#This Row],[I. Nợ ngắn hạn]])/Table1[[#This Row],[TỔNG CỘNG TÀI SẢN]]</f>
        <v>0.3123732853663066</v>
      </c>
      <c r="R674" s="18">
        <f>Table1[[#This Row],[- LNST chưa phân phối kỳ này]]/Table1[[#This Row],[TỔNG CỘNG TÀI SẢN]]</f>
        <v>9.9911130879597465E-2</v>
      </c>
      <c r="S674" s="21">
        <f>Table1[[#This Row],[5. Lợi nhuận gộp về bán hàng và cung cấp dịch vụ]]/Table1[[#This Row],[TỔNG CỘNG TÀI SẢN]]</f>
        <v>0.1279283882414389</v>
      </c>
      <c r="T67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12.922078373622494</v>
      </c>
      <c r="U674" s="23">
        <f>Table1[[#This Row],[1. Doanh thu bán hàng và cung cấp dịch vụ ]]/Table1[[#This Row],[TỔNG CỘNG TÀI SẢN]]</f>
        <v>0.31033007001965279</v>
      </c>
      <c r="V674" s="23">
        <f>1.2*Table1[[#This Row],[X1]] + 1.4*Table1[[#This Row],[X2]] + 3.3*Table1[[#This Row],[x3]] + 0.6*Table1[[#This Row],[x4]] + 1*Table1[[#This Row],[x5]]</f>
        <v>9.0004643010609016</v>
      </c>
      <c r="W674" s="23">
        <f>IF(Table1[[#This Row],[Zscore]]&lt;1.81,1,0)</f>
        <v>0</v>
      </c>
    </row>
    <row r="675" spans="1:23" hidden="1" x14ac:dyDescent="0.45">
      <c r="A675" s="7">
        <v>669</v>
      </c>
      <c r="B675" s="5" t="s">
        <v>1351</v>
      </c>
      <c r="C675" s="6" t="s">
        <v>1352</v>
      </c>
      <c r="D675" s="6" t="s">
        <v>13</v>
      </c>
      <c r="E675" s="6"/>
      <c r="F675" s="6"/>
      <c r="G675" s="6"/>
      <c r="H675" s="6"/>
      <c r="I675" s="6"/>
      <c r="J675" s="8"/>
      <c r="K675" s="6"/>
      <c r="L675" s="6"/>
      <c r="M675" s="8"/>
      <c r="N675" s="8"/>
      <c r="O675" s="8"/>
      <c r="P675" s="8"/>
      <c r="Q675" s="18" t="e">
        <f>(Table1[[#This Row],[A. TÀI SẢN NGẮN HẠN]]-Table1[[#This Row],[I. Nợ ngắn hạn]])/Table1[[#This Row],[TỔNG CỘNG TÀI SẢN]]</f>
        <v>#DIV/0!</v>
      </c>
      <c r="R675" s="18" t="e">
        <f>Table1[[#This Row],[- LNST chưa phân phối kỳ này]]/Table1[[#This Row],[TỔNG CỘNG TÀI SẢN]]</f>
        <v>#DIV/0!</v>
      </c>
      <c r="S675" s="21" t="e">
        <f>Table1[[#This Row],[5. Lợi nhuận gộp về bán hàng và cung cấp dịch vụ]]/Table1[[#This Row],[TỔNG CỘNG TÀI SẢN]]</f>
        <v>#DIV/0!</v>
      </c>
      <c r="T67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675" s="23" t="e">
        <f>Table1[[#This Row],[1. Doanh thu bán hàng và cung cấp dịch vụ ]]/Table1[[#This Row],[TỔNG CỘNG TÀI SẢN]]</f>
        <v>#DIV/0!</v>
      </c>
      <c r="V675" s="23" t="e">
        <f>1.2*Table1[[#This Row],[X1]] + 1.4*Table1[[#This Row],[X2]] + 3.3*Table1[[#This Row],[x3]] + 0.6*Table1[[#This Row],[x4]] + 1*Table1[[#This Row],[x5]]</f>
        <v>#DIV/0!</v>
      </c>
      <c r="W675" s="23" t="e">
        <f>IF(Table1[[#This Row],[Zscore]]&lt;1.81,1,0)</f>
        <v>#DIV/0!</v>
      </c>
    </row>
    <row r="676" spans="1:23" x14ac:dyDescent="0.45">
      <c r="A676" s="7">
        <v>670</v>
      </c>
      <c r="B676" s="5" t="s">
        <v>1353</v>
      </c>
      <c r="C676" s="6" t="s">
        <v>1354</v>
      </c>
      <c r="D676" s="6" t="s">
        <v>21</v>
      </c>
      <c r="E676" s="8">
        <v>1200985030550</v>
      </c>
      <c r="F676" s="8">
        <v>787255564919</v>
      </c>
      <c r="G676" s="8">
        <v>395609097473</v>
      </c>
      <c r="H676" s="8">
        <v>19735830992</v>
      </c>
      <c r="I676" s="8">
        <v>207382731650</v>
      </c>
      <c r="J676" s="8"/>
      <c r="K676" s="8">
        <v>401494021436</v>
      </c>
      <c r="L676" s="8">
        <v>929551876176</v>
      </c>
      <c r="M676" s="8">
        <v>294871306200</v>
      </c>
      <c r="N676" s="8">
        <v>287981789700</v>
      </c>
      <c r="O676" s="8">
        <v>294871306200</v>
      </c>
      <c r="P676" s="8">
        <v>315539855700</v>
      </c>
      <c r="Q676" s="18">
        <f>(Table1[[#This Row],[A. TÀI SẢN NGẮN HẠN]]-Table1[[#This Row],[I. Nợ ngắn hạn]])/Table1[[#This Row],[TỔNG CỘNG TÀI SẢN]]</f>
        <v>0.32610437056542046</v>
      </c>
      <c r="R676" s="18">
        <f>Table1[[#This Row],[- LNST chưa phân phối kỳ này]]/Table1[[#This Row],[TỔNG CỘNG TÀI SẢN]]</f>
        <v>1.6433036624080011E-2</v>
      </c>
      <c r="S676" s="21">
        <f>Table1[[#This Row],[5. Lợi nhuận gộp về bán hàng và cung cấp dịch vụ]]/Table1[[#This Row],[TỔNG CỘNG TÀI SẢN]]</f>
        <v>0.17267719944438237</v>
      </c>
      <c r="T67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0.74301496042962367</v>
      </c>
      <c r="U676" s="23">
        <f>Table1[[#This Row],[1. Doanh thu bán hàng và cung cấp dịch vụ ]]/Table1[[#This Row],[TỔNG CỘNG TÀI SẢN]]</f>
        <v>0.77399122597748349</v>
      </c>
      <c r="V676" s="23">
        <f>1.2*Table1[[#This Row],[X1]] + 1.4*Table1[[#This Row],[X2]] + 3.3*Table1[[#This Row],[x3]] + 0.6*Table1[[#This Row],[x4]] + 1*Table1[[#This Row],[x5]]</f>
        <v>2.2039664563539363</v>
      </c>
      <c r="W676" s="23">
        <f>IF(Table1[[#This Row],[Zscore]]&lt;1.81,1,0)</f>
        <v>0</v>
      </c>
    </row>
    <row r="677" spans="1:23" x14ac:dyDescent="0.45">
      <c r="A677" s="7">
        <v>671</v>
      </c>
      <c r="B677" s="5" t="s">
        <v>1355</v>
      </c>
      <c r="C677" s="6" t="s">
        <v>1356</v>
      </c>
      <c r="D677" s="6" t="s">
        <v>21</v>
      </c>
      <c r="E677" s="8">
        <v>4168085242678</v>
      </c>
      <c r="F677" s="8">
        <v>2812833674492</v>
      </c>
      <c r="G677" s="8">
        <v>2080782308900</v>
      </c>
      <c r="H677" s="8">
        <v>121201535880</v>
      </c>
      <c r="I677" s="8">
        <v>676189729474</v>
      </c>
      <c r="J677" s="8"/>
      <c r="K677" s="8">
        <v>2226362423637</v>
      </c>
      <c r="L677" s="8">
        <v>5174294179735</v>
      </c>
      <c r="M677" s="8">
        <v>3177702183750</v>
      </c>
      <c r="N677" s="8">
        <v>2285553388400</v>
      </c>
      <c r="O677" s="8">
        <v>2619376940250</v>
      </c>
      <c r="P677" s="8">
        <v>2509475848750</v>
      </c>
      <c r="Q677" s="18">
        <f>(Table1[[#This Row],[A. TÀI SẢN NGẮN HẠN]]-Table1[[#This Row],[I. Nợ ngắn hạn]])/Table1[[#This Row],[TỔNG CỘNG TÀI SẢN]]</f>
        <v>0.17563253219880312</v>
      </c>
      <c r="R677" s="18">
        <f>Table1[[#This Row],[- LNST chưa phân phối kỳ này]]/Table1[[#This Row],[TỔNG CỘNG TÀI SẢN]]</f>
        <v>2.9078468606877114E-2</v>
      </c>
      <c r="S677" s="21">
        <f>Table1[[#This Row],[5. Lợi nhuận gộp về bán hàng và cung cấp dịch vụ]]/Table1[[#This Row],[TỔNG CỘNG TÀI SẢN]]</f>
        <v>0.16223030243007872</v>
      </c>
      <c r="T67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1.189396237635769</v>
      </c>
      <c r="U677" s="23">
        <f>Table1[[#This Row],[1. Doanh thu bán hàng và cung cấp dịch vụ ]]/Table1[[#This Row],[TỔNG CỘNG TÀI SẢN]]</f>
        <v>1.2414079555653497</v>
      </c>
      <c r="V677" s="23">
        <f>1.2*Table1[[#This Row],[X1]] + 1.4*Table1[[#This Row],[X2]] + 3.3*Table1[[#This Row],[x3]] + 0.6*Table1[[#This Row],[x4]] + 1*Table1[[#This Row],[x5]]</f>
        <v>2.7418745908542626</v>
      </c>
      <c r="W677" s="23">
        <f>IF(Table1[[#This Row],[Zscore]]&lt;1.81,1,0)</f>
        <v>0</v>
      </c>
    </row>
    <row r="678" spans="1:23" x14ac:dyDescent="0.45">
      <c r="A678" s="7">
        <v>672</v>
      </c>
      <c r="B678" s="5" t="s">
        <v>1357</v>
      </c>
      <c r="C678" s="6" t="s">
        <v>1358</v>
      </c>
      <c r="D678" s="6" t="s">
        <v>18</v>
      </c>
      <c r="E678" s="8">
        <v>2564193346532</v>
      </c>
      <c r="F678" s="8">
        <v>439615287327</v>
      </c>
      <c r="G678" s="8">
        <v>295810910120</v>
      </c>
      <c r="H678" s="8">
        <v>195923811064</v>
      </c>
      <c r="I678" s="8">
        <v>136630813817</v>
      </c>
      <c r="J678" s="8"/>
      <c r="K678" s="8">
        <v>760552707456</v>
      </c>
      <c r="L678" s="8">
        <v>853340797026</v>
      </c>
      <c r="M678" s="8">
        <v>1480100000000</v>
      </c>
      <c r="N678" s="8">
        <v>1339880000000</v>
      </c>
      <c r="O678" s="8">
        <v>1308720000000</v>
      </c>
      <c r="P678" s="8">
        <v>1402200000000</v>
      </c>
      <c r="Q678" s="18">
        <f>(Table1[[#This Row],[A. TÀI SẢN NGẮN HẠN]]-Table1[[#This Row],[I. Nợ ngắn hạn]])/Table1[[#This Row],[TỔNG CỘNG TÀI SẢN]]</f>
        <v>5.6081721529108328E-2</v>
      </c>
      <c r="R678" s="18">
        <f>Table1[[#This Row],[- LNST chưa phân phối kỳ này]]/Table1[[#This Row],[TỔNG CỘNG TÀI SẢN]]</f>
        <v>7.64075810932828E-2</v>
      </c>
      <c r="S678" s="21">
        <f>Table1[[#This Row],[5. Lợi nhuận gộp về bán hàng và cung cấp dịch vụ]]/Table1[[#This Row],[TỔNG CỘNG TÀI SẢN]]</f>
        <v>5.3284130856118696E-2</v>
      </c>
      <c r="T67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1.8180528271671352</v>
      </c>
      <c r="U678" s="23">
        <f>Table1[[#This Row],[1. Doanh thu bán hàng và cung cấp dịch vụ ]]/Table1[[#This Row],[TỔNG CỘNG TÀI SẢN]]</f>
        <v>0.33279112832116176</v>
      </c>
      <c r="V678" s="23">
        <f>1.2*Table1[[#This Row],[X1]] + 1.4*Table1[[#This Row],[X2]] + 3.3*Table1[[#This Row],[x3]] + 0.6*Table1[[#This Row],[x4]] + 1*Table1[[#This Row],[x5]]</f>
        <v>1.7737291358121605</v>
      </c>
      <c r="W678" s="23">
        <f>IF(Table1[[#This Row],[Zscore]]&lt;1.81,1,0)</f>
        <v>1</v>
      </c>
    </row>
    <row r="679" spans="1:23" x14ac:dyDescent="0.45">
      <c r="A679" s="7">
        <v>673</v>
      </c>
      <c r="B679" s="5" t="s">
        <v>1359</v>
      </c>
      <c r="C679" s="6" t="s">
        <v>1360</v>
      </c>
      <c r="D679" s="6" t="s">
        <v>21</v>
      </c>
      <c r="E679" s="8">
        <v>4287730998701</v>
      </c>
      <c r="F679" s="8">
        <v>3166428155900</v>
      </c>
      <c r="G679" s="8">
        <v>2956912289340</v>
      </c>
      <c r="H679" s="8">
        <v>15645149576</v>
      </c>
      <c r="I679" s="8">
        <v>-8225404564</v>
      </c>
      <c r="J679" s="8"/>
      <c r="K679" s="8">
        <v>2964241992973</v>
      </c>
      <c r="L679" s="8">
        <v>5916855233</v>
      </c>
      <c r="M679" s="8">
        <v>235044945400</v>
      </c>
      <c r="N679" s="8">
        <v>274631462520</v>
      </c>
      <c r="O679" s="8">
        <v>347619103460</v>
      </c>
      <c r="P679" s="8">
        <v>321640451600</v>
      </c>
      <c r="Q679" s="18">
        <f>(Table1[[#This Row],[A. TÀI SẢN NGẮN HẠN]]-Table1[[#This Row],[I. Nợ ngắn hạn]])/Table1[[#This Row],[TỔNG CỘNG TÀI SẢN]]</f>
        <v>4.8864041756228271E-2</v>
      </c>
      <c r="R679" s="18">
        <f>Table1[[#This Row],[- LNST chưa phân phối kỳ này]]/Table1[[#This Row],[TỔNG CỘNG TÀI SẢN]]</f>
        <v>3.6488178901008051E-3</v>
      </c>
      <c r="S679" s="21">
        <f>Table1[[#This Row],[5. Lợi nhuận gộp về bán hàng và cung cấp dịch vụ]]/Table1[[#This Row],[TỔNG CỘNG TÀI SẢN]]</f>
        <v>-1.9183583500205464E-3</v>
      </c>
      <c r="T67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9.9429800753006406E-2</v>
      </c>
      <c r="U679" s="23">
        <f>Table1[[#This Row],[1. Doanh thu bán hàng và cung cấp dịch vụ ]]/Table1[[#This Row],[TỔNG CỘNG TÀI SẢN]]</f>
        <v>1.379950196220928E-3</v>
      </c>
      <c r="V679" s="23">
        <f>1.2*Table1[[#This Row],[X1]] + 1.4*Table1[[#This Row],[X2]] + 3.3*Table1[[#This Row],[x3]] + 0.6*Table1[[#This Row],[x4]] + 1*Table1[[#This Row],[x5]]</f>
        <v>0.11845244324657202</v>
      </c>
      <c r="W679" s="23">
        <f>IF(Table1[[#This Row],[Zscore]]&lt;1.81,1,0)</f>
        <v>1</v>
      </c>
    </row>
    <row r="680" spans="1:23" x14ac:dyDescent="0.45">
      <c r="A680" s="7">
        <v>674</v>
      </c>
      <c r="B680" s="5" t="s">
        <v>1361</v>
      </c>
      <c r="C680" s="6" t="s">
        <v>1362</v>
      </c>
      <c r="D680" s="6" t="s">
        <v>18</v>
      </c>
      <c r="E680" s="8">
        <v>952628433017</v>
      </c>
      <c r="F680" s="8">
        <v>408223214466</v>
      </c>
      <c r="G680" s="8">
        <v>220162746631</v>
      </c>
      <c r="H680" s="8">
        <v>158672462457</v>
      </c>
      <c r="I680" s="8">
        <v>262296288058</v>
      </c>
      <c r="J680" s="8"/>
      <c r="K680" s="8">
        <v>245613216402</v>
      </c>
      <c r="L680" s="8">
        <v>684334907235</v>
      </c>
      <c r="M680" s="8">
        <v>1032120000000</v>
      </c>
      <c r="N680" s="8">
        <v>951600000000</v>
      </c>
      <c r="O680" s="8">
        <v>966240000000</v>
      </c>
      <c r="P680" s="8">
        <v>841800000000</v>
      </c>
      <c r="Q680" s="18">
        <f>(Table1[[#This Row],[A. TÀI SẢN NGẮN HẠN]]-Table1[[#This Row],[I. Nợ ngắn hạn]])/Table1[[#This Row],[TỔNG CỘNG TÀI SẢN]]</f>
        <v>0.19741219274697419</v>
      </c>
      <c r="R680" s="18">
        <f>Table1[[#This Row],[- LNST chưa phân phối kỳ này]]/Table1[[#This Row],[TỔNG CỘNG TÀI SẢN]]</f>
        <v>0.1665628034578813</v>
      </c>
      <c r="S680" s="21">
        <f>Table1[[#This Row],[5. Lợi nhuận gộp về bán hàng và cung cấp dịch vụ]]/Table1[[#This Row],[TỔNG CỘNG TÀI SẢN]]</f>
        <v>0.27533955419249934</v>
      </c>
      <c r="T68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3.8594828645071275</v>
      </c>
      <c r="U680" s="23">
        <f>Table1[[#This Row],[1. Doanh thu bán hàng và cung cấp dịch vụ ]]/Table1[[#This Row],[TỔNG CỘNG TÀI SẢN]]</f>
        <v>0.71836498210293054</v>
      </c>
      <c r="V680" s="23">
        <f>1.2*Table1[[#This Row],[X1]] + 1.4*Table1[[#This Row],[X2]] + 3.3*Table1[[#This Row],[x3]] + 0.6*Table1[[#This Row],[x4]] + 1*Table1[[#This Row],[x5]]</f>
        <v>4.4127577857798572</v>
      </c>
      <c r="W680" s="23">
        <f>IF(Table1[[#This Row],[Zscore]]&lt;1.81,1,0)</f>
        <v>0</v>
      </c>
    </row>
    <row r="681" spans="1:23" x14ac:dyDescent="0.45">
      <c r="A681" s="7">
        <v>675</v>
      </c>
      <c r="B681" s="5" t="s">
        <v>1363</v>
      </c>
      <c r="C681" s="6" t="s">
        <v>1364</v>
      </c>
      <c r="D681" s="6" t="s">
        <v>21</v>
      </c>
      <c r="E681" s="8">
        <v>127286395643</v>
      </c>
      <c r="F681" s="8">
        <v>83478020992</v>
      </c>
      <c r="G681" s="8">
        <v>16037682156</v>
      </c>
      <c r="H681" s="8">
        <v>15885785970</v>
      </c>
      <c r="I681" s="8">
        <v>67530327279</v>
      </c>
      <c r="J681" s="8"/>
      <c r="K681" s="8">
        <v>16037682156</v>
      </c>
      <c r="L681" s="8">
        <v>102656163320</v>
      </c>
      <c r="M681" s="8">
        <v>551000000000</v>
      </c>
      <c r="N681" s="8">
        <v>441750000000</v>
      </c>
      <c r="O681" s="8">
        <v>536750000000</v>
      </c>
      <c r="P681" s="8">
        <v>498750000000</v>
      </c>
      <c r="Q681" s="18">
        <f>(Table1[[#This Row],[A. TÀI SẢN NGẮN HẠN]]-Table1[[#This Row],[I. Nợ ngắn hạn]])/Table1[[#This Row],[TỔNG CỘNG TÀI SẢN]]</f>
        <v>0.52983147566806621</v>
      </c>
      <c r="R681" s="18">
        <f>Table1[[#This Row],[- LNST chưa phân phối kỳ này]]/Table1[[#This Row],[TỔNG CỘNG TÀI SẢN]]</f>
        <v>0.12480348657648258</v>
      </c>
      <c r="S681" s="21">
        <f>Table1[[#This Row],[5. Lợi nhuận gộp về bán hàng và cung cấp dịch vụ]]/Table1[[#This Row],[TỔNG CỘNG TÀI SẢN]]</f>
        <v>0.53053845179497605</v>
      </c>
      <c r="T68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31.616944086293564</v>
      </c>
      <c r="U681" s="23">
        <f>Table1[[#This Row],[1. Doanh thu bán hàng và cung cấp dịch vụ ]]/Table1[[#This Row],[TỔNG CỘNG TÀI SẢN]]</f>
        <v>0.80649752710352185</v>
      </c>
      <c r="V681" s="23">
        <f>1.2*Table1[[#This Row],[X1]] + 1.4*Table1[[#This Row],[X2]] + 3.3*Table1[[#This Row],[x3]] + 0.6*Table1[[#This Row],[x4]] + 1*Table1[[#This Row],[x5]]</f>
        <v>22.337963521811833</v>
      </c>
      <c r="W681" s="23">
        <f>IF(Table1[[#This Row],[Zscore]]&lt;1.81,1,0)</f>
        <v>0</v>
      </c>
    </row>
    <row r="682" spans="1:23" x14ac:dyDescent="0.45">
      <c r="A682" s="7">
        <v>676</v>
      </c>
      <c r="B682" s="5" t="s">
        <v>1365</v>
      </c>
      <c r="C682" s="6" t="s">
        <v>1366</v>
      </c>
      <c r="D682" s="6" t="s">
        <v>36</v>
      </c>
      <c r="E682" s="8">
        <v>159172869583</v>
      </c>
      <c r="F682" s="8">
        <v>66021034598</v>
      </c>
      <c r="G682" s="8">
        <v>27979066973</v>
      </c>
      <c r="H682" s="8">
        <v>9663149415</v>
      </c>
      <c r="I682" s="8">
        <v>18086198011</v>
      </c>
      <c r="J682" s="8"/>
      <c r="K682" s="8">
        <v>57976848752</v>
      </c>
      <c r="L682" s="8">
        <v>67824828105</v>
      </c>
      <c r="M682" s="8">
        <v>59750488000</v>
      </c>
      <c r="N682" s="8">
        <v>72554164000</v>
      </c>
      <c r="O682" s="8">
        <v>59750488000</v>
      </c>
      <c r="P682" s="8">
        <v>69353245000</v>
      </c>
      <c r="Q682" s="18">
        <f>(Table1[[#This Row],[A. TÀI SẢN NGẮN HẠN]]-Table1[[#This Row],[I. Nợ ngắn hạn]])/Table1[[#This Row],[TỔNG CỘNG TÀI SẢN]]</f>
        <v>0.23899781240774315</v>
      </c>
      <c r="R682" s="18">
        <f>Table1[[#This Row],[- LNST chưa phân phối kỳ này]]/Table1[[#This Row],[TỔNG CỘNG TÀI SẢN]]</f>
        <v>6.0708520492942376E-2</v>
      </c>
      <c r="S682" s="21">
        <f>Table1[[#This Row],[5. Lợi nhuận gộp về bán hàng và cung cấp dịch vụ]]/Table1[[#This Row],[TỔNG CỘNG TÀI SẢN]]</f>
        <v>0.11362613527281439</v>
      </c>
      <c r="T68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1.1272102167806348</v>
      </c>
      <c r="U682" s="23">
        <f>Table1[[#This Row],[1. Doanh thu bán hàng và cung cấp dịch vụ ]]/Table1[[#This Row],[TỔNG CỘNG TÀI SẢN]]</f>
        <v>0.4261079685419194</v>
      </c>
      <c r="V682" s="23">
        <f>1.2*Table1[[#This Row],[X1]] + 1.4*Table1[[#This Row],[X2]] + 3.3*Table1[[#This Row],[x3]] + 0.6*Table1[[#This Row],[x4]] + 1*Table1[[#This Row],[x5]]</f>
        <v>1.8491896485899988</v>
      </c>
      <c r="W682" s="23">
        <f>IF(Table1[[#This Row],[Zscore]]&lt;1.81,1,0)</f>
        <v>0</v>
      </c>
    </row>
    <row r="683" spans="1:23" x14ac:dyDescent="0.45">
      <c r="A683" s="7">
        <v>677</v>
      </c>
      <c r="B683" s="5" t="s">
        <v>1367</v>
      </c>
      <c r="C683" s="6" t="s">
        <v>1368</v>
      </c>
      <c r="D683" s="6" t="s">
        <v>21</v>
      </c>
      <c r="E683" s="8">
        <v>7059957842585</v>
      </c>
      <c r="F683" s="8">
        <v>7021023311550</v>
      </c>
      <c r="G683" s="8">
        <v>4025976066508</v>
      </c>
      <c r="H683" s="6"/>
      <c r="I683" s="8">
        <v>543796618590</v>
      </c>
      <c r="J683" s="8"/>
      <c r="K683" s="8">
        <v>4033099359896</v>
      </c>
      <c r="L683" s="8">
        <v>695006936537</v>
      </c>
      <c r="M683" s="8">
        <v>3297906692500</v>
      </c>
      <c r="N683" s="8">
        <v>3987498709500</v>
      </c>
      <c r="O683" s="8">
        <v>3052099982500</v>
      </c>
      <c r="P683" s="8">
        <v>4342585210000</v>
      </c>
      <c r="Q683" s="18">
        <f>(Table1[[#This Row],[A. TÀI SẢN NGẮN HẠN]]-Table1[[#This Row],[I. Nợ ngắn hạn]])/Table1[[#This Row],[TỔNG CỘNG TÀI SẢN]]</f>
        <v>0.42423018831304593</v>
      </c>
      <c r="R683" s="18">
        <f>Table1[[#This Row],[- LNST chưa phân phối kỳ này]]/Table1[[#This Row],[TỔNG CỘNG TÀI SẢN]]</f>
        <v>0</v>
      </c>
      <c r="S683" s="21">
        <f>Table1[[#This Row],[5. Lợi nhuận gộp về bán hàng và cung cấp dịch vụ]]/Table1[[#This Row],[TỔNG CỘNG TÀI SẢN]]</f>
        <v>7.7025476740083351E-2</v>
      </c>
      <c r="T68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0.90997575837547362</v>
      </c>
      <c r="U683" s="23">
        <f>Table1[[#This Row],[1. Doanh thu bán hàng và cung cấp dịch vụ ]]/Table1[[#This Row],[TỔNG CỘNG TÀI SẢN]]</f>
        <v>9.8443496694099741E-2</v>
      </c>
      <c r="V683" s="23">
        <f>1.2*Table1[[#This Row],[X1]] + 1.4*Table1[[#This Row],[X2]] + 3.3*Table1[[#This Row],[x3]] + 0.6*Table1[[#This Row],[x4]] + 1*Table1[[#This Row],[x5]]</f>
        <v>1.407689250937314</v>
      </c>
      <c r="W683" s="23">
        <f>IF(Table1[[#This Row],[Zscore]]&lt;1.81,1,0)</f>
        <v>1</v>
      </c>
    </row>
    <row r="684" spans="1:23" x14ac:dyDescent="0.45">
      <c r="A684" s="7">
        <v>678</v>
      </c>
      <c r="B684" s="5" t="s">
        <v>1369</v>
      </c>
      <c r="C684" s="6" t="s">
        <v>1370</v>
      </c>
      <c r="D684" s="6" t="s">
        <v>18</v>
      </c>
      <c r="E684" s="8">
        <v>778953265408</v>
      </c>
      <c r="F684" s="8">
        <v>31609939018</v>
      </c>
      <c r="G684" s="8">
        <v>58745064891</v>
      </c>
      <c r="H684" s="8">
        <v>-28634381702</v>
      </c>
      <c r="I684" s="8">
        <v>55715165051</v>
      </c>
      <c r="J684" s="8"/>
      <c r="K684" s="8">
        <v>176053470468</v>
      </c>
      <c r="L684" s="8">
        <v>186635274792</v>
      </c>
      <c r="M684" s="8">
        <v>772440000000</v>
      </c>
      <c r="N684" s="8">
        <v>934396096000</v>
      </c>
      <c r="O684" s="8">
        <v>777150000000</v>
      </c>
      <c r="P684" s="8">
        <v>555780000000</v>
      </c>
      <c r="Q684" s="18">
        <f>(Table1[[#This Row],[A. TÀI SẢN NGẮN HẠN]]-Table1[[#This Row],[I. Nợ ngắn hạn]])/Table1[[#This Row],[TỔNG CỘNG TÀI SẢN]]</f>
        <v>-3.4835370847039415E-2</v>
      </c>
      <c r="R684" s="18">
        <f>Table1[[#This Row],[- LNST chưa phân phối kỳ này]]/Table1[[#This Row],[TỔNG CỘNG TÀI SẢN]]</f>
        <v>-3.6760076597152316E-2</v>
      </c>
      <c r="S684" s="21">
        <f>Table1[[#This Row],[5. Lợi nhuận gộp về bán hàng và cung cấp dịch vụ]]/Table1[[#This Row],[TỔNG CỘNG TÀI SẢN]]</f>
        <v>7.1525683921252345E-2</v>
      </c>
      <c r="T68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4.3165381629788957</v>
      </c>
      <c r="U684" s="23">
        <f>Table1[[#This Row],[1. Doanh thu bán hàng và cung cấp dịch vụ ]]/Table1[[#This Row],[TỔNG CỘNG TÀI SẢN]]</f>
        <v>0.23959752539742446</v>
      </c>
      <c r="V684" s="23">
        <f>1.2*Table1[[#This Row],[X1]] + 1.4*Table1[[#This Row],[X2]] + 3.3*Table1[[#This Row],[x3]] + 0.6*Table1[[#This Row],[x4]] + 1*Table1[[#This Row],[x5]]</f>
        <v>2.9722886278724343</v>
      </c>
      <c r="W684" s="23">
        <f>IF(Table1[[#This Row],[Zscore]]&lt;1.81,1,0)</f>
        <v>0</v>
      </c>
    </row>
    <row r="685" spans="1:23" x14ac:dyDescent="0.45">
      <c r="A685" s="7">
        <v>679</v>
      </c>
      <c r="B685" s="5" t="s">
        <v>1371</v>
      </c>
      <c r="C685" s="6" t="s">
        <v>1372</v>
      </c>
      <c r="D685" s="6" t="s">
        <v>21</v>
      </c>
      <c r="E685" s="8">
        <v>15139226704905</v>
      </c>
      <c r="F685" s="8">
        <v>13285836390601</v>
      </c>
      <c r="G685" s="8">
        <v>9511869492871</v>
      </c>
      <c r="H685" s="8">
        <v>-24894336436</v>
      </c>
      <c r="I685" s="8">
        <v>580682856403</v>
      </c>
      <c r="J685" s="8"/>
      <c r="K685" s="8">
        <v>10836896893910</v>
      </c>
      <c r="L685" s="8">
        <v>1457912226141</v>
      </c>
      <c r="M685" s="8">
        <v>8002500000000</v>
      </c>
      <c r="N685" s="8">
        <v>8941860000000</v>
      </c>
      <c r="O685" s="8">
        <v>7804500000000</v>
      </c>
      <c r="P685" s="8">
        <v>9976065000000</v>
      </c>
      <c r="Q685" s="18">
        <f>(Table1[[#This Row],[A. TÀI SẢN NGẮN HẠN]]-Table1[[#This Row],[I. Nợ ngắn hạn]])/Table1[[#This Row],[TỔNG CỘNG TÀI SẢN]]</f>
        <v>0.24928399391147646</v>
      </c>
      <c r="R685" s="18">
        <f>Table1[[#This Row],[- LNST chưa phân phối kỳ này]]/Table1[[#This Row],[TỔNG CỘNG TÀI SẢN]]</f>
        <v>-1.6443598422325239E-3</v>
      </c>
      <c r="S685" s="21">
        <f>Table1[[#This Row],[5. Lợi nhuận gộp về bán hàng và cung cấp dịch vụ]]/Table1[[#This Row],[TỔNG CỘNG TÀI SẢN]]</f>
        <v>3.8356176819445011E-2</v>
      </c>
      <c r="T68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0.8010809122746736</v>
      </c>
      <c r="U685" s="23">
        <f>Table1[[#This Row],[1. Doanh thu bán hàng và cung cấp dịch vụ ]]/Table1[[#This Row],[TỔNG CỘNG TÀI SẢN]]</f>
        <v>9.6300310085761981E-2</v>
      </c>
      <c r="V685" s="23">
        <f>1.2*Table1[[#This Row],[X1]] + 1.4*Table1[[#This Row],[X2]] + 3.3*Table1[[#This Row],[x3]] + 0.6*Table1[[#This Row],[x4]] + 1*Table1[[#This Row],[x5]]</f>
        <v>1.0003629298693808</v>
      </c>
      <c r="W685" s="23">
        <f>IF(Table1[[#This Row],[Zscore]]&lt;1.81,1,0)</f>
        <v>1</v>
      </c>
    </row>
    <row r="686" spans="1:23" x14ac:dyDescent="0.45">
      <c r="A686" s="7">
        <v>680</v>
      </c>
      <c r="B686" s="5" t="s">
        <v>1373</v>
      </c>
      <c r="C686" s="6" t="s">
        <v>1374</v>
      </c>
      <c r="D686" s="6" t="s">
        <v>18</v>
      </c>
      <c r="E686" s="8">
        <v>102972644412</v>
      </c>
      <c r="F686" s="8">
        <v>39399062978</v>
      </c>
      <c r="G686" s="8">
        <v>110350040533</v>
      </c>
      <c r="H686" s="8">
        <v>-3775308020</v>
      </c>
      <c r="I686" s="8">
        <v>6184303403</v>
      </c>
      <c r="J686" s="8"/>
      <c r="K686" s="8">
        <v>110350040533</v>
      </c>
      <c r="L686" s="8">
        <v>43223811931</v>
      </c>
      <c r="M686" s="8">
        <v>138000000000</v>
      </c>
      <c r="N686" s="8">
        <v>168000000000</v>
      </c>
      <c r="O686" s="8">
        <v>132000000000</v>
      </c>
      <c r="P686" s="8">
        <v>126000000000</v>
      </c>
      <c r="Q686" s="18">
        <f>(Table1[[#This Row],[A. TÀI SẢN NGẮN HẠN]]-Table1[[#This Row],[I. Nợ ngắn hạn]])/Table1[[#This Row],[TỔNG CỘNG TÀI SẢN]]</f>
        <v>-0.68902743986180148</v>
      </c>
      <c r="R686" s="18">
        <f>Table1[[#This Row],[- LNST chưa phân phối kỳ này]]/Table1[[#This Row],[TỔNG CỘNG TÀI SẢN]]</f>
        <v>-3.6663213240351059E-2</v>
      </c>
      <c r="S686" s="21">
        <f>Table1[[#This Row],[5. Lợi nhuận gộp về bán hàng và cung cấp dịch vụ]]/Table1[[#This Row],[TỔNG CỘNG TÀI SẢN]]</f>
        <v>6.0057731238368654E-2</v>
      </c>
      <c r="T68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1.2777521360115331</v>
      </c>
      <c r="U686" s="23">
        <f>Table1[[#This Row],[1. Doanh thu bán hàng và cung cấp dịch vụ ]]/Table1[[#This Row],[TỔNG CỘNG TÀI SẢN]]</f>
        <v>0.41976014287890695</v>
      </c>
      <c r="V686" s="23">
        <f>1.2*Table1[[#This Row],[X1]] + 1.4*Table1[[#This Row],[X2]] + 3.3*Table1[[#This Row],[x3]] + 0.6*Table1[[#This Row],[x4]] + 1*Table1[[#This Row],[x5]]</f>
        <v>0.50644051120179023</v>
      </c>
      <c r="W686" s="23">
        <f>IF(Table1[[#This Row],[Zscore]]&lt;1.81,1,0)</f>
        <v>1</v>
      </c>
    </row>
    <row r="687" spans="1:23" hidden="1" x14ac:dyDescent="0.45">
      <c r="A687" s="7">
        <v>681</v>
      </c>
      <c r="B687" s="5" t="s">
        <v>1375</v>
      </c>
      <c r="C687" s="6" t="s">
        <v>1376</v>
      </c>
      <c r="D687" s="6" t="s">
        <v>18</v>
      </c>
      <c r="E687" s="8">
        <v>3184853518076</v>
      </c>
      <c r="F687" s="8">
        <v>567173934324</v>
      </c>
      <c r="G687" s="8">
        <v>564031349404</v>
      </c>
      <c r="H687" s="8">
        <v>213898148898</v>
      </c>
      <c r="I687" s="8">
        <v>17518566513</v>
      </c>
      <c r="J687" s="8"/>
      <c r="K687" s="8">
        <v>2045726501295</v>
      </c>
      <c r="L687" s="8">
        <v>421988763980</v>
      </c>
      <c r="M687" s="8"/>
      <c r="N687" s="8"/>
      <c r="O687" s="8"/>
      <c r="P687" s="8"/>
      <c r="Q687" s="18">
        <f>(Table1[[#This Row],[A. TÀI SẢN NGẮN HẠN]]-Table1[[#This Row],[I. Nợ ngắn hạn]])/Table1[[#This Row],[TỔNG CỘNG TÀI SẢN]]</f>
        <v>9.8672824422344711E-4</v>
      </c>
      <c r="R687" s="18">
        <f>Table1[[#This Row],[- LNST chưa phân phối kỳ này]]/Table1[[#This Row],[TỔNG CỘNG TÀI SẢN]]</f>
        <v>6.7161063353148462E-2</v>
      </c>
      <c r="S687" s="21">
        <f>Table1[[#This Row],[5. Lợi nhuận gộp về bán hàng và cung cấp dịch vụ]]/Table1[[#This Row],[TỔNG CỘNG TÀI SẢN]]</f>
        <v>5.5005878334973253E-3</v>
      </c>
      <c r="T68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687" s="23">
        <f>Table1[[#This Row],[1. Doanh thu bán hàng và cung cấp dịch vụ ]]/Table1[[#This Row],[TỔNG CỘNG TÀI SẢN]]</f>
        <v>0.13249864132995587</v>
      </c>
      <c r="V687" s="23" t="e">
        <f>1.2*Table1[[#This Row],[X1]] + 1.4*Table1[[#This Row],[X2]] + 3.3*Table1[[#This Row],[x3]] + 0.6*Table1[[#This Row],[x4]] + 1*Table1[[#This Row],[x5]]</f>
        <v>#DIV/0!</v>
      </c>
      <c r="W687" s="23" t="e">
        <f>IF(Table1[[#This Row],[Zscore]]&lt;1.81,1,0)</f>
        <v>#DIV/0!</v>
      </c>
    </row>
    <row r="688" spans="1:23" x14ac:dyDescent="0.45">
      <c r="A688" s="7">
        <v>682</v>
      </c>
      <c r="B688" s="5" t="s">
        <v>1377</v>
      </c>
      <c r="C688" s="6" t="s">
        <v>1378</v>
      </c>
      <c r="D688" s="6" t="s">
        <v>21</v>
      </c>
      <c r="E688" s="8">
        <v>382867235146</v>
      </c>
      <c r="F688" s="8">
        <v>358878324504</v>
      </c>
      <c r="G688" s="8">
        <v>26405410909</v>
      </c>
      <c r="H688" s="8">
        <v>72463951741</v>
      </c>
      <c r="I688" s="8">
        <v>103216914837</v>
      </c>
      <c r="J688" s="8"/>
      <c r="K688" s="8">
        <v>27495335832</v>
      </c>
      <c r="L688" s="8">
        <v>181495448064</v>
      </c>
      <c r="M688" s="8">
        <v>606567051800</v>
      </c>
      <c r="N688" s="8">
        <v>539506351850</v>
      </c>
      <c r="O688" s="8">
        <v>561255768050</v>
      </c>
      <c r="P688" s="8">
        <v>541318803200</v>
      </c>
      <c r="Q688" s="18">
        <f>(Table1[[#This Row],[A. TÀI SẢN NGẮN HẠN]]-Table1[[#This Row],[I. Nợ ngắn hạn]])/Table1[[#This Row],[TỔNG CỘNG TÀI SẢN]]</f>
        <v>0.8683765103802028</v>
      </c>
      <c r="R688" s="18">
        <f>Table1[[#This Row],[- LNST chưa phân phối kỳ này]]/Table1[[#This Row],[TỔNG CỘNG TÀI SẢN]]</f>
        <v>0.18926652658947712</v>
      </c>
      <c r="S688" s="21">
        <f>Table1[[#This Row],[5. Lợi nhuận gộp về bán hàng và cung cấp dịch vụ]]/Table1[[#This Row],[TỔNG CỘNG TÀI SẢN]]</f>
        <v>0.26958931285316162</v>
      </c>
      <c r="T68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20.445722036634915</v>
      </c>
      <c r="U688" s="23">
        <f>Table1[[#This Row],[1. Doanh thu bán hàng và cung cấp dịch vụ ]]/Table1[[#This Row],[TỔNG CỘNG TÀI SẢN]]</f>
        <v>0.47404277881023105</v>
      </c>
      <c r="V688" s="23">
        <f>1.2*Table1[[#This Row],[X1]] + 1.4*Table1[[#This Row],[X2]] + 3.3*Table1[[#This Row],[x3]] + 0.6*Table1[[#This Row],[x4]] + 1*Table1[[#This Row],[x5]]</f>
        <v>14.938145682888125</v>
      </c>
      <c r="W688" s="23">
        <f>IF(Table1[[#This Row],[Zscore]]&lt;1.81,1,0)</f>
        <v>0</v>
      </c>
    </row>
    <row r="689" spans="1:23" x14ac:dyDescent="0.45">
      <c r="A689" s="7">
        <v>683</v>
      </c>
      <c r="B689" s="5" t="s">
        <v>1379</v>
      </c>
      <c r="C689" s="6" t="s">
        <v>1380</v>
      </c>
      <c r="D689" s="6" t="s">
        <v>18</v>
      </c>
      <c r="E689" s="8">
        <v>924654393702</v>
      </c>
      <c r="F689" s="8">
        <v>508473305953</v>
      </c>
      <c r="G689" s="8">
        <v>52496228066</v>
      </c>
      <c r="H689" s="8">
        <v>-55406193887</v>
      </c>
      <c r="I689" s="8">
        <v>-75101095957</v>
      </c>
      <c r="J689" s="8"/>
      <c r="K689" s="8">
        <v>55494228066</v>
      </c>
      <c r="L689" s="8">
        <v>171570481730</v>
      </c>
      <c r="M689" s="8">
        <v>1376734400000</v>
      </c>
      <c r="N689" s="8">
        <v>1602234000000</v>
      </c>
      <c r="O689" s="8">
        <v>1400471200000</v>
      </c>
      <c r="P689" s="8">
        <v>1542892000000</v>
      </c>
      <c r="Q689" s="18">
        <f>(Table1[[#This Row],[A. TÀI SẢN NGẮN HẠN]]-Table1[[#This Row],[I. Nợ ngắn hạn]])/Table1[[#This Row],[TỔNG CỘNG TÀI SẢN]]</f>
        <v>0.49313244060997075</v>
      </c>
      <c r="R689" s="18">
        <f>Table1[[#This Row],[- LNST chưa phân phối kỳ này]]/Table1[[#This Row],[TỔNG CỘNG TÀI SẢN]]</f>
        <v>-5.9920976166211191E-2</v>
      </c>
      <c r="S689" s="21">
        <f>Table1[[#This Row],[5. Lợi nhuận gộp về bán hàng và cung cấp dịch vụ]]/Table1[[#This Row],[TỔNG CỘNG TÀI SẢN]]</f>
        <v>-8.1220720377827751E-2</v>
      </c>
      <c r="T68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26.679944051823259</v>
      </c>
      <c r="U689" s="23">
        <f>Table1[[#This Row],[1. Doanh thu bán hàng và cung cấp dịch vụ ]]/Table1[[#This Row],[TỔNG CỘNG TÀI SẢN]]</f>
        <v>0.18555092897259748</v>
      </c>
      <c r="V689" s="23">
        <f>1.2*Table1[[#This Row],[X1]] + 1.4*Table1[[#This Row],[X2]] + 3.3*Table1[[#This Row],[x3]] + 0.6*Table1[[#This Row],[x4]] + 1*Table1[[#This Row],[x5]]</f>
        <v>16.433358544918988</v>
      </c>
      <c r="W689" s="23">
        <f>IF(Table1[[#This Row],[Zscore]]&lt;1.81,1,0)</f>
        <v>0</v>
      </c>
    </row>
    <row r="690" spans="1:23" hidden="1" x14ac:dyDescent="0.45">
      <c r="A690" s="7">
        <v>684</v>
      </c>
      <c r="B690" s="5" t="s">
        <v>1381</v>
      </c>
      <c r="C690" s="6" t="s">
        <v>1382</v>
      </c>
      <c r="D690" s="6" t="s">
        <v>13</v>
      </c>
      <c r="E690" s="6"/>
      <c r="F690" s="6"/>
      <c r="G690" s="6"/>
      <c r="H690" s="6"/>
      <c r="I690" s="6"/>
      <c r="J690" s="8"/>
      <c r="K690" s="6"/>
      <c r="L690" s="6"/>
      <c r="M690" s="8"/>
      <c r="N690" s="8"/>
      <c r="O690" s="8"/>
      <c r="P690" s="8"/>
      <c r="Q690" s="18" t="e">
        <f>(Table1[[#This Row],[A. TÀI SẢN NGẮN HẠN]]-Table1[[#This Row],[I. Nợ ngắn hạn]])/Table1[[#This Row],[TỔNG CỘNG TÀI SẢN]]</f>
        <v>#DIV/0!</v>
      </c>
      <c r="R690" s="18" t="e">
        <f>Table1[[#This Row],[- LNST chưa phân phối kỳ này]]/Table1[[#This Row],[TỔNG CỘNG TÀI SẢN]]</f>
        <v>#DIV/0!</v>
      </c>
      <c r="S690" s="21" t="e">
        <f>Table1[[#This Row],[5. Lợi nhuận gộp về bán hàng và cung cấp dịch vụ]]/Table1[[#This Row],[TỔNG CỘNG TÀI SẢN]]</f>
        <v>#DIV/0!</v>
      </c>
      <c r="T69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690" s="23" t="e">
        <f>Table1[[#This Row],[1. Doanh thu bán hàng và cung cấp dịch vụ ]]/Table1[[#This Row],[TỔNG CỘNG TÀI SẢN]]</f>
        <v>#DIV/0!</v>
      </c>
      <c r="V690" s="23" t="e">
        <f>1.2*Table1[[#This Row],[X1]] + 1.4*Table1[[#This Row],[X2]] + 3.3*Table1[[#This Row],[x3]] + 0.6*Table1[[#This Row],[x4]] + 1*Table1[[#This Row],[x5]]</f>
        <v>#DIV/0!</v>
      </c>
      <c r="W690" s="23" t="e">
        <f>IF(Table1[[#This Row],[Zscore]]&lt;1.81,1,0)</f>
        <v>#DIV/0!</v>
      </c>
    </row>
    <row r="691" spans="1:23" x14ac:dyDescent="0.45">
      <c r="A691" s="7">
        <v>685</v>
      </c>
      <c r="B691" s="5" t="s">
        <v>1383</v>
      </c>
      <c r="C691" s="6" t="s">
        <v>1384</v>
      </c>
      <c r="D691" s="6" t="s">
        <v>36</v>
      </c>
      <c r="E691" s="8">
        <v>401654064857</v>
      </c>
      <c r="F691" s="8">
        <v>36505590939</v>
      </c>
      <c r="G691" s="8">
        <v>1043809905</v>
      </c>
      <c r="H691" s="8">
        <v>2164941901</v>
      </c>
      <c r="I691" s="6"/>
      <c r="J691" s="8"/>
      <c r="K691" s="8">
        <v>1043809905</v>
      </c>
      <c r="L691" s="6"/>
      <c r="M691" s="8">
        <v>177204500000</v>
      </c>
      <c r="N691" s="8">
        <v>293930000000</v>
      </c>
      <c r="O691" s="8">
        <v>264860000000</v>
      </c>
      <c r="P691" s="8">
        <v>290700000000</v>
      </c>
      <c r="Q691" s="18">
        <f>(Table1[[#This Row],[A. TÀI SẢN NGẮN HẠN]]-Table1[[#This Row],[I. Nợ ngắn hạn]])/Table1[[#This Row],[TỔNG CỘNG TÀI SẢN]]</f>
        <v>8.8289361758670054E-2</v>
      </c>
      <c r="R691" s="18">
        <f>Table1[[#This Row],[- LNST chưa phân phối kỳ này]]/Table1[[#This Row],[TỔNG CỘNG TÀI SẢN]]</f>
        <v>5.3900659558139405E-3</v>
      </c>
      <c r="S691" s="21">
        <f>Table1[[#This Row],[5. Lợi nhuận gộp về bán hàng và cung cấp dịch vụ]]/Table1[[#This Row],[TỔNG CỘNG TÀI SẢN]]</f>
        <v>0</v>
      </c>
      <c r="T69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245.90073706955292</v>
      </c>
      <c r="U691" s="23">
        <f>Table1[[#This Row],[1. Doanh thu bán hàng và cung cấp dịch vụ ]]/Table1[[#This Row],[TỔNG CỘNG TÀI SẢN]]</f>
        <v>0</v>
      </c>
      <c r="V691" s="23">
        <f>1.2*Table1[[#This Row],[X1]] + 1.4*Table1[[#This Row],[X2]] + 3.3*Table1[[#This Row],[x3]] + 0.6*Table1[[#This Row],[x4]] + 1*Table1[[#This Row],[x5]]</f>
        <v>147.65393556818029</v>
      </c>
      <c r="W691" s="23">
        <f>IF(Table1[[#This Row],[Zscore]]&lt;1.81,1,0)</f>
        <v>0</v>
      </c>
    </row>
    <row r="692" spans="1:23" hidden="1" x14ac:dyDescent="0.45">
      <c r="A692" s="7">
        <v>686</v>
      </c>
      <c r="B692" s="5" t="s">
        <v>1385</v>
      </c>
      <c r="C692" s="6" t="s">
        <v>1386</v>
      </c>
      <c r="D692" s="6" t="s">
        <v>13</v>
      </c>
      <c r="E692" s="6"/>
      <c r="F692" s="6"/>
      <c r="G692" s="6"/>
      <c r="H692" s="6"/>
      <c r="I692" s="6"/>
      <c r="J692" s="8"/>
      <c r="K692" s="6"/>
      <c r="L692" s="6"/>
      <c r="M692" s="8"/>
      <c r="N692" s="8"/>
      <c r="O692" s="8"/>
      <c r="P692" s="8"/>
      <c r="Q692" s="18" t="e">
        <f>(Table1[[#This Row],[A. TÀI SẢN NGẮN HẠN]]-Table1[[#This Row],[I. Nợ ngắn hạn]])/Table1[[#This Row],[TỔNG CỘNG TÀI SẢN]]</f>
        <v>#DIV/0!</v>
      </c>
      <c r="R692" s="18" t="e">
        <f>Table1[[#This Row],[- LNST chưa phân phối kỳ này]]/Table1[[#This Row],[TỔNG CỘNG TÀI SẢN]]</f>
        <v>#DIV/0!</v>
      </c>
      <c r="S692" s="21" t="e">
        <f>Table1[[#This Row],[5. Lợi nhuận gộp về bán hàng và cung cấp dịch vụ]]/Table1[[#This Row],[TỔNG CỘNG TÀI SẢN]]</f>
        <v>#DIV/0!</v>
      </c>
      <c r="T69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692" s="23" t="e">
        <f>Table1[[#This Row],[1. Doanh thu bán hàng và cung cấp dịch vụ ]]/Table1[[#This Row],[TỔNG CỘNG TÀI SẢN]]</f>
        <v>#DIV/0!</v>
      </c>
      <c r="V692" s="23" t="e">
        <f>1.2*Table1[[#This Row],[X1]] + 1.4*Table1[[#This Row],[X2]] + 3.3*Table1[[#This Row],[x3]] + 0.6*Table1[[#This Row],[x4]] + 1*Table1[[#This Row],[x5]]</f>
        <v>#DIV/0!</v>
      </c>
      <c r="W692" s="23" t="e">
        <f>IF(Table1[[#This Row],[Zscore]]&lt;1.81,1,0)</f>
        <v>#DIV/0!</v>
      </c>
    </row>
    <row r="693" spans="1:23" hidden="1" x14ac:dyDescent="0.45">
      <c r="A693" s="7">
        <v>687</v>
      </c>
      <c r="B693" s="5" t="s">
        <v>1387</v>
      </c>
      <c r="C693" s="6" t="s">
        <v>1388</v>
      </c>
      <c r="D693" s="6" t="s">
        <v>13</v>
      </c>
      <c r="E693" s="6"/>
      <c r="F693" s="6"/>
      <c r="G693" s="6"/>
      <c r="H693" s="6"/>
      <c r="I693" s="6"/>
      <c r="J693" s="8"/>
      <c r="K693" s="6"/>
      <c r="L693" s="6"/>
      <c r="M693" s="8"/>
      <c r="N693" s="8"/>
      <c r="O693" s="8"/>
      <c r="P693" s="8"/>
      <c r="Q693" s="18" t="e">
        <f>(Table1[[#This Row],[A. TÀI SẢN NGẮN HẠN]]-Table1[[#This Row],[I. Nợ ngắn hạn]])/Table1[[#This Row],[TỔNG CỘNG TÀI SẢN]]</f>
        <v>#DIV/0!</v>
      </c>
      <c r="R693" s="18" t="e">
        <f>Table1[[#This Row],[- LNST chưa phân phối kỳ này]]/Table1[[#This Row],[TỔNG CỘNG TÀI SẢN]]</f>
        <v>#DIV/0!</v>
      </c>
      <c r="S693" s="21" t="e">
        <f>Table1[[#This Row],[5. Lợi nhuận gộp về bán hàng và cung cấp dịch vụ]]/Table1[[#This Row],[TỔNG CỘNG TÀI SẢN]]</f>
        <v>#DIV/0!</v>
      </c>
      <c r="T69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693" s="23" t="e">
        <f>Table1[[#This Row],[1. Doanh thu bán hàng và cung cấp dịch vụ ]]/Table1[[#This Row],[TỔNG CỘNG TÀI SẢN]]</f>
        <v>#DIV/0!</v>
      </c>
      <c r="V693" s="23" t="e">
        <f>1.2*Table1[[#This Row],[X1]] + 1.4*Table1[[#This Row],[X2]] + 3.3*Table1[[#This Row],[x3]] + 0.6*Table1[[#This Row],[x4]] + 1*Table1[[#This Row],[x5]]</f>
        <v>#DIV/0!</v>
      </c>
      <c r="W693" s="23" t="e">
        <f>IF(Table1[[#This Row],[Zscore]]&lt;1.81,1,0)</f>
        <v>#DIV/0!</v>
      </c>
    </row>
    <row r="694" spans="1:23" hidden="1" x14ac:dyDescent="0.45">
      <c r="A694" s="7">
        <v>688</v>
      </c>
      <c r="B694" s="5" t="s">
        <v>1389</v>
      </c>
      <c r="C694" s="6" t="s">
        <v>1390</v>
      </c>
      <c r="D694" s="6" t="s">
        <v>13</v>
      </c>
      <c r="E694" s="6"/>
      <c r="F694" s="6"/>
      <c r="G694" s="6"/>
      <c r="H694" s="6"/>
      <c r="I694" s="6"/>
      <c r="J694" s="8"/>
      <c r="K694" s="6"/>
      <c r="L694" s="6"/>
      <c r="M694" s="8"/>
      <c r="N694" s="8"/>
      <c r="O694" s="8"/>
      <c r="P694" s="8"/>
      <c r="Q694" s="18" t="e">
        <f>(Table1[[#This Row],[A. TÀI SẢN NGẮN HẠN]]-Table1[[#This Row],[I. Nợ ngắn hạn]])/Table1[[#This Row],[TỔNG CỘNG TÀI SẢN]]</f>
        <v>#DIV/0!</v>
      </c>
      <c r="R694" s="18" t="e">
        <f>Table1[[#This Row],[- LNST chưa phân phối kỳ này]]/Table1[[#This Row],[TỔNG CỘNG TÀI SẢN]]</f>
        <v>#DIV/0!</v>
      </c>
      <c r="S694" s="21" t="e">
        <f>Table1[[#This Row],[5. Lợi nhuận gộp về bán hàng và cung cấp dịch vụ]]/Table1[[#This Row],[TỔNG CỘNG TÀI SẢN]]</f>
        <v>#DIV/0!</v>
      </c>
      <c r="T69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694" s="23" t="e">
        <f>Table1[[#This Row],[1. Doanh thu bán hàng và cung cấp dịch vụ ]]/Table1[[#This Row],[TỔNG CỘNG TÀI SẢN]]</f>
        <v>#DIV/0!</v>
      </c>
      <c r="V694" s="23" t="e">
        <f>1.2*Table1[[#This Row],[X1]] + 1.4*Table1[[#This Row],[X2]] + 3.3*Table1[[#This Row],[x3]] + 0.6*Table1[[#This Row],[x4]] + 1*Table1[[#This Row],[x5]]</f>
        <v>#DIV/0!</v>
      </c>
      <c r="W694" s="23" t="e">
        <f>IF(Table1[[#This Row],[Zscore]]&lt;1.81,1,0)</f>
        <v>#DIV/0!</v>
      </c>
    </row>
    <row r="695" spans="1:23" x14ac:dyDescent="0.45">
      <c r="A695" s="7">
        <v>689</v>
      </c>
      <c r="B695" s="5" t="s">
        <v>1391</v>
      </c>
      <c r="C695" s="6" t="s">
        <v>1392</v>
      </c>
      <c r="D695" s="6" t="s">
        <v>21</v>
      </c>
      <c r="E695" s="8">
        <v>632949261200</v>
      </c>
      <c r="F695" s="8">
        <v>169427274588</v>
      </c>
      <c r="G695" s="8">
        <v>309041258836</v>
      </c>
      <c r="H695" s="8">
        <v>1441781555</v>
      </c>
      <c r="I695" s="8">
        <v>19688619855</v>
      </c>
      <c r="J695" s="8"/>
      <c r="K695" s="8">
        <v>426803389796</v>
      </c>
      <c r="L695" s="8">
        <v>114523429678</v>
      </c>
      <c r="M695" s="8">
        <v>91202151600</v>
      </c>
      <c r="N695" s="8">
        <v>75490097760</v>
      </c>
      <c r="O695" s="8">
        <v>77657277600</v>
      </c>
      <c r="P695" s="8">
        <v>85603603680</v>
      </c>
      <c r="Q695" s="18">
        <f>(Table1[[#This Row],[A. TÀI SẢN NGẮN HẠN]]-Table1[[#This Row],[I. Nợ ngắn hạn]])/Table1[[#This Row],[TỔNG CỘNG TÀI SẢN]]</f>
        <v>-0.22057689740139316</v>
      </c>
      <c r="R695" s="18">
        <f>Table1[[#This Row],[- LNST chưa phân phối kỳ này]]/Table1[[#This Row],[TỔNG CỘNG TÀI SẢN]]</f>
        <v>2.2778785652842783E-3</v>
      </c>
      <c r="S695" s="21">
        <f>Table1[[#This Row],[5. Lợi nhuận gộp về bán hàng và cung cấp dịch vụ]]/Table1[[#This Row],[TỔNG CỘNG TÀI SẢN]]</f>
        <v>3.1106158205592357E-2</v>
      </c>
      <c r="T69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0.19326998011760654</v>
      </c>
      <c r="U695" s="23">
        <f>Table1[[#This Row],[1. Doanh thu bán hàng và cung cấp dịch vụ ]]/Table1[[#This Row],[TỔNG CỘNG TÀI SẢN]]</f>
        <v>0.18093619299100938</v>
      </c>
      <c r="V695" s="23">
        <f>1.2*Table1[[#This Row],[X1]] + 1.4*Table1[[#This Row],[X2]] + 3.3*Table1[[#This Row],[x3]] + 0.6*Table1[[#This Row],[x4]] + 1*Table1[[#This Row],[x5]]</f>
        <v>0.13804525624975422</v>
      </c>
      <c r="W695" s="23">
        <f>IF(Table1[[#This Row],[Zscore]]&lt;1.81,1,0)</f>
        <v>1</v>
      </c>
    </row>
    <row r="696" spans="1:23" hidden="1" x14ac:dyDescent="0.45">
      <c r="A696" s="7">
        <v>690</v>
      </c>
      <c r="B696" s="5" t="s">
        <v>1393</v>
      </c>
      <c r="C696" s="6" t="s">
        <v>1394</v>
      </c>
      <c r="D696" s="6" t="s">
        <v>13</v>
      </c>
      <c r="E696" s="6"/>
      <c r="F696" s="6"/>
      <c r="G696" s="6"/>
      <c r="H696" s="6"/>
      <c r="I696" s="6"/>
      <c r="J696" s="8"/>
      <c r="K696" s="6"/>
      <c r="L696" s="6"/>
      <c r="M696" s="8"/>
      <c r="N696" s="8"/>
      <c r="O696" s="8"/>
      <c r="P696" s="8"/>
      <c r="Q696" s="18" t="e">
        <f>(Table1[[#This Row],[A. TÀI SẢN NGẮN HẠN]]-Table1[[#This Row],[I. Nợ ngắn hạn]])/Table1[[#This Row],[TỔNG CỘNG TÀI SẢN]]</f>
        <v>#DIV/0!</v>
      </c>
      <c r="R696" s="18" t="e">
        <f>Table1[[#This Row],[- LNST chưa phân phối kỳ này]]/Table1[[#This Row],[TỔNG CỘNG TÀI SẢN]]</f>
        <v>#DIV/0!</v>
      </c>
      <c r="S696" s="21" t="e">
        <f>Table1[[#This Row],[5. Lợi nhuận gộp về bán hàng và cung cấp dịch vụ]]/Table1[[#This Row],[TỔNG CỘNG TÀI SẢN]]</f>
        <v>#DIV/0!</v>
      </c>
      <c r="T69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696" s="23" t="e">
        <f>Table1[[#This Row],[1. Doanh thu bán hàng và cung cấp dịch vụ ]]/Table1[[#This Row],[TỔNG CỘNG TÀI SẢN]]</f>
        <v>#DIV/0!</v>
      </c>
      <c r="V696" s="23" t="e">
        <f>1.2*Table1[[#This Row],[X1]] + 1.4*Table1[[#This Row],[X2]] + 3.3*Table1[[#This Row],[x3]] + 0.6*Table1[[#This Row],[x4]] + 1*Table1[[#This Row],[x5]]</f>
        <v>#DIV/0!</v>
      </c>
      <c r="W696" s="23" t="e">
        <f>IF(Table1[[#This Row],[Zscore]]&lt;1.81,1,0)</f>
        <v>#DIV/0!</v>
      </c>
    </row>
    <row r="697" spans="1:23" x14ac:dyDescent="0.45">
      <c r="A697" s="7">
        <v>691</v>
      </c>
      <c r="B697" s="5" t="s">
        <v>1395</v>
      </c>
      <c r="C697" s="6" t="s">
        <v>1396</v>
      </c>
      <c r="D697" s="6" t="s">
        <v>18</v>
      </c>
      <c r="E697" s="8">
        <v>172909145858</v>
      </c>
      <c r="F697" s="8">
        <v>79211207786</v>
      </c>
      <c r="G697" s="8">
        <v>168862064253</v>
      </c>
      <c r="H697" s="8">
        <v>-22499448653</v>
      </c>
      <c r="I697" s="8">
        <v>-3947903559</v>
      </c>
      <c r="J697" s="8"/>
      <c r="K697" s="8">
        <v>182096150504</v>
      </c>
      <c r="L697" s="8">
        <v>147922994988</v>
      </c>
      <c r="M697" s="8">
        <v>46000000000</v>
      </c>
      <c r="N697" s="8">
        <v>55000000000</v>
      </c>
      <c r="O697" s="8">
        <v>64000000000</v>
      </c>
      <c r="P697" s="8">
        <v>47000000000</v>
      </c>
      <c r="Q697" s="18">
        <f>(Table1[[#This Row],[A. TÀI SẢN NGẮN HẠN]]-Table1[[#This Row],[I. Nợ ngắn hạn]])/Table1[[#This Row],[TỔNG CỘNG TÀI SẢN]]</f>
        <v>-0.51848533530218766</v>
      </c>
      <c r="R697" s="18">
        <f>Table1[[#This Row],[- LNST chưa phân phối kỳ này]]/Table1[[#This Row],[TỔNG CỘNG TÀI SẢN]]</f>
        <v>-0.13012295296095824</v>
      </c>
      <c r="S697" s="21">
        <f>Table1[[#This Row],[5. Lợi nhuận gộp về bán hàng và cung cấp dịch vụ]]/Table1[[#This Row],[TỔNG CỘNG TÀI SẢN]]</f>
        <v>-2.2832242559582005E-2</v>
      </c>
      <c r="T69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0.29105502699155511</v>
      </c>
      <c r="U697" s="23">
        <f>Table1[[#This Row],[1. Doanh thu bán hàng và cung cấp dịch vụ ]]/Table1[[#This Row],[TỔNG CỘNG TÀI SẢN]]</f>
        <v>0.85549549304627504</v>
      </c>
      <c r="V697" s="23">
        <f>1.2*Table1[[#This Row],[X1]] + 1.4*Table1[[#This Row],[X2]] + 3.3*Table1[[#This Row],[x3]] + 0.6*Table1[[#This Row],[x4]] + 1*Table1[[#This Row],[x5]]</f>
        <v>0.15042757228662096</v>
      </c>
      <c r="W697" s="23">
        <f>IF(Table1[[#This Row],[Zscore]]&lt;1.81,1,0)</f>
        <v>1</v>
      </c>
    </row>
    <row r="698" spans="1:23" x14ac:dyDescent="0.45">
      <c r="A698" s="7">
        <v>692</v>
      </c>
      <c r="B698" s="5" t="s">
        <v>1397</v>
      </c>
      <c r="C698" s="6" t="s">
        <v>1398</v>
      </c>
      <c r="D698" s="6" t="s">
        <v>36</v>
      </c>
      <c r="E698" s="8">
        <v>2594003738883</v>
      </c>
      <c r="F698" s="8">
        <v>936442513321</v>
      </c>
      <c r="G698" s="8">
        <v>455787913963</v>
      </c>
      <c r="H698" s="8">
        <v>252539604392</v>
      </c>
      <c r="I698" s="8">
        <v>468906162206</v>
      </c>
      <c r="J698" s="8"/>
      <c r="K698" s="8">
        <v>934377948476</v>
      </c>
      <c r="L698" s="8">
        <v>824786714467</v>
      </c>
      <c r="M698" s="8">
        <v>1264753270000</v>
      </c>
      <c r="N698" s="8">
        <v>1073645485500</v>
      </c>
      <c r="O698" s="8">
        <v>1140331540500</v>
      </c>
      <c r="P698" s="8">
        <v>1467093210000</v>
      </c>
      <c r="Q698" s="18">
        <f>(Table1[[#This Row],[A. TÀI SẢN NGẮN HẠN]]-Table1[[#This Row],[I. Nợ ngắn hạn]])/Table1[[#This Row],[TỔNG CỘNG TÀI SẢN]]</f>
        <v>0.18529448980862839</v>
      </c>
      <c r="R698" s="18">
        <f>Table1[[#This Row],[- LNST chưa phân phối kỳ này]]/Table1[[#This Row],[TỔNG CỘNG TÀI SẢN]]</f>
        <v>9.7355142788169494E-2</v>
      </c>
      <c r="S698" s="21">
        <f>Table1[[#This Row],[5. Lợi nhuận gộp về bán hàng và cung cấp dịch vụ]]/Table1[[#This Row],[TỔNG CỘNG TÀI SẢN]]</f>
        <v>0.18076541493649309</v>
      </c>
      <c r="T69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1.3232930834002437</v>
      </c>
      <c r="U698" s="23">
        <f>Table1[[#This Row],[1. Doanh thu bán hàng và cung cấp dịch vụ ]]/Table1[[#This Row],[TỔNG CỘNG TÀI SẢN]]</f>
        <v>0.3179589536066591</v>
      </c>
      <c r="V698" s="23">
        <f>1.2*Table1[[#This Row],[X1]] + 1.4*Table1[[#This Row],[X2]] + 3.3*Table1[[#This Row],[x3]] + 0.6*Table1[[#This Row],[x4]] + 1*Table1[[#This Row],[x5]]</f>
        <v>2.0671112606110236</v>
      </c>
      <c r="W698" s="23">
        <f>IF(Table1[[#This Row],[Zscore]]&lt;1.81,1,0)</f>
        <v>0</v>
      </c>
    </row>
    <row r="699" spans="1:23" ht="26.25" x14ac:dyDescent="0.45">
      <c r="A699" s="7">
        <v>693</v>
      </c>
      <c r="B699" s="5" t="s">
        <v>1399</v>
      </c>
      <c r="C699" s="6" t="s">
        <v>1400</v>
      </c>
      <c r="D699" s="6" t="s">
        <v>18</v>
      </c>
      <c r="E699" s="8">
        <v>508435454419</v>
      </c>
      <c r="F699" s="8">
        <v>7956574419</v>
      </c>
      <c r="G699" s="8">
        <v>552659896</v>
      </c>
      <c r="H699" s="8">
        <v>62683386</v>
      </c>
      <c r="I699" s="6"/>
      <c r="J699" s="8"/>
      <c r="K699" s="8">
        <v>552659896</v>
      </c>
      <c r="L699" s="6"/>
      <c r="M699" s="8">
        <v>213048725400</v>
      </c>
      <c r="N699" s="8">
        <v>187685781900</v>
      </c>
      <c r="O699" s="8">
        <v>187685781900</v>
      </c>
      <c r="P699" s="8">
        <v>187685781900</v>
      </c>
      <c r="Q699" s="18">
        <f>(Table1[[#This Row],[A. TÀI SẢN NGẮN HẠN]]-Table1[[#This Row],[I. Nợ ngắn hạn]])/Table1[[#This Row],[TỔNG CỘNG TÀI SẢN]]</f>
        <v>1.4562152302027424E-2</v>
      </c>
      <c r="R699" s="18">
        <f>Table1[[#This Row],[- LNST chưa phân phối kỳ này]]/Table1[[#This Row],[TỔNG CỘNG TÀI SẢN]]</f>
        <v>1.2328681144321385E-4</v>
      </c>
      <c r="S699" s="21">
        <f>Table1[[#This Row],[5. Lợi nhuận gộp về bán hàng và cung cấp dịch vụ]]/Table1[[#This Row],[TỔNG CỘNG TÀI SẢN]]</f>
        <v>0</v>
      </c>
      <c r="T69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351.07761424215954</v>
      </c>
      <c r="U699" s="23">
        <f>Table1[[#This Row],[1. Doanh thu bán hàng và cung cấp dịch vụ ]]/Table1[[#This Row],[TỔNG CỘNG TÀI SẢN]]</f>
        <v>0</v>
      </c>
      <c r="V699" s="23">
        <f>1.2*Table1[[#This Row],[X1]] + 1.4*Table1[[#This Row],[X2]] + 3.3*Table1[[#This Row],[x3]] + 0.6*Table1[[#This Row],[x4]] + 1*Table1[[#This Row],[x5]]</f>
        <v>210.66421572959416</v>
      </c>
      <c r="W699" s="23">
        <f>IF(Table1[[#This Row],[Zscore]]&lt;1.81,1,0)</f>
        <v>0</v>
      </c>
    </row>
    <row r="700" spans="1:23" ht="26.25" hidden="1" x14ac:dyDescent="0.45">
      <c r="A700" s="7">
        <v>694</v>
      </c>
      <c r="B700" s="5" t="s">
        <v>1401</v>
      </c>
      <c r="C700" s="6" t="s">
        <v>1402</v>
      </c>
      <c r="D700" s="6" t="s">
        <v>13</v>
      </c>
      <c r="E700" s="6"/>
      <c r="F700" s="6"/>
      <c r="G700" s="6"/>
      <c r="H700" s="6"/>
      <c r="I700" s="6"/>
      <c r="J700" s="8"/>
      <c r="K700" s="6"/>
      <c r="L700" s="6"/>
      <c r="M700" s="8"/>
      <c r="N700" s="8"/>
      <c r="O700" s="8"/>
      <c r="P700" s="8"/>
      <c r="Q700" s="18" t="e">
        <f>(Table1[[#This Row],[A. TÀI SẢN NGẮN HẠN]]-Table1[[#This Row],[I. Nợ ngắn hạn]])/Table1[[#This Row],[TỔNG CỘNG TÀI SẢN]]</f>
        <v>#DIV/0!</v>
      </c>
      <c r="R700" s="18" t="e">
        <f>Table1[[#This Row],[- LNST chưa phân phối kỳ này]]/Table1[[#This Row],[TỔNG CỘNG TÀI SẢN]]</f>
        <v>#DIV/0!</v>
      </c>
      <c r="S700" s="21" t="e">
        <f>Table1[[#This Row],[5. Lợi nhuận gộp về bán hàng và cung cấp dịch vụ]]/Table1[[#This Row],[TỔNG CỘNG TÀI SẢN]]</f>
        <v>#DIV/0!</v>
      </c>
      <c r="T70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700" s="23" t="e">
        <f>Table1[[#This Row],[1. Doanh thu bán hàng và cung cấp dịch vụ ]]/Table1[[#This Row],[TỔNG CỘNG TÀI SẢN]]</f>
        <v>#DIV/0!</v>
      </c>
      <c r="V700" s="23" t="e">
        <f>1.2*Table1[[#This Row],[X1]] + 1.4*Table1[[#This Row],[X2]] + 3.3*Table1[[#This Row],[x3]] + 0.6*Table1[[#This Row],[x4]] + 1*Table1[[#This Row],[x5]]</f>
        <v>#DIV/0!</v>
      </c>
      <c r="W700" s="23" t="e">
        <f>IF(Table1[[#This Row],[Zscore]]&lt;1.81,1,0)</f>
        <v>#DIV/0!</v>
      </c>
    </row>
    <row r="701" spans="1:23" x14ac:dyDescent="0.45">
      <c r="A701" s="7">
        <v>695</v>
      </c>
      <c r="B701" s="5" t="s">
        <v>1403</v>
      </c>
      <c r="C701" s="6" t="s">
        <v>1404</v>
      </c>
      <c r="D701" s="6" t="s">
        <v>36</v>
      </c>
      <c r="E701" s="8">
        <v>279602703168</v>
      </c>
      <c r="F701" s="8">
        <v>183274997946</v>
      </c>
      <c r="G701" s="8">
        <v>79940822360</v>
      </c>
      <c r="H701" s="8">
        <v>12816242702</v>
      </c>
      <c r="I701" s="8">
        <v>66443800193</v>
      </c>
      <c r="J701" s="8"/>
      <c r="K701" s="8">
        <v>80728397360</v>
      </c>
      <c r="L701" s="8">
        <v>324844086708</v>
      </c>
      <c r="M701" s="8">
        <v>167886717300</v>
      </c>
      <c r="N701" s="8">
        <v>148882429000</v>
      </c>
      <c r="O701" s="8">
        <v>137817454500</v>
      </c>
      <c r="P701" s="8">
        <v>125288595000</v>
      </c>
      <c r="Q701" s="18">
        <f>(Table1[[#This Row],[A. TÀI SẢN NGẮN HẠN]]-Table1[[#This Row],[I. Nợ ngắn hạn]])/Table1[[#This Row],[TỔNG CỘNG TÀI SẢN]]</f>
        <v>0.36957502347146981</v>
      </c>
      <c r="R701" s="18">
        <f>Table1[[#This Row],[- LNST chưa phân phối kỳ này]]/Table1[[#This Row],[TỔNG CỘNG TÀI SẢN]]</f>
        <v>4.5837334749583333E-2</v>
      </c>
      <c r="S701" s="21">
        <f>Table1[[#This Row],[5. Lợi nhuận gộp về bán hàng và cung cấp dịch vụ]]/Table1[[#This Row],[TỔNG CỘNG TÀI SẢN]]</f>
        <v>0.23763647289588996</v>
      </c>
      <c r="T70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1.7957596544810188</v>
      </c>
      <c r="U701" s="23">
        <f>Table1[[#This Row],[1. Doanh thu bán hàng và cung cấp dịch vụ ]]/Table1[[#This Row],[TỔNG CỘNG TÀI SẢN]]</f>
        <v>1.1618059590533236</v>
      </c>
      <c r="V701" s="23">
        <f>1.2*Table1[[#This Row],[X1]] + 1.4*Table1[[#This Row],[X2]] + 3.3*Table1[[#This Row],[x3]] + 0.6*Table1[[#This Row],[x4]] + 1*Table1[[#This Row],[x5]]</f>
        <v>3.5311244091135521</v>
      </c>
      <c r="W701" s="23">
        <f>IF(Table1[[#This Row],[Zscore]]&lt;1.81,1,0)</f>
        <v>0</v>
      </c>
    </row>
    <row r="702" spans="1:23" ht="26.25" hidden="1" x14ac:dyDescent="0.45">
      <c r="A702" s="7">
        <v>696</v>
      </c>
      <c r="B702" s="5" t="s">
        <v>1405</v>
      </c>
      <c r="C702" s="6" t="s">
        <v>1406</v>
      </c>
      <c r="D702" s="6" t="s">
        <v>18</v>
      </c>
      <c r="E702" s="6"/>
      <c r="F702" s="6"/>
      <c r="G702" s="6"/>
      <c r="H702" s="6"/>
      <c r="I702" s="6"/>
      <c r="J702" s="8"/>
      <c r="K702" s="6"/>
      <c r="L702" s="6"/>
      <c r="M702" s="8"/>
      <c r="N702" s="8"/>
      <c r="O702" s="8"/>
      <c r="P702" s="8"/>
      <c r="Q702" s="18" t="e">
        <f>(Table1[[#This Row],[A. TÀI SẢN NGẮN HẠN]]-Table1[[#This Row],[I. Nợ ngắn hạn]])/Table1[[#This Row],[TỔNG CỘNG TÀI SẢN]]</f>
        <v>#DIV/0!</v>
      </c>
      <c r="R702" s="18" t="e">
        <f>Table1[[#This Row],[- LNST chưa phân phối kỳ này]]/Table1[[#This Row],[TỔNG CỘNG TÀI SẢN]]</f>
        <v>#DIV/0!</v>
      </c>
      <c r="S702" s="21" t="e">
        <f>Table1[[#This Row],[5. Lợi nhuận gộp về bán hàng và cung cấp dịch vụ]]/Table1[[#This Row],[TỔNG CỘNG TÀI SẢN]]</f>
        <v>#DIV/0!</v>
      </c>
      <c r="T70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702" s="23" t="e">
        <f>Table1[[#This Row],[1. Doanh thu bán hàng và cung cấp dịch vụ ]]/Table1[[#This Row],[TỔNG CỘNG TÀI SẢN]]</f>
        <v>#DIV/0!</v>
      </c>
      <c r="V702" s="23" t="e">
        <f>1.2*Table1[[#This Row],[X1]] + 1.4*Table1[[#This Row],[X2]] + 3.3*Table1[[#This Row],[x3]] + 0.6*Table1[[#This Row],[x4]] + 1*Table1[[#This Row],[x5]]</f>
        <v>#DIV/0!</v>
      </c>
      <c r="W702" s="23" t="e">
        <f>IF(Table1[[#This Row],[Zscore]]&lt;1.81,1,0)</f>
        <v>#DIV/0!</v>
      </c>
    </row>
    <row r="703" spans="1:23" x14ac:dyDescent="0.45">
      <c r="A703" s="7">
        <v>697</v>
      </c>
      <c r="B703" s="5" t="s">
        <v>1407</v>
      </c>
      <c r="C703" s="6" t="s">
        <v>1408</v>
      </c>
      <c r="D703" s="6" t="s">
        <v>18</v>
      </c>
      <c r="E703" s="8">
        <v>482433438706</v>
      </c>
      <c r="F703" s="8">
        <v>418491411183</v>
      </c>
      <c r="G703" s="8">
        <v>345071863447</v>
      </c>
      <c r="H703" s="8">
        <v>218239688</v>
      </c>
      <c r="I703" s="8">
        <v>474676515</v>
      </c>
      <c r="J703" s="8"/>
      <c r="K703" s="8">
        <v>346489231467</v>
      </c>
      <c r="L703" s="8">
        <v>600130096749</v>
      </c>
      <c r="M703" s="8">
        <v>31024240000</v>
      </c>
      <c r="N703" s="8">
        <v>32373120000</v>
      </c>
      <c r="O703" s="8">
        <v>35070880000</v>
      </c>
      <c r="P703" s="8">
        <v>33722000000</v>
      </c>
      <c r="Q703" s="18">
        <f>(Table1[[#This Row],[A. TÀI SẢN NGẮN HẠN]]-Table1[[#This Row],[I. Nợ ngắn hạn]])/Table1[[#This Row],[TỔNG CỘNG TÀI SẢN]]</f>
        <v>0.15218585994563003</v>
      </c>
      <c r="R703" s="18">
        <f>Table1[[#This Row],[- LNST chưa phân phối kỳ này]]/Table1[[#This Row],[TỔNG CỘNG TÀI SẢN]]</f>
        <v>4.5237263939533338E-4</v>
      </c>
      <c r="S703" s="21">
        <f>Table1[[#This Row],[5. Lợi nhuận gộp về bán hàng và cung cấp dịch vụ]]/Table1[[#This Row],[TỔNG CỘNG TÀI SẢN]]</f>
        <v>9.8392125610777324E-4</v>
      </c>
      <c r="T70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9.5378317704362725E-2</v>
      </c>
      <c r="U703" s="23">
        <f>Table1[[#This Row],[1. Doanh thu bán hàng và cung cấp dịch vụ ]]/Table1[[#This Row],[TỔNG CỘNG TÀI SẢN]]</f>
        <v>1.2439645526203369</v>
      </c>
      <c r="V703" s="23">
        <f>1.2*Table1[[#This Row],[X1]] + 1.4*Table1[[#This Row],[X2]] + 3.3*Table1[[#This Row],[x3]] + 0.6*Table1[[#This Row],[x4]] + 1*Table1[[#This Row],[x5]]</f>
        <v>1.4876948370180196</v>
      </c>
      <c r="W703" s="23">
        <f>IF(Table1[[#This Row],[Zscore]]&lt;1.81,1,0)</f>
        <v>1</v>
      </c>
    </row>
    <row r="704" spans="1:23" x14ac:dyDescent="0.45">
      <c r="A704" s="7">
        <v>698</v>
      </c>
      <c r="B704" s="5" t="s">
        <v>1409</v>
      </c>
      <c r="C704" s="6" t="s">
        <v>1410</v>
      </c>
      <c r="D704" s="6" t="s">
        <v>36</v>
      </c>
      <c r="E704" s="8">
        <v>15347326382510</v>
      </c>
      <c r="F704" s="8">
        <v>5126911448025</v>
      </c>
      <c r="G704" s="8">
        <v>5042652472434</v>
      </c>
      <c r="H704" s="8">
        <v>654129036103</v>
      </c>
      <c r="I704" s="8">
        <v>1143120736786</v>
      </c>
      <c r="J704" s="8"/>
      <c r="K704" s="8">
        <v>6578887160499</v>
      </c>
      <c r="L704" s="8">
        <v>12754572801947</v>
      </c>
      <c r="M704" s="8">
        <v>9217360912500</v>
      </c>
      <c r="N704" s="8">
        <v>8193209700000</v>
      </c>
      <c r="O704" s="8">
        <v>8193209700000</v>
      </c>
      <c r="P704" s="8">
        <v>8398039942500</v>
      </c>
      <c r="Q704" s="18">
        <f>(Table1[[#This Row],[A. TÀI SẢN NGẮN HẠN]]-Table1[[#This Row],[I. Nợ ngắn hạn]])/Table1[[#This Row],[TỔNG CỘNG TÀI SẢN]]</f>
        <v>5.4901403339556627E-3</v>
      </c>
      <c r="R704" s="18">
        <f>Table1[[#This Row],[- LNST chưa phân phối kỳ này]]/Table1[[#This Row],[TỔNG CỘNG TÀI SẢN]]</f>
        <v>4.2621693173115378E-2</v>
      </c>
      <c r="S704" s="21">
        <f>Table1[[#This Row],[5. Lợi nhuận gộp về bán hàng và cung cấp dịch vụ]]/Table1[[#This Row],[TỔNG CỘNG TÀI SẢN]]</f>
        <v>7.4483379599505642E-2</v>
      </c>
      <c r="T70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1.2920809943037921</v>
      </c>
      <c r="U704" s="23">
        <f>Table1[[#This Row],[1. Doanh thu bán hàng và cung cấp dịch vụ ]]/Table1[[#This Row],[TỔNG CỘNG TÀI SẢN]]</f>
        <v>0.83106154675137855</v>
      </c>
      <c r="V704" s="23">
        <f>1.2*Table1[[#This Row],[X1]] + 1.4*Table1[[#This Row],[X2]] + 3.3*Table1[[#This Row],[x3]] + 0.6*Table1[[#This Row],[x4]] + 1*Table1[[#This Row],[x5]]</f>
        <v>1.9183638348551306</v>
      </c>
      <c r="W704" s="23">
        <f>IF(Table1[[#This Row],[Zscore]]&lt;1.81,1,0)</f>
        <v>0</v>
      </c>
    </row>
    <row r="705" spans="1:23" x14ac:dyDescent="0.45">
      <c r="A705" s="7">
        <v>699</v>
      </c>
      <c r="B705" s="5" t="s">
        <v>1411</v>
      </c>
      <c r="C705" s="6" t="s">
        <v>1412</v>
      </c>
      <c r="D705" s="6" t="s">
        <v>21</v>
      </c>
      <c r="E705" s="8">
        <v>2051172327882</v>
      </c>
      <c r="F705" s="8">
        <v>1294563237369</v>
      </c>
      <c r="G705" s="8">
        <v>1251823421087</v>
      </c>
      <c r="H705" s="8">
        <v>-121194370641</v>
      </c>
      <c r="I705" s="8">
        <v>-26835890629</v>
      </c>
      <c r="J705" s="8"/>
      <c r="K705" s="8">
        <v>1412891928129</v>
      </c>
      <c r="L705" s="8">
        <v>1863152325446</v>
      </c>
      <c r="M705" s="8">
        <v>615404487600</v>
      </c>
      <c r="N705" s="8">
        <v>800328988800</v>
      </c>
      <c r="O705" s="8">
        <v>560836602000</v>
      </c>
      <c r="P705" s="8">
        <v>845802226800</v>
      </c>
      <c r="Q705" s="18">
        <f>(Table1[[#This Row],[A. TÀI SẢN NGẮN HẠN]]-Table1[[#This Row],[I. Nợ ngắn hạn]])/Table1[[#This Row],[TỔNG CỘNG TÀI SẢN]]</f>
        <v>2.0836774999852054E-2</v>
      </c>
      <c r="R705" s="18">
        <f>Table1[[#This Row],[- LNST chưa phân phối kỳ này]]/Table1[[#This Row],[TỔNG CỘNG TÀI SẢN]]</f>
        <v>-5.9085416175706167E-2</v>
      </c>
      <c r="S705" s="21">
        <f>Table1[[#This Row],[5. Lợi nhuận gộp về bán hàng và cung cấp dịch vụ]]/Table1[[#This Row],[TỔNG CỘNG TÀI SẢN]]</f>
        <v>-1.3083196503879423E-2</v>
      </c>
      <c r="T70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0.49939635314809294</v>
      </c>
      <c r="U705" s="23">
        <f>Table1[[#This Row],[1. Doanh thu bán hàng và cung cấp dịch vụ ]]/Table1[[#This Row],[TỔNG CỘNG TÀI SẢN]]</f>
        <v>0.90833534565564966</v>
      </c>
      <c r="V705" s="23">
        <f>1.2*Table1[[#This Row],[X1]] + 1.4*Table1[[#This Row],[X2]] + 3.3*Table1[[#This Row],[x3]] + 0.6*Table1[[#This Row],[x4]] + 1*Table1[[#This Row],[x5]]</f>
        <v>1.1070831564355372</v>
      </c>
      <c r="W705" s="23">
        <f>IF(Table1[[#This Row],[Zscore]]&lt;1.81,1,0)</f>
        <v>1</v>
      </c>
    </row>
    <row r="706" spans="1:23" hidden="1" x14ac:dyDescent="0.45">
      <c r="A706" s="7">
        <v>700</v>
      </c>
      <c r="B706" s="5" t="s">
        <v>1413</v>
      </c>
      <c r="C706" s="6" t="s">
        <v>1414</v>
      </c>
      <c r="D706" s="6" t="s">
        <v>13</v>
      </c>
      <c r="E706" s="6"/>
      <c r="F706" s="6"/>
      <c r="G706" s="6"/>
      <c r="H706" s="6"/>
      <c r="I706" s="6"/>
      <c r="J706" s="8"/>
      <c r="K706" s="6"/>
      <c r="L706" s="6"/>
      <c r="M706" s="8"/>
      <c r="N706" s="8"/>
      <c r="O706" s="8"/>
      <c r="P706" s="8"/>
      <c r="Q706" s="18" t="e">
        <f>(Table1[[#This Row],[A. TÀI SẢN NGẮN HẠN]]-Table1[[#This Row],[I. Nợ ngắn hạn]])/Table1[[#This Row],[TỔNG CỘNG TÀI SẢN]]</f>
        <v>#DIV/0!</v>
      </c>
      <c r="R706" s="18" t="e">
        <f>Table1[[#This Row],[- LNST chưa phân phối kỳ này]]/Table1[[#This Row],[TỔNG CỘNG TÀI SẢN]]</f>
        <v>#DIV/0!</v>
      </c>
      <c r="S706" s="21" t="e">
        <f>Table1[[#This Row],[5. Lợi nhuận gộp về bán hàng và cung cấp dịch vụ]]/Table1[[#This Row],[TỔNG CỘNG TÀI SẢN]]</f>
        <v>#DIV/0!</v>
      </c>
      <c r="T70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706" s="23" t="e">
        <f>Table1[[#This Row],[1. Doanh thu bán hàng và cung cấp dịch vụ ]]/Table1[[#This Row],[TỔNG CỘNG TÀI SẢN]]</f>
        <v>#DIV/0!</v>
      </c>
      <c r="V706" s="23" t="e">
        <f>1.2*Table1[[#This Row],[X1]] + 1.4*Table1[[#This Row],[X2]] + 3.3*Table1[[#This Row],[x3]] + 0.6*Table1[[#This Row],[x4]] + 1*Table1[[#This Row],[x5]]</f>
        <v>#DIV/0!</v>
      </c>
      <c r="W706" s="23" t="e">
        <f>IF(Table1[[#This Row],[Zscore]]&lt;1.81,1,0)</f>
        <v>#DIV/0!</v>
      </c>
    </row>
    <row r="707" spans="1:23" x14ac:dyDescent="0.45">
      <c r="A707" s="7">
        <v>701</v>
      </c>
      <c r="B707" s="5" t="s">
        <v>1415</v>
      </c>
      <c r="C707" s="6" t="s">
        <v>1416</v>
      </c>
      <c r="D707" s="6" t="s">
        <v>18</v>
      </c>
      <c r="E707" s="8">
        <v>1580665727161</v>
      </c>
      <c r="F707" s="8">
        <v>929106913368</v>
      </c>
      <c r="G707" s="8">
        <v>344374419897</v>
      </c>
      <c r="H707" s="8">
        <v>283740094775</v>
      </c>
      <c r="I707" s="8">
        <v>914495038811</v>
      </c>
      <c r="J707" s="8"/>
      <c r="K707" s="8">
        <v>380172604897</v>
      </c>
      <c r="L707" s="8">
        <v>1707979342498</v>
      </c>
      <c r="M707" s="8">
        <v>2564188636000</v>
      </c>
      <c r="N707" s="8">
        <v>3761891935600</v>
      </c>
      <c r="O707" s="8">
        <v>1308060785200</v>
      </c>
      <c r="P707" s="8">
        <v>3404853011600</v>
      </c>
      <c r="Q707" s="18">
        <f>(Table1[[#This Row],[A. TÀI SẢN NGẮN HẠN]]-Table1[[#This Row],[I. Nợ ngắn hạn]])/Table1[[#This Row],[TỔNG CỘNG TÀI SẢN]]</f>
        <v>0.36992798883621369</v>
      </c>
      <c r="R707" s="18">
        <f>Table1[[#This Row],[- LNST chưa phân phối kỳ này]]/Table1[[#This Row],[TỔNG CỘNG TÀI SẢN]]</f>
        <v>0.17950670397884791</v>
      </c>
      <c r="S707" s="21">
        <f>Table1[[#This Row],[5. Lợi nhuận gộp về bán hàng và cung cấp dịch vụ]]/Table1[[#This Row],[TỔNG CỘNG TÀI SẢN]]</f>
        <v>0.57855055822175949</v>
      </c>
      <c r="T70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7.259198996854856</v>
      </c>
      <c r="U707" s="23">
        <f>Table1[[#This Row],[1. Doanh thu bán hàng và cung cấp dịch vụ ]]/Table1[[#This Row],[TỔNG CỘNG TÀI SẢN]]</f>
        <v>1.0805443005116997</v>
      </c>
      <c r="V707" s="23">
        <f>1.2*Table1[[#This Row],[X1]] + 1.4*Table1[[#This Row],[X2]] + 3.3*Table1[[#This Row],[x3]] + 0.6*Table1[[#This Row],[x4]] + 1*Table1[[#This Row],[x5]]</f>
        <v>8.0405035129302629</v>
      </c>
      <c r="W707" s="23">
        <f>IF(Table1[[#This Row],[Zscore]]&lt;1.81,1,0)</f>
        <v>0</v>
      </c>
    </row>
    <row r="708" spans="1:23" hidden="1" x14ac:dyDescent="0.45">
      <c r="A708" s="7">
        <v>702</v>
      </c>
      <c r="B708" s="5" t="s">
        <v>1417</v>
      </c>
      <c r="C708" s="6" t="s">
        <v>1418</v>
      </c>
      <c r="D708" s="6" t="s">
        <v>13</v>
      </c>
      <c r="E708" s="6"/>
      <c r="F708" s="6"/>
      <c r="G708" s="6"/>
      <c r="H708" s="6"/>
      <c r="I708" s="6"/>
      <c r="J708" s="8"/>
      <c r="K708" s="6"/>
      <c r="L708" s="6"/>
      <c r="M708" s="8"/>
      <c r="N708" s="8"/>
      <c r="O708" s="8"/>
      <c r="P708" s="8"/>
      <c r="Q708" s="18" t="e">
        <f>(Table1[[#This Row],[A. TÀI SẢN NGẮN HẠN]]-Table1[[#This Row],[I. Nợ ngắn hạn]])/Table1[[#This Row],[TỔNG CỘNG TÀI SẢN]]</f>
        <v>#DIV/0!</v>
      </c>
      <c r="R708" s="18" t="e">
        <f>Table1[[#This Row],[- LNST chưa phân phối kỳ này]]/Table1[[#This Row],[TỔNG CỘNG TÀI SẢN]]</f>
        <v>#DIV/0!</v>
      </c>
      <c r="S708" s="21" t="e">
        <f>Table1[[#This Row],[5. Lợi nhuận gộp về bán hàng và cung cấp dịch vụ]]/Table1[[#This Row],[TỔNG CỘNG TÀI SẢN]]</f>
        <v>#DIV/0!</v>
      </c>
      <c r="T70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708" s="23" t="e">
        <f>Table1[[#This Row],[1. Doanh thu bán hàng và cung cấp dịch vụ ]]/Table1[[#This Row],[TỔNG CỘNG TÀI SẢN]]</f>
        <v>#DIV/0!</v>
      </c>
      <c r="V708" s="23" t="e">
        <f>1.2*Table1[[#This Row],[X1]] + 1.4*Table1[[#This Row],[X2]] + 3.3*Table1[[#This Row],[x3]] + 0.6*Table1[[#This Row],[x4]] + 1*Table1[[#This Row],[x5]]</f>
        <v>#DIV/0!</v>
      </c>
      <c r="W708" s="23" t="e">
        <f>IF(Table1[[#This Row],[Zscore]]&lt;1.81,1,0)</f>
        <v>#DIV/0!</v>
      </c>
    </row>
    <row r="709" spans="1:23" hidden="1" x14ac:dyDescent="0.45">
      <c r="A709" s="7">
        <v>703</v>
      </c>
      <c r="B709" s="5" t="s">
        <v>1419</v>
      </c>
      <c r="C709" s="6" t="s">
        <v>1420</v>
      </c>
      <c r="D709" s="6" t="s">
        <v>13</v>
      </c>
      <c r="E709" s="6"/>
      <c r="F709" s="6"/>
      <c r="G709" s="6"/>
      <c r="H709" s="6"/>
      <c r="I709" s="6"/>
      <c r="J709" s="8"/>
      <c r="K709" s="6"/>
      <c r="L709" s="6"/>
      <c r="M709" s="8"/>
      <c r="N709" s="8"/>
      <c r="O709" s="8"/>
      <c r="P709" s="8"/>
      <c r="Q709" s="18" t="e">
        <f>(Table1[[#This Row],[A. TÀI SẢN NGẮN HẠN]]-Table1[[#This Row],[I. Nợ ngắn hạn]])/Table1[[#This Row],[TỔNG CỘNG TÀI SẢN]]</f>
        <v>#DIV/0!</v>
      </c>
      <c r="R709" s="18" t="e">
        <f>Table1[[#This Row],[- LNST chưa phân phối kỳ này]]/Table1[[#This Row],[TỔNG CỘNG TÀI SẢN]]</f>
        <v>#DIV/0!</v>
      </c>
      <c r="S709" s="21" t="e">
        <f>Table1[[#This Row],[5. Lợi nhuận gộp về bán hàng và cung cấp dịch vụ]]/Table1[[#This Row],[TỔNG CỘNG TÀI SẢN]]</f>
        <v>#DIV/0!</v>
      </c>
      <c r="T70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709" s="23" t="e">
        <f>Table1[[#This Row],[1. Doanh thu bán hàng và cung cấp dịch vụ ]]/Table1[[#This Row],[TỔNG CỘNG TÀI SẢN]]</f>
        <v>#DIV/0!</v>
      </c>
      <c r="V709" s="23" t="e">
        <f>1.2*Table1[[#This Row],[X1]] + 1.4*Table1[[#This Row],[X2]] + 3.3*Table1[[#This Row],[x3]] + 0.6*Table1[[#This Row],[x4]] + 1*Table1[[#This Row],[x5]]</f>
        <v>#DIV/0!</v>
      </c>
      <c r="W709" s="23" t="e">
        <f>IF(Table1[[#This Row],[Zscore]]&lt;1.81,1,0)</f>
        <v>#DIV/0!</v>
      </c>
    </row>
    <row r="710" spans="1:23" x14ac:dyDescent="0.45">
      <c r="A710" s="7">
        <v>704</v>
      </c>
      <c r="B710" s="5" t="s">
        <v>1421</v>
      </c>
      <c r="C710" s="6" t="s">
        <v>1422</v>
      </c>
      <c r="D710" s="6" t="s">
        <v>21</v>
      </c>
      <c r="E710" s="8">
        <v>186267212020</v>
      </c>
      <c r="F710" s="8">
        <v>106459423756</v>
      </c>
      <c r="G710" s="8">
        <v>45942030034</v>
      </c>
      <c r="H710" s="8">
        <v>13329807435</v>
      </c>
      <c r="I710" s="8">
        <v>35342197820</v>
      </c>
      <c r="J710" s="8"/>
      <c r="K710" s="8">
        <v>46448950034</v>
      </c>
      <c r="L710" s="8">
        <v>207238202366</v>
      </c>
      <c r="M710" s="8">
        <v>130836711000</v>
      </c>
      <c r="N710" s="8">
        <v>130429120000</v>
      </c>
      <c r="O710" s="8">
        <v>143472032000</v>
      </c>
      <c r="P710" s="8">
        <v>136542985000</v>
      </c>
      <c r="Q710" s="18">
        <f>(Table1[[#This Row],[A. TÀI SẢN NGẮN HẠN]]-Table1[[#This Row],[I. Nợ ngắn hạn]])/Table1[[#This Row],[TỔNG CỘNG TÀI SẢN]]</f>
        <v>0.32489557912909595</v>
      </c>
      <c r="R710" s="18">
        <f>Table1[[#This Row],[- LNST chưa phân phối kỳ này]]/Table1[[#This Row],[TỔNG CỘNG TÀI SẢN]]</f>
        <v>7.1562822519557243E-2</v>
      </c>
      <c r="S710" s="21">
        <f>Table1[[#This Row],[5. Lợi nhuận gộp về bán hàng và cung cấp dịch vụ]]/Table1[[#This Row],[TỔNG CỘNG TÀI SẢN]]</f>
        <v>0.1897392323465131</v>
      </c>
      <c r="T71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2.9133104602137925</v>
      </c>
      <c r="U710" s="23">
        <f>Table1[[#This Row],[1. Doanh thu bán hàng và cung cấp dịch vụ ]]/Table1[[#This Row],[TỔNG CỘNG TÀI SẢN]]</f>
        <v>1.1125855168957395</v>
      </c>
      <c r="V710" s="23">
        <f>1.2*Table1[[#This Row],[X1]] + 1.4*Table1[[#This Row],[X2]] + 3.3*Table1[[#This Row],[x3]] + 0.6*Table1[[#This Row],[x4]] + 1*Table1[[#This Row],[x5]]</f>
        <v>3.9767739062498038</v>
      </c>
      <c r="W710" s="23">
        <f>IF(Table1[[#This Row],[Zscore]]&lt;1.81,1,0)</f>
        <v>0</v>
      </c>
    </row>
    <row r="711" spans="1:23" hidden="1" x14ac:dyDescent="0.45">
      <c r="A711" s="7">
        <v>705</v>
      </c>
      <c r="B711" s="5" t="s">
        <v>1423</v>
      </c>
      <c r="C711" s="6" t="s">
        <v>1424</v>
      </c>
      <c r="D711" s="6" t="s">
        <v>13</v>
      </c>
      <c r="E711" s="6"/>
      <c r="F711" s="6"/>
      <c r="G711" s="6"/>
      <c r="H711" s="6"/>
      <c r="I711" s="6"/>
      <c r="J711" s="8"/>
      <c r="K711" s="6"/>
      <c r="L711" s="6"/>
      <c r="M711" s="8"/>
      <c r="N711" s="8"/>
      <c r="O711" s="8"/>
      <c r="P711" s="8"/>
      <c r="Q711" s="18" t="e">
        <f>(Table1[[#This Row],[A. TÀI SẢN NGẮN HẠN]]-Table1[[#This Row],[I. Nợ ngắn hạn]])/Table1[[#This Row],[TỔNG CỘNG TÀI SẢN]]</f>
        <v>#DIV/0!</v>
      </c>
      <c r="R711" s="18" t="e">
        <f>Table1[[#This Row],[- LNST chưa phân phối kỳ này]]/Table1[[#This Row],[TỔNG CỘNG TÀI SẢN]]</f>
        <v>#DIV/0!</v>
      </c>
      <c r="S711" s="21" t="e">
        <f>Table1[[#This Row],[5. Lợi nhuận gộp về bán hàng và cung cấp dịch vụ]]/Table1[[#This Row],[TỔNG CỘNG TÀI SẢN]]</f>
        <v>#DIV/0!</v>
      </c>
      <c r="T71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711" s="23" t="e">
        <f>Table1[[#This Row],[1. Doanh thu bán hàng và cung cấp dịch vụ ]]/Table1[[#This Row],[TỔNG CỘNG TÀI SẢN]]</f>
        <v>#DIV/0!</v>
      </c>
      <c r="V711" s="23" t="e">
        <f>1.2*Table1[[#This Row],[X1]] + 1.4*Table1[[#This Row],[X2]] + 3.3*Table1[[#This Row],[x3]] + 0.6*Table1[[#This Row],[x4]] + 1*Table1[[#This Row],[x5]]</f>
        <v>#DIV/0!</v>
      </c>
      <c r="W711" s="23" t="e">
        <f>IF(Table1[[#This Row],[Zscore]]&lt;1.81,1,0)</f>
        <v>#DIV/0!</v>
      </c>
    </row>
    <row r="712" spans="1:23" hidden="1" x14ac:dyDescent="0.45">
      <c r="A712" s="7">
        <v>706</v>
      </c>
      <c r="B712" s="5" t="s">
        <v>1425</v>
      </c>
      <c r="C712" s="6" t="s">
        <v>1426</v>
      </c>
      <c r="D712" s="6" t="s">
        <v>13</v>
      </c>
      <c r="E712" s="6"/>
      <c r="F712" s="6"/>
      <c r="G712" s="6"/>
      <c r="H712" s="6"/>
      <c r="I712" s="6"/>
      <c r="J712" s="8"/>
      <c r="K712" s="6"/>
      <c r="L712" s="6"/>
      <c r="M712" s="8"/>
      <c r="N712" s="8"/>
      <c r="O712" s="8"/>
      <c r="P712" s="8"/>
      <c r="Q712" s="18" t="e">
        <f>(Table1[[#This Row],[A. TÀI SẢN NGẮN HẠN]]-Table1[[#This Row],[I. Nợ ngắn hạn]])/Table1[[#This Row],[TỔNG CỘNG TÀI SẢN]]</f>
        <v>#DIV/0!</v>
      </c>
      <c r="R712" s="18" t="e">
        <f>Table1[[#This Row],[- LNST chưa phân phối kỳ này]]/Table1[[#This Row],[TỔNG CỘNG TÀI SẢN]]</f>
        <v>#DIV/0!</v>
      </c>
      <c r="S712" s="21" t="e">
        <f>Table1[[#This Row],[5. Lợi nhuận gộp về bán hàng và cung cấp dịch vụ]]/Table1[[#This Row],[TỔNG CỘNG TÀI SẢN]]</f>
        <v>#DIV/0!</v>
      </c>
      <c r="T71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712" s="23" t="e">
        <f>Table1[[#This Row],[1. Doanh thu bán hàng và cung cấp dịch vụ ]]/Table1[[#This Row],[TỔNG CỘNG TÀI SẢN]]</f>
        <v>#DIV/0!</v>
      </c>
      <c r="V712" s="23" t="e">
        <f>1.2*Table1[[#This Row],[X1]] + 1.4*Table1[[#This Row],[X2]] + 3.3*Table1[[#This Row],[x3]] + 0.6*Table1[[#This Row],[x4]] + 1*Table1[[#This Row],[x5]]</f>
        <v>#DIV/0!</v>
      </c>
      <c r="W712" s="23" t="e">
        <f>IF(Table1[[#This Row],[Zscore]]&lt;1.81,1,0)</f>
        <v>#DIV/0!</v>
      </c>
    </row>
    <row r="713" spans="1:23" hidden="1" x14ac:dyDescent="0.45">
      <c r="A713" s="7">
        <v>707</v>
      </c>
      <c r="B713" s="5" t="s">
        <v>1427</v>
      </c>
      <c r="C713" s="6" t="s">
        <v>1428</v>
      </c>
      <c r="D713" s="6" t="s">
        <v>13</v>
      </c>
      <c r="E713" s="6"/>
      <c r="F713" s="6"/>
      <c r="G713" s="6"/>
      <c r="H713" s="6"/>
      <c r="I713" s="6"/>
      <c r="J713" s="8"/>
      <c r="K713" s="6"/>
      <c r="L713" s="6"/>
      <c r="M713" s="8"/>
      <c r="N713" s="8"/>
      <c r="O713" s="8"/>
      <c r="P713" s="8"/>
      <c r="Q713" s="18" t="e">
        <f>(Table1[[#This Row],[A. TÀI SẢN NGẮN HẠN]]-Table1[[#This Row],[I. Nợ ngắn hạn]])/Table1[[#This Row],[TỔNG CỘNG TÀI SẢN]]</f>
        <v>#DIV/0!</v>
      </c>
      <c r="R713" s="18" t="e">
        <f>Table1[[#This Row],[- LNST chưa phân phối kỳ này]]/Table1[[#This Row],[TỔNG CỘNG TÀI SẢN]]</f>
        <v>#DIV/0!</v>
      </c>
      <c r="S713" s="21" t="e">
        <f>Table1[[#This Row],[5. Lợi nhuận gộp về bán hàng và cung cấp dịch vụ]]/Table1[[#This Row],[TỔNG CỘNG TÀI SẢN]]</f>
        <v>#DIV/0!</v>
      </c>
      <c r="T71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713" s="23" t="e">
        <f>Table1[[#This Row],[1. Doanh thu bán hàng và cung cấp dịch vụ ]]/Table1[[#This Row],[TỔNG CỘNG TÀI SẢN]]</f>
        <v>#DIV/0!</v>
      </c>
      <c r="V713" s="23" t="e">
        <f>1.2*Table1[[#This Row],[X1]] + 1.4*Table1[[#This Row],[X2]] + 3.3*Table1[[#This Row],[x3]] + 0.6*Table1[[#This Row],[x4]] + 1*Table1[[#This Row],[x5]]</f>
        <v>#DIV/0!</v>
      </c>
      <c r="W713" s="23" t="e">
        <f>IF(Table1[[#This Row],[Zscore]]&lt;1.81,1,0)</f>
        <v>#DIV/0!</v>
      </c>
    </row>
    <row r="714" spans="1:23" hidden="1" x14ac:dyDescent="0.45">
      <c r="A714" s="7">
        <v>708</v>
      </c>
      <c r="B714" s="5" t="s">
        <v>1429</v>
      </c>
      <c r="C714" s="6" t="s">
        <v>1430</v>
      </c>
      <c r="D714" s="6" t="s">
        <v>13</v>
      </c>
      <c r="E714" s="6"/>
      <c r="F714" s="6"/>
      <c r="G714" s="6"/>
      <c r="H714" s="6"/>
      <c r="I714" s="6"/>
      <c r="J714" s="8"/>
      <c r="K714" s="6"/>
      <c r="L714" s="6"/>
      <c r="M714" s="8"/>
      <c r="N714" s="8"/>
      <c r="O714" s="8"/>
      <c r="P714" s="8"/>
      <c r="Q714" s="18" t="e">
        <f>(Table1[[#This Row],[A. TÀI SẢN NGẮN HẠN]]-Table1[[#This Row],[I. Nợ ngắn hạn]])/Table1[[#This Row],[TỔNG CỘNG TÀI SẢN]]</f>
        <v>#DIV/0!</v>
      </c>
      <c r="R714" s="18" t="e">
        <f>Table1[[#This Row],[- LNST chưa phân phối kỳ này]]/Table1[[#This Row],[TỔNG CỘNG TÀI SẢN]]</f>
        <v>#DIV/0!</v>
      </c>
      <c r="S714" s="21" t="e">
        <f>Table1[[#This Row],[5. Lợi nhuận gộp về bán hàng và cung cấp dịch vụ]]/Table1[[#This Row],[TỔNG CỘNG TÀI SẢN]]</f>
        <v>#DIV/0!</v>
      </c>
      <c r="T71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714" s="23" t="e">
        <f>Table1[[#This Row],[1. Doanh thu bán hàng và cung cấp dịch vụ ]]/Table1[[#This Row],[TỔNG CỘNG TÀI SẢN]]</f>
        <v>#DIV/0!</v>
      </c>
      <c r="V714" s="23" t="e">
        <f>1.2*Table1[[#This Row],[X1]] + 1.4*Table1[[#This Row],[X2]] + 3.3*Table1[[#This Row],[x3]] + 0.6*Table1[[#This Row],[x4]] + 1*Table1[[#This Row],[x5]]</f>
        <v>#DIV/0!</v>
      </c>
      <c r="W714" s="23" t="e">
        <f>IF(Table1[[#This Row],[Zscore]]&lt;1.81,1,0)</f>
        <v>#DIV/0!</v>
      </c>
    </row>
    <row r="715" spans="1:23" hidden="1" x14ac:dyDescent="0.45">
      <c r="A715" s="7">
        <v>709</v>
      </c>
      <c r="B715" s="5" t="s">
        <v>1431</v>
      </c>
      <c r="C715" s="6" t="s">
        <v>1432</v>
      </c>
      <c r="D715" s="6" t="s">
        <v>13</v>
      </c>
      <c r="E715" s="6"/>
      <c r="F715" s="6"/>
      <c r="G715" s="6"/>
      <c r="H715" s="6"/>
      <c r="I715" s="6"/>
      <c r="J715" s="8"/>
      <c r="K715" s="6"/>
      <c r="L715" s="6"/>
      <c r="M715" s="8"/>
      <c r="N715" s="8"/>
      <c r="O715" s="8"/>
      <c r="P715" s="8"/>
      <c r="Q715" s="18" t="e">
        <f>(Table1[[#This Row],[A. TÀI SẢN NGẮN HẠN]]-Table1[[#This Row],[I. Nợ ngắn hạn]])/Table1[[#This Row],[TỔNG CỘNG TÀI SẢN]]</f>
        <v>#DIV/0!</v>
      </c>
      <c r="R715" s="18" t="e">
        <f>Table1[[#This Row],[- LNST chưa phân phối kỳ này]]/Table1[[#This Row],[TỔNG CỘNG TÀI SẢN]]</f>
        <v>#DIV/0!</v>
      </c>
      <c r="S715" s="21" t="e">
        <f>Table1[[#This Row],[5. Lợi nhuận gộp về bán hàng và cung cấp dịch vụ]]/Table1[[#This Row],[TỔNG CỘNG TÀI SẢN]]</f>
        <v>#DIV/0!</v>
      </c>
      <c r="T71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715" s="23" t="e">
        <f>Table1[[#This Row],[1. Doanh thu bán hàng và cung cấp dịch vụ ]]/Table1[[#This Row],[TỔNG CỘNG TÀI SẢN]]</f>
        <v>#DIV/0!</v>
      </c>
      <c r="V715" s="23" t="e">
        <f>1.2*Table1[[#This Row],[X1]] + 1.4*Table1[[#This Row],[X2]] + 3.3*Table1[[#This Row],[x3]] + 0.6*Table1[[#This Row],[x4]] + 1*Table1[[#This Row],[x5]]</f>
        <v>#DIV/0!</v>
      </c>
      <c r="W715" s="23" t="e">
        <f>IF(Table1[[#This Row],[Zscore]]&lt;1.81,1,0)</f>
        <v>#DIV/0!</v>
      </c>
    </row>
    <row r="716" spans="1:23" hidden="1" x14ac:dyDescent="0.45">
      <c r="A716" s="7">
        <v>710</v>
      </c>
      <c r="B716" s="5" t="s">
        <v>1433</v>
      </c>
      <c r="C716" s="6" t="s">
        <v>1434</v>
      </c>
      <c r="D716" s="6" t="s">
        <v>13</v>
      </c>
      <c r="E716" s="6"/>
      <c r="F716" s="6"/>
      <c r="G716" s="6"/>
      <c r="H716" s="6"/>
      <c r="I716" s="6"/>
      <c r="J716" s="8"/>
      <c r="K716" s="6"/>
      <c r="L716" s="6"/>
      <c r="M716" s="8"/>
      <c r="N716" s="8"/>
      <c r="O716" s="8"/>
      <c r="P716" s="8"/>
      <c r="Q716" s="18" t="e">
        <f>(Table1[[#This Row],[A. TÀI SẢN NGẮN HẠN]]-Table1[[#This Row],[I. Nợ ngắn hạn]])/Table1[[#This Row],[TỔNG CỘNG TÀI SẢN]]</f>
        <v>#DIV/0!</v>
      </c>
      <c r="R716" s="18" t="e">
        <f>Table1[[#This Row],[- LNST chưa phân phối kỳ này]]/Table1[[#This Row],[TỔNG CỘNG TÀI SẢN]]</f>
        <v>#DIV/0!</v>
      </c>
      <c r="S716" s="21" t="e">
        <f>Table1[[#This Row],[5. Lợi nhuận gộp về bán hàng và cung cấp dịch vụ]]/Table1[[#This Row],[TỔNG CỘNG TÀI SẢN]]</f>
        <v>#DIV/0!</v>
      </c>
      <c r="T71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716" s="23" t="e">
        <f>Table1[[#This Row],[1. Doanh thu bán hàng và cung cấp dịch vụ ]]/Table1[[#This Row],[TỔNG CỘNG TÀI SẢN]]</f>
        <v>#DIV/0!</v>
      </c>
      <c r="V716" s="23" t="e">
        <f>1.2*Table1[[#This Row],[X1]] + 1.4*Table1[[#This Row],[X2]] + 3.3*Table1[[#This Row],[x3]] + 0.6*Table1[[#This Row],[x4]] + 1*Table1[[#This Row],[x5]]</f>
        <v>#DIV/0!</v>
      </c>
      <c r="W716" s="23" t="e">
        <f>IF(Table1[[#This Row],[Zscore]]&lt;1.81,1,0)</f>
        <v>#DIV/0!</v>
      </c>
    </row>
    <row r="717" spans="1:23" hidden="1" x14ac:dyDescent="0.45">
      <c r="A717" s="7">
        <v>711</v>
      </c>
      <c r="B717" s="5" t="s">
        <v>1435</v>
      </c>
      <c r="C717" s="6" t="s">
        <v>1436</v>
      </c>
      <c r="D717" s="6" t="s">
        <v>13</v>
      </c>
      <c r="E717" s="6"/>
      <c r="F717" s="6"/>
      <c r="G717" s="6"/>
      <c r="H717" s="6"/>
      <c r="I717" s="6"/>
      <c r="J717" s="8"/>
      <c r="K717" s="6"/>
      <c r="L717" s="6"/>
      <c r="M717" s="8"/>
      <c r="N717" s="8"/>
      <c r="O717" s="8"/>
      <c r="P717" s="8"/>
      <c r="Q717" s="18" t="e">
        <f>(Table1[[#This Row],[A. TÀI SẢN NGẮN HẠN]]-Table1[[#This Row],[I. Nợ ngắn hạn]])/Table1[[#This Row],[TỔNG CỘNG TÀI SẢN]]</f>
        <v>#DIV/0!</v>
      </c>
      <c r="R717" s="18" t="e">
        <f>Table1[[#This Row],[- LNST chưa phân phối kỳ này]]/Table1[[#This Row],[TỔNG CỘNG TÀI SẢN]]</f>
        <v>#DIV/0!</v>
      </c>
      <c r="S717" s="21" t="e">
        <f>Table1[[#This Row],[5. Lợi nhuận gộp về bán hàng và cung cấp dịch vụ]]/Table1[[#This Row],[TỔNG CỘNG TÀI SẢN]]</f>
        <v>#DIV/0!</v>
      </c>
      <c r="T71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717" s="23" t="e">
        <f>Table1[[#This Row],[1. Doanh thu bán hàng và cung cấp dịch vụ ]]/Table1[[#This Row],[TỔNG CỘNG TÀI SẢN]]</f>
        <v>#DIV/0!</v>
      </c>
      <c r="V717" s="23" t="e">
        <f>1.2*Table1[[#This Row],[X1]] + 1.4*Table1[[#This Row],[X2]] + 3.3*Table1[[#This Row],[x3]] + 0.6*Table1[[#This Row],[x4]] + 1*Table1[[#This Row],[x5]]</f>
        <v>#DIV/0!</v>
      </c>
      <c r="W717" s="23" t="e">
        <f>IF(Table1[[#This Row],[Zscore]]&lt;1.81,1,0)</f>
        <v>#DIV/0!</v>
      </c>
    </row>
    <row r="718" spans="1:23" ht="26.25" hidden="1" x14ac:dyDescent="0.45">
      <c r="A718" s="7">
        <v>712</v>
      </c>
      <c r="B718" s="5" t="s">
        <v>1437</v>
      </c>
      <c r="C718" s="6" t="s">
        <v>1438</v>
      </c>
      <c r="D718" s="6" t="s">
        <v>13</v>
      </c>
      <c r="E718" s="6"/>
      <c r="F718" s="6"/>
      <c r="G718" s="6"/>
      <c r="H718" s="6"/>
      <c r="I718" s="6"/>
      <c r="J718" s="8"/>
      <c r="K718" s="6"/>
      <c r="L718" s="6"/>
      <c r="M718" s="8"/>
      <c r="N718" s="8"/>
      <c r="O718" s="8"/>
      <c r="P718" s="8"/>
      <c r="Q718" s="18" t="e">
        <f>(Table1[[#This Row],[A. TÀI SẢN NGẮN HẠN]]-Table1[[#This Row],[I. Nợ ngắn hạn]])/Table1[[#This Row],[TỔNG CỘNG TÀI SẢN]]</f>
        <v>#DIV/0!</v>
      </c>
      <c r="R718" s="18" t="e">
        <f>Table1[[#This Row],[- LNST chưa phân phối kỳ này]]/Table1[[#This Row],[TỔNG CỘNG TÀI SẢN]]</f>
        <v>#DIV/0!</v>
      </c>
      <c r="S718" s="21" t="e">
        <f>Table1[[#This Row],[5. Lợi nhuận gộp về bán hàng và cung cấp dịch vụ]]/Table1[[#This Row],[TỔNG CỘNG TÀI SẢN]]</f>
        <v>#DIV/0!</v>
      </c>
      <c r="T71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718" s="23" t="e">
        <f>Table1[[#This Row],[1. Doanh thu bán hàng và cung cấp dịch vụ ]]/Table1[[#This Row],[TỔNG CỘNG TÀI SẢN]]</f>
        <v>#DIV/0!</v>
      </c>
      <c r="V718" s="23" t="e">
        <f>1.2*Table1[[#This Row],[X1]] + 1.4*Table1[[#This Row],[X2]] + 3.3*Table1[[#This Row],[x3]] + 0.6*Table1[[#This Row],[x4]] + 1*Table1[[#This Row],[x5]]</f>
        <v>#DIV/0!</v>
      </c>
      <c r="W718" s="23" t="e">
        <f>IF(Table1[[#This Row],[Zscore]]&lt;1.81,1,0)</f>
        <v>#DIV/0!</v>
      </c>
    </row>
    <row r="719" spans="1:23" hidden="1" x14ac:dyDescent="0.45">
      <c r="A719" s="7">
        <v>713</v>
      </c>
      <c r="B719" s="5" t="s">
        <v>1439</v>
      </c>
      <c r="C719" s="6" t="s">
        <v>1440</v>
      </c>
      <c r="D719" s="6" t="s">
        <v>13</v>
      </c>
      <c r="E719" s="6"/>
      <c r="F719" s="6"/>
      <c r="G719" s="6"/>
      <c r="H719" s="6"/>
      <c r="I719" s="6"/>
      <c r="J719" s="8"/>
      <c r="K719" s="6"/>
      <c r="L719" s="6"/>
      <c r="M719" s="8"/>
      <c r="N719" s="8"/>
      <c r="O719" s="8"/>
      <c r="P719" s="8"/>
      <c r="Q719" s="18" t="e">
        <f>(Table1[[#This Row],[A. TÀI SẢN NGẮN HẠN]]-Table1[[#This Row],[I. Nợ ngắn hạn]])/Table1[[#This Row],[TỔNG CỘNG TÀI SẢN]]</f>
        <v>#DIV/0!</v>
      </c>
      <c r="R719" s="18" t="e">
        <f>Table1[[#This Row],[- LNST chưa phân phối kỳ này]]/Table1[[#This Row],[TỔNG CỘNG TÀI SẢN]]</f>
        <v>#DIV/0!</v>
      </c>
      <c r="S719" s="21" t="e">
        <f>Table1[[#This Row],[5. Lợi nhuận gộp về bán hàng và cung cấp dịch vụ]]/Table1[[#This Row],[TỔNG CỘNG TÀI SẢN]]</f>
        <v>#DIV/0!</v>
      </c>
      <c r="T71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719" s="23" t="e">
        <f>Table1[[#This Row],[1. Doanh thu bán hàng và cung cấp dịch vụ ]]/Table1[[#This Row],[TỔNG CỘNG TÀI SẢN]]</f>
        <v>#DIV/0!</v>
      </c>
      <c r="V719" s="23" t="e">
        <f>1.2*Table1[[#This Row],[X1]] + 1.4*Table1[[#This Row],[X2]] + 3.3*Table1[[#This Row],[x3]] + 0.6*Table1[[#This Row],[x4]] + 1*Table1[[#This Row],[x5]]</f>
        <v>#DIV/0!</v>
      </c>
      <c r="W719" s="23" t="e">
        <f>IF(Table1[[#This Row],[Zscore]]&lt;1.81,1,0)</f>
        <v>#DIV/0!</v>
      </c>
    </row>
    <row r="720" spans="1:23" hidden="1" x14ac:dyDescent="0.45">
      <c r="A720" s="7">
        <v>714</v>
      </c>
      <c r="B720" s="5" t="s">
        <v>1441</v>
      </c>
      <c r="C720" s="6" t="s">
        <v>1442</v>
      </c>
      <c r="D720" s="6" t="s">
        <v>13</v>
      </c>
      <c r="E720" s="6"/>
      <c r="F720" s="6"/>
      <c r="G720" s="6"/>
      <c r="H720" s="6"/>
      <c r="I720" s="6"/>
      <c r="J720" s="8"/>
      <c r="K720" s="6"/>
      <c r="L720" s="6"/>
      <c r="M720" s="8"/>
      <c r="N720" s="8"/>
      <c r="O720" s="8"/>
      <c r="P720" s="8"/>
      <c r="Q720" s="18" t="e">
        <f>(Table1[[#This Row],[A. TÀI SẢN NGẮN HẠN]]-Table1[[#This Row],[I. Nợ ngắn hạn]])/Table1[[#This Row],[TỔNG CỘNG TÀI SẢN]]</f>
        <v>#DIV/0!</v>
      </c>
      <c r="R720" s="18" t="e">
        <f>Table1[[#This Row],[- LNST chưa phân phối kỳ này]]/Table1[[#This Row],[TỔNG CỘNG TÀI SẢN]]</f>
        <v>#DIV/0!</v>
      </c>
      <c r="S720" s="21" t="e">
        <f>Table1[[#This Row],[5. Lợi nhuận gộp về bán hàng và cung cấp dịch vụ]]/Table1[[#This Row],[TỔNG CỘNG TÀI SẢN]]</f>
        <v>#DIV/0!</v>
      </c>
      <c r="T72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720" s="23" t="e">
        <f>Table1[[#This Row],[1. Doanh thu bán hàng và cung cấp dịch vụ ]]/Table1[[#This Row],[TỔNG CỘNG TÀI SẢN]]</f>
        <v>#DIV/0!</v>
      </c>
      <c r="V720" s="23" t="e">
        <f>1.2*Table1[[#This Row],[X1]] + 1.4*Table1[[#This Row],[X2]] + 3.3*Table1[[#This Row],[x3]] + 0.6*Table1[[#This Row],[x4]] + 1*Table1[[#This Row],[x5]]</f>
        <v>#DIV/0!</v>
      </c>
      <c r="W720" s="23" t="e">
        <f>IF(Table1[[#This Row],[Zscore]]&lt;1.81,1,0)</f>
        <v>#DIV/0!</v>
      </c>
    </row>
    <row r="721" spans="1:23" ht="26.25" hidden="1" x14ac:dyDescent="0.45">
      <c r="A721" s="7">
        <v>715</v>
      </c>
      <c r="B721" s="5" t="s">
        <v>1443</v>
      </c>
      <c r="C721" s="6" t="s">
        <v>1444</v>
      </c>
      <c r="D721" s="6" t="s">
        <v>13</v>
      </c>
      <c r="E721" s="6"/>
      <c r="F721" s="6"/>
      <c r="G721" s="6"/>
      <c r="H721" s="6"/>
      <c r="I721" s="6"/>
      <c r="J721" s="8"/>
      <c r="K721" s="6"/>
      <c r="L721" s="6"/>
      <c r="M721" s="8"/>
      <c r="N721" s="8"/>
      <c r="O721" s="8"/>
      <c r="P721" s="8"/>
      <c r="Q721" s="18" t="e">
        <f>(Table1[[#This Row],[A. TÀI SẢN NGẮN HẠN]]-Table1[[#This Row],[I. Nợ ngắn hạn]])/Table1[[#This Row],[TỔNG CỘNG TÀI SẢN]]</f>
        <v>#DIV/0!</v>
      </c>
      <c r="R721" s="18" t="e">
        <f>Table1[[#This Row],[- LNST chưa phân phối kỳ này]]/Table1[[#This Row],[TỔNG CỘNG TÀI SẢN]]</f>
        <v>#DIV/0!</v>
      </c>
      <c r="S721" s="21" t="e">
        <f>Table1[[#This Row],[5. Lợi nhuận gộp về bán hàng và cung cấp dịch vụ]]/Table1[[#This Row],[TỔNG CỘNG TÀI SẢN]]</f>
        <v>#DIV/0!</v>
      </c>
      <c r="T72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721" s="23" t="e">
        <f>Table1[[#This Row],[1. Doanh thu bán hàng và cung cấp dịch vụ ]]/Table1[[#This Row],[TỔNG CỘNG TÀI SẢN]]</f>
        <v>#DIV/0!</v>
      </c>
      <c r="V721" s="23" t="e">
        <f>1.2*Table1[[#This Row],[X1]] + 1.4*Table1[[#This Row],[X2]] + 3.3*Table1[[#This Row],[x3]] + 0.6*Table1[[#This Row],[x4]] + 1*Table1[[#This Row],[x5]]</f>
        <v>#DIV/0!</v>
      </c>
      <c r="W721" s="23" t="e">
        <f>IF(Table1[[#This Row],[Zscore]]&lt;1.81,1,0)</f>
        <v>#DIV/0!</v>
      </c>
    </row>
    <row r="722" spans="1:23" hidden="1" x14ac:dyDescent="0.45">
      <c r="A722" s="7">
        <v>716</v>
      </c>
      <c r="B722" s="5" t="s">
        <v>1445</v>
      </c>
      <c r="C722" s="6" t="s">
        <v>1446</v>
      </c>
      <c r="D722" s="6" t="s">
        <v>13</v>
      </c>
      <c r="E722" s="8">
        <v>15575189469215</v>
      </c>
      <c r="F722" s="8">
        <v>14904140744929</v>
      </c>
      <c r="G722" s="8">
        <v>14864824531820</v>
      </c>
      <c r="H722" s="8">
        <v>1076951727</v>
      </c>
      <c r="I722" s="8">
        <v>1461527496507</v>
      </c>
      <c r="J722" s="8"/>
      <c r="K722" s="8">
        <v>15048598754137</v>
      </c>
      <c r="L722" s="8">
        <v>43743365921514</v>
      </c>
      <c r="M722" s="8"/>
      <c r="N722" s="8"/>
      <c r="O722" s="8"/>
      <c r="P722" s="8"/>
      <c r="Q722" s="18">
        <f>(Table1[[#This Row],[A. TÀI SẢN NGẮN HẠN]]-Table1[[#This Row],[I. Nợ ngắn hạn]])/Table1[[#This Row],[TỔNG CỘNG TÀI SẢN]]</f>
        <v>2.5242847405940135E-3</v>
      </c>
      <c r="R722" s="18">
        <f>Table1[[#This Row],[- LNST chưa phân phối kỳ này]]/Table1[[#This Row],[TỔNG CỘNG TÀI SẢN]]</f>
        <v>6.9145337148459043E-5</v>
      </c>
      <c r="S722" s="21">
        <f>Table1[[#This Row],[5. Lợi nhuận gộp về bán hàng và cung cấp dịch vụ]]/Table1[[#This Row],[TỔNG CỘNG TÀI SẢN]]</f>
        <v>9.3836899987365732E-2</v>
      </c>
      <c r="T72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722" s="23">
        <f>Table1[[#This Row],[1. Doanh thu bán hàng và cung cấp dịch vụ ]]/Table1[[#This Row],[TỔNG CỘNG TÀI SẢN]]</f>
        <v>2.8085286543688315</v>
      </c>
      <c r="V722" s="23" t="e">
        <f>1.2*Table1[[#This Row],[X1]] + 1.4*Table1[[#This Row],[X2]] + 3.3*Table1[[#This Row],[x3]] + 0.6*Table1[[#This Row],[x4]] + 1*Table1[[#This Row],[x5]]</f>
        <v>#DIV/0!</v>
      </c>
      <c r="W722" s="23" t="e">
        <f>IF(Table1[[#This Row],[Zscore]]&lt;1.81,1,0)</f>
        <v>#DIV/0!</v>
      </c>
    </row>
    <row r="723" spans="1:23" hidden="1" x14ac:dyDescent="0.45">
      <c r="A723" s="7">
        <v>717</v>
      </c>
      <c r="B723" s="5" t="s">
        <v>1447</v>
      </c>
      <c r="C723" s="6" t="s">
        <v>1448</v>
      </c>
      <c r="D723" s="6" t="s">
        <v>13</v>
      </c>
      <c r="E723" s="6"/>
      <c r="F723" s="6"/>
      <c r="G723" s="6"/>
      <c r="H723" s="6"/>
      <c r="I723" s="6"/>
      <c r="J723" s="8"/>
      <c r="K723" s="6"/>
      <c r="L723" s="6"/>
      <c r="M723" s="8"/>
      <c r="N723" s="8"/>
      <c r="O723" s="8"/>
      <c r="P723" s="8"/>
      <c r="Q723" s="18" t="e">
        <f>(Table1[[#This Row],[A. TÀI SẢN NGẮN HẠN]]-Table1[[#This Row],[I. Nợ ngắn hạn]])/Table1[[#This Row],[TỔNG CỘNG TÀI SẢN]]</f>
        <v>#DIV/0!</v>
      </c>
      <c r="R723" s="18" t="e">
        <f>Table1[[#This Row],[- LNST chưa phân phối kỳ này]]/Table1[[#This Row],[TỔNG CỘNG TÀI SẢN]]</f>
        <v>#DIV/0!</v>
      </c>
      <c r="S723" s="21" t="e">
        <f>Table1[[#This Row],[5. Lợi nhuận gộp về bán hàng và cung cấp dịch vụ]]/Table1[[#This Row],[TỔNG CỘNG TÀI SẢN]]</f>
        <v>#DIV/0!</v>
      </c>
      <c r="T72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723" s="23" t="e">
        <f>Table1[[#This Row],[1. Doanh thu bán hàng và cung cấp dịch vụ ]]/Table1[[#This Row],[TỔNG CỘNG TÀI SẢN]]</f>
        <v>#DIV/0!</v>
      </c>
      <c r="V723" s="23" t="e">
        <f>1.2*Table1[[#This Row],[X1]] + 1.4*Table1[[#This Row],[X2]] + 3.3*Table1[[#This Row],[x3]] + 0.6*Table1[[#This Row],[x4]] + 1*Table1[[#This Row],[x5]]</f>
        <v>#DIV/0!</v>
      </c>
      <c r="W723" s="23" t="e">
        <f>IF(Table1[[#This Row],[Zscore]]&lt;1.81,1,0)</f>
        <v>#DIV/0!</v>
      </c>
    </row>
    <row r="724" spans="1:23" hidden="1" x14ac:dyDescent="0.45">
      <c r="A724" s="7">
        <v>718</v>
      </c>
      <c r="B724" s="5" t="s">
        <v>1449</v>
      </c>
      <c r="C724" s="6" t="s">
        <v>1450</v>
      </c>
      <c r="D724" s="6" t="s">
        <v>13</v>
      </c>
      <c r="E724" s="6"/>
      <c r="F724" s="6"/>
      <c r="G724" s="6"/>
      <c r="H724" s="6"/>
      <c r="I724" s="6"/>
      <c r="J724" s="8"/>
      <c r="K724" s="6"/>
      <c r="L724" s="6"/>
      <c r="M724" s="8"/>
      <c r="N724" s="8"/>
      <c r="O724" s="8"/>
      <c r="P724" s="8"/>
      <c r="Q724" s="18" t="e">
        <f>(Table1[[#This Row],[A. TÀI SẢN NGẮN HẠN]]-Table1[[#This Row],[I. Nợ ngắn hạn]])/Table1[[#This Row],[TỔNG CỘNG TÀI SẢN]]</f>
        <v>#DIV/0!</v>
      </c>
      <c r="R724" s="18" t="e">
        <f>Table1[[#This Row],[- LNST chưa phân phối kỳ này]]/Table1[[#This Row],[TỔNG CỘNG TÀI SẢN]]</f>
        <v>#DIV/0!</v>
      </c>
      <c r="S724" s="21" t="e">
        <f>Table1[[#This Row],[5. Lợi nhuận gộp về bán hàng và cung cấp dịch vụ]]/Table1[[#This Row],[TỔNG CỘNG TÀI SẢN]]</f>
        <v>#DIV/0!</v>
      </c>
      <c r="T72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724" s="23" t="e">
        <f>Table1[[#This Row],[1. Doanh thu bán hàng và cung cấp dịch vụ ]]/Table1[[#This Row],[TỔNG CỘNG TÀI SẢN]]</f>
        <v>#DIV/0!</v>
      </c>
      <c r="V724" s="23" t="e">
        <f>1.2*Table1[[#This Row],[X1]] + 1.4*Table1[[#This Row],[X2]] + 3.3*Table1[[#This Row],[x3]] + 0.6*Table1[[#This Row],[x4]] + 1*Table1[[#This Row],[x5]]</f>
        <v>#DIV/0!</v>
      </c>
      <c r="W724" s="23" t="e">
        <f>IF(Table1[[#This Row],[Zscore]]&lt;1.81,1,0)</f>
        <v>#DIV/0!</v>
      </c>
    </row>
    <row r="725" spans="1:23" ht="26.25" hidden="1" x14ac:dyDescent="0.45">
      <c r="A725" s="7">
        <v>719</v>
      </c>
      <c r="B725" s="5" t="s">
        <v>1451</v>
      </c>
      <c r="C725" s="6" t="s">
        <v>1452</v>
      </c>
      <c r="D725" s="6" t="s">
        <v>13</v>
      </c>
      <c r="E725" s="6"/>
      <c r="F725" s="6"/>
      <c r="G725" s="6"/>
      <c r="H725" s="6"/>
      <c r="I725" s="6"/>
      <c r="J725" s="8"/>
      <c r="K725" s="6"/>
      <c r="L725" s="6"/>
      <c r="M725" s="8"/>
      <c r="N725" s="8"/>
      <c r="O725" s="8"/>
      <c r="P725" s="8"/>
      <c r="Q725" s="18" t="e">
        <f>(Table1[[#This Row],[A. TÀI SẢN NGẮN HẠN]]-Table1[[#This Row],[I. Nợ ngắn hạn]])/Table1[[#This Row],[TỔNG CỘNG TÀI SẢN]]</f>
        <v>#DIV/0!</v>
      </c>
      <c r="R725" s="18" t="e">
        <f>Table1[[#This Row],[- LNST chưa phân phối kỳ này]]/Table1[[#This Row],[TỔNG CỘNG TÀI SẢN]]</f>
        <v>#DIV/0!</v>
      </c>
      <c r="S725" s="21" t="e">
        <f>Table1[[#This Row],[5. Lợi nhuận gộp về bán hàng và cung cấp dịch vụ]]/Table1[[#This Row],[TỔNG CỘNG TÀI SẢN]]</f>
        <v>#DIV/0!</v>
      </c>
      <c r="T72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725" s="23" t="e">
        <f>Table1[[#This Row],[1. Doanh thu bán hàng và cung cấp dịch vụ ]]/Table1[[#This Row],[TỔNG CỘNG TÀI SẢN]]</f>
        <v>#DIV/0!</v>
      </c>
      <c r="V725" s="23" t="e">
        <f>1.2*Table1[[#This Row],[X1]] + 1.4*Table1[[#This Row],[X2]] + 3.3*Table1[[#This Row],[x3]] + 0.6*Table1[[#This Row],[x4]] + 1*Table1[[#This Row],[x5]]</f>
        <v>#DIV/0!</v>
      </c>
      <c r="W725" s="23" t="e">
        <f>IF(Table1[[#This Row],[Zscore]]&lt;1.81,1,0)</f>
        <v>#DIV/0!</v>
      </c>
    </row>
    <row r="726" spans="1:23" hidden="1" x14ac:dyDescent="0.45">
      <c r="A726" s="7">
        <v>720</v>
      </c>
      <c r="B726" s="5" t="s">
        <v>1453</v>
      </c>
      <c r="C726" s="6" t="s">
        <v>1454</v>
      </c>
      <c r="D726" s="6" t="s">
        <v>13</v>
      </c>
      <c r="E726" s="6"/>
      <c r="F726" s="6"/>
      <c r="G726" s="6"/>
      <c r="H726" s="6"/>
      <c r="I726" s="6"/>
      <c r="J726" s="8"/>
      <c r="K726" s="6"/>
      <c r="L726" s="6"/>
      <c r="M726" s="8"/>
      <c r="N726" s="8"/>
      <c r="O726" s="8"/>
      <c r="P726" s="8"/>
      <c r="Q726" s="18" t="e">
        <f>(Table1[[#This Row],[A. TÀI SẢN NGẮN HẠN]]-Table1[[#This Row],[I. Nợ ngắn hạn]])/Table1[[#This Row],[TỔNG CỘNG TÀI SẢN]]</f>
        <v>#DIV/0!</v>
      </c>
      <c r="R726" s="18" t="e">
        <f>Table1[[#This Row],[- LNST chưa phân phối kỳ này]]/Table1[[#This Row],[TỔNG CỘNG TÀI SẢN]]</f>
        <v>#DIV/0!</v>
      </c>
      <c r="S726" s="21" t="e">
        <f>Table1[[#This Row],[5. Lợi nhuận gộp về bán hàng và cung cấp dịch vụ]]/Table1[[#This Row],[TỔNG CỘNG TÀI SẢN]]</f>
        <v>#DIV/0!</v>
      </c>
      <c r="T72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726" s="23" t="e">
        <f>Table1[[#This Row],[1. Doanh thu bán hàng và cung cấp dịch vụ ]]/Table1[[#This Row],[TỔNG CỘNG TÀI SẢN]]</f>
        <v>#DIV/0!</v>
      </c>
      <c r="V726" s="23" t="e">
        <f>1.2*Table1[[#This Row],[X1]] + 1.4*Table1[[#This Row],[X2]] + 3.3*Table1[[#This Row],[x3]] + 0.6*Table1[[#This Row],[x4]] + 1*Table1[[#This Row],[x5]]</f>
        <v>#DIV/0!</v>
      </c>
      <c r="W726" s="23" t="e">
        <f>IF(Table1[[#This Row],[Zscore]]&lt;1.81,1,0)</f>
        <v>#DIV/0!</v>
      </c>
    </row>
    <row r="727" spans="1:23" ht="26.25" hidden="1" x14ac:dyDescent="0.45">
      <c r="A727" s="7">
        <v>721</v>
      </c>
      <c r="B727" s="5" t="s">
        <v>1455</v>
      </c>
      <c r="C727" s="6" t="s">
        <v>1456</v>
      </c>
      <c r="D727" s="6" t="s">
        <v>13</v>
      </c>
      <c r="E727" s="6"/>
      <c r="F727" s="6"/>
      <c r="G727" s="6"/>
      <c r="H727" s="6"/>
      <c r="I727" s="6"/>
      <c r="J727" s="8"/>
      <c r="K727" s="6"/>
      <c r="L727" s="6"/>
      <c r="M727" s="8"/>
      <c r="N727" s="8"/>
      <c r="O727" s="8"/>
      <c r="P727" s="8"/>
      <c r="Q727" s="18" t="e">
        <f>(Table1[[#This Row],[A. TÀI SẢN NGẮN HẠN]]-Table1[[#This Row],[I. Nợ ngắn hạn]])/Table1[[#This Row],[TỔNG CỘNG TÀI SẢN]]</f>
        <v>#DIV/0!</v>
      </c>
      <c r="R727" s="18" t="e">
        <f>Table1[[#This Row],[- LNST chưa phân phối kỳ này]]/Table1[[#This Row],[TỔNG CỘNG TÀI SẢN]]</f>
        <v>#DIV/0!</v>
      </c>
      <c r="S727" s="21" t="e">
        <f>Table1[[#This Row],[5. Lợi nhuận gộp về bán hàng và cung cấp dịch vụ]]/Table1[[#This Row],[TỔNG CỘNG TÀI SẢN]]</f>
        <v>#DIV/0!</v>
      </c>
      <c r="T72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727" s="23" t="e">
        <f>Table1[[#This Row],[1. Doanh thu bán hàng và cung cấp dịch vụ ]]/Table1[[#This Row],[TỔNG CỘNG TÀI SẢN]]</f>
        <v>#DIV/0!</v>
      </c>
      <c r="V727" s="23" t="e">
        <f>1.2*Table1[[#This Row],[X1]] + 1.4*Table1[[#This Row],[X2]] + 3.3*Table1[[#This Row],[x3]] + 0.6*Table1[[#This Row],[x4]] + 1*Table1[[#This Row],[x5]]</f>
        <v>#DIV/0!</v>
      </c>
      <c r="W727" s="23" t="e">
        <f>IF(Table1[[#This Row],[Zscore]]&lt;1.81,1,0)</f>
        <v>#DIV/0!</v>
      </c>
    </row>
    <row r="728" spans="1:23" hidden="1" x14ac:dyDescent="0.45">
      <c r="A728" s="7">
        <v>722</v>
      </c>
      <c r="B728" s="5" t="s">
        <v>1457</v>
      </c>
      <c r="C728" s="6" t="s">
        <v>1458</v>
      </c>
      <c r="D728" s="6" t="s">
        <v>13</v>
      </c>
      <c r="E728" s="8">
        <v>234643193038</v>
      </c>
      <c r="F728" s="8">
        <v>76498272412</v>
      </c>
      <c r="G728" s="8">
        <v>76478400511</v>
      </c>
      <c r="H728" s="8">
        <v>-16687847460</v>
      </c>
      <c r="I728" s="8">
        <v>190864031</v>
      </c>
      <c r="J728" s="8"/>
      <c r="K728" s="8">
        <v>76478400511</v>
      </c>
      <c r="L728" s="8">
        <v>5211955460</v>
      </c>
      <c r="M728" s="8"/>
      <c r="N728" s="8"/>
      <c r="O728" s="8"/>
      <c r="P728" s="8"/>
      <c r="Q728" s="18">
        <f>(Table1[[#This Row],[A. TÀI SẢN NGẮN HẠN]]-Table1[[#This Row],[I. Nợ ngắn hạn]])/Table1[[#This Row],[TỔNG CỘNG TÀI SẢN]]</f>
        <v>8.4689867806145075E-5</v>
      </c>
      <c r="R728" s="18">
        <f>Table1[[#This Row],[- LNST chưa phân phối kỳ này]]/Table1[[#This Row],[TỔNG CỘNG TÀI SẢN]]</f>
        <v>-7.1120100455236465E-2</v>
      </c>
      <c r="S728" s="21">
        <f>Table1[[#This Row],[5. Lợi nhuận gộp về bán hàng và cung cấp dịch vụ]]/Table1[[#This Row],[TỔNG CỘNG TÀI SẢN]]</f>
        <v>8.1342240756624015E-4</v>
      </c>
      <c r="T72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728" s="23">
        <f>Table1[[#This Row],[1. Doanh thu bán hàng và cung cấp dịch vụ ]]/Table1[[#This Row],[TỔNG CỘNG TÀI SẢN]]</f>
        <v>2.2212259356511287E-2</v>
      </c>
      <c r="V728" s="23" t="e">
        <f>1.2*Table1[[#This Row],[X1]] + 1.4*Table1[[#This Row],[X2]] + 3.3*Table1[[#This Row],[x3]] + 0.6*Table1[[#This Row],[x4]] + 1*Table1[[#This Row],[x5]]</f>
        <v>#DIV/0!</v>
      </c>
      <c r="W728" s="23" t="e">
        <f>IF(Table1[[#This Row],[Zscore]]&lt;1.81,1,0)</f>
        <v>#DIV/0!</v>
      </c>
    </row>
    <row r="729" spans="1:23" hidden="1" x14ac:dyDescent="0.45">
      <c r="A729" s="7">
        <v>723</v>
      </c>
      <c r="B729" s="5" t="s">
        <v>1459</v>
      </c>
      <c r="C729" s="6" t="s">
        <v>1460</v>
      </c>
      <c r="D729" s="6" t="s">
        <v>13</v>
      </c>
      <c r="E729" s="6"/>
      <c r="F729" s="6"/>
      <c r="G729" s="6"/>
      <c r="H729" s="6"/>
      <c r="I729" s="6"/>
      <c r="J729" s="8"/>
      <c r="K729" s="6"/>
      <c r="L729" s="6"/>
      <c r="M729" s="8"/>
      <c r="N729" s="8"/>
      <c r="O729" s="8"/>
      <c r="P729" s="8"/>
      <c r="Q729" s="18" t="e">
        <f>(Table1[[#This Row],[A. TÀI SẢN NGẮN HẠN]]-Table1[[#This Row],[I. Nợ ngắn hạn]])/Table1[[#This Row],[TỔNG CỘNG TÀI SẢN]]</f>
        <v>#DIV/0!</v>
      </c>
      <c r="R729" s="18" t="e">
        <f>Table1[[#This Row],[- LNST chưa phân phối kỳ này]]/Table1[[#This Row],[TỔNG CỘNG TÀI SẢN]]</f>
        <v>#DIV/0!</v>
      </c>
      <c r="S729" s="21" t="e">
        <f>Table1[[#This Row],[5. Lợi nhuận gộp về bán hàng và cung cấp dịch vụ]]/Table1[[#This Row],[TỔNG CỘNG TÀI SẢN]]</f>
        <v>#DIV/0!</v>
      </c>
      <c r="T72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729" s="23" t="e">
        <f>Table1[[#This Row],[1. Doanh thu bán hàng và cung cấp dịch vụ ]]/Table1[[#This Row],[TỔNG CỘNG TÀI SẢN]]</f>
        <v>#DIV/0!</v>
      </c>
      <c r="V729" s="23" t="e">
        <f>1.2*Table1[[#This Row],[X1]] + 1.4*Table1[[#This Row],[X2]] + 3.3*Table1[[#This Row],[x3]] + 0.6*Table1[[#This Row],[x4]] + 1*Table1[[#This Row],[x5]]</f>
        <v>#DIV/0!</v>
      </c>
      <c r="W729" s="23" t="e">
        <f>IF(Table1[[#This Row],[Zscore]]&lt;1.81,1,0)</f>
        <v>#DIV/0!</v>
      </c>
    </row>
    <row r="730" spans="1:23" hidden="1" x14ac:dyDescent="0.45">
      <c r="A730" s="7">
        <v>724</v>
      </c>
      <c r="B730" s="5" t="s">
        <v>1461</v>
      </c>
      <c r="C730" s="6" t="s">
        <v>1462</v>
      </c>
      <c r="D730" s="6" t="s">
        <v>13</v>
      </c>
      <c r="E730" s="6"/>
      <c r="F730" s="6"/>
      <c r="G730" s="6"/>
      <c r="H730" s="6"/>
      <c r="I730" s="6"/>
      <c r="J730" s="8"/>
      <c r="K730" s="6"/>
      <c r="L730" s="6"/>
      <c r="M730" s="8"/>
      <c r="N730" s="8"/>
      <c r="O730" s="8"/>
      <c r="P730" s="8"/>
      <c r="Q730" s="18" t="e">
        <f>(Table1[[#This Row],[A. TÀI SẢN NGẮN HẠN]]-Table1[[#This Row],[I. Nợ ngắn hạn]])/Table1[[#This Row],[TỔNG CỘNG TÀI SẢN]]</f>
        <v>#DIV/0!</v>
      </c>
      <c r="R730" s="18" t="e">
        <f>Table1[[#This Row],[- LNST chưa phân phối kỳ này]]/Table1[[#This Row],[TỔNG CỘNG TÀI SẢN]]</f>
        <v>#DIV/0!</v>
      </c>
      <c r="S730" s="21" t="e">
        <f>Table1[[#This Row],[5. Lợi nhuận gộp về bán hàng và cung cấp dịch vụ]]/Table1[[#This Row],[TỔNG CỘNG TÀI SẢN]]</f>
        <v>#DIV/0!</v>
      </c>
      <c r="T73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730" s="23" t="e">
        <f>Table1[[#This Row],[1. Doanh thu bán hàng và cung cấp dịch vụ ]]/Table1[[#This Row],[TỔNG CỘNG TÀI SẢN]]</f>
        <v>#DIV/0!</v>
      </c>
      <c r="V730" s="23" t="e">
        <f>1.2*Table1[[#This Row],[X1]] + 1.4*Table1[[#This Row],[X2]] + 3.3*Table1[[#This Row],[x3]] + 0.6*Table1[[#This Row],[x4]] + 1*Table1[[#This Row],[x5]]</f>
        <v>#DIV/0!</v>
      </c>
      <c r="W730" s="23" t="e">
        <f>IF(Table1[[#This Row],[Zscore]]&lt;1.81,1,0)</f>
        <v>#DIV/0!</v>
      </c>
    </row>
    <row r="731" spans="1:23" hidden="1" x14ac:dyDescent="0.45">
      <c r="A731" s="7">
        <v>725</v>
      </c>
      <c r="B731" s="5" t="s">
        <v>1463</v>
      </c>
      <c r="C731" s="6" t="s">
        <v>1464</v>
      </c>
      <c r="D731" s="6" t="s">
        <v>13</v>
      </c>
      <c r="E731" s="6"/>
      <c r="F731" s="6"/>
      <c r="G731" s="6"/>
      <c r="H731" s="6"/>
      <c r="I731" s="6"/>
      <c r="J731" s="8"/>
      <c r="K731" s="6"/>
      <c r="L731" s="6"/>
      <c r="M731" s="8"/>
      <c r="N731" s="8"/>
      <c r="O731" s="8"/>
      <c r="P731" s="8"/>
      <c r="Q731" s="18" t="e">
        <f>(Table1[[#This Row],[A. TÀI SẢN NGẮN HẠN]]-Table1[[#This Row],[I. Nợ ngắn hạn]])/Table1[[#This Row],[TỔNG CỘNG TÀI SẢN]]</f>
        <v>#DIV/0!</v>
      </c>
      <c r="R731" s="18" t="e">
        <f>Table1[[#This Row],[- LNST chưa phân phối kỳ này]]/Table1[[#This Row],[TỔNG CỘNG TÀI SẢN]]</f>
        <v>#DIV/0!</v>
      </c>
      <c r="S731" s="21" t="e">
        <f>Table1[[#This Row],[5. Lợi nhuận gộp về bán hàng và cung cấp dịch vụ]]/Table1[[#This Row],[TỔNG CỘNG TÀI SẢN]]</f>
        <v>#DIV/0!</v>
      </c>
      <c r="T73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731" s="23" t="e">
        <f>Table1[[#This Row],[1. Doanh thu bán hàng và cung cấp dịch vụ ]]/Table1[[#This Row],[TỔNG CỘNG TÀI SẢN]]</f>
        <v>#DIV/0!</v>
      </c>
      <c r="V731" s="23" t="e">
        <f>1.2*Table1[[#This Row],[X1]] + 1.4*Table1[[#This Row],[X2]] + 3.3*Table1[[#This Row],[x3]] + 0.6*Table1[[#This Row],[x4]] + 1*Table1[[#This Row],[x5]]</f>
        <v>#DIV/0!</v>
      </c>
      <c r="W731" s="23" t="e">
        <f>IF(Table1[[#This Row],[Zscore]]&lt;1.81,1,0)</f>
        <v>#DIV/0!</v>
      </c>
    </row>
    <row r="732" spans="1:23" hidden="1" x14ac:dyDescent="0.45">
      <c r="A732" s="7">
        <v>726</v>
      </c>
      <c r="B732" s="5" t="s">
        <v>1465</v>
      </c>
      <c r="C732" s="6" t="s">
        <v>1466</v>
      </c>
      <c r="D732" s="6" t="s">
        <v>18</v>
      </c>
      <c r="E732" s="6"/>
      <c r="F732" s="6"/>
      <c r="G732" s="6"/>
      <c r="H732" s="6"/>
      <c r="I732" s="6"/>
      <c r="J732" s="8"/>
      <c r="K732" s="6"/>
      <c r="L732" s="6"/>
      <c r="M732" s="8"/>
      <c r="N732" s="8"/>
      <c r="O732" s="8"/>
      <c r="P732" s="8"/>
      <c r="Q732" s="18" t="e">
        <f>(Table1[[#This Row],[A. TÀI SẢN NGẮN HẠN]]-Table1[[#This Row],[I. Nợ ngắn hạn]])/Table1[[#This Row],[TỔNG CỘNG TÀI SẢN]]</f>
        <v>#DIV/0!</v>
      </c>
      <c r="R732" s="18" t="e">
        <f>Table1[[#This Row],[- LNST chưa phân phối kỳ này]]/Table1[[#This Row],[TỔNG CỘNG TÀI SẢN]]</f>
        <v>#DIV/0!</v>
      </c>
      <c r="S732" s="21" t="e">
        <f>Table1[[#This Row],[5. Lợi nhuận gộp về bán hàng và cung cấp dịch vụ]]/Table1[[#This Row],[TỔNG CỘNG TÀI SẢN]]</f>
        <v>#DIV/0!</v>
      </c>
      <c r="T73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732" s="23" t="e">
        <f>Table1[[#This Row],[1. Doanh thu bán hàng và cung cấp dịch vụ ]]/Table1[[#This Row],[TỔNG CỘNG TÀI SẢN]]</f>
        <v>#DIV/0!</v>
      </c>
      <c r="V732" s="23" t="e">
        <f>1.2*Table1[[#This Row],[X1]] + 1.4*Table1[[#This Row],[X2]] + 3.3*Table1[[#This Row],[x3]] + 0.6*Table1[[#This Row],[x4]] + 1*Table1[[#This Row],[x5]]</f>
        <v>#DIV/0!</v>
      </c>
      <c r="W732" s="23" t="e">
        <f>IF(Table1[[#This Row],[Zscore]]&lt;1.81,1,0)</f>
        <v>#DIV/0!</v>
      </c>
    </row>
    <row r="733" spans="1:23" hidden="1" x14ac:dyDescent="0.45">
      <c r="A733" s="7">
        <v>727</v>
      </c>
      <c r="B733" s="5" t="s">
        <v>1467</v>
      </c>
      <c r="C733" s="6" t="s">
        <v>1468</v>
      </c>
      <c r="D733" s="6" t="s">
        <v>13</v>
      </c>
      <c r="E733" s="6"/>
      <c r="F733" s="6"/>
      <c r="G733" s="6"/>
      <c r="H733" s="6"/>
      <c r="I733" s="6"/>
      <c r="J733" s="8"/>
      <c r="K733" s="6"/>
      <c r="L733" s="6"/>
      <c r="M733" s="8"/>
      <c r="N733" s="8"/>
      <c r="O733" s="8"/>
      <c r="P733" s="8"/>
      <c r="Q733" s="18" t="e">
        <f>(Table1[[#This Row],[A. TÀI SẢN NGẮN HẠN]]-Table1[[#This Row],[I. Nợ ngắn hạn]])/Table1[[#This Row],[TỔNG CỘNG TÀI SẢN]]</f>
        <v>#DIV/0!</v>
      </c>
      <c r="R733" s="18" t="e">
        <f>Table1[[#This Row],[- LNST chưa phân phối kỳ này]]/Table1[[#This Row],[TỔNG CỘNG TÀI SẢN]]</f>
        <v>#DIV/0!</v>
      </c>
      <c r="S733" s="21" t="e">
        <f>Table1[[#This Row],[5. Lợi nhuận gộp về bán hàng và cung cấp dịch vụ]]/Table1[[#This Row],[TỔNG CỘNG TÀI SẢN]]</f>
        <v>#DIV/0!</v>
      </c>
      <c r="T73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733" s="23" t="e">
        <f>Table1[[#This Row],[1. Doanh thu bán hàng và cung cấp dịch vụ ]]/Table1[[#This Row],[TỔNG CỘNG TÀI SẢN]]</f>
        <v>#DIV/0!</v>
      </c>
      <c r="V733" s="23" t="e">
        <f>1.2*Table1[[#This Row],[X1]] + 1.4*Table1[[#This Row],[X2]] + 3.3*Table1[[#This Row],[x3]] + 0.6*Table1[[#This Row],[x4]] + 1*Table1[[#This Row],[x5]]</f>
        <v>#DIV/0!</v>
      </c>
      <c r="W733" s="23" t="e">
        <f>IF(Table1[[#This Row],[Zscore]]&lt;1.81,1,0)</f>
        <v>#DIV/0!</v>
      </c>
    </row>
    <row r="734" spans="1:23" hidden="1" x14ac:dyDescent="0.45">
      <c r="A734" s="7">
        <v>728</v>
      </c>
      <c r="B734" s="5" t="s">
        <v>1469</v>
      </c>
      <c r="C734" s="6" t="s">
        <v>1470</v>
      </c>
      <c r="D734" s="6" t="s">
        <v>13</v>
      </c>
      <c r="E734" s="6"/>
      <c r="F734" s="6"/>
      <c r="G734" s="6"/>
      <c r="H734" s="6"/>
      <c r="I734" s="6"/>
      <c r="J734" s="8"/>
      <c r="K734" s="6"/>
      <c r="L734" s="6"/>
      <c r="M734" s="8"/>
      <c r="N734" s="8"/>
      <c r="O734" s="8"/>
      <c r="P734" s="8"/>
      <c r="Q734" s="18" t="e">
        <f>(Table1[[#This Row],[A. TÀI SẢN NGẮN HẠN]]-Table1[[#This Row],[I. Nợ ngắn hạn]])/Table1[[#This Row],[TỔNG CỘNG TÀI SẢN]]</f>
        <v>#DIV/0!</v>
      </c>
      <c r="R734" s="18" t="e">
        <f>Table1[[#This Row],[- LNST chưa phân phối kỳ này]]/Table1[[#This Row],[TỔNG CỘNG TÀI SẢN]]</f>
        <v>#DIV/0!</v>
      </c>
      <c r="S734" s="21" t="e">
        <f>Table1[[#This Row],[5. Lợi nhuận gộp về bán hàng và cung cấp dịch vụ]]/Table1[[#This Row],[TỔNG CỘNG TÀI SẢN]]</f>
        <v>#DIV/0!</v>
      </c>
      <c r="T73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734" s="23" t="e">
        <f>Table1[[#This Row],[1. Doanh thu bán hàng và cung cấp dịch vụ ]]/Table1[[#This Row],[TỔNG CỘNG TÀI SẢN]]</f>
        <v>#DIV/0!</v>
      </c>
      <c r="V734" s="23" t="e">
        <f>1.2*Table1[[#This Row],[X1]] + 1.4*Table1[[#This Row],[X2]] + 3.3*Table1[[#This Row],[x3]] + 0.6*Table1[[#This Row],[x4]] + 1*Table1[[#This Row],[x5]]</f>
        <v>#DIV/0!</v>
      </c>
      <c r="W734" s="23" t="e">
        <f>IF(Table1[[#This Row],[Zscore]]&lt;1.81,1,0)</f>
        <v>#DIV/0!</v>
      </c>
    </row>
    <row r="735" spans="1:23" ht="26.25" hidden="1" x14ac:dyDescent="0.45">
      <c r="A735" s="7">
        <v>729</v>
      </c>
      <c r="B735" s="5" t="s">
        <v>1471</v>
      </c>
      <c r="C735" s="6" t="s">
        <v>1472</v>
      </c>
      <c r="D735" s="6" t="s">
        <v>18</v>
      </c>
      <c r="E735" s="6"/>
      <c r="F735" s="6"/>
      <c r="G735" s="6"/>
      <c r="H735" s="6"/>
      <c r="I735" s="6"/>
      <c r="J735" s="8"/>
      <c r="K735" s="6"/>
      <c r="L735" s="6"/>
      <c r="M735" s="8"/>
      <c r="N735" s="8"/>
      <c r="O735" s="8"/>
      <c r="P735" s="8"/>
      <c r="Q735" s="18" t="e">
        <f>(Table1[[#This Row],[A. TÀI SẢN NGẮN HẠN]]-Table1[[#This Row],[I. Nợ ngắn hạn]])/Table1[[#This Row],[TỔNG CỘNG TÀI SẢN]]</f>
        <v>#DIV/0!</v>
      </c>
      <c r="R735" s="18" t="e">
        <f>Table1[[#This Row],[- LNST chưa phân phối kỳ này]]/Table1[[#This Row],[TỔNG CỘNG TÀI SẢN]]</f>
        <v>#DIV/0!</v>
      </c>
      <c r="S735" s="21" t="e">
        <f>Table1[[#This Row],[5. Lợi nhuận gộp về bán hàng và cung cấp dịch vụ]]/Table1[[#This Row],[TỔNG CỘNG TÀI SẢN]]</f>
        <v>#DIV/0!</v>
      </c>
      <c r="T73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735" s="23" t="e">
        <f>Table1[[#This Row],[1. Doanh thu bán hàng và cung cấp dịch vụ ]]/Table1[[#This Row],[TỔNG CỘNG TÀI SẢN]]</f>
        <v>#DIV/0!</v>
      </c>
      <c r="V735" s="23" t="e">
        <f>1.2*Table1[[#This Row],[X1]] + 1.4*Table1[[#This Row],[X2]] + 3.3*Table1[[#This Row],[x3]] + 0.6*Table1[[#This Row],[x4]] + 1*Table1[[#This Row],[x5]]</f>
        <v>#DIV/0!</v>
      </c>
      <c r="W735" s="23" t="e">
        <f>IF(Table1[[#This Row],[Zscore]]&lt;1.81,1,0)</f>
        <v>#DIV/0!</v>
      </c>
    </row>
    <row r="736" spans="1:23" ht="26.25" hidden="1" x14ac:dyDescent="0.45">
      <c r="A736" s="7">
        <v>730</v>
      </c>
      <c r="B736" s="5" t="s">
        <v>1473</v>
      </c>
      <c r="C736" s="6" t="s">
        <v>1474</v>
      </c>
      <c r="D736" s="6" t="s">
        <v>13</v>
      </c>
      <c r="E736" s="6"/>
      <c r="F736" s="6"/>
      <c r="G736" s="6"/>
      <c r="H736" s="6"/>
      <c r="I736" s="6"/>
      <c r="J736" s="8"/>
      <c r="K736" s="6"/>
      <c r="L736" s="6"/>
      <c r="M736" s="8"/>
      <c r="N736" s="8"/>
      <c r="O736" s="8"/>
      <c r="P736" s="8"/>
      <c r="Q736" s="18" t="e">
        <f>(Table1[[#This Row],[A. TÀI SẢN NGẮN HẠN]]-Table1[[#This Row],[I. Nợ ngắn hạn]])/Table1[[#This Row],[TỔNG CỘNG TÀI SẢN]]</f>
        <v>#DIV/0!</v>
      </c>
      <c r="R736" s="18" t="e">
        <f>Table1[[#This Row],[- LNST chưa phân phối kỳ này]]/Table1[[#This Row],[TỔNG CỘNG TÀI SẢN]]</f>
        <v>#DIV/0!</v>
      </c>
      <c r="S736" s="21" t="e">
        <f>Table1[[#This Row],[5. Lợi nhuận gộp về bán hàng và cung cấp dịch vụ]]/Table1[[#This Row],[TỔNG CỘNG TÀI SẢN]]</f>
        <v>#DIV/0!</v>
      </c>
      <c r="T73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736" s="23" t="e">
        <f>Table1[[#This Row],[1. Doanh thu bán hàng và cung cấp dịch vụ ]]/Table1[[#This Row],[TỔNG CỘNG TÀI SẢN]]</f>
        <v>#DIV/0!</v>
      </c>
      <c r="V736" s="23" t="e">
        <f>1.2*Table1[[#This Row],[X1]] + 1.4*Table1[[#This Row],[X2]] + 3.3*Table1[[#This Row],[x3]] + 0.6*Table1[[#This Row],[x4]] + 1*Table1[[#This Row],[x5]]</f>
        <v>#DIV/0!</v>
      </c>
      <c r="W736" s="23" t="e">
        <f>IF(Table1[[#This Row],[Zscore]]&lt;1.81,1,0)</f>
        <v>#DIV/0!</v>
      </c>
    </row>
    <row r="737" spans="1:23" x14ac:dyDescent="0.45">
      <c r="A737" s="7">
        <v>731</v>
      </c>
      <c r="B737" s="5" t="s">
        <v>1475</v>
      </c>
      <c r="C737" s="6" t="s">
        <v>1476</v>
      </c>
      <c r="D737" s="6" t="s">
        <v>18</v>
      </c>
      <c r="E737" s="8">
        <v>347132285606</v>
      </c>
      <c r="F737" s="8">
        <v>262174910238</v>
      </c>
      <c r="G737" s="8">
        <v>4424932513</v>
      </c>
      <c r="H737" s="8">
        <v>-2552580273</v>
      </c>
      <c r="I737" s="8">
        <v>2899632297</v>
      </c>
      <c r="J737" s="8"/>
      <c r="K737" s="8">
        <v>4495331551</v>
      </c>
      <c r="L737" s="8">
        <v>209092068612</v>
      </c>
      <c r="M737" s="8">
        <v>44800000000</v>
      </c>
      <c r="N737" s="8">
        <v>44800000000</v>
      </c>
      <c r="O737" s="8">
        <v>36400000000</v>
      </c>
      <c r="P737" s="8">
        <v>36400000000</v>
      </c>
      <c r="Q737" s="18">
        <f>(Table1[[#This Row],[A. TÀI SẢN NGẮN HẠN]]-Table1[[#This Row],[I. Nợ ngắn hạn]])/Table1[[#This Row],[TỔNG CỘNG TÀI SẢN]]</f>
        <v>0.74251225948354982</v>
      </c>
      <c r="R737" s="18">
        <f>Table1[[#This Row],[- LNST chưa phân phối kỳ này]]/Table1[[#This Row],[TỔNG CỘNG TÀI SẢN]]</f>
        <v>-7.3533358285700172E-3</v>
      </c>
      <c r="S737" s="21">
        <f>Table1[[#This Row],[5. Lợi nhuận gộp về bán hàng và cung cấp dịch vụ]]/Table1[[#This Row],[TỔNG CỘNG TÀI SẢN]]</f>
        <v>8.3531046152564535E-3</v>
      </c>
      <c r="T73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9.0315918946998259</v>
      </c>
      <c r="U737" s="23">
        <f>Table1[[#This Row],[1. Doanh thu bán hàng và cung cấp dịch vụ ]]/Table1[[#This Row],[TỔNG CỘNG TÀI SẢN]]</f>
        <v>0.60234117448044699</v>
      </c>
      <c r="V737" s="23">
        <f>1.2*Table1[[#This Row],[X1]] + 1.4*Table1[[#This Row],[X2]] + 3.3*Table1[[#This Row],[x3]] + 0.6*Table1[[#This Row],[x4]] + 1*Table1[[#This Row],[x5]]</f>
        <v>6.9295815977509507</v>
      </c>
      <c r="W737" s="23">
        <f>IF(Table1[[#This Row],[Zscore]]&lt;1.81,1,0)</f>
        <v>0</v>
      </c>
    </row>
    <row r="738" spans="1:23" x14ac:dyDescent="0.45">
      <c r="A738" s="7">
        <v>732</v>
      </c>
      <c r="B738" s="5" t="s">
        <v>1477</v>
      </c>
      <c r="C738" s="6" t="s">
        <v>1478</v>
      </c>
      <c r="D738" s="6" t="s">
        <v>36</v>
      </c>
      <c r="E738" s="8">
        <v>1649193211534</v>
      </c>
      <c r="F738" s="8">
        <v>851746140245</v>
      </c>
      <c r="G738" s="8">
        <v>857773883681</v>
      </c>
      <c r="H738" s="8">
        <v>39955753119</v>
      </c>
      <c r="I738" s="8">
        <v>139871653151</v>
      </c>
      <c r="J738" s="8"/>
      <c r="K738" s="8">
        <v>873169200135</v>
      </c>
      <c r="L738" s="8">
        <v>1452762828308</v>
      </c>
      <c r="M738" s="8">
        <v>333683344800</v>
      </c>
      <c r="N738" s="8">
        <v>263523607200</v>
      </c>
      <c r="O738" s="8">
        <v>299459412000</v>
      </c>
      <c r="P738" s="8">
        <v>312293386800</v>
      </c>
      <c r="Q738" s="18">
        <f>(Table1[[#This Row],[A. TÀI SẢN NGẮN HẠN]]-Table1[[#This Row],[I. Nợ ngắn hạn]])/Table1[[#This Row],[TỔNG CỘNG TÀI SẢN]]</f>
        <v>-3.6549649815701604E-3</v>
      </c>
      <c r="R738" s="18">
        <f>Table1[[#This Row],[- LNST chưa phân phối kỳ này]]/Table1[[#This Row],[TỔNG CỘNG TÀI SẢN]]</f>
        <v>2.4227454272525827E-2</v>
      </c>
      <c r="S738" s="21">
        <f>Table1[[#This Row],[5. Lợi nhuận gộp về bán hàng và cung cấp dịch vụ]]/Table1[[#This Row],[TỔNG CỘNG TÀI SẢN]]</f>
        <v>8.4812168867041432E-2</v>
      </c>
      <c r="T73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0.34614131791784564</v>
      </c>
      <c r="U738" s="23">
        <f>Table1[[#This Row],[1. Doanh thu bán hàng và cung cấp dịch vụ ]]/Table1[[#This Row],[TỔNG CỘNG TÀI SẢN]]</f>
        <v>0.88089304403376123</v>
      </c>
      <c r="V738" s="23">
        <f>1.2*Table1[[#This Row],[X1]] + 1.4*Table1[[#This Row],[X2]] + 3.3*Table1[[#This Row],[x3]] + 0.6*Table1[[#This Row],[x4]] + 1*Table1[[#This Row],[x5]]</f>
        <v>1.3979904700493573</v>
      </c>
      <c r="W738" s="23">
        <f>IF(Table1[[#This Row],[Zscore]]&lt;1.81,1,0)</f>
        <v>1</v>
      </c>
    </row>
    <row r="739" spans="1:23" ht="26.25" x14ac:dyDescent="0.45">
      <c r="A739" s="7">
        <v>733</v>
      </c>
      <c r="B739" s="5" t="s">
        <v>1479</v>
      </c>
      <c r="C739" s="6" t="s">
        <v>1480</v>
      </c>
      <c r="D739" s="6" t="s">
        <v>18</v>
      </c>
      <c r="E739" s="8">
        <v>7506478450340</v>
      </c>
      <c r="F739" s="8">
        <v>4695092783804</v>
      </c>
      <c r="G739" s="8">
        <v>3563608794809</v>
      </c>
      <c r="H739" s="8">
        <v>618947237270</v>
      </c>
      <c r="I739" s="8">
        <v>553838881848</v>
      </c>
      <c r="J739" s="8"/>
      <c r="K739" s="8">
        <v>3594680903977</v>
      </c>
      <c r="L739" s="8">
        <v>5690908186439</v>
      </c>
      <c r="M739" s="8">
        <v>6209400000000</v>
      </c>
      <c r="N739" s="8">
        <v>5048100000000</v>
      </c>
      <c r="O739" s="8">
        <v>5569500000000</v>
      </c>
      <c r="P739" s="8">
        <v>5119200000000</v>
      </c>
      <c r="Q739" s="18">
        <f>(Table1[[#This Row],[A. TÀI SẢN NGẮN HẠN]]-Table1[[#This Row],[I. Nợ ngắn hạn]])/Table1[[#This Row],[TỔNG CỘNG TÀI SẢN]]</f>
        <v>0.15073432855105984</v>
      </c>
      <c r="R739" s="18">
        <f>Table1[[#This Row],[- LNST chưa phân phối kỳ này]]/Table1[[#This Row],[TỔNG CỘNG TÀI SẢN]]</f>
        <v>8.2455074155573613E-2</v>
      </c>
      <c r="S739" s="21">
        <f>Table1[[#This Row],[5. Lợi nhuận gộp về bán hàng và cung cấp dịch vụ]]/Table1[[#This Row],[TỔNG CỘNG TÀI SẢN]]</f>
        <v>7.3781452316420665E-2</v>
      </c>
      <c r="T73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1.5262968109157944</v>
      </c>
      <c r="U739" s="23">
        <f>Table1[[#This Row],[1. Doanh thu bán hàng và cung cấp dịch vụ ]]/Table1[[#This Row],[TỔNG CỘNG TÀI SẢN]]</f>
        <v>0.75813288802304291</v>
      </c>
      <c r="V739" s="23">
        <f>1.2*Table1[[#This Row],[X1]] + 1.4*Table1[[#This Row],[X2]] + 3.3*Table1[[#This Row],[x3]] + 0.6*Table1[[#This Row],[x4]] + 1*Table1[[#This Row],[x5]]</f>
        <v>2.2137080652957826</v>
      </c>
      <c r="W739" s="23">
        <f>IF(Table1[[#This Row],[Zscore]]&lt;1.81,1,0)</f>
        <v>0</v>
      </c>
    </row>
    <row r="740" spans="1:23" ht="26.25" x14ac:dyDescent="0.45">
      <c r="A740" s="7">
        <v>734</v>
      </c>
      <c r="B740" s="5" t="s">
        <v>1481</v>
      </c>
      <c r="C740" s="6" t="s">
        <v>1482</v>
      </c>
      <c r="D740" s="6" t="s">
        <v>21</v>
      </c>
      <c r="E740" s="8">
        <v>1562924732203</v>
      </c>
      <c r="F740" s="8">
        <v>1248707354479</v>
      </c>
      <c r="G740" s="8">
        <v>97302325439</v>
      </c>
      <c r="H740" s="8">
        <v>338172706851</v>
      </c>
      <c r="I740" s="8">
        <v>333862306720</v>
      </c>
      <c r="J740" s="8"/>
      <c r="K740" s="8">
        <v>97302325439</v>
      </c>
      <c r="L740" s="8">
        <v>587227158118</v>
      </c>
      <c r="M740" s="8">
        <v>3280000000000</v>
      </c>
      <c r="N740" s="8">
        <v>2696000000000</v>
      </c>
      <c r="O740" s="8">
        <v>3100000000000</v>
      </c>
      <c r="P740" s="8">
        <v>2876000000000</v>
      </c>
      <c r="Q740" s="18">
        <f>(Table1[[#This Row],[A. TÀI SẢN NGẮN HẠN]]-Table1[[#This Row],[I. Nợ ngắn hạn]])/Table1[[#This Row],[TỔNG CỘNG TÀI SẢN]]</f>
        <v>0.7366989627306314</v>
      </c>
      <c r="R740" s="18">
        <f>Table1[[#This Row],[- LNST chưa phân phối kỳ này]]/Table1[[#This Row],[TỔNG CỘNG TÀI SẢN]]</f>
        <v>0.21637171636175537</v>
      </c>
      <c r="S740" s="21">
        <f>Table1[[#This Row],[5. Lợi nhuận gộp về bán hàng và cung cấp dịch vụ]]/Table1[[#This Row],[TỔNG CỘNG TÀI SẢN]]</f>
        <v>0.21361380995578</v>
      </c>
      <c r="T74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30.708413046851724</v>
      </c>
      <c r="U740" s="23">
        <f>Table1[[#This Row],[1. Doanh thu bán hàng và cung cấp dịch vụ ]]/Table1[[#This Row],[TỔNG CỘNG TÀI SẢN]]</f>
        <v>0.37572324886706582</v>
      </c>
      <c r="V740" s="23">
        <f>1.2*Table1[[#This Row],[X1]] + 1.4*Table1[[#This Row],[X2]] + 3.3*Table1[[#This Row],[x3]] + 0.6*Table1[[#This Row],[x4]] + 1*Table1[[#This Row],[x5]]</f>
        <v>20.692655808015388</v>
      </c>
      <c r="W740" s="23">
        <f>IF(Table1[[#This Row],[Zscore]]&lt;1.81,1,0)</f>
        <v>0</v>
      </c>
    </row>
    <row r="741" spans="1:23" hidden="1" x14ac:dyDescent="0.45">
      <c r="A741" s="7">
        <v>735</v>
      </c>
      <c r="B741" s="5" t="s">
        <v>1483</v>
      </c>
      <c r="C741" s="6" t="s">
        <v>1484</v>
      </c>
      <c r="D741" s="6" t="s">
        <v>13</v>
      </c>
      <c r="E741" s="8">
        <v>233546073170</v>
      </c>
      <c r="F741" s="8">
        <v>169044800492</v>
      </c>
      <c r="G741" s="8">
        <v>1809614637</v>
      </c>
      <c r="H741" s="8">
        <v>-17803377808</v>
      </c>
      <c r="I741" s="8">
        <v>-1944783247</v>
      </c>
      <c r="J741" s="8"/>
      <c r="K741" s="8">
        <v>1809614637</v>
      </c>
      <c r="L741" s="8">
        <v>17514258225</v>
      </c>
      <c r="M741" s="8"/>
      <c r="N741" s="8"/>
      <c r="O741" s="8"/>
      <c r="P741" s="8"/>
      <c r="Q741" s="18">
        <f>(Table1[[#This Row],[A. TÀI SẢN NGẮN HẠN]]-Table1[[#This Row],[I. Nợ ngắn hạn]])/Table1[[#This Row],[TỔNG CỘNG TÀI SẢN]]</f>
        <v>0.71606935447494424</v>
      </c>
      <c r="R741" s="18">
        <f>Table1[[#This Row],[- LNST chưa phân phối kỳ này]]/Table1[[#This Row],[TỔNG CỘNG TÀI SẢN]]</f>
        <v>-7.6230687873911643E-2</v>
      </c>
      <c r="S741" s="21">
        <f>Table1[[#This Row],[5. Lợi nhuận gộp về bán hàng và cung cấp dịch vụ]]/Table1[[#This Row],[TỔNG CỘNG TÀI SẢN]]</f>
        <v>-8.3271930912937123E-3</v>
      </c>
      <c r="T74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741" s="23">
        <f>Table1[[#This Row],[1. Doanh thu bán hàng và cung cấp dịch vụ ]]/Table1[[#This Row],[TỔNG CỘNG TÀI SẢN]]</f>
        <v>7.49927326427417E-2</v>
      </c>
      <c r="V741" s="23" t="e">
        <f>1.2*Table1[[#This Row],[X1]] + 1.4*Table1[[#This Row],[X2]] + 3.3*Table1[[#This Row],[x3]] + 0.6*Table1[[#This Row],[x4]] + 1*Table1[[#This Row],[x5]]</f>
        <v>#DIV/0!</v>
      </c>
      <c r="W741" s="23" t="e">
        <f>IF(Table1[[#This Row],[Zscore]]&lt;1.81,1,0)</f>
        <v>#DIV/0!</v>
      </c>
    </row>
    <row r="742" spans="1:23" ht="26.25" hidden="1" x14ac:dyDescent="0.45">
      <c r="A742" s="7">
        <v>736</v>
      </c>
      <c r="B742" s="5" t="s">
        <v>1485</v>
      </c>
      <c r="C742" s="6" t="s">
        <v>1486</v>
      </c>
      <c r="D742" s="6" t="s">
        <v>18</v>
      </c>
      <c r="E742" s="6"/>
      <c r="F742" s="6"/>
      <c r="G742" s="6"/>
      <c r="H742" s="6"/>
      <c r="I742" s="6"/>
      <c r="J742" s="8"/>
      <c r="K742" s="6"/>
      <c r="L742" s="6"/>
      <c r="M742" s="8"/>
      <c r="N742" s="8"/>
      <c r="O742" s="8"/>
      <c r="P742" s="8"/>
      <c r="Q742" s="18" t="e">
        <f>(Table1[[#This Row],[A. TÀI SẢN NGẮN HẠN]]-Table1[[#This Row],[I. Nợ ngắn hạn]])/Table1[[#This Row],[TỔNG CỘNG TÀI SẢN]]</f>
        <v>#DIV/0!</v>
      </c>
      <c r="R742" s="18" t="e">
        <f>Table1[[#This Row],[- LNST chưa phân phối kỳ này]]/Table1[[#This Row],[TỔNG CỘNG TÀI SẢN]]</f>
        <v>#DIV/0!</v>
      </c>
      <c r="S742" s="21" t="e">
        <f>Table1[[#This Row],[5. Lợi nhuận gộp về bán hàng và cung cấp dịch vụ]]/Table1[[#This Row],[TỔNG CỘNG TÀI SẢN]]</f>
        <v>#DIV/0!</v>
      </c>
      <c r="T74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742" s="23" t="e">
        <f>Table1[[#This Row],[1. Doanh thu bán hàng và cung cấp dịch vụ ]]/Table1[[#This Row],[TỔNG CỘNG TÀI SẢN]]</f>
        <v>#DIV/0!</v>
      </c>
      <c r="V742" s="23" t="e">
        <f>1.2*Table1[[#This Row],[X1]] + 1.4*Table1[[#This Row],[X2]] + 3.3*Table1[[#This Row],[x3]] + 0.6*Table1[[#This Row],[x4]] + 1*Table1[[#This Row],[x5]]</f>
        <v>#DIV/0!</v>
      </c>
      <c r="W742" s="23" t="e">
        <f>IF(Table1[[#This Row],[Zscore]]&lt;1.81,1,0)</f>
        <v>#DIV/0!</v>
      </c>
    </row>
    <row r="743" spans="1:23" ht="26.25" hidden="1" x14ac:dyDescent="0.45">
      <c r="A743" s="7">
        <v>737</v>
      </c>
      <c r="B743" s="5" t="s">
        <v>1487</v>
      </c>
      <c r="C743" s="6" t="s">
        <v>1488</v>
      </c>
      <c r="D743" s="6" t="s">
        <v>13</v>
      </c>
      <c r="E743" s="6"/>
      <c r="F743" s="6"/>
      <c r="G743" s="6"/>
      <c r="H743" s="6"/>
      <c r="I743" s="6"/>
      <c r="J743" s="8"/>
      <c r="K743" s="6"/>
      <c r="L743" s="6"/>
      <c r="M743" s="8"/>
      <c r="N743" s="8"/>
      <c r="O743" s="8"/>
      <c r="P743" s="8"/>
      <c r="Q743" s="18" t="e">
        <f>(Table1[[#This Row],[A. TÀI SẢN NGẮN HẠN]]-Table1[[#This Row],[I. Nợ ngắn hạn]])/Table1[[#This Row],[TỔNG CỘNG TÀI SẢN]]</f>
        <v>#DIV/0!</v>
      </c>
      <c r="R743" s="18" t="e">
        <f>Table1[[#This Row],[- LNST chưa phân phối kỳ này]]/Table1[[#This Row],[TỔNG CỘNG TÀI SẢN]]</f>
        <v>#DIV/0!</v>
      </c>
      <c r="S743" s="21" t="e">
        <f>Table1[[#This Row],[5. Lợi nhuận gộp về bán hàng và cung cấp dịch vụ]]/Table1[[#This Row],[TỔNG CỘNG TÀI SẢN]]</f>
        <v>#DIV/0!</v>
      </c>
      <c r="T74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743" s="23" t="e">
        <f>Table1[[#This Row],[1. Doanh thu bán hàng và cung cấp dịch vụ ]]/Table1[[#This Row],[TỔNG CỘNG TÀI SẢN]]</f>
        <v>#DIV/0!</v>
      </c>
      <c r="V743" s="23" t="e">
        <f>1.2*Table1[[#This Row],[X1]] + 1.4*Table1[[#This Row],[X2]] + 3.3*Table1[[#This Row],[x3]] + 0.6*Table1[[#This Row],[x4]] + 1*Table1[[#This Row],[x5]]</f>
        <v>#DIV/0!</v>
      </c>
      <c r="W743" s="23" t="e">
        <f>IF(Table1[[#This Row],[Zscore]]&lt;1.81,1,0)</f>
        <v>#DIV/0!</v>
      </c>
    </row>
    <row r="744" spans="1:23" ht="26.25" hidden="1" x14ac:dyDescent="0.45">
      <c r="A744" s="7">
        <v>738</v>
      </c>
      <c r="B744" s="5" t="s">
        <v>1489</v>
      </c>
      <c r="C744" s="6" t="s">
        <v>1490</v>
      </c>
      <c r="D744" s="6" t="s">
        <v>18</v>
      </c>
      <c r="E744" s="8">
        <v>65241700655</v>
      </c>
      <c r="F744" s="8">
        <v>46404613149</v>
      </c>
      <c r="G744" s="8">
        <v>9663206360</v>
      </c>
      <c r="H744" s="8">
        <v>9582341518</v>
      </c>
      <c r="I744" s="8">
        <v>21122672173</v>
      </c>
      <c r="J744" s="8"/>
      <c r="K744" s="8">
        <v>9748073204</v>
      </c>
      <c r="L744" s="8">
        <v>44823013836</v>
      </c>
      <c r="M744" s="8"/>
      <c r="N744" s="8"/>
      <c r="O744" s="8"/>
      <c r="P744" s="8"/>
      <c r="Q744" s="18">
        <f>(Table1[[#This Row],[A. TÀI SẢN NGẮN HẠN]]-Table1[[#This Row],[I. Nợ ngắn hạn]])/Table1[[#This Row],[TỔNG CỘNG TÀI SẢN]]</f>
        <v>0.56315832389608633</v>
      </c>
      <c r="R744" s="18">
        <f>Table1[[#This Row],[- LNST chưa phân phối kỳ này]]/Table1[[#This Row],[TỔNG CỘNG TÀI SẢN]]</f>
        <v>0.14687449011594131</v>
      </c>
      <c r="S744" s="21">
        <f>Table1[[#This Row],[5. Lợi nhuận gộp về bán hàng và cung cấp dịch vụ]]/Table1[[#This Row],[TỔNG CỘNG TÀI SẢN]]</f>
        <v>0.32376029381418642</v>
      </c>
      <c r="T74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744" s="23">
        <f>Table1[[#This Row],[1. Doanh thu bán hàng và cung cấp dịch vụ ]]/Table1[[#This Row],[TỔNG CỘNG TÀI SẢN]]</f>
        <v>0.68703012622287996</v>
      </c>
      <c r="V744" s="23" t="e">
        <f>1.2*Table1[[#This Row],[X1]] + 1.4*Table1[[#This Row],[X2]] + 3.3*Table1[[#This Row],[x3]] + 0.6*Table1[[#This Row],[x4]] + 1*Table1[[#This Row],[x5]]</f>
        <v>#DIV/0!</v>
      </c>
      <c r="W744" s="23" t="e">
        <f>IF(Table1[[#This Row],[Zscore]]&lt;1.81,1,0)</f>
        <v>#DIV/0!</v>
      </c>
    </row>
    <row r="745" spans="1:23" x14ac:dyDescent="0.45">
      <c r="A745" s="7">
        <v>739</v>
      </c>
      <c r="B745" s="5" t="s">
        <v>1491</v>
      </c>
      <c r="C745" s="6" t="s">
        <v>1492</v>
      </c>
      <c r="D745" s="6" t="s">
        <v>18</v>
      </c>
      <c r="E745" s="8">
        <v>863822860525</v>
      </c>
      <c r="F745" s="8">
        <v>364900678729</v>
      </c>
      <c r="G745" s="8">
        <v>120096044765</v>
      </c>
      <c r="H745" s="8">
        <v>78695161987</v>
      </c>
      <c r="I745" s="8">
        <v>200081987857</v>
      </c>
      <c r="J745" s="8"/>
      <c r="K745" s="8">
        <v>453962331606</v>
      </c>
      <c r="L745" s="8">
        <v>336309217353</v>
      </c>
      <c r="M745" s="8">
        <v>469648000000</v>
      </c>
      <c r="N745" s="8">
        <v>472800000000</v>
      </c>
      <c r="O745" s="8">
        <v>472800000000</v>
      </c>
      <c r="P745" s="8">
        <v>551600000000</v>
      </c>
      <c r="Q745" s="18">
        <f>(Table1[[#This Row],[A. TÀI SẢN NGẮN HẠN]]-Table1[[#This Row],[I. Nợ ngắn hạn]])/Table1[[#This Row],[TỔNG CỘNG TÀI SẢN]]</f>
        <v>0.28339679944938789</v>
      </c>
      <c r="R745" s="18">
        <f>Table1[[#This Row],[- LNST chưa phân phối kỳ này]]/Table1[[#This Row],[TỔNG CỘNG TÀI SẢN]]</f>
        <v>9.1101041177784933E-2</v>
      </c>
      <c r="S745" s="21">
        <f>Table1[[#This Row],[5. Lợi nhuận gộp về bán hàng và cung cấp dịch vụ]]/Table1[[#This Row],[TỔNG CỘNG TÀI SẢN]]</f>
        <v>0.23162386294731477</v>
      </c>
      <c r="T74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1.0831559487776254</v>
      </c>
      <c r="U745" s="23">
        <f>Table1[[#This Row],[1. Doanh thu bán hàng và cung cấp dịch vụ ]]/Table1[[#This Row],[TỔNG CỘNG TÀI SẢN]]</f>
        <v>0.38932660007238468</v>
      </c>
      <c r="V745" s="23">
        <f>1.2*Table1[[#This Row],[X1]] + 1.4*Table1[[#This Row],[X2]] + 3.3*Table1[[#This Row],[x3]] + 0.6*Table1[[#This Row],[x4]] + 1*Table1[[#This Row],[x5]]</f>
        <v>2.2711965340532627</v>
      </c>
      <c r="W745" s="23">
        <f>IF(Table1[[#This Row],[Zscore]]&lt;1.81,1,0)</f>
        <v>0</v>
      </c>
    </row>
    <row r="746" spans="1:23" ht="26.25" x14ac:dyDescent="0.45">
      <c r="A746" s="7">
        <v>740</v>
      </c>
      <c r="B746" s="5" t="s">
        <v>1493</v>
      </c>
      <c r="C746" s="6" t="s">
        <v>1494</v>
      </c>
      <c r="D746" s="6" t="s">
        <v>18</v>
      </c>
      <c r="E746" s="8">
        <v>1074421913632</v>
      </c>
      <c r="F746" s="8">
        <v>163118404253</v>
      </c>
      <c r="G746" s="8">
        <v>118448489454</v>
      </c>
      <c r="H746" s="8">
        <v>51239322082</v>
      </c>
      <c r="I746" s="8">
        <v>152709511544</v>
      </c>
      <c r="J746" s="8"/>
      <c r="K746" s="8">
        <v>688088689017</v>
      </c>
      <c r="L746" s="8">
        <v>476172039315</v>
      </c>
      <c r="M746" s="8">
        <v>409506454000</v>
      </c>
      <c r="N746" s="8">
        <v>388771950000</v>
      </c>
      <c r="O746" s="8">
        <v>417281893000</v>
      </c>
      <c r="P746" s="8">
        <v>445791836000</v>
      </c>
      <c r="Q746" s="18">
        <f>(Table1[[#This Row],[A. TÀI SẢN NGẮN HẠN]]-Table1[[#This Row],[I. Nợ ngắn hạn]])/Table1[[#This Row],[TỔNG CỘNG TÀI SẢN]]</f>
        <v>4.1575766681821308E-2</v>
      </c>
      <c r="R746" s="18">
        <f>Table1[[#This Row],[- LNST chưa phân phối kỳ này]]/Table1[[#This Row],[TỔNG CỘNG TÀI SẢN]]</f>
        <v>4.7690131252805003E-2</v>
      </c>
      <c r="S746" s="21">
        <f>Table1[[#This Row],[5. Lợi nhuận gộp về bán hàng và cung cấp dịch vụ]]/Table1[[#This Row],[TỔNG CỘNG TÀI SẢN]]</f>
        <v>0.142131791623439</v>
      </c>
      <c r="T74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0.6036111912308133</v>
      </c>
      <c r="U746" s="23">
        <f>Table1[[#This Row],[1. Doanh thu bán hàng và cung cấp dịch vụ ]]/Table1[[#This Row],[TỔNG CỘNG TÀI SẢN]]</f>
        <v>0.44318906127420404</v>
      </c>
      <c r="V746" s="23">
        <f>1.2*Table1[[#This Row],[X1]] + 1.4*Table1[[#This Row],[X2]] + 3.3*Table1[[#This Row],[x3]] + 0.6*Table1[[#This Row],[x4]] + 1*Table1[[#This Row],[x5]]</f>
        <v>1.3910477921421531</v>
      </c>
      <c r="W746" s="23">
        <f>IF(Table1[[#This Row],[Zscore]]&lt;1.81,1,0)</f>
        <v>1</v>
      </c>
    </row>
    <row r="747" spans="1:23" hidden="1" x14ac:dyDescent="0.45">
      <c r="A747" s="7">
        <v>741</v>
      </c>
      <c r="B747" s="5" t="s">
        <v>1495</v>
      </c>
      <c r="C747" s="6" t="s">
        <v>1496</v>
      </c>
      <c r="D747" s="6" t="s">
        <v>13</v>
      </c>
      <c r="E747" s="6"/>
      <c r="F747" s="6"/>
      <c r="G747" s="6"/>
      <c r="H747" s="6"/>
      <c r="I747" s="6"/>
      <c r="J747" s="8"/>
      <c r="K747" s="6"/>
      <c r="L747" s="6"/>
      <c r="M747" s="8"/>
      <c r="N747" s="8"/>
      <c r="O747" s="8"/>
      <c r="P747" s="8"/>
      <c r="Q747" s="18" t="e">
        <f>(Table1[[#This Row],[A. TÀI SẢN NGẮN HẠN]]-Table1[[#This Row],[I. Nợ ngắn hạn]])/Table1[[#This Row],[TỔNG CỘNG TÀI SẢN]]</f>
        <v>#DIV/0!</v>
      </c>
      <c r="R747" s="18" t="e">
        <f>Table1[[#This Row],[- LNST chưa phân phối kỳ này]]/Table1[[#This Row],[TỔNG CỘNG TÀI SẢN]]</f>
        <v>#DIV/0!</v>
      </c>
      <c r="S747" s="21" t="e">
        <f>Table1[[#This Row],[5. Lợi nhuận gộp về bán hàng và cung cấp dịch vụ]]/Table1[[#This Row],[TỔNG CỘNG TÀI SẢN]]</f>
        <v>#DIV/0!</v>
      </c>
      <c r="T74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747" s="23" t="e">
        <f>Table1[[#This Row],[1. Doanh thu bán hàng và cung cấp dịch vụ ]]/Table1[[#This Row],[TỔNG CỘNG TÀI SẢN]]</f>
        <v>#DIV/0!</v>
      </c>
      <c r="V747" s="23" t="e">
        <f>1.2*Table1[[#This Row],[X1]] + 1.4*Table1[[#This Row],[X2]] + 3.3*Table1[[#This Row],[x3]] + 0.6*Table1[[#This Row],[x4]] + 1*Table1[[#This Row],[x5]]</f>
        <v>#DIV/0!</v>
      </c>
      <c r="W747" s="23" t="e">
        <f>IF(Table1[[#This Row],[Zscore]]&lt;1.81,1,0)</f>
        <v>#DIV/0!</v>
      </c>
    </row>
    <row r="748" spans="1:23" ht="26.25" hidden="1" x14ac:dyDescent="0.45">
      <c r="A748" s="7">
        <v>742</v>
      </c>
      <c r="B748" s="5" t="s">
        <v>1497</v>
      </c>
      <c r="C748" s="6" t="s">
        <v>1498</v>
      </c>
      <c r="D748" s="6" t="s">
        <v>13</v>
      </c>
      <c r="E748" s="6"/>
      <c r="F748" s="6"/>
      <c r="G748" s="6"/>
      <c r="H748" s="6"/>
      <c r="I748" s="6"/>
      <c r="J748" s="8"/>
      <c r="K748" s="6"/>
      <c r="L748" s="6"/>
      <c r="M748" s="8"/>
      <c r="N748" s="8"/>
      <c r="O748" s="8"/>
      <c r="P748" s="8"/>
      <c r="Q748" s="18" t="e">
        <f>(Table1[[#This Row],[A. TÀI SẢN NGẮN HẠN]]-Table1[[#This Row],[I. Nợ ngắn hạn]])/Table1[[#This Row],[TỔNG CỘNG TÀI SẢN]]</f>
        <v>#DIV/0!</v>
      </c>
      <c r="R748" s="18" t="e">
        <f>Table1[[#This Row],[- LNST chưa phân phối kỳ này]]/Table1[[#This Row],[TỔNG CỘNG TÀI SẢN]]</f>
        <v>#DIV/0!</v>
      </c>
      <c r="S748" s="21" t="e">
        <f>Table1[[#This Row],[5. Lợi nhuận gộp về bán hàng và cung cấp dịch vụ]]/Table1[[#This Row],[TỔNG CỘNG TÀI SẢN]]</f>
        <v>#DIV/0!</v>
      </c>
      <c r="T74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748" s="23" t="e">
        <f>Table1[[#This Row],[1. Doanh thu bán hàng và cung cấp dịch vụ ]]/Table1[[#This Row],[TỔNG CỘNG TÀI SẢN]]</f>
        <v>#DIV/0!</v>
      </c>
      <c r="V748" s="23" t="e">
        <f>1.2*Table1[[#This Row],[X1]] + 1.4*Table1[[#This Row],[X2]] + 3.3*Table1[[#This Row],[x3]] + 0.6*Table1[[#This Row],[x4]] + 1*Table1[[#This Row],[x5]]</f>
        <v>#DIV/0!</v>
      </c>
      <c r="W748" s="23" t="e">
        <f>IF(Table1[[#This Row],[Zscore]]&lt;1.81,1,0)</f>
        <v>#DIV/0!</v>
      </c>
    </row>
    <row r="749" spans="1:23" x14ac:dyDescent="0.45">
      <c r="A749" s="7">
        <v>743</v>
      </c>
      <c r="B749" s="5" t="s">
        <v>1499</v>
      </c>
      <c r="C749" s="6" t="s">
        <v>1500</v>
      </c>
      <c r="D749" s="6" t="s">
        <v>21</v>
      </c>
      <c r="E749" s="8">
        <v>38102429832604</v>
      </c>
      <c r="F749" s="8">
        <v>33993613397951</v>
      </c>
      <c r="G749" s="8">
        <v>14479744658654</v>
      </c>
      <c r="H749" s="8">
        <v>228716134450</v>
      </c>
      <c r="I749" s="8">
        <v>2416189996032</v>
      </c>
      <c r="J749" s="8"/>
      <c r="K749" s="8">
        <v>17240308342923</v>
      </c>
      <c r="L749" s="8">
        <v>4462461308662</v>
      </c>
      <c r="M749" s="8">
        <v>13759429731400</v>
      </c>
      <c r="N749" s="8">
        <v>19021769631900</v>
      </c>
      <c r="O749" s="8">
        <v>14717364712700</v>
      </c>
      <c r="P749" s="8">
        <v>21090902712300</v>
      </c>
      <c r="Q749" s="18">
        <f>(Table1[[#This Row],[A. TÀI SẢN NGẮN HẠN]]-Table1[[#This Row],[I. Nợ ngắn hạn]])/Table1[[#This Row],[TỔNG CỘNG TÀI SẢN]]</f>
        <v>0.51214237057918832</v>
      </c>
      <c r="R749" s="18">
        <f>Table1[[#This Row],[- LNST chưa phân phối kỳ này]]/Table1[[#This Row],[TỔNG CỘNG TÀI SẢN]]</f>
        <v>6.0026653275085644E-3</v>
      </c>
      <c r="S749" s="21">
        <f>Table1[[#This Row],[5. Lợi nhuận gộp về bán hàng và cung cấp dịch vụ]]/Table1[[#This Row],[TỔNG CỘNG TÀI SẢN]]</f>
        <v>6.341301608971095E-2</v>
      </c>
      <c r="T74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0.99460904967595021</v>
      </c>
      <c r="U749" s="23">
        <f>Table1[[#This Row],[1. Doanh thu bán hàng và cung cấp dịch vụ ]]/Table1[[#This Row],[TỔNG CỘNG TÀI SẢN]]</f>
        <v>0.11711749954706303</v>
      </c>
      <c r="V749" s="23">
        <f>1.2*Table1[[#This Row],[X1]] + 1.4*Table1[[#This Row],[X2]] + 3.3*Table1[[#This Row],[x3]] + 0.6*Table1[[#This Row],[x4]] + 1*Table1[[#This Row],[x5]]</f>
        <v>1.5461204586022173</v>
      </c>
      <c r="W749" s="23">
        <f>IF(Table1[[#This Row],[Zscore]]&lt;1.81,1,0)</f>
        <v>1</v>
      </c>
    </row>
    <row r="750" spans="1:23" ht="26.25" hidden="1" x14ac:dyDescent="0.45">
      <c r="A750" s="7">
        <v>744</v>
      </c>
      <c r="B750" s="5" t="s">
        <v>1501</v>
      </c>
      <c r="C750" s="6" t="s">
        <v>1502</v>
      </c>
      <c r="D750" s="6" t="s">
        <v>18</v>
      </c>
      <c r="E750" s="6"/>
      <c r="F750" s="6"/>
      <c r="G750" s="6"/>
      <c r="H750" s="6"/>
      <c r="I750" s="6"/>
      <c r="J750" s="8"/>
      <c r="K750" s="6"/>
      <c r="L750" s="6"/>
      <c r="M750" s="8"/>
      <c r="N750" s="8"/>
      <c r="O750" s="8"/>
      <c r="P750" s="8"/>
      <c r="Q750" s="18" t="e">
        <f>(Table1[[#This Row],[A. TÀI SẢN NGẮN HẠN]]-Table1[[#This Row],[I. Nợ ngắn hạn]])/Table1[[#This Row],[TỔNG CỘNG TÀI SẢN]]</f>
        <v>#DIV/0!</v>
      </c>
      <c r="R750" s="18" t="e">
        <f>Table1[[#This Row],[- LNST chưa phân phối kỳ này]]/Table1[[#This Row],[TỔNG CỘNG TÀI SẢN]]</f>
        <v>#DIV/0!</v>
      </c>
      <c r="S750" s="21" t="e">
        <f>Table1[[#This Row],[5. Lợi nhuận gộp về bán hàng và cung cấp dịch vụ]]/Table1[[#This Row],[TỔNG CỘNG TÀI SẢN]]</f>
        <v>#DIV/0!</v>
      </c>
      <c r="T75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750" s="23" t="e">
        <f>Table1[[#This Row],[1. Doanh thu bán hàng và cung cấp dịch vụ ]]/Table1[[#This Row],[TỔNG CỘNG TÀI SẢN]]</f>
        <v>#DIV/0!</v>
      </c>
      <c r="V750" s="23" t="e">
        <f>1.2*Table1[[#This Row],[X1]] + 1.4*Table1[[#This Row],[X2]] + 3.3*Table1[[#This Row],[x3]] + 0.6*Table1[[#This Row],[x4]] + 1*Table1[[#This Row],[x5]]</f>
        <v>#DIV/0!</v>
      </c>
      <c r="W750" s="23" t="e">
        <f>IF(Table1[[#This Row],[Zscore]]&lt;1.81,1,0)</f>
        <v>#DIV/0!</v>
      </c>
    </row>
    <row r="751" spans="1:23" x14ac:dyDescent="0.45">
      <c r="A751" s="7">
        <v>745</v>
      </c>
      <c r="B751" s="5" t="s">
        <v>1503</v>
      </c>
      <c r="C751" s="6" t="s">
        <v>1504</v>
      </c>
      <c r="D751" s="6" t="s">
        <v>36</v>
      </c>
      <c r="E751" s="8">
        <v>1503222263663</v>
      </c>
      <c r="F751" s="8">
        <v>582768832130</v>
      </c>
      <c r="G751" s="8">
        <v>165921909436</v>
      </c>
      <c r="H751" s="8">
        <v>118399251198</v>
      </c>
      <c r="I751" s="8">
        <v>178141603881</v>
      </c>
      <c r="J751" s="8"/>
      <c r="K751" s="8">
        <v>551247110377</v>
      </c>
      <c r="L751" s="8">
        <v>702238500912</v>
      </c>
      <c r="M751" s="8">
        <v>659011463000</v>
      </c>
      <c r="N751" s="8">
        <v>653020449700</v>
      </c>
      <c r="O751" s="8">
        <v>599101330000</v>
      </c>
      <c r="P751" s="8">
        <v>659011463000</v>
      </c>
      <c r="Q751" s="18">
        <f>(Table1[[#This Row],[A. TÀI SẢN NGẮN HẠN]]-Table1[[#This Row],[I. Nợ ngắn hạn]])/Table1[[#This Row],[TỔNG CỘNG TÀI SẢN]]</f>
        <v>0.27730225447715351</v>
      </c>
      <c r="R751" s="18">
        <f>Table1[[#This Row],[- LNST chưa phân phối kỳ này]]/Table1[[#This Row],[TỔNG CỘNG TÀI SẢN]]</f>
        <v>7.8763635997173703E-2</v>
      </c>
      <c r="S751" s="21">
        <f>Table1[[#This Row],[5. Lợi nhuận gộp về bán hàng và cung cấp dịch vụ]]/Table1[[#This Row],[TỔNG CỘNG TÀI SẢN]]</f>
        <v>0.11850649646906553</v>
      </c>
      <c r="T75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1.1656046160234148</v>
      </c>
      <c r="U751" s="23">
        <f>Table1[[#This Row],[1. Doanh thu bán hàng và cung cấp dịch vụ ]]/Table1[[#This Row],[TỔNG CỘNG TÀI SẢN]]</f>
        <v>0.46715546854715251</v>
      </c>
      <c r="V751" s="23">
        <f>1.2*Table1[[#This Row],[X1]] + 1.4*Table1[[#This Row],[X2]] + 3.3*Table1[[#This Row],[x3]] + 0.6*Table1[[#This Row],[x4]] + 1*Table1[[#This Row],[x5]]</f>
        <v>2.0006214722777451</v>
      </c>
      <c r="W751" s="23">
        <f>IF(Table1[[#This Row],[Zscore]]&lt;1.81,1,0)</f>
        <v>0</v>
      </c>
    </row>
    <row r="752" spans="1:23" ht="26.25" x14ac:dyDescent="0.45">
      <c r="A752" s="7">
        <v>746</v>
      </c>
      <c r="B752" s="5" t="s">
        <v>1505</v>
      </c>
      <c r="C752" s="6" t="s">
        <v>1506</v>
      </c>
      <c r="D752" s="6" t="s">
        <v>21</v>
      </c>
      <c r="E752" s="8">
        <v>16918310769586</v>
      </c>
      <c r="F752" s="8">
        <v>16217514428452</v>
      </c>
      <c r="G752" s="8">
        <v>7063043312742</v>
      </c>
      <c r="H752" s="8">
        <v>336462534583</v>
      </c>
      <c r="I752" s="8">
        <v>1841430107430</v>
      </c>
      <c r="J752" s="8"/>
      <c r="K752" s="8">
        <v>8110914847861</v>
      </c>
      <c r="L752" s="8">
        <v>3939240908163</v>
      </c>
      <c r="M752" s="8">
        <v>3995811555600</v>
      </c>
      <c r="N752" s="8">
        <v>5252465334680</v>
      </c>
      <c r="O752" s="8">
        <v>5159808834840</v>
      </c>
      <c r="P752" s="8">
        <v>7094013269000</v>
      </c>
      <c r="Q752" s="18">
        <f>(Table1[[#This Row],[A. TÀI SẢN NGẮN HẠN]]-Table1[[#This Row],[I. Nợ ngắn hạn]])/Table1[[#This Row],[TỔNG CỘNG TÀI SẢN]]</f>
        <v>0.54109841345194865</v>
      </c>
      <c r="R752" s="18">
        <f>Table1[[#This Row],[- LNST chưa phân phối kỳ này]]/Table1[[#This Row],[TỔNG CỘNG TÀI SẢN]]</f>
        <v>1.9887478080131839E-2</v>
      </c>
      <c r="S752" s="21">
        <f>Table1[[#This Row],[5. Lợi nhuận gộp về bán hàng và cung cấp dịch vụ]]/Table1[[#This Row],[TỔNG CỘNG TÀI SẢN]]</f>
        <v>0.10884243306018079</v>
      </c>
      <c r="T75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0.66275196440357487</v>
      </c>
      <c r="U752" s="23">
        <f>Table1[[#This Row],[1. Doanh thu bán hàng và cung cấp dịch vụ ]]/Table1[[#This Row],[TỔNG CỘNG TÀI SẢN]]</f>
        <v>0.23283890228831605</v>
      </c>
      <c r="V752" s="23">
        <f>1.2*Table1[[#This Row],[X1]] + 1.4*Table1[[#This Row],[X2]] + 3.3*Table1[[#This Row],[x3]] + 0.6*Table1[[#This Row],[x4]] + 1*Table1[[#This Row],[x5]]</f>
        <v>1.6668306754835807</v>
      </c>
      <c r="W752" s="23">
        <f>IF(Table1[[#This Row],[Zscore]]&lt;1.81,1,0)</f>
        <v>1</v>
      </c>
    </row>
    <row r="753" spans="1:23" ht="26.25" x14ac:dyDescent="0.45">
      <c r="A753" s="7">
        <v>747</v>
      </c>
      <c r="B753" s="5" t="s">
        <v>1507</v>
      </c>
      <c r="C753" s="6" t="s">
        <v>1508</v>
      </c>
      <c r="D753" s="6" t="s">
        <v>21</v>
      </c>
      <c r="E753" s="8">
        <v>122932382378</v>
      </c>
      <c r="F753" s="8">
        <v>111692724180</v>
      </c>
      <c r="G753" s="8">
        <v>25353643985</v>
      </c>
      <c r="H753" s="8">
        <v>814215572</v>
      </c>
      <c r="I753" s="8">
        <v>17917412652</v>
      </c>
      <c r="J753" s="8"/>
      <c r="K753" s="8">
        <v>25353643985</v>
      </c>
      <c r="L753" s="8">
        <v>211435473143</v>
      </c>
      <c r="M753" s="8">
        <v>39699000000</v>
      </c>
      <c r="N753" s="8">
        <v>37620000000</v>
      </c>
      <c r="O753" s="8">
        <v>37422000000</v>
      </c>
      <c r="P753" s="8">
        <v>39501000000</v>
      </c>
      <c r="Q753" s="18">
        <f>(Table1[[#This Row],[A. TÀI SẢN NGẮN HẠN]]-Table1[[#This Row],[I. Nợ ngắn hạn]])/Table1[[#This Row],[TỔNG CỘNG TÀI SẢN]]</f>
        <v>0.70232983795530235</v>
      </c>
      <c r="R753" s="18">
        <f>Table1[[#This Row],[- LNST chưa phân phối kỳ này]]/Table1[[#This Row],[TỔNG CỘNG TÀI SẢN]]</f>
        <v>6.6232798571852309E-3</v>
      </c>
      <c r="S753" s="21">
        <f>Table1[[#This Row],[5. Lợi nhuận gộp về bán hàng và cung cấp dịch vụ]]/Table1[[#This Row],[TỔNG CỘNG TÀI SẢN]]</f>
        <v>0.14575014577449938</v>
      </c>
      <c r="T75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1.5209056348197358</v>
      </c>
      <c r="U753" s="23">
        <f>Table1[[#This Row],[1. Doanh thu bán hàng và cung cấp dịch vụ ]]/Table1[[#This Row],[TỔNG CỘNG TÀI SẢN]]</f>
        <v>1.7199330969838793</v>
      </c>
      <c r="V753" s="23">
        <f>1.2*Table1[[#This Row],[X1]] + 1.4*Table1[[#This Row],[X2]] + 3.3*Table1[[#This Row],[x3]] + 0.6*Table1[[#This Row],[x4]] + 1*Table1[[#This Row],[x5]]</f>
        <v>3.9655203562779908</v>
      </c>
      <c r="W753" s="23">
        <f>IF(Table1[[#This Row],[Zscore]]&lt;1.81,1,0)</f>
        <v>0</v>
      </c>
    </row>
    <row r="754" spans="1:23" hidden="1" x14ac:dyDescent="0.45">
      <c r="A754" s="7">
        <v>748</v>
      </c>
      <c r="B754" s="5" t="s">
        <v>1509</v>
      </c>
      <c r="C754" s="6" t="s">
        <v>1510</v>
      </c>
      <c r="D754" s="6" t="s">
        <v>18</v>
      </c>
      <c r="E754" s="6"/>
      <c r="F754" s="6"/>
      <c r="G754" s="6"/>
      <c r="H754" s="6"/>
      <c r="I754" s="6"/>
      <c r="J754" s="8"/>
      <c r="K754" s="6"/>
      <c r="L754" s="6"/>
      <c r="M754" s="8"/>
      <c r="N754" s="8"/>
      <c r="O754" s="8"/>
      <c r="P754" s="8"/>
      <c r="Q754" s="18" t="e">
        <f>(Table1[[#This Row],[A. TÀI SẢN NGẮN HẠN]]-Table1[[#This Row],[I. Nợ ngắn hạn]])/Table1[[#This Row],[TỔNG CỘNG TÀI SẢN]]</f>
        <v>#DIV/0!</v>
      </c>
      <c r="R754" s="18" t="e">
        <f>Table1[[#This Row],[- LNST chưa phân phối kỳ này]]/Table1[[#This Row],[TỔNG CỘNG TÀI SẢN]]</f>
        <v>#DIV/0!</v>
      </c>
      <c r="S754" s="21" t="e">
        <f>Table1[[#This Row],[5. Lợi nhuận gộp về bán hàng và cung cấp dịch vụ]]/Table1[[#This Row],[TỔNG CỘNG TÀI SẢN]]</f>
        <v>#DIV/0!</v>
      </c>
      <c r="T75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754" s="23" t="e">
        <f>Table1[[#This Row],[1. Doanh thu bán hàng và cung cấp dịch vụ ]]/Table1[[#This Row],[TỔNG CỘNG TÀI SẢN]]</f>
        <v>#DIV/0!</v>
      </c>
      <c r="V754" s="23" t="e">
        <f>1.2*Table1[[#This Row],[X1]] + 1.4*Table1[[#This Row],[X2]] + 3.3*Table1[[#This Row],[x3]] + 0.6*Table1[[#This Row],[x4]] + 1*Table1[[#This Row],[x5]]</f>
        <v>#DIV/0!</v>
      </c>
      <c r="W754" s="23" t="e">
        <f>IF(Table1[[#This Row],[Zscore]]&lt;1.81,1,0)</f>
        <v>#DIV/0!</v>
      </c>
    </row>
    <row r="755" spans="1:23" x14ac:dyDescent="0.45">
      <c r="A755" s="7">
        <v>749</v>
      </c>
      <c r="B755" s="5" t="s">
        <v>1511</v>
      </c>
      <c r="C755" s="6" t="s">
        <v>1512</v>
      </c>
      <c r="D755" s="6" t="s">
        <v>18</v>
      </c>
      <c r="E755" s="8">
        <v>68764173561</v>
      </c>
      <c r="F755" s="8">
        <v>65247513666</v>
      </c>
      <c r="G755" s="8">
        <v>64240604536</v>
      </c>
      <c r="H755" s="8">
        <v>-9002022825</v>
      </c>
      <c r="I755" s="8">
        <v>-3623029814</v>
      </c>
      <c r="J755" s="8"/>
      <c r="K755" s="8">
        <v>64240604536</v>
      </c>
      <c r="L755" s="8">
        <v>23787133223</v>
      </c>
      <c r="M755" s="8">
        <v>9000000000</v>
      </c>
      <c r="N755" s="8">
        <v>6120000000</v>
      </c>
      <c r="O755" s="8">
        <v>9360000000</v>
      </c>
      <c r="P755" s="8">
        <v>7200000000</v>
      </c>
      <c r="Q755" s="18">
        <f>(Table1[[#This Row],[A. TÀI SẢN NGẮN HẠN]]-Table1[[#This Row],[I. Nợ ngắn hạn]])/Table1[[#This Row],[TỔNG CỘNG TÀI SẢN]]</f>
        <v>1.4642932181927281E-2</v>
      </c>
      <c r="R755" s="18">
        <f>Table1[[#This Row],[- LNST chưa phân phối kỳ này]]/Table1[[#This Row],[TỔNG CỘNG TÀI SẢN]]</f>
        <v>-0.13091152498203729</v>
      </c>
      <c r="S755" s="21">
        <f>Table1[[#This Row],[5. Lợi nhuận gộp về bán hàng và cung cấp dịch vụ]]/Table1[[#This Row],[TỔNG CỘNG TÀI SẢN]]</f>
        <v>-5.2687753322390285E-2</v>
      </c>
      <c r="T75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0.12328651103464765</v>
      </c>
      <c r="U755" s="23">
        <f>Table1[[#This Row],[1. Doanh thu bán hàng và cung cấp dịch vụ ]]/Table1[[#This Row],[TỔNG CỘNG TÀI SẢN]]</f>
        <v>0.34592334919721934</v>
      </c>
      <c r="V755" s="23">
        <f>1.2*Table1[[#This Row],[X1]] + 1.4*Table1[[#This Row],[X2]] + 3.3*Table1[[#This Row],[x3]] + 0.6*Table1[[#This Row],[x4]] + 1*Table1[[#This Row],[x5]]</f>
        <v>8.0321053497580563E-2</v>
      </c>
      <c r="W755" s="23">
        <f>IF(Table1[[#This Row],[Zscore]]&lt;1.81,1,0)</f>
        <v>1</v>
      </c>
    </row>
    <row r="756" spans="1:23" hidden="1" x14ac:dyDescent="0.45">
      <c r="A756" s="7">
        <v>750</v>
      </c>
      <c r="B756" s="5" t="s">
        <v>1513</v>
      </c>
      <c r="C756" s="6" t="s">
        <v>1514</v>
      </c>
      <c r="D756" s="6" t="s">
        <v>21</v>
      </c>
      <c r="E756" s="6"/>
      <c r="F756" s="6"/>
      <c r="G756" s="6"/>
      <c r="H756" s="6"/>
      <c r="I756" s="6"/>
      <c r="J756" s="8"/>
      <c r="K756" s="6"/>
      <c r="L756" s="6"/>
      <c r="M756" s="8"/>
      <c r="N756" s="8"/>
      <c r="O756" s="8"/>
      <c r="P756" s="8"/>
      <c r="Q756" s="18" t="e">
        <f>(Table1[[#This Row],[A. TÀI SẢN NGẮN HẠN]]-Table1[[#This Row],[I. Nợ ngắn hạn]])/Table1[[#This Row],[TỔNG CỘNG TÀI SẢN]]</f>
        <v>#DIV/0!</v>
      </c>
      <c r="R756" s="18" t="e">
        <f>Table1[[#This Row],[- LNST chưa phân phối kỳ này]]/Table1[[#This Row],[TỔNG CỘNG TÀI SẢN]]</f>
        <v>#DIV/0!</v>
      </c>
      <c r="S756" s="21" t="e">
        <f>Table1[[#This Row],[5. Lợi nhuận gộp về bán hàng và cung cấp dịch vụ]]/Table1[[#This Row],[TỔNG CỘNG TÀI SẢN]]</f>
        <v>#DIV/0!</v>
      </c>
      <c r="T75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756" s="23" t="e">
        <f>Table1[[#This Row],[1. Doanh thu bán hàng và cung cấp dịch vụ ]]/Table1[[#This Row],[TỔNG CỘNG TÀI SẢN]]</f>
        <v>#DIV/0!</v>
      </c>
      <c r="V756" s="23" t="e">
        <f>1.2*Table1[[#This Row],[X1]] + 1.4*Table1[[#This Row],[X2]] + 3.3*Table1[[#This Row],[x3]] + 0.6*Table1[[#This Row],[x4]] + 1*Table1[[#This Row],[x5]]</f>
        <v>#DIV/0!</v>
      </c>
      <c r="W756" s="23" t="e">
        <f>IF(Table1[[#This Row],[Zscore]]&lt;1.81,1,0)</f>
        <v>#DIV/0!</v>
      </c>
    </row>
    <row r="757" spans="1:23" ht="26.25" hidden="1" x14ac:dyDescent="0.45">
      <c r="A757" s="7">
        <v>751</v>
      </c>
      <c r="B757" s="5" t="s">
        <v>1515</v>
      </c>
      <c r="C757" s="6" t="s">
        <v>1516</v>
      </c>
      <c r="D757" s="6" t="s">
        <v>18</v>
      </c>
      <c r="E757" s="6"/>
      <c r="F757" s="6"/>
      <c r="G757" s="6"/>
      <c r="H757" s="6"/>
      <c r="I757" s="6"/>
      <c r="J757" s="8"/>
      <c r="K757" s="6"/>
      <c r="L757" s="6"/>
      <c r="M757" s="8"/>
      <c r="N757" s="8"/>
      <c r="O757" s="8"/>
      <c r="P757" s="8"/>
      <c r="Q757" s="18" t="e">
        <f>(Table1[[#This Row],[A. TÀI SẢN NGẮN HẠN]]-Table1[[#This Row],[I. Nợ ngắn hạn]])/Table1[[#This Row],[TỔNG CỘNG TÀI SẢN]]</f>
        <v>#DIV/0!</v>
      </c>
      <c r="R757" s="18" t="e">
        <f>Table1[[#This Row],[- LNST chưa phân phối kỳ này]]/Table1[[#This Row],[TỔNG CỘNG TÀI SẢN]]</f>
        <v>#DIV/0!</v>
      </c>
      <c r="S757" s="21" t="e">
        <f>Table1[[#This Row],[5. Lợi nhuận gộp về bán hàng và cung cấp dịch vụ]]/Table1[[#This Row],[TỔNG CỘNG TÀI SẢN]]</f>
        <v>#DIV/0!</v>
      </c>
      <c r="T75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757" s="23" t="e">
        <f>Table1[[#This Row],[1. Doanh thu bán hàng và cung cấp dịch vụ ]]/Table1[[#This Row],[TỔNG CỘNG TÀI SẢN]]</f>
        <v>#DIV/0!</v>
      </c>
      <c r="V757" s="23" t="e">
        <f>1.2*Table1[[#This Row],[X1]] + 1.4*Table1[[#This Row],[X2]] + 3.3*Table1[[#This Row],[x3]] + 0.6*Table1[[#This Row],[x4]] + 1*Table1[[#This Row],[x5]]</f>
        <v>#DIV/0!</v>
      </c>
      <c r="W757" s="23" t="e">
        <f>IF(Table1[[#This Row],[Zscore]]&lt;1.81,1,0)</f>
        <v>#DIV/0!</v>
      </c>
    </row>
    <row r="758" spans="1:23" hidden="1" x14ac:dyDescent="0.45">
      <c r="A758" s="7">
        <v>752</v>
      </c>
      <c r="B758" s="5" t="s">
        <v>1517</v>
      </c>
      <c r="C758" s="6" t="s">
        <v>1518</v>
      </c>
      <c r="D758" s="6" t="s">
        <v>13</v>
      </c>
      <c r="E758" s="6"/>
      <c r="F758" s="6"/>
      <c r="G758" s="6"/>
      <c r="H758" s="6"/>
      <c r="I758" s="6"/>
      <c r="J758" s="8"/>
      <c r="K758" s="6"/>
      <c r="L758" s="6"/>
      <c r="M758" s="8"/>
      <c r="N758" s="8"/>
      <c r="O758" s="8"/>
      <c r="P758" s="8"/>
      <c r="Q758" s="18" t="e">
        <f>(Table1[[#This Row],[A. TÀI SẢN NGẮN HẠN]]-Table1[[#This Row],[I. Nợ ngắn hạn]])/Table1[[#This Row],[TỔNG CỘNG TÀI SẢN]]</f>
        <v>#DIV/0!</v>
      </c>
      <c r="R758" s="18" t="e">
        <f>Table1[[#This Row],[- LNST chưa phân phối kỳ này]]/Table1[[#This Row],[TỔNG CỘNG TÀI SẢN]]</f>
        <v>#DIV/0!</v>
      </c>
      <c r="S758" s="21" t="e">
        <f>Table1[[#This Row],[5. Lợi nhuận gộp về bán hàng và cung cấp dịch vụ]]/Table1[[#This Row],[TỔNG CỘNG TÀI SẢN]]</f>
        <v>#DIV/0!</v>
      </c>
      <c r="T75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758" s="23" t="e">
        <f>Table1[[#This Row],[1. Doanh thu bán hàng và cung cấp dịch vụ ]]/Table1[[#This Row],[TỔNG CỘNG TÀI SẢN]]</f>
        <v>#DIV/0!</v>
      </c>
      <c r="V758" s="23" t="e">
        <f>1.2*Table1[[#This Row],[X1]] + 1.4*Table1[[#This Row],[X2]] + 3.3*Table1[[#This Row],[x3]] + 0.6*Table1[[#This Row],[x4]] + 1*Table1[[#This Row],[x5]]</f>
        <v>#DIV/0!</v>
      </c>
      <c r="W758" s="23" t="e">
        <f>IF(Table1[[#This Row],[Zscore]]&lt;1.81,1,0)</f>
        <v>#DIV/0!</v>
      </c>
    </row>
    <row r="759" spans="1:23" hidden="1" x14ac:dyDescent="0.45">
      <c r="A759" s="7">
        <v>753</v>
      </c>
      <c r="B759" s="5" t="s">
        <v>1519</v>
      </c>
      <c r="C759" s="6" t="s">
        <v>1520</v>
      </c>
      <c r="D759" s="6" t="s">
        <v>13</v>
      </c>
      <c r="E759" s="6"/>
      <c r="F759" s="6"/>
      <c r="G759" s="6"/>
      <c r="H759" s="6"/>
      <c r="I759" s="6"/>
      <c r="J759" s="8"/>
      <c r="K759" s="6"/>
      <c r="L759" s="6"/>
      <c r="M759" s="8"/>
      <c r="N759" s="8"/>
      <c r="O759" s="8"/>
      <c r="P759" s="8"/>
      <c r="Q759" s="18" t="e">
        <f>(Table1[[#This Row],[A. TÀI SẢN NGẮN HẠN]]-Table1[[#This Row],[I. Nợ ngắn hạn]])/Table1[[#This Row],[TỔNG CỘNG TÀI SẢN]]</f>
        <v>#DIV/0!</v>
      </c>
      <c r="R759" s="18" t="e">
        <f>Table1[[#This Row],[- LNST chưa phân phối kỳ này]]/Table1[[#This Row],[TỔNG CỘNG TÀI SẢN]]</f>
        <v>#DIV/0!</v>
      </c>
      <c r="S759" s="21" t="e">
        <f>Table1[[#This Row],[5. Lợi nhuận gộp về bán hàng và cung cấp dịch vụ]]/Table1[[#This Row],[TỔNG CỘNG TÀI SẢN]]</f>
        <v>#DIV/0!</v>
      </c>
      <c r="T75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759" s="23" t="e">
        <f>Table1[[#This Row],[1. Doanh thu bán hàng và cung cấp dịch vụ ]]/Table1[[#This Row],[TỔNG CỘNG TÀI SẢN]]</f>
        <v>#DIV/0!</v>
      </c>
      <c r="V759" s="23" t="e">
        <f>1.2*Table1[[#This Row],[X1]] + 1.4*Table1[[#This Row],[X2]] + 3.3*Table1[[#This Row],[x3]] + 0.6*Table1[[#This Row],[x4]] + 1*Table1[[#This Row],[x5]]</f>
        <v>#DIV/0!</v>
      </c>
      <c r="W759" s="23" t="e">
        <f>IF(Table1[[#This Row],[Zscore]]&lt;1.81,1,0)</f>
        <v>#DIV/0!</v>
      </c>
    </row>
    <row r="760" spans="1:23" ht="26.25" x14ac:dyDescent="0.45">
      <c r="A760" s="7">
        <v>754</v>
      </c>
      <c r="B760" s="5" t="s">
        <v>1521</v>
      </c>
      <c r="C760" s="6" t="s">
        <v>1522</v>
      </c>
      <c r="D760" s="6" t="s">
        <v>36</v>
      </c>
      <c r="E760" s="8">
        <v>175085745818</v>
      </c>
      <c r="F760" s="8">
        <v>98478394658</v>
      </c>
      <c r="G760" s="8">
        <v>22681003869</v>
      </c>
      <c r="H760" s="8">
        <v>6102295152</v>
      </c>
      <c r="I760" s="8">
        <v>25826371526</v>
      </c>
      <c r="J760" s="8"/>
      <c r="K760" s="8">
        <v>24855204869</v>
      </c>
      <c r="L760" s="8">
        <v>62323850763</v>
      </c>
      <c r="M760" s="8">
        <v>115600774400</v>
      </c>
      <c r="N760" s="8">
        <v>117593891200</v>
      </c>
      <c r="O760" s="8">
        <v>111614540800</v>
      </c>
      <c r="P760" s="8">
        <v>121580124800</v>
      </c>
      <c r="Q760" s="18">
        <f>(Table1[[#This Row],[A. TÀI SẢN NGẮN HẠN]]-Table1[[#This Row],[I. Nợ ngắn hạn]])/Table1[[#This Row],[TỔNG CỘNG TÀI SẢN]]</f>
        <v>0.43291582895497777</v>
      </c>
      <c r="R760" s="18">
        <f>Table1[[#This Row],[- LNST chưa phân phối kỳ này]]/Table1[[#This Row],[TỔNG CỘNG TÀI SẢN]]</f>
        <v>3.4853180785735002E-2</v>
      </c>
      <c r="S760" s="21">
        <f>Table1[[#This Row],[5. Lợi nhuận gộp về bán hàng và cung cấp dịch vụ]]/Table1[[#This Row],[TỔNG CỘNG TÀI SẢN]]</f>
        <v>0.14750699096228126</v>
      </c>
      <c r="T76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4.6910630354700054</v>
      </c>
      <c r="U760" s="23">
        <f>Table1[[#This Row],[1. Doanh thu bán hàng và cung cấp dịch vụ ]]/Table1[[#This Row],[TỔNG CỘNG TÀI SẢN]]</f>
        <v>0.35596187726089973</v>
      </c>
      <c r="V760" s="23">
        <f>1.2*Table1[[#This Row],[X1]] + 1.4*Table1[[#This Row],[X2]] + 3.3*Table1[[#This Row],[x3]] + 0.6*Table1[[#This Row],[x4]] + 1*Table1[[#This Row],[x5]]</f>
        <v>4.2256662165644334</v>
      </c>
      <c r="W760" s="23">
        <f>IF(Table1[[#This Row],[Zscore]]&lt;1.81,1,0)</f>
        <v>0</v>
      </c>
    </row>
    <row r="761" spans="1:23" hidden="1" x14ac:dyDescent="0.45">
      <c r="A761" s="7">
        <v>755</v>
      </c>
      <c r="B761" s="5" t="s">
        <v>1523</v>
      </c>
      <c r="C761" s="6" t="s">
        <v>1524</v>
      </c>
      <c r="D761" s="6" t="s">
        <v>13</v>
      </c>
      <c r="E761" s="8">
        <v>317910526326</v>
      </c>
      <c r="F761" s="8">
        <v>312159784297</v>
      </c>
      <c r="G761" s="8">
        <v>8964637821</v>
      </c>
      <c r="H761" s="8">
        <v>-1919600</v>
      </c>
      <c r="I761" s="8">
        <v>6576512051</v>
      </c>
      <c r="J761" s="8"/>
      <c r="K761" s="8">
        <v>9388822857</v>
      </c>
      <c r="L761" s="8">
        <v>116348270657</v>
      </c>
      <c r="M761" s="8"/>
      <c r="N761" s="8"/>
      <c r="O761" s="8"/>
      <c r="P761" s="8"/>
      <c r="Q761" s="18">
        <f>(Table1[[#This Row],[A. TÀI SẢN NGẮN HẠN]]-Table1[[#This Row],[I. Nợ ngắn hạn]])/Table1[[#This Row],[TỔNG CỘNG TÀI SẢN]]</f>
        <v>0.95371219688740294</v>
      </c>
      <c r="R761" s="18">
        <f>Table1[[#This Row],[- LNST chưa phân phối kỳ này]]/Table1[[#This Row],[TỔNG CỘNG TÀI SẢN]]</f>
        <v>-6.0381769115488628E-6</v>
      </c>
      <c r="S761" s="21">
        <f>Table1[[#This Row],[5. Lợi nhuận gộp về bán hàng và cung cấp dịch vụ]]/Table1[[#This Row],[TỔNG CỘNG TÀI SẢN]]</f>
        <v>2.0686675987117657E-2</v>
      </c>
      <c r="T76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761" s="23">
        <f>Table1[[#This Row],[1. Doanh thu bán hàng và cung cấp dịch vụ ]]/Table1[[#This Row],[TỔNG CỘNG TÀI SẢN]]</f>
        <v>0.36597803791401096</v>
      </c>
      <c r="V761" s="23" t="e">
        <f>1.2*Table1[[#This Row],[X1]] + 1.4*Table1[[#This Row],[X2]] + 3.3*Table1[[#This Row],[x3]] + 0.6*Table1[[#This Row],[x4]] + 1*Table1[[#This Row],[x5]]</f>
        <v>#DIV/0!</v>
      </c>
      <c r="W761" s="23" t="e">
        <f>IF(Table1[[#This Row],[Zscore]]&lt;1.81,1,0)</f>
        <v>#DIV/0!</v>
      </c>
    </row>
    <row r="762" spans="1:23" hidden="1" x14ac:dyDescent="0.45">
      <c r="A762" s="7">
        <v>756</v>
      </c>
      <c r="B762" s="5" t="s">
        <v>1525</v>
      </c>
      <c r="C762" s="6" t="s">
        <v>1526</v>
      </c>
      <c r="D762" s="6" t="s">
        <v>36</v>
      </c>
      <c r="E762" s="6"/>
      <c r="F762" s="6"/>
      <c r="G762" s="6"/>
      <c r="H762" s="6"/>
      <c r="I762" s="6"/>
      <c r="J762" s="8"/>
      <c r="K762" s="6"/>
      <c r="L762" s="6"/>
      <c r="M762" s="8">
        <v>25696000000</v>
      </c>
      <c r="N762" s="8"/>
      <c r="O762" s="8">
        <v>25696000000</v>
      </c>
      <c r="P762" s="8">
        <v>15840000000</v>
      </c>
      <c r="Q762" s="18" t="e">
        <f>(Table1[[#This Row],[A. TÀI SẢN NGẮN HẠN]]-Table1[[#This Row],[I. Nợ ngắn hạn]])/Table1[[#This Row],[TỔNG CỘNG TÀI SẢN]]</f>
        <v>#DIV/0!</v>
      </c>
      <c r="R762" s="18" t="e">
        <f>Table1[[#This Row],[- LNST chưa phân phối kỳ này]]/Table1[[#This Row],[TỔNG CỘNG TÀI SẢN]]</f>
        <v>#DIV/0!</v>
      </c>
      <c r="S762" s="21" t="e">
        <f>Table1[[#This Row],[5. Lợi nhuận gộp về bán hàng và cung cấp dịch vụ]]/Table1[[#This Row],[TỔNG CỘNG TÀI SẢN]]</f>
        <v>#DIV/0!</v>
      </c>
      <c r="T76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762" s="23" t="e">
        <f>Table1[[#This Row],[1. Doanh thu bán hàng và cung cấp dịch vụ ]]/Table1[[#This Row],[TỔNG CỘNG TÀI SẢN]]</f>
        <v>#DIV/0!</v>
      </c>
      <c r="V762" s="23" t="e">
        <f>1.2*Table1[[#This Row],[X1]] + 1.4*Table1[[#This Row],[X2]] + 3.3*Table1[[#This Row],[x3]] + 0.6*Table1[[#This Row],[x4]] + 1*Table1[[#This Row],[x5]]</f>
        <v>#DIV/0!</v>
      </c>
      <c r="W762" s="23" t="e">
        <f>IF(Table1[[#This Row],[Zscore]]&lt;1.81,1,0)</f>
        <v>#DIV/0!</v>
      </c>
    </row>
    <row r="763" spans="1:23" x14ac:dyDescent="0.45">
      <c r="A763" s="7">
        <v>757</v>
      </c>
      <c r="B763" s="5" t="s">
        <v>1527</v>
      </c>
      <c r="C763" s="6" t="s">
        <v>1528</v>
      </c>
      <c r="D763" s="6" t="s">
        <v>18</v>
      </c>
      <c r="E763" s="8">
        <v>443305506733</v>
      </c>
      <c r="F763" s="8">
        <v>321044307754</v>
      </c>
      <c r="G763" s="8">
        <v>137276587207</v>
      </c>
      <c r="H763" s="8">
        <v>13270928685</v>
      </c>
      <c r="I763" s="8">
        <v>38384685315</v>
      </c>
      <c r="J763" s="8"/>
      <c r="K763" s="8">
        <v>203695005909</v>
      </c>
      <c r="L763" s="8">
        <v>467975759575</v>
      </c>
      <c r="M763" s="8">
        <v>226000000000</v>
      </c>
      <c r="N763" s="8">
        <v>770000000000</v>
      </c>
      <c r="O763" s="8">
        <v>500000000000</v>
      </c>
      <c r="P763" s="8">
        <v>574000000000</v>
      </c>
      <c r="Q763" s="18">
        <f>(Table1[[#This Row],[A. TÀI SẢN NGẮN HẠN]]-Table1[[#This Row],[I. Nợ ngắn hạn]])/Table1[[#This Row],[TỔNG CỘNG TÀI SẢN]]</f>
        <v>0.41453967468462349</v>
      </c>
      <c r="R763" s="18">
        <f>Table1[[#This Row],[- LNST chưa phân phối kỳ này]]/Table1[[#This Row],[TỔNG CỘNG TÀI SẢN]]</f>
        <v>2.9936304610339508E-2</v>
      </c>
      <c r="S763" s="21">
        <f>Table1[[#This Row],[5. Lợi nhuận gộp về bán hàng và cung cấp dịch vụ]]/Table1[[#This Row],[TỔNG CỘNG TÀI SẢN]]</f>
        <v>8.6587431764340445E-2</v>
      </c>
      <c r="T76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2.5405630230875236</v>
      </c>
      <c r="U763" s="23">
        <f>Table1[[#This Row],[1. Doanh thu bán hàng và cung cấp dịch vụ ]]/Table1[[#This Row],[TỔNG CỘNG TÀI SẢN]]</f>
        <v>1.0556506798749485</v>
      </c>
      <c r="V763" s="23">
        <f>1.2*Table1[[#This Row],[X1]] + 1.4*Table1[[#This Row],[X2]] + 3.3*Table1[[#This Row],[x3]] + 0.6*Table1[[#This Row],[x4]] + 1*Table1[[#This Row],[x5]]</f>
        <v>3.4050854546258096</v>
      </c>
      <c r="W763" s="23">
        <f>IF(Table1[[#This Row],[Zscore]]&lt;1.81,1,0)</f>
        <v>0</v>
      </c>
    </row>
    <row r="764" spans="1:23" hidden="1" x14ac:dyDescent="0.45">
      <c r="A764" s="7">
        <v>758</v>
      </c>
      <c r="B764" s="5" t="s">
        <v>1529</v>
      </c>
      <c r="C764" s="6" t="s">
        <v>1530</v>
      </c>
      <c r="D764" s="6" t="s">
        <v>13</v>
      </c>
      <c r="E764" s="6"/>
      <c r="F764" s="6"/>
      <c r="G764" s="6"/>
      <c r="H764" s="6"/>
      <c r="I764" s="6"/>
      <c r="J764" s="8"/>
      <c r="K764" s="6"/>
      <c r="L764" s="6"/>
      <c r="M764" s="8"/>
      <c r="N764" s="8"/>
      <c r="O764" s="8"/>
      <c r="P764" s="8"/>
      <c r="Q764" s="18" t="e">
        <f>(Table1[[#This Row],[A. TÀI SẢN NGẮN HẠN]]-Table1[[#This Row],[I. Nợ ngắn hạn]])/Table1[[#This Row],[TỔNG CỘNG TÀI SẢN]]</f>
        <v>#DIV/0!</v>
      </c>
      <c r="R764" s="18" t="e">
        <f>Table1[[#This Row],[- LNST chưa phân phối kỳ này]]/Table1[[#This Row],[TỔNG CỘNG TÀI SẢN]]</f>
        <v>#DIV/0!</v>
      </c>
      <c r="S764" s="21" t="e">
        <f>Table1[[#This Row],[5. Lợi nhuận gộp về bán hàng và cung cấp dịch vụ]]/Table1[[#This Row],[TỔNG CỘNG TÀI SẢN]]</f>
        <v>#DIV/0!</v>
      </c>
      <c r="T76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764" s="23" t="e">
        <f>Table1[[#This Row],[1. Doanh thu bán hàng và cung cấp dịch vụ ]]/Table1[[#This Row],[TỔNG CỘNG TÀI SẢN]]</f>
        <v>#DIV/0!</v>
      </c>
      <c r="V764" s="23" t="e">
        <f>1.2*Table1[[#This Row],[X1]] + 1.4*Table1[[#This Row],[X2]] + 3.3*Table1[[#This Row],[x3]] + 0.6*Table1[[#This Row],[x4]] + 1*Table1[[#This Row],[x5]]</f>
        <v>#DIV/0!</v>
      </c>
      <c r="W764" s="23" t="e">
        <f>IF(Table1[[#This Row],[Zscore]]&lt;1.81,1,0)</f>
        <v>#DIV/0!</v>
      </c>
    </row>
    <row r="765" spans="1:23" hidden="1" x14ac:dyDescent="0.45">
      <c r="A765" s="7">
        <v>759</v>
      </c>
      <c r="B765" s="5" t="s">
        <v>1531</v>
      </c>
      <c r="C765" s="6" t="s">
        <v>1144</v>
      </c>
      <c r="D765" s="6" t="s">
        <v>13</v>
      </c>
      <c r="E765" s="6"/>
      <c r="F765" s="6"/>
      <c r="G765" s="6"/>
      <c r="H765" s="6"/>
      <c r="I765" s="6"/>
      <c r="J765" s="8"/>
      <c r="K765" s="6"/>
      <c r="L765" s="6"/>
      <c r="M765" s="8"/>
      <c r="N765" s="8"/>
      <c r="O765" s="8"/>
      <c r="P765" s="8"/>
      <c r="Q765" s="18" t="e">
        <f>(Table1[[#This Row],[A. TÀI SẢN NGẮN HẠN]]-Table1[[#This Row],[I. Nợ ngắn hạn]])/Table1[[#This Row],[TỔNG CỘNG TÀI SẢN]]</f>
        <v>#DIV/0!</v>
      </c>
      <c r="R765" s="18" t="e">
        <f>Table1[[#This Row],[- LNST chưa phân phối kỳ này]]/Table1[[#This Row],[TỔNG CỘNG TÀI SẢN]]</f>
        <v>#DIV/0!</v>
      </c>
      <c r="S765" s="21" t="e">
        <f>Table1[[#This Row],[5. Lợi nhuận gộp về bán hàng và cung cấp dịch vụ]]/Table1[[#This Row],[TỔNG CỘNG TÀI SẢN]]</f>
        <v>#DIV/0!</v>
      </c>
      <c r="T76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765" s="23" t="e">
        <f>Table1[[#This Row],[1. Doanh thu bán hàng và cung cấp dịch vụ ]]/Table1[[#This Row],[TỔNG CỘNG TÀI SẢN]]</f>
        <v>#DIV/0!</v>
      </c>
      <c r="V765" s="23" t="e">
        <f>1.2*Table1[[#This Row],[X1]] + 1.4*Table1[[#This Row],[X2]] + 3.3*Table1[[#This Row],[x3]] + 0.6*Table1[[#This Row],[x4]] + 1*Table1[[#This Row],[x5]]</f>
        <v>#DIV/0!</v>
      </c>
      <c r="W765" s="23" t="e">
        <f>IF(Table1[[#This Row],[Zscore]]&lt;1.81,1,0)</f>
        <v>#DIV/0!</v>
      </c>
    </row>
    <row r="766" spans="1:23" hidden="1" x14ac:dyDescent="0.45">
      <c r="A766" s="7">
        <v>760</v>
      </c>
      <c r="B766" s="5" t="s">
        <v>1532</v>
      </c>
      <c r="C766" s="6" t="s">
        <v>1533</v>
      </c>
      <c r="D766" s="6" t="s">
        <v>18</v>
      </c>
      <c r="E766" s="6"/>
      <c r="F766" s="6"/>
      <c r="G766" s="6"/>
      <c r="H766" s="6"/>
      <c r="I766" s="6"/>
      <c r="J766" s="8"/>
      <c r="K766" s="6"/>
      <c r="L766" s="6"/>
      <c r="M766" s="8"/>
      <c r="N766" s="8"/>
      <c r="O766" s="8"/>
      <c r="P766" s="8"/>
      <c r="Q766" s="18" t="e">
        <f>(Table1[[#This Row],[A. TÀI SẢN NGẮN HẠN]]-Table1[[#This Row],[I. Nợ ngắn hạn]])/Table1[[#This Row],[TỔNG CỘNG TÀI SẢN]]</f>
        <v>#DIV/0!</v>
      </c>
      <c r="R766" s="18" t="e">
        <f>Table1[[#This Row],[- LNST chưa phân phối kỳ này]]/Table1[[#This Row],[TỔNG CỘNG TÀI SẢN]]</f>
        <v>#DIV/0!</v>
      </c>
      <c r="S766" s="21" t="e">
        <f>Table1[[#This Row],[5. Lợi nhuận gộp về bán hàng và cung cấp dịch vụ]]/Table1[[#This Row],[TỔNG CỘNG TÀI SẢN]]</f>
        <v>#DIV/0!</v>
      </c>
      <c r="T76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766" s="23" t="e">
        <f>Table1[[#This Row],[1. Doanh thu bán hàng và cung cấp dịch vụ ]]/Table1[[#This Row],[TỔNG CỘNG TÀI SẢN]]</f>
        <v>#DIV/0!</v>
      </c>
      <c r="V766" s="23" t="e">
        <f>1.2*Table1[[#This Row],[X1]] + 1.4*Table1[[#This Row],[X2]] + 3.3*Table1[[#This Row],[x3]] + 0.6*Table1[[#This Row],[x4]] + 1*Table1[[#This Row],[x5]]</f>
        <v>#DIV/0!</v>
      </c>
      <c r="W766" s="23" t="e">
        <f>IF(Table1[[#This Row],[Zscore]]&lt;1.81,1,0)</f>
        <v>#DIV/0!</v>
      </c>
    </row>
    <row r="767" spans="1:23" hidden="1" x14ac:dyDescent="0.45">
      <c r="A767" s="7">
        <v>761</v>
      </c>
      <c r="B767" s="5" t="s">
        <v>1534</v>
      </c>
      <c r="C767" s="6" t="s">
        <v>1535</v>
      </c>
      <c r="D767" s="6" t="s">
        <v>18</v>
      </c>
      <c r="E767" s="6"/>
      <c r="F767" s="6"/>
      <c r="G767" s="6"/>
      <c r="H767" s="6"/>
      <c r="I767" s="6"/>
      <c r="J767" s="8"/>
      <c r="K767" s="6"/>
      <c r="L767" s="6"/>
      <c r="M767" s="8"/>
      <c r="N767" s="8"/>
      <c r="O767" s="8"/>
      <c r="P767" s="8"/>
      <c r="Q767" s="18" t="e">
        <f>(Table1[[#This Row],[A. TÀI SẢN NGẮN HẠN]]-Table1[[#This Row],[I. Nợ ngắn hạn]])/Table1[[#This Row],[TỔNG CỘNG TÀI SẢN]]</f>
        <v>#DIV/0!</v>
      </c>
      <c r="R767" s="18" t="e">
        <f>Table1[[#This Row],[- LNST chưa phân phối kỳ này]]/Table1[[#This Row],[TỔNG CỘNG TÀI SẢN]]</f>
        <v>#DIV/0!</v>
      </c>
      <c r="S767" s="21" t="e">
        <f>Table1[[#This Row],[5. Lợi nhuận gộp về bán hàng và cung cấp dịch vụ]]/Table1[[#This Row],[TỔNG CỘNG TÀI SẢN]]</f>
        <v>#DIV/0!</v>
      </c>
      <c r="T76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767" s="23" t="e">
        <f>Table1[[#This Row],[1. Doanh thu bán hàng và cung cấp dịch vụ ]]/Table1[[#This Row],[TỔNG CỘNG TÀI SẢN]]</f>
        <v>#DIV/0!</v>
      </c>
      <c r="V767" s="23" t="e">
        <f>1.2*Table1[[#This Row],[X1]] + 1.4*Table1[[#This Row],[X2]] + 3.3*Table1[[#This Row],[x3]] + 0.6*Table1[[#This Row],[x4]] + 1*Table1[[#This Row],[x5]]</f>
        <v>#DIV/0!</v>
      </c>
      <c r="W767" s="23" t="e">
        <f>IF(Table1[[#This Row],[Zscore]]&lt;1.81,1,0)</f>
        <v>#DIV/0!</v>
      </c>
    </row>
    <row r="768" spans="1:23" ht="26.25" x14ac:dyDescent="0.45">
      <c r="A768" s="7">
        <v>762</v>
      </c>
      <c r="B768" s="5" t="s">
        <v>1536</v>
      </c>
      <c r="C768" s="6" t="s">
        <v>1537</v>
      </c>
      <c r="D768" s="6" t="s">
        <v>21</v>
      </c>
      <c r="E768" s="8">
        <v>273270407000000</v>
      </c>
      <c r="F768" s="6"/>
      <c r="G768" s="6"/>
      <c r="H768" s="6"/>
      <c r="I768" s="6"/>
      <c r="J768" s="8"/>
      <c r="K768" s="8">
        <v>247264064000000</v>
      </c>
      <c r="L768" s="8">
        <v>15521993000000</v>
      </c>
      <c r="M768" s="8">
        <v>36323051836500</v>
      </c>
      <c r="N768" s="8">
        <v>39675948929100</v>
      </c>
      <c r="O768" s="8">
        <v>42563165869950</v>
      </c>
      <c r="P768" s="8">
        <v>48430735782000</v>
      </c>
      <c r="Q768" s="18">
        <f>(Table1[[#This Row],[A. TÀI SẢN NGẮN HẠN]]-Table1[[#This Row],[I. Nợ ngắn hạn]])/Table1[[#This Row],[TỔNG CỘNG TÀI SẢN]]</f>
        <v>0</v>
      </c>
      <c r="R768" s="18">
        <f>Table1[[#This Row],[- LNST chưa phân phối kỳ này]]/Table1[[#This Row],[TỔNG CỘNG TÀI SẢN]]</f>
        <v>0</v>
      </c>
      <c r="S768" s="21">
        <f>Table1[[#This Row],[5. Lợi nhuận gộp về bán hàng và cung cấp dịch vụ]]/Table1[[#This Row],[TỔNG CỘNG TÀI SẢN]]</f>
        <v>0</v>
      </c>
      <c r="T76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0.16884065128197318</v>
      </c>
      <c r="U768" s="23">
        <f>Table1[[#This Row],[1. Doanh thu bán hàng và cung cấp dịch vụ ]]/Table1[[#This Row],[TỔNG CỘNG TÀI SẢN]]</f>
        <v>5.6800855864352705E-2</v>
      </c>
      <c r="V768" s="23">
        <f>1.2*Table1[[#This Row],[X1]] + 1.4*Table1[[#This Row],[X2]] + 3.3*Table1[[#This Row],[x3]] + 0.6*Table1[[#This Row],[x4]] + 1*Table1[[#This Row],[x5]]</f>
        <v>0.15810524663353662</v>
      </c>
      <c r="W768" s="23">
        <f>IF(Table1[[#This Row],[Zscore]]&lt;1.81,1,0)</f>
        <v>1</v>
      </c>
    </row>
    <row r="769" spans="1:23" x14ac:dyDescent="0.45">
      <c r="A769" s="7">
        <v>763</v>
      </c>
      <c r="B769" s="5" t="s">
        <v>1538</v>
      </c>
      <c r="C769" s="6" t="s">
        <v>1539</v>
      </c>
      <c r="D769" s="6" t="s">
        <v>18</v>
      </c>
      <c r="E769" s="8">
        <v>458449771173</v>
      </c>
      <c r="F769" s="8">
        <v>158421619891</v>
      </c>
      <c r="G769" s="8">
        <v>16409263119</v>
      </c>
      <c r="H769" s="8">
        <v>54044837221</v>
      </c>
      <c r="I769" s="8">
        <v>1617438354</v>
      </c>
      <c r="J769" s="8"/>
      <c r="K769" s="8">
        <v>16448743119</v>
      </c>
      <c r="L769" s="8">
        <v>11672776512</v>
      </c>
      <c r="M769" s="8">
        <v>839906620500</v>
      </c>
      <c r="N769" s="8">
        <v>964608913500</v>
      </c>
      <c r="O769" s="8">
        <v>788558617500</v>
      </c>
      <c r="P769" s="8">
        <v>872916051000</v>
      </c>
      <c r="Q769" s="18">
        <f>(Table1[[#This Row],[A. TÀI SẢN NGẮN HẠN]]-Table1[[#This Row],[I. Nợ ngắn hạn]])/Table1[[#This Row],[TỔNG CỘNG TÀI SẢN]]</f>
        <v>0.30976644706058848</v>
      </c>
      <c r="R769" s="18">
        <f>Table1[[#This Row],[- LNST chưa phân phối kỳ này]]/Table1[[#This Row],[TỔNG CỘNG TÀI SẢN]]</f>
        <v>0.11788605997712608</v>
      </c>
      <c r="S769" s="21">
        <f>Table1[[#This Row],[5. Lợi nhuận gộp về bán hàng và cung cấp dịch vụ]]/Table1[[#This Row],[TỔNG CỘNG TÀI SẢN]]</f>
        <v>3.5280601184761976E-3</v>
      </c>
      <c r="T76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52.678648110450801</v>
      </c>
      <c r="U769" s="23">
        <f>Table1[[#This Row],[1. Doanh thu bán hàng và cung cấp dịch vụ ]]/Table1[[#This Row],[TỔNG CỘNG TÀI SẢN]]</f>
        <v>2.5461407652432173E-2</v>
      </c>
      <c r="V769" s="23">
        <f>1.2*Table1[[#This Row],[X1]] + 1.4*Table1[[#This Row],[X2]] + 3.3*Table1[[#This Row],[x3]] + 0.6*Table1[[#This Row],[x4]] + 1*Table1[[#This Row],[x5]]</f>
        <v>32.18105309275456</v>
      </c>
      <c r="W769" s="23">
        <f>IF(Table1[[#This Row],[Zscore]]&lt;1.81,1,0)</f>
        <v>0</v>
      </c>
    </row>
    <row r="770" spans="1:23" ht="26.25" x14ac:dyDescent="0.45">
      <c r="A770" s="7">
        <v>764</v>
      </c>
      <c r="B770" s="5" t="s">
        <v>1540</v>
      </c>
      <c r="C770" s="6" t="s">
        <v>1541</v>
      </c>
      <c r="D770" s="6" t="s">
        <v>36</v>
      </c>
      <c r="E770" s="8">
        <v>663628067358</v>
      </c>
      <c r="F770" s="8">
        <v>597226292073</v>
      </c>
      <c r="G770" s="8">
        <v>154207945473</v>
      </c>
      <c r="H770" s="8">
        <v>64124998516</v>
      </c>
      <c r="I770" s="8">
        <v>294549402795</v>
      </c>
      <c r="J770" s="8"/>
      <c r="K770" s="8">
        <v>169942679173</v>
      </c>
      <c r="L770" s="8">
        <v>1052358300377</v>
      </c>
      <c r="M770" s="8">
        <v>420000000000</v>
      </c>
      <c r="N770" s="8">
        <v>352500000000</v>
      </c>
      <c r="O770" s="8">
        <v>384000000000</v>
      </c>
      <c r="P770" s="8">
        <v>390000000000</v>
      </c>
      <c r="Q770" s="18">
        <f>(Table1[[#This Row],[A. TÀI SẢN NGẮN HẠN]]-Table1[[#This Row],[I. Nợ ngắn hạn]])/Table1[[#This Row],[TỔNG CỘNG TÀI SẢN]]</f>
        <v>0.66757023759365774</v>
      </c>
      <c r="R770" s="18">
        <f>Table1[[#This Row],[- LNST chưa phân phối kỳ này]]/Table1[[#This Row],[TỔNG CỘNG TÀI SẢN]]</f>
        <v>9.6627918061529497E-2</v>
      </c>
      <c r="S770" s="21">
        <f>Table1[[#This Row],[5. Lợi nhuận gộp về bán hàng và cung cấp dịch vụ]]/Table1[[#This Row],[TỔNG CỘNG TÀI SẢN]]</f>
        <v>0.44384711449538905</v>
      </c>
      <c r="T77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2.2750318041439108</v>
      </c>
      <c r="U770" s="23">
        <f>Table1[[#This Row],[1. Doanh thu bán hàng và cung cấp dịch vụ ]]/Table1[[#This Row],[TỔNG CỘNG TÀI SẢN]]</f>
        <v>1.5857652081633493</v>
      </c>
      <c r="V770" s="23">
        <f>1.2*Table1[[#This Row],[X1]] + 1.4*Table1[[#This Row],[X2]] + 3.3*Table1[[#This Row],[x3]] + 0.6*Table1[[#This Row],[x4]] + 1*Table1[[#This Row],[x5]]</f>
        <v>5.3518431388830106</v>
      </c>
      <c r="W770" s="23">
        <f>IF(Table1[[#This Row],[Zscore]]&lt;1.81,1,0)</f>
        <v>0</v>
      </c>
    </row>
    <row r="771" spans="1:23" ht="26.25" x14ac:dyDescent="0.45">
      <c r="A771" s="7">
        <v>765</v>
      </c>
      <c r="B771" s="5" t="s">
        <v>1542</v>
      </c>
      <c r="C771" s="6" t="s">
        <v>1543</v>
      </c>
      <c r="D771" s="6" t="s">
        <v>18</v>
      </c>
      <c r="E771" s="8">
        <v>1151560701808</v>
      </c>
      <c r="F771" s="8">
        <v>838612524697</v>
      </c>
      <c r="G771" s="8">
        <v>842112134630</v>
      </c>
      <c r="H771" s="8">
        <v>-133272651993</v>
      </c>
      <c r="I771" s="8">
        <v>4416205378</v>
      </c>
      <c r="J771" s="8"/>
      <c r="K771" s="8">
        <v>913632562743</v>
      </c>
      <c r="L771" s="8">
        <v>10286089934</v>
      </c>
      <c r="M771" s="8">
        <v>108977186400</v>
      </c>
      <c r="N771" s="8">
        <v>131680766900</v>
      </c>
      <c r="O771" s="8">
        <v>99895754200</v>
      </c>
      <c r="P771" s="8">
        <v>154384347400</v>
      </c>
      <c r="Q771" s="18">
        <f>(Table1[[#This Row],[A. TÀI SẢN NGẮN HẠN]]-Table1[[#This Row],[I. Nợ ngắn hạn]])/Table1[[#This Row],[TỔNG CỘNG TÀI SẢN]]</f>
        <v>-3.0390147280169089E-3</v>
      </c>
      <c r="R771" s="18">
        <f>Table1[[#This Row],[- LNST chưa phân phối kỳ này]]/Table1[[#This Row],[TỔNG CỘNG TÀI SẢN]]</f>
        <v>-0.11573219873147476</v>
      </c>
      <c r="S771" s="21">
        <f>Table1[[#This Row],[5. Lợi nhuận gộp về bán hàng và cung cấp dịch vụ]]/Table1[[#This Row],[TỔNG CỘNG TÀI SẢN]]</f>
        <v>3.8349740235719808E-3</v>
      </c>
      <c r="T77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0.13543137446142653</v>
      </c>
      <c r="U771" s="23">
        <f>Table1[[#This Row],[1. Doanh thu bán hàng và cung cấp dịch vụ ]]/Table1[[#This Row],[TỔNG CỘNG TÀI SẢN]]</f>
        <v>8.9323037142986852E-3</v>
      </c>
      <c r="V771" s="23">
        <f>1.2*Table1[[#This Row],[X1]] + 1.4*Table1[[#This Row],[X2]] + 3.3*Table1[[#This Row],[x3]] + 0.6*Table1[[#This Row],[x4]] + 1*Table1[[#This Row],[x5]]</f>
        <v>-6.2825353228742831E-2</v>
      </c>
      <c r="W771" s="23">
        <f>IF(Table1[[#This Row],[Zscore]]&lt;1.81,1,0)</f>
        <v>1</v>
      </c>
    </row>
    <row r="772" spans="1:23" ht="26.25" x14ac:dyDescent="0.45">
      <c r="A772" s="7">
        <v>766</v>
      </c>
      <c r="B772" s="5" t="s">
        <v>1544</v>
      </c>
      <c r="C772" s="6" t="s">
        <v>1545</v>
      </c>
      <c r="D772" s="6" t="s">
        <v>21</v>
      </c>
      <c r="E772" s="8">
        <v>2494782596767</v>
      </c>
      <c r="F772" s="8">
        <v>1701023093318</v>
      </c>
      <c r="G772" s="8">
        <v>693389034511</v>
      </c>
      <c r="H772" s="8">
        <v>127107771109</v>
      </c>
      <c r="I772" s="8">
        <v>270168372526</v>
      </c>
      <c r="J772" s="8"/>
      <c r="K772" s="8">
        <v>948892455905</v>
      </c>
      <c r="L772" s="8">
        <v>1517735622129</v>
      </c>
      <c r="M772" s="8">
        <v>2116384985000</v>
      </c>
      <c r="N772" s="8">
        <v>2708187013800</v>
      </c>
      <c r="O772" s="8">
        <v>2278801540800</v>
      </c>
      <c r="P772" s="8">
        <v>2401006284400</v>
      </c>
      <c r="Q772" s="18">
        <f>(Table1[[#This Row],[A. TÀI SẢN NGẮN HẠN]]-Table1[[#This Row],[I. Nợ ngắn hạn]])/Table1[[#This Row],[TỔNG CỘNG TÀI SẢN]]</f>
        <v>0.40389653996817099</v>
      </c>
      <c r="R772" s="18">
        <f>Table1[[#This Row],[- LNST chưa phân phối kỳ này]]/Table1[[#This Row],[TỔNG CỘNG TÀI SẢN]]</f>
        <v>5.0949437948508834E-2</v>
      </c>
      <c r="S772" s="21">
        <f>Table1[[#This Row],[5. Lợi nhuận gộp về bán hàng và cung cấp dịch vụ]]/Table1[[#This Row],[TỔNG CỘNG TÀI SẢN]]</f>
        <v>0.10829335304651892</v>
      </c>
      <c r="T77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2.5040719221798584</v>
      </c>
      <c r="U772" s="23">
        <f>Table1[[#This Row],[1. Doanh thu bán hàng và cung cấp dịch vụ ]]/Table1[[#This Row],[TỔNG CỘNG TÀI SẢN]]</f>
        <v>0.60836388072284953</v>
      </c>
      <c r="V772" s="23">
        <f>1.2*Table1[[#This Row],[X1]] + 1.4*Table1[[#This Row],[X2]] + 3.3*Table1[[#This Row],[x3]] + 0.6*Table1[[#This Row],[x4]] + 1*Table1[[#This Row],[x5]]</f>
        <v>3.0241801601739948</v>
      </c>
      <c r="W772" s="23">
        <f>IF(Table1[[#This Row],[Zscore]]&lt;1.81,1,0)</f>
        <v>0</v>
      </c>
    </row>
    <row r="773" spans="1:23" hidden="1" x14ac:dyDescent="0.45">
      <c r="A773" s="7">
        <v>767</v>
      </c>
      <c r="B773" s="5" t="s">
        <v>1546</v>
      </c>
      <c r="C773" s="6" t="s">
        <v>1547</v>
      </c>
      <c r="D773" s="6" t="s">
        <v>13</v>
      </c>
      <c r="E773" s="6"/>
      <c r="F773" s="6"/>
      <c r="G773" s="6"/>
      <c r="H773" s="6"/>
      <c r="I773" s="6"/>
      <c r="J773" s="8"/>
      <c r="K773" s="6"/>
      <c r="L773" s="6"/>
      <c r="M773" s="8"/>
      <c r="N773" s="8"/>
      <c r="O773" s="8"/>
      <c r="P773" s="8"/>
      <c r="Q773" s="18" t="e">
        <f>(Table1[[#This Row],[A. TÀI SẢN NGẮN HẠN]]-Table1[[#This Row],[I. Nợ ngắn hạn]])/Table1[[#This Row],[TỔNG CỘNG TÀI SẢN]]</f>
        <v>#DIV/0!</v>
      </c>
      <c r="R773" s="18" t="e">
        <f>Table1[[#This Row],[- LNST chưa phân phối kỳ này]]/Table1[[#This Row],[TỔNG CỘNG TÀI SẢN]]</f>
        <v>#DIV/0!</v>
      </c>
      <c r="S773" s="21" t="e">
        <f>Table1[[#This Row],[5. Lợi nhuận gộp về bán hàng và cung cấp dịch vụ]]/Table1[[#This Row],[TỔNG CỘNG TÀI SẢN]]</f>
        <v>#DIV/0!</v>
      </c>
      <c r="T77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773" s="23" t="e">
        <f>Table1[[#This Row],[1. Doanh thu bán hàng và cung cấp dịch vụ ]]/Table1[[#This Row],[TỔNG CỘNG TÀI SẢN]]</f>
        <v>#DIV/0!</v>
      </c>
      <c r="V773" s="23" t="e">
        <f>1.2*Table1[[#This Row],[X1]] + 1.4*Table1[[#This Row],[X2]] + 3.3*Table1[[#This Row],[x3]] + 0.6*Table1[[#This Row],[x4]] + 1*Table1[[#This Row],[x5]]</f>
        <v>#DIV/0!</v>
      </c>
      <c r="W773" s="23" t="e">
        <f>IF(Table1[[#This Row],[Zscore]]&lt;1.81,1,0)</f>
        <v>#DIV/0!</v>
      </c>
    </row>
    <row r="774" spans="1:23" hidden="1" x14ac:dyDescent="0.45">
      <c r="A774" s="7">
        <v>768</v>
      </c>
      <c r="B774" s="5" t="s">
        <v>1548</v>
      </c>
      <c r="C774" s="6" t="s">
        <v>1549</v>
      </c>
      <c r="D774" s="6" t="s">
        <v>13</v>
      </c>
      <c r="E774" s="6"/>
      <c r="F774" s="6"/>
      <c r="G774" s="6"/>
      <c r="H774" s="6"/>
      <c r="I774" s="6"/>
      <c r="J774" s="8"/>
      <c r="K774" s="6"/>
      <c r="L774" s="6"/>
      <c r="M774" s="8"/>
      <c r="N774" s="8"/>
      <c r="O774" s="8"/>
      <c r="P774" s="8"/>
      <c r="Q774" s="18" t="e">
        <f>(Table1[[#This Row],[A. TÀI SẢN NGẮN HẠN]]-Table1[[#This Row],[I. Nợ ngắn hạn]])/Table1[[#This Row],[TỔNG CỘNG TÀI SẢN]]</f>
        <v>#DIV/0!</v>
      </c>
      <c r="R774" s="18" t="e">
        <f>Table1[[#This Row],[- LNST chưa phân phối kỳ này]]/Table1[[#This Row],[TỔNG CỘNG TÀI SẢN]]</f>
        <v>#DIV/0!</v>
      </c>
      <c r="S774" s="21" t="e">
        <f>Table1[[#This Row],[5. Lợi nhuận gộp về bán hàng và cung cấp dịch vụ]]/Table1[[#This Row],[TỔNG CỘNG TÀI SẢN]]</f>
        <v>#DIV/0!</v>
      </c>
      <c r="T77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774" s="23" t="e">
        <f>Table1[[#This Row],[1. Doanh thu bán hàng và cung cấp dịch vụ ]]/Table1[[#This Row],[TỔNG CỘNG TÀI SẢN]]</f>
        <v>#DIV/0!</v>
      </c>
      <c r="V774" s="23" t="e">
        <f>1.2*Table1[[#This Row],[X1]] + 1.4*Table1[[#This Row],[X2]] + 3.3*Table1[[#This Row],[x3]] + 0.6*Table1[[#This Row],[x4]] + 1*Table1[[#This Row],[x5]]</f>
        <v>#DIV/0!</v>
      </c>
      <c r="W774" s="23" t="e">
        <f>IF(Table1[[#This Row],[Zscore]]&lt;1.81,1,0)</f>
        <v>#DIV/0!</v>
      </c>
    </row>
    <row r="775" spans="1:23" hidden="1" x14ac:dyDescent="0.45">
      <c r="A775" s="7">
        <v>769</v>
      </c>
      <c r="B775" s="5" t="s">
        <v>1550</v>
      </c>
      <c r="C775" s="6" t="s">
        <v>1551</v>
      </c>
      <c r="D775" s="6" t="s">
        <v>18</v>
      </c>
      <c r="E775" s="6"/>
      <c r="F775" s="6"/>
      <c r="G775" s="6"/>
      <c r="H775" s="6"/>
      <c r="I775" s="6"/>
      <c r="J775" s="8"/>
      <c r="K775" s="6"/>
      <c r="L775" s="6"/>
      <c r="M775" s="8"/>
      <c r="N775" s="8"/>
      <c r="O775" s="8"/>
      <c r="P775" s="8"/>
      <c r="Q775" s="18" t="e">
        <f>(Table1[[#This Row],[A. TÀI SẢN NGẮN HẠN]]-Table1[[#This Row],[I. Nợ ngắn hạn]])/Table1[[#This Row],[TỔNG CỘNG TÀI SẢN]]</f>
        <v>#DIV/0!</v>
      </c>
      <c r="R775" s="18" t="e">
        <f>Table1[[#This Row],[- LNST chưa phân phối kỳ này]]/Table1[[#This Row],[TỔNG CỘNG TÀI SẢN]]</f>
        <v>#DIV/0!</v>
      </c>
      <c r="S775" s="21" t="e">
        <f>Table1[[#This Row],[5. Lợi nhuận gộp về bán hàng và cung cấp dịch vụ]]/Table1[[#This Row],[TỔNG CỘNG TÀI SẢN]]</f>
        <v>#DIV/0!</v>
      </c>
      <c r="T77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775" s="23" t="e">
        <f>Table1[[#This Row],[1. Doanh thu bán hàng và cung cấp dịch vụ ]]/Table1[[#This Row],[TỔNG CỘNG TÀI SẢN]]</f>
        <v>#DIV/0!</v>
      </c>
      <c r="V775" s="23" t="e">
        <f>1.2*Table1[[#This Row],[X1]] + 1.4*Table1[[#This Row],[X2]] + 3.3*Table1[[#This Row],[x3]] + 0.6*Table1[[#This Row],[x4]] + 1*Table1[[#This Row],[x5]]</f>
        <v>#DIV/0!</v>
      </c>
      <c r="W775" s="23" t="e">
        <f>IF(Table1[[#This Row],[Zscore]]&lt;1.81,1,0)</f>
        <v>#DIV/0!</v>
      </c>
    </row>
    <row r="776" spans="1:23" hidden="1" x14ac:dyDescent="0.45">
      <c r="A776" s="7">
        <v>770</v>
      </c>
      <c r="B776" s="5" t="s">
        <v>1552</v>
      </c>
      <c r="C776" s="6" t="s">
        <v>1553</v>
      </c>
      <c r="D776" s="6" t="s">
        <v>18</v>
      </c>
      <c r="E776" s="6"/>
      <c r="F776" s="6"/>
      <c r="G776" s="6"/>
      <c r="H776" s="6"/>
      <c r="I776" s="6"/>
      <c r="J776" s="8"/>
      <c r="K776" s="6"/>
      <c r="L776" s="6"/>
      <c r="M776" s="8"/>
      <c r="N776" s="8"/>
      <c r="O776" s="8"/>
      <c r="P776" s="8"/>
      <c r="Q776" s="18" t="e">
        <f>(Table1[[#This Row],[A. TÀI SẢN NGẮN HẠN]]-Table1[[#This Row],[I. Nợ ngắn hạn]])/Table1[[#This Row],[TỔNG CỘNG TÀI SẢN]]</f>
        <v>#DIV/0!</v>
      </c>
      <c r="R776" s="18" t="e">
        <f>Table1[[#This Row],[- LNST chưa phân phối kỳ này]]/Table1[[#This Row],[TỔNG CỘNG TÀI SẢN]]</f>
        <v>#DIV/0!</v>
      </c>
      <c r="S776" s="21" t="e">
        <f>Table1[[#This Row],[5. Lợi nhuận gộp về bán hàng và cung cấp dịch vụ]]/Table1[[#This Row],[TỔNG CỘNG TÀI SẢN]]</f>
        <v>#DIV/0!</v>
      </c>
      <c r="T77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776" s="23" t="e">
        <f>Table1[[#This Row],[1. Doanh thu bán hàng và cung cấp dịch vụ ]]/Table1[[#This Row],[TỔNG CỘNG TÀI SẢN]]</f>
        <v>#DIV/0!</v>
      </c>
      <c r="V776" s="23" t="e">
        <f>1.2*Table1[[#This Row],[X1]] + 1.4*Table1[[#This Row],[X2]] + 3.3*Table1[[#This Row],[x3]] + 0.6*Table1[[#This Row],[x4]] + 1*Table1[[#This Row],[x5]]</f>
        <v>#DIV/0!</v>
      </c>
      <c r="W776" s="23" t="e">
        <f>IF(Table1[[#This Row],[Zscore]]&lt;1.81,1,0)</f>
        <v>#DIV/0!</v>
      </c>
    </row>
    <row r="777" spans="1:23" ht="26.25" x14ac:dyDescent="0.45">
      <c r="A777" s="7">
        <v>771</v>
      </c>
      <c r="B777" s="5" t="s">
        <v>1554</v>
      </c>
      <c r="C777" s="6" t="s">
        <v>1555</v>
      </c>
      <c r="D777" s="6" t="s">
        <v>18</v>
      </c>
      <c r="E777" s="8">
        <v>777694175227</v>
      </c>
      <c r="F777" s="8">
        <v>635261293076</v>
      </c>
      <c r="G777" s="8">
        <v>443593273961</v>
      </c>
      <c r="H777" s="8">
        <v>69472705932</v>
      </c>
      <c r="I777" s="8">
        <v>302927295673</v>
      </c>
      <c r="J777" s="8"/>
      <c r="K777" s="8">
        <v>443973045917</v>
      </c>
      <c r="L777" s="8">
        <v>1973658515315</v>
      </c>
      <c r="M777" s="8">
        <v>587984320000</v>
      </c>
      <c r="N777" s="8">
        <v>422088744000</v>
      </c>
      <c r="O777" s="8">
        <v>531285832000</v>
      </c>
      <c r="P777" s="8">
        <v>464087624000</v>
      </c>
      <c r="Q777" s="18">
        <f>(Table1[[#This Row],[A. TÀI SẢN NGẮN HẠN]]-Table1[[#This Row],[I. Nợ ngắn hạn]])/Table1[[#This Row],[TỔNG CỘNG TÀI SẢN]]</f>
        <v>0.24645680168435657</v>
      </c>
      <c r="R777" s="18">
        <f>Table1[[#This Row],[- LNST chưa phân phối kỳ này]]/Table1[[#This Row],[TỔNG CỘNG TÀI SẢN]]</f>
        <v>8.9331652653463323E-2</v>
      </c>
      <c r="S777" s="21">
        <f>Table1[[#This Row],[5. Lợi nhuận gộp về bán hàng và cung cấp dịch vụ]]/Table1[[#This Row],[TỔNG CỘNG TÀI SẢN]]</f>
        <v>0.38951982067318303</v>
      </c>
      <c r="T77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1.1292614148781652</v>
      </c>
      <c r="U777" s="23">
        <f>Table1[[#This Row],[1. Doanh thu bán hàng và cung cấp dịch vụ ]]/Table1[[#This Row],[TỔNG CỘNG TÀI SẢN]]</f>
        <v>2.5378337374571589</v>
      </c>
      <c r="V777" s="23">
        <f>1.2*Table1[[#This Row],[X1]] + 1.4*Table1[[#This Row],[X2]] + 3.3*Table1[[#This Row],[x3]] + 0.6*Table1[[#This Row],[x4]] + 1*Table1[[#This Row],[x5]]</f>
        <v>4.9216184703416381</v>
      </c>
      <c r="W777" s="23">
        <f>IF(Table1[[#This Row],[Zscore]]&lt;1.81,1,0)</f>
        <v>0</v>
      </c>
    </row>
    <row r="778" spans="1:23" ht="26.25" hidden="1" x14ac:dyDescent="0.45">
      <c r="A778" s="7">
        <v>772</v>
      </c>
      <c r="B778" s="5" t="s">
        <v>1556</v>
      </c>
      <c r="C778" s="6" t="s">
        <v>1557</v>
      </c>
      <c r="D778" s="6" t="s">
        <v>13</v>
      </c>
      <c r="E778" s="6"/>
      <c r="F778" s="6"/>
      <c r="G778" s="6"/>
      <c r="H778" s="6"/>
      <c r="I778" s="6"/>
      <c r="J778" s="8"/>
      <c r="K778" s="6"/>
      <c r="L778" s="6"/>
      <c r="M778" s="8"/>
      <c r="N778" s="8"/>
      <c r="O778" s="8"/>
      <c r="P778" s="8"/>
      <c r="Q778" s="18" t="e">
        <f>(Table1[[#This Row],[A. TÀI SẢN NGẮN HẠN]]-Table1[[#This Row],[I. Nợ ngắn hạn]])/Table1[[#This Row],[TỔNG CỘNG TÀI SẢN]]</f>
        <v>#DIV/0!</v>
      </c>
      <c r="R778" s="18" t="e">
        <f>Table1[[#This Row],[- LNST chưa phân phối kỳ này]]/Table1[[#This Row],[TỔNG CỘNG TÀI SẢN]]</f>
        <v>#DIV/0!</v>
      </c>
      <c r="S778" s="21" t="e">
        <f>Table1[[#This Row],[5. Lợi nhuận gộp về bán hàng và cung cấp dịch vụ]]/Table1[[#This Row],[TỔNG CỘNG TÀI SẢN]]</f>
        <v>#DIV/0!</v>
      </c>
      <c r="T77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778" s="23" t="e">
        <f>Table1[[#This Row],[1. Doanh thu bán hàng và cung cấp dịch vụ ]]/Table1[[#This Row],[TỔNG CỘNG TÀI SẢN]]</f>
        <v>#DIV/0!</v>
      </c>
      <c r="V778" s="23" t="e">
        <f>1.2*Table1[[#This Row],[X1]] + 1.4*Table1[[#This Row],[X2]] + 3.3*Table1[[#This Row],[x3]] + 0.6*Table1[[#This Row],[x4]] + 1*Table1[[#This Row],[x5]]</f>
        <v>#DIV/0!</v>
      </c>
      <c r="W778" s="23" t="e">
        <f>IF(Table1[[#This Row],[Zscore]]&lt;1.81,1,0)</f>
        <v>#DIV/0!</v>
      </c>
    </row>
    <row r="779" spans="1:23" hidden="1" x14ac:dyDescent="0.45">
      <c r="A779" s="7">
        <v>773</v>
      </c>
      <c r="B779" s="5" t="s">
        <v>1558</v>
      </c>
      <c r="C779" s="6" t="s">
        <v>1559</v>
      </c>
      <c r="D779" s="6" t="s">
        <v>13</v>
      </c>
      <c r="E779" s="6"/>
      <c r="F779" s="6"/>
      <c r="G779" s="6"/>
      <c r="H779" s="6"/>
      <c r="I779" s="6"/>
      <c r="J779" s="8"/>
      <c r="K779" s="6"/>
      <c r="L779" s="6"/>
      <c r="M779" s="8"/>
      <c r="N779" s="8"/>
      <c r="O779" s="8"/>
      <c r="P779" s="8"/>
      <c r="Q779" s="18" t="e">
        <f>(Table1[[#This Row],[A. TÀI SẢN NGẮN HẠN]]-Table1[[#This Row],[I. Nợ ngắn hạn]])/Table1[[#This Row],[TỔNG CỘNG TÀI SẢN]]</f>
        <v>#DIV/0!</v>
      </c>
      <c r="R779" s="18" t="e">
        <f>Table1[[#This Row],[- LNST chưa phân phối kỳ này]]/Table1[[#This Row],[TỔNG CỘNG TÀI SẢN]]</f>
        <v>#DIV/0!</v>
      </c>
      <c r="S779" s="21" t="e">
        <f>Table1[[#This Row],[5. Lợi nhuận gộp về bán hàng và cung cấp dịch vụ]]/Table1[[#This Row],[TỔNG CỘNG TÀI SẢN]]</f>
        <v>#DIV/0!</v>
      </c>
      <c r="T77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779" s="23" t="e">
        <f>Table1[[#This Row],[1. Doanh thu bán hàng và cung cấp dịch vụ ]]/Table1[[#This Row],[TỔNG CỘNG TÀI SẢN]]</f>
        <v>#DIV/0!</v>
      </c>
      <c r="V779" s="23" t="e">
        <f>1.2*Table1[[#This Row],[X1]] + 1.4*Table1[[#This Row],[X2]] + 3.3*Table1[[#This Row],[x3]] + 0.6*Table1[[#This Row],[x4]] + 1*Table1[[#This Row],[x5]]</f>
        <v>#DIV/0!</v>
      </c>
      <c r="W779" s="23" t="e">
        <f>IF(Table1[[#This Row],[Zscore]]&lt;1.81,1,0)</f>
        <v>#DIV/0!</v>
      </c>
    </row>
    <row r="780" spans="1:23" ht="26.25" hidden="1" x14ac:dyDescent="0.45">
      <c r="A780" s="7">
        <v>774</v>
      </c>
      <c r="B780" s="5" t="s">
        <v>1560</v>
      </c>
      <c r="C780" s="6" t="s">
        <v>1561</v>
      </c>
      <c r="D780" s="6" t="s">
        <v>13</v>
      </c>
      <c r="E780" s="6"/>
      <c r="F780" s="6"/>
      <c r="G780" s="6"/>
      <c r="H780" s="6"/>
      <c r="I780" s="6"/>
      <c r="J780" s="8"/>
      <c r="K780" s="6"/>
      <c r="L780" s="6"/>
      <c r="M780" s="8"/>
      <c r="N780" s="8"/>
      <c r="O780" s="8"/>
      <c r="P780" s="8"/>
      <c r="Q780" s="18" t="e">
        <f>(Table1[[#This Row],[A. TÀI SẢN NGẮN HẠN]]-Table1[[#This Row],[I. Nợ ngắn hạn]])/Table1[[#This Row],[TỔNG CỘNG TÀI SẢN]]</f>
        <v>#DIV/0!</v>
      </c>
      <c r="R780" s="18" t="e">
        <f>Table1[[#This Row],[- LNST chưa phân phối kỳ này]]/Table1[[#This Row],[TỔNG CỘNG TÀI SẢN]]</f>
        <v>#DIV/0!</v>
      </c>
      <c r="S780" s="21" t="e">
        <f>Table1[[#This Row],[5. Lợi nhuận gộp về bán hàng và cung cấp dịch vụ]]/Table1[[#This Row],[TỔNG CỘNG TÀI SẢN]]</f>
        <v>#DIV/0!</v>
      </c>
      <c r="T78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780" s="23" t="e">
        <f>Table1[[#This Row],[1. Doanh thu bán hàng và cung cấp dịch vụ ]]/Table1[[#This Row],[TỔNG CỘNG TÀI SẢN]]</f>
        <v>#DIV/0!</v>
      </c>
      <c r="V780" s="23" t="e">
        <f>1.2*Table1[[#This Row],[X1]] + 1.4*Table1[[#This Row],[X2]] + 3.3*Table1[[#This Row],[x3]] + 0.6*Table1[[#This Row],[x4]] + 1*Table1[[#This Row],[x5]]</f>
        <v>#DIV/0!</v>
      </c>
      <c r="W780" s="23" t="e">
        <f>IF(Table1[[#This Row],[Zscore]]&lt;1.81,1,0)</f>
        <v>#DIV/0!</v>
      </c>
    </row>
    <row r="781" spans="1:23" hidden="1" x14ac:dyDescent="0.45">
      <c r="A781" s="7">
        <v>775</v>
      </c>
      <c r="B781" s="5" t="s">
        <v>1562</v>
      </c>
      <c r="C781" s="6" t="s">
        <v>1563</v>
      </c>
      <c r="D781" s="6" t="s">
        <v>13</v>
      </c>
      <c r="E781" s="6"/>
      <c r="F781" s="6"/>
      <c r="G781" s="6"/>
      <c r="H781" s="6"/>
      <c r="I781" s="6"/>
      <c r="J781" s="8"/>
      <c r="K781" s="6"/>
      <c r="L781" s="6"/>
      <c r="M781" s="8"/>
      <c r="N781" s="8"/>
      <c r="O781" s="8"/>
      <c r="P781" s="8"/>
      <c r="Q781" s="18" t="e">
        <f>(Table1[[#This Row],[A. TÀI SẢN NGẮN HẠN]]-Table1[[#This Row],[I. Nợ ngắn hạn]])/Table1[[#This Row],[TỔNG CỘNG TÀI SẢN]]</f>
        <v>#DIV/0!</v>
      </c>
      <c r="R781" s="18" t="e">
        <f>Table1[[#This Row],[- LNST chưa phân phối kỳ này]]/Table1[[#This Row],[TỔNG CỘNG TÀI SẢN]]</f>
        <v>#DIV/0!</v>
      </c>
      <c r="S781" s="21" t="e">
        <f>Table1[[#This Row],[5. Lợi nhuận gộp về bán hàng và cung cấp dịch vụ]]/Table1[[#This Row],[TỔNG CỘNG TÀI SẢN]]</f>
        <v>#DIV/0!</v>
      </c>
      <c r="T78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781" s="23" t="e">
        <f>Table1[[#This Row],[1. Doanh thu bán hàng và cung cấp dịch vụ ]]/Table1[[#This Row],[TỔNG CỘNG TÀI SẢN]]</f>
        <v>#DIV/0!</v>
      </c>
      <c r="V781" s="23" t="e">
        <f>1.2*Table1[[#This Row],[X1]] + 1.4*Table1[[#This Row],[X2]] + 3.3*Table1[[#This Row],[x3]] + 0.6*Table1[[#This Row],[x4]] + 1*Table1[[#This Row],[x5]]</f>
        <v>#DIV/0!</v>
      </c>
      <c r="W781" s="23" t="e">
        <f>IF(Table1[[#This Row],[Zscore]]&lt;1.81,1,0)</f>
        <v>#DIV/0!</v>
      </c>
    </row>
    <row r="782" spans="1:23" hidden="1" x14ac:dyDescent="0.45">
      <c r="A782" s="7">
        <v>776</v>
      </c>
      <c r="B782" s="5" t="s">
        <v>1564</v>
      </c>
      <c r="C782" s="6" t="s">
        <v>1565</v>
      </c>
      <c r="D782" s="6" t="s">
        <v>13</v>
      </c>
      <c r="E782" s="6"/>
      <c r="F782" s="6"/>
      <c r="G782" s="6"/>
      <c r="H782" s="6"/>
      <c r="I782" s="6"/>
      <c r="J782" s="8"/>
      <c r="K782" s="6"/>
      <c r="L782" s="6"/>
      <c r="M782" s="8"/>
      <c r="N782" s="8"/>
      <c r="O782" s="8"/>
      <c r="P782" s="8"/>
      <c r="Q782" s="18" t="e">
        <f>(Table1[[#This Row],[A. TÀI SẢN NGẮN HẠN]]-Table1[[#This Row],[I. Nợ ngắn hạn]])/Table1[[#This Row],[TỔNG CỘNG TÀI SẢN]]</f>
        <v>#DIV/0!</v>
      </c>
      <c r="R782" s="18" t="e">
        <f>Table1[[#This Row],[- LNST chưa phân phối kỳ này]]/Table1[[#This Row],[TỔNG CỘNG TÀI SẢN]]</f>
        <v>#DIV/0!</v>
      </c>
      <c r="S782" s="21" t="e">
        <f>Table1[[#This Row],[5. Lợi nhuận gộp về bán hàng và cung cấp dịch vụ]]/Table1[[#This Row],[TỔNG CỘNG TÀI SẢN]]</f>
        <v>#DIV/0!</v>
      </c>
      <c r="T78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782" s="23" t="e">
        <f>Table1[[#This Row],[1. Doanh thu bán hàng và cung cấp dịch vụ ]]/Table1[[#This Row],[TỔNG CỘNG TÀI SẢN]]</f>
        <v>#DIV/0!</v>
      </c>
      <c r="V782" s="23" t="e">
        <f>1.2*Table1[[#This Row],[X1]] + 1.4*Table1[[#This Row],[X2]] + 3.3*Table1[[#This Row],[x3]] + 0.6*Table1[[#This Row],[x4]] + 1*Table1[[#This Row],[x5]]</f>
        <v>#DIV/0!</v>
      </c>
      <c r="W782" s="23" t="e">
        <f>IF(Table1[[#This Row],[Zscore]]&lt;1.81,1,0)</f>
        <v>#DIV/0!</v>
      </c>
    </row>
    <row r="783" spans="1:23" x14ac:dyDescent="0.45">
      <c r="A783" s="7">
        <v>777</v>
      </c>
      <c r="B783" s="5" t="s">
        <v>1566</v>
      </c>
      <c r="C783" s="6" t="s">
        <v>1567</v>
      </c>
      <c r="D783" s="6" t="s">
        <v>21</v>
      </c>
      <c r="E783" s="8">
        <v>1295694025084</v>
      </c>
      <c r="F783" s="8">
        <v>764393237185</v>
      </c>
      <c r="G783" s="8">
        <v>230750165566</v>
      </c>
      <c r="H783" s="8">
        <v>38554436335</v>
      </c>
      <c r="I783" s="8">
        <v>278427685945</v>
      </c>
      <c r="J783" s="8"/>
      <c r="K783" s="8">
        <v>333463154810</v>
      </c>
      <c r="L783" s="8">
        <v>751594524962</v>
      </c>
      <c r="M783" s="8">
        <v>449183571100</v>
      </c>
      <c r="N783" s="8">
        <v>447084582450</v>
      </c>
      <c r="O783" s="8">
        <v>461777503000</v>
      </c>
      <c r="P783" s="8">
        <v>478569412200</v>
      </c>
      <c r="Q783" s="18">
        <f>(Table1[[#This Row],[A. TÀI SẢN NGẮN HẠN]]-Table1[[#This Row],[I. Nợ ngắn hạn]])/Table1[[#This Row],[TỔNG CỘNG TÀI SẢN]]</f>
        <v>0.41185886581857462</v>
      </c>
      <c r="R783" s="18">
        <f>Table1[[#This Row],[- LNST chưa phân phối kỳ này]]/Table1[[#This Row],[TỔNG CỘNG TÀI SẢN]]</f>
        <v>2.9755818571827179E-2</v>
      </c>
      <c r="S783" s="21">
        <f>Table1[[#This Row],[5. Lợi nhuận gộp về bán hàng và cung cấp dịch vụ]]/Table1[[#This Row],[TỔNG CỘNG TÀI SẢN]]</f>
        <v>0.21488691045476535</v>
      </c>
      <c r="T78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1.3769250382373301</v>
      </c>
      <c r="U783" s="23">
        <f>Table1[[#This Row],[1. Doanh thu bán hàng và cung cấp dịch vụ ]]/Table1[[#This Row],[TỔNG CỘNG TÀI SẢN]]</f>
        <v>0.58007099701897136</v>
      </c>
      <c r="V783" s="23">
        <f>1.2*Table1[[#This Row],[X1]] + 1.4*Table1[[#This Row],[X2]] + 3.3*Table1[[#This Row],[x3]] + 0.6*Table1[[#This Row],[x4]] + 1*Table1[[#This Row],[x5]]</f>
        <v>2.6512416094449427</v>
      </c>
      <c r="W783" s="23">
        <f>IF(Table1[[#This Row],[Zscore]]&lt;1.81,1,0)</f>
        <v>0</v>
      </c>
    </row>
    <row r="784" spans="1:23" ht="26.25" hidden="1" x14ac:dyDescent="0.45">
      <c r="A784" s="7">
        <v>778</v>
      </c>
      <c r="B784" s="5" t="s">
        <v>1568</v>
      </c>
      <c r="C784" s="6" t="s">
        <v>1569</v>
      </c>
      <c r="D784" s="6" t="s">
        <v>13</v>
      </c>
      <c r="E784" s="6"/>
      <c r="F784" s="6"/>
      <c r="G784" s="6"/>
      <c r="H784" s="6"/>
      <c r="I784" s="6"/>
      <c r="J784" s="8"/>
      <c r="K784" s="6"/>
      <c r="L784" s="6"/>
      <c r="M784" s="8"/>
      <c r="N784" s="8"/>
      <c r="O784" s="8"/>
      <c r="P784" s="8"/>
      <c r="Q784" s="18" t="e">
        <f>(Table1[[#This Row],[A. TÀI SẢN NGẮN HẠN]]-Table1[[#This Row],[I. Nợ ngắn hạn]])/Table1[[#This Row],[TỔNG CỘNG TÀI SẢN]]</f>
        <v>#DIV/0!</v>
      </c>
      <c r="R784" s="18" t="e">
        <f>Table1[[#This Row],[- LNST chưa phân phối kỳ này]]/Table1[[#This Row],[TỔNG CỘNG TÀI SẢN]]</f>
        <v>#DIV/0!</v>
      </c>
      <c r="S784" s="21" t="e">
        <f>Table1[[#This Row],[5. Lợi nhuận gộp về bán hàng và cung cấp dịch vụ]]/Table1[[#This Row],[TỔNG CỘNG TÀI SẢN]]</f>
        <v>#DIV/0!</v>
      </c>
      <c r="T78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784" s="23" t="e">
        <f>Table1[[#This Row],[1. Doanh thu bán hàng và cung cấp dịch vụ ]]/Table1[[#This Row],[TỔNG CỘNG TÀI SẢN]]</f>
        <v>#DIV/0!</v>
      </c>
      <c r="V784" s="23" t="e">
        <f>1.2*Table1[[#This Row],[X1]] + 1.4*Table1[[#This Row],[X2]] + 3.3*Table1[[#This Row],[x3]] + 0.6*Table1[[#This Row],[x4]] + 1*Table1[[#This Row],[x5]]</f>
        <v>#DIV/0!</v>
      </c>
      <c r="W784" s="23" t="e">
        <f>IF(Table1[[#This Row],[Zscore]]&lt;1.81,1,0)</f>
        <v>#DIV/0!</v>
      </c>
    </row>
    <row r="785" spans="1:23" ht="26.25" x14ac:dyDescent="0.45">
      <c r="A785" s="7">
        <v>779</v>
      </c>
      <c r="B785" s="5" t="s">
        <v>1570</v>
      </c>
      <c r="C785" s="6" t="s">
        <v>1571</v>
      </c>
      <c r="D785" s="6" t="s">
        <v>21</v>
      </c>
      <c r="E785" s="8">
        <v>83058158000000</v>
      </c>
      <c r="F785" s="6"/>
      <c r="G785" s="6"/>
      <c r="H785" s="6"/>
      <c r="I785" s="6"/>
      <c r="J785" s="8"/>
      <c r="K785" s="8">
        <v>73181869000000</v>
      </c>
      <c r="L785" s="8">
        <v>5501970000000</v>
      </c>
      <c r="M785" s="8">
        <v>7567629729900</v>
      </c>
      <c r="N785" s="8">
        <v>8404252112100</v>
      </c>
      <c r="O785" s="8">
        <v>7985940921000</v>
      </c>
      <c r="P785" s="8">
        <v>10115525166600</v>
      </c>
      <c r="Q785" s="18">
        <f>(Table1[[#This Row],[A. TÀI SẢN NGẮN HẠN]]-Table1[[#This Row],[I. Nợ ngắn hạn]])/Table1[[#This Row],[TỔNG CỘNG TÀI SẢN]]</f>
        <v>0</v>
      </c>
      <c r="R785" s="18">
        <f>Table1[[#This Row],[- LNST chưa phân phối kỳ này]]/Table1[[#This Row],[TỔNG CỘNG TÀI SẢN]]</f>
        <v>0</v>
      </c>
      <c r="S785" s="21">
        <f>Table1[[#This Row],[5. Lợi nhuận gộp về bán hàng và cung cấp dịch vụ]]/Table1[[#This Row],[TỔNG CỘNG TÀI SẢN]]</f>
        <v>0</v>
      </c>
      <c r="T78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0.1163995549553401</v>
      </c>
      <c r="U785" s="23">
        <f>Table1[[#This Row],[1. Doanh thu bán hàng và cung cấp dịch vụ ]]/Table1[[#This Row],[TỔNG CỘNG TÀI SẢN]]</f>
        <v>6.6242379225409737E-2</v>
      </c>
      <c r="V785" s="23">
        <f>1.2*Table1[[#This Row],[X1]] + 1.4*Table1[[#This Row],[X2]] + 3.3*Table1[[#This Row],[x3]] + 0.6*Table1[[#This Row],[x4]] + 1*Table1[[#This Row],[x5]]</f>
        <v>0.1360821121986138</v>
      </c>
      <c r="W785" s="23">
        <f>IF(Table1[[#This Row],[Zscore]]&lt;1.81,1,0)</f>
        <v>1</v>
      </c>
    </row>
    <row r="786" spans="1:23" x14ac:dyDescent="0.45">
      <c r="A786" s="7">
        <v>780</v>
      </c>
      <c r="B786" s="5" t="s">
        <v>1572</v>
      </c>
      <c r="C786" s="6" t="s">
        <v>1573</v>
      </c>
      <c r="D786" s="6" t="s">
        <v>21</v>
      </c>
      <c r="E786" s="8">
        <v>6384626364336</v>
      </c>
      <c r="F786" s="8">
        <v>5722835522065</v>
      </c>
      <c r="G786" s="8">
        <v>2641254814519</v>
      </c>
      <c r="H786" s="8">
        <v>77417524235</v>
      </c>
      <c r="I786" s="8">
        <v>147005917159</v>
      </c>
      <c r="J786" s="8"/>
      <c r="K786" s="8">
        <v>3475061933001</v>
      </c>
      <c r="L786" s="8">
        <v>1119114217043</v>
      </c>
      <c r="M786" s="8">
        <v>1371141455320</v>
      </c>
      <c r="N786" s="8">
        <v>1767201153560</v>
      </c>
      <c r="O786" s="8">
        <v>1319481494680</v>
      </c>
      <c r="P786" s="8">
        <v>2064245927240</v>
      </c>
      <c r="Q786" s="18">
        <f>(Table1[[#This Row],[A. TÀI SẢN NGẮN HẠN]]-Table1[[#This Row],[I. Nợ ngắn hạn]])/Table1[[#This Row],[TỔNG CỘNG TÀI SẢN]]</f>
        <v>0.48265638922262666</v>
      </c>
      <c r="R786" s="18">
        <f>Table1[[#This Row],[- LNST chưa phân phối kỳ này]]/Table1[[#This Row],[TỔNG CỘNG TÀI SẢN]]</f>
        <v>1.2125615473357682E-2</v>
      </c>
      <c r="S786" s="21">
        <f>Table1[[#This Row],[5. Lợi nhuận gộp về bán hàng và cung cấp dịch vụ]]/Table1[[#This Row],[TỔNG CỘNG TÀI SẢN]]</f>
        <v>2.3024983573065923E-2</v>
      </c>
      <c r="T78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0.46920530889413958</v>
      </c>
      <c r="U786" s="23">
        <f>Table1[[#This Row],[1. Doanh thu bán hàng và cung cấp dịch vụ ]]/Table1[[#This Row],[TỔNG CỘNG TÀI SẢN]]</f>
        <v>0.17528264822108938</v>
      </c>
      <c r="V786" s="23">
        <f>1.2*Table1[[#This Row],[X1]] + 1.4*Table1[[#This Row],[X2]] + 3.3*Table1[[#This Row],[x3]] + 0.6*Table1[[#This Row],[x4]] + 1*Table1[[#This Row],[x5]]</f>
        <v>1.1289518080785435</v>
      </c>
      <c r="W786" s="23">
        <f>IF(Table1[[#This Row],[Zscore]]&lt;1.81,1,0)</f>
        <v>1</v>
      </c>
    </row>
    <row r="787" spans="1:23" hidden="1" x14ac:dyDescent="0.45">
      <c r="A787" s="7">
        <v>781</v>
      </c>
      <c r="B787" s="5" t="s">
        <v>1574</v>
      </c>
      <c r="C787" s="6" t="s">
        <v>1575</v>
      </c>
      <c r="D787" s="6" t="s">
        <v>13</v>
      </c>
      <c r="E787" s="6"/>
      <c r="F787" s="6"/>
      <c r="G787" s="6"/>
      <c r="H787" s="6"/>
      <c r="I787" s="6"/>
      <c r="J787" s="8"/>
      <c r="K787" s="6"/>
      <c r="L787" s="6"/>
      <c r="M787" s="8"/>
      <c r="N787" s="8"/>
      <c r="O787" s="8"/>
      <c r="P787" s="8"/>
      <c r="Q787" s="18" t="e">
        <f>(Table1[[#This Row],[A. TÀI SẢN NGẮN HẠN]]-Table1[[#This Row],[I. Nợ ngắn hạn]])/Table1[[#This Row],[TỔNG CỘNG TÀI SẢN]]</f>
        <v>#DIV/0!</v>
      </c>
      <c r="R787" s="18" t="e">
        <f>Table1[[#This Row],[- LNST chưa phân phối kỳ này]]/Table1[[#This Row],[TỔNG CỘNG TÀI SẢN]]</f>
        <v>#DIV/0!</v>
      </c>
      <c r="S787" s="21" t="e">
        <f>Table1[[#This Row],[5. Lợi nhuận gộp về bán hàng và cung cấp dịch vụ]]/Table1[[#This Row],[TỔNG CỘNG TÀI SẢN]]</f>
        <v>#DIV/0!</v>
      </c>
      <c r="T78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787" s="23" t="e">
        <f>Table1[[#This Row],[1. Doanh thu bán hàng và cung cấp dịch vụ ]]/Table1[[#This Row],[TỔNG CỘNG TÀI SẢN]]</f>
        <v>#DIV/0!</v>
      </c>
      <c r="V787" s="23" t="e">
        <f>1.2*Table1[[#This Row],[X1]] + 1.4*Table1[[#This Row],[X2]] + 3.3*Table1[[#This Row],[x3]] + 0.6*Table1[[#This Row],[x4]] + 1*Table1[[#This Row],[x5]]</f>
        <v>#DIV/0!</v>
      </c>
      <c r="W787" s="23" t="e">
        <f>IF(Table1[[#This Row],[Zscore]]&lt;1.81,1,0)</f>
        <v>#DIV/0!</v>
      </c>
    </row>
    <row r="788" spans="1:23" ht="26.25" hidden="1" x14ac:dyDescent="0.45">
      <c r="A788" s="7">
        <v>782</v>
      </c>
      <c r="B788" s="5" t="s">
        <v>1576</v>
      </c>
      <c r="C788" s="6" t="s">
        <v>1577</v>
      </c>
      <c r="D788" s="6" t="s">
        <v>13</v>
      </c>
      <c r="E788" s="6"/>
      <c r="F788" s="6"/>
      <c r="G788" s="6"/>
      <c r="H788" s="6"/>
      <c r="I788" s="6"/>
      <c r="J788" s="8"/>
      <c r="K788" s="6"/>
      <c r="L788" s="6"/>
      <c r="M788" s="8"/>
      <c r="N788" s="8"/>
      <c r="O788" s="8"/>
      <c r="P788" s="8"/>
      <c r="Q788" s="18" t="e">
        <f>(Table1[[#This Row],[A. TÀI SẢN NGẮN HẠN]]-Table1[[#This Row],[I. Nợ ngắn hạn]])/Table1[[#This Row],[TỔNG CỘNG TÀI SẢN]]</f>
        <v>#DIV/0!</v>
      </c>
      <c r="R788" s="18" t="e">
        <f>Table1[[#This Row],[- LNST chưa phân phối kỳ này]]/Table1[[#This Row],[TỔNG CỘNG TÀI SẢN]]</f>
        <v>#DIV/0!</v>
      </c>
      <c r="S788" s="21" t="e">
        <f>Table1[[#This Row],[5. Lợi nhuận gộp về bán hàng và cung cấp dịch vụ]]/Table1[[#This Row],[TỔNG CỘNG TÀI SẢN]]</f>
        <v>#DIV/0!</v>
      </c>
      <c r="T78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788" s="23" t="e">
        <f>Table1[[#This Row],[1. Doanh thu bán hàng và cung cấp dịch vụ ]]/Table1[[#This Row],[TỔNG CỘNG TÀI SẢN]]</f>
        <v>#DIV/0!</v>
      </c>
      <c r="V788" s="23" t="e">
        <f>1.2*Table1[[#This Row],[X1]] + 1.4*Table1[[#This Row],[X2]] + 3.3*Table1[[#This Row],[x3]] + 0.6*Table1[[#This Row],[x4]] + 1*Table1[[#This Row],[x5]]</f>
        <v>#DIV/0!</v>
      </c>
      <c r="W788" s="23" t="e">
        <f>IF(Table1[[#This Row],[Zscore]]&lt;1.81,1,0)</f>
        <v>#DIV/0!</v>
      </c>
    </row>
    <row r="789" spans="1:23" hidden="1" x14ac:dyDescent="0.45">
      <c r="A789" s="7">
        <v>783</v>
      </c>
      <c r="B789" s="5" t="s">
        <v>1578</v>
      </c>
      <c r="C789" s="6" t="s">
        <v>1579</v>
      </c>
      <c r="D789" s="6" t="s">
        <v>13</v>
      </c>
      <c r="E789" s="6"/>
      <c r="F789" s="6"/>
      <c r="G789" s="6"/>
      <c r="H789" s="6"/>
      <c r="I789" s="6"/>
      <c r="J789" s="8"/>
      <c r="K789" s="6"/>
      <c r="L789" s="6"/>
      <c r="M789" s="8"/>
      <c r="N789" s="8"/>
      <c r="O789" s="8"/>
      <c r="P789" s="8"/>
      <c r="Q789" s="18" t="e">
        <f>(Table1[[#This Row],[A. TÀI SẢN NGẮN HẠN]]-Table1[[#This Row],[I. Nợ ngắn hạn]])/Table1[[#This Row],[TỔNG CỘNG TÀI SẢN]]</f>
        <v>#DIV/0!</v>
      </c>
      <c r="R789" s="18" t="e">
        <f>Table1[[#This Row],[- LNST chưa phân phối kỳ này]]/Table1[[#This Row],[TỔNG CỘNG TÀI SẢN]]</f>
        <v>#DIV/0!</v>
      </c>
      <c r="S789" s="21" t="e">
        <f>Table1[[#This Row],[5. Lợi nhuận gộp về bán hàng và cung cấp dịch vụ]]/Table1[[#This Row],[TỔNG CỘNG TÀI SẢN]]</f>
        <v>#DIV/0!</v>
      </c>
      <c r="T78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789" s="23" t="e">
        <f>Table1[[#This Row],[1. Doanh thu bán hàng và cung cấp dịch vụ ]]/Table1[[#This Row],[TỔNG CỘNG TÀI SẢN]]</f>
        <v>#DIV/0!</v>
      </c>
      <c r="V789" s="23" t="e">
        <f>1.2*Table1[[#This Row],[X1]] + 1.4*Table1[[#This Row],[X2]] + 3.3*Table1[[#This Row],[x3]] + 0.6*Table1[[#This Row],[x4]] + 1*Table1[[#This Row],[x5]]</f>
        <v>#DIV/0!</v>
      </c>
      <c r="W789" s="23" t="e">
        <f>IF(Table1[[#This Row],[Zscore]]&lt;1.81,1,0)</f>
        <v>#DIV/0!</v>
      </c>
    </row>
    <row r="790" spans="1:23" hidden="1" x14ac:dyDescent="0.45">
      <c r="A790" s="7">
        <v>784</v>
      </c>
      <c r="B790" s="5" t="s">
        <v>1580</v>
      </c>
      <c r="C790" s="6" t="s">
        <v>1581</v>
      </c>
      <c r="D790" s="6" t="s">
        <v>13</v>
      </c>
      <c r="E790" s="6"/>
      <c r="F790" s="6"/>
      <c r="G790" s="6"/>
      <c r="H790" s="6"/>
      <c r="I790" s="6"/>
      <c r="J790" s="8"/>
      <c r="K790" s="6"/>
      <c r="L790" s="6"/>
      <c r="M790" s="8"/>
      <c r="N790" s="8"/>
      <c r="O790" s="8"/>
      <c r="P790" s="8"/>
      <c r="Q790" s="18" t="e">
        <f>(Table1[[#This Row],[A. TÀI SẢN NGẮN HẠN]]-Table1[[#This Row],[I. Nợ ngắn hạn]])/Table1[[#This Row],[TỔNG CỘNG TÀI SẢN]]</f>
        <v>#DIV/0!</v>
      </c>
      <c r="R790" s="18" t="e">
        <f>Table1[[#This Row],[- LNST chưa phân phối kỳ này]]/Table1[[#This Row],[TỔNG CỘNG TÀI SẢN]]</f>
        <v>#DIV/0!</v>
      </c>
      <c r="S790" s="21" t="e">
        <f>Table1[[#This Row],[5. Lợi nhuận gộp về bán hàng và cung cấp dịch vụ]]/Table1[[#This Row],[TỔNG CỘNG TÀI SẢN]]</f>
        <v>#DIV/0!</v>
      </c>
      <c r="T79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790" s="23" t="e">
        <f>Table1[[#This Row],[1. Doanh thu bán hàng và cung cấp dịch vụ ]]/Table1[[#This Row],[TỔNG CỘNG TÀI SẢN]]</f>
        <v>#DIV/0!</v>
      </c>
      <c r="V790" s="23" t="e">
        <f>1.2*Table1[[#This Row],[X1]] + 1.4*Table1[[#This Row],[X2]] + 3.3*Table1[[#This Row],[x3]] + 0.6*Table1[[#This Row],[x4]] + 1*Table1[[#This Row],[x5]]</f>
        <v>#DIV/0!</v>
      </c>
      <c r="W790" s="23" t="e">
        <f>IF(Table1[[#This Row],[Zscore]]&lt;1.81,1,0)</f>
        <v>#DIV/0!</v>
      </c>
    </row>
    <row r="791" spans="1:23" x14ac:dyDescent="0.45">
      <c r="A791" s="7">
        <v>785</v>
      </c>
      <c r="B791" s="5" t="s">
        <v>1582</v>
      </c>
      <c r="C791" s="6" t="s">
        <v>1583</v>
      </c>
      <c r="D791" s="6" t="s">
        <v>36</v>
      </c>
      <c r="E791" s="8">
        <v>2347548503165</v>
      </c>
      <c r="F791" s="8">
        <v>2298087722425</v>
      </c>
      <c r="G791" s="8">
        <v>364155122113</v>
      </c>
      <c r="H791" s="8">
        <v>78308715200</v>
      </c>
      <c r="I791" s="8">
        <v>77368313512</v>
      </c>
      <c r="J791" s="8"/>
      <c r="K791" s="8">
        <v>368757033121</v>
      </c>
      <c r="L791" s="8">
        <v>275935086877</v>
      </c>
      <c r="M791" s="8">
        <v>988803708000</v>
      </c>
      <c r="N791" s="8">
        <v>972323646200</v>
      </c>
      <c r="O791" s="8">
        <v>972323646200</v>
      </c>
      <c r="P791" s="8">
        <v>1170084387800</v>
      </c>
      <c r="Q791" s="18">
        <f>(Table1[[#This Row],[A. TÀI SẢN NGẮN HẠN]]-Table1[[#This Row],[I. Nợ ngắn hạn]])/Table1[[#This Row],[TỔNG CỘNG TÀI SẢN]]</f>
        <v>0.823809432565352</v>
      </c>
      <c r="R791" s="18">
        <f>Table1[[#This Row],[- LNST chưa phân phối kỳ này]]/Table1[[#This Row],[TỔNG CỘNG TÀI SẢN]]</f>
        <v>3.3357655909738611E-2</v>
      </c>
      <c r="S791" s="21">
        <f>Table1[[#This Row],[5. Lợi nhuận gộp về bán hàng và cung cấp dịch vụ]]/Table1[[#This Row],[TỔNG CỘNG TÀI SẢN]]</f>
        <v>3.2957067088365113E-2</v>
      </c>
      <c r="T79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2.7820048294872182</v>
      </c>
      <c r="U791" s="23">
        <f>Table1[[#This Row],[1. Doanh thu bán hàng và cung cấp dịch vụ ]]/Table1[[#This Row],[TỔNG CỘNG TÀI SẢN]]</f>
        <v>0.11754180435674925</v>
      </c>
      <c r="V791" s="23">
        <f>1.2*Table1[[#This Row],[X1]] + 1.4*Table1[[#This Row],[X2]] + 3.3*Table1[[#This Row],[x3]] + 0.6*Table1[[#This Row],[x4]] + 1*Table1[[#This Row],[x5]]</f>
        <v>2.9307750607927412</v>
      </c>
      <c r="W791" s="23">
        <f>IF(Table1[[#This Row],[Zscore]]&lt;1.81,1,0)</f>
        <v>0</v>
      </c>
    </row>
    <row r="792" spans="1:23" hidden="1" x14ac:dyDescent="0.45">
      <c r="A792" s="7">
        <v>786</v>
      </c>
      <c r="B792" s="5" t="s">
        <v>1584</v>
      </c>
      <c r="C792" s="6" t="s">
        <v>1585</v>
      </c>
      <c r="D792" s="6" t="s">
        <v>13</v>
      </c>
      <c r="E792" s="8">
        <v>660322070176</v>
      </c>
      <c r="F792" s="8">
        <v>138571808655</v>
      </c>
      <c r="G792" s="8">
        <v>35387532992</v>
      </c>
      <c r="H792" s="8">
        <v>-1897167159</v>
      </c>
      <c r="I792" s="8">
        <v>16687763782</v>
      </c>
      <c r="J792" s="8"/>
      <c r="K792" s="8">
        <v>106915337064</v>
      </c>
      <c r="L792" s="8">
        <v>31151031862</v>
      </c>
      <c r="M792" s="8"/>
      <c r="N792" s="8"/>
      <c r="O792" s="8"/>
      <c r="P792" s="8"/>
      <c r="Q792" s="18">
        <f>(Table1[[#This Row],[A. TÀI SẢN NGẮN HẠN]]-Table1[[#This Row],[I. Nợ ngắn hạn]])/Table1[[#This Row],[TỔNG CỘNG TÀI SẢN]]</f>
        <v>0.15626355732059299</v>
      </c>
      <c r="R792" s="18">
        <f>Table1[[#This Row],[- LNST chưa phân phối kỳ này]]/Table1[[#This Row],[TỔNG CỘNG TÀI SẢN]]</f>
        <v>-2.8730936685098765E-3</v>
      </c>
      <c r="S792" s="21">
        <f>Table1[[#This Row],[5. Lợi nhuận gộp về bán hàng và cung cấp dịch vụ]]/Table1[[#This Row],[TỔNG CỘNG TÀI SẢN]]</f>
        <v>2.5272158141786932E-2</v>
      </c>
      <c r="T79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792" s="23">
        <f>Table1[[#This Row],[1. Doanh thu bán hàng và cung cấp dịch vụ ]]/Table1[[#This Row],[TỔNG CỘNG TÀI SẢN]]</f>
        <v>4.7175512176500643E-2</v>
      </c>
      <c r="V792" s="23" t="e">
        <f>1.2*Table1[[#This Row],[X1]] + 1.4*Table1[[#This Row],[X2]] + 3.3*Table1[[#This Row],[x3]] + 0.6*Table1[[#This Row],[x4]] + 1*Table1[[#This Row],[x5]]</f>
        <v>#DIV/0!</v>
      </c>
      <c r="W792" s="23" t="e">
        <f>IF(Table1[[#This Row],[Zscore]]&lt;1.81,1,0)</f>
        <v>#DIV/0!</v>
      </c>
    </row>
    <row r="793" spans="1:23" x14ac:dyDescent="0.45">
      <c r="A793" s="7">
        <v>787</v>
      </c>
      <c r="B793" s="5" t="s">
        <v>1586</v>
      </c>
      <c r="C793" s="6" t="s">
        <v>1587</v>
      </c>
      <c r="D793" s="6" t="s">
        <v>18</v>
      </c>
      <c r="E793" s="8">
        <v>6825736076608</v>
      </c>
      <c r="F793" s="8">
        <v>5454848122901</v>
      </c>
      <c r="G793" s="8">
        <v>2455423021381</v>
      </c>
      <c r="H793" s="8">
        <v>719305784343</v>
      </c>
      <c r="I793" s="8">
        <v>1191342512512</v>
      </c>
      <c r="J793" s="8"/>
      <c r="K793" s="8">
        <v>4376480172305</v>
      </c>
      <c r="L793" s="8">
        <v>3105040827920</v>
      </c>
      <c r="M793" s="8"/>
      <c r="N793" s="8"/>
      <c r="O793" s="8"/>
      <c r="P793" s="8">
        <v>8843134840000</v>
      </c>
      <c r="Q793" s="18">
        <f>(Table1[[#This Row],[A. TÀI SẢN NGẮN HẠN]]-Table1[[#This Row],[I. Nợ ngắn hạn]])/Table1[[#This Row],[TỔNG CỘNG TÀI SẢN]]</f>
        <v>0.43942881293039132</v>
      </c>
      <c r="R793" s="18">
        <f>Table1[[#This Row],[- LNST chưa phân phối kỳ này]]/Table1[[#This Row],[TỔNG CỘNG TÀI SẢN]]</f>
        <v>0.10538142352267066</v>
      </c>
      <c r="S793" s="21">
        <f>Table1[[#This Row],[5. Lợi nhuận gộp về bán hàng và cung cấp dịch vụ]]/Table1[[#This Row],[TỔNG CỘNG TÀI SẢN]]</f>
        <v>0.17453685567989746</v>
      </c>
      <c r="T79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2.0206043422658779</v>
      </c>
      <c r="U793" s="23">
        <f>Table1[[#This Row],[1. Doanh thu bán hàng và cung cấp dịch vụ ]]/Table1[[#This Row],[TỔNG CỘNG TÀI SẢN]]</f>
        <v>0.45490197585591785</v>
      </c>
      <c r="V793" s="23">
        <f>1.2*Table1[[#This Row],[X1]] + 1.4*Table1[[#This Row],[X2]] + 3.3*Table1[[#This Row],[x3]] + 0.6*Table1[[#This Row],[x4]] + 1*Table1[[#This Row],[x5]]</f>
        <v>2.9180847734073145</v>
      </c>
      <c r="W793" s="23">
        <f>IF(Table1[[#This Row],[Zscore]]&lt;1.81,1,0)</f>
        <v>0</v>
      </c>
    </row>
    <row r="794" spans="1:23" hidden="1" x14ac:dyDescent="0.45">
      <c r="A794" s="7">
        <v>788</v>
      </c>
      <c r="B794" s="5" t="s">
        <v>1588</v>
      </c>
      <c r="C794" s="6" t="s">
        <v>1589</v>
      </c>
      <c r="D794" s="6" t="s">
        <v>13</v>
      </c>
      <c r="E794" s="6"/>
      <c r="F794" s="6"/>
      <c r="G794" s="6"/>
      <c r="H794" s="6"/>
      <c r="I794" s="6"/>
      <c r="J794" s="8"/>
      <c r="K794" s="6"/>
      <c r="L794" s="6"/>
      <c r="M794" s="8"/>
      <c r="N794" s="8"/>
      <c r="O794" s="8"/>
      <c r="P794" s="8"/>
      <c r="Q794" s="18" t="e">
        <f>(Table1[[#This Row],[A. TÀI SẢN NGẮN HẠN]]-Table1[[#This Row],[I. Nợ ngắn hạn]])/Table1[[#This Row],[TỔNG CỘNG TÀI SẢN]]</f>
        <v>#DIV/0!</v>
      </c>
      <c r="R794" s="18" t="e">
        <f>Table1[[#This Row],[- LNST chưa phân phối kỳ này]]/Table1[[#This Row],[TỔNG CỘNG TÀI SẢN]]</f>
        <v>#DIV/0!</v>
      </c>
      <c r="S794" s="21" t="e">
        <f>Table1[[#This Row],[5. Lợi nhuận gộp về bán hàng và cung cấp dịch vụ]]/Table1[[#This Row],[TỔNG CỘNG TÀI SẢN]]</f>
        <v>#DIV/0!</v>
      </c>
      <c r="T79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794" s="23" t="e">
        <f>Table1[[#This Row],[1. Doanh thu bán hàng và cung cấp dịch vụ ]]/Table1[[#This Row],[TỔNG CỘNG TÀI SẢN]]</f>
        <v>#DIV/0!</v>
      </c>
      <c r="V794" s="23" t="e">
        <f>1.2*Table1[[#This Row],[X1]] + 1.4*Table1[[#This Row],[X2]] + 3.3*Table1[[#This Row],[x3]] + 0.6*Table1[[#This Row],[x4]] + 1*Table1[[#This Row],[x5]]</f>
        <v>#DIV/0!</v>
      </c>
      <c r="W794" s="23" t="e">
        <f>IF(Table1[[#This Row],[Zscore]]&lt;1.81,1,0)</f>
        <v>#DIV/0!</v>
      </c>
    </row>
    <row r="795" spans="1:23" hidden="1" x14ac:dyDescent="0.45">
      <c r="A795" s="7">
        <v>789</v>
      </c>
      <c r="B795" s="5" t="s">
        <v>1590</v>
      </c>
      <c r="C795" s="6" t="s">
        <v>1591</v>
      </c>
      <c r="D795" s="6" t="s">
        <v>13</v>
      </c>
      <c r="E795" s="6"/>
      <c r="F795" s="6"/>
      <c r="G795" s="6"/>
      <c r="H795" s="6"/>
      <c r="I795" s="6"/>
      <c r="J795" s="8"/>
      <c r="K795" s="6"/>
      <c r="L795" s="6"/>
      <c r="M795" s="8"/>
      <c r="N795" s="8"/>
      <c r="O795" s="8"/>
      <c r="P795" s="8"/>
      <c r="Q795" s="18" t="e">
        <f>(Table1[[#This Row],[A. TÀI SẢN NGẮN HẠN]]-Table1[[#This Row],[I. Nợ ngắn hạn]])/Table1[[#This Row],[TỔNG CỘNG TÀI SẢN]]</f>
        <v>#DIV/0!</v>
      </c>
      <c r="R795" s="18" t="e">
        <f>Table1[[#This Row],[- LNST chưa phân phối kỳ này]]/Table1[[#This Row],[TỔNG CỘNG TÀI SẢN]]</f>
        <v>#DIV/0!</v>
      </c>
      <c r="S795" s="21" t="e">
        <f>Table1[[#This Row],[5. Lợi nhuận gộp về bán hàng và cung cấp dịch vụ]]/Table1[[#This Row],[TỔNG CỘNG TÀI SẢN]]</f>
        <v>#DIV/0!</v>
      </c>
      <c r="T79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795" s="23" t="e">
        <f>Table1[[#This Row],[1. Doanh thu bán hàng và cung cấp dịch vụ ]]/Table1[[#This Row],[TỔNG CỘNG TÀI SẢN]]</f>
        <v>#DIV/0!</v>
      </c>
      <c r="V795" s="23" t="e">
        <f>1.2*Table1[[#This Row],[X1]] + 1.4*Table1[[#This Row],[X2]] + 3.3*Table1[[#This Row],[x3]] + 0.6*Table1[[#This Row],[x4]] + 1*Table1[[#This Row],[x5]]</f>
        <v>#DIV/0!</v>
      </c>
      <c r="W795" s="23" t="e">
        <f>IF(Table1[[#This Row],[Zscore]]&lt;1.81,1,0)</f>
        <v>#DIV/0!</v>
      </c>
    </row>
    <row r="796" spans="1:23" hidden="1" x14ac:dyDescent="0.45">
      <c r="A796" s="7">
        <v>790</v>
      </c>
      <c r="B796" s="5" t="s">
        <v>1592</v>
      </c>
      <c r="C796" s="6" t="s">
        <v>1593</v>
      </c>
      <c r="D796" s="6" t="s">
        <v>18</v>
      </c>
      <c r="E796" s="8">
        <v>389871242874</v>
      </c>
      <c r="F796" s="8">
        <v>334290139637</v>
      </c>
      <c r="G796" s="8">
        <v>264322275599</v>
      </c>
      <c r="H796" s="8">
        <v>78176388202</v>
      </c>
      <c r="I796" s="8">
        <v>222252969203</v>
      </c>
      <c r="J796" s="8"/>
      <c r="K796" s="8">
        <v>271182730054</v>
      </c>
      <c r="L796" s="8">
        <v>1152889645466</v>
      </c>
      <c r="M796" s="8"/>
      <c r="N796" s="8"/>
      <c r="O796" s="8"/>
      <c r="P796" s="8"/>
      <c r="Q796" s="18">
        <f>(Table1[[#This Row],[A. TÀI SẢN NGẮN HẠN]]-Table1[[#This Row],[I. Nợ ngắn hạn]])/Table1[[#This Row],[TỔNG CỘNG TÀI SẢN]]</f>
        <v>0.17946402900152467</v>
      </c>
      <c r="R796" s="18">
        <f>Table1[[#This Row],[- LNST chưa phân phối kỳ này]]/Table1[[#This Row],[TỔNG CỘNG TÀI SẢN]]</f>
        <v>0.20051847791006563</v>
      </c>
      <c r="S796" s="21">
        <f>Table1[[#This Row],[5. Lợi nhuận gộp về bán hàng và cung cấp dịch vụ]]/Table1[[#This Row],[TỔNG CỘNG TÀI SẢN]]</f>
        <v>0.57006761402719952</v>
      </c>
      <c r="T79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796" s="23">
        <f>Table1[[#This Row],[1. Doanh thu bán hàng và cung cấp dịch vụ ]]/Table1[[#This Row],[TỔNG CỘNG TÀI SẢN]]</f>
        <v>2.9571035733933191</v>
      </c>
      <c r="V796" s="23" t="e">
        <f>1.2*Table1[[#This Row],[X1]] + 1.4*Table1[[#This Row],[X2]] + 3.3*Table1[[#This Row],[x3]] + 0.6*Table1[[#This Row],[x4]] + 1*Table1[[#This Row],[x5]]</f>
        <v>#DIV/0!</v>
      </c>
      <c r="W796" s="23" t="e">
        <f>IF(Table1[[#This Row],[Zscore]]&lt;1.81,1,0)</f>
        <v>#DIV/0!</v>
      </c>
    </row>
    <row r="797" spans="1:23" ht="26.25" hidden="1" x14ac:dyDescent="0.45">
      <c r="A797" s="7">
        <v>791</v>
      </c>
      <c r="B797" s="5" t="s">
        <v>1594</v>
      </c>
      <c r="C797" s="6" t="s">
        <v>1595</v>
      </c>
      <c r="D797" s="6" t="s">
        <v>13</v>
      </c>
      <c r="E797" s="6"/>
      <c r="F797" s="6"/>
      <c r="G797" s="6"/>
      <c r="H797" s="6"/>
      <c r="I797" s="6"/>
      <c r="J797" s="8"/>
      <c r="K797" s="6"/>
      <c r="L797" s="6"/>
      <c r="M797" s="8"/>
      <c r="N797" s="8"/>
      <c r="O797" s="8"/>
      <c r="P797" s="8"/>
      <c r="Q797" s="18" t="e">
        <f>(Table1[[#This Row],[A. TÀI SẢN NGẮN HẠN]]-Table1[[#This Row],[I. Nợ ngắn hạn]])/Table1[[#This Row],[TỔNG CỘNG TÀI SẢN]]</f>
        <v>#DIV/0!</v>
      </c>
      <c r="R797" s="18" t="e">
        <f>Table1[[#This Row],[- LNST chưa phân phối kỳ này]]/Table1[[#This Row],[TỔNG CỘNG TÀI SẢN]]</f>
        <v>#DIV/0!</v>
      </c>
      <c r="S797" s="21" t="e">
        <f>Table1[[#This Row],[5. Lợi nhuận gộp về bán hàng và cung cấp dịch vụ]]/Table1[[#This Row],[TỔNG CỘNG TÀI SẢN]]</f>
        <v>#DIV/0!</v>
      </c>
      <c r="T79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797" s="23" t="e">
        <f>Table1[[#This Row],[1. Doanh thu bán hàng và cung cấp dịch vụ ]]/Table1[[#This Row],[TỔNG CỘNG TÀI SẢN]]</f>
        <v>#DIV/0!</v>
      </c>
      <c r="V797" s="23" t="e">
        <f>1.2*Table1[[#This Row],[X1]] + 1.4*Table1[[#This Row],[X2]] + 3.3*Table1[[#This Row],[x3]] + 0.6*Table1[[#This Row],[x4]] + 1*Table1[[#This Row],[x5]]</f>
        <v>#DIV/0!</v>
      </c>
      <c r="W797" s="23" t="e">
        <f>IF(Table1[[#This Row],[Zscore]]&lt;1.81,1,0)</f>
        <v>#DIV/0!</v>
      </c>
    </row>
    <row r="798" spans="1:23" hidden="1" x14ac:dyDescent="0.45">
      <c r="A798" s="7">
        <v>792</v>
      </c>
      <c r="B798" s="5" t="s">
        <v>1596</v>
      </c>
      <c r="C798" s="6" t="s">
        <v>1597</v>
      </c>
      <c r="D798" s="6" t="s">
        <v>18</v>
      </c>
      <c r="E798" s="8">
        <v>16142928702</v>
      </c>
      <c r="F798" s="8">
        <v>15918916978</v>
      </c>
      <c r="G798" s="8">
        <v>2120512928</v>
      </c>
      <c r="H798" s="8">
        <v>808389359</v>
      </c>
      <c r="I798" s="8">
        <v>4003620892</v>
      </c>
      <c r="J798" s="8"/>
      <c r="K798" s="8">
        <v>2120512928</v>
      </c>
      <c r="L798" s="8">
        <v>8989629139</v>
      </c>
      <c r="M798" s="8"/>
      <c r="N798" s="8"/>
      <c r="O798" s="8"/>
      <c r="P798" s="8"/>
      <c r="Q798" s="18">
        <f>(Table1[[#This Row],[A. TÀI SẢN NGẮN HẠN]]-Table1[[#This Row],[I. Nợ ngắn hạn]])/Table1[[#This Row],[TỔNG CỘNG TÀI SẢN]]</f>
        <v>0.8547646034198535</v>
      </c>
      <c r="R798" s="18">
        <f>Table1[[#This Row],[- LNST chưa phân phối kỳ này]]/Table1[[#This Row],[TỔNG CỘNG TÀI SẢN]]</f>
        <v>5.0076994944532341E-2</v>
      </c>
      <c r="S798" s="21">
        <f>Table1[[#This Row],[5. Lợi nhuận gộp về bán hàng và cung cấp dịch vụ]]/Table1[[#This Row],[TỔNG CỘNG TÀI SẢN]]</f>
        <v>0.24801081426469898</v>
      </c>
      <c r="T79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798" s="23">
        <f>Table1[[#This Row],[1. Doanh thu bán hàng và cung cấp dịch vụ ]]/Table1[[#This Row],[TỔNG CỘNG TÀI SẢN]]</f>
        <v>0.5568772126142294</v>
      </c>
      <c r="V798" s="23" t="e">
        <f>1.2*Table1[[#This Row],[X1]] + 1.4*Table1[[#This Row],[X2]] + 3.3*Table1[[#This Row],[x3]] + 0.6*Table1[[#This Row],[x4]] + 1*Table1[[#This Row],[x5]]</f>
        <v>#DIV/0!</v>
      </c>
      <c r="W798" s="23" t="e">
        <f>IF(Table1[[#This Row],[Zscore]]&lt;1.81,1,0)</f>
        <v>#DIV/0!</v>
      </c>
    </row>
    <row r="799" spans="1:23" x14ac:dyDescent="0.45">
      <c r="A799" s="7">
        <v>793</v>
      </c>
      <c r="B799" s="5" t="s">
        <v>1598</v>
      </c>
      <c r="C799" s="6" t="s">
        <v>1599</v>
      </c>
      <c r="D799" s="6" t="s">
        <v>21</v>
      </c>
      <c r="E799" s="8">
        <v>646372684599</v>
      </c>
      <c r="F799" s="8">
        <v>582506434038</v>
      </c>
      <c r="G799" s="8">
        <v>92445552813</v>
      </c>
      <c r="H799" s="8">
        <v>18772697050</v>
      </c>
      <c r="I799" s="8">
        <v>45407625767</v>
      </c>
      <c r="J799" s="8"/>
      <c r="K799" s="8">
        <v>92664552813</v>
      </c>
      <c r="L799" s="8">
        <v>462031175937</v>
      </c>
      <c r="M799" s="8">
        <v>174736646280</v>
      </c>
      <c r="N799" s="8">
        <v>164566788560</v>
      </c>
      <c r="O799" s="8">
        <v>187680101560</v>
      </c>
      <c r="P799" s="8">
        <v>188142367820</v>
      </c>
      <c r="Q799" s="18">
        <f>(Table1[[#This Row],[A. TÀI SẢN NGẮN HẠN]]-Table1[[#This Row],[I. Nợ ngắn hạn]])/Table1[[#This Row],[TỔNG CỘNG TÀI SẢN]]</f>
        <v>0.75817077809998501</v>
      </c>
      <c r="R799" s="18">
        <f>Table1[[#This Row],[- LNST chưa phân phối kỳ này]]/Table1[[#This Row],[TỔNG CỘNG TÀI SẢN]]</f>
        <v>2.9043147238881701E-2</v>
      </c>
      <c r="S799" s="21">
        <f>Table1[[#This Row],[5. Lợi nhuận gộp về bán hàng và cung cấp dịch vụ]]/Table1[[#This Row],[TỔNG CỘNG TÀI SẢN]]</f>
        <v>7.0249914405294239E-2</v>
      </c>
      <c r="T79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1.9293405150919649</v>
      </c>
      <c r="U799" s="23">
        <f>Table1[[#This Row],[1. Doanh thu bán hàng và cung cấp dịch vụ ]]/Table1[[#This Row],[TỔNG CỘNG TÀI SẢN]]</f>
        <v>0.71480615896328803</v>
      </c>
      <c r="V799" s="23">
        <f>1.2*Table1[[#This Row],[X1]] + 1.4*Table1[[#This Row],[X2]] + 3.3*Table1[[#This Row],[x3]] + 0.6*Table1[[#This Row],[x4]] + 1*Table1[[#This Row],[x5]]</f>
        <v>3.0547005254103543</v>
      </c>
      <c r="W799" s="23">
        <f>IF(Table1[[#This Row],[Zscore]]&lt;1.81,1,0)</f>
        <v>0</v>
      </c>
    </row>
    <row r="800" spans="1:23" x14ac:dyDescent="0.45">
      <c r="A800" s="7">
        <v>794</v>
      </c>
      <c r="B800" s="5" t="s">
        <v>1600</v>
      </c>
      <c r="C800" s="6" t="s">
        <v>1601</v>
      </c>
      <c r="D800" s="6" t="s">
        <v>21</v>
      </c>
      <c r="E800" s="8">
        <v>10187440470326</v>
      </c>
      <c r="F800" s="8">
        <v>8204118168733</v>
      </c>
      <c r="G800" s="8">
        <v>5497471060297</v>
      </c>
      <c r="H800" s="8">
        <v>32344040980</v>
      </c>
      <c r="I800" s="8">
        <v>704396257804</v>
      </c>
      <c r="J800" s="8"/>
      <c r="K800" s="8">
        <v>6882576759812</v>
      </c>
      <c r="L800" s="8">
        <v>4861837223955</v>
      </c>
      <c r="M800" s="8">
        <v>2204146070000</v>
      </c>
      <c r="N800" s="8">
        <v>2298609473000</v>
      </c>
      <c r="O800" s="8">
        <v>2172658269000</v>
      </c>
      <c r="P800" s="8">
        <v>2739438687000</v>
      </c>
      <c r="Q800" s="18">
        <f>(Table1[[#This Row],[A. TÀI SẢN NGẮN HẠN]]-Table1[[#This Row],[I. Nợ ngắn hạn]])/Table1[[#This Row],[TỔNG CỘNG TÀI SẢN]]</f>
        <v>0.26568470425127172</v>
      </c>
      <c r="R800" s="18">
        <f>Table1[[#This Row],[- LNST chưa phân phối kỳ này]]/Table1[[#This Row],[TỔNG CỘNG TÀI SẢN]]</f>
        <v>3.1748937404063168E-3</v>
      </c>
      <c r="S800" s="21">
        <f>Table1[[#This Row],[5. Lợi nhuận gộp về bán hàng và cung cấp dịch vụ]]/Table1[[#This Row],[TỔNG CỘNG TÀI SẢN]]</f>
        <v>6.9143594984016551E-2</v>
      </c>
      <c r="T80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0.3419813838464611</v>
      </c>
      <c r="U800" s="23">
        <f>Table1[[#This Row],[1. Doanh thu bán hàng và cung cấp dịch vụ ]]/Table1[[#This Row],[TỔNG CỘNG TÀI SẢN]]</f>
        <v>0.47723834442189583</v>
      </c>
      <c r="V800" s="23">
        <f>1.2*Table1[[#This Row],[X1]] + 1.4*Table1[[#This Row],[X2]] + 3.3*Table1[[#This Row],[x3]] + 0.6*Table1[[#This Row],[x4]] + 1*Table1[[#This Row],[x5]]</f>
        <v>1.233867534515122</v>
      </c>
      <c r="W800" s="23">
        <f>IF(Table1[[#This Row],[Zscore]]&lt;1.81,1,0)</f>
        <v>1</v>
      </c>
    </row>
    <row r="801" spans="1:23" ht="26.25" x14ac:dyDescent="0.45">
      <c r="A801" s="7">
        <v>795</v>
      </c>
      <c r="B801" s="5" t="s">
        <v>1602</v>
      </c>
      <c r="C801" s="6" t="s">
        <v>1603</v>
      </c>
      <c r="D801" s="6" t="s">
        <v>18</v>
      </c>
      <c r="E801" s="8">
        <v>718402013844</v>
      </c>
      <c r="F801" s="8">
        <v>57308455530</v>
      </c>
      <c r="G801" s="8">
        <v>87893682708</v>
      </c>
      <c r="H801" s="8">
        <v>231046293</v>
      </c>
      <c r="I801" s="8">
        <v>68062379427</v>
      </c>
      <c r="J801" s="8"/>
      <c r="K801" s="8">
        <v>657360957570</v>
      </c>
      <c r="L801" s="8">
        <v>326956995070</v>
      </c>
      <c r="M801" s="8">
        <v>188480000000</v>
      </c>
      <c r="N801" s="8">
        <v>179645000000</v>
      </c>
      <c r="O801" s="8">
        <v>238545000000</v>
      </c>
      <c r="P801" s="8">
        <v>241490000000</v>
      </c>
      <c r="Q801" s="18">
        <f>(Table1[[#This Row],[A. TÀI SẢN NGẮN HẠN]]-Table1[[#This Row],[I. Nợ ngắn hạn]])/Table1[[#This Row],[TỔNG CỘNG TÀI SẢN]]</f>
        <v>-4.2573971938560766E-2</v>
      </c>
      <c r="R801" s="18">
        <f>Table1[[#This Row],[- LNST chưa phân phối kỳ này]]/Table1[[#This Row],[TỔNG CỘNG TÀI SẢN]]</f>
        <v>3.2161142166587991E-4</v>
      </c>
      <c r="S801" s="21">
        <f>Table1[[#This Row],[5. Lợi nhuận gộp về bán hàng và cung cấp dịch vụ]]/Table1[[#This Row],[TỔNG CỘNG TÀI SẢN]]</f>
        <v>9.4741353887378796E-2</v>
      </c>
      <c r="T80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0.32256250931577513</v>
      </c>
      <c r="U801" s="23">
        <f>Table1[[#This Row],[1. Doanh thu bán hàng và cung cấp dịch vụ ]]/Table1[[#This Row],[TỔNG CỘNG TÀI SẢN]]</f>
        <v>0.45511703582306251</v>
      </c>
      <c r="V801" s="23">
        <f>1.2*Table1[[#This Row],[X1]] + 1.4*Table1[[#This Row],[X2]] + 3.3*Table1[[#This Row],[x3]] + 0.6*Table1[[#This Row],[x4]] + 1*Table1[[#This Row],[x5]]</f>
        <v>0.91066249890493689</v>
      </c>
      <c r="W801" s="23">
        <f>IF(Table1[[#This Row],[Zscore]]&lt;1.81,1,0)</f>
        <v>1</v>
      </c>
    </row>
    <row r="802" spans="1:23" ht="26.25" x14ac:dyDescent="0.45">
      <c r="A802" s="7">
        <v>796</v>
      </c>
      <c r="B802" s="5" t="s">
        <v>1604</v>
      </c>
      <c r="C802" s="6" t="s">
        <v>1605</v>
      </c>
      <c r="D802" s="6" t="s">
        <v>21</v>
      </c>
      <c r="E802" s="8">
        <v>1067502724948</v>
      </c>
      <c r="F802" s="8">
        <v>251901502645</v>
      </c>
      <c r="G802" s="8">
        <v>66918633409</v>
      </c>
      <c r="H802" s="8">
        <v>214218566165</v>
      </c>
      <c r="I802" s="8">
        <v>54009314722</v>
      </c>
      <c r="J802" s="8"/>
      <c r="K802" s="8">
        <v>402541253331</v>
      </c>
      <c r="L802" s="8">
        <v>73294756930</v>
      </c>
      <c r="M802" s="8">
        <v>650805772800</v>
      </c>
      <c r="N802" s="8">
        <v>629668804400</v>
      </c>
      <c r="O802" s="8">
        <v>656709796000</v>
      </c>
      <c r="P802" s="8">
        <v>664435793600</v>
      </c>
      <c r="Q802" s="18">
        <f>(Table1[[#This Row],[A. TÀI SẢN NGẮN HẠN]]-Table1[[#This Row],[I. Nợ ngắn hạn]])/Table1[[#This Row],[TỔNG CỘNG TÀI SẢN]]</f>
        <v>0.17328561783766019</v>
      </c>
      <c r="R802" s="18">
        <f>Table1[[#This Row],[- LNST chưa phân phối kỳ này]]/Table1[[#This Row],[TỔNG CỘNG TÀI SẢN]]</f>
        <v>0.20067261765110245</v>
      </c>
      <c r="S802" s="21">
        <f>Table1[[#This Row],[5. Lợi nhuận gộp về bán hàng và cung cấp dịch vụ]]/Table1[[#This Row],[TỔNG CỘNG TÀI SẢN]]</f>
        <v>5.0594076679880036E-2</v>
      </c>
      <c r="T80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1.6157475446750984</v>
      </c>
      <c r="U802" s="23">
        <f>Table1[[#This Row],[1. Doanh thu bán hàng và cung cấp dịch vụ ]]/Table1[[#This Row],[TỔNG CỘNG TÀI SẢN]]</f>
        <v>6.8660018580814691E-2</v>
      </c>
      <c r="V802" s="23">
        <f>1.2*Table1[[#This Row],[X1]] + 1.4*Table1[[#This Row],[X2]] + 3.3*Table1[[#This Row],[x3]] + 0.6*Table1[[#This Row],[x4]] + 1*Table1[[#This Row],[x5]]</f>
        <v>1.6939534045462135</v>
      </c>
      <c r="W802" s="23">
        <f>IF(Table1[[#This Row],[Zscore]]&lt;1.81,1,0)</f>
        <v>1</v>
      </c>
    </row>
    <row r="803" spans="1:23" hidden="1" x14ac:dyDescent="0.45">
      <c r="A803" s="7">
        <v>797</v>
      </c>
      <c r="B803" s="5" t="s">
        <v>1606</v>
      </c>
      <c r="C803" s="6" t="s">
        <v>1607</v>
      </c>
      <c r="D803" s="6" t="s">
        <v>13</v>
      </c>
      <c r="E803" s="6"/>
      <c r="F803" s="6"/>
      <c r="G803" s="6"/>
      <c r="H803" s="6"/>
      <c r="I803" s="6"/>
      <c r="J803" s="8"/>
      <c r="K803" s="6"/>
      <c r="L803" s="6"/>
      <c r="M803" s="8"/>
      <c r="N803" s="8"/>
      <c r="O803" s="8"/>
      <c r="P803" s="8"/>
      <c r="Q803" s="18" t="e">
        <f>(Table1[[#This Row],[A. TÀI SẢN NGẮN HẠN]]-Table1[[#This Row],[I. Nợ ngắn hạn]])/Table1[[#This Row],[TỔNG CỘNG TÀI SẢN]]</f>
        <v>#DIV/0!</v>
      </c>
      <c r="R803" s="18" t="e">
        <f>Table1[[#This Row],[- LNST chưa phân phối kỳ này]]/Table1[[#This Row],[TỔNG CỘNG TÀI SẢN]]</f>
        <v>#DIV/0!</v>
      </c>
      <c r="S803" s="21" t="e">
        <f>Table1[[#This Row],[5. Lợi nhuận gộp về bán hàng và cung cấp dịch vụ]]/Table1[[#This Row],[TỔNG CỘNG TÀI SẢN]]</f>
        <v>#DIV/0!</v>
      </c>
      <c r="T80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803" s="23" t="e">
        <f>Table1[[#This Row],[1. Doanh thu bán hàng và cung cấp dịch vụ ]]/Table1[[#This Row],[TỔNG CỘNG TÀI SẢN]]</f>
        <v>#DIV/0!</v>
      </c>
      <c r="V803" s="23" t="e">
        <f>1.2*Table1[[#This Row],[X1]] + 1.4*Table1[[#This Row],[X2]] + 3.3*Table1[[#This Row],[x3]] + 0.6*Table1[[#This Row],[x4]] + 1*Table1[[#This Row],[x5]]</f>
        <v>#DIV/0!</v>
      </c>
      <c r="W803" s="23" t="e">
        <f>IF(Table1[[#This Row],[Zscore]]&lt;1.81,1,0)</f>
        <v>#DIV/0!</v>
      </c>
    </row>
    <row r="804" spans="1:23" hidden="1" x14ac:dyDescent="0.45">
      <c r="A804" s="7">
        <v>798</v>
      </c>
      <c r="B804" s="5" t="s">
        <v>1608</v>
      </c>
      <c r="C804" s="6" t="s">
        <v>1609</v>
      </c>
      <c r="D804" s="6" t="s">
        <v>13</v>
      </c>
      <c r="E804" s="6"/>
      <c r="F804" s="6"/>
      <c r="G804" s="6"/>
      <c r="H804" s="6"/>
      <c r="I804" s="6"/>
      <c r="J804" s="8"/>
      <c r="K804" s="6"/>
      <c r="L804" s="6"/>
      <c r="M804" s="8"/>
      <c r="N804" s="8"/>
      <c r="O804" s="8"/>
      <c r="P804" s="8"/>
      <c r="Q804" s="18" t="e">
        <f>(Table1[[#This Row],[A. TÀI SẢN NGẮN HẠN]]-Table1[[#This Row],[I. Nợ ngắn hạn]])/Table1[[#This Row],[TỔNG CỘNG TÀI SẢN]]</f>
        <v>#DIV/0!</v>
      </c>
      <c r="R804" s="18" t="e">
        <f>Table1[[#This Row],[- LNST chưa phân phối kỳ này]]/Table1[[#This Row],[TỔNG CỘNG TÀI SẢN]]</f>
        <v>#DIV/0!</v>
      </c>
      <c r="S804" s="21" t="e">
        <f>Table1[[#This Row],[5. Lợi nhuận gộp về bán hàng và cung cấp dịch vụ]]/Table1[[#This Row],[TỔNG CỘNG TÀI SẢN]]</f>
        <v>#DIV/0!</v>
      </c>
      <c r="T80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804" s="23" t="e">
        <f>Table1[[#This Row],[1. Doanh thu bán hàng và cung cấp dịch vụ ]]/Table1[[#This Row],[TỔNG CỘNG TÀI SẢN]]</f>
        <v>#DIV/0!</v>
      </c>
      <c r="V804" s="23" t="e">
        <f>1.2*Table1[[#This Row],[X1]] + 1.4*Table1[[#This Row],[X2]] + 3.3*Table1[[#This Row],[x3]] + 0.6*Table1[[#This Row],[x4]] + 1*Table1[[#This Row],[x5]]</f>
        <v>#DIV/0!</v>
      </c>
      <c r="W804" s="23" t="e">
        <f>IF(Table1[[#This Row],[Zscore]]&lt;1.81,1,0)</f>
        <v>#DIV/0!</v>
      </c>
    </row>
    <row r="805" spans="1:23" x14ac:dyDescent="0.45">
      <c r="A805" s="7">
        <v>799</v>
      </c>
      <c r="B805" s="5" t="s">
        <v>1610</v>
      </c>
      <c r="C805" s="6" t="s">
        <v>1611</v>
      </c>
      <c r="D805" s="6" t="s">
        <v>18</v>
      </c>
      <c r="E805" s="8">
        <v>101496536712</v>
      </c>
      <c r="F805" s="8">
        <v>11281161069</v>
      </c>
      <c r="G805" s="8">
        <v>78063349054</v>
      </c>
      <c r="H805" s="8">
        <v>199876803</v>
      </c>
      <c r="I805" s="8">
        <v>7466559507</v>
      </c>
      <c r="J805" s="8"/>
      <c r="K805" s="8">
        <v>91323696135</v>
      </c>
      <c r="L805" s="8">
        <v>20988945727</v>
      </c>
      <c r="M805" s="8">
        <v>148230630000</v>
      </c>
      <c r="N805" s="8">
        <v>99798840000</v>
      </c>
      <c r="O805" s="8">
        <v>148230630000</v>
      </c>
      <c r="P805" s="8">
        <v>148230630000</v>
      </c>
      <c r="Q805" s="18">
        <f>(Table1[[#This Row],[A. TÀI SẢN NGẮN HẠN]]-Table1[[#This Row],[I. Nợ ngắn hạn]])/Table1[[#This Row],[TỔNG CỘNG TÀI SẢN]]</f>
        <v>-0.6579750417937591</v>
      </c>
      <c r="R805" s="18">
        <f>Table1[[#This Row],[- LNST chưa phân phối kỳ này]]/Table1[[#This Row],[TỔNG CỘNG TÀI SẢN]]</f>
        <v>1.9692967807084637E-3</v>
      </c>
      <c r="S805" s="21">
        <f>Table1[[#This Row],[5. Lợi nhuận gộp về bán hàng và cung cấp dịch vụ]]/Table1[[#This Row],[TỔNG CỘNG TÀI SẢN]]</f>
        <v>7.3564672735451322E-2</v>
      </c>
      <c r="T80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1.4905516121333453</v>
      </c>
      <c r="U805" s="23">
        <f>Table1[[#This Row],[1. Doanh thu bán hàng và cung cấp dịch vụ ]]/Table1[[#This Row],[TỔNG CỘNG TÀI SẢN]]</f>
        <v>0.20679469868569875</v>
      </c>
      <c r="V805" s="23">
        <f>1.2*Table1[[#This Row],[X1]] + 1.4*Table1[[#This Row],[X2]] + 3.3*Table1[[#This Row],[x3]] + 0.6*Table1[[#This Row],[x4]] + 1*Table1[[#This Row],[x5]]</f>
        <v>0.55707605133317628</v>
      </c>
      <c r="W805" s="23">
        <f>IF(Table1[[#This Row],[Zscore]]&lt;1.81,1,0)</f>
        <v>1</v>
      </c>
    </row>
    <row r="806" spans="1:23" ht="26.25" hidden="1" x14ac:dyDescent="0.45">
      <c r="A806" s="7">
        <v>800</v>
      </c>
      <c r="B806" s="5" t="s">
        <v>1612</v>
      </c>
      <c r="C806" s="6" t="s">
        <v>1613</v>
      </c>
      <c r="D806" s="6" t="s">
        <v>13</v>
      </c>
      <c r="E806" s="6"/>
      <c r="F806" s="6"/>
      <c r="G806" s="6"/>
      <c r="H806" s="6"/>
      <c r="I806" s="6"/>
      <c r="J806" s="8"/>
      <c r="K806" s="6"/>
      <c r="L806" s="6"/>
      <c r="M806" s="8"/>
      <c r="N806" s="8"/>
      <c r="O806" s="8"/>
      <c r="P806" s="8"/>
      <c r="Q806" s="18" t="e">
        <f>(Table1[[#This Row],[A. TÀI SẢN NGẮN HẠN]]-Table1[[#This Row],[I. Nợ ngắn hạn]])/Table1[[#This Row],[TỔNG CỘNG TÀI SẢN]]</f>
        <v>#DIV/0!</v>
      </c>
      <c r="R806" s="18" t="e">
        <f>Table1[[#This Row],[- LNST chưa phân phối kỳ này]]/Table1[[#This Row],[TỔNG CỘNG TÀI SẢN]]</f>
        <v>#DIV/0!</v>
      </c>
      <c r="S806" s="21" t="e">
        <f>Table1[[#This Row],[5. Lợi nhuận gộp về bán hàng và cung cấp dịch vụ]]/Table1[[#This Row],[TỔNG CỘNG TÀI SẢN]]</f>
        <v>#DIV/0!</v>
      </c>
      <c r="T80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806" s="23" t="e">
        <f>Table1[[#This Row],[1. Doanh thu bán hàng và cung cấp dịch vụ ]]/Table1[[#This Row],[TỔNG CỘNG TÀI SẢN]]</f>
        <v>#DIV/0!</v>
      </c>
      <c r="V806" s="23" t="e">
        <f>1.2*Table1[[#This Row],[X1]] + 1.4*Table1[[#This Row],[X2]] + 3.3*Table1[[#This Row],[x3]] + 0.6*Table1[[#This Row],[x4]] + 1*Table1[[#This Row],[x5]]</f>
        <v>#DIV/0!</v>
      </c>
      <c r="W806" s="23" t="e">
        <f>IF(Table1[[#This Row],[Zscore]]&lt;1.81,1,0)</f>
        <v>#DIV/0!</v>
      </c>
    </row>
    <row r="807" spans="1:23" ht="26.25" hidden="1" x14ac:dyDescent="0.45">
      <c r="A807" s="7">
        <v>801</v>
      </c>
      <c r="B807" s="5" t="s">
        <v>1614</v>
      </c>
      <c r="C807" s="6" t="s">
        <v>1615</v>
      </c>
      <c r="D807" s="6" t="s">
        <v>18</v>
      </c>
      <c r="E807" s="8">
        <v>156668110005</v>
      </c>
      <c r="F807" s="8">
        <v>63679448142</v>
      </c>
      <c r="G807" s="8">
        <v>49755872752</v>
      </c>
      <c r="H807" s="8">
        <v>2782920152</v>
      </c>
      <c r="I807" s="8">
        <v>55353123878</v>
      </c>
      <c r="J807" s="8"/>
      <c r="K807" s="8">
        <v>53239634357</v>
      </c>
      <c r="L807" s="8">
        <v>714856586517</v>
      </c>
      <c r="M807" s="8"/>
      <c r="N807" s="8"/>
      <c r="O807" s="8"/>
      <c r="P807" s="8"/>
      <c r="Q807" s="18">
        <f>(Table1[[#This Row],[A. TÀI SẢN NGẮN HẠN]]-Table1[[#This Row],[I. Nợ ngắn hạn]])/Table1[[#This Row],[TỔNG CỘNG TÀI SẢN]]</f>
        <v>8.8873066698485312E-2</v>
      </c>
      <c r="R807" s="18">
        <f>Table1[[#This Row],[- LNST chưa phân phối kỳ này]]/Table1[[#This Row],[TỔNG CỘNG TÀI SẢN]]</f>
        <v>1.7763156470778797E-2</v>
      </c>
      <c r="S807" s="21">
        <f>Table1[[#This Row],[5. Lợi nhuận gộp về bán hàng và cung cấp dịch vụ]]/Table1[[#This Row],[TỔNG CỘNG TÀI SẢN]]</f>
        <v>0.35331455697163533</v>
      </c>
      <c r="T80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807" s="23">
        <f>Table1[[#This Row],[1. Doanh thu bán hàng và cung cấp dịch vụ ]]/Table1[[#This Row],[TỔNG CỘNG TÀI SẢN]]</f>
        <v>4.5628723452027709</v>
      </c>
      <c r="V807" s="23" t="e">
        <f>1.2*Table1[[#This Row],[X1]] + 1.4*Table1[[#This Row],[X2]] + 3.3*Table1[[#This Row],[x3]] + 0.6*Table1[[#This Row],[x4]] + 1*Table1[[#This Row],[x5]]</f>
        <v>#DIV/0!</v>
      </c>
      <c r="W807" s="23" t="e">
        <f>IF(Table1[[#This Row],[Zscore]]&lt;1.81,1,0)</f>
        <v>#DIV/0!</v>
      </c>
    </row>
    <row r="808" spans="1:23" ht="26.25" x14ac:dyDescent="0.45">
      <c r="A808" s="7">
        <v>802</v>
      </c>
      <c r="B808" s="5" t="s">
        <v>1616</v>
      </c>
      <c r="C808" s="6" t="s">
        <v>1617</v>
      </c>
      <c r="D808" s="6" t="s">
        <v>18</v>
      </c>
      <c r="E808" s="8">
        <v>1548600743066</v>
      </c>
      <c r="F808" s="8">
        <v>1474473727264</v>
      </c>
      <c r="G808" s="8">
        <v>1312041750890</v>
      </c>
      <c r="H808" s="8">
        <v>48267393644</v>
      </c>
      <c r="I808" s="8">
        <v>1078151613369</v>
      </c>
      <c r="J808" s="8"/>
      <c r="K808" s="8">
        <v>1313024026934</v>
      </c>
      <c r="L808" s="8">
        <v>4228199847296</v>
      </c>
      <c r="M808" s="8">
        <v>469253801600</v>
      </c>
      <c r="N808" s="8">
        <v>510058480000</v>
      </c>
      <c r="O808" s="8">
        <v>433549708000</v>
      </c>
      <c r="P808" s="8">
        <v>459052632000</v>
      </c>
      <c r="Q808" s="18">
        <f>(Table1[[#This Row],[A. TÀI SẢN NGẮN HẠN]]-Table1[[#This Row],[I. Nợ ngắn hạn]])/Table1[[#This Row],[TỔNG CỘNG TÀI SẢN]]</f>
        <v>0.10488951209748792</v>
      </c>
      <c r="R808" s="18">
        <f>Table1[[#This Row],[- LNST chưa phân phối kỳ này]]/Table1[[#This Row],[TỔNG CỘNG TÀI SẢN]]</f>
        <v>3.1168391117027176E-2</v>
      </c>
      <c r="S808" s="21">
        <f>Table1[[#This Row],[5. Lợi nhuận gộp về bán hàng và cung cấp dịch vụ]]/Table1[[#This Row],[TỔNG CỘNG TÀI SẢN]]</f>
        <v>0.6962101872910248</v>
      </c>
      <c r="T80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0.35641286511166276</v>
      </c>
      <c r="U808" s="23">
        <f>Table1[[#This Row],[1. Doanh thu bán hàng và cung cấp dịch vụ ]]/Table1[[#This Row],[TỔNG CỘNG TÀI SẢN]]</f>
        <v>2.7303356699447212</v>
      </c>
      <c r="V808" s="23">
        <f>1.2*Table1[[#This Row],[X1]] + 1.4*Table1[[#This Row],[X2]] + 3.3*Table1[[#This Row],[x3]] + 0.6*Table1[[#This Row],[x4]] + 1*Table1[[#This Row],[x5]]</f>
        <v>5.4111801691529244</v>
      </c>
      <c r="W808" s="23">
        <f>IF(Table1[[#This Row],[Zscore]]&lt;1.81,1,0)</f>
        <v>0</v>
      </c>
    </row>
    <row r="809" spans="1:23" ht="26.25" x14ac:dyDescent="0.45">
      <c r="A809" s="7">
        <v>803</v>
      </c>
      <c r="B809" s="5" t="s">
        <v>1618</v>
      </c>
      <c r="C809" s="6" t="s">
        <v>1619</v>
      </c>
      <c r="D809" s="6" t="s">
        <v>18</v>
      </c>
      <c r="E809" s="8">
        <v>2824434780371</v>
      </c>
      <c r="F809" s="8">
        <v>1519739505527</v>
      </c>
      <c r="G809" s="8">
        <v>1156884265281</v>
      </c>
      <c r="H809" s="8">
        <v>118506889689</v>
      </c>
      <c r="I809" s="8">
        <v>185405324516</v>
      </c>
      <c r="J809" s="8"/>
      <c r="K809" s="8">
        <v>1211699917844</v>
      </c>
      <c r="L809" s="8">
        <v>1194960042796</v>
      </c>
      <c r="M809" s="8">
        <v>2006600000000</v>
      </c>
      <c r="N809" s="8">
        <v>2235200000000</v>
      </c>
      <c r="O809" s="8">
        <v>1473200000000</v>
      </c>
      <c r="P809" s="8">
        <v>1714500000000</v>
      </c>
      <c r="Q809" s="18">
        <f>(Table1[[#This Row],[A. TÀI SẢN NGẮN HẠN]]-Table1[[#This Row],[I. Nợ ngắn hạn]])/Table1[[#This Row],[TỔNG CỘNG TÀI SẢN]]</f>
        <v>0.1284700368256822</v>
      </c>
      <c r="R809" s="18">
        <f>Table1[[#This Row],[- LNST chưa phân phối kỳ này]]/Table1[[#This Row],[TỔNG CỘNG TÀI SẢN]]</f>
        <v>4.1957736292085199E-2</v>
      </c>
      <c r="S809" s="21">
        <f>Table1[[#This Row],[5. Lợi nhuận gộp về bán hàng và cung cấp dịch vụ]]/Table1[[#This Row],[TỔNG CỘNG TÀI SẢN]]</f>
        <v>6.5643337139350166E-2</v>
      </c>
      <c r="T80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1.5328671502304478</v>
      </c>
      <c r="U809" s="23">
        <f>Table1[[#This Row],[1. Doanh thu bán hàng và cung cấp dịch vụ ]]/Table1[[#This Row],[TỔNG CỘNG TÀI SẢN]]</f>
        <v>0.4230793541775596</v>
      </c>
      <c r="V809" s="23">
        <f>1.2*Table1[[#This Row],[X1]] + 1.4*Table1[[#This Row],[X2]] + 3.3*Table1[[#This Row],[x3]] + 0.6*Table1[[#This Row],[x4]] + 1*Table1[[#This Row],[x5]]</f>
        <v>1.7723275318754217</v>
      </c>
      <c r="W809" s="23">
        <f>IF(Table1[[#This Row],[Zscore]]&lt;1.81,1,0)</f>
        <v>1</v>
      </c>
    </row>
    <row r="810" spans="1:23" ht="26.25" x14ac:dyDescent="0.45">
      <c r="A810" s="7">
        <v>804</v>
      </c>
      <c r="B810" s="5" t="s">
        <v>1620</v>
      </c>
      <c r="C810" s="6" t="s">
        <v>1621</v>
      </c>
      <c r="D810" s="6" t="s">
        <v>36</v>
      </c>
      <c r="E810" s="8">
        <v>348553561119</v>
      </c>
      <c r="F810" s="8">
        <v>33529046763</v>
      </c>
      <c r="G810" s="8">
        <v>107493683330</v>
      </c>
      <c r="H810" s="8">
        <v>-13350371465</v>
      </c>
      <c r="I810" s="8">
        <v>953025152</v>
      </c>
      <c r="J810" s="8"/>
      <c r="K810" s="8">
        <v>107493683330</v>
      </c>
      <c r="L810" s="8">
        <v>44257945000</v>
      </c>
      <c r="M810" s="8">
        <v>32130745400</v>
      </c>
      <c r="N810" s="8">
        <v>44488724400</v>
      </c>
      <c r="O810" s="8">
        <v>49431916000</v>
      </c>
      <c r="P810" s="8">
        <v>39545532800</v>
      </c>
      <c r="Q810" s="18">
        <f>(Table1[[#This Row],[A. TÀI SẢN NGẮN HẠN]]-Table1[[#This Row],[I. Nợ ngắn hạn]])/Table1[[#This Row],[TỔNG CỘNG TÀI SẢN]]</f>
        <v>-0.21220450690431381</v>
      </c>
      <c r="R810" s="18">
        <f>Table1[[#This Row],[- LNST chưa phân phối kỳ này]]/Table1[[#This Row],[TỔNG CỘNG TÀI SẢN]]</f>
        <v>-3.8302209342345628E-2</v>
      </c>
      <c r="S810" s="21">
        <f>Table1[[#This Row],[5. Lợi nhuận gộp về bán hàng và cung cấp dịch vụ]]/Table1[[#This Row],[TỔNG CỘNG TÀI SẢN]]</f>
        <v>2.7342287048808169E-3</v>
      </c>
      <c r="T81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0.38513174325701099</v>
      </c>
      <c r="U810" s="23">
        <f>Table1[[#This Row],[1. Doanh thu bán hàng và cung cấp dịch vụ ]]/Table1[[#This Row],[TỔNG CỘNG TÀI SẢN]]</f>
        <v>0.12697602301899838</v>
      </c>
      <c r="V810" s="23">
        <f>1.2*Table1[[#This Row],[X1]] + 1.4*Table1[[#This Row],[X2]] + 3.3*Table1[[#This Row],[x3]] + 0.6*Table1[[#This Row],[x4]] + 1*Table1[[#This Row],[x5]]</f>
        <v>5.8809522334851233E-2</v>
      </c>
      <c r="W810" s="23">
        <f>IF(Table1[[#This Row],[Zscore]]&lt;1.81,1,0)</f>
        <v>1</v>
      </c>
    </row>
    <row r="811" spans="1:23" hidden="1" x14ac:dyDescent="0.45">
      <c r="A811" s="7">
        <v>805</v>
      </c>
      <c r="B811" s="5" t="s">
        <v>1622</v>
      </c>
      <c r="C811" s="6" t="s">
        <v>1623</v>
      </c>
      <c r="D811" s="6" t="s">
        <v>13</v>
      </c>
      <c r="E811" s="6"/>
      <c r="F811" s="6"/>
      <c r="G811" s="6"/>
      <c r="H811" s="6"/>
      <c r="I811" s="6"/>
      <c r="J811" s="8"/>
      <c r="K811" s="6"/>
      <c r="L811" s="6"/>
      <c r="M811" s="8"/>
      <c r="N811" s="8"/>
      <c r="O811" s="8"/>
      <c r="P811" s="8"/>
      <c r="Q811" s="18" t="e">
        <f>(Table1[[#This Row],[A. TÀI SẢN NGẮN HẠN]]-Table1[[#This Row],[I. Nợ ngắn hạn]])/Table1[[#This Row],[TỔNG CỘNG TÀI SẢN]]</f>
        <v>#DIV/0!</v>
      </c>
      <c r="R811" s="18" t="e">
        <f>Table1[[#This Row],[- LNST chưa phân phối kỳ này]]/Table1[[#This Row],[TỔNG CỘNG TÀI SẢN]]</f>
        <v>#DIV/0!</v>
      </c>
      <c r="S811" s="21" t="e">
        <f>Table1[[#This Row],[5. Lợi nhuận gộp về bán hàng và cung cấp dịch vụ]]/Table1[[#This Row],[TỔNG CỘNG TÀI SẢN]]</f>
        <v>#DIV/0!</v>
      </c>
      <c r="T81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811" s="23" t="e">
        <f>Table1[[#This Row],[1. Doanh thu bán hàng và cung cấp dịch vụ ]]/Table1[[#This Row],[TỔNG CỘNG TÀI SẢN]]</f>
        <v>#DIV/0!</v>
      </c>
      <c r="V811" s="23" t="e">
        <f>1.2*Table1[[#This Row],[X1]] + 1.4*Table1[[#This Row],[X2]] + 3.3*Table1[[#This Row],[x3]] + 0.6*Table1[[#This Row],[x4]] + 1*Table1[[#This Row],[x5]]</f>
        <v>#DIV/0!</v>
      </c>
      <c r="W811" s="23" t="e">
        <f>IF(Table1[[#This Row],[Zscore]]&lt;1.81,1,0)</f>
        <v>#DIV/0!</v>
      </c>
    </row>
    <row r="812" spans="1:23" x14ac:dyDescent="0.45">
      <c r="A812" s="7">
        <v>806</v>
      </c>
      <c r="B812" s="5" t="s">
        <v>1624</v>
      </c>
      <c r="C812" s="6" t="s">
        <v>1625</v>
      </c>
      <c r="D812" s="6" t="s">
        <v>21</v>
      </c>
      <c r="E812" s="8">
        <v>1236557836722</v>
      </c>
      <c r="F812" s="8">
        <v>738305580716</v>
      </c>
      <c r="G812" s="8">
        <v>407640271731</v>
      </c>
      <c r="H812" s="8">
        <v>1968391081</v>
      </c>
      <c r="I812" s="8">
        <v>62133197311</v>
      </c>
      <c r="J812" s="8"/>
      <c r="K812" s="8">
        <v>492557464773</v>
      </c>
      <c r="L812" s="8">
        <v>108262518679</v>
      </c>
      <c r="M812" s="8">
        <v>508822625520</v>
      </c>
      <c r="N812" s="8">
        <v>508114567800</v>
      </c>
      <c r="O812" s="8">
        <v>583347151480</v>
      </c>
      <c r="P812" s="8">
        <v>551223036000</v>
      </c>
      <c r="Q812" s="18">
        <f>(Table1[[#This Row],[A. TÀI SẢN NGẮN HẠN]]-Table1[[#This Row],[I. Nợ ngắn hạn]])/Table1[[#This Row],[TỔNG CỘNG TÀI SẢN]]</f>
        <v>0.26740787949034639</v>
      </c>
      <c r="R812" s="18">
        <f>Table1[[#This Row],[- LNST chưa phân phối kỳ này]]/Table1[[#This Row],[TỔNG CỘNG TÀI SẢN]]</f>
        <v>1.5918309864243973E-3</v>
      </c>
      <c r="S812" s="21">
        <f>Table1[[#This Row],[5. Lợi nhuận gộp về bán hàng và cung cấp dịch vụ]]/Table1[[#This Row],[TỔNG CỘNG TÀI SẢN]]</f>
        <v>5.0246899470314577E-2</v>
      </c>
      <c r="T81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1.0920083110462775</v>
      </c>
      <c r="U812" s="23">
        <f>Table1[[#This Row],[1. Doanh thu bán hàng và cung cấp dịch vụ ]]/Table1[[#This Row],[TỔNG CỘNG TÀI SẢN]]</f>
        <v>8.755152040926277E-2</v>
      </c>
      <c r="V812" s="23">
        <f>1.2*Table1[[#This Row],[X1]] + 1.4*Table1[[#This Row],[X2]] + 3.3*Table1[[#This Row],[x3]] + 0.6*Table1[[#This Row],[x4]] + 1*Table1[[#This Row],[x5]]</f>
        <v>1.2316892940584772</v>
      </c>
      <c r="W812" s="23">
        <f>IF(Table1[[#This Row],[Zscore]]&lt;1.81,1,0)</f>
        <v>1</v>
      </c>
    </row>
    <row r="813" spans="1:23" hidden="1" x14ac:dyDescent="0.45">
      <c r="A813" s="7">
        <v>807</v>
      </c>
      <c r="B813" s="5" t="s">
        <v>1626</v>
      </c>
      <c r="C813" s="6" t="s">
        <v>1627</v>
      </c>
      <c r="D813" s="6" t="s">
        <v>13</v>
      </c>
      <c r="E813" s="6"/>
      <c r="F813" s="6"/>
      <c r="G813" s="6"/>
      <c r="H813" s="6"/>
      <c r="I813" s="6"/>
      <c r="J813" s="8"/>
      <c r="K813" s="6"/>
      <c r="L813" s="6"/>
      <c r="M813" s="8"/>
      <c r="N813" s="8"/>
      <c r="O813" s="8"/>
      <c r="P813" s="8"/>
      <c r="Q813" s="18" t="e">
        <f>(Table1[[#This Row],[A. TÀI SẢN NGẮN HẠN]]-Table1[[#This Row],[I. Nợ ngắn hạn]])/Table1[[#This Row],[TỔNG CỘNG TÀI SẢN]]</f>
        <v>#DIV/0!</v>
      </c>
      <c r="R813" s="18" t="e">
        <f>Table1[[#This Row],[- LNST chưa phân phối kỳ này]]/Table1[[#This Row],[TỔNG CỘNG TÀI SẢN]]</f>
        <v>#DIV/0!</v>
      </c>
      <c r="S813" s="21" t="e">
        <f>Table1[[#This Row],[5. Lợi nhuận gộp về bán hàng và cung cấp dịch vụ]]/Table1[[#This Row],[TỔNG CỘNG TÀI SẢN]]</f>
        <v>#DIV/0!</v>
      </c>
      <c r="T81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813" s="23" t="e">
        <f>Table1[[#This Row],[1. Doanh thu bán hàng và cung cấp dịch vụ ]]/Table1[[#This Row],[TỔNG CỘNG TÀI SẢN]]</f>
        <v>#DIV/0!</v>
      </c>
      <c r="V813" s="23" t="e">
        <f>1.2*Table1[[#This Row],[X1]] + 1.4*Table1[[#This Row],[X2]] + 3.3*Table1[[#This Row],[x3]] + 0.6*Table1[[#This Row],[x4]] + 1*Table1[[#This Row],[x5]]</f>
        <v>#DIV/0!</v>
      </c>
      <c r="W813" s="23" t="e">
        <f>IF(Table1[[#This Row],[Zscore]]&lt;1.81,1,0)</f>
        <v>#DIV/0!</v>
      </c>
    </row>
    <row r="814" spans="1:23" x14ac:dyDescent="0.45">
      <c r="A814" s="7">
        <v>808</v>
      </c>
      <c r="B814" s="5" t="s">
        <v>1628</v>
      </c>
      <c r="C814" s="6" t="s">
        <v>1629</v>
      </c>
      <c r="D814" s="6" t="s">
        <v>21</v>
      </c>
      <c r="E814" s="8">
        <v>8020555077609</v>
      </c>
      <c r="F814" s="8">
        <v>4031775003908</v>
      </c>
      <c r="G814" s="8">
        <v>1430343761120</v>
      </c>
      <c r="H814" s="8">
        <v>40304928542</v>
      </c>
      <c r="I814" s="8">
        <v>386808823810</v>
      </c>
      <c r="J814" s="8"/>
      <c r="K814" s="8">
        <v>1982725568421</v>
      </c>
      <c r="L814" s="8">
        <v>2109119546091</v>
      </c>
      <c r="M814" s="8">
        <v>1689467178980</v>
      </c>
      <c r="N814" s="8">
        <v>1594285929460</v>
      </c>
      <c r="O814" s="8">
        <v>1485507358580</v>
      </c>
      <c r="P814" s="8">
        <v>1655473875580</v>
      </c>
      <c r="Q814" s="18">
        <f>(Table1[[#This Row],[A. TÀI SẢN NGẮN HẠN]]-Table1[[#This Row],[I. Nợ ngắn hạn]])/Table1[[#This Row],[TỔNG CỘNG TÀI SẢN]]</f>
        <v>0.32434553688814144</v>
      </c>
      <c r="R814" s="18">
        <f>Table1[[#This Row],[- LNST chưa phân phối kỳ này]]/Table1[[#This Row],[TỔNG CỘNG TÀI SẢN]]</f>
        <v>5.0252043844844791E-3</v>
      </c>
      <c r="S814" s="21">
        <f>Table1[[#This Row],[5. Lợi nhuận gộp về bán hàng và cung cấp dịch vụ]]/Table1[[#This Row],[TỔNG CỘNG TÀI SẢN]]</f>
        <v>4.8227188775232653E-2</v>
      </c>
      <c r="T81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0.81008870376808129</v>
      </c>
      <c r="U814" s="23">
        <f>Table1[[#This Row],[1. Doanh thu bán hàng và cung cấp dịch vụ ]]/Table1[[#This Row],[TỔNG CỘNG TÀI SẢN]]</f>
        <v>0.26296428684581113</v>
      </c>
      <c r="V814" s="23">
        <f>1.2*Table1[[#This Row],[X1]] + 1.4*Table1[[#This Row],[X2]] + 3.3*Table1[[#This Row],[x3]] + 0.6*Table1[[#This Row],[x4]] + 1*Table1[[#This Row],[x5]]</f>
        <v>1.3044171624689755</v>
      </c>
      <c r="W814" s="23">
        <f>IF(Table1[[#This Row],[Zscore]]&lt;1.81,1,0)</f>
        <v>1</v>
      </c>
    </row>
    <row r="815" spans="1:23" hidden="1" x14ac:dyDescent="0.45">
      <c r="A815" s="7">
        <v>809</v>
      </c>
      <c r="B815" s="5" t="s">
        <v>1630</v>
      </c>
      <c r="C815" s="6" t="s">
        <v>1631</v>
      </c>
      <c r="D815" s="6" t="s">
        <v>13</v>
      </c>
      <c r="E815" s="6"/>
      <c r="F815" s="6"/>
      <c r="G815" s="6"/>
      <c r="H815" s="6"/>
      <c r="I815" s="6"/>
      <c r="J815" s="8"/>
      <c r="K815" s="6"/>
      <c r="L815" s="6"/>
      <c r="M815" s="8"/>
      <c r="N815" s="8"/>
      <c r="O815" s="8"/>
      <c r="P815" s="8"/>
      <c r="Q815" s="18" t="e">
        <f>(Table1[[#This Row],[A. TÀI SẢN NGẮN HẠN]]-Table1[[#This Row],[I. Nợ ngắn hạn]])/Table1[[#This Row],[TỔNG CỘNG TÀI SẢN]]</f>
        <v>#DIV/0!</v>
      </c>
      <c r="R815" s="18" t="e">
        <f>Table1[[#This Row],[- LNST chưa phân phối kỳ này]]/Table1[[#This Row],[TỔNG CỘNG TÀI SẢN]]</f>
        <v>#DIV/0!</v>
      </c>
      <c r="S815" s="21" t="e">
        <f>Table1[[#This Row],[5. Lợi nhuận gộp về bán hàng và cung cấp dịch vụ]]/Table1[[#This Row],[TỔNG CỘNG TÀI SẢN]]</f>
        <v>#DIV/0!</v>
      </c>
      <c r="T81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815" s="23" t="e">
        <f>Table1[[#This Row],[1. Doanh thu bán hàng và cung cấp dịch vụ ]]/Table1[[#This Row],[TỔNG CỘNG TÀI SẢN]]</f>
        <v>#DIV/0!</v>
      </c>
      <c r="V815" s="23" t="e">
        <f>1.2*Table1[[#This Row],[X1]] + 1.4*Table1[[#This Row],[X2]] + 3.3*Table1[[#This Row],[x3]] + 0.6*Table1[[#This Row],[x4]] + 1*Table1[[#This Row],[x5]]</f>
        <v>#DIV/0!</v>
      </c>
      <c r="W815" s="23" t="e">
        <f>IF(Table1[[#This Row],[Zscore]]&lt;1.81,1,0)</f>
        <v>#DIV/0!</v>
      </c>
    </row>
    <row r="816" spans="1:23" x14ac:dyDescent="0.45">
      <c r="A816" s="7">
        <v>810</v>
      </c>
      <c r="B816" s="5" t="s">
        <v>1632</v>
      </c>
      <c r="C816" s="6" t="s">
        <v>1633</v>
      </c>
      <c r="D816" s="6" t="s">
        <v>21</v>
      </c>
      <c r="E816" s="8">
        <v>4867239600246</v>
      </c>
      <c r="F816" s="8">
        <v>3806150467140</v>
      </c>
      <c r="G816" s="8">
        <v>2210988560402</v>
      </c>
      <c r="H816" s="8">
        <v>365686969151</v>
      </c>
      <c r="I816" s="8">
        <v>803234658506</v>
      </c>
      <c r="J816" s="8"/>
      <c r="K816" s="8">
        <v>2222207337152</v>
      </c>
      <c r="L816" s="8">
        <v>8191234558827</v>
      </c>
      <c r="M816" s="8">
        <v>3040583338500</v>
      </c>
      <c r="N816" s="8">
        <v>2301688892800</v>
      </c>
      <c r="O816" s="8">
        <v>2474969448650</v>
      </c>
      <c r="P816" s="8">
        <v>2389963892950</v>
      </c>
      <c r="Q816" s="18">
        <f>(Table1[[#This Row],[A. TÀI SẢN NGẮN HẠN]]-Table1[[#This Row],[I. Nợ ngắn hạn]])/Table1[[#This Row],[TỔNG CỘNG TÀI SẢN]]</f>
        <v>0.32773441164831446</v>
      </c>
      <c r="R816" s="18">
        <f>Table1[[#This Row],[- LNST chưa phân phối kỳ này]]/Table1[[#This Row],[TỔNG CỘNG TÀI SẢN]]</f>
        <v>7.5132313012188146E-2</v>
      </c>
      <c r="S816" s="21">
        <f>Table1[[#This Row],[5. Lợi nhuận gộp về bán hàng và cung cấp dịch vụ]]/Table1[[#This Row],[TỔNG CỘNG TÀI SẢN]]</f>
        <v>0.16502878930911946</v>
      </c>
      <c r="T81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1.1483183187107151</v>
      </c>
      <c r="U816" s="23">
        <f>Table1[[#This Row],[1. Doanh thu bán hàng và cung cấp dịch vụ ]]/Table1[[#This Row],[TỔNG CỘNG TÀI SẢN]]</f>
        <v>1.6829322637852056</v>
      </c>
      <c r="V816" s="23">
        <f>1.2*Table1[[#This Row],[X1]] + 1.4*Table1[[#This Row],[X2]] + 3.3*Table1[[#This Row],[x3]] + 0.6*Table1[[#This Row],[x4]] + 1*Table1[[#This Row],[x5]]</f>
        <v>3.4149847919267691</v>
      </c>
      <c r="W816" s="23">
        <f>IF(Table1[[#This Row],[Zscore]]&lt;1.81,1,0)</f>
        <v>0</v>
      </c>
    </row>
    <row r="817" spans="1:23" hidden="1" x14ac:dyDescent="0.45">
      <c r="A817" s="7">
        <v>811</v>
      </c>
      <c r="B817" s="5" t="s">
        <v>1634</v>
      </c>
      <c r="C817" s="6" t="s">
        <v>1635</v>
      </c>
      <c r="D817" s="6" t="s">
        <v>13</v>
      </c>
      <c r="E817" s="8">
        <v>720246393786</v>
      </c>
      <c r="F817" s="8">
        <v>685622322766</v>
      </c>
      <c r="G817" s="8">
        <v>187976902548</v>
      </c>
      <c r="H817" s="8">
        <v>-26375981939</v>
      </c>
      <c r="I817" s="8">
        <v>71934003491</v>
      </c>
      <c r="J817" s="8"/>
      <c r="K817" s="8">
        <v>207456902548</v>
      </c>
      <c r="L817" s="8">
        <v>146894254550</v>
      </c>
      <c r="M817" s="8"/>
      <c r="N817" s="8"/>
      <c r="O817" s="8"/>
      <c r="P817" s="8"/>
      <c r="Q817" s="18">
        <f>(Table1[[#This Row],[A. TÀI SẢN NGẮN HẠN]]-Table1[[#This Row],[I. Nợ ngắn hạn]])/Table1[[#This Row],[TỔNG CỘNG TÀI SẢN]]</f>
        <v>0.69093774645938832</v>
      </c>
      <c r="R817" s="18">
        <f>Table1[[#This Row],[- LNST chưa phân phối kỳ này]]/Table1[[#This Row],[TỔNG CỘNG TÀI SẢN]]</f>
        <v>-3.6620776121285024E-2</v>
      </c>
      <c r="S817" s="21">
        <f>Table1[[#This Row],[5. Lợi nhuận gộp về bán hàng và cung cấp dịch vụ]]/Table1[[#This Row],[TỔNG CỘNG TÀI SẢN]]</f>
        <v>9.9874159886974831E-2</v>
      </c>
      <c r="T81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817" s="23">
        <f>Table1[[#This Row],[1. Doanh thu bán hàng và cung cấp dịch vụ ]]/Table1[[#This Row],[TỔNG CỘNG TÀI SẢN]]</f>
        <v>0.20395000352288511</v>
      </c>
      <c r="V817" s="23" t="e">
        <f>1.2*Table1[[#This Row],[X1]] + 1.4*Table1[[#This Row],[X2]] + 3.3*Table1[[#This Row],[x3]] + 0.6*Table1[[#This Row],[x4]] + 1*Table1[[#This Row],[x5]]</f>
        <v>#DIV/0!</v>
      </c>
      <c r="W817" s="23" t="e">
        <f>IF(Table1[[#This Row],[Zscore]]&lt;1.81,1,0)</f>
        <v>#DIV/0!</v>
      </c>
    </row>
    <row r="818" spans="1:23" x14ac:dyDescent="0.45">
      <c r="A818" s="7">
        <v>812</v>
      </c>
      <c r="B818" s="5" t="s">
        <v>1636</v>
      </c>
      <c r="C818" s="6" t="s">
        <v>1637</v>
      </c>
      <c r="D818" s="6" t="s">
        <v>18</v>
      </c>
      <c r="E818" s="8">
        <v>970065623279</v>
      </c>
      <c r="F818" s="8">
        <v>924591168384</v>
      </c>
      <c r="G818" s="8">
        <v>198182818509</v>
      </c>
      <c r="H818" s="8">
        <v>141162868612</v>
      </c>
      <c r="I818" s="8">
        <v>398068716427</v>
      </c>
      <c r="J818" s="8"/>
      <c r="K818" s="8">
        <v>199447824505</v>
      </c>
      <c r="L818" s="8">
        <v>817811091498</v>
      </c>
      <c r="M818" s="8">
        <v>1252552112000</v>
      </c>
      <c r="N818" s="8">
        <v>1171504622400</v>
      </c>
      <c r="O818" s="8">
        <v>1200976436800</v>
      </c>
      <c r="P818" s="8">
        <v>1180714564400</v>
      </c>
      <c r="Q818" s="18">
        <f>(Table1[[#This Row],[A. TÀI SẢN NGẮN HẠN]]-Table1[[#This Row],[I. Nợ ngắn hạn]])/Table1[[#This Row],[TỔNG CỘNG TÀI SẢN]]</f>
        <v>0.74882392741596837</v>
      </c>
      <c r="R818" s="18">
        <f>Table1[[#This Row],[- LNST chưa phân phối kỳ này]]/Table1[[#This Row],[TỔNG CỘNG TÀI SẢN]]</f>
        <v>0.1455188857583094</v>
      </c>
      <c r="S818" s="21">
        <f>Table1[[#This Row],[5. Lợi nhuận gộp về bán hàng và cung cấp dịch vụ]]/Table1[[#This Row],[TỔNG CỘNG TÀI SẢN]]</f>
        <v>0.41035235851514312</v>
      </c>
      <c r="T81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6.0238156865425267</v>
      </c>
      <c r="U818" s="23">
        <f>Table1[[#This Row],[1. Doanh thu bán hàng và cung cấp dịch vụ ]]/Table1[[#This Row],[TỔNG CỘNG TÀI SẢN]]</f>
        <v>0.84304718348192598</v>
      </c>
      <c r="V818" s="23">
        <f>1.2*Table1[[#This Row],[X1]] + 1.4*Table1[[#This Row],[X2]] + 3.3*Table1[[#This Row],[x3]] + 0.6*Table1[[#This Row],[x4]] + 1*Table1[[#This Row],[x5]]</f>
        <v>6.9138145314682093</v>
      </c>
      <c r="W818" s="23">
        <f>IF(Table1[[#This Row],[Zscore]]&lt;1.81,1,0)</f>
        <v>0</v>
      </c>
    </row>
    <row r="819" spans="1:23" ht="26.25" hidden="1" x14ac:dyDescent="0.45">
      <c r="A819" s="7">
        <v>813</v>
      </c>
      <c r="B819" s="5" t="s">
        <v>1638</v>
      </c>
      <c r="C819" s="6" t="s">
        <v>1639</v>
      </c>
      <c r="D819" s="6" t="s">
        <v>13</v>
      </c>
      <c r="E819" s="6"/>
      <c r="F819" s="6"/>
      <c r="G819" s="6"/>
      <c r="H819" s="6"/>
      <c r="I819" s="6"/>
      <c r="J819" s="8"/>
      <c r="K819" s="6"/>
      <c r="L819" s="6"/>
      <c r="M819" s="8"/>
      <c r="N819" s="8"/>
      <c r="O819" s="8"/>
      <c r="P819" s="8"/>
      <c r="Q819" s="18" t="e">
        <f>(Table1[[#This Row],[A. TÀI SẢN NGẮN HẠN]]-Table1[[#This Row],[I. Nợ ngắn hạn]])/Table1[[#This Row],[TỔNG CỘNG TÀI SẢN]]</f>
        <v>#DIV/0!</v>
      </c>
      <c r="R819" s="18" t="e">
        <f>Table1[[#This Row],[- LNST chưa phân phối kỳ này]]/Table1[[#This Row],[TỔNG CỘNG TÀI SẢN]]</f>
        <v>#DIV/0!</v>
      </c>
      <c r="S819" s="21" t="e">
        <f>Table1[[#This Row],[5. Lợi nhuận gộp về bán hàng và cung cấp dịch vụ]]/Table1[[#This Row],[TỔNG CỘNG TÀI SẢN]]</f>
        <v>#DIV/0!</v>
      </c>
      <c r="T81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819" s="23" t="e">
        <f>Table1[[#This Row],[1. Doanh thu bán hàng và cung cấp dịch vụ ]]/Table1[[#This Row],[TỔNG CỘNG TÀI SẢN]]</f>
        <v>#DIV/0!</v>
      </c>
      <c r="V819" s="23" t="e">
        <f>1.2*Table1[[#This Row],[X1]] + 1.4*Table1[[#This Row],[X2]] + 3.3*Table1[[#This Row],[x3]] + 0.6*Table1[[#This Row],[x4]] + 1*Table1[[#This Row],[x5]]</f>
        <v>#DIV/0!</v>
      </c>
      <c r="W819" s="23" t="e">
        <f>IF(Table1[[#This Row],[Zscore]]&lt;1.81,1,0)</f>
        <v>#DIV/0!</v>
      </c>
    </row>
    <row r="820" spans="1:23" hidden="1" x14ac:dyDescent="0.45">
      <c r="A820" s="7">
        <v>814</v>
      </c>
      <c r="B820" s="5" t="s">
        <v>1640</v>
      </c>
      <c r="C820" s="6" t="s">
        <v>1641</v>
      </c>
      <c r="D820" s="6" t="s">
        <v>13</v>
      </c>
      <c r="E820" s="6"/>
      <c r="F820" s="6"/>
      <c r="G820" s="6"/>
      <c r="H820" s="6"/>
      <c r="I820" s="6"/>
      <c r="J820" s="8"/>
      <c r="K820" s="6"/>
      <c r="L820" s="6"/>
      <c r="M820" s="8"/>
      <c r="N820" s="8"/>
      <c r="O820" s="8"/>
      <c r="P820" s="8"/>
      <c r="Q820" s="18" t="e">
        <f>(Table1[[#This Row],[A. TÀI SẢN NGẮN HẠN]]-Table1[[#This Row],[I. Nợ ngắn hạn]])/Table1[[#This Row],[TỔNG CỘNG TÀI SẢN]]</f>
        <v>#DIV/0!</v>
      </c>
      <c r="R820" s="18" t="e">
        <f>Table1[[#This Row],[- LNST chưa phân phối kỳ này]]/Table1[[#This Row],[TỔNG CỘNG TÀI SẢN]]</f>
        <v>#DIV/0!</v>
      </c>
      <c r="S820" s="21" t="e">
        <f>Table1[[#This Row],[5. Lợi nhuận gộp về bán hàng và cung cấp dịch vụ]]/Table1[[#This Row],[TỔNG CỘNG TÀI SẢN]]</f>
        <v>#DIV/0!</v>
      </c>
      <c r="T82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820" s="23" t="e">
        <f>Table1[[#This Row],[1. Doanh thu bán hàng và cung cấp dịch vụ ]]/Table1[[#This Row],[TỔNG CỘNG TÀI SẢN]]</f>
        <v>#DIV/0!</v>
      </c>
      <c r="V820" s="23" t="e">
        <f>1.2*Table1[[#This Row],[X1]] + 1.4*Table1[[#This Row],[X2]] + 3.3*Table1[[#This Row],[x3]] + 0.6*Table1[[#This Row],[x4]] + 1*Table1[[#This Row],[x5]]</f>
        <v>#DIV/0!</v>
      </c>
      <c r="W820" s="23" t="e">
        <f>IF(Table1[[#This Row],[Zscore]]&lt;1.81,1,0)</f>
        <v>#DIV/0!</v>
      </c>
    </row>
    <row r="821" spans="1:23" x14ac:dyDescent="0.45">
      <c r="A821" s="7">
        <v>815</v>
      </c>
      <c r="B821" s="5" t="s">
        <v>1642</v>
      </c>
      <c r="C821" s="6" t="s">
        <v>1643</v>
      </c>
      <c r="D821" s="6" t="s">
        <v>18</v>
      </c>
      <c r="E821" s="8">
        <v>26104774744853</v>
      </c>
      <c r="F821" s="8">
        <v>16933781095682</v>
      </c>
      <c r="G821" s="8">
        <v>14680701219034</v>
      </c>
      <c r="H821" s="8">
        <v>2550762979538</v>
      </c>
      <c r="I821" s="8">
        <v>9709818463121</v>
      </c>
      <c r="J821" s="8"/>
      <c r="K821" s="8">
        <v>14873990102754</v>
      </c>
      <c r="L821" s="8">
        <v>19521806827821</v>
      </c>
      <c r="M821" s="8">
        <v>44916835756800</v>
      </c>
      <c r="N821" s="8">
        <v>46911479900500</v>
      </c>
      <c r="O821" s="8">
        <v>31126579164800</v>
      </c>
      <c r="P821" s="8">
        <v>47354737978300</v>
      </c>
      <c r="Q821" s="18">
        <f>(Table1[[#This Row],[A. TÀI SẢN NGẮN HẠN]]-Table1[[#This Row],[I. Nợ ngắn hạn]])/Table1[[#This Row],[TỔNG CỘNG TÀI SẢN]]</f>
        <v>8.6309110063944636E-2</v>
      </c>
      <c r="R821" s="18">
        <f>Table1[[#This Row],[- LNST chưa phân phối kỳ này]]/Table1[[#This Row],[TỔNG CỘNG TÀI SẢN]]</f>
        <v>9.7712506791154216E-2</v>
      </c>
      <c r="S821" s="21">
        <f>Table1[[#This Row],[5. Lợi nhuận gộp về bán hàng và cung cấp dịch vụ]]/Table1[[#This Row],[TỔNG CỘNG TÀI SẢN]]</f>
        <v>0.37195565018370658</v>
      </c>
      <c r="T82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2.8625411141168207</v>
      </c>
      <c r="U821" s="23">
        <f>Table1[[#This Row],[1. Doanh thu bán hàng và cung cấp dịch vụ ]]/Table1[[#This Row],[TỔNG CỘNG TÀI SẢN]]</f>
        <v>0.74782513998401978</v>
      </c>
      <c r="V821" s="23">
        <f>1.2*Table1[[#This Row],[X1]] + 1.4*Table1[[#This Row],[X2]] + 3.3*Table1[[#This Row],[x3]] + 0.6*Table1[[#This Row],[x4]] + 1*Table1[[#This Row],[x5]]</f>
        <v>3.9331718956446933</v>
      </c>
      <c r="W821" s="23">
        <f>IF(Table1[[#This Row],[Zscore]]&lt;1.81,1,0)</f>
        <v>0</v>
      </c>
    </row>
    <row r="822" spans="1:23" x14ac:dyDescent="0.45">
      <c r="A822" s="7">
        <v>816</v>
      </c>
      <c r="B822" s="5" t="s">
        <v>1644</v>
      </c>
      <c r="C822" s="6" t="s">
        <v>1645</v>
      </c>
      <c r="D822" s="6" t="s">
        <v>13</v>
      </c>
      <c r="E822" s="8">
        <v>7930323491</v>
      </c>
      <c r="F822" s="8">
        <v>7457637030</v>
      </c>
      <c r="G822" s="8">
        <v>373643442628</v>
      </c>
      <c r="H822" s="8">
        <v>-17051996551</v>
      </c>
      <c r="I822" s="8">
        <v>2139731686</v>
      </c>
      <c r="J822" s="8"/>
      <c r="K822" s="8">
        <v>374384442628</v>
      </c>
      <c r="L822" s="8">
        <v>2247090910</v>
      </c>
      <c r="M822" s="8">
        <v>52799985600</v>
      </c>
      <c r="N822" s="8">
        <v>52799985600</v>
      </c>
      <c r="O822" s="8">
        <v>52799985600</v>
      </c>
      <c r="P822" s="8">
        <v>52799985600</v>
      </c>
      <c r="Q822" s="18">
        <f>(Table1[[#This Row],[A. TÀI SẢN NGẮN HẠN]]-Table1[[#This Row],[I. Nợ ngắn hạn]])/Table1[[#This Row],[TỔNG CỘNG TÀI SẢN]]</f>
        <v>-46.175393224952117</v>
      </c>
      <c r="R822" s="18">
        <f>Table1[[#This Row],[- LNST chưa phân phối kỳ này]]/Table1[[#This Row],[TỔNG CỘNG TÀI SẢN]]</f>
        <v>-2.1502271086863032</v>
      </c>
      <c r="S822" s="21">
        <f>Table1[[#This Row],[5. Lợi nhuận gộp về bán hàng và cung cấp dịch vụ]]/Table1[[#This Row],[TỔNG CỘNG TÀI SẢN]]</f>
        <v>0.26981644423816353</v>
      </c>
      <c r="T82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0.14103146281765694</v>
      </c>
      <c r="U822" s="23">
        <f>Table1[[#This Row],[1. Doanh thu bán hàng và cung cấp dịch vụ ]]/Table1[[#This Row],[TỔNG CỘNG TÀI SẢN]]</f>
        <v>0.28335425566815631</v>
      </c>
      <c r="V822" s="23">
        <f>1.2*Table1[[#This Row],[X1]] + 1.4*Table1[[#This Row],[X2]] + 3.3*Table1[[#This Row],[x3]] + 0.6*Table1[[#This Row],[x4]] + 1*Table1[[#This Row],[x5]]</f>
        <v>-57.162422422758674</v>
      </c>
      <c r="W822" s="23">
        <f>IF(Table1[[#This Row],[Zscore]]&lt;1.81,1,0)</f>
        <v>1</v>
      </c>
    </row>
    <row r="823" spans="1:23" x14ac:dyDescent="0.45">
      <c r="A823" s="7">
        <v>817</v>
      </c>
      <c r="B823" s="5" t="s">
        <v>1646</v>
      </c>
      <c r="C823" s="6" t="s">
        <v>1647</v>
      </c>
      <c r="D823" s="6" t="s">
        <v>21</v>
      </c>
      <c r="E823" s="8">
        <v>88089621779862</v>
      </c>
      <c r="F823" s="8">
        <v>58102970741619</v>
      </c>
      <c r="G823" s="8">
        <v>41552785100161</v>
      </c>
      <c r="H823" s="8">
        <v>6924484515123</v>
      </c>
      <c r="I823" s="8">
        <v>25895404756498</v>
      </c>
      <c r="J823" s="8"/>
      <c r="K823" s="8">
        <v>44338155487272</v>
      </c>
      <c r="L823" s="8">
        <v>70207689409081</v>
      </c>
      <c r="M823" s="8">
        <v>177999371143000</v>
      </c>
      <c r="N823" s="8">
        <v>163195982191800</v>
      </c>
      <c r="O823" s="8">
        <v>175093220420400</v>
      </c>
      <c r="P823" s="8">
        <v>158426162253000</v>
      </c>
      <c r="Q823" s="18">
        <f>(Table1[[#This Row],[A. TÀI SẢN NGẮN HẠN]]-Table1[[#This Row],[I. Nợ ngắn hạn]])/Table1[[#This Row],[TỔNG CỘNG TÀI SẢN]]</f>
        <v>0.18787894994960128</v>
      </c>
      <c r="R823" s="18">
        <f>Table1[[#This Row],[- LNST chưa phân phối kỳ này]]/Table1[[#This Row],[TỔNG CỘNG TÀI SẢN]]</f>
        <v>7.8607268089167723E-2</v>
      </c>
      <c r="S823" s="21">
        <f>Table1[[#This Row],[5. Lợi nhuận gộp về bán hàng và cung cấp dịch vụ]]/Table1[[#This Row],[TỔNG CỘNG TÀI SẢN]]</f>
        <v>0.29396657895990536</v>
      </c>
      <c r="T82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3.8043685432622927</v>
      </c>
      <c r="U823" s="23">
        <f>Table1[[#This Row],[1. Doanh thu bán hàng và cung cấp dịch vụ ]]/Table1[[#This Row],[TỔNG CỘNG TÀI SẢN]]</f>
        <v>0.79700296119481173</v>
      </c>
      <c r="V823" s="23">
        <f>1.2*Table1[[#This Row],[X1]] + 1.4*Table1[[#This Row],[X2]] + 3.3*Table1[[#This Row],[x3]] + 0.6*Table1[[#This Row],[x4]] + 1*Table1[[#This Row],[x5]]</f>
        <v>4.3852187129842317</v>
      </c>
      <c r="W823" s="23">
        <f>IF(Table1[[#This Row],[Zscore]]&lt;1.81,1,0)</f>
        <v>0</v>
      </c>
    </row>
    <row r="824" spans="1:23" hidden="1" x14ac:dyDescent="0.45">
      <c r="A824" s="7">
        <v>818</v>
      </c>
      <c r="B824" s="5" t="s">
        <v>1648</v>
      </c>
      <c r="C824" s="6" t="s">
        <v>1649</v>
      </c>
      <c r="D824" s="6" t="s">
        <v>13</v>
      </c>
      <c r="E824" s="6"/>
      <c r="F824" s="6"/>
      <c r="G824" s="6"/>
      <c r="H824" s="6"/>
      <c r="I824" s="6"/>
      <c r="J824" s="8"/>
      <c r="K824" s="6"/>
      <c r="L824" s="6"/>
      <c r="M824" s="8"/>
      <c r="N824" s="8"/>
      <c r="O824" s="8"/>
      <c r="P824" s="8"/>
      <c r="Q824" s="18" t="e">
        <f>(Table1[[#This Row],[A. TÀI SẢN NGẮN HẠN]]-Table1[[#This Row],[I. Nợ ngắn hạn]])/Table1[[#This Row],[TỔNG CỘNG TÀI SẢN]]</f>
        <v>#DIV/0!</v>
      </c>
      <c r="R824" s="18" t="e">
        <f>Table1[[#This Row],[- LNST chưa phân phối kỳ này]]/Table1[[#This Row],[TỔNG CỘNG TÀI SẢN]]</f>
        <v>#DIV/0!</v>
      </c>
      <c r="S824" s="21" t="e">
        <f>Table1[[#This Row],[5. Lợi nhuận gộp về bán hàng và cung cấp dịch vụ]]/Table1[[#This Row],[TỔNG CỘNG TÀI SẢN]]</f>
        <v>#DIV/0!</v>
      </c>
      <c r="T82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824" s="23" t="e">
        <f>Table1[[#This Row],[1. Doanh thu bán hàng và cung cấp dịch vụ ]]/Table1[[#This Row],[TỔNG CỘNG TÀI SẢN]]</f>
        <v>#DIV/0!</v>
      </c>
      <c r="V824" s="23" t="e">
        <f>1.2*Table1[[#This Row],[X1]] + 1.4*Table1[[#This Row],[X2]] + 3.3*Table1[[#This Row],[x3]] + 0.6*Table1[[#This Row],[x4]] + 1*Table1[[#This Row],[x5]]</f>
        <v>#DIV/0!</v>
      </c>
      <c r="W824" s="23" t="e">
        <f>IF(Table1[[#This Row],[Zscore]]&lt;1.81,1,0)</f>
        <v>#DIV/0!</v>
      </c>
    </row>
    <row r="825" spans="1:23" hidden="1" x14ac:dyDescent="0.45">
      <c r="A825" s="7">
        <v>819</v>
      </c>
      <c r="B825" s="5" t="s">
        <v>1650</v>
      </c>
      <c r="C825" s="6" t="s">
        <v>1651</v>
      </c>
      <c r="D825" s="6" t="s">
        <v>13</v>
      </c>
      <c r="E825" s="6"/>
      <c r="F825" s="6"/>
      <c r="G825" s="6"/>
      <c r="H825" s="6"/>
      <c r="I825" s="6"/>
      <c r="J825" s="8"/>
      <c r="K825" s="6"/>
      <c r="L825" s="6"/>
      <c r="M825" s="8"/>
      <c r="N825" s="8"/>
      <c r="O825" s="8"/>
      <c r="P825" s="8"/>
      <c r="Q825" s="18" t="e">
        <f>(Table1[[#This Row],[A. TÀI SẢN NGẮN HẠN]]-Table1[[#This Row],[I. Nợ ngắn hạn]])/Table1[[#This Row],[TỔNG CỘNG TÀI SẢN]]</f>
        <v>#DIV/0!</v>
      </c>
      <c r="R825" s="18" t="e">
        <f>Table1[[#This Row],[- LNST chưa phân phối kỳ này]]/Table1[[#This Row],[TỔNG CỘNG TÀI SẢN]]</f>
        <v>#DIV/0!</v>
      </c>
      <c r="S825" s="21" t="e">
        <f>Table1[[#This Row],[5. Lợi nhuận gộp về bán hàng và cung cấp dịch vụ]]/Table1[[#This Row],[TỔNG CỘNG TÀI SẢN]]</f>
        <v>#DIV/0!</v>
      </c>
      <c r="T82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825" s="23" t="e">
        <f>Table1[[#This Row],[1. Doanh thu bán hàng và cung cấp dịch vụ ]]/Table1[[#This Row],[TỔNG CỘNG TÀI SẢN]]</f>
        <v>#DIV/0!</v>
      </c>
      <c r="V825" s="23" t="e">
        <f>1.2*Table1[[#This Row],[X1]] + 1.4*Table1[[#This Row],[X2]] + 3.3*Table1[[#This Row],[x3]] + 0.6*Table1[[#This Row],[x4]] + 1*Table1[[#This Row],[x5]]</f>
        <v>#DIV/0!</v>
      </c>
      <c r="W825" s="23" t="e">
        <f>IF(Table1[[#This Row],[Zscore]]&lt;1.81,1,0)</f>
        <v>#DIV/0!</v>
      </c>
    </row>
    <row r="826" spans="1:23" ht="26.25" hidden="1" x14ac:dyDescent="0.45">
      <c r="A826" s="7">
        <v>820</v>
      </c>
      <c r="B826" s="5" t="s">
        <v>1652</v>
      </c>
      <c r="C826" s="6" t="s">
        <v>1653</v>
      </c>
      <c r="D826" s="6" t="s">
        <v>18</v>
      </c>
      <c r="E826" s="6"/>
      <c r="F826" s="6"/>
      <c r="G826" s="6"/>
      <c r="H826" s="6"/>
      <c r="I826" s="6"/>
      <c r="J826" s="8"/>
      <c r="K826" s="6"/>
      <c r="L826" s="6"/>
      <c r="M826" s="8"/>
      <c r="N826" s="8"/>
      <c r="O826" s="8"/>
      <c r="P826" s="8"/>
      <c r="Q826" s="18" t="e">
        <f>(Table1[[#This Row],[A. TÀI SẢN NGẮN HẠN]]-Table1[[#This Row],[I. Nợ ngắn hạn]])/Table1[[#This Row],[TỔNG CỘNG TÀI SẢN]]</f>
        <v>#DIV/0!</v>
      </c>
      <c r="R826" s="18" t="e">
        <f>Table1[[#This Row],[- LNST chưa phân phối kỳ này]]/Table1[[#This Row],[TỔNG CỘNG TÀI SẢN]]</f>
        <v>#DIV/0!</v>
      </c>
      <c r="S826" s="21" t="e">
        <f>Table1[[#This Row],[5. Lợi nhuận gộp về bán hàng và cung cấp dịch vụ]]/Table1[[#This Row],[TỔNG CỘNG TÀI SẢN]]</f>
        <v>#DIV/0!</v>
      </c>
      <c r="T82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826" s="23" t="e">
        <f>Table1[[#This Row],[1. Doanh thu bán hàng và cung cấp dịch vụ ]]/Table1[[#This Row],[TỔNG CỘNG TÀI SẢN]]</f>
        <v>#DIV/0!</v>
      </c>
      <c r="V826" s="23" t="e">
        <f>1.2*Table1[[#This Row],[X1]] + 1.4*Table1[[#This Row],[X2]] + 3.3*Table1[[#This Row],[x3]] + 0.6*Table1[[#This Row],[x4]] + 1*Table1[[#This Row],[x5]]</f>
        <v>#DIV/0!</v>
      </c>
      <c r="W826" s="23" t="e">
        <f>IF(Table1[[#This Row],[Zscore]]&lt;1.81,1,0)</f>
        <v>#DIV/0!</v>
      </c>
    </row>
    <row r="827" spans="1:23" hidden="1" x14ac:dyDescent="0.45">
      <c r="A827" s="7">
        <v>821</v>
      </c>
      <c r="B827" s="5" t="s">
        <v>1654</v>
      </c>
      <c r="C827" s="6" t="s">
        <v>1655</v>
      </c>
      <c r="D827" s="6" t="s">
        <v>13</v>
      </c>
      <c r="E827" s="6"/>
      <c r="F827" s="6"/>
      <c r="G827" s="6"/>
      <c r="H827" s="6"/>
      <c r="I827" s="6"/>
      <c r="J827" s="8"/>
      <c r="K827" s="6"/>
      <c r="L827" s="6"/>
      <c r="M827" s="8"/>
      <c r="N827" s="8"/>
      <c r="O827" s="8"/>
      <c r="P827" s="8"/>
      <c r="Q827" s="18" t="e">
        <f>(Table1[[#This Row],[A. TÀI SẢN NGẮN HẠN]]-Table1[[#This Row],[I. Nợ ngắn hạn]])/Table1[[#This Row],[TỔNG CỘNG TÀI SẢN]]</f>
        <v>#DIV/0!</v>
      </c>
      <c r="R827" s="18" t="e">
        <f>Table1[[#This Row],[- LNST chưa phân phối kỳ này]]/Table1[[#This Row],[TỔNG CỘNG TÀI SẢN]]</f>
        <v>#DIV/0!</v>
      </c>
      <c r="S827" s="21" t="e">
        <f>Table1[[#This Row],[5. Lợi nhuận gộp về bán hàng và cung cấp dịch vụ]]/Table1[[#This Row],[TỔNG CỘNG TÀI SẢN]]</f>
        <v>#DIV/0!</v>
      </c>
      <c r="T82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827" s="23" t="e">
        <f>Table1[[#This Row],[1. Doanh thu bán hàng và cung cấp dịch vụ ]]/Table1[[#This Row],[TỔNG CỘNG TÀI SẢN]]</f>
        <v>#DIV/0!</v>
      </c>
      <c r="V827" s="23" t="e">
        <f>1.2*Table1[[#This Row],[X1]] + 1.4*Table1[[#This Row],[X2]] + 3.3*Table1[[#This Row],[x3]] + 0.6*Table1[[#This Row],[x4]] + 1*Table1[[#This Row],[x5]]</f>
        <v>#DIV/0!</v>
      </c>
      <c r="W827" s="23" t="e">
        <f>IF(Table1[[#This Row],[Zscore]]&lt;1.81,1,0)</f>
        <v>#DIV/0!</v>
      </c>
    </row>
    <row r="828" spans="1:23" hidden="1" x14ac:dyDescent="0.45">
      <c r="A828" s="7">
        <v>822</v>
      </c>
      <c r="B828" s="5" t="s">
        <v>1656</v>
      </c>
      <c r="C828" s="6" t="s">
        <v>1657</v>
      </c>
      <c r="D828" s="6" t="s">
        <v>18</v>
      </c>
      <c r="E828" s="6"/>
      <c r="F828" s="6"/>
      <c r="G828" s="6"/>
      <c r="H828" s="6"/>
      <c r="I828" s="6"/>
      <c r="J828" s="8"/>
      <c r="K828" s="6"/>
      <c r="L828" s="6"/>
      <c r="M828" s="8"/>
      <c r="N828" s="8"/>
      <c r="O828" s="8"/>
      <c r="P828" s="8"/>
      <c r="Q828" s="18" t="e">
        <f>(Table1[[#This Row],[A. TÀI SẢN NGẮN HẠN]]-Table1[[#This Row],[I. Nợ ngắn hạn]])/Table1[[#This Row],[TỔNG CỘNG TÀI SẢN]]</f>
        <v>#DIV/0!</v>
      </c>
      <c r="R828" s="18" t="e">
        <f>Table1[[#This Row],[- LNST chưa phân phối kỳ này]]/Table1[[#This Row],[TỔNG CỘNG TÀI SẢN]]</f>
        <v>#DIV/0!</v>
      </c>
      <c r="S828" s="21" t="e">
        <f>Table1[[#This Row],[5. Lợi nhuận gộp về bán hàng và cung cấp dịch vụ]]/Table1[[#This Row],[TỔNG CỘNG TÀI SẢN]]</f>
        <v>#DIV/0!</v>
      </c>
      <c r="T82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828" s="23" t="e">
        <f>Table1[[#This Row],[1. Doanh thu bán hàng và cung cấp dịch vụ ]]/Table1[[#This Row],[TỔNG CỘNG TÀI SẢN]]</f>
        <v>#DIV/0!</v>
      </c>
      <c r="V828" s="23" t="e">
        <f>1.2*Table1[[#This Row],[X1]] + 1.4*Table1[[#This Row],[X2]] + 3.3*Table1[[#This Row],[x3]] + 0.6*Table1[[#This Row],[x4]] + 1*Table1[[#This Row],[x5]]</f>
        <v>#DIV/0!</v>
      </c>
      <c r="W828" s="23" t="e">
        <f>IF(Table1[[#This Row],[Zscore]]&lt;1.81,1,0)</f>
        <v>#DIV/0!</v>
      </c>
    </row>
    <row r="829" spans="1:23" x14ac:dyDescent="0.45">
      <c r="A829" s="7">
        <v>823</v>
      </c>
      <c r="B829" s="5" t="s">
        <v>1658</v>
      </c>
      <c r="C829" s="6" t="s">
        <v>1659</v>
      </c>
      <c r="D829" s="6" t="s">
        <v>21</v>
      </c>
      <c r="E829" s="8">
        <v>23714236170376</v>
      </c>
      <c r="F829" s="8">
        <v>21787052185671</v>
      </c>
      <c r="G829" s="8">
        <v>18574474295299</v>
      </c>
      <c r="H829" s="8">
        <v>2271321456541</v>
      </c>
      <c r="I829" s="8">
        <v>10009704458085</v>
      </c>
      <c r="J829" s="8"/>
      <c r="K829" s="8">
        <v>18575165477143</v>
      </c>
      <c r="L829" s="8">
        <v>51232049640567</v>
      </c>
      <c r="M829" s="8">
        <v>22479994185000</v>
      </c>
      <c r="N829" s="8">
        <v>25460116857500</v>
      </c>
      <c r="O829" s="8">
        <v>24414636108800</v>
      </c>
      <c r="P829" s="8">
        <v>21798628480000</v>
      </c>
      <c r="Q829" s="18">
        <f>(Table1[[#This Row],[A. TÀI SẢN NGẮN HẠN]]-Table1[[#This Row],[I. Nợ ngắn hạn]])/Table1[[#This Row],[TỔNG CỘNG TÀI SẢN]]</f>
        <v>0.13547043502860853</v>
      </c>
      <c r="R829" s="18">
        <f>Table1[[#This Row],[- LNST chưa phân phối kỳ này]]/Table1[[#This Row],[TỔNG CỘNG TÀI SẢN]]</f>
        <v>9.5778815738469858E-2</v>
      </c>
      <c r="S829" s="21">
        <f>Table1[[#This Row],[5. Lợi nhuận gộp về bán hàng và cung cấp dịch vụ]]/Table1[[#This Row],[TỔNG CỘNG TÀI SẢN]]</f>
        <v>0.42209685296923866</v>
      </c>
      <c r="T82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1.2671943050407417</v>
      </c>
      <c r="U829" s="23">
        <f>Table1[[#This Row],[1. Doanh thu bán hàng và cung cấp dịch vụ ]]/Table1[[#This Row],[TỔNG CỘNG TÀI SẢN]]</f>
        <v>2.1603921489390605</v>
      </c>
      <c r="V829" s="23">
        <f>1.2*Table1[[#This Row],[X1]] + 1.4*Table1[[#This Row],[X2]] + 3.3*Table1[[#This Row],[x3]] + 0.6*Table1[[#This Row],[x4]] + 1*Table1[[#This Row],[x5]]</f>
        <v>4.6102832108301808</v>
      </c>
      <c r="W829" s="23">
        <f>IF(Table1[[#This Row],[Zscore]]&lt;1.81,1,0)</f>
        <v>0</v>
      </c>
    </row>
    <row r="830" spans="1:23" ht="26.25" hidden="1" x14ac:dyDescent="0.45">
      <c r="A830" s="7">
        <v>824</v>
      </c>
      <c r="B830" s="5" t="s">
        <v>1660</v>
      </c>
      <c r="C830" s="6" t="s">
        <v>1661</v>
      </c>
      <c r="D830" s="6" t="s">
        <v>18</v>
      </c>
      <c r="E830" s="8">
        <v>61658442774</v>
      </c>
      <c r="F830" s="8">
        <v>42042153755</v>
      </c>
      <c r="G830" s="8">
        <v>1379156153</v>
      </c>
      <c r="H830" s="8">
        <v>3367831562</v>
      </c>
      <c r="I830" s="8">
        <v>7543683240</v>
      </c>
      <c r="J830" s="8"/>
      <c r="K830" s="8">
        <v>2259706153</v>
      </c>
      <c r="L830" s="8">
        <v>8953881282</v>
      </c>
      <c r="M830" s="8"/>
      <c r="N830" s="8"/>
      <c r="O830" s="8"/>
      <c r="P830" s="8"/>
      <c r="Q830" s="18">
        <f>(Table1[[#This Row],[A. TÀI SẢN NGẮN HẠN]]-Table1[[#This Row],[I. Nợ ngắn hạn]])/Table1[[#This Row],[TỔNG CỘNG TÀI SẢN]]</f>
        <v>0.65948791069933876</v>
      </c>
      <c r="R830" s="18">
        <f>Table1[[#This Row],[- LNST chưa phân phối kỳ này]]/Table1[[#This Row],[TỔNG CỘNG TÀI SẢN]]</f>
        <v>5.4620769037977392E-2</v>
      </c>
      <c r="S830" s="21">
        <f>Table1[[#This Row],[5. Lợi nhuận gộp về bán hàng và cung cấp dịch vụ]]/Table1[[#This Row],[TỔNG CỘNG TÀI SẢN]]</f>
        <v>0.12234631464259108</v>
      </c>
      <c r="T83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830" s="23">
        <f>Table1[[#This Row],[1. Doanh thu bán hàng và cung cấp dịch vụ ]]/Table1[[#This Row],[TỔNG CỘNG TÀI SẢN]]</f>
        <v>0.14521744110241547</v>
      </c>
      <c r="V830" s="23" t="e">
        <f>1.2*Table1[[#This Row],[X1]] + 1.4*Table1[[#This Row],[X2]] + 3.3*Table1[[#This Row],[x3]] + 0.6*Table1[[#This Row],[x4]] + 1*Table1[[#This Row],[x5]]</f>
        <v>#DIV/0!</v>
      </c>
      <c r="W830" s="23" t="e">
        <f>IF(Table1[[#This Row],[Zscore]]&lt;1.81,1,0)</f>
        <v>#DIV/0!</v>
      </c>
    </row>
    <row r="831" spans="1:23" ht="26.25" hidden="1" x14ac:dyDescent="0.45">
      <c r="A831" s="7">
        <v>825</v>
      </c>
      <c r="B831" s="5" t="s">
        <v>1662</v>
      </c>
      <c r="C831" s="6" t="s">
        <v>1663</v>
      </c>
      <c r="D831" s="6" t="s">
        <v>13</v>
      </c>
      <c r="E831" s="6"/>
      <c r="F831" s="6"/>
      <c r="G831" s="6"/>
      <c r="H831" s="6"/>
      <c r="I831" s="6"/>
      <c r="J831" s="8"/>
      <c r="K831" s="6"/>
      <c r="L831" s="6"/>
      <c r="M831" s="8"/>
      <c r="N831" s="8"/>
      <c r="O831" s="8"/>
      <c r="P831" s="8"/>
      <c r="Q831" s="18" t="e">
        <f>(Table1[[#This Row],[A. TÀI SẢN NGẮN HẠN]]-Table1[[#This Row],[I. Nợ ngắn hạn]])/Table1[[#This Row],[TỔNG CỘNG TÀI SẢN]]</f>
        <v>#DIV/0!</v>
      </c>
      <c r="R831" s="18" t="e">
        <f>Table1[[#This Row],[- LNST chưa phân phối kỳ này]]/Table1[[#This Row],[TỔNG CỘNG TÀI SẢN]]</f>
        <v>#DIV/0!</v>
      </c>
      <c r="S831" s="21" t="e">
        <f>Table1[[#This Row],[5. Lợi nhuận gộp về bán hàng và cung cấp dịch vụ]]/Table1[[#This Row],[TỔNG CỘNG TÀI SẢN]]</f>
        <v>#DIV/0!</v>
      </c>
      <c r="T83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831" s="23" t="e">
        <f>Table1[[#This Row],[1. Doanh thu bán hàng và cung cấp dịch vụ ]]/Table1[[#This Row],[TỔNG CỘNG TÀI SẢN]]</f>
        <v>#DIV/0!</v>
      </c>
      <c r="V831" s="23" t="e">
        <f>1.2*Table1[[#This Row],[X1]] + 1.4*Table1[[#This Row],[X2]] + 3.3*Table1[[#This Row],[x3]] + 0.6*Table1[[#This Row],[x4]] + 1*Table1[[#This Row],[x5]]</f>
        <v>#DIV/0!</v>
      </c>
      <c r="W831" s="23" t="e">
        <f>IF(Table1[[#This Row],[Zscore]]&lt;1.81,1,0)</f>
        <v>#DIV/0!</v>
      </c>
    </row>
    <row r="832" spans="1:23" hidden="1" x14ac:dyDescent="0.45">
      <c r="A832" s="7">
        <v>826</v>
      </c>
      <c r="B832" s="5" t="s">
        <v>1664</v>
      </c>
      <c r="C832" s="6" t="s">
        <v>1665</v>
      </c>
      <c r="D832" s="6" t="s">
        <v>18</v>
      </c>
      <c r="E832" s="8">
        <v>351508283035</v>
      </c>
      <c r="F832" s="8">
        <v>280452448900</v>
      </c>
      <c r="G832" s="8">
        <v>211238578050</v>
      </c>
      <c r="H832" s="8">
        <v>62391321985</v>
      </c>
      <c r="I832" s="8">
        <v>161922062952</v>
      </c>
      <c r="J832" s="8"/>
      <c r="K832" s="8">
        <v>211238578050</v>
      </c>
      <c r="L832" s="8">
        <v>939632751815</v>
      </c>
      <c r="M832" s="8"/>
      <c r="N832" s="8"/>
      <c r="O832" s="8"/>
      <c r="P832" s="8"/>
      <c r="Q832" s="18">
        <f>(Table1[[#This Row],[A. TÀI SẢN NGẮN HẠN]]-Table1[[#This Row],[I. Nợ ngắn hạn]])/Table1[[#This Row],[TỔNG CỘNG TÀI SẢN]]</f>
        <v>0.19690537660277072</v>
      </c>
      <c r="R832" s="18">
        <f>Table1[[#This Row],[- LNST chưa phân phối kỳ này]]/Table1[[#This Row],[TỔNG CỘNG TÀI SẢN]]</f>
        <v>0.17749602213154003</v>
      </c>
      <c r="S832" s="21">
        <f>Table1[[#This Row],[5. Lợi nhuận gộp về bán hàng và cung cấp dịch vụ]]/Table1[[#This Row],[TỔNG CỘNG TÀI SẢN]]</f>
        <v>0.46064935242472588</v>
      </c>
      <c r="T83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832" s="23">
        <f>Table1[[#This Row],[1. Doanh thu bán hàng và cung cấp dịch vụ ]]/Table1[[#This Row],[TỔNG CỘNG TÀI SẢN]]</f>
        <v>2.6731454055705424</v>
      </c>
      <c r="V832" s="23" t="e">
        <f>1.2*Table1[[#This Row],[X1]] + 1.4*Table1[[#This Row],[X2]] + 3.3*Table1[[#This Row],[x3]] + 0.6*Table1[[#This Row],[x4]] + 1*Table1[[#This Row],[x5]]</f>
        <v>#DIV/0!</v>
      </c>
      <c r="W832" s="23" t="e">
        <f>IF(Table1[[#This Row],[Zscore]]&lt;1.81,1,0)</f>
        <v>#DIV/0!</v>
      </c>
    </row>
    <row r="833" spans="1:23" ht="26.25" hidden="1" x14ac:dyDescent="0.45">
      <c r="A833" s="7">
        <v>827</v>
      </c>
      <c r="B833" s="5" t="s">
        <v>1666</v>
      </c>
      <c r="C833" s="6" t="s">
        <v>1667</v>
      </c>
      <c r="D833" s="6" t="s">
        <v>18</v>
      </c>
      <c r="E833" s="6"/>
      <c r="F833" s="6"/>
      <c r="G833" s="6"/>
      <c r="H833" s="6"/>
      <c r="I833" s="6"/>
      <c r="J833" s="8"/>
      <c r="K833" s="6"/>
      <c r="L833" s="6"/>
      <c r="M833" s="8"/>
      <c r="N833" s="8"/>
      <c r="O833" s="8"/>
      <c r="P833" s="8"/>
      <c r="Q833" s="18" t="e">
        <f>(Table1[[#This Row],[A. TÀI SẢN NGẮN HẠN]]-Table1[[#This Row],[I. Nợ ngắn hạn]])/Table1[[#This Row],[TỔNG CỘNG TÀI SẢN]]</f>
        <v>#DIV/0!</v>
      </c>
      <c r="R833" s="18" t="e">
        <f>Table1[[#This Row],[- LNST chưa phân phối kỳ này]]/Table1[[#This Row],[TỔNG CỘNG TÀI SẢN]]</f>
        <v>#DIV/0!</v>
      </c>
      <c r="S833" s="21" t="e">
        <f>Table1[[#This Row],[5. Lợi nhuận gộp về bán hàng và cung cấp dịch vụ]]/Table1[[#This Row],[TỔNG CỘNG TÀI SẢN]]</f>
        <v>#DIV/0!</v>
      </c>
      <c r="T83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833" s="23" t="e">
        <f>Table1[[#This Row],[1. Doanh thu bán hàng và cung cấp dịch vụ ]]/Table1[[#This Row],[TỔNG CỘNG TÀI SẢN]]</f>
        <v>#DIV/0!</v>
      </c>
      <c r="V833" s="23" t="e">
        <f>1.2*Table1[[#This Row],[X1]] + 1.4*Table1[[#This Row],[X2]] + 3.3*Table1[[#This Row],[x3]] + 0.6*Table1[[#This Row],[x4]] + 1*Table1[[#This Row],[x5]]</f>
        <v>#DIV/0!</v>
      </c>
      <c r="W833" s="23" t="e">
        <f>IF(Table1[[#This Row],[Zscore]]&lt;1.81,1,0)</f>
        <v>#DIV/0!</v>
      </c>
    </row>
    <row r="834" spans="1:23" ht="26.25" x14ac:dyDescent="0.45">
      <c r="A834" s="7">
        <v>828</v>
      </c>
      <c r="B834" s="5" t="s">
        <v>1668</v>
      </c>
      <c r="C834" s="6" t="s">
        <v>1669</v>
      </c>
      <c r="D834" s="6" t="s">
        <v>18</v>
      </c>
      <c r="E834" s="8">
        <v>565287969839</v>
      </c>
      <c r="F834" s="8">
        <v>349286818532</v>
      </c>
      <c r="G834" s="8">
        <v>1554791902984</v>
      </c>
      <c r="H834" s="8">
        <v>-35877459765</v>
      </c>
      <c r="I834" s="8">
        <v>-38102284715</v>
      </c>
      <c r="J834" s="8"/>
      <c r="K834" s="8">
        <v>1554791902984</v>
      </c>
      <c r="L834" s="8">
        <v>191913831084</v>
      </c>
      <c r="M834" s="8">
        <v>35000000000</v>
      </c>
      <c r="N834" s="8">
        <v>30000000000</v>
      </c>
      <c r="O834" s="8">
        <v>35000000000</v>
      </c>
      <c r="P834" s="8">
        <v>35000000000</v>
      </c>
      <c r="Q834" s="18">
        <f>(Table1[[#This Row],[A. TÀI SẢN NGẮN HẠN]]-Table1[[#This Row],[I. Nợ ngắn hạn]])/Table1[[#This Row],[TỔNG CỘNG TÀI SẢN]]</f>
        <v>-2.1325503969160011</v>
      </c>
      <c r="R834" s="18">
        <f>Table1[[#This Row],[- LNST chưa phân phối kỳ này]]/Table1[[#This Row],[TỔNG CỘNG TÀI SẢN]]</f>
        <v>-6.3467580559370976E-2</v>
      </c>
      <c r="S834" s="21">
        <f>Table1[[#This Row],[5. Lợi nhuận gộp về bán hàng và cung cấp dịch vụ]]/Table1[[#This Row],[TỔNG CỘNG TÀI SẢN]]</f>
        <v>-6.7403317862667289E-2</v>
      </c>
      <c r="T83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2.170708500296796E-2</v>
      </c>
      <c r="U834" s="23">
        <f>Table1[[#This Row],[1. Doanh thu bán hàng và cung cấp dịch vụ ]]/Table1[[#This Row],[TỔNG CỘNG TÀI SẢN]]</f>
        <v>0.33949746204338843</v>
      </c>
      <c r="V834" s="23">
        <f>1.2*Table1[[#This Row],[X1]] + 1.4*Table1[[#This Row],[X2]] + 3.3*Table1[[#This Row],[x3]] + 0.6*Table1[[#This Row],[x4]] + 1*Table1[[#This Row],[x5]]</f>
        <v>-2.5178243249839531</v>
      </c>
      <c r="W834" s="23">
        <f>IF(Table1[[#This Row],[Zscore]]&lt;1.81,1,0)</f>
        <v>1</v>
      </c>
    </row>
    <row r="835" spans="1:23" x14ac:dyDescent="0.45">
      <c r="A835" s="7">
        <v>829</v>
      </c>
      <c r="B835" s="5" t="s">
        <v>1670</v>
      </c>
      <c r="C835" s="6" t="s">
        <v>1671</v>
      </c>
      <c r="D835" s="6" t="s">
        <v>21</v>
      </c>
      <c r="E835" s="8">
        <v>13919681054918</v>
      </c>
      <c r="F835" s="8">
        <v>13750838979456</v>
      </c>
      <c r="G835" s="8">
        <v>9499714583644</v>
      </c>
      <c r="H835" s="8">
        <v>378887734159</v>
      </c>
      <c r="I835" s="8">
        <v>585704500696</v>
      </c>
      <c r="J835" s="8"/>
      <c r="K835" s="8">
        <v>9499714583644</v>
      </c>
      <c r="L835" s="8">
        <v>1205808101002</v>
      </c>
      <c r="M835" s="8">
        <v>15479519919600</v>
      </c>
      <c r="N835" s="8">
        <v>11417109396550</v>
      </c>
      <c r="O835" s="8">
        <v>12686412259300</v>
      </c>
      <c r="P835" s="8">
        <v>12456603423550</v>
      </c>
      <c r="Q835" s="18">
        <f>(Table1[[#This Row],[A. TÀI SẢN NGẮN HẠN]]-Table1[[#This Row],[I. Nợ ngắn hạn]])/Table1[[#This Row],[TỔNG CỘNG TÀI SẢN]]</f>
        <v>0.30540386514890899</v>
      </c>
      <c r="R835" s="18">
        <f>Table1[[#This Row],[- LNST chưa phân phối kỳ này]]/Table1[[#This Row],[TỔNG CỘNG TÀI SẢN]]</f>
        <v>2.72195700938948E-2</v>
      </c>
      <c r="S835" s="21">
        <f>Table1[[#This Row],[5. Lợi nhuận gộp về bán hàng và cung cấp dịch vụ]]/Table1[[#This Row],[TỔNG CỘNG TÀI SẢN]]</f>
        <v>4.2077436859737756E-2</v>
      </c>
      <c r="T83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1.3695054872648103</v>
      </c>
      <c r="U835" s="23">
        <f>Table1[[#This Row],[1. Doanh thu bán hàng và cung cấp dịch vụ ]]/Table1[[#This Row],[TỔNG CỘNG TÀI SẢN]]</f>
        <v>8.6626130027309262E-2</v>
      </c>
      <c r="V835" s="23">
        <f>1.2*Table1[[#This Row],[X1]] + 1.4*Table1[[#This Row],[X2]] + 3.3*Table1[[#This Row],[x3]] + 0.6*Table1[[#This Row],[x4]] + 1*Table1[[#This Row],[x5]]</f>
        <v>1.4517770003334736</v>
      </c>
      <c r="W835" s="23">
        <f>IF(Table1[[#This Row],[Zscore]]&lt;1.81,1,0)</f>
        <v>1</v>
      </c>
    </row>
    <row r="836" spans="1:23" ht="26.25" hidden="1" x14ac:dyDescent="0.45">
      <c r="A836" s="7">
        <v>830</v>
      </c>
      <c r="B836" s="5" t="s">
        <v>1672</v>
      </c>
      <c r="C836" s="6" t="s">
        <v>1673</v>
      </c>
      <c r="D836" s="6" t="s">
        <v>13</v>
      </c>
      <c r="E836" s="6"/>
      <c r="F836" s="6"/>
      <c r="G836" s="6"/>
      <c r="H836" s="6"/>
      <c r="I836" s="6"/>
      <c r="J836" s="8"/>
      <c r="K836" s="6"/>
      <c r="L836" s="6"/>
      <c r="M836" s="8"/>
      <c r="N836" s="8"/>
      <c r="O836" s="8"/>
      <c r="P836" s="8"/>
      <c r="Q836" s="18" t="e">
        <f>(Table1[[#This Row],[A. TÀI SẢN NGẮN HẠN]]-Table1[[#This Row],[I. Nợ ngắn hạn]])/Table1[[#This Row],[TỔNG CỘNG TÀI SẢN]]</f>
        <v>#DIV/0!</v>
      </c>
      <c r="R836" s="18" t="e">
        <f>Table1[[#This Row],[- LNST chưa phân phối kỳ này]]/Table1[[#This Row],[TỔNG CỘNG TÀI SẢN]]</f>
        <v>#DIV/0!</v>
      </c>
      <c r="S836" s="21" t="e">
        <f>Table1[[#This Row],[5. Lợi nhuận gộp về bán hàng và cung cấp dịch vụ]]/Table1[[#This Row],[TỔNG CỘNG TÀI SẢN]]</f>
        <v>#DIV/0!</v>
      </c>
      <c r="T83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836" s="23" t="e">
        <f>Table1[[#This Row],[1. Doanh thu bán hàng và cung cấp dịch vụ ]]/Table1[[#This Row],[TỔNG CỘNG TÀI SẢN]]</f>
        <v>#DIV/0!</v>
      </c>
      <c r="V836" s="23" t="e">
        <f>1.2*Table1[[#This Row],[X1]] + 1.4*Table1[[#This Row],[X2]] + 3.3*Table1[[#This Row],[x3]] + 0.6*Table1[[#This Row],[x4]] + 1*Table1[[#This Row],[x5]]</f>
        <v>#DIV/0!</v>
      </c>
      <c r="W836" s="23" t="e">
        <f>IF(Table1[[#This Row],[Zscore]]&lt;1.81,1,0)</f>
        <v>#DIV/0!</v>
      </c>
    </row>
    <row r="837" spans="1:23" ht="26.25" hidden="1" x14ac:dyDescent="0.45">
      <c r="A837" s="7">
        <v>831</v>
      </c>
      <c r="B837" s="5" t="s">
        <v>1674</v>
      </c>
      <c r="C837" s="6" t="s">
        <v>1675</v>
      </c>
      <c r="D837" s="6" t="s">
        <v>21</v>
      </c>
      <c r="E837" s="6"/>
      <c r="F837" s="6"/>
      <c r="G837" s="6"/>
      <c r="H837" s="6"/>
      <c r="I837" s="6"/>
      <c r="J837" s="8"/>
      <c r="K837" s="6"/>
      <c r="L837" s="6"/>
      <c r="M837" s="8"/>
      <c r="N837" s="8"/>
      <c r="O837" s="8"/>
      <c r="P837" s="8"/>
      <c r="Q837" s="18" t="e">
        <f>(Table1[[#This Row],[A. TÀI SẢN NGẮN HẠN]]-Table1[[#This Row],[I. Nợ ngắn hạn]])/Table1[[#This Row],[TỔNG CỘNG TÀI SẢN]]</f>
        <v>#DIV/0!</v>
      </c>
      <c r="R837" s="18" t="e">
        <f>Table1[[#This Row],[- LNST chưa phân phối kỳ này]]/Table1[[#This Row],[TỔNG CỘNG TÀI SẢN]]</f>
        <v>#DIV/0!</v>
      </c>
      <c r="S837" s="21" t="e">
        <f>Table1[[#This Row],[5. Lợi nhuận gộp về bán hàng và cung cấp dịch vụ]]/Table1[[#This Row],[TỔNG CỘNG TÀI SẢN]]</f>
        <v>#DIV/0!</v>
      </c>
      <c r="T83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837" s="23" t="e">
        <f>Table1[[#This Row],[1. Doanh thu bán hàng và cung cấp dịch vụ ]]/Table1[[#This Row],[TỔNG CỘNG TÀI SẢN]]</f>
        <v>#DIV/0!</v>
      </c>
      <c r="V837" s="23" t="e">
        <f>1.2*Table1[[#This Row],[X1]] + 1.4*Table1[[#This Row],[X2]] + 3.3*Table1[[#This Row],[x3]] + 0.6*Table1[[#This Row],[x4]] + 1*Table1[[#This Row],[x5]]</f>
        <v>#DIV/0!</v>
      </c>
      <c r="W837" s="23" t="e">
        <f>IF(Table1[[#This Row],[Zscore]]&lt;1.81,1,0)</f>
        <v>#DIV/0!</v>
      </c>
    </row>
    <row r="838" spans="1:23" ht="26.25" hidden="1" x14ac:dyDescent="0.45">
      <c r="A838" s="7">
        <v>832</v>
      </c>
      <c r="B838" s="5" t="s">
        <v>1676</v>
      </c>
      <c r="C838" s="6" t="s">
        <v>1677</v>
      </c>
      <c r="D838" s="6" t="s">
        <v>21</v>
      </c>
      <c r="E838" s="6"/>
      <c r="F838" s="6"/>
      <c r="G838" s="6"/>
      <c r="H838" s="6"/>
      <c r="I838" s="6"/>
      <c r="J838" s="8"/>
      <c r="K838" s="6"/>
      <c r="L838" s="6"/>
      <c r="M838" s="8"/>
      <c r="N838" s="8"/>
      <c r="O838" s="8"/>
      <c r="P838" s="8"/>
      <c r="Q838" s="18" t="e">
        <f>(Table1[[#This Row],[A. TÀI SẢN NGẮN HẠN]]-Table1[[#This Row],[I. Nợ ngắn hạn]])/Table1[[#This Row],[TỔNG CỘNG TÀI SẢN]]</f>
        <v>#DIV/0!</v>
      </c>
      <c r="R838" s="18" t="e">
        <f>Table1[[#This Row],[- LNST chưa phân phối kỳ này]]/Table1[[#This Row],[TỔNG CỘNG TÀI SẢN]]</f>
        <v>#DIV/0!</v>
      </c>
      <c r="S838" s="21" t="e">
        <f>Table1[[#This Row],[5. Lợi nhuận gộp về bán hàng và cung cấp dịch vụ]]/Table1[[#This Row],[TỔNG CỘNG TÀI SẢN]]</f>
        <v>#DIV/0!</v>
      </c>
      <c r="T83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838" s="23" t="e">
        <f>Table1[[#This Row],[1. Doanh thu bán hàng và cung cấp dịch vụ ]]/Table1[[#This Row],[TỔNG CỘNG TÀI SẢN]]</f>
        <v>#DIV/0!</v>
      </c>
      <c r="V838" s="23" t="e">
        <f>1.2*Table1[[#This Row],[X1]] + 1.4*Table1[[#This Row],[X2]] + 3.3*Table1[[#This Row],[x3]] + 0.6*Table1[[#This Row],[x4]] + 1*Table1[[#This Row],[x5]]</f>
        <v>#DIV/0!</v>
      </c>
      <c r="W838" s="23" t="e">
        <f>IF(Table1[[#This Row],[Zscore]]&lt;1.81,1,0)</f>
        <v>#DIV/0!</v>
      </c>
    </row>
    <row r="839" spans="1:23" ht="26.25" hidden="1" x14ac:dyDescent="0.45">
      <c r="A839" s="7">
        <v>833</v>
      </c>
      <c r="B839" s="5" t="s">
        <v>1678</v>
      </c>
      <c r="C839" s="6" t="s">
        <v>1679</v>
      </c>
      <c r="D839" s="6" t="s">
        <v>21</v>
      </c>
      <c r="E839" s="6"/>
      <c r="F839" s="6"/>
      <c r="G839" s="6"/>
      <c r="H839" s="6"/>
      <c r="I839" s="6"/>
      <c r="J839" s="8"/>
      <c r="K839" s="6"/>
      <c r="L839" s="6"/>
      <c r="M839" s="8"/>
      <c r="N839" s="8"/>
      <c r="O839" s="8"/>
      <c r="P839" s="8"/>
      <c r="Q839" s="18" t="e">
        <f>(Table1[[#This Row],[A. TÀI SẢN NGẮN HẠN]]-Table1[[#This Row],[I. Nợ ngắn hạn]])/Table1[[#This Row],[TỔNG CỘNG TÀI SẢN]]</f>
        <v>#DIV/0!</v>
      </c>
      <c r="R839" s="18" t="e">
        <f>Table1[[#This Row],[- LNST chưa phân phối kỳ này]]/Table1[[#This Row],[TỔNG CỘNG TÀI SẢN]]</f>
        <v>#DIV/0!</v>
      </c>
      <c r="S839" s="21" t="e">
        <f>Table1[[#This Row],[5. Lợi nhuận gộp về bán hàng và cung cấp dịch vụ]]/Table1[[#This Row],[TỔNG CỘNG TÀI SẢN]]</f>
        <v>#DIV/0!</v>
      </c>
      <c r="T83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839" s="23" t="e">
        <f>Table1[[#This Row],[1. Doanh thu bán hàng và cung cấp dịch vụ ]]/Table1[[#This Row],[TỔNG CỘNG TÀI SẢN]]</f>
        <v>#DIV/0!</v>
      </c>
      <c r="V839" s="23" t="e">
        <f>1.2*Table1[[#This Row],[X1]] + 1.4*Table1[[#This Row],[X2]] + 3.3*Table1[[#This Row],[x3]] + 0.6*Table1[[#This Row],[x4]] + 1*Table1[[#This Row],[x5]]</f>
        <v>#DIV/0!</v>
      </c>
      <c r="W839" s="23" t="e">
        <f>IF(Table1[[#This Row],[Zscore]]&lt;1.81,1,0)</f>
        <v>#DIV/0!</v>
      </c>
    </row>
    <row r="840" spans="1:23" ht="26.25" hidden="1" x14ac:dyDescent="0.45">
      <c r="A840" s="7">
        <v>834</v>
      </c>
      <c r="B840" s="5" t="s">
        <v>1680</v>
      </c>
      <c r="C840" s="6" t="s">
        <v>1681</v>
      </c>
      <c r="D840" s="6" t="s">
        <v>21</v>
      </c>
      <c r="E840" s="6"/>
      <c r="F840" s="6"/>
      <c r="G840" s="6"/>
      <c r="H840" s="6"/>
      <c r="I840" s="6"/>
      <c r="J840" s="8"/>
      <c r="K840" s="6"/>
      <c r="L840" s="6"/>
      <c r="M840" s="8"/>
      <c r="N840" s="8"/>
      <c r="O840" s="8"/>
      <c r="P840" s="8"/>
      <c r="Q840" s="18" t="e">
        <f>(Table1[[#This Row],[A. TÀI SẢN NGẮN HẠN]]-Table1[[#This Row],[I. Nợ ngắn hạn]])/Table1[[#This Row],[TỔNG CỘNG TÀI SẢN]]</f>
        <v>#DIV/0!</v>
      </c>
      <c r="R840" s="18" t="e">
        <f>Table1[[#This Row],[- LNST chưa phân phối kỳ này]]/Table1[[#This Row],[TỔNG CỘNG TÀI SẢN]]</f>
        <v>#DIV/0!</v>
      </c>
      <c r="S840" s="21" t="e">
        <f>Table1[[#This Row],[5. Lợi nhuận gộp về bán hàng và cung cấp dịch vụ]]/Table1[[#This Row],[TỔNG CỘNG TÀI SẢN]]</f>
        <v>#DIV/0!</v>
      </c>
      <c r="T84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840" s="23" t="e">
        <f>Table1[[#This Row],[1. Doanh thu bán hàng và cung cấp dịch vụ ]]/Table1[[#This Row],[TỔNG CỘNG TÀI SẢN]]</f>
        <v>#DIV/0!</v>
      </c>
      <c r="V840" s="23" t="e">
        <f>1.2*Table1[[#This Row],[X1]] + 1.4*Table1[[#This Row],[X2]] + 3.3*Table1[[#This Row],[x3]] + 0.6*Table1[[#This Row],[x4]] + 1*Table1[[#This Row],[x5]]</f>
        <v>#DIV/0!</v>
      </c>
      <c r="W840" s="23" t="e">
        <f>IF(Table1[[#This Row],[Zscore]]&lt;1.81,1,0)</f>
        <v>#DIV/0!</v>
      </c>
    </row>
    <row r="841" spans="1:23" ht="26.25" hidden="1" x14ac:dyDescent="0.45">
      <c r="A841" s="7">
        <v>835</v>
      </c>
      <c r="B841" s="5" t="s">
        <v>1682</v>
      </c>
      <c r="C841" s="6" t="s">
        <v>1683</v>
      </c>
      <c r="D841" s="6" t="s">
        <v>21</v>
      </c>
      <c r="E841" s="6"/>
      <c r="F841" s="6"/>
      <c r="G841" s="6"/>
      <c r="H841" s="6"/>
      <c r="I841" s="6"/>
      <c r="J841" s="8"/>
      <c r="K841" s="6"/>
      <c r="L841" s="6"/>
      <c r="M841" s="8"/>
      <c r="N841" s="8"/>
      <c r="O841" s="8"/>
      <c r="P841" s="8"/>
      <c r="Q841" s="18" t="e">
        <f>(Table1[[#This Row],[A. TÀI SẢN NGẮN HẠN]]-Table1[[#This Row],[I. Nợ ngắn hạn]])/Table1[[#This Row],[TỔNG CỘNG TÀI SẢN]]</f>
        <v>#DIV/0!</v>
      </c>
      <c r="R841" s="18" t="e">
        <f>Table1[[#This Row],[- LNST chưa phân phối kỳ này]]/Table1[[#This Row],[TỔNG CỘNG TÀI SẢN]]</f>
        <v>#DIV/0!</v>
      </c>
      <c r="S841" s="21" t="e">
        <f>Table1[[#This Row],[5. Lợi nhuận gộp về bán hàng và cung cấp dịch vụ]]/Table1[[#This Row],[TỔNG CỘNG TÀI SẢN]]</f>
        <v>#DIV/0!</v>
      </c>
      <c r="T84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841" s="23" t="e">
        <f>Table1[[#This Row],[1. Doanh thu bán hàng và cung cấp dịch vụ ]]/Table1[[#This Row],[TỔNG CỘNG TÀI SẢN]]</f>
        <v>#DIV/0!</v>
      </c>
      <c r="V841" s="23" t="e">
        <f>1.2*Table1[[#This Row],[X1]] + 1.4*Table1[[#This Row],[X2]] + 3.3*Table1[[#This Row],[x3]] + 0.6*Table1[[#This Row],[x4]] + 1*Table1[[#This Row],[x5]]</f>
        <v>#DIV/0!</v>
      </c>
      <c r="W841" s="23" t="e">
        <f>IF(Table1[[#This Row],[Zscore]]&lt;1.81,1,0)</f>
        <v>#DIV/0!</v>
      </c>
    </row>
    <row r="842" spans="1:23" ht="26.25" hidden="1" x14ac:dyDescent="0.45">
      <c r="A842" s="7">
        <v>836</v>
      </c>
      <c r="B842" s="5" t="s">
        <v>1684</v>
      </c>
      <c r="C842" s="6" t="s">
        <v>1685</v>
      </c>
      <c r="D842" s="6" t="s">
        <v>21</v>
      </c>
      <c r="E842" s="6"/>
      <c r="F842" s="6"/>
      <c r="G842" s="6"/>
      <c r="H842" s="6"/>
      <c r="I842" s="6"/>
      <c r="J842" s="8"/>
      <c r="K842" s="6"/>
      <c r="L842" s="6"/>
      <c r="M842" s="8"/>
      <c r="N842" s="8"/>
      <c r="O842" s="8"/>
      <c r="P842" s="8"/>
      <c r="Q842" s="18" t="e">
        <f>(Table1[[#This Row],[A. TÀI SẢN NGẮN HẠN]]-Table1[[#This Row],[I. Nợ ngắn hạn]])/Table1[[#This Row],[TỔNG CỘNG TÀI SẢN]]</f>
        <v>#DIV/0!</v>
      </c>
      <c r="R842" s="18" t="e">
        <f>Table1[[#This Row],[- LNST chưa phân phối kỳ này]]/Table1[[#This Row],[TỔNG CỘNG TÀI SẢN]]</f>
        <v>#DIV/0!</v>
      </c>
      <c r="S842" s="21" t="e">
        <f>Table1[[#This Row],[5. Lợi nhuận gộp về bán hàng và cung cấp dịch vụ]]/Table1[[#This Row],[TỔNG CỘNG TÀI SẢN]]</f>
        <v>#DIV/0!</v>
      </c>
      <c r="T84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842" s="23" t="e">
        <f>Table1[[#This Row],[1. Doanh thu bán hàng và cung cấp dịch vụ ]]/Table1[[#This Row],[TỔNG CỘNG TÀI SẢN]]</f>
        <v>#DIV/0!</v>
      </c>
      <c r="V842" s="23" t="e">
        <f>1.2*Table1[[#This Row],[X1]] + 1.4*Table1[[#This Row],[X2]] + 3.3*Table1[[#This Row],[x3]] + 0.6*Table1[[#This Row],[x4]] + 1*Table1[[#This Row],[x5]]</f>
        <v>#DIV/0!</v>
      </c>
      <c r="W842" s="23" t="e">
        <f>IF(Table1[[#This Row],[Zscore]]&lt;1.81,1,0)</f>
        <v>#DIV/0!</v>
      </c>
    </row>
    <row r="843" spans="1:23" ht="26.25" hidden="1" x14ac:dyDescent="0.45">
      <c r="A843" s="7">
        <v>837</v>
      </c>
      <c r="B843" s="5" t="s">
        <v>1686</v>
      </c>
      <c r="C843" s="6" t="s">
        <v>1687</v>
      </c>
      <c r="D843" s="6" t="s">
        <v>21</v>
      </c>
      <c r="E843" s="6"/>
      <c r="F843" s="6"/>
      <c r="G843" s="6"/>
      <c r="H843" s="6"/>
      <c r="I843" s="6"/>
      <c r="J843" s="8"/>
      <c r="K843" s="6"/>
      <c r="L843" s="6"/>
      <c r="M843" s="8"/>
      <c r="N843" s="8"/>
      <c r="O843" s="8"/>
      <c r="P843" s="8"/>
      <c r="Q843" s="18" t="e">
        <f>(Table1[[#This Row],[A. TÀI SẢN NGẮN HẠN]]-Table1[[#This Row],[I. Nợ ngắn hạn]])/Table1[[#This Row],[TỔNG CỘNG TÀI SẢN]]</f>
        <v>#DIV/0!</v>
      </c>
      <c r="R843" s="18" t="e">
        <f>Table1[[#This Row],[- LNST chưa phân phối kỳ này]]/Table1[[#This Row],[TỔNG CỘNG TÀI SẢN]]</f>
        <v>#DIV/0!</v>
      </c>
      <c r="S843" s="21" t="e">
        <f>Table1[[#This Row],[5. Lợi nhuận gộp về bán hàng và cung cấp dịch vụ]]/Table1[[#This Row],[TỔNG CỘNG TÀI SẢN]]</f>
        <v>#DIV/0!</v>
      </c>
      <c r="T84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843" s="23" t="e">
        <f>Table1[[#This Row],[1. Doanh thu bán hàng và cung cấp dịch vụ ]]/Table1[[#This Row],[TỔNG CỘNG TÀI SẢN]]</f>
        <v>#DIV/0!</v>
      </c>
      <c r="V843" s="23" t="e">
        <f>1.2*Table1[[#This Row],[X1]] + 1.4*Table1[[#This Row],[X2]] + 3.3*Table1[[#This Row],[x3]] + 0.6*Table1[[#This Row],[x4]] + 1*Table1[[#This Row],[x5]]</f>
        <v>#DIV/0!</v>
      </c>
      <c r="W843" s="23" t="e">
        <f>IF(Table1[[#This Row],[Zscore]]&lt;1.81,1,0)</f>
        <v>#DIV/0!</v>
      </c>
    </row>
    <row r="844" spans="1:23" ht="26.25" hidden="1" x14ac:dyDescent="0.45">
      <c r="A844" s="7">
        <v>838</v>
      </c>
      <c r="B844" s="5" t="s">
        <v>1688</v>
      </c>
      <c r="C844" s="6" t="s">
        <v>1689</v>
      </c>
      <c r="D844" s="6" t="s">
        <v>21</v>
      </c>
      <c r="E844" s="6"/>
      <c r="F844" s="6"/>
      <c r="G844" s="6"/>
      <c r="H844" s="6"/>
      <c r="I844" s="6"/>
      <c r="J844" s="8"/>
      <c r="K844" s="6"/>
      <c r="L844" s="6"/>
      <c r="M844" s="8"/>
      <c r="N844" s="8"/>
      <c r="O844" s="8"/>
      <c r="P844" s="8"/>
      <c r="Q844" s="18" t="e">
        <f>(Table1[[#This Row],[A. TÀI SẢN NGẮN HẠN]]-Table1[[#This Row],[I. Nợ ngắn hạn]])/Table1[[#This Row],[TỔNG CỘNG TÀI SẢN]]</f>
        <v>#DIV/0!</v>
      </c>
      <c r="R844" s="18" t="e">
        <f>Table1[[#This Row],[- LNST chưa phân phối kỳ này]]/Table1[[#This Row],[TỔNG CỘNG TÀI SẢN]]</f>
        <v>#DIV/0!</v>
      </c>
      <c r="S844" s="21" t="e">
        <f>Table1[[#This Row],[5. Lợi nhuận gộp về bán hàng và cung cấp dịch vụ]]/Table1[[#This Row],[TỔNG CỘNG TÀI SẢN]]</f>
        <v>#DIV/0!</v>
      </c>
      <c r="T84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844" s="23" t="e">
        <f>Table1[[#This Row],[1. Doanh thu bán hàng và cung cấp dịch vụ ]]/Table1[[#This Row],[TỔNG CỘNG TÀI SẢN]]</f>
        <v>#DIV/0!</v>
      </c>
      <c r="V844" s="23" t="e">
        <f>1.2*Table1[[#This Row],[X1]] + 1.4*Table1[[#This Row],[X2]] + 3.3*Table1[[#This Row],[x3]] + 0.6*Table1[[#This Row],[x4]] + 1*Table1[[#This Row],[x5]]</f>
        <v>#DIV/0!</v>
      </c>
      <c r="W844" s="23" t="e">
        <f>IF(Table1[[#This Row],[Zscore]]&lt;1.81,1,0)</f>
        <v>#DIV/0!</v>
      </c>
    </row>
    <row r="845" spans="1:23" hidden="1" x14ac:dyDescent="0.45">
      <c r="A845" s="7">
        <v>839</v>
      </c>
      <c r="B845" s="5" t="s">
        <v>1690</v>
      </c>
      <c r="C845" s="6" t="s">
        <v>1691</v>
      </c>
      <c r="D845" s="6" t="s">
        <v>21</v>
      </c>
      <c r="E845" s="6"/>
      <c r="F845" s="6"/>
      <c r="G845" s="6"/>
      <c r="H845" s="6"/>
      <c r="I845" s="6"/>
      <c r="J845" s="8"/>
      <c r="K845" s="6"/>
      <c r="L845" s="6"/>
      <c r="M845" s="8"/>
      <c r="N845" s="8"/>
      <c r="O845" s="8"/>
      <c r="P845" s="8"/>
      <c r="Q845" s="18" t="e">
        <f>(Table1[[#This Row],[A. TÀI SẢN NGẮN HẠN]]-Table1[[#This Row],[I. Nợ ngắn hạn]])/Table1[[#This Row],[TỔNG CỘNG TÀI SẢN]]</f>
        <v>#DIV/0!</v>
      </c>
      <c r="R845" s="18" t="e">
        <f>Table1[[#This Row],[- LNST chưa phân phối kỳ này]]/Table1[[#This Row],[TỔNG CỘNG TÀI SẢN]]</f>
        <v>#DIV/0!</v>
      </c>
      <c r="S845" s="21" t="e">
        <f>Table1[[#This Row],[5. Lợi nhuận gộp về bán hàng và cung cấp dịch vụ]]/Table1[[#This Row],[TỔNG CỘNG TÀI SẢN]]</f>
        <v>#DIV/0!</v>
      </c>
      <c r="T84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845" s="23" t="e">
        <f>Table1[[#This Row],[1. Doanh thu bán hàng và cung cấp dịch vụ ]]/Table1[[#This Row],[TỔNG CỘNG TÀI SẢN]]</f>
        <v>#DIV/0!</v>
      </c>
      <c r="V845" s="23" t="e">
        <f>1.2*Table1[[#This Row],[X1]] + 1.4*Table1[[#This Row],[X2]] + 3.3*Table1[[#This Row],[x3]] + 0.6*Table1[[#This Row],[x4]] + 1*Table1[[#This Row],[x5]]</f>
        <v>#DIV/0!</v>
      </c>
      <c r="W845" s="23" t="e">
        <f>IF(Table1[[#This Row],[Zscore]]&lt;1.81,1,0)</f>
        <v>#DIV/0!</v>
      </c>
    </row>
    <row r="846" spans="1:23" ht="26.25" hidden="1" x14ac:dyDescent="0.45">
      <c r="A846" s="7">
        <v>840</v>
      </c>
      <c r="B846" s="5" t="s">
        <v>1692</v>
      </c>
      <c r="C846" s="6" t="s">
        <v>1693</v>
      </c>
      <c r="D846" s="6" t="s">
        <v>21</v>
      </c>
      <c r="E846" s="6"/>
      <c r="F846" s="6"/>
      <c r="G846" s="6"/>
      <c r="H846" s="6"/>
      <c r="I846" s="6"/>
      <c r="J846" s="8"/>
      <c r="K846" s="6"/>
      <c r="L846" s="6"/>
      <c r="M846" s="8"/>
      <c r="N846" s="8"/>
      <c r="O846" s="8"/>
      <c r="P846" s="8"/>
      <c r="Q846" s="18" t="e">
        <f>(Table1[[#This Row],[A. TÀI SẢN NGẮN HẠN]]-Table1[[#This Row],[I. Nợ ngắn hạn]])/Table1[[#This Row],[TỔNG CỘNG TÀI SẢN]]</f>
        <v>#DIV/0!</v>
      </c>
      <c r="R846" s="18" t="e">
        <f>Table1[[#This Row],[- LNST chưa phân phối kỳ này]]/Table1[[#This Row],[TỔNG CỘNG TÀI SẢN]]</f>
        <v>#DIV/0!</v>
      </c>
      <c r="S846" s="21" t="e">
        <f>Table1[[#This Row],[5. Lợi nhuận gộp về bán hàng và cung cấp dịch vụ]]/Table1[[#This Row],[TỔNG CỘNG TÀI SẢN]]</f>
        <v>#DIV/0!</v>
      </c>
      <c r="T84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846" s="23" t="e">
        <f>Table1[[#This Row],[1. Doanh thu bán hàng và cung cấp dịch vụ ]]/Table1[[#This Row],[TỔNG CỘNG TÀI SẢN]]</f>
        <v>#DIV/0!</v>
      </c>
      <c r="V846" s="23" t="e">
        <f>1.2*Table1[[#This Row],[X1]] + 1.4*Table1[[#This Row],[X2]] + 3.3*Table1[[#This Row],[x3]] + 0.6*Table1[[#This Row],[x4]] + 1*Table1[[#This Row],[x5]]</f>
        <v>#DIV/0!</v>
      </c>
      <c r="W846" s="23" t="e">
        <f>IF(Table1[[#This Row],[Zscore]]&lt;1.81,1,0)</f>
        <v>#DIV/0!</v>
      </c>
    </row>
    <row r="847" spans="1:23" ht="26.25" hidden="1" x14ac:dyDescent="0.45">
      <c r="A847" s="7">
        <v>841</v>
      </c>
      <c r="B847" s="5" t="s">
        <v>1694</v>
      </c>
      <c r="C847" s="6" t="s">
        <v>1695</v>
      </c>
      <c r="D847" s="6" t="s">
        <v>21</v>
      </c>
      <c r="E847" s="6"/>
      <c r="F847" s="6"/>
      <c r="G847" s="6"/>
      <c r="H847" s="6"/>
      <c r="I847" s="6"/>
      <c r="J847" s="8"/>
      <c r="K847" s="6"/>
      <c r="L847" s="6"/>
      <c r="M847" s="8"/>
      <c r="N847" s="8"/>
      <c r="O847" s="8"/>
      <c r="P847" s="8"/>
      <c r="Q847" s="18" t="e">
        <f>(Table1[[#This Row],[A. TÀI SẢN NGẮN HẠN]]-Table1[[#This Row],[I. Nợ ngắn hạn]])/Table1[[#This Row],[TỔNG CỘNG TÀI SẢN]]</f>
        <v>#DIV/0!</v>
      </c>
      <c r="R847" s="18" t="e">
        <f>Table1[[#This Row],[- LNST chưa phân phối kỳ này]]/Table1[[#This Row],[TỔNG CỘNG TÀI SẢN]]</f>
        <v>#DIV/0!</v>
      </c>
      <c r="S847" s="21" t="e">
        <f>Table1[[#This Row],[5. Lợi nhuận gộp về bán hàng và cung cấp dịch vụ]]/Table1[[#This Row],[TỔNG CỘNG TÀI SẢN]]</f>
        <v>#DIV/0!</v>
      </c>
      <c r="T84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847" s="23" t="e">
        <f>Table1[[#This Row],[1. Doanh thu bán hàng và cung cấp dịch vụ ]]/Table1[[#This Row],[TỔNG CỘNG TÀI SẢN]]</f>
        <v>#DIV/0!</v>
      </c>
      <c r="V847" s="23" t="e">
        <f>1.2*Table1[[#This Row],[X1]] + 1.4*Table1[[#This Row],[X2]] + 3.3*Table1[[#This Row],[x3]] + 0.6*Table1[[#This Row],[x4]] + 1*Table1[[#This Row],[x5]]</f>
        <v>#DIV/0!</v>
      </c>
      <c r="W847" s="23" t="e">
        <f>IF(Table1[[#This Row],[Zscore]]&lt;1.81,1,0)</f>
        <v>#DIV/0!</v>
      </c>
    </row>
    <row r="848" spans="1:23" ht="26.25" hidden="1" x14ac:dyDescent="0.45">
      <c r="A848" s="7">
        <v>842</v>
      </c>
      <c r="B848" s="5" t="s">
        <v>1696</v>
      </c>
      <c r="C848" s="6" t="s">
        <v>1697</v>
      </c>
      <c r="D848" s="6" t="s">
        <v>21</v>
      </c>
      <c r="E848" s="6"/>
      <c r="F848" s="6"/>
      <c r="G848" s="6"/>
      <c r="H848" s="6"/>
      <c r="I848" s="6"/>
      <c r="J848" s="8"/>
      <c r="K848" s="6"/>
      <c r="L848" s="6"/>
      <c r="M848" s="8"/>
      <c r="N848" s="8"/>
      <c r="O848" s="8"/>
      <c r="P848" s="8"/>
      <c r="Q848" s="18" t="e">
        <f>(Table1[[#This Row],[A. TÀI SẢN NGẮN HẠN]]-Table1[[#This Row],[I. Nợ ngắn hạn]])/Table1[[#This Row],[TỔNG CỘNG TÀI SẢN]]</f>
        <v>#DIV/0!</v>
      </c>
      <c r="R848" s="18" t="e">
        <f>Table1[[#This Row],[- LNST chưa phân phối kỳ này]]/Table1[[#This Row],[TỔNG CỘNG TÀI SẢN]]</f>
        <v>#DIV/0!</v>
      </c>
      <c r="S848" s="21" t="e">
        <f>Table1[[#This Row],[5. Lợi nhuận gộp về bán hàng và cung cấp dịch vụ]]/Table1[[#This Row],[TỔNG CỘNG TÀI SẢN]]</f>
        <v>#DIV/0!</v>
      </c>
      <c r="T84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848" s="23" t="e">
        <f>Table1[[#This Row],[1. Doanh thu bán hàng và cung cấp dịch vụ ]]/Table1[[#This Row],[TỔNG CỘNG TÀI SẢN]]</f>
        <v>#DIV/0!</v>
      </c>
      <c r="V848" s="23" t="e">
        <f>1.2*Table1[[#This Row],[X1]] + 1.4*Table1[[#This Row],[X2]] + 3.3*Table1[[#This Row],[x3]] + 0.6*Table1[[#This Row],[x4]] + 1*Table1[[#This Row],[x5]]</f>
        <v>#DIV/0!</v>
      </c>
      <c r="W848" s="23" t="e">
        <f>IF(Table1[[#This Row],[Zscore]]&lt;1.81,1,0)</f>
        <v>#DIV/0!</v>
      </c>
    </row>
    <row r="849" spans="1:23" hidden="1" x14ac:dyDescent="0.45">
      <c r="A849" s="7">
        <v>843</v>
      </c>
      <c r="B849" s="5" t="s">
        <v>1698</v>
      </c>
      <c r="C849" s="6" t="s">
        <v>1699</v>
      </c>
      <c r="D849" s="6" t="s">
        <v>21</v>
      </c>
      <c r="E849" s="6"/>
      <c r="F849" s="6"/>
      <c r="G849" s="6"/>
      <c r="H849" s="6"/>
      <c r="I849" s="6"/>
      <c r="J849" s="8"/>
      <c r="K849" s="6"/>
      <c r="L849" s="6"/>
      <c r="M849" s="8"/>
      <c r="N849" s="8"/>
      <c r="O849" s="8"/>
      <c r="P849" s="8"/>
      <c r="Q849" s="18" t="e">
        <f>(Table1[[#This Row],[A. TÀI SẢN NGẮN HẠN]]-Table1[[#This Row],[I. Nợ ngắn hạn]])/Table1[[#This Row],[TỔNG CỘNG TÀI SẢN]]</f>
        <v>#DIV/0!</v>
      </c>
      <c r="R849" s="18" t="e">
        <f>Table1[[#This Row],[- LNST chưa phân phối kỳ này]]/Table1[[#This Row],[TỔNG CỘNG TÀI SẢN]]</f>
        <v>#DIV/0!</v>
      </c>
      <c r="S849" s="21" t="e">
        <f>Table1[[#This Row],[5. Lợi nhuận gộp về bán hàng và cung cấp dịch vụ]]/Table1[[#This Row],[TỔNG CỘNG TÀI SẢN]]</f>
        <v>#DIV/0!</v>
      </c>
      <c r="T84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849" s="23" t="e">
        <f>Table1[[#This Row],[1. Doanh thu bán hàng và cung cấp dịch vụ ]]/Table1[[#This Row],[TỔNG CỘNG TÀI SẢN]]</f>
        <v>#DIV/0!</v>
      </c>
      <c r="V849" s="23" t="e">
        <f>1.2*Table1[[#This Row],[X1]] + 1.4*Table1[[#This Row],[X2]] + 3.3*Table1[[#This Row],[x3]] + 0.6*Table1[[#This Row],[x4]] + 1*Table1[[#This Row],[x5]]</f>
        <v>#DIV/0!</v>
      </c>
      <c r="W849" s="23" t="e">
        <f>IF(Table1[[#This Row],[Zscore]]&lt;1.81,1,0)</f>
        <v>#DIV/0!</v>
      </c>
    </row>
    <row r="850" spans="1:23" ht="26.25" hidden="1" x14ac:dyDescent="0.45">
      <c r="A850" s="7">
        <v>844</v>
      </c>
      <c r="B850" s="5" t="s">
        <v>1700</v>
      </c>
      <c r="C850" s="6" t="s">
        <v>1701</v>
      </c>
      <c r="D850" s="6" t="s">
        <v>21</v>
      </c>
      <c r="E850" s="6"/>
      <c r="F850" s="6"/>
      <c r="G850" s="6"/>
      <c r="H850" s="6"/>
      <c r="I850" s="6"/>
      <c r="J850" s="8"/>
      <c r="K850" s="6"/>
      <c r="L850" s="6"/>
      <c r="M850" s="8"/>
      <c r="N850" s="8"/>
      <c r="O850" s="8"/>
      <c r="P850" s="8"/>
      <c r="Q850" s="18" t="e">
        <f>(Table1[[#This Row],[A. TÀI SẢN NGẮN HẠN]]-Table1[[#This Row],[I. Nợ ngắn hạn]])/Table1[[#This Row],[TỔNG CỘNG TÀI SẢN]]</f>
        <v>#DIV/0!</v>
      </c>
      <c r="R850" s="18" t="e">
        <f>Table1[[#This Row],[- LNST chưa phân phối kỳ này]]/Table1[[#This Row],[TỔNG CỘNG TÀI SẢN]]</f>
        <v>#DIV/0!</v>
      </c>
      <c r="S850" s="21" t="e">
        <f>Table1[[#This Row],[5. Lợi nhuận gộp về bán hàng và cung cấp dịch vụ]]/Table1[[#This Row],[TỔNG CỘNG TÀI SẢN]]</f>
        <v>#DIV/0!</v>
      </c>
      <c r="T85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850" s="23" t="e">
        <f>Table1[[#This Row],[1. Doanh thu bán hàng và cung cấp dịch vụ ]]/Table1[[#This Row],[TỔNG CỘNG TÀI SẢN]]</f>
        <v>#DIV/0!</v>
      </c>
      <c r="V850" s="23" t="e">
        <f>1.2*Table1[[#This Row],[X1]] + 1.4*Table1[[#This Row],[X2]] + 3.3*Table1[[#This Row],[x3]] + 0.6*Table1[[#This Row],[x4]] + 1*Table1[[#This Row],[x5]]</f>
        <v>#DIV/0!</v>
      </c>
      <c r="W850" s="23" t="e">
        <f>IF(Table1[[#This Row],[Zscore]]&lt;1.81,1,0)</f>
        <v>#DIV/0!</v>
      </c>
    </row>
    <row r="851" spans="1:23" hidden="1" x14ac:dyDescent="0.45">
      <c r="A851" s="7">
        <v>845</v>
      </c>
      <c r="B851" s="5" t="s">
        <v>1702</v>
      </c>
      <c r="C851" s="6" t="s">
        <v>1703</v>
      </c>
      <c r="D851" s="6" t="s">
        <v>21</v>
      </c>
      <c r="E851" s="6"/>
      <c r="F851" s="6"/>
      <c r="G851" s="6"/>
      <c r="H851" s="6"/>
      <c r="I851" s="6"/>
      <c r="J851" s="8"/>
      <c r="K851" s="6"/>
      <c r="L851" s="6"/>
      <c r="M851" s="8"/>
      <c r="N851" s="8"/>
      <c r="O851" s="8"/>
      <c r="P851" s="8"/>
      <c r="Q851" s="18" t="e">
        <f>(Table1[[#This Row],[A. TÀI SẢN NGẮN HẠN]]-Table1[[#This Row],[I. Nợ ngắn hạn]])/Table1[[#This Row],[TỔNG CỘNG TÀI SẢN]]</f>
        <v>#DIV/0!</v>
      </c>
      <c r="R851" s="18" t="e">
        <f>Table1[[#This Row],[- LNST chưa phân phối kỳ này]]/Table1[[#This Row],[TỔNG CỘNG TÀI SẢN]]</f>
        <v>#DIV/0!</v>
      </c>
      <c r="S851" s="21" t="e">
        <f>Table1[[#This Row],[5. Lợi nhuận gộp về bán hàng và cung cấp dịch vụ]]/Table1[[#This Row],[TỔNG CỘNG TÀI SẢN]]</f>
        <v>#DIV/0!</v>
      </c>
      <c r="T85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851" s="23" t="e">
        <f>Table1[[#This Row],[1. Doanh thu bán hàng và cung cấp dịch vụ ]]/Table1[[#This Row],[TỔNG CỘNG TÀI SẢN]]</f>
        <v>#DIV/0!</v>
      </c>
      <c r="V851" s="23" t="e">
        <f>1.2*Table1[[#This Row],[X1]] + 1.4*Table1[[#This Row],[X2]] + 3.3*Table1[[#This Row],[x3]] + 0.6*Table1[[#This Row],[x4]] + 1*Table1[[#This Row],[x5]]</f>
        <v>#DIV/0!</v>
      </c>
      <c r="W851" s="23" t="e">
        <f>IF(Table1[[#This Row],[Zscore]]&lt;1.81,1,0)</f>
        <v>#DIV/0!</v>
      </c>
    </row>
    <row r="852" spans="1:23" hidden="1" x14ac:dyDescent="0.45">
      <c r="A852" s="7">
        <v>846</v>
      </c>
      <c r="B852" s="5" t="s">
        <v>1704</v>
      </c>
      <c r="C852" s="6" t="s">
        <v>1705</v>
      </c>
      <c r="D852" s="6" t="s">
        <v>21</v>
      </c>
      <c r="E852" s="6"/>
      <c r="F852" s="6"/>
      <c r="G852" s="6"/>
      <c r="H852" s="6"/>
      <c r="I852" s="6"/>
      <c r="J852" s="8"/>
      <c r="K852" s="6"/>
      <c r="L852" s="6"/>
      <c r="M852" s="8"/>
      <c r="N852" s="8"/>
      <c r="O852" s="8"/>
      <c r="P852" s="8"/>
      <c r="Q852" s="18" t="e">
        <f>(Table1[[#This Row],[A. TÀI SẢN NGẮN HẠN]]-Table1[[#This Row],[I. Nợ ngắn hạn]])/Table1[[#This Row],[TỔNG CỘNG TÀI SẢN]]</f>
        <v>#DIV/0!</v>
      </c>
      <c r="R852" s="18" t="e">
        <f>Table1[[#This Row],[- LNST chưa phân phối kỳ này]]/Table1[[#This Row],[TỔNG CỘNG TÀI SẢN]]</f>
        <v>#DIV/0!</v>
      </c>
      <c r="S852" s="21" t="e">
        <f>Table1[[#This Row],[5. Lợi nhuận gộp về bán hàng và cung cấp dịch vụ]]/Table1[[#This Row],[TỔNG CỘNG TÀI SẢN]]</f>
        <v>#DIV/0!</v>
      </c>
      <c r="T85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852" s="23" t="e">
        <f>Table1[[#This Row],[1. Doanh thu bán hàng và cung cấp dịch vụ ]]/Table1[[#This Row],[TỔNG CỘNG TÀI SẢN]]</f>
        <v>#DIV/0!</v>
      </c>
      <c r="V852" s="23" t="e">
        <f>1.2*Table1[[#This Row],[X1]] + 1.4*Table1[[#This Row],[X2]] + 3.3*Table1[[#This Row],[x3]] + 0.6*Table1[[#This Row],[x4]] + 1*Table1[[#This Row],[x5]]</f>
        <v>#DIV/0!</v>
      </c>
      <c r="W852" s="23" t="e">
        <f>IF(Table1[[#This Row],[Zscore]]&lt;1.81,1,0)</f>
        <v>#DIV/0!</v>
      </c>
    </row>
    <row r="853" spans="1:23" hidden="1" x14ac:dyDescent="0.45">
      <c r="A853" s="7">
        <v>847</v>
      </c>
      <c r="B853" s="5" t="s">
        <v>1706</v>
      </c>
      <c r="C853" s="6" t="s">
        <v>1707</v>
      </c>
      <c r="D853" s="6" t="s">
        <v>21</v>
      </c>
      <c r="E853" s="6"/>
      <c r="F853" s="6"/>
      <c r="G853" s="6"/>
      <c r="H853" s="6"/>
      <c r="I853" s="6"/>
      <c r="J853" s="8"/>
      <c r="K853" s="6"/>
      <c r="L853" s="6"/>
      <c r="M853" s="8"/>
      <c r="N853" s="8"/>
      <c r="O853" s="8"/>
      <c r="P853" s="8"/>
      <c r="Q853" s="18" t="e">
        <f>(Table1[[#This Row],[A. TÀI SẢN NGẮN HẠN]]-Table1[[#This Row],[I. Nợ ngắn hạn]])/Table1[[#This Row],[TỔNG CỘNG TÀI SẢN]]</f>
        <v>#DIV/0!</v>
      </c>
      <c r="R853" s="18" t="e">
        <f>Table1[[#This Row],[- LNST chưa phân phối kỳ này]]/Table1[[#This Row],[TỔNG CỘNG TÀI SẢN]]</f>
        <v>#DIV/0!</v>
      </c>
      <c r="S853" s="21" t="e">
        <f>Table1[[#This Row],[5. Lợi nhuận gộp về bán hàng và cung cấp dịch vụ]]/Table1[[#This Row],[TỔNG CỘNG TÀI SẢN]]</f>
        <v>#DIV/0!</v>
      </c>
      <c r="T85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853" s="23" t="e">
        <f>Table1[[#This Row],[1. Doanh thu bán hàng và cung cấp dịch vụ ]]/Table1[[#This Row],[TỔNG CỘNG TÀI SẢN]]</f>
        <v>#DIV/0!</v>
      </c>
      <c r="V853" s="23" t="e">
        <f>1.2*Table1[[#This Row],[X1]] + 1.4*Table1[[#This Row],[X2]] + 3.3*Table1[[#This Row],[x3]] + 0.6*Table1[[#This Row],[x4]] + 1*Table1[[#This Row],[x5]]</f>
        <v>#DIV/0!</v>
      </c>
      <c r="W853" s="23" t="e">
        <f>IF(Table1[[#This Row],[Zscore]]&lt;1.81,1,0)</f>
        <v>#DIV/0!</v>
      </c>
    </row>
    <row r="854" spans="1:23" ht="26.25" hidden="1" x14ac:dyDescent="0.45">
      <c r="A854" s="7">
        <v>848</v>
      </c>
      <c r="B854" s="5" t="s">
        <v>1708</v>
      </c>
      <c r="C854" s="6" t="s">
        <v>1709</v>
      </c>
      <c r="D854" s="6" t="s">
        <v>21</v>
      </c>
      <c r="E854" s="6"/>
      <c r="F854" s="6"/>
      <c r="G854" s="6"/>
      <c r="H854" s="6"/>
      <c r="I854" s="6"/>
      <c r="J854" s="8"/>
      <c r="K854" s="6"/>
      <c r="L854" s="6"/>
      <c r="M854" s="8"/>
      <c r="N854" s="8"/>
      <c r="O854" s="8"/>
      <c r="P854" s="8"/>
      <c r="Q854" s="18" t="e">
        <f>(Table1[[#This Row],[A. TÀI SẢN NGẮN HẠN]]-Table1[[#This Row],[I. Nợ ngắn hạn]])/Table1[[#This Row],[TỔNG CỘNG TÀI SẢN]]</f>
        <v>#DIV/0!</v>
      </c>
      <c r="R854" s="18" t="e">
        <f>Table1[[#This Row],[- LNST chưa phân phối kỳ này]]/Table1[[#This Row],[TỔNG CỘNG TÀI SẢN]]</f>
        <v>#DIV/0!</v>
      </c>
      <c r="S854" s="21" t="e">
        <f>Table1[[#This Row],[5. Lợi nhuận gộp về bán hàng và cung cấp dịch vụ]]/Table1[[#This Row],[TỔNG CỘNG TÀI SẢN]]</f>
        <v>#DIV/0!</v>
      </c>
      <c r="T85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854" s="23" t="e">
        <f>Table1[[#This Row],[1. Doanh thu bán hàng và cung cấp dịch vụ ]]/Table1[[#This Row],[TỔNG CỘNG TÀI SẢN]]</f>
        <v>#DIV/0!</v>
      </c>
      <c r="V854" s="23" t="e">
        <f>1.2*Table1[[#This Row],[X1]] + 1.4*Table1[[#This Row],[X2]] + 3.3*Table1[[#This Row],[x3]] + 0.6*Table1[[#This Row],[x4]] + 1*Table1[[#This Row],[x5]]</f>
        <v>#DIV/0!</v>
      </c>
      <c r="W854" s="23" t="e">
        <f>IF(Table1[[#This Row],[Zscore]]&lt;1.81,1,0)</f>
        <v>#DIV/0!</v>
      </c>
    </row>
    <row r="855" spans="1:23" ht="26.25" hidden="1" x14ac:dyDescent="0.45">
      <c r="A855" s="7">
        <v>849</v>
      </c>
      <c r="B855" s="5" t="s">
        <v>1710</v>
      </c>
      <c r="C855" s="6" t="s">
        <v>1711</v>
      </c>
      <c r="D855" s="6" t="s">
        <v>21</v>
      </c>
      <c r="E855" s="6"/>
      <c r="F855" s="6"/>
      <c r="G855" s="6"/>
      <c r="H855" s="6"/>
      <c r="I855" s="6"/>
      <c r="J855" s="8"/>
      <c r="K855" s="6"/>
      <c r="L855" s="6"/>
      <c r="M855" s="8"/>
      <c r="N855" s="8"/>
      <c r="O855" s="8"/>
      <c r="P855" s="8"/>
      <c r="Q855" s="18" t="e">
        <f>(Table1[[#This Row],[A. TÀI SẢN NGẮN HẠN]]-Table1[[#This Row],[I. Nợ ngắn hạn]])/Table1[[#This Row],[TỔNG CỘNG TÀI SẢN]]</f>
        <v>#DIV/0!</v>
      </c>
      <c r="R855" s="18" t="e">
        <f>Table1[[#This Row],[- LNST chưa phân phối kỳ này]]/Table1[[#This Row],[TỔNG CỘNG TÀI SẢN]]</f>
        <v>#DIV/0!</v>
      </c>
      <c r="S855" s="21" t="e">
        <f>Table1[[#This Row],[5. Lợi nhuận gộp về bán hàng và cung cấp dịch vụ]]/Table1[[#This Row],[TỔNG CỘNG TÀI SẢN]]</f>
        <v>#DIV/0!</v>
      </c>
      <c r="T85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855" s="23" t="e">
        <f>Table1[[#This Row],[1. Doanh thu bán hàng và cung cấp dịch vụ ]]/Table1[[#This Row],[TỔNG CỘNG TÀI SẢN]]</f>
        <v>#DIV/0!</v>
      </c>
      <c r="V855" s="23" t="e">
        <f>1.2*Table1[[#This Row],[X1]] + 1.4*Table1[[#This Row],[X2]] + 3.3*Table1[[#This Row],[x3]] + 0.6*Table1[[#This Row],[x4]] + 1*Table1[[#This Row],[x5]]</f>
        <v>#DIV/0!</v>
      </c>
      <c r="W855" s="23" t="e">
        <f>IF(Table1[[#This Row],[Zscore]]&lt;1.81,1,0)</f>
        <v>#DIV/0!</v>
      </c>
    </row>
    <row r="856" spans="1:23" hidden="1" x14ac:dyDescent="0.45">
      <c r="A856" s="7">
        <v>850</v>
      </c>
      <c r="B856" s="5" t="s">
        <v>1712</v>
      </c>
      <c r="C856" s="6" t="s">
        <v>1713</v>
      </c>
      <c r="D856" s="6" t="s">
        <v>21</v>
      </c>
      <c r="E856" s="6"/>
      <c r="F856" s="6"/>
      <c r="G856" s="6"/>
      <c r="H856" s="6"/>
      <c r="I856" s="6"/>
      <c r="J856" s="8"/>
      <c r="K856" s="6"/>
      <c r="L856" s="6"/>
      <c r="M856" s="8"/>
      <c r="N856" s="8"/>
      <c r="O856" s="8"/>
      <c r="P856" s="8"/>
      <c r="Q856" s="18" t="e">
        <f>(Table1[[#This Row],[A. TÀI SẢN NGẮN HẠN]]-Table1[[#This Row],[I. Nợ ngắn hạn]])/Table1[[#This Row],[TỔNG CỘNG TÀI SẢN]]</f>
        <v>#DIV/0!</v>
      </c>
      <c r="R856" s="18" t="e">
        <f>Table1[[#This Row],[- LNST chưa phân phối kỳ này]]/Table1[[#This Row],[TỔNG CỘNG TÀI SẢN]]</f>
        <v>#DIV/0!</v>
      </c>
      <c r="S856" s="21" t="e">
        <f>Table1[[#This Row],[5. Lợi nhuận gộp về bán hàng và cung cấp dịch vụ]]/Table1[[#This Row],[TỔNG CỘNG TÀI SẢN]]</f>
        <v>#DIV/0!</v>
      </c>
      <c r="T85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856" s="23" t="e">
        <f>Table1[[#This Row],[1. Doanh thu bán hàng và cung cấp dịch vụ ]]/Table1[[#This Row],[TỔNG CỘNG TÀI SẢN]]</f>
        <v>#DIV/0!</v>
      </c>
      <c r="V856" s="23" t="e">
        <f>1.2*Table1[[#This Row],[X1]] + 1.4*Table1[[#This Row],[X2]] + 3.3*Table1[[#This Row],[x3]] + 0.6*Table1[[#This Row],[x4]] + 1*Table1[[#This Row],[x5]]</f>
        <v>#DIV/0!</v>
      </c>
      <c r="W856" s="23" t="e">
        <f>IF(Table1[[#This Row],[Zscore]]&lt;1.81,1,0)</f>
        <v>#DIV/0!</v>
      </c>
    </row>
    <row r="857" spans="1:23" hidden="1" x14ac:dyDescent="0.45">
      <c r="A857" s="7">
        <v>851</v>
      </c>
      <c r="B857" s="5" t="s">
        <v>1714</v>
      </c>
      <c r="C857" s="6" t="s">
        <v>1715</v>
      </c>
      <c r="D857" s="6" t="s">
        <v>21</v>
      </c>
      <c r="E857" s="6"/>
      <c r="F857" s="6"/>
      <c r="G857" s="6"/>
      <c r="H857" s="6"/>
      <c r="I857" s="6"/>
      <c r="J857" s="8"/>
      <c r="K857" s="6"/>
      <c r="L857" s="6"/>
      <c r="M857" s="8"/>
      <c r="N857" s="8"/>
      <c r="O857" s="8"/>
      <c r="P857" s="8"/>
      <c r="Q857" s="18" t="e">
        <f>(Table1[[#This Row],[A. TÀI SẢN NGẮN HẠN]]-Table1[[#This Row],[I. Nợ ngắn hạn]])/Table1[[#This Row],[TỔNG CỘNG TÀI SẢN]]</f>
        <v>#DIV/0!</v>
      </c>
      <c r="R857" s="18" t="e">
        <f>Table1[[#This Row],[- LNST chưa phân phối kỳ này]]/Table1[[#This Row],[TỔNG CỘNG TÀI SẢN]]</f>
        <v>#DIV/0!</v>
      </c>
      <c r="S857" s="21" t="e">
        <f>Table1[[#This Row],[5. Lợi nhuận gộp về bán hàng và cung cấp dịch vụ]]/Table1[[#This Row],[TỔNG CỘNG TÀI SẢN]]</f>
        <v>#DIV/0!</v>
      </c>
      <c r="T85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857" s="23" t="e">
        <f>Table1[[#This Row],[1. Doanh thu bán hàng và cung cấp dịch vụ ]]/Table1[[#This Row],[TỔNG CỘNG TÀI SẢN]]</f>
        <v>#DIV/0!</v>
      </c>
      <c r="V857" s="23" t="e">
        <f>1.2*Table1[[#This Row],[X1]] + 1.4*Table1[[#This Row],[X2]] + 3.3*Table1[[#This Row],[x3]] + 0.6*Table1[[#This Row],[x4]] + 1*Table1[[#This Row],[x5]]</f>
        <v>#DIV/0!</v>
      </c>
      <c r="W857" s="23" t="e">
        <f>IF(Table1[[#This Row],[Zscore]]&lt;1.81,1,0)</f>
        <v>#DIV/0!</v>
      </c>
    </row>
    <row r="858" spans="1:23" hidden="1" x14ac:dyDescent="0.45">
      <c r="A858" s="7">
        <v>852</v>
      </c>
      <c r="B858" s="5" t="s">
        <v>1716</v>
      </c>
      <c r="C858" s="6" t="s">
        <v>1717</v>
      </c>
      <c r="D858" s="6" t="s">
        <v>18</v>
      </c>
      <c r="E858" s="6"/>
      <c r="F858" s="6"/>
      <c r="G858" s="6"/>
      <c r="H858" s="6"/>
      <c r="I858" s="6"/>
      <c r="J858" s="8"/>
      <c r="K858" s="6"/>
      <c r="L858" s="6"/>
      <c r="M858" s="8"/>
      <c r="N858" s="8"/>
      <c r="O858" s="8"/>
      <c r="P858" s="8"/>
      <c r="Q858" s="18" t="e">
        <f>(Table1[[#This Row],[A. TÀI SẢN NGẮN HẠN]]-Table1[[#This Row],[I. Nợ ngắn hạn]])/Table1[[#This Row],[TỔNG CỘNG TÀI SẢN]]</f>
        <v>#DIV/0!</v>
      </c>
      <c r="R858" s="18" t="e">
        <f>Table1[[#This Row],[- LNST chưa phân phối kỳ này]]/Table1[[#This Row],[TỔNG CỘNG TÀI SẢN]]</f>
        <v>#DIV/0!</v>
      </c>
      <c r="S858" s="21" t="e">
        <f>Table1[[#This Row],[5. Lợi nhuận gộp về bán hàng và cung cấp dịch vụ]]/Table1[[#This Row],[TỔNG CỘNG TÀI SẢN]]</f>
        <v>#DIV/0!</v>
      </c>
      <c r="T85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858" s="23" t="e">
        <f>Table1[[#This Row],[1. Doanh thu bán hàng và cung cấp dịch vụ ]]/Table1[[#This Row],[TỔNG CỘNG TÀI SẢN]]</f>
        <v>#DIV/0!</v>
      </c>
      <c r="V858" s="23" t="e">
        <f>1.2*Table1[[#This Row],[X1]] + 1.4*Table1[[#This Row],[X2]] + 3.3*Table1[[#This Row],[x3]] + 0.6*Table1[[#This Row],[x4]] + 1*Table1[[#This Row],[x5]]</f>
        <v>#DIV/0!</v>
      </c>
      <c r="W858" s="23" t="e">
        <f>IF(Table1[[#This Row],[Zscore]]&lt;1.81,1,0)</f>
        <v>#DIV/0!</v>
      </c>
    </row>
    <row r="859" spans="1:23" x14ac:dyDescent="0.45">
      <c r="A859" s="7">
        <v>853</v>
      </c>
      <c r="B859" s="5" t="s">
        <v>1718</v>
      </c>
      <c r="C859" s="6" t="s">
        <v>1719</v>
      </c>
      <c r="D859" s="6" t="s">
        <v>18</v>
      </c>
      <c r="E859" s="8">
        <v>4160601880277</v>
      </c>
      <c r="F859" s="8">
        <v>2232875412193</v>
      </c>
      <c r="G859" s="8">
        <v>1996233461505</v>
      </c>
      <c r="H859" s="8">
        <v>27025855652</v>
      </c>
      <c r="I859" s="8">
        <v>186089721556</v>
      </c>
      <c r="J859" s="8"/>
      <c r="K859" s="8">
        <v>3040959892577</v>
      </c>
      <c r="L859" s="8">
        <v>1948968135457</v>
      </c>
      <c r="M859" s="8">
        <v>674342935500</v>
      </c>
      <c r="N859" s="8">
        <v>1078948696800</v>
      </c>
      <c r="O859" s="8">
        <v>912956589600</v>
      </c>
      <c r="P859" s="8">
        <v>1110072216900</v>
      </c>
      <c r="Q859" s="18">
        <f>(Table1[[#This Row],[A. TÀI SẢN NGẮN HẠN]]-Table1[[#This Row],[I. Nợ ngắn hạn]])/Table1[[#This Row],[TỔNG CỘNG TÀI SẢN]]</f>
        <v>5.6876855199672484E-2</v>
      </c>
      <c r="R859" s="18">
        <f>Table1[[#This Row],[- LNST chưa phân phối kỳ này]]/Table1[[#This Row],[TỔNG CỘNG TÀI SẢN]]</f>
        <v>6.4956601063211319E-3</v>
      </c>
      <c r="S859" s="21">
        <f>Table1[[#This Row],[5. Lợi nhuận gộp về bán hàng và cung cấp dịch vụ]]/Table1[[#This Row],[TỔNG CỘNG TÀI SẢN]]</f>
        <v>4.4726634970325668E-2</v>
      </c>
      <c r="T85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0.31045464032738634</v>
      </c>
      <c r="U859" s="23">
        <f>Table1[[#This Row],[1. Doanh thu bán hàng và cung cấp dịch vụ ]]/Table1[[#This Row],[TỔNG CỘNG TÀI SẢN]]</f>
        <v>0.46843418128899267</v>
      </c>
      <c r="V859" s="23">
        <f>1.2*Table1[[#This Row],[X1]] + 1.4*Table1[[#This Row],[X2]] + 3.3*Table1[[#This Row],[x3]] + 0.6*Table1[[#This Row],[x4]] + 1*Table1[[#This Row],[x5]]</f>
        <v>0.87965101127595569</v>
      </c>
      <c r="W859" s="23">
        <f>IF(Table1[[#This Row],[Zscore]]&lt;1.81,1,0)</f>
        <v>1</v>
      </c>
    </row>
    <row r="860" spans="1:23" ht="26.25" hidden="1" x14ac:dyDescent="0.45">
      <c r="A860" s="7">
        <v>854</v>
      </c>
      <c r="B860" s="5" t="s">
        <v>1720</v>
      </c>
      <c r="C860" s="6" t="s">
        <v>1721</v>
      </c>
      <c r="D860" s="6" t="s">
        <v>13</v>
      </c>
      <c r="E860" s="6"/>
      <c r="F860" s="6"/>
      <c r="G860" s="6"/>
      <c r="H860" s="6"/>
      <c r="I860" s="6"/>
      <c r="J860" s="8"/>
      <c r="K860" s="6"/>
      <c r="L860" s="6"/>
      <c r="M860" s="8"/>
      <c r="N860" s="8"/>
      <c r="O860" s="8"/>
      <c r="P860" s="8"/>
      <c r="Q860" s="18" t="e">
        <f>(Table1[[#This Row],[A. TÀI SẢN NGẮN HẠN]]-Table1[[#This Row],[I. Nợ ngắn hạn]])/Table1[[#This Row],[TỔNG CỘNG TÀI SẢN]]</f>
        <v>#DIV/0!</v>
      </c>
      <c r="R860" s="18" t="e">
        <f>Table1[[#This Row],[- LNST chưa phân phối kỳ này]]/Table1[[#This Row],[TỔNG CỘNG TÀI SẢN]]</f>
        <v>#DIV/0!</v>
      </c>
      <c r="S860" s="21" t="e">
        <f>Table1[[#This Row],[5. Lợi nhuận gộp về bán hàng và cung cấp dịch vụ]]/Table1[[#This Row],[TỔNG CỘNG TÀI SẢN]]</f>
        <v>#DIV/0!</v>
      </c>
      <c r="T86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860" s="23" t="e">
        <f>Table1[[#This Row],[1. Doanh thu bán hàng và cung cấp dịch vụ ]]/Table1[[#This Row],[TỔNG CỘNG TÀI SẢN]]</f>
        <v>#DIV/0!</v>
      </c>
      <c r="V860" s="23" t="e">
        <f>1.2*Table1[[#This Row],[X1]] + 1.4*Table1[[#This Row],[X2]] + 3.3*Table1[[#This Row],[x3]] + 0.6*Table1[[#This Row],[x4]] + 1*Table1[[#This Row],[x5]]</f>
        <v>#DIV/0!</v>
      </c>
      <c r="W860" s="23" t="e">
        <f>IF(Table1[[#This Row],[Zscore]]&lt;1.81,1,0)</f>
        <v>#DIV/0!</v>
      </c>
    </row>
    <row r="861" spans="1:23" hidden="1" x14ac:dyDescent="0.45">
      <c r="A861" s="7">
        <v>855</v>
      </c>
      <c r="B861" s="5" t="s">
        <v>1722</v>
      </c>
      <c r="C861" s="6" t="s">
        <v>1723</v>
      </c>
      <c r="D861" s="6" t="s">
        <v>13</v>
      </c>
      <c r="E861" s="6"/>
      <c r="F861" s="6"/>
      <c r="G861" s="6"/>
      <c r="H861" s="6"/>
      <c r="I861" s="6"/>
      <c r="J861" s="8"/>
      <c r="K861" s="6"/>
      <c r="L861" s="6"/>
      <c r="M861" s="8"/>
      <c r="N861" s="8"/>
      <c r="O861" s="8"/>
      <c r="P861" s="8"/>
      <c r="Q861" s="18" t="e">
        <f>(Table1[[#This Row],[A. TÀI SẢN NGẮN HẠN]]-Table1[[#This Row],[I. Nợ ngắn hạn]])/Table1[[#This Row],[TỔNG CỘNG TÀI SẢN]]</f>
        <v>#DIV/0!</v>
      </c>
      <c r="R861" s="18" t="e">
        <f>Table1[[#This Row],[- LNST chưa phân phối kỳ này]]/Table1[[#This Row],[TỔNG CỘNG TÀI SẢN]]</f>
        <v>#DIV/0!</v>
      </c>
      <c r="S861" s="21" t="e">
        <f>Table1[[#This Row],[5. Lợi nhuận gộp về bán hàng và cung cấp dịch vụ]]/Table1[[#This Row],[TỔNG CỘNG TÀI SẢN]]</f>
        <v>#DIV/0!</v>
      </c>
      <c r="T86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861" s="23" t="e">
        <f>Table1[[#This Row],[1. Doanh thu bán hàng và cung cấp dịch vụ ]]/Table1[[#This Row],[TỔNG CỘNG TÀI SẢN]]</f>
        <v>#DIV/0!</v>
      </c>
      <c r="V861" s="23" t="e">
        <f>1.2*Table1[[#This Row],[X1]] + 1.4*Table1[[#This Row],[X2]] + 3.3*Table1[[#This Row],[x3]] + 0.6*Table1[[#This Row],[x4]] + 1*Table1[[#This Row],[x5]]</f>
        <v>#DIV/0!</v>
      </c>
      <c r="W861" s="23" t="e">
        <f>IF(Table1[[#This Row],[Zscore]]&lt;1.81,1,0)</f>
        <v>#DIV/0!</v>
      </c>
    </row>
    <row r="862" spans="1:23" ht="26.25" hidden="1" x14ac:dyDescent="0.45">
      <c r="A862" s="7">
        <v>856</v>
      </c>
      <c r="B862" s="5" t="s">
        <v>1724</v>
      </c>
      <c r="C862" s="6" t="s">
        <v>1725</v>
      </c>
      <c r="D862" s="6" t="s">
        <v>13</v>
      </c>
      <c r="E862" s="6"/>
      <c r="F862" s="6"/>
      <c r="G862" s="6"/>
      <c r="H862" s="6"/>
      <c r="I862" s="6"/>
      <c r="J862" s="8"/>
      <c r="K862" s="6"/>
      <c r="L862" s="6"/>
      <c r="M862" s="8"/>
      <c r="N862" s="8"/>
      <c r="O862" s="8"/>
      <c r="P862" s="8"/>
      <c r="Q862" s="18" t="e">
        <f>(Table1[[#This Row],[A. TÀI SẢN NGẮN HẠN]]-Table1[[#This Row],[I. Nợ ngắn hạn]])/Table1[[#This Row],[TỔNG CỘNG TÀI SẢN]]</f>
        <v>#DIV/0!</v>
      </c>
      <c r="R862" s="18" t="e">
        <f>Table1[[#This Row],[- LNST chưa phân phối kỳ này]]/Table1[[#This Row],[TỔNG CỘNG TÀI SẢN]]</f>
        <v>#DIV/0!</v>
      </c>
      <c r="S862" s="21" t="e">
        <f>Table1[[#This Row],[5. Lợi nhuận gộp về bán hàng và cung cấp dịch vụ]]/Table1[[#This Row],[TỔNG CỘNG TÀI SẢN]]</f>
        <v>#DIV/0!</v>
      </c>
      <c r="T86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862" s="23" t="e">
        <f>Table1[[#This Row],[1. Doanh thu bán hàng và cung cấp dịch vụ ]]/Table1[[#This Row],[TỔNG CỘNG TÀI SẢN]]</f>
        <v>#DIV/0!</v>
      </c>
      <c r="V862" s="23" t="e">
        <f>1.2*Table1[[#This Row],[X1]] + 1.4*Table1[[#This Row],[X2]] + 3.3*Table1[[#This Row],[x3]] + 0.6*Table1[[#This Row],[x4]] + 1*Table1[[#This Row],[x5]]</f>
        <v>#DIV/0!</v>
      </c>
      <c r="W862" s="23" t="e">
        <f>IF(Table1[[#This Row],[Zscore]]&lt;1.81,1,0)</f>
        <v>#DIV/0!</v>
      </c>
    </row>
    <row r="863" spans="1:23" x14ac:dyDescent="0.45">
      <c r="A863" s="7">
        <v>857</v>
      </c>
      <c r="B863" s="5" t="s">
        <v>1726</v>
      </c>
      <c r="C863" s="6" t="s">
        <v>1727</v>
      </c>
      <c r="D863" s="6" t="s">
        <v>21</v>
      </c>
      <c r="E863" s="8">
        <v>93568198109790</v>
      </c>
      <c r="F863" s="8">
        <v>69902465635326</v>
      </c>
      <c r="G863" s="8">
        <v>20573719389418</v>
      </c>
      <c r="H863" s="8">
        <v>11212452052193</v>
      </c>
      <c r="I863" s="8">
        <v>17050553359665</v>
      </c>
      <c r="J863" s="8"/>
      <c r="K863" s="8">
        <v>25914808991853</v>
      </c>
      <c r="L863" s="8">
        <v>135196548909363</v>
      </c>
      <c r="M863" s="8">
        <v>156490550989200</v>
      </c>
      <c r="N863" s="8">
        <v>174697562334400</v>
      </c>
      <c r="O863" s="8">
        <v>158833223908200</v>
      </c>
      <c r="P863" s="8">
        <v>145742165262400</v>
      </c>
      <c r="Q863" s="18">
        <f>(Table1[[#This Row],[A. TÀI SẢN NGẮN HẠN]]-Table1[[#This Row],[I. Nợ ngắn hạn]])/Table1[[#This Row],[TỔNG CỘNG TÀI SẢN]]</f>
        <v>0.52719564170752964</v>
      </c>
      <c r="R863" s="18">
        <f>Table1[[#This Row],[- LNST chưa phân phối kỳ này]]/Table1[[#This Row],[TỔNG CỘNG TÀI SẢN]]</f>
        <v>0.11983186893303918</v>
      </c>
      <c r="S863" s="21">
        <f>Table1[[#This Row],[5. Lợi nhuận gộp về bán hàng và cung cấp dịch vụ]]/Table1[[#This Row],[TỔNG CỘNG TÀI SẢN]]</f>
        <v>0.18222594539715742</v>
      </c>
      <c r="T86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6.1332065257944688</v>
      </c>
      <c r="U863" s="23">
        <f>Table1[[#This Row],[1. Doanh thu bán hàng và cung cấp dịch vụ ]]/Table1[[#This Row],[TỔNG CỘNG TÀI SẢN]]</f>
        <v>1.4448984979995831</v>
      </c>
      <c r="V863" s="23">
        <f>1.2*Table1[[#This Row],[X1]] + 1.4*Table1[[#This Row],[X2]] + 3.3*Table1[[#This Row],[x3]] + 0.6*Table1[[#This Row],[x4]] + 1*Table1[[#This Row],[x5]]</f>
        <v>6.5265674198421744</v>
      </c>
      <c r="W863" s="23">
        <f>IF(Table1[[#This Row],[Zscore]]&lt;1.81,1,0)</f>
        <v>0</v>
      </c>
    </row>
    <row r="864" spans="1:23" ht="26.25" hidden="1" x14ac:dyDescent="0.45">
      <c r="A864" s="7">
        <v>858</v>
      </c>
      <c r="B864" s="5" t="s">
        <v>1728</v>
      </c>
      <c r="C864" s="6" t="s">
        <v>1729</v>
      </c>
      <c r="D864" s="6" t="s">
        <v>13</v>
      </c>
      <c r="E864" s="6"/>
      <c r="F864" s="6"/>
      <c r="G864" s="6"/>
      <c r="H864" s="6"/>
      <c r="I864" s="6"/>
      <c r="J864" s="8"/>
      <c r="K864" s="6"/>
      <c r="L864" s="6"/>
      <c r="M864" s="8"/>
      <c r="N864" s="8"/>
      <c r="O864" s="8"/>
      <c r="P864" s="8"/>
      <c r="Q864" s="18" t="e">
        <f>(Table1[[#This Row],[A. TÀI SẢN NGẮN HẠN]]-Table1[[#This Row],[I. Nợ ngắn hạn]])/Table1[[#This Row],[TỔNG CỘNG TÀI SẢN]]</f>
        <v>#DIV/0!</v>
      </c>
      <c r="R864" s="18" t="e">
        <f>Table1[[#This Row],[- LNST chưa phân phối kỳ này]]/Table1[[#This Row],[TỔNG CỘNG TÀI SẢN]]</f>
        <v>#DIV/0!</v>
      </c>
      <c r="S864" s="21" t="e">
        <f>Table1[[#This Row],[5. Lợi nhuận gộp về bán hàng và cung cấp dịch vụ]]/Table1[[#This Row],[TỔNG CỘNG TÀI SẢN]]</f>
        <v>#DIV/0!</v>
      </c>
      <c r="T86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864" s="23" t="e">
        <f>Table1[[#This Row],[1. Doanh thu bán hàng và cung cấp dịch vụ ]]/Table1[[#This Row],[TỔNG CỘNG TÀI SẢN]]</f>
        <v>#DIV/0!</v>
      </c>
      <c r="V864" s="23" t="e">
        <f>1.2*Table1[[#This Row],[X1]] + 1.4*Table1[[#This Row],[X2]] + 3.3*Table1[[#This Row],[x3]] + 0.6*Table1[[#This Row],[x4]] + 1*Table1[[#This Row],[x5]]</f>
        <v>#DIV/0!</v>
      </c>
      <c r="W864" s="23" t="e">
        <f>IF(Table1[[#This Row],[Zscore]]&lt;1.81,1,0)</f>
        <v>#DIV/0!</v>
      </c>
    </row>
    <row r="865" spans="1:23" hidden="1" x14ac:dyDescent="0.45">
      <c r="A865" s="7">
        <v>859</v>
      </c>
      <c r="B865" s="5" t="s">
        <v>1730</v>
      </c>
      <c r="C865" s="6" t="s">
        <v>1731</v>
      </c>
      <c r="D865" s="6" t="s">
        <v>18</v>
      </c>
      <c r="E865" s="6"/>
      <c r="F865" s="6"/>
      <c r="G865" s="6"/>
      <c r="H865" s="6"/>
      <c r="I865" s="6"/>
      <c r="J865" s="8"/>
      <c r="K865" s="6"/>
      <c r="L865" s="6"/>
      <c r="M865" s="8"/>
      <c r="N865" s="8"/>
      <c r="O865" s="8"/>
      <c r="P865" s="8"/>
      <c r="Q865" s="18" t="e">
        <f>(Table1[[#This Row],[A. TÀI SẢN NGẮN HẠN]]-Table1[[#This Row],[I. Nợ ngắn hạn]])/Table1[[#This Row],[TỔNG CỘNG TÀI SẢN]]</f>
        <v>#DIV/0!</v>
      </c>
      <c r="R865" s="18" t="e">
        <f>Table1[[#This Row],[- LNST chưa phân phối kỳ này]]/Table1[[#This Row],[TỔNG CỘNG TÀI SẢN]]</f>
        <v>#DIV/0!</v>
      </c>
      <c r="S865" s="21" t="e">
        <f>Table1[[#This Row],[5. Lợi nhuận gộp về bán hàng và cung cấp dịch vụ]]/Table1[[#This Row],[TỔNG CỘNG TÀI SẢN]]</f>
        <v>#DIV/0!</v>
      </c>
      <c r="T86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865" s="23" t="e">
        <f>Table1[[#This Row],[1. Doanh thu bán hàng và cung cấp dịch vụ ]]/Table1[[#This Row],[TỔNG CỘNG TÀI SẢN]]</f>
        <v>#DIV/0!</v>
      </c>
      <c r="V865" s="23" t="e">
        <f>1.2*Table1[[#This Row],[X1]] + 1.4*Table1[[#This Row],[X2]] + 3.3*Table1[[#This Row],[x3]] + 0.6*Table1[[#This Row],[x4]] + 1*Table1[[#This Row],[x5]]</f>
        <v>#DIV/0!</v>
      </c>
      <c r="W865" s="23" t="e">
        <f>IF(Table1[[#This Row],[Zscore]]&lt;1.81,1,0)</f>
        <v>#DIV/0!</v>
      </c>
    </row>
    <row r="866" spans="1:23" ht="26.25" hidden="1" x14ac:dyDescent="0.45">
      <c r="A866" s="7">
        <v>860</v>
      </c>
      <c r="B866" s="5" t="s">
        <v>1732</v>
      </c>
      <c r="C866" s="6" t="s">
        <v>1733</v>
      </c>
      <c r="D866" s="6" t="s">
        <v>13</v>
      </c>
      <c r="E866" s="6"/>
      <c r="F866" s="6"/>
      <c r="G866" s="6"/>
      <c r="H866" s="6"/>
      <c r="I866" s="6"/>
      <c r="J866" s="8"/>
      <c r="K866" s="6"/>
      <c r="L866" s="6"/>
      <c r="M866" s="8"/>
      <c r="N866" s="8"/>
      <c r="O866" s="8"/>
      <c r="P866" s="8"/>
      <c r="Q866" s="18" t="e">
        <f>(Table1[[#This Row],[A. TÀI SẢN NGẮN HẠN]]-Table1[[#This Row],[I. Nợ ngắn hạn]])/Table1[[#This Row],[TỔNG CỘNG TÀI SẢN]]</f>
        <v>#DIV/0!</v>
      </c>
      <c r="R866" s="18" t="e">
        <f>Table1[[#This Row],[- LNST chưa phân phối kỳ này]]/Table1[[#This Row],[TỔNG CỘNG TÀI SẢN]]</f>
        <v>#DIV/0!</v>
      </c>
      <c r="S866" s="21" t="e">
        <f>Table1[[#This Row],[5. Lợi nhuận gộp về bán hàng và cung cấp dịch vụ]]/Table1[[#This Row],[TỔNG CỘNG TÀI SẢN]]</f>
        <v>#DIV/0!</v>
      </c>
      <c r="T86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866" s="23" t="e">
        <f>Table1[[#This Row],[1. Doanh thu bán hàng và cung cấp dịch vụ ]]/Table1[[#This Row],[TỔNG CỘNG TÀI SẢN]]</f>
        <v>#DIV/0!</v>
      </c>
      <c r="V866" s="23" t="e">
        <f>1.2*Table1[[#This Row],[X1]] + 1.4*Table1[[#This Row],[X2]] + 3.3*Table1[[#This Row],[x3]] + 0.6*Table1[[#This Row],[x4]] + 1*Table1[[#This Row],[x5]]</f>
        <v>#DIV/0!</v>
      </c>
      <c r="W866" s="23" t="e">
        <f>IF(Table1[[#This Row],[Zscore]]&lt;1.81,1,0)</f>
        <v>#DIV/0!</v>
      </c>
    </row>
    <row r="867" spans="1:23" x14ac:dyDescent="0.45">
      <c r="A867" s="7">
        <v>861</v>
      </c>
      <c r="B867" s="5" t="s">
        <v>1734</v>
      </c>
      <c r="C867" s="6" t="s">
        <v>1735</v>
      </c>
      <c r="D867" s="6" t="s">
        <v>18</v>
      </c>
      <c r="E867" s="8">
        <v>837949874270</v>
      </c>
      <c r="F867" s="8">
        <v>544097998560</v>
      </c>
      <c r="G867" s="8">
        <v>122963258821</v>
      </c>
      <c r="H867" s="8">
        <v>95600423920</v>
      </c>
      <c r="I867" s="8">
        <v>247218112357</v>
      </c>
      <c r="J867" s="8"/>
      <c r="K867" s="8">
        <v>143254085109</v>
      </c>
      <c r="L867" s="8">
        <v>702647906942</v>
      </c>
      <c r="M867" s="8">
        <v>836679974000</v>
      </c>
      <c r="N867" s="8">
        <v>1448756778500</v>
      </c>
      <c r="O867" s="8">
        <v>1029759968000</v>
      </c>
      <c r="P867" s="8">
        <v>1094119966000</v>
      </c>
      <c r="Q867" s="18">
        <f>(Table1[[#This Row],[A. TÀI SẢN NGẮN HẠN]]-Table1[[#This Row],[I. Nợ ngắn hạn]])/Table1[[#This Row],[TỔNG CỘNG TÀI SẢN]]</f>
        <v>0.50257748425093041</v>
      </c>
      <c r="R867" s="18">
        <f>Table1[[#This Row],[- LNST chưa phân phối kỳ này]]/Table1[[#This Row],[TỔNG CỘNG TÀI SẢN]]</f>
        <v>0.1140884757614942</v>
      </c>
      <c r="S867" s="21">
        <f>Table1[[#This Row],[5. Lợi nhuận gộp về bán hàng và cung cấp dịch vụ]]/Table1[[#This Row],[TỔNG CỘNG TÀI SẢN]]</f>
        <v>0.29502732794413261</v>
      </c>
      <c r="T86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7.6949231205955027</v>
      </c>
      <c r="U867" s="23">
        <f>Table1[[#This Row],[1. Doanh thu bán hàng và cung cấp dịch vụ ]]/Table1[[#This Row],[TỔNG CỘNG TÀI SẢN]]</f>
        <v>0.83853214675177135</v>
      </c>
      <c r="V867" s="23">
        <f>1.2*Table1[[#This Row],[X1]] + 1.4*Table1[[#This Row],[X2]] + 3.3*Table1[[#This Row],[x3]] + 0.6*Table1[[#This Row],[x4]] + 1*Table1[[#This Row],[x5]]</f>
        <v>7.1918930484919192</v>
      </c>
      <c r="W867" s="23">
        <f>IF(Table1[[#This Row],[Zscore]]&lt;1.81,1,0)</f>
        <v>0</v>
      </c>
    </row>
    <row r="868" spans="1:23" x14ac:dyDescent="0.45">
      <c r="A868" s="7">
        <v>862</v>
      </c>
      <c r="B868" s="5" t="s">
        <v>1736</v>
      </c>
      <c r="C868" s="6" t="s">
        <v>1737</v>
      </c>
      <c r="D868" s="6" t="s">
        <v>18</v>
      </c>
      <c r="E868" s="8">
        <v>11900607111087</v>
      </c>
      <c r="F868" s="8">
        <v>9110212318201</v>
      </c>
      <c r="G868" s="8">
        <v>7747212114298</v>
      </c>
      <c r="H868" s="8">
        <v>271866104527</v>
      </c>
      <c r="I868" s="8">
        <v>999500635746</v>
      </c>
      <c r="J868" s="8"/>
      <c r="K868" s="8">
        <v>7933576488002</v>
      </c>
      <c r="L868" s="8">
        <v>15335166620272</v>
      </c>
      <c r="M868" s="8">
        <v>2729657938000</v>
      </c>
      <c r="N868" s="8">
        <v>2400491501100</v>
      </c>
      <c r="O868" s="8">
        <v>2202076992000</v>
      </c>
      <c r="P868" s="8">
        <v>2018570576000</v>
      </c>
      <c r="Q868" s="18">
        <f>(Table1[[#This Row],[A. TÀI SẢN NGẮN HẠN]]-Table1[[#This Row],[I. Nợ ngắn hạn]])/Table1[[#This Row],[TỔNG CỘNG TÀI SẢN]]</f>
        <v>0.1145319890976977</v>
      </c>
      <c r="R868" s="18">
        <f>Table1[[#This Row],[- LNST chưa phân phối kỳ này]]/Table1[[#This Row],[TỔNG CỘNG TÀI SẢN]]</f>
        <v>2.2844725650485558E-2</v>
      </c>
      <c r="S868" s="21">
        <f>Table1[[#This Row],[5. Lợi nhuận gộp về bán hàng và cung cấp dịch vụ]]/Table1[[#This Row],[TỔNG CỘNG TÀI SẢN]]</f>
        <v>8.3987365217261231E-2</v>
      </c>
      <c r="T86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0.29465894169046181</v>
      </c>
      <c r="U868" s="23">
        <f>Table1[[#This Row],[1. Doanh thu bán hàng và cung cấp dịch vụ ]]/Table1[[#This Row],[TỔNG CỘNG TÀI SẢN]]</f>
        <v>1.2886037222407964</v>
      </c>
      <c r="V868" s="23">
        <f>1.2*Table1[[#This Row],[X1]] + 1.4*Table1[[#This Row],[X2]] + 3.3*Table1[[#This Row],[x3]] + 0.6*Table1[[#This Row],[x4]] + 1*Table1[[#This Row],[x5]]</f>
        <v>1.9119783952999527</v>
      </c>
      <c r="W868" s="23">
        <f>IF(Table1[[#This Row],[Zscore]]&lt;1.81,1,0)</f>
        <v>0</v>
      </c>
    </row>
    <row r="869" spans="1:23" hidden="1" x14ac:dyDescent="0.45">
      <c r="A869" s="7">
        <v>863</v>
      </c>
      <c r="B869" s="5" t="s">
        <v>1738</v>
      </c>
      <c r="C869" s="6" t="s">
        <v>1739</v>
      </c>
      <c r="D869" s="6" t="s">
        <v>13</v>
      </c>
      <c r="E869" s="6"/>
      <c r="F869" s="6"/>
      <c r="G869" s="6"/>
      <c r="H869" s="6"/>
      <c r="I869" s="6"/>
      <c r="J869" s="8"/>
      <c r="K869" s="6"/>
      <c r="L869" s="6"/>
      <c r="M869" s="8"/>
      <c r="N869" s="8"/>
      <c r="O869" s="8"/>
      <c r="P869" s="8"/>
      <c r="Q869" s="18" t="e">
        <f>(Table1[[#This Row],[A. TÀI SẢN NGẮN HẠN]]-Table1[[#This Row],[I. Nợ ngắn hạn]])/Table1[[#This Row],[TỔNG CỘNG TÀI SẢN]]</f>
        <v>#DIV/0!</v>
      </c>
      <c r="R869" s="18" t="e">
        <f>Table1[[#This Row],[- LNST chưa phân phối kỳ này]]/Table1[[#This Row],[TỔNG CỘNG TÀI SẢN]]</f>
        <v>#DIV/0!</v>
      </c>
      <c r="S869" s="21" t="e">
        <f>Table1[[#This Row],[5. Lợi nhuận gộp về bán hàng và cung cấp dịch vụ]]/Table1[[#This Row],[TỔNG CỘNG TÀI SẢN]]</f>
        <v>#DIV/0!</v>
      </c>
      <c r="T86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869" s="23" t="e">
        <f>Table1[[#This Row],[1. Doanh thu bán hàng và cung cấp dịch vụ ]]/Table1[[#This Row],[TỔNG CỘNG TÀI SẢN]]</f>
        <v>#DIV/0!</v>
      </c>
      <c r="V869" s="23" t="e">
        <f>1.2*Table1[[#This Row],[X1]] + 1.4*Table1[[#This Row],[X2]] + 3.3*Table1[[#This Row],[x3]] + 0.6*Table1[[#This Row],[x4]] + 1*Table1[[#This Row],[x5]]</f>
        <v>#DIV/0!</v>
      </c>
      <c r="W869" s="23" t="e">
        <f>IF(Table1[[#This Row],[Zscore]]&lt;1.81,1,0)</f>
        <v>#DIV/0!</v>
      </c>
    </row>
    <row r="870" spans="1:23" ht="26.25" hidden="1" x14ac:dyDescent="0.45">
      <c r="A870" s="7">
        <v>864</v>
      </c>
      <c r="B870" s="5" t="s">
        <v>1740</v>
      </c>
      <c r="C870" s="6" t="s">
        <v>1741</v>
      </c>
      <c r="D870" s="6" t="s">
        <v>13</v>
      </c>
      <c r="E870" s="6"/>
      <c r="F870" s="6"/>
      <c r="G870" s="6"/>
      <c r="H870" s="6"/>
      <c r="I870" s="6"/>
      <c r="J870" s="8"/>
      <c r="K870" s="6"/>
      <c r="L870" s="6"/>
      <c r="M870" s="8"/>
      <c r="N870" s="8"/>
      <c r="O870" s="8"/>
      <c r="P870" s="8"/>
      <c r="Q870" s="18" t="e">
        <f>(Table1[[#This Row],[A. TÀI SẢN NGẮN HẠN]]-Table1[[#This Row],[I. Nợ ngắn hạn]])/Table1[[#This Row],[TỔNG CỘNG TÀI SẢN]]</f>
        <v>#DIV/0!</v>
      </c>
      <c r="R870" s="18" t="e">
        <f>Table1[[#This Row],[- LNST chưa phân phối kỳ này]]/Table1[[#This Row],[TỔNG CỘNG TÀI SẢN]]</f>
        <v>#DIV/0!</v>
      </c>
      <c r="S870" s="21" t="e">
        <f>Table1[[#This Row],[5. Lợi nhuận gộp về bán hàng và cung cấp dịch vụ]]/Table1[[#This Row],[TỔNG CỘNG TÀI SẢN]]</f>
        <v>#DIV/0!</v>
      </c>
      <c r="T87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870" s="23" t="e">
        <f>Table1[[#This Row],[1. Doanh thu bán hàng và cung cấp dịch vụ ]]/Table1[[#This Row],[TỔNG CỘNG TÀI SẢN]]</f>
        <v>#DIV/0!</v>
      </c>
      <c r="V870" s="23" t="e">
        <f>1.2*Table1[[#This Row],[X1]] + 1.4*Table1[[#This Row],[X2]] + 3.3*Table1[[#This Row],[x3]] + 0.6*Table1[[#This Row],[x4]] + 1*Table1[[#This Row],[x5]]</f>
        <v>#DIV/0!</v>
      </c>
      <c r="W870" s="23" t="e">
        <f>IF(Table1[[#This Row],[Zscore]]&lt;1.81,1,0)</f>
        <v>#DIV/0!</v>
      </c>
    </row>
    <row r="871" spans="1:23" x14ac:dyDescent="0.45">
      <c r="A871" s="7">
        <v>865</v>
      </c>
      <c r="B871" s="5" t="s">
        <v>1742</v>
      </c>
      <c r="C871" s="6" t="s">
        <v>1743</v>
      </c>
      <c r="D871" s="6" t="s">
        <v>21</v>
      </c>
      <c r="E871" s="8">
        <v>556481726448</v>
      </c>
      <c r="F871" s="8">
        <v>275228251021</v>
      </c>
      <c r="G871" s="8">
        <v>116232761316</v>
      </c>
      <c r="H871" s="8">
        <v>71983979132</v>
      </c>
      <c r="I871" s="8">
        <v>140922661824</v>
      </c>
      <c r="J871" s="8"/>
      <c r="K871" s="8">
        <v>200500347326</v>
      </c>
      <c r="L871" s="8">
        <v>333769951266</v>
      </c>
      <c r="M871" s="8">
        <v>545089475700</v>
      </c>
      <c r="N871" s="8">
        <v>518088711000</v>
      </c>
      <c r="O871" s="8">
        <v>569897582100</v>
      </c>
      <c r="P871" s="8">
        <v>513154532800</v>
      </c>
      <c r="Q871" s="18">
        <f>(Table1[[#This Row],[A. TÀI SẢN NGẮN HẠN]]-Table1[[#This Row],[I. Nợ ngắn hạn]])/Table1[[#This Row],[TỔNG CỘNG TÀI SẢN]]</f>
        <v>0.28571556288085448</v>
      </c>
      <c r="R871" s="18">
        <f>Table1[[#This Row],[- LNST chưa phân phối kỳ này]]/Table1[[#This Row],[TỔNG CỘNG TÀI SẢN]]</f>
        <v>0.12935551287815106</v>
      </c>
      <c r="S871" s="21">
        <f>Table1[[#This Row],[5. Lợi nhuận gộp về bán hàng và cung cấp dịch vụ]]/Table1[[#This Row],[TỔNG CỘNG TÀI SẢN]]</f>
        <v>0.25323861526146341</v>
      </c>
      <c r="T87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2.676092997123809</v>
      </c>
      <c r="U871" s="23">
        <f>Table1[[#This Row],[1. Doanh thu bán hàng và cung cấp dịch vụ ]]/Table1[[#This Row],[TỔNG CỘNG TÀI SẢN]]</f>
        <v>0.59978600446853825</v>
      </c>
      <c r="V871" s="23">
        <f>1.2*Table1[[#This Row],[X1]] + 1.4*Table1[[#This Row],[X2]] + 3.3*Table1[[#This Row],[x3]] + 0.6*Table1[[#This Row],[x4]] + 1*Table1[[#This Row],[x5]]</f>
        <v>3.5650856265920901</v>
      </c>
      <c r="W871" s="23">
        <f>IF(Table1[[#This Row],[Zscore]]&lt;1.81,1,0)</f>
        <v>0</v>
      </c>
    </row>
    <row r="872" spans="1:23" x14ac:dyDescent="0.45">
      <c r="A872" s="7">
        <v>866</v>
      </c>
      <c r="B872" s="5" t="s">
        <v>1744</v>
      </c>
      <c r="C872" s="6" t="s">
        <v>1745</v>
      </c>
      <c r="D872" s="6" t="s">
        <v>36</v>
      </c>
      <c r="E872" s="8">
        <v>340605461259</v>
      </c>
      <c r="F872" s="8">
        <v>128876381758</v>
      </c>
      <c r="G872" s="8">
        <v>152133877912</v>
      </c>
      <c r="H872" s="8">
        <v>40269947100</v>
      </c>
      <c r="I872" s="8">
        <v>269450480123</v>
      </c>
      <c r="J872" s="8"/>
      <c r="K872" s="8">
        <v>152992019892</v>
      </c>
      <c r="L872" s="8">
        <v>673263646857</v>
      </c>
      <c r="M872" s="8">
        <v>317300000000</v>
      </c>
      <c r="N872" s="8">
        <v>352450000000</v>
      </c>
      <c r="O872" s="8">
        <v>315400000000</v>
      </c>
      <c r="P872" s="8">
        <v>330600000000</v>
      </c>
      <c r="Q872" s="18">
        <f>(Table1[[#This Row],[A. TÀI SẢN NGẮN HẠN]]-Table1[[#This Row],[I. Nợ ngắn hạn]])/Table1[[#This Row],[TỔNG CỘNG TÀI SẢN]]</f>
        <v>-6.8282804591658475E-2</v>
      </c>
      <c r="R872" s="18">
        <f>Table1[[#This Row],[- LNST chưa phân phối kỳ này]]/Table1[[#This Row],[TỔNG CỘNG TÀI SẢN]]</f>
        <v>0.11823047977900245</v>
      </c>
      <c r="S872" s="21">
        <f>Table1[[#This Row],[5. Lợi nhuận gộp về bán hàng và cung cấp dịch vụ]]/Table1[[#This Row],[TỔNG CỘNG TÀI SẢN]]</f>
        <v>0.79109265931031858</v>
      </c>
      <c r="T87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2.1500304410138731</v>
      </c>
      <c r="U872" s="23">
        <f>Table1[[#This Row],[1. Doanh thu bán hàng và cung cấp dịch vụ ]]/Table1[[#This Row],[TỔNG CỘNG TÀI SẢN]]</f>
        <v>1.9766672101157039</v>
      </c>
      <c r="V872" s="23">
        <f>1.2*Table1[[#This Row],[X1]] + 1.4*Table1[[#This Row],[X2]] + 3.3*Table1[[#This Row],[x3]] + 0.6*Table1[[#This Row],[x4]] + 1*Table1[[#This Row],[x5]]</f>
        <v>5.960874556628692</v>
      </c>
      <c r="W872" s="23">
        <f>IF(Table1[[#This Row],[Zscore]]&lt;1.81,1,0)</f>
        <v>0</v>
      </c>
    </row>
    <row r="873" spans="1:23" hidden="1" x14ac:dyDescent="0.45">
      <c r="A873" s="7">
        <v>867</v>
      </c>
      <c r="B873" s="5" t="s">
        <v>1746</v>
      </c>
      <c r="C873" s="6" t="s">
        <v>1747</v>
      </c>
      <c r="D873" s="6" t="s">
        <v>13</v>
      </c>
      <c r="E873" s="6"/>
      <c r="F873" s="6"/>
      <c r="G873" s="6"/>
      <c r="H873" s="6"/>
      <c r="I873" s="6"/>
      <c r="J873" s="8"/>
      <c r="K873" s="6"/>
      <c r="L873" s="6"/>
      <c r="M873" s="8"/>
      <c r="N873" s="8"/>
      <c r="O873" s="8"/>
      <c r="P873" s="8"/>
      <c r="Q873" s="18" t="e">
        <f>(Table1[[#This Row],[A. TÀI SẢN NGẮN HẠN]]-Table1[[#This Row],[I. Nợ ngắn hạn]])/Table1[[#This Row],[TỔNG CỘNG TÀI SẢN]]</f>
        <v>#DIV/0!</v>
      </c>
      <c r="R873" s="18" t="e">
        <f>Table1[[#This Row],[- LNST chưa phân phối kỳ này]]/Table1[[#This Row],[TỔNG CỘNG TÀI SẢN]]</f>
        <v>#DIV/0!</v>
      </c>
      <c r="S873" s="21" t="e">
        <f>Table1[[#This Row],[5. Lợi nhuận gộp về bán hàng và cung cấp dịch vụ]]/Table1[[#This Row],[TỔNG CỘNG TÀI SẢN]]</f>
        <v>#DIV/0!</v>
      </c>
      <c r="T87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873" s="23" t="e">
        <f>Table1[[#This Row],[1. Doanh thu bán hàng và cung cấp dịch vụ ]]/Table1[[#This Row],[TỔNG CỘNG TÀI SẢN]]</f>
        <v>#DIV/0!</v>
      </c>
      <c r="V873" s="23" t="e">
        <f>1.2*Table1[[#This Row],[X1]] + 1.4*Table1[[#This Row],[X2]] + 3.3*Table1[[#This Row],[x3]] + 0.6*Table1[[#This Row],[x4]] + 1*Table1[[#This Row],[x5]]</f>
        <v>#DIV/0!</v>
      </c>
      <c r="W873" s="23" t="e">
        <f>IF(Table1[[#This Row],[Zscore]]&lt;1.81,1,0)</f>
        <v>#DIV/0!</v>
      </c>
    </row>
    <row r="874" spans="1:23" hidden="1" x14ac:dyDescent="0.45">
      <c r="A874" s="7">
        <v>868</v>
      </c>
      <c r="B874" s="5" t="s">
        <v>1748</v>
      </c>
      <c r="C874" s="6" t="s">
        <v>1749</v>
      </c>
      <c r="D874" s="6" t="s">
        <v>13</v>
      </c>
      <c r="E874" s="6"/>
      <c r="F874" s="6"/>
      <c r="G874" s="6"/>
      <c r="H874" s="6"/>
      <c r="I874" s="6"/>
      <c r="J874" s="8"/>
      <c r="K874" s="6"/>
      <c r="L874" s="6"/>
      <c r="M874" s="8"/>
      <c r="N874" s="8"/>
      <c r="O874" s="8"/>
      <c r="P874" s="8"/>
      <c r="Q874" s="18" t="e">
        <f>(Table1[[#This Row],[A. TÀI SẢN NGẮN HẠN]]-Table1[[#This Row],[I. Nợ ngắn hạn]])/Table1[[#This Row],[TỔNG CỘNG TÀI SẢN]]</f>
        <v>#DIV/0!</v>
      </c>
      <c r="R874" s="18" t="e">
        <f>Table1[[#This Row],[- LNST chưa phân phối kỳ này]]/Table1[[#This Row],[TỔNG CỘNG TÀI SẢN]]</f>
        <v>#DIV/0!</v>
      </c>
      <c r="S874" s="21" t="e">
        <f>Table1[[#This Row],[5. Lợi nhuận gộp về bán hàng và cung cấp dịch vụ]]/Table1[[#This Row],[TỔNG CỘNG TÀI SẢN]]</f>
        <v>#DIV/0!</v>
      </c>
      <c r="T87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874" s="23" t="e">
        <f>Table1[[#This Row],[1. Doanh thu bán hàng và cung cấp dịch vụ ]]/Table1[[#This Row],[TỔNG CỘNG TÀI SẢN]]</f>
        <v>#DIV/0!</v>
      </c>
      <c r="V874" s="23" t="e">
        <f>1.2*Table1[[#This Row],[X1]] + 1.4*Table1[[#This Row],[X2]] + 3.3*Table1[[#This Row],[x3]] + 0.6*Table1[[#This Row],[x4]] + 1*Table1[[#This Row],[x5]]</f>
        <v>#DIV/0!</v>
      </c>
      <c r="W874" s="23" t="e">
        <f>IF(Table1[[#This Row],[Zscore]]&lt;1.81,1,0)</f>
        <v>#DIV/0!</v>
      </c>
    </row>
    <row r="875" spans="1:23" x14ac:dyDescent="0.45">
      <c r="A875" s="7">
        <v>869</v>
      </c>
      <c r="B875" s="5" t="s">
        <v>1750</v>
      </c>
      <c r="C875" s="6" t="s">
        <v>1751</v>
      </c>
      <c r="D875" s="6" t="s">
        <v>21</v>
      </c>
      <c r="E875" s="8">
        <v>16345960484828</v>
      </c>
      <c r="F875" s="8">
        <v>12222866782819</v>
      </c>
      <c r="G875" s="8">
        <v>6772070366591</v>
      </c>
      <c r="H875" s="8">
        <v>2198849693177</v>
      </c>
      <c r="I875" s="8">
        <v>4110782660827</v>
      </c>
      <c r="J875" s="8"/>
      <c r="K875" s="8">
        <v>7948905657554</v>
      </c>
      <c r="L875" s="8">
        <v>25659652863824</v>
      </c>
      <c r="M875" s="8">
        <v>21319500000000</v>
      </c>
      <c r="N875" s="8">
        <v>89852989198000</v>
      </c>
      <c r="O875" s="8">
        <v>35648395714400</v>
      </c>
      <c r="P875" s="8">
        <v>46481994412000</v>
      </c>
      <c r="Q875" s="18">
        <f>(Table1[[#This Row],[A. TÀI SẢN NGẮN HẠN]]-Table1[[#This Row],[I. Nợ ngắn hạn]])/Table1[[#This Row],[TỔNG CỘNG TÀI SẢN]]</f>
        <v>0.33346443124509706</v>
      </c>
      <c r="R875" s="18">
        <f>Table1[[#This Row],[- LNST chưa phân phối kỳ này]]/Table1[[#This Row],[TỔNG CỘNG TÀI SẢN]]</f>
        <v>0.13451945483521321</v>
      </c>
      <c r="S875" s="21">
        <f>Table1[[#This Row],[5. Lợi nhuận gộp về bán hàng và cung cấp dịch vụ]]/Table1[[#This Row],[TỔNG CỘNG TÀI SẢN]]</f>
        <v>0.25148614941548086</v>
      </c>
      <c r="T87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6.0795437652697668</v>
      </c>
      <c r="U875" s="23">
        <f>Table1[[#This Row],[1. Doanh thu bán hàng và cung cấp dịch vụ ]]/Table1[[#This Row],[TỔNG CỘNG TÀI SẢN]]</f>
        <v>1.5697855679781427</v>
      </c>
      <c r="V875" s="23">
        <f>1.2*Table1[[#This Row],[X1]] + 1.4*Table1[[#This Row],[X2]] + 3.3*Table1[[#This Row],[x3]] + 0.6*Table1[[#This Row],[x4]] + 1*Table1[[#This Row],[x5]]</f>
        <v>6.6359006744745042</v>
      </c>
      <c r="W875" s="23">
        <f>IF(Table1[[#This Row],[Zscore]]&lt;1.81,1,0)</f>
        <v>0</v>
      </c>
    </row>
    <row r="876" spans="1:23" ht="26.25" hidden="1" x14ac:dyDescent="0.45">
      <c r="A876" s="7">
        <v>870</v>
      </c>
      <c r="B876" s="5" t="s">
        <v>1752</v>
      </c>
      <c r="C876" s="6" t="s">
        <v>1753</v>
      </c>
      <c r="D876" s="6" t="s">
        <v>13</v>
      </c>
      <c r="E876" s="6"/>
      <c r="F876" s="6"/>
      <c r="G876" s="6"/>
      <c r="H876" s="6"/>
      <c r="I876" s="6"/>
      <c r="J876" s="8"/>
      <c r="K876" s="6"/>
      <c r="L876" s="6"/>
      <c r="M876" s="8"/>
      <c r="N876" s="8"/>
      <c r="O876" s="8"/>
      <c r="P876" s="8"/>
      <c r="Q876" s="18" t="e">
        <f>(Table1[[#This Row],[A. TÀI SẢN NGẮN HẠN]]-Table1[[#This Row],[I. Nợ ngắn hạn]])/Table1[[#This Row],[TỔNG CỘNG TÀI SẢN]]</f>
        <v>#DIV/0!</v>
      </c>
      <c r="R876" s="18" t="e">
        <f>Table1[[#This Row],[- LNST chưa phân phối kỳ này]]/Table1[[#This Row],[TỔNG CỘNG TÀI SẢN]]</f>
        <v>#DIV/0!</v>
      </c>
      <c r="S876" s="21" t="e">
        <f>Table1[[#This Row],[5. Lợi nhuận gộp về bán hàng và cung cấp dịch vụ]]/Table1[[#This Row],[TỔNG CỘNG TÀI SẢN]]</f>
        <v>#DIV/0!</v>
      </c>
      <c r="T87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876" s="23" t="e">
        <f>Table1[[#This Row],[1. Doanh thu bán hàng và cung cấp dịch vụ ]]/Table1[[#This Row],[TỔNG CỘNG TÀI SẢN]]</f>
        <v>#DIV/0!</v>
      </c>
      <c r="V876" s="23" t="e">
        <f>1.2*Table1[[#This Row],[X1]] + 1.4*Table1[[#This Row],[X2]] + 3.3*Table1[[#This Row],[x3]] + 0.6*Table1[[#This Row],[x4]] + 1*Table1[[#This Row],[x5]]</f>
        <v>#DIV/0!</v>
      </c>
      <c r="W876" s="23" t="e">
        <f>IF(Table1[[#This Row],[Zscore]]&lt;1.81,1,0)</f>
        <v>#DIV/0!</v>
      </c>
    </row>
    <row r="877" spans="1:23" x14ac:dyDescent="0.45">
      <c r="A877" s="7">
        <v>871</v>
      </c>
      <c r="B877" s="5" t="s">
        <v>1754</v>
      </c>
      <c r="C877" s="6" t="s">
        <v>1755</v>
      </c>
      <c r="D877" s="6" t="s">
        <v>21</v>
      </c>
      <c r="E877" s="8">
        <v>15110888031702</v>
      </c>
      <c r="F877" s="8">
        <v>1793332240030</v>
      </c>
      <c r="G877" s="8">
        <v>884097585558</v>
      </c>
      <c r="H877" s="8">
        <v>628110803288</v>
      </c>
      <c r="I877" s="8">
        <v>1714367696369</v>
      </c>
      <c r="J877" s="8"/>
      <c r="K877" s="8">
        <v>8613176165875</v>
      </c>
      <c r="L877" s="8">
        <v>2998867342581</v>
      </c>
      <c r="M877" s="8">
        <v>5070063449650</v>
      </c>
      <c r="N877" s="8">
        <v>6506628913400</v>
      </c>
      <c r="O877" s="8">
        <v>6823510191650</v>
      </c>
      <c r="P877" s="8">
        <v>6886886447300</v>
      </c>
      <c r="Q877" s="18">
        <f>(Table1[[#This Row],[A. TÀI SẢN NGẮN HẠN]]-Table1[[#This Row],[I. Nợ ngắn hạn]])/Table1[[#This Row],[TỔNG CỘNG TÀI SẢN]]</f>
        <v>6.0170828647824297E-2</v>
      </c>
      <c r="R877" s="18">
        <f>Table1[[#This Row],[- LNST chưa phân phối kỳ này]]/Table1[[#This Row],[TỔNG CỘNG TÀI SẢN]]</f>
        <v>4.1566769733866749E-2</v>
      </c>
      <c r="S877" s="21">
        <f>Table1[[#This Row],[5. Lợi nhuận gộp về bán hàng và cung cấp dịch vụ]]/Table1[[#This Row],[TỔNG CỘNG TÀI SẢN]]</f>
        <v>0.11345247829064245</v>
      </c>
      <c r="T87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0.73396527932942612</v>
      </c>
      <c r="U877" s="23">
        <f>Table1[[#This Row],[1. Doanh thu bán hàng và cung cấp dịch vụ ]]/Table1[[#This Row],[TỔNG CỘNG TÀI SẢN]]</f>
        <v>0.19845738624291995</v>
      </c>
      <c r="V877" s="23">
        <f>1.2*Table1[[#This Row],[X1]] + 1.4*Table1[[#This Row],[X2]] + 3.3*Table1[[#This Row],[x3]] + 0.6*Table1[[#This Row],[x4]] + 1*Table1[[#This Row],[x5]]</f>
        <v>1.1436282042044983</v>
      </c>
      <c r="W877" s="23">
        <f>IF(Table1[[#This Row],[Zscore]]&lt;1.81,1,0)</f>
        <v>1</v>
      </c>
    </row>
    <row r="878" spans="1:23" hidden="1" x14ac:dyDescent="0.45">
      <c r="A878" s="7">
        <v>872</v>
      </c>
      <c r="B878" s="5" t="s">
        <v>1756</v>
      </c>
      <c r="C878" s="6" t="s">
        <v>1757</v>
      </c>
      <c r="D878" s="6" t="s">
        <v>21</v>
      </c>
      <c r="E878" s="8">
        <v>46834859826659</v>
      </c>
      <c r="F878" s="8">
        <v>20322414484251</v>
      </c>
      <c r="G878" s="8">
        <v>12127177742237</v>
      </c>
      <c r="H878" s="8">
        <v>478709145779</v>
      </c>
      <c r="I878" s="8">
        <v>4329370495498</v>
      </c>
      <c r="J878" s="8"/>
      <c r="K878" s="8">
        <v>27874374936912</v>
      </c>
      <c r="L878" s="8">
        <v>14515354729814</v>
      </c>
      <c r="M878" s="8"/>
      <c r="N878" s="8"/>
      <c r="O878" s="8"/>
      <c r="P878" s="8"/>
      <c r="Q878" s="18">
        <f>(Table1[[#This Row],[A. TÀI SẢN NGẮN HẠN]]-Table1[[#This Row],[I. Nợ ngắn hạn]])/Table1[[#This Row],[TỔNG CỘNG TÀI SẢN]]</f>
        <v>0.17498155801779866</v>
      </c>
      <c r="R878" s="18">
        <f>Table1[[#This Row],[- LNST chưa phân phối kỳ này]]/Table1[[#This Row],[TỔNG CỘNG TÀI SẢN]]</f>
        <v>1.0221214444769464E-2</v>
      </c>
      <c r="S878" s="21">
        <f>Table1[[#This Row],[5. Lợi nhuận gộp về bán hàng và cung cấp dịch vụ]]/Table1[[#This Row],[TỔNG CỘNG TÀI SẢN]]</f>
        <v>9.243906166307489E-2</v>
      </c>
      <c r="T87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878" s="23">
        <f>Table1[[#This Row],[1. Doanh thu bán hàng và cung cấp dịch vụ ]]/Table1[[#This Row],[TỔNG CỘNG TÀI SẢN]]</f>
        <v>0.3099262981364081</v>
      </c>
      <c r="V878" s="23" t="e">
        <f>1.2*Table1[[#This Row],[X1]] + 1.4*Table1[[#This Row],[X2]] + 3.3*Table1[[#This Row],[x3]] + 0.6*Table1[[#This Row],[x4]] + 1*Table1[[#This Row],[x5]]</f>
        <v>#DIV/0!</v>
      </c>
      <c r="W878" s="23" t="e">
        <f>IF(Table1[[#This Row],[Zscore]]&lt;1.81,1,0)</f>
        <v>#DIV/0!</v>
      </c>
    </row>
    <row r="879" spans="1:23" hidden="1" x14ac:dyDescent="0.45">
      <c r="A879" s="7">
        <v>873</v>
      </c>
      <c r="B879" s="5" t="s">
        <v>1758</v>
      </c>
      <c r="C879" s="6" t="s">
        <v>1759</v>
      </c>
      <c r="D879" s="6" t="s">
        <v>13</v>
      </c>
      <c r="E879" s="6"/>
      <c r="F879" s="6"/>
      <c r="G879" s="6"/>
      <c r="H879" s="6"/>
      <c r="I879" s="6"/>
      <c r="J879" s="8"/>
      <c r="K879" s="6"/>
      <c r="L879" s="6"/>
      <c r="M879" s="8"/>
      <c r="N879" s="8"/>
      <c r="O879" s="8"/>
      <c r="P879" s="8"/>
      <c r="Q879" s="18" t="e">
        <f>(Table1[[#This Row],[A. TÀI SẢN NGẮN HẠN]]-Table1[[#This Row],[I. Nợ ngắn hạn]])/Table1[[#This Row],[TỔNG CỘNG TÀI SẢN]]</f>
        <v>#DIV/0!</v>
      </c>
      <c r="R879" s="18" t="e">
        <f>Table1[[#This Row],[- LNST chưa phân phối kỳ này]]/Table1[[#This Row],[TỔNG CỘNG TÀI SẢN]]</f>
        <v>#DIV/0!</v>
      </c>
      <c r="S879" s="21" t="e">
        <f>Table1[[#This Row],[5. Lợi nhuận gộp về bán hàng và cung cấp dịch vụ]]/Table1[[#This Row],[TỔNG CỘNG TÀI SẢN]]</f>
        <v>#DIV/0!</v>
      </c>
      <c r="T87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879" s="23" t="e">
        <f>Table1[[#This Row],[1. Doanh thu bán hàng và cung cấp dịch vụ ]]/Table1[[#This Row],[TỔNG CỘNG TÀI SẢN]]</f>
        <v>#DIV/0!</v>
      </c>
      <c r="V879" s="23" t="e">
        <f>1.2*Table1[[#This Row],[X1]] + 1.4*Table1[[#This Row],[X2]] + 3.3*Table1[[#This Row],[x3]] + 0.6*Table1[[#This Row],[x4]] + 1*Table1[[#This Row],[x5]]</f>
        <v>#DIV/0!</v>
      </c>
      <c r="W879" s="23" t="e">
        <f>IF(Table1[[#This Row],[Zscore]]&lt;1.81,1,0)</f>
        <v>#DIV/0!</v>
      </c>
    </row>
    <row r="880" spans="1:23" ht="26.25" hidden="1" x14ac:dyDescent="0.45">
      <c r="A880" s="7">
        <v>874</v>
      </c>
      <c r="B880" s="5" t="s">
        <v>1760</v>
      </c>
      <c r="C880" s="6" t="s">
        <v>1761</v>
      </c>
      <c r="D880" s="6" t="s">
        <v>13</v>
      </c>
      <c r="E880" s="6"/>
      <c r="F880" s="6"/>
      <c r="G880" s="6"/>
      <c r="H880" s="6"/>
      <c r="I880" s="6"/>
      <c r="J880" s="8"/>
      <c r="K880" s="6"/>
      <c r="L880" s="6"/>
      <c r="M880" s="8"/>
      <c r="N880" s="8"/>
      <c r="O880" s="8"/>
      <c r="P880" s="8"/>
      <c r="Q880" s="18" t="e">
        <f>(Table1[[#This Row],[A. TÀI SẢN NGẮN HẠN]]-Table1[[#This Row],[I. Nợ ngắn hạn]])/Table1[[#This Row],[TỔNG CỘNG TÀI SẢN]]</f>
        <v>#DIV/0!</v>
      </c>
      <c r="R880" s="18" t="e">
        <f>Table1[[#This Row],[- LNST chưa phân phối kỳ này]]/Table1[[#This Row],[TỔNG CỘNG TÀI SẢN]]</f>
        <v>#DIV/0!</v>
      </c>
      <c r="S880" s="21" t="e">
        <f>Table1[[#This Row],[5. Lợi nhuận gộp về bán hàng và cung cấp dịch vụ]]/Table1[[#This Row],[TỔNG CỘNG TÀI SẢN]]</f>
        <v>#DIV/0!</v>
      </c>
      <c r="T88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880" s="23" t="e">
        <f>Table1[[#This Row],[1. Doanh thu bán hàng và cung cấp dịch vụ ]]/Table1[[#This Row],[TỔNG CỘNG TÀI SẢN]]</f>
        <v>#DIV/0!</v>
      </c>
      <c r="V880" s="23" t="e">
        <f>1.2*Table1[[#This Row],[X1]] + 1.4*Table1[[#This Row],[X2]] + 3.3*Table1[[#This Row],[x3]] + 0.6*Table1[[#This Row],[x4]] + 1*Table1[[#This Row],[x5]]</f>
        <v>#DIV/0!</v>
      </c>
      <c r="W880" s="23" t="e">
        <f>IF(Table1[[#This Row],[Zscore]]&lt;1.81,1,0)</f>
        <v>#DIV/0!</v>
      </c>
    </row>
    <row r="881" spans="1:23" hidden="1" x14ac:dyDescent="0.45">
      <c r="A881" s="7">
        <v>875</v>
      </c>
      <c r="B881" s="5" t="s">
        <v>1762</v>
      </c>
      <c r="C881" s="6" t="s">
        <v>1763</v>
      </c>
      <c r="D881" s="6" t="s">
        <v>13</v>
      </c>
      <c r="E881" s="6"/>
      <c r="F881" s="6"/>
      <c r="G881" s="6"/>
      <c r="H881" s="6"/>
      <c r="I881" s="6"/>
      <c r="J881" s="8"/>
      <c r="K881" s="6"/>
      <c r="L881" s="6"/>
      <c r="M881" s="8"/>
      <c r="N881" s="8"/>
      <c r="O881" s="8"/>
      <c r="P881" s="8"/>
      <c r="Q881" s="18" t="e">
        <f>(Table1[[#This Row],[A. TÀI SẢN NGẮN HẠN]]-Table1[[#This Row],[I. Nợ ngắn hạn]])/Table1[[#This Row],[TỔNG CỘNG TÀI SẢN]]</f>
        <v>#DIV/0!</v>
      </c>
      <c r="R881" s="18" t="e">
        <f>Table1[[#This Row],[- LNST chưa phân phối kỳ này]]/Table1[[#This Row],[TỔNG CỘNG TÀI SẢN]]</f>
        <v>#DIV/0!</v>
      </c>
      <c r="S881" s="21" t="e">
        <f>Table1[[#This Row],[5. Lợi nhuận gộp về bán hàng và cung cấp dịch vụ]]/Table1[[#This Row],[TỔNG CỘNG TÀI SẢN]]</f>
        <v>#DIV/0!</v>
      </c>
      <c r="T88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881" s="23" t="e">
        <f>Table1[[#This Row],[1. Doanh thu bán hàng và cung cấp dịch vụ ]]/Table1[[#This Row],[TỔNG CỘNG TÀI SẢN]]</f>
        <v>#DIV/0!</v>
      </c>
      <c r="V881" s="23" t="e">
        <f>1.2*Table1[[#This Row],[X1]] + 1.4*Table1[[#This Row],[X2]] + 3.3*Table1[[#This Row],[x3]] + 0.6*Table1[[#This Row],[x4]] + 1*Table1[[#This Row],[x5]]</f>
        <v>#DIV/0!</v>
      </c>
      <c r="W881" s="23" t="e">
        <f>IF(Table1[[#This Row],[Zscore]]&lt;1.81,1,0)</f>
        <v>#DIV/0!</v>
      </c>
    </row>
    <row r="882" spans="1:23" hidden="1" x14ac:dyDescent="0.45">
      <c r="A882" s="7">
        <v>876</v>
      </c>
      <c r="B882" s="5" t="s">
        <v>1764</v>
      </c>
      <c r="C882" s="6" t="s">
        <v>1765</v>
      </c>
      <c r="D882" s="6" t="s">
        <v>13</v>
      </c>
      <c r="E882" s="6"/>
      <c r="F882" s="6"/>
      <c r="G882" s="6"/>
      <c r="H882" s="6"/>
      <c r="I882" s="6"/>
      <c r="J882" s="8"/>
      <c r="K882" s="6"/>
      <c r="L882" s="6"/>
      <c r="M882" s="8"/>
      <c r="N882" s="8"/>
      <c r="O882" s="8"/>
      <c r="P882" s="8"/>
      <c r="Q882" s="18" t="e">
        <f>(Table1[[#This Row],[A. TÀI SẢN NGẮN HẠN]]-Table1[[#This Row],[I. Nợ ngắn hạn]])/Table1[[#This Row],[TỔNG CỘNG TÀI SẢN]]</f>
        <v>#DIV/0!</v>
      </c>
      <c r="R882" s="18" t="e">
        <f>Table1[[#This Row],[- LNST chưa phân phối kỳ này]]/Table1[[#This Row],[TỔNG CỘNG TÀI SẢN]]</f>
        <v>#DIV/0!</v>
      </c>
      <c r="S882" s="21" t="e">
        <f>Table1[[#This Row],[5. Lợi nhuận gộp về bán hàng và cung cấp dịch vụ]]/Table1[[#This Row],[TỔNG CỘNG TÀI SẢN]]</f>
        <v>#DIV/0!</v>
      </c>
      <c r="T88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882" s="23" t="e">
        <f>Table1[[#This Row],[1. Doanh thu bán hàng và cung cấp dịch vụ ]]/Table1[[#This Row],[TỔNG CỘNG TÀI SẢN]]</f>
        <v>#DIV/0!</v>
      </c>
      <c r="V882" s="23" t="e">
        <f>1.2*Table1[[#This Row],[X1]] + 1.4*Table1[[#This Row],[X2]] + 3.3*Table1[[#This Row],[x3]] + 0.6*Table1[[#This Row],[x4]] + 1*Table1[[#This Row],[x5]]</f>
        <v>#DIV/0!</v>
      </c>
      <c r="W882" s="23" t="e">
        <f>IF(Table1[[#This Row],[Zscore]]&lt;1.81,1,0)</f>
        <v>#DIV/0!</v>
      </c>
    </row>
    <row r="883" spans="1:23" ht="26.25" hidden="1" x14ac:dyDescent="0.45">
      <c r="A883" s="7">
        <v>877</v>
      </c>
      <c r="B883" s="5" t="s">
        <v>1766</v>
      </c>
      <c r="C883" s="6" t="s">
        <v>1767</v>
      </c>
      <c r="D883" s="6" t="s">
        <v>13</v>
      </c>
      <c r="E883" s="6"/>
      <c r="F883" s="6"/>
      <c r="G883" s="6"/>
      <c r="H883" s="6"/>
      <c r="I883" s="6"/>
      <c r="J883" s="8"/>
      <c r="K883" s="6"/>
      <c r="L883" s="6"/>
      <c r="M883" s="8"/>
      <c r="N883" s="8"/>
      <c r="O883" s="8"/>
      <c r="P883" s="8"/>
      <c r="Q883" s="18" t="e">
        <f>(Table1[[#This Row],[A. TÀI SẢN NGẮN HẠN]]-Table1[[#This Row],[I. Nợ ngắn hạn]])/Table1[[#This Row],[TỔNG CỘNG TÀI SẢN]]</f>
        <v>#DIV/0!</v>
      </c>
      <c r="R883" s="18" t="e">
        <f>Table1[[#This Row],[- LNST chưa phân phối kỳ này]]/Table1[[#This Row],[TỔNG CỘNG TÀI SẢN]]</f>
        <v>#DIV/0!</v>
      </c>
      <c r="S883" s="21" t="e">
        <f>Table1[[#This Row],[5. Lợi nhuận gộp về bán hàng và cung cấp dịch vụ]]/Table1[[#This Row],[TỔNG CỘNG TÀI SẢN]]</f>
        <v>#DIV/0!</v>
      </c>
      <c r="T88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883" s="23" t="e">
        <f>Table1[[#This Row],[1. Doanh thu bán hàng và cung cấp dịch vụ ]]/Table1[[#This Row],[TỔNG CỘNG TÀI SẢN]]</f>
        <v>#DIV/0!</v>
      </c>
      <c r="V883" s="23" t="e">
        <f>1.2*Table1[[#This Row],[X1]] + 1.4*Table1[[#This Row],[X2]] + 3.3*Table1[[#This Row],[x3]] + 0.6*Table1[[#This Row],[x4]] + 1*Table1[[#This Row],[x5]]</f>
        <v>#DIV/0!</v>
      </c>
      <c r="W883" s="23" t="e">
        <f>IF(Table1[[#This Row],[Zscore]]&lt;1.81,1,0)</f>
        <v>#DIV/0!</v>
      </c>
    </row>
    <row r="884" spans="1:23" hidden="1" x14ac:dyDescent="0.45">
      <c r="A884" s="7">
        <v>878</v>
      </c>
      <c r="B884" s="5" t="s">
        <v>1768</v>
      </c>
      <c r="C884" s="6" t="s">
        <v>1769</v>
      </c>
      <c r="D884" s="6" t="s">
        <v>13</v>
      </c>
      <c r="E884" s="6"/>
      <c r="F884" s="6"/>
      <c r="G884" s="6"/>
      <c r="H884" s="6"/>
      <c r="I884" s="6"/>
      <c r="J884" s="8"/>
      <c r="K884" s="6"/>
      <c r="L884" s="6"/>
      <c r="M884" s="8"/>
      <c r="N884" s="8"/>
      <c r="O884" s="8"/>
      <c r="P884" s="8"/>
      <c r="Q884" s="18" t="e">
        <f>(Table1[[#This Row],[A. TÀI SẢN NGẮN HẠN]]-Table1[[#This Row],[I. Nợ ngắn hạn]])/Table1[[#This Row],[TỔNG CỘNG TÀI SẢN]]</f>
        <v>#DIV/0!</v>
      </c>
      <c r="R884" s="18" t="e">
        <f>Table1[[#This Row],[- LNST chưa phân phối kỳ này]]/Table1[[#This Row],[TỔNG CỘNG TÀI SẢN]]</f>
        <v>#DIV/0!</v>
      </c>
      <c r="S884" s="21" t="e">
        <f>Table1[[#This Row],[5. Lợi nhuận gộp về bán hàng và cung cấp dịch vụ]]/Table1[[#This Row],[TỔNG CỘNG TÀI SẢN]]</f>
        <v>#DIV/0!</v>
      </c>
      <c r="T88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884" s="23" t="e">
        <f>Table1[[#This Row],[1. Doanh thu bán hàng và cung cấp dịch vụ ]]/Table1[[#This Row],[TỔNG CỘNG TÀI SẢN]]</f>
        <v>#DIV/0!</v>
      </c>
      <c r="V884" s="23" t="e">
        <f>1.2*Table1[[#This Row],[X1]] + 1.4*Table1[[#This Row],[X2]] + 3.3*Table1[[#This Row],[x3]] + 0.6*Table1[[#This Row],[x4]] + 1*Table1[[#This Row],[x5]]</f>
        <v>#DIV/0!</v>
      </c>
      <c r="W884" s="23" t="e">
        <f>IF(Table1[[#This Row],[Zscore]]&lt;1.81,1,0)</f>
        <v>#DIV/0!</v>
      </c>
    </row>
    <row r="885" spans="1:23" hidden="1" x14ac:dyDescent="0.45">
      <c r="A885" s="7">
        <v>879</v>
      </c>
      <c r="B885" s="5" t="s">
        <v>1770</v>
      </c>
      <c r="C885" s="6" t="s">
        <v>1771</v>
      </c>
      <c r="D885" s="6" t="s">
        <v>18</v>
      </c>
      <c r="E885" s="8">
        <v>32204979944</v>
      </c>
      <c r="F885" s="8">
        <v>29493827314</v>
      </c>
      <c r="G885" s="8">
        <v>10822064030</v>
      </c>
      <c r="H885" s="8">
        <v>755960698</v>
      </c>
      <c r="I885" s="8">
        <v>15562717216</v>
      </c>
      <c r="J885" s="8"/>
      <c r="K885" s="8">
        <v>10822064030</v>
      </c>
      <c r="L885" s="8">
        <v>87926379624</v>
      </c>
      <c r="M885" s="8"/>
      <c r="N885" s="8"/>
      <c r="O885" s="8"/>
      <c r="P885" s="8"/>
      <c r="Q885" s="18">
        <f>(Table1[[#This Row],[A. TÀI SẢN NGẮN HẠN]]-Table1[[#This Row],[I. Nợ ngắn hạn]])/Table1[[#This Row],[TỔNG CỘNG TÀI SẢN]]</f>
        <v>0.57977875833078019</v>
      </c>
      <c r="R885" s="18">
        <f>Table1[[#This Row],[- LNST chưa phân phối kỳ này]]/Table1[[#This Row],[TỔNG CỘNG TÀI SẢN]]</f>
        <v>2.3473409991700382E-2</v>
      </c>
      <c r="S885" s="21">
        <f>Table1[[#This Row],[5. Lợi nhuận gộp về bán hàng và cung cấp dịch vụ]]/Table1[[#This Row],[TỔNG CỘNG TÀI SẢN]]</f>
        <v>0.48323946306010468</v>
      </c>
      <c r="T88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885" s="23">
        <f>Table1[[#This Row],[1. Doanh thu bán hàng và cung cấp dịch vụ ]]/Table1[[#This Row],[TỔNG CỘNG TÀI SẢN]]</f>
        <v>2.7302106623538283</v>
      </c>
      <c r="V885" s="23" t="e">
        <f>1.2*Table1[[#This Row],[X1]] + 1.4*Table1[[#This Row],[X2]] + 3.3*Table1[[#This Row],[x3]] + 0.6*Table1[[#This Row],[x4]] + 1*Table1[[#This Row],[x5]]</f>
        <v>#DIV/0!</v>
      </c>
      <c r="W885" s="23" t="e">
        <f>IF(Table1[[#This Row],[Zscore]]&lt;1.81,1,0)</f>
        <v>#DIV/0!</v>
      </c>
    </row>
    <row r="886" spans="1:23" ht="26.25" hidden="1" x14ac:dyDescent="0.45">
      <c r="A886" s="7">
        <v>880</v>
      </c>
      <c r="B886" s="5" t="s">
        <v>1772</v>
      </c>
      <c r="C886" s="6" t="s">
        <v>1773</v>
      </c>
      <c r="D886" s="6" t="s">
        <v>13</v>
      </c>
      <c r="E886" s="6"/>
      <c r="F886" s="6"/>
      <c r="G886" s="6"/>
      <c r="H886" s="6"/>
      <c r="I886" s="6"/>
      <c r="J886" s="8"/>
      <c r="K886" s="6"/>
      <c r="L886" s="6"/>
      <c r="M886" s="8"/>
      <c r="N886" s="8"/>
      <c r="O886" s="8"/>
      <c r="P886" s="8"/>
      <c r="Q886" s="18" t="e">
        <f>(Table1[[#This Row],[A. TÀI SẢN NGẮN HẠN]]-Table1[[#This Row],[I. Nợ ngắn hạn]])/Table1[[#This Row],[TỔNG CỘNG TÀI SẢN]]</f>
        <v>#DIV/0!</v>
      </c>
      <c r="R886" s="18" t="e">
        <f>Table1[[#This Row],[- LNST chưa phân phối kỳ này]]/Table1[[#This Row],[TỔNG CỘNG TÀI SẢN]]</f>
        <v>#DIV/0!</v>
      </c>
      <c r="S886" s="21" t="e">
        <f>Table1[[#This Row],[5. Lợi nhuận gộp về bán hàng và cung cấp dịch vụ]]/Table1[[#This Row],[TỔNG CỘNG TÀI SẢN]]</f>
        <v>#DIV/0!</v>
      </c>
      <c r="T88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886" s="23" t="e">
        <f>Table1[[#This Row],[1. Doanh thu bán hàng và cung cấp dịch vụ ]]/Table1[[#This Row],[TỔNG CỘNG TÀI SẢN]]</f>
        <v>#DIV/0!</v>
      </c>
      <c r="V886" s="23" t="e">
        <f>1.2*Table1[[#This Row],[X1]] + 1.4*Table1[[#This Row],[X2]] + 3.3*Table1[[#This Row],[x3]] + 0.6*Table1[[#This Row],[x4]] + 1*Table1[[#This Row],[x5]]</f>
        <v>#DIV/0!</v>
      </c>
      <c r="W886" s="23" t="e">
        <f>IF(Table1[[#This Row],[Zscore]]&lt;1.81,1,0)</f>
        <v>#DIV/0!</v>
      </c>
    </row>
    <row r="887" spans="1:23" x14ac:dyDescent="0.45">
      <c r="A887" s="7">
        <v>881</v>
      </c>
      <c r="B887" s="5" t="s">
        <v>1774</v>
      </c>
      <c r="C887" s="6" t="s">
        <v>1775</v>
      </c>
      <c r="D887" s="6" t="s">
        <v>21</v>
      </c>
      <c r="E887" s="8">
        <v>73592590903667</v>
      </c>
      <c r="F887" s="8">
        <v>39414126385838</v>
      </c>
      <c r="G887" s="8">
        <v>21795269254235</v>
      </c>
      <c r="H887" s="8">
        <v>4308863380021</v>
      </c>
      <c r="I887" s="8">
        <v>8416539991652</v>
      </c>
      <c r="J887" s="8"/>
      <c r="K887" s="8">
        <v>43418985730105</v>
      </c>
      <c r="L887" s="8">
        <v>39908172858988</v>
      </c>
      <c r="M887" s="8">
        <v>20196600135500</v>
      </c>
      <c r="N887" s="8">
        <v>39344594132800</v>
      </c>
      <c r="O887" s="8">
        <v>33749720655200</v>
      </c>
      <c r="P887" s="8">
        <v>50083141614000</v>
      </c>
      <c r="Q887" s="18">
        <f>(Table1[[#This Row],[A. TÀI SẢN NGẮN HẠN]]-Table1[[#This Row],[I. Nợ ngắn hạn]])/Table1[[#This Row],[TỔNG CỘNG TÀI SẢN]]</f>
        <v>0.23941074658814709</v>
      </c>
      <c r="R887" s="18">
        <f>Table1[[#This Row],[- LNST chưa phân phối kỳ này]]/Table1[[#This Row],[TỔNG CỘNG TÀI SẢN]]</f>
        <v>5.855023348289666E-2</v>
      </c>
      <c r="S887" s="21">
        <f>Table1[[#This Row],[5. Lợi nhuận gộp về bán hàng và cung cấp dịch vụ]]/Table1[[#This Row],[TỔNG CỘNG TÀI SẢN]]</f>
        <v>0.11436667588819213</v>
      </c>
      <c r="T88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0.82552628836565689</v>
      </c>
      <c r="U887" s="23">
        <f>Table1[[#This Row],[1. Doanh thu bán hàng và cung cấp dịch vụ ]]/Table1[[#This Row],[TỔNG CỘNG TÀI SẢN]]</f>
        <v>0.54228519975914369</v>
      </c>
      <c r="V887" s="23">
        <f>1.2*Table1[[#This Row],[X1]] + 1.4*Table1[[#This Row],[X2]] + 3.3*Table1[[#This Row],[x3]] + 0.6*Table1[[#This Row],[x4]] + 1*Table1[[#This Row],[x5]]</f>
        <v>1.7842742259914037</v>
      </c>
      <c r="W887" s="23">
        <f>IF(Table1[[#This Row],[Zscore]]&lt;1.81,1,0)</f>
        <v>1</v>
      </c>
    </row>
    <row r="888" spans="1:23" ht="26.25" hidden="1" x14ac:dyDescent="0.45">
      <c r="A888" s="7">
        <v>882</v>
      </c>
      <c r="B888" s="5" t="s">
        <v>1776</v>
      </c>
      <c r="C888" s="6" t="s">
        <v>1777</v>
      </c>
      <c r="D888" s="6" t="s">
        <v>13</v>
      </c>
      <c r="E888" s="6"/>
      <c r="F888" s="6"/>
      <c r="G888" s="6"/>
      <c r="H888" s="6"/>
      <c r="I888" s="6"/>
      <c r="J888" s="8"/>
      <c r="K888" s="6"/>
      <c r="L888" s="6"/>
      <c r="M888" s="8"/>
      <c r="N888" s="8"/>
      <c r="O888" s="8"/>
      <c r="P888" s="8"/>
      <c r="Q888" s="18" t="e">
        <f>(Table1[[#This Row],[A. TÀI SẢN NGẮN HẠN]]-Table1[[#This Row],[I. Nợ ngắn hạn]])/Table1[[#This Row],[TỔNG CỘNG TÀI SẢN]]</f>
        <v>#DIV/0!</v>
      </c>
      <c r="R888" s="18" t="e">
        <f>Table1[[#This Row],[- LNST chưa phân phối kỳ này]]/Table1[[#This Row],[TỔNG CỘNG TÀI SẢN]]</f>
        <v>#DIV/0!</v>
      </c>
      <c r="S888" s="21" t="e">
        <f>Table1[[#This Row],[5. Lợi nhuận gộp về bán hàng và cung cấp dịch vụ]]/Table1[[#This Row],[TỔNG CỘNG TÀI SẢN]]</f>
        <v>#DIV/0!</v>
      </c>
      <c r="T88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888" s="23" t="e">
        <f>Table1[[#This Row],[1. Doanh thu bán hàng và cung cấp dịch vụ ]]/Table1[[#This Row],[TỔNG CỘNG TÀI SẢN]]</f>
        <v>#DIV/0!</v>
      </c>
      <c r="V888" s="23" t="e">
        <f>1.2*Table1[[#This Row],[X1]] + 1.4*Table1[[#This Row],[X2]] + 3.3*Table1[[#This Row],[x3]] + 0.6*Table1[[#This Row],[x4]] + 1*Table1[[#This Row],[x5]]</f>
        <v>#DIV/0!</v>
      </c>
      <c r="W888" s="23" t="e">
        <f>IF(Table1[[#This Row],[Zscore]]&lt;1.81,1,0)</f>
        <v>#DIV/0!</v>
      </c>
    </row>
    <row r="889" spans="1:23" x14ac:dyDescent="0.45">
      <c r="A889" s="7">
        <v>883</v>
      </c>
      <c r="B889" s="5" t="s">
        <v>1778</v>
      </c>
      <c r="C889" s="6" t="s">
        <v>1779</v>
      </c>
      <c r="D889" s="6" t="s">
        <v>18</v>
      </c>
      <c r="E889" s="8">
        <v>19967604096</v>
      </c>
      <c r="F889" s="8">
        <v>3879413966</v>
      </c>
      <c r="G889" s="8">
        <v>48845433133</v>
      </c>
      <c r="H889" s="8">
        <v>-14693260869</v>
      </c>
      <c r="I889" s="8">
        <v>-1143056107</v>
      </c>
      <c r="J889" s="8"/>
      <c r="K889" s="8">
        <v>85839358908</v>
      </c>
      <c r="L889" s="8">
        <v>115651071965</v>
      </c>
      <c r="M889" s="8">
        <v>52899460200</v>
      </c>
      <c r="N889" s="8">
        <v>99921202600</v>
      </c>
      <c r="O889" s="8">
        <v>117554356000</v>
      </c>
      <c r="P889" s="8">
        <v>141065227200</v>
      </c>
      <c r="Q889" s="18">
        <f>(Table1[[#This Row],[A. TÀI SẢN NGẮN HẠN]]-Table1[[#This Row],[I. Nợ ngắn hạn]])/Table1[[#This Row],[TỔNG CỘNG TÀI SẢN]]</f>
        <v>-2.2519486539703477</v>
      </c>
      <c r="R889" s="18">
        <f>Table1[[#This Row],[- LNST chưa phân phối kỳ này]]/Table1[[#This Row],[TỔNG CỘNG TÀI SẢN]]</f>
        <v>-0.73585497781095432</v>
      </c>
      <c r="S889" s="21">
        <f>Table1[[#This Row],[5. Lợi nhuận gộp về bán hàng và cung cấp dịch vụ]]/Table1[[#This Row],[TỔNG CỘNG TÀI SẢN]]</f>
        <v>-5.7245531386962048E-2</v>
      </c>
      <c r="T88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1.1982855278572417</v>
      </c>
      <c r="U889" s="23">
        <f>Table1[[#This Row],[1. Doanh thu bán hàng và cung cấp dịch vụ ]]/Table1[[#This Row],[TỔNG CỘNG TÀI SẢN]]</f>
        <v>5.7919353473243058</v>
      </c>
      <c r="V889" s="23">
        <f>1.2*Table1[[#This Row],[X1]] + 1.4*Table1[[#This Row],[X2]] + 3.3*Table1[[#This Row],[x3]] + 0.6*Table1[[#This Row],[x4]] + 1*Table1[[#This Row],[x5]]</f>
        <v>2.5894610567619223</v>
      </c>
      <c r="W889" s="23">
        <f>IF(Table1[[#This Row],[Zscore]]&lt;1.81,1,0)</f>
        <v>0</v>
      </c>
    </row>
    <row r="890" spans="1:23" hidden="1" x14ac:dyDescent="0.45">
      <c r="A890" s="7">
        <v>884</v>
      </c>
      <c r="B890" s="5" t="s">
        <v>1780</v>
      </c>
      <c r="C890" s="6" t="s">
        <v>1781</v>
      </c>
      <c r="D890" s="6" t="s">
        <v>13</v>
      </c>
      <c r="E890" s="6"/>
      <c r="F890" s="6"/>
      <c r="G890" s="6"/>
      <c r="H890" s="6"/>
      <c r="I890" s="6"/>
      <c r="J890" s="8"/>
      <c r="K890" s="6"/>
      <c r="L890" s="6"/>
      <c r="M890" s="8"/>
      <c r="N890" s="8"/>
      <c r="O890" s="8"/>
      <c r="P890" s="8"/>
      <c r="Q890" s="18" t="e">
        <f>(Table1[[#This Row],[A. TÀI SẢN NGẮN HẠN]]-Table1[[#This Row],[I. Nợ ngắn hạn]])/Table1[[#This Row],[TỔNG CỘNG TÀI SẢN]]</f>
        <v>#DIV/0!</v>
      </c>
      <c r="R890" s="18" t="e">
        <f>Table1[[#This Row],[- LNST chưa phân phối kỳ này]]/Table1[[#This Row],[TỔNG CỘNG TÀI SẢN]]</f>
        <v>#DIV/0!</v>
      </c>
      <c r="S890" s="21" t="e">
        <f>Table1[[#This Row],[5. Lợi nhuận gộp về bán hàng và cung cấp dịch vụ]]/Table1[[#This Row],[TỔNG CỘNG TÀI SẢN]]</f>
        <v>#DIV/0!</v>
      </c>
      <c r="T89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890" s="23" t="e">
        <f>Table1[[#This Row],[1. Doanh thu bán hàng và cung cấp dịch vụ ]]/Table1[[#This Row],[TỔNG CỘNG TÀI SẢN]]</f>
        <v>#DIV/0!</v>
      </c>
      <c r="V890" s="23" t="e">
        <f>1.2*Table1[[#This Row],[X1]] + 1.4*Table1[[#This Row],[X2]] + 3.3*Table1[[#This Row],[x3]] + 0.6*Table1[[#This Row],[x4]] + 1*Table1[[#This Row],[x5]]</f>
        <v>#DIV/0!</v>
      </c>
      <c r="W890" s="23" t="e">
        <f>IF(Table1[[#This Row],[Zscore]]&lt;1.81,1,0)</f>
        <v>#DIV/0!</v>
      </c>
    </row>
    <row r="891" spans="1:23" ht="26.25" hidden="1" x14ac:dyDescent="0.45">
      <c r="A891" s="7">
        <v>885</v>
      </c>
      <c r="B891" s="5" t="s">
        <v>1782</v>
      </c>
      <c r="C891" s="6" t="s">
        <v>1783</v>
      </c>
      <c r="D891" s="6" t="s">
        <v>18</v>
      </c>
      <c r="E891" s="6"/>
      <c r="F891" s="6"/>
      <c r="G891" s="6"/>
      <c r="H891" s="6"/>
      <c r="I891" s="6"/>
      <c r="J891" s="8"/>
      <c r="K891" s="6"/>
      <c r="L891" s="6"/>
      <c r="M891" s="8"/>
      <c r="N891" s="8"/>
      <c r="O891" s="8"/>
      <c r="P891" s="8"/>
      <c r="Q891" s="18" t="e">
        <f>(Table1[[#This Row],[A. TÀI SẢN NGẮN HẠN]]-Table1[[#This Row],[I. Nợ ngắn hạn]])/Table1[[#This Row],[TỔNG CỘNG TÀI SẢN]]</f>
        <v>#DIV/0!</v>
      </c>
      <c r="R891" s="18" t="e">
        <f>Table1[[#This Row],[- LNST chưa phân phối kỳ này]]/Table1[[#This Row],[TỔNG CỘNG TÀI SẢN]]</f>
        <v>#DIV/0!</v>
      </c>
      <c r="S891" s="21" t="e">
        <f>Table1[[#This Row],[5. Lợi nhuận gộp về bán hàng và cung cấp dịch vụ]]/Table1[[#This Row],[TỔNG CỘNG TÀI SẢN]]</f>
        <v>#DIV/0!</v>
      </c>
      <c r="T89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891" s="23" t="e">
        <f>Table1[[#This Row],[1. Doanh thu bán hàng và cung cấp dịch vụ ]]/Table1[[#This Row],[TỔNG CỘNG TÀI SẢN]]</f>
        <v>#DIV/0!</v>
      </c>
      <c r="V891" s="23" t="e">
        <f>1.2*Table1[[#This Row],[X1]] + 1.4*Table1[[#This Row],[X2]] + 3.3*Table1[[#This Row],[x3]] + 0.6*Table1[[#This Row],[x4]] + 1*Table1[[#This Row],[x5]]</f>
        <v>#DIV/0!</v>
      </c>
      <c r="W891" s="23" t="e">
        <f>IF(Table1[[#This Row],[Zscore]]&lt;1.81,1,0)</f>
        <v>#DIV/0!</v>
      </c>
    </row>
    <row r="892" spans="1:23" x14ac:dyDescent="0.45">
      <c r="A892" s="7">
        <v>886</v>
      </c>
      <c r="B892" s="5" t="s">
        <v>1784</v>
      </c>
      <c r="C892" s="6" t="s">
        <v>1785</v>
      </c>
      <c r="D892" s="6" t="s">
        <v>21</v>
      </c>
      <c r="E892" s="8">
        <v>1486268188540</v>
      </c>
      <c r="F892" s="8">
        <v>277684578733</v>
      </c>
      <c r="G892" s="8">
        <v>88987299060</v>
      </c>
      <c r="H892" s="8">
        <v>65145931880</v>
      </c>
      <c r="I892" s="8">
        <v>190045430990</v>
      </c>
      <c r="J892" s="8"/>
      <c r="K892" s="8">
        <v>388412299060</v>
      </c>
      <c r="L892" s="8">
        <v>333751521500</v>
      </c>
      <c r="M892" s="8">
        <v>1463238750000</v>
      </c>
      <c r="N892" s="8">
        <v>1386978750000</v>
      </c>
      <c r="O892" s="8">
        <v>1434641250000</v>
      </c>
      <c r="P892" s="8">
        <v>1453706250000</v>
      </c>
      <c r="Q892" s="18">
        <f>(Table1[[#This Row],[A. TÀI SẢN NGẮN HẠN]]-Table1[[#This Row],[I. Nợ ngắn hạn]])/Table1[[#This Row],[TỔNG CỘNG TÀI SẢN]]</f>
        <v>0.12696045110025686</v>
      </c>
      <c r="R892" s="18">
        <f>Table1[[#This Row],[- LNST chưa phân phối kỳ này]]/Table1[[#This Row],[TỔNG CỘNG TÀI SẢN]]</f>
        <v>4.3831882013161128E-2</v>
      </c>
      <c r="S892" s="21">
        <f>Table1[[#This Row],[5. Lợi nhuận gộp về bán hàng và cung cấp dịch vụ]]/Table1[[#This Row],[TỔNG CỘNG TÀI SẢN]]</f>
        <v>0.12786752246691532</v>
      </c>
      <c r="T89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3.693604073485798</v>
      </c>
      <c r="U892" s="23">
        <f>Table1[[#This Row],[1. Doanh thu bán hàng và cung cấp dịch vụ ]]/Table1[[#This Row],[TỔNG CỘNG TÀI SẢN]]</f>
        <v>0.2245567281015769</v>
      </c>
      <c r="V892" s="23">
        <f>1.2*Table1[[#This Row],[X1]] + 1.4*Table1[[#This Row],[X2]] + 3.3*Table1[[#This Row],[x3]] + 0.6*Table1[[#This Row],[x4]] + 1*Table1[[#This Row],[x5]]</f>
        <v>3.0763991724726103</v>
      </c>
      <c r="W892" s="23">
        <f>IF(Table1[[#This Row],[Zscore]]&lt;1.81,1,0)</f>
        <v>0</v>
      </c>
    </row>
    <row r="893" spans="1:23" hidden="1" x14ac:dyDescent="0.45">
      <c r="A893" s="7">
        <v>887</v>
      </c>
      <c r="B893" s="5" t="s">
        <v>1786</v>
      </c>
      <c r="C893" s="6" t="s">
        <v>1787</v>
      </c>
      <c r="D893" s="6" t="s">
        <v>13</v>
      </c>
      <c r="E893" s="6"/>
      <c r="F893" s="6"/>
      <c r="G893" s="6"/>
      <c r="H893" s="6"/>
      <c r="I893" s="6"/>
      <c r="J893" s="8"/>
      <c r="K893" s="6"/>
      <c r="L893" s="6"/>
      <c r="M893" s="8"/>
      <c r="N893" s="8"/>
      <c r="O893" s="8"/>
      <c r="P893" s="8"/>
      <c r="Q893" s="18" t="e">
        <f>(Table1[[#This Row],[A. TÀI SẢN NGẮN HẠN]]-Table1[[#This Row],[I. Nợ ngắn hạn]])/Table1[[#This Row],[TỔNG CỘNG TÀI SẢN]]</f>
        <v>#DIV/0!</v>
      </c>
      <c r="R893" s="18" t="e">
        <f>Table1[[#This Row],[- LNST chưa phân phối kỳ này]]/Table1[[#This Row],[TỔNG CỘNG TÀI SẢN]]</f>
        <v>#DIV/0!</v>
      </c>
      <c r="S893" s="21" t="e">
        <f>Table1[[#This Row],[5. Lợi nhuận gộp về bán hàng và cung cấp dịch vụ]]/Table1[[#This Row],[TỔNG CỘNG TÀI SẢN]]</f>
        <v>#DIV/0!</v>
      </c>
      <c r="T89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893" s="23" t="e">
        <f>Table1[[#This Row],[1. Doanh thu bán hàng và cung cấp dịch vụ ]]/Table1[[#This Row],[TỔNG CỘNG TÀI SẢN]]</f>
        <v>#DIV/0!</v>
      </c>
      <c r="V893" s="23" t="e">
        <f>1.2*Table1[[#This Row],[X1]] + 1.4*Table1[[#This Row],[X2]] + 3.3*Table1[[#This Row],[x3]] + 0.6*Table1[[#This Row],[x4]] + 1*Table1[[#This Row],[x5]]</f>
        <v>#DIV/0!</v>
      </c>
      <c r="W893" s="23" t="e">
        <f>IF(Table1[[#This Row],[Zscore]]&lt;1.81,1,0)</f>
        <v>#DIV/0!</v>
      </c>
    </row>
    <row r="894" spans="1:23" hidden="1" x14ac:dyDescent="0.45">
      <c r="A894" s="7">
        <v>888</v>
      </c>
      <c r="B894" s="5" t="s">
        <v>1788</v>
      </c>
      <c r="C894" s="6" t="s">
        <v>1789</v>
      </c>
      <c r="D894" s="6" t="s">
        <v>13</v>
      </c>
      <c r="E894" s="6"/>
      <c r="F894" s="6"/>
      <c r="G894" s="6"/>
      <c r="H894" s="6"/>
      <c r="I894" s="6"/>
      <c r="J894" s="8"/>
      <c r="K894" s="6"/>
      <c r="L894" s="6"/>
      <c r="M894" s="8"/>
      <c r="N894" s="8"/>
      <c r="O894" s="8"/>
      <c r="P894" s="8"/>
      <c r="Q894" s="18" t="e">
        <f>(Table1[[#This Row],[A. TÀI SẢN NGẮN HẠN]]-Table1[[#This Row],[I. Nợ ngắn hạn]])/Table1[[#This Row],[TỔNG CỘNG TÀI SẢN]]</f>
        <v>#DIV/0!</v>
      </c>
      <c r="R894" s="18" t="e">
        <f>Table1[[#This Row],[- LNST chưa phân phối kỳ này]]/Table1[[#This Row],[TỔNG CỘNG TÀI SẢN]]</f>
        <v>#DIV/0!</v>
      </c>
      <c r="S894" s="21" t="e">
        <f>Table1[[#This Row],[5. Lợi nhuận gộp về bán hàng và cung cấp dịch vụ]]/Table1[[#This Row],[TỔNG CỘNG TÀI SẢN]]</f>
        <v>#DIV/0!</v>
      </c>
      <c r="T89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894" s="23" t="e">
        <f>Table1[[#This Row],[1. Doanh thu bán hàng và cung cấp dịch vụ ]]/Table1[[#This Row],[TỔNG CỘNG TÀI SẢN]]</f>
        <v>#DIV/0!</v>
      </c>
      <c r="V894" s="23" t="e">
        <f>1.2*Table1[[#This Row],[X1]] + 1.4*Table1[[#This Row],[X2]] + 3.3*Table1[[#This Row],[x3]] + 0.6*Table1[[#This Row],[x4]] + 1*Table1[[#This Row],[x5]]</f>
        <v>#DIV/0!</v>
      </c>
      <c r="W894" s="23" t="e">
        <f>IF(Table1[[#This Row],[Zscore]]&lt;1.81,1,0)</f>
        <v>#DIV/0!</v>
      </c>
    </row>
    <row r="895" spans="1:23" ht="26.25" hidden="1" x14ac:dyDescent="0.45">
      <c r="A895" s="7">
        <v>889</v>
      </c>
      <c r="B895" s="5" t="s">
        <v>1790</v>
      </c>
      <c r="C895" s="6" t="s">
        <v>1791</v>
      </c>
      <c r="D895" s="6" t="s">
        <v>13</v>
      </c>
      <c r="E895" s="6"/>
      <c r="F895" s="6"/>
      <c r="G895" s="6"/>
      <c r="H895" s="6"/>
      <c r="I895" s="6"/>
      <c r="J895" s="8"/>
      <c r="K895" s="6"/>
      <c r="L895" s="6"/>
      <c r="M895" s="8"/>
      <c r="N895" s="8"/>
      <c r="O895" s="8"/>
      <c r="P895" s="8"/>
      <c r="Q895" s="18" t="e">
        <f>(Table1[[#This Row],[A. TÀI SẢN NGẮN HẠN]]-Table1[[#This Row],[I. Nợ ngắn hạn]])/Table1[[#This Row],[TỔNG CỘNG TÀI SẢN]]</f>
        <v>#DIV/0!</v>
      </c>
      <c r="R895" s="18" t="e">
        <f>Table1[[#This Row],[- LNST chưa phân phối kỳ này]]/Table1[[#This Row],[TỔNG CỘNG TÀI SẢN]]</f>
        <v>#DIV/0!</v>
      </c>
      <c r="S895" s="21" t="e">
        <f>Table1[[#This Row],[5. Lợi nhuận gộp về bán hàng và cung cấp dịch vụ]]/Table1[[#This Row],[TỔNG CỘNG TÀI SẢN]]</f>
        <v>#DIV/0!</v>
      </c>
      <c r="T89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895" s="23" t="e">
        <f>Table1[[#This Row],[1. Doanh thu bán hàng và cung cấp dịch vụ ]]/Table1[[#This Row],[TỔNG CỘNG TÀI SẢN]]</f>
        <v>#DIV/0!</v>
      </c>
      <c r="V895" s="23" t="e">
        <f>1.2*Table1[[#This Row],[X1]] + 1.4*Table1[[#This Row],[X2]] + 3.3*Table1[[#This Row],[x3]] + 0.6*Table1[[#This Row],[x4]] + 1*Table1[[#This Row],[x5]]</f>
        <v>#DIV/0!</v>
      </c>
      <c r="W895" s="23" t="e">
        <f>IF(Table1[[#This Row],[Zscore]]&lt;1.81,1,0)</f>
        <v>#DIV/0!</v>
      </c>
    </row>
    <row r="896" spans="1:23" hidden="1" x14ac:dyDescent="0.45">
      <c r="A896" s="7">
        <v>890</v>
      </c>
      <c r="B896" s="5" t="s">
        <v>1792</v>
      </c>
      <c r="C896" s="6" t="s">
        <v>1793</v>
      </c>
      <c r="D896" s="6" t="s">
        <v>13</v>
      </c>
      <c r="E896" s="6"/>
      <c r="F896" s="6"/>
      <c r="G896" s="6"/>
      <c r="H896" s="6"/>
      <c r="I896" s="6"/>
      <c r="J896" s="8"/>
      <c r="K896" s="6"/>
      <c r="L896" s="6"/>
      <c r="M896" s="8"/>
      <c r="N896" s="8"/>
      <c r="O896" s="8"/>
      <c r="P896" s="8"/>
      <c r="Q896" s="18" t="e">
        <f>(Table1[[#This Row],[A. TÀI SẢN NGẮN HẠN]]-Table1[[#This Row],[I. Nợ ngắn hạn]])/Table1[[#This Row],[TỔNG CỘNG TÀI SẢN]]</f>
        <v>#DIV/0!</v>
      </c>
      <c r="R896" s="18" t="e">
        <f>Table1[[#This Row],[- LNST chưa phân phối kỳ này]]/Table1[[#This Row],[TỔNG CỘNG TÀI SẢN]]</f>
        <v>#DIV/0!</v>
      </c>
      <c r="S896" s="21" t="e">
        <f>Table1[[#This Row],[5. Lợi nhuận gộp về bán hàng và cung cấp dịch vụ]]/Table1[[#This Row],[TỔNG CỘNG TÀI SẢN]]</f>
        <v>#DIV/0!</v>
      </c>
      <c r="T89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896" s="23" t="e">
        <f>Table1[[#This Row],[1. Doanh thu bán hàng và cung cấp dịch vụ ]]/Table1[[#This Row],[TỔNG CỘNG TÀI SẢN]]</f>
        <v>#DIV/0!</v>
      </c>
      <c r="V896" s="23" t="e">
        <f>1.2*Table1[[#This Row],[X1]] + 1.4*Table1[[#This Row],[X2]] + 3.3*Table1[[#This Row],[x3]] + 0.6*Table1[[#This Row],[x4]] + 1*Table1[[#This Row],[x5]]</f>
        <v>#DIV/0!</v>
      </c>
      <c r="W896" s="23" t="e">
        <f>IF(Table1[[#This Row],[Zscore]]&lt;1.81,1,0)</f>
        <v>#DIV/0!</v>
      </c>
    </row>
    <row r="897" spans="1:23" hidden="1" x14ac:dyDescent="0.45">
      <c r="A897" s="7">
        <v>891</v>
      </c>
      <c r="B897" s="5" t="s">
        <v>1794</v>
      </c>
      <c r="C897" s="6" t="s">
        <v>1795</v>
      </c>
      <c r="D897" s="6" t="s">
        <v>13</v>
      </c>
      <c r="E897" s="6"/>
      <c r="F897" s="6"/>
      <c r="G897" s="6"/>
      <c r="H897" s="6"/>
      <c r="I897" s="6"/>
      <c r="J897" s="8"/>
      <c r="K897" s="6"/>
      <c r="L897" s="6"/>
      <c r="M897" s="8"/>
      <c r="N897" s="8"/>
      <c r="O897" s="8"/>
      <c r="P897" s="8"/>
      <c r="Q897" s="18" t="e">
        <f>(Table1[[#This Row],[A. TÀI SẢN NGẮN HẠN]]-Table1[[#This Row],[I. Nợ ngắn hạn]])/Table1[[#This Row],[TỔNG CỘNG TÀI SẢN]]</f>
        <v>#DIV/0!</v>
      </c>
      <c r="R897" s="18" t="e">
        <f>Table1[[#This Row],[- LNST chưa phân phối kỳ này]]/Table1[[#This Row],[TỔNG CỘNG TÀI SẢN]]</f>
        <v>#DIV/0!</v>
      </c>
      <c r="S897" s="21" t="e">
        <f>Table1[[#This Row],[5. Lợi nhuận gộp về bán hàng và cung cấp dịch vụ]]/Table1[[#This Row],[TỔNG CỘNG TÀI SẢN]]</f>
        <v>#DIV/0!</v>
      </c>
      <c r="T89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897" s="23" t="e">
        <f>Table1[[#This Row],[1. Doanh thu bán hàng và cung cấp dịch vụ ]]/Table1[[#This Row],[TỔNG CỘNG TÀI SẢN]]</f>
        <v>#DIV/0!</v>
      </c>
      <c r="V897" s="23" t="e">
        <f>1.2*Table1[[#This Row],[X1]] + 1.4*Table1[[#This Row],[X2]] + 3.3*Table1[[#This Row],[x3]] + 0.6*Table1[[#This Row],[x4]] + 1*Table1[[#This Row],[x5]]</f>
        <v>#DIV/0!</v>
      </c>
      <c r="W897" s="23" t="e">
        <f>IF(Table1[[#This Row],[Zscore]]&lt;1.81,1,0)</f>
        <v>#DIV/0!</v>
      </c>
    </row>
    <row r="898" spans="1:23" ht="26.25" hidden="1" x14ac:dyDescent="0.45">
      <c r="A898" s="7">
        <v>892</v>
      </c>
      <c r="B898" s="5" t="s">
        <v>1796</v>
      </c>
      <c r="C898" s="6" t="s">
        <v>1797</v>
      </c>
      <c r="D898" s="6" t="s">
        <v>13</v>
      </c>
      <c r="E898" s="6"/>
      <c r="F898" s="6"/>
      <c r="G898" s="6"/>
      <c r="H898" s="6"/>
      <c r="I898" s="6"/>
      <c r="J898" s="8"/>
      <c r="K898" s="6"/>
      <c r="L898" s="6"/>
      <c r="M898" s="8"/>
      <c r="N898" s="8"/>
      <c r="O898" s="8"/>
      <c r="P898" s="8"/>
      <c r="Q898" s="18" t="e">
        <f>(Table1[[#This Row],[A. TÀI SẢN NGẮN HẠN]]-Table1[[#This Row],[I. Nợ ngắn hạn]])/Table1[[#This Row],[TỔNG CỘNG TÀI SẢN]]</f>
        <v>#DIV/0!</v>
      </c>
      <c r="R898" s="18" t="e">
        <f>Table1[[#This Row],[- LNST chưa phân phối kỳ này]]/Table1[[#This Row],[TỔNG CỘNG TÀI SẢN]]</f>
        <v>#DIV/0!</v>
      </c>
      <c r="S898" s="21" t="e">
        <f>Table1[[#This Row],[5. Lợi nhuận gộp về bán hàng và cung cấp dịch vụ]]/Table1[[#This Row],[TỔNG CỘNG TÀI SẢN]]</f>
        <v>#DIV/0!</v>
      </c>
      <c r="T89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898" s="23" t="e">
        <f>Table1[[#This Row],[1. Doanh thu bán hàng và cung cấp dịch vụ ]]/Table1[[#This Row],[TỔNG CỘNG TÀI SẢN]]</f>
        <v>#DIV/0!</v>
      </c>
      <c r="V898" s="23" t="e">
        <f>1.2*Table1[[#This Row],[X1]] + 1.4*Table1[[#This Row],[X2]] + 3.3*Table1[[#This Row],[x3]] + 0.6*Table1[[#This Row],[x4]] + 1*Table1[[#This Row],[x5]]</f>
        <v>#DIV/0!</v>
      </c>
      <c r="W898" s="23" t="e">
        <f>IF(Table1[[#This Row],[Zscore]]&lt;1.81,1,0)</f>
        <v>#DIV/0!</v>
      </c>
    </row>
    <row r="899" spans="1:23" hidden="1" x14ac:dyDescent="0.45">
      <c r="A899" s="7">
        <v>893</v>
      </c>
      <c r="B899" s="5" t="s">
        <v>1798</v>
      </c>
      <c r="C899" s="6" t="s">
        <v>1799</v>
      </c>
      <c r="D899" s="6" t="s">
        <v>13</v>
      </c>
      <c r="E899" s="6"/>
      <c r="F899" s="6"/>
      <c r="G899" s="6"/>
      <c r="H899" s="6"/>
      <c r="I899" s="6"/>
      <c r="J899" s="8"/>
      <c r="K899" s="6"/>
      <c r="L899" s="6"/>
      <c r="M899" s="8"/>
      <c r="N899" s="8"/>
      <c r="O899" s="8"/>
      <c r="P899" s="8"/>
      <c r="Q899" s="18" t="e">
        <f>(Table1[[#This Row],[A. TÀI SẢN NGẮN HẠN]]-Table1[[#This Row],[I. Nợ ngắn hạn]])/Table1[[#This Row],[TỔNG CỘNG TÀI SẢN]]</f>
        <v>#DIV/0!</v>
      </c>
      <c r="R899" s="18" t="e">
        <f>Table1[[#This Row],[- LNST chưa phân phối kỳ này]]/Table1[[#This Row],[TỔNG CỘNG TÀI SẢN]]</f>
        <v>#DIV/0!</v>
      </c>
      <c r="S899" s="21" t="e">
        <f>Table1[[#This Row],[5. Lợi nhuận gộp về bán hàng và cung cấp dịch vụ]]/Table1[[#This Row],[TỔNG CỘNG TÀI SẢN]]</f>
        <v>#DIV/0!</v>
      </c>
      <c r="T89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899" s="23" t="e">
        <f>Table1[[#This Row],[1. Doanh thu bán hàng và cung cấp dịch vụ ]]/Table1[[#This Row],[TỔNG CỘNG TÀI SẢN]]</f>
        <v>#DIV/0!</v>
      </c>
      <c r="V899" s="23" t="e">
        <f>1.2*Table1[[#This Row],[X1]] + 1.4*Table1[[#This Row],[X2]] + 3.3*Table1[[#This Row],[x3]] + 0.6*Table1[[#This Row],[x4]] + 1*Table1[[#This Row],[x5]]</f>
        <v>#DIV/0!</v>
      </c>
      <c r="W899" s="23" t="e">
        <f>IF(Table1[[#This Row],[Zscore]]&lt;1.81,1,0)</f>
        <v>#DIV/0!</v>
      </c>
    </row>
    <row r="900" spans="1:23" ht="26.25" hidden="1" x14ac:dyDescent="0.45">
      <c r="A900" s="7">
        <v>894</v>
      </c>
      <c r="B900" s="5" t="s">
        <v>1800</v>
      </c>
      <c r="C900" s="6" t="s">
        <v>1801</v>
      </c>
      <c r="D900" s="6" t="s">
        <v>13</v>
      </c>
      <c r="E900" s="6"/>
      <c r="F900" s="6"/>
      <c r="G900" s="6"/>
      <c r="H900" s="6"/>
      <c r="I900" s="6"/>
      <c r="J900" s="8"/>
      <c r="K900" s="6"/>
      <c r="L900" s="6"/>
      <c r="M900" s="8"/>
      <c r="N900" s="8"/>
      <c r="O900" s="8"/>
      <c r="P900" s="8"/>
      <c r="Q900" s="18" t="e">
        <f>(Table1[[#This Row],[A. TÀI SẢN NGẮN HẠN]]-Table1[[#This Row],[I. Nợ ngắn hạn]])/Table1[[#This Row],[TỔNG CỘNG TÀI SẢN]]</f>
        <v>#DIV/0!</v>
      </c>
      <c r="R900" s="18" t="e">
        <f>Table1[[#This Row],[- LNST chưa phân phối kỳ này]]/Table1[[#This Row],[TỔNG CỘNG TÀI SẢN]]</f>
        <v>#DIV/0!</v>
      </c>
      <c r="S900" s="21" t="e">
        <f>Table1[[#This Row],[5. Lợi nhuận gộp về bán hàng và cung cấp dịch vụ]]/Table1[[#This Row],[TỔNG CỘNG TÀI SẢN]]</f>
        <v>#DIV/0!</v>
      </c>
      <c r="T90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900" s="23" t="e">
        <f>Table1[[#This Row],[1. Doanh thu bán hàng và cung cấp dịch vụ ]]/Table1[[#This Row],[TỔNG CỘNG TÀI SẢN]]</f>
        <v>#DIV/0!</v>
      </c>
      <c r="V900" s="23" t="e">
        <f>1.2*Table1[[#This Row],[X1]] + 1.4*Table1[[#This Row],[X2]] + 3.3*Table1[[#This Row],[x3]] + 0.6*Table1[[#This Row],[x4]] + 1*Table1[[#This Row],[x5]]</f>
        <v>#DIV/0!</v>
      </c>
      <c r="W900" s="23" t="e">
        <f>IF(Table1[[#This Row],[Zscore]]&lt;1.81,1,0)</f>
        <v>#DIV/0!</v>
      </c>
    </row>
    <row r="901" spans="1:23" hidden="1" x14ac:dyDescent="0.45">
      <c r="A901" s="7">
        <v>895</v>
      </c>
      <c r="B901" s="5" t="s">
        <v>1802</v>
      </c>
      <c r="C901" s="6" t="s">
        <v>1803</v>
      </c>
      <c r="D901" s="6" t="s">
        <v>13</v>
      </c>
      <c r="E901" s="6"/>
      <c r="F901" s="6"/>
      <c r="G901" s="6"/>
      <c r="H901" s="6"/>
      <c r="I901" s="6"/>
      <c r="J901" s="8"/>
      <c r="K901" s="6"/>
      <c r="L901" s="6"/>
      <c r="M901" s="8"/>
      <c r="N901" s="8"/>
      <c r="O901" s="8"/>
      <c r="P901" s="8"/>
      <c r="Q901" s="18" t="e">
        <f>(Table1[[#This Row],[A. TÀI SẢN NGẮN HẠN]]-Table1[[#This Row],[I. Nợ ngắn hạn]])/Table1[[#This Row],[TỔNG CỘNG TÀI SẢN]]</f>
        <v>#DIV/0!</v>
      </c>
      <c r="R901" s="18" t="e">
        <f>Table1[[#This Row],[- LNST chưa phân phối kỳ này]]/Table1[[#This Row],[TỔNG CỘNG TÀI SẢN]]</f>
        <v>#DIV/0!</v>
      </c>
      <c r="S901" s="21" t="e">
        <f>Table1[[#This Row],[5. Lợi nhuận gộp về bán hàng và cung cấp dịch vụ]]/Table1[[#This Row],[TỔNG CỘNG TÀI SẢN]]</f>
        <v>#DIV/0!</v>
      </c>
      <c r="T90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901" s="23" t="e">
        <f>Table1[[#This Row],[1. Doanh thu bán hàng và cung cấp dịch vụ ]]/Table1[[#This Row],[TỔNG CỘNG TÀI SẢN]]</f>
        <v>#DIV/0!</v>
      </c>
      <c r="V901" s="23" t="e">
        <f>1.2*Table1[[#This Row],[X1]] + 1.4*Table1[[#This Row],[X2]] + 3.3*Table1[[#This Row],[x3]] + 0.6*Table1[[#This Row],[x4]] + 1*Table1[[#This Row],[x5]]</f>
        <v>#DIV/0!</v>
      </c>
      <c r="W901" s="23" t="e">
        <f>IF(Table1[[#This Row],[Zscore]]&lt;1.81,1,0)</f>
        <v>#DIV/0!</v>
      </c>
    </row>
    <row r="902" spans="1:23" ht="26.25" hidden="1" x14ac:dyDescent="0.45">
      <c r="A902" s="7">
        <v>896</v>
      </c>
      <c r="B902" s="5" t="s">
        <v>1804</v>
      </c>
      <c r="C902" s="6" t="s">
        <v>1805</v>
      </c>
      <c r="D902" s="6" t="s">
        <v>13</v>
      </c>
      <c r="E902" s="6"/>
      <c r="F902" s="6"/>
      <c r="G902" s="6"/>
      <c r="H902" s="6"/>
      <c r="I902" s="6"/>
      <c r="J902" s="8"/>
      <c r="K902" s="6"/>
      <c r="L902" s="6"/>
      <c r="M902" s="8"/>
      <c r="N902" s="8"/>
      <c r="O902" s="8"/>
      <c r="P902" s="8"/>
      <c r="Q902" s="18" t="e">
        <f>(Table1[[#This Row],[A. TÀI SẢN NGẮN HẠN]]-Table1[[#This Row],[I. Nợ ngắn hạn]])/Table1[[#This Row],[TỔNG CỘNG TÀI SẢN]]</f>
        <v>#DIV/0!</v>
      </c>
      <c r="R902" s="18" t="e">
        <f>Table1[[#This Row],[- LNST chưa phân phối kỳ này]]/Table1[[#This Row],[TỔNG CỘNG TÀI SẢN]]</f>
        <v>#DIV/0!</v>
      </c>
      <c r="S902" s="21" t="e">
        <f>Table1[[#This Row],[5. Lợi nhuận gộp về bán hàng và cung cấp dịch vụ]]/Table1[[#This Row],[TỔNG CỘNG TÀI SẢN]]</f>
        <v>#DIV/0!</v>
      </c>
      <c r="T90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902" s="23" t="e">
        <f>Table1[[#This Row],[1. Doanh thu bán hàng và cung cấp dịch vụ ]]/Table1[[#This Row],[TỔNG CỘNG TÀI SẢN]]</f>
        <v>#DIV/0!</v>
      </c>
      <c r="V902" s="23" t="e">
        <f>1.2*Table1[[#This Row],[X1]] + 1.4*Table1[[#This Row],[X2]] + 3.3*Table1[[#This Row],[x3]] + 0.6*Table1[[#This Row],[x4]] + 1*Table1[[#This Row],[x5]]</f>
        <v>#DIV/0!</v>
      </c>
      <c r="W902" s="23" t="e">
        <f>IF(Table1[[#This Row],[Zscore]]&lt;1.81,1,0)</f>
        <v>#DIV/0!</v>
      </c>
    </row>
    <row r="903" spans="1:23" hidden="1" x14ac:dyDescent="0.45">
      <c r="A903" s="7">
        <v>897</v>
      </c>
      <c r="B903" s="5" t="s">
        <v>1806</v>
      </c>
      <c r="C903" s="6" t="s">
        <v>1807</v>
      </c>
      <c r="D903" s="6" t="s">
        <v>13</v>
      </c>
      <c r="E903" s="6"/>
      <c r="F903" s="6"/>
      <c r="G903" s="6"/>
      <c r="H903" s="6"/>
      <c r="I903" s="6"/>
      <c r="J903" s="8"/>
      <c r="K903" s="6"/>
      <c r="L903" s="6"/>
      <c r="M903" s="8"/>
      <c r="N903" s="8"/>
      <c r="O903" s="8"/>
      <c r="P903" s="8"/>
      <c r="Q903" s="18" t="e">
        <f>(Table1[[#This Row],[A. TÀI SẢN NGẮN HẠN]]-Table1[[#This Row],[I. Nợ ngắn hạn]])/Table1[[#This Row],[TỔNG CỘNG TÀI SẢN]]</f>
        <v>#DIV/0!</v>
      </c>
      <c r="R903" s="18" t="e">
        <f>Table1[[#This Row],[- LNST chưa phân phối kỳ này]]/Table1[[#This Row],[TỔNG CỘNG TÀI SẢN]]</f>
        <v>#DIV/0!</v>
      </c>
      <c r="S903" s="21" t="e">
        <f>Table1[[#This Row],[5. Lợi nhuận gộp về bán hàng và cung cấp dịch vụ]]/Table1[[#This Row],[TỔNG CỘNG TÀI SẢN]]</f>
        <v>#DIV/0!</v>
      </c>
      <c r="T90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903" s="23" t="e">
        <f>Table1[[#This Row],[1. Doanh thu bán hàng và cung cấp dịch vụ ]]/Table1[[#This Row],[TỔNG CỘNG TÀI SẢN]]</f>
        <v>#DIV/0!</v>
      </c>
      <c r="V903" s="23" t="e">
        <f>1.2*Table1[[#This Row],[X1]] + 1.4*Table1[[#This Row],[X2]] + 3.3*Table1[[#This Row],[x3]] + 0.6*Table1[[#This Row],[x4]] + 1*Table1[[#This Row],[x5]]</f>
        <v>#DIV/0!</v>
      </c>
      <c r="W903" s="23" t="e">
        <f>IF(Table1[[#This Row],[Zscore]]&lt;1.81,1,0)</f>
        <v>#DIV/0!</v>
      </c>
    </row>
    <row r="904" spans="1:23" hidden="1" x14ac:dyDescent="0.45">
      <c r="A904" s="7">
        <v>898</v>
      </c>
      <c r="B904" s="5" t="s">
        <v>1808</v>
      </c>
      <c r="C904" s="6" t="s">
        <v>1809</v>
      </c>
      <c r="D904" s="6" t="s">
        <v>13</v>
      </c>
      <c r="E904" s="6"/>
      <c r="F904" s="6"/>
      <c r="G904" s="6"/>
      <c r="H904" s="6"/>
      <c r="I904" s="6"/>
      <c r="J904" s="8"/>
      <c r="K904" s="6"/>
      <c r="L904" s="6"/>
      <c r="M904" s="8"/>
      <c r="N904" s="8"/>
      <c r="O904" s="8"/>
      <c r="P904" s="8"/>
      <c r="Q904" s="18" t="e">
        <f>(Table1[[#This Row],[A. TÀI SẢN NGẮN HẠN]]-Table1[[#This Row],[I. Nợ ngắn hạn]])/Table1[[#This Row],[TỔNG CỘNG TÀI SẢN]]</f>
        <v>#DIV/0!</v>
      </c>
      <c r="R904" s="18" t="e">
        <f>Table1[[#This Row],[- LNST chưa phân phối kỳ này]]/Table1[[#This Row],[TỔNG CỘNG TÀI SẢN]]</f>
        <v>#DIV/0!</v>
      </c>
      <c r="S904" s="21" t="e">
        <f>Table1[[#This Row],[5. Lợi nhuận gộp về bán hàng và cung cấp dịch vụ]]/Table1[[#This Row],[TỔNG CỘNG TÀI SẢN]]</f>
        <v>#DIV/0!</v>
      </c>
      <c r="T90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904" s="23" t="e">
        <f>Table1[[#This Row],[1. Doanh thu bán hàng và cung cấp dịch vụ ]]/Table1[[#This Row],[TỔNG CỘNG TÀI SẢN]]</f>
        <v>#DIV/0!</v>
      </c>
      <c r="V904" s="23" t="e">
        <f>1.2*Table1[[#This Row],[X1]] + 1.4*Table1[[#This Row],[X2]] + 3.3*Table1[[#This Row],[x3]] + 0.6*Table1[[#This Row],[x4]] + 1*Table1[[#This Row],[x5]]</f>
        <v>#DIV/0!</v>
      </c>
      <c r="W904" s="23" t="e">
        <f>IF(Table1[[#This Row],[Zscore]]&lt;1.81,1,0)</f>
        <v>#DIV/0!</v>
      </c>
    </row>
    <row r="905" spans="1:23" x14ac:dyDescent="0.45">
      <c r="A905" s="7">
        <v>899</v>
      </c>
      <c r="B905" s="5" t="s">
        <v>1810</v>
      </c>
      <c r="C905" s="6" t="s">
        <v>1811</v>
      </c>
      <c r="D905" s="6" t="s">
        <v>36</v>
      </c>
      <c r="E905" s="8">
        <v>276971592728</v>
      </c>
      <c r="F905" s="8">
        <v>85165704112</v>
      </c>
      <c r="G905" s="8">
        <v>21105011797</v>
      </c>
      <c r="H905" s="8">
        <v>14592770175</v>
      </c>
      <c r="I905" s="8">
        <v>68542395088</v>
      </c>
      <c r="J905" s="8"/>
      <c r="K905" s="8">
        <v>21980558911</v>
      </c>
      <c r="L905" s="8">
        <v>155974747414</v>
      </c>
      <c r="M905" s="8">
        <v>199980000000</v>
      </c>
      <c r="N905" s="8">
        <v>175740000000</v>
      </c>
      <c r="O905" s="8">
        <v>187860000000</v>
      </c>
      <c r="P905" s="8">
        <v>190284000000</v>
      </c>
      <c r="Q905" s="18">
        <f>(Table1[[#This Row],[A. TÀI SẢN NGẮN HẠN]]-Table1[[#This Row],[I. Nợ ngắn hạn]])/Table1[[#This Row],[TỔNG CỘNG TÀI SẢN]]</f>
        <v>0.23128975677267674</v>
      </c>
      <c r="R905" s="18">
        <f>Table1[[#This Row],[- LNST chưa phân phối kỳ này]]/Table1[[#This Row],[TỔNG CỘNG TÀI SẢN]]</f>
        <v>5.2686883991495952E-2</v>
      </c>
      <c r="S905" s="21">
        <f>Table1[[#This Row],[5. Lợi nhuận gộp về bán hàng và cung cấp dịch vụ]]/Table1[[#This Row],[TỔNG CỘNG TÀI SẢN]]</f>
        <v>0.2474708485910036</v>
      </c>
      <c r="T90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8.5742132746990176</v>
      </c>
      <c r="U905" s="23">
        <f>Table1[[#This Row],[1. Doanh thu bán hàng và cung cấp dịch vụ ]]/Table1[[#This Row],[TỔNG CỘNG TÀI SẢN]]</f>
        <v>0.56314348297507544</v>
      </c>
      <c r="V905" s="23">
        <f>1.2*Table1[[#This Row],[X1]] + 1.4*Table1[[#This Row],[X2]] + 3.3*Table1[[#This Row],[x3]] + 0.6*Table1[[#This Row],[x4]] + 1*Table1[[#This Row],[x5]]</f>
        <v>6.875634593860104</v>
      </c>
      <c r="W905" s="23">
        <f>IF(Table1[[#This Row],[Zscore]]&lt;1.81,1,0)</f>
        <v>0</v>
      </c>
    </row>
    <row r="906" spans="1:23" hidden="1" x14ac:dyDescent="0.45">
      <c r="A906" s="7">
        <v>900</v>
      </c>
      <c r="B906" s="5" t="s">
        <v>1812</v>
      </c>
      <c r="C906" s="6" t="s">
        <v>1813</v>
      </c>
      <c r="D906" s="6" t="s">
        <v>13</v>
      </c>
      <c r="E906" s="6"/>
      <c r="F906" s="6"/>
      <c r="G906" s="6"/>
      <c r="H906" s="6"/>
      <c r="I906" s="6"/>
      <c r="J906" s="8"/>
      <c r="K906" s="6"/>
      <c r="L906" s="6"/>
      <c r="M906" s="8"/>
      <c r="N906" s="8"/>
      <c r="O906" s="8"/>
      <c r="P906" s="8"/>
      <c r="Q906" s="18" t="e">
        <f>(Table1[[#This Row],[A. TÀI SẢN NGẮN HẠN]]-Table1[[#This Row],[I. Nợ ngắn hạn]])/Table1[[#This Row],[TỔNG CỘNG TÀI SẢN]]</f>
        <v>#DIV/0!</v>
      </c>
      <c r="R906" s="18" t="e">
        <f>Table1[[#This Row],[- LNST chưa phân phối kỳ này]]/Table1[[#This Row],[TỔNG CỘNG TÀI SẢN]]</f>
        <v>#DIV/0!</v>
      </c>
      <c r="S906" s="21" t="e">
        <f>Table1[[#This Row],[5. Lợi nhuận gộp về bán hàng và cung cấp dịch vụ]]/Table1[[#This Row],[TỔNG CỘNG TÀI SẢN]]</f>
        <v>#DIV/0!</v>
      </c>
      <c r="T90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906" s="23" t="e">
        <f>Table1[[#This Row],[1. Doanh thu bán hàng và cung cấp dịch vụ ]]/Table1[[#This Row],[TỔNG CỘNG TÀI SẢN]]</f>
        <v>#DIV/0!</v>
      </c>
      <c r="V906" s="23" t="e">
        <f>1.2*Table1[[#This Row],[X1]] + 1.4*Table1[[#This Row],[X2]] + 3.3*Table1[[#This Row],[x3]] + 0.6*Table1[[#This Row],[x4]] + 1*Table1[[#This Row],[x5]]</f>
        <v>#DIV/0!</v>
      </c>
      <c r="W906" s="23" t="e">
        <f>IF(Table1[[#This Row],[Zscore]]&lt;1.81,1,0)</f>
        <v>#DIV/0!</v>
      </c>
    </row>
    <row r="907" spans="1:23" ht="26.25" x14ac:dyDescent="0.45">
      <c r="A907" s="7">
        <v>901</v>
      </c>
      <c r="B907" s="5" t="s">
        <v>1814</v>
      </c>
      <c r="C907" s="6" t="s">
        <v>1815</v>
      </c>
      <c r="D907" s="6" t="s">
        <v>21</v>
      </c>
      <c r="E907" s="8">
        <v>3794365079547</v>
      </c>
      <c r="F907" s="8">
        <v>3121178793168</v>
      </c>
      <c r="G907" s="8">
        <v>529621303380</v>
      </c>
      <c r="H907" s="8">
        <v>44896531353</v>
      </c>
      <c r="I907" s="8">
        <v>175127383234</v>
      </c>
      <c r="J907" s="8"/>
      <c r="K907" s="8">
        <v>1144825895426</v>
      </c>
      <c r="L907" s="8">
        <v>713620988088</v>
      </c>
      <c r="M907" s="8">
        <v>1828731924000</v>
      </c>
      <c r="N907" s="8">
        <v>1381708564800</v>
      </c>
      <c r="O907" s="8">
        <v>1798253058600</v>
      </c>
      <c r="P907" s="8">
        <v>1681417407900</v>
      </c>
      <c r="Q907" s="18">
        <f>(Table1[[#This Row],[A. TÀI SẢN NGẮN HẠN]]-Table1[[#This Row],[I. Nợ ngắn hạn]])/Table1[[#This Row],[TỔNG CỘNG TÀI SẢN]]</f>
        <v>0.68300161830959072</v>
      </c>
      <c r="R907" s="18">
        <f>Table1[[#This Row],[- LNST chưa phân phối kỳ này]]/Table1[[#This Row],[TỔNG CỘNG TÀI SẢN]]</f>
        <v>1.1832422661437757E-2</v>
      </c>
      <c r="S907" s="21">
        <f>Table1[[#This Row],[5. Lợi nhuận gộp về bán hàng và cung cấp dịch vụ]]/Table1[[#This Row],[TỔNG CỘNG TÀI SẢN]]</f>
        <v>4.615459492234944E-2</v>
      </c>
      <c r="T90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1.4609450620459956</v>
      </c>
      <c r="U907" s="23">
        <f>Table1[[#This Row],[1. Doanh thu bán hàng và cung cấp dịch vụ ]]/Table1[[#This Row],[TỔNG CỘNG TÀI SẢN]]</f>
        <v>0.18807388670496553</v>
      </c>
      <c r="V907" s="23">
        <f>1.2*Table1[[#This Row],[X1]] + 1.4*Table1[[#This Row],[X2]] + 3.3*Table1[[#This Row],[x3]] + 0.6*Table1[[#This Row],[x4]] + 1*Table1[[#This Row],[x5]]</f>
        <v>2.0531184208738376</v>
      </c>
      <c r="W907" s="23">
        <f>IF(Table1[[#This Row],[Zscore]]&lt;1.81,1,0)</f>
        <v>0</v>
      </c>
    </row>
    <row r="908" spans="1:23" x14ac:dyDescent="0.45">
      <c r="A908" s="7">
        <v>902</v>
      </c>
      <c r="B908" s="5" t="s">
        <v>1816</v>
      </c>
      <c r="C908" s="6" t="s">
        <v>1817</v>
      </c>
      <c r="D908" s="6" t="s">
        <v>36</v>
      </c>
      <c r="E908" s="8">
        <v>455858943077</v>
      </c>
      <c r="F908" s="8">
        <v>132204923465</v>
      </c>
      <c r="G908" s="8">
        <v>115683401296</v>
      </c>
      <c r="H908" s="8">
        <v>6732314</v>
      </c>
      <c r="I908" s="8">
        <v>5593096377</v>
      </c>
      <c r="J908" s="8"/>
      <c r="K908" s="8">
        <v>115683401296</v>
      </c>
      <c r="L908" s="8">
        <v>9639354549</v>
      </c>
      <c r="M908" s="8">
        <v>144597490200</v>
      </c>
      <c r="N908" s="8">
        <v>53438202900</v>
      </c>
      <c r="O908" s="8">
        <v>122593524300</v>
      </c>
      <c r="P908" s="8">
        <v>132023795400</v>
      </c>
      <c r="Q908" s="18">
        <f>(Table1[[#This Row],[A. TÀI SẢN NGẮN HẠN]]-Table1[[#This Row],[I. Nợ ngắn hạn]])/Table1[[#This Row],[TỔNG CỘNG TÀI SẢN]]</f>
        <v>3.624261938897471E-2</v>
      </c>
      <c r="R908" s="18">
        <f>Table1[[#This Row],[- LNST chưa phân phối kỳ này]]/Table1[[#This Row],[TỔNG CỘNG TÀI SẢN]]</f>
        <v>1.4768414884125312E-5</v>
      </c>
      <c r="S908" s="21">
        <f>Table1[[#This Row],[5. Lợi nhuận gộp về bán hàng và cung cấp dịch vụ]]/Table1[[#This Row],[TỔNG CỘNG TÀI SẢN]]</f>
        <v>1.2269357576374804E-2</v>
      </c>
      <c r="T90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0.97821512794604237</v>
      </c>
      <c r="U908" s="23">
        <f>Table1[[#This Row],[1. Doanh thu bán hàng và cung cấp dịch vụ ]]/Table1[[#This Row],[TỔNG CỘNG TÀI SẢN]]</f>
        <v>2.1145476457992397E-2</v>
      </c>
      <c r="V908" s="23">
        <f>1.2*Table1[[#This Row],[X1]] + 1.4*Table1[[#This Row],[X2]] + 3.3*Table1[[#This Row],[x3]] + 0.6*Table1[[#This Row],[x4]] + 1*Table1[[#This Row],[x5]]</f>
        <v>0.69207525227526201</v>
      </c>
      <c r="W908" s="23">
        <f>IF(Table1[[#This Row],[Zscore]]&lt;1.81,1,0)</f>
        <v>1</v>
      </c>
    </row>
    <row r="909" spans="1:23" hidden="1" x14ac:dyDescent="0.45">
      <c r="A909" s="7">
        <v>903</v>
      </c>
      <c r="B909" s="5" t="s">
        <v>1818</v>
      </c>
      <c r="C909" s="6" t="s">
        <v>1819</v>
      </c>
      <c r="D909" s="6" t="s">
        <v>18</v>
      </c>
      <c r="E909" s="6"/>
      <c r="F909" s="6"/>
      <c r="G909" s="6"/>
      <c r="H909" s="6"/>
      <c r="I909" s="6"/>
      <c r="J909" s="8"/>
      <c r="K909" s="6"/>
      <c r="L909" s="6"/>
      <c r="M909" s="8"/>
      <c r="N909" s="8"/>
      <c r="O909" s="8"/>
      <c r="P909" s="8"/>
      <c r="Q909" s="18" t="e">
        <f>(Table1[[#This Row],[A. TÀI SẢN NGẮN HẠN]]-Table1[[#This Row],[I. Nợ ngắn hạn]])/Table1[[#This Row],[TỔNG CỘNG TÀI SẢN]]</f>
        <v>#DIV/0!</v>
      </c>
      <c r="R909" s="18" t="e">
        <f>Table1[[#This Row],[- LNST chưa phân phối kỳ này]]/Table1[[#This Row],[TỔNG CỘNG TÀI SẢN]]</f>
        <v>#DIV/0!</v>
      </c>
      <c r="S909" s="21" t="e">
        <f>Table1[[#This Row],[5. Lợi nhuận gộp về bán hàng và cung cấp dịch vụ]]/Table1[[#This Row],[TỔNG CỘNG TÀI SẢN]]</f>
        <v>#DIV/0!</v>
      </c>
      <c r="T90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909" s="23" t="e">
        <f>Table1[[#This Row],[1. Doanh thu bán hàng và cung cấp dịch vụ ]]/Table1[[#This Row],[TỔNG CỘNG TÀI SẢN]]</f>
        <v>#DIV/0!</v>
      </c>
      <c r="V909" s="23" t="e">
        <f>1.2*Table1[[#This Row],[X1]] + 1.4*Table1[[#This Row],[X2]] + 3.3*Table1[[#This Row],[x3]] + 0.6*Table1[[#This Row],[x4]] + 1*Table1[[#This Row],[x5]]</f>
        <v>#DIV/0!</v>
      </c>
      <c r="W909" s="23" t="e">
        <f>IF(Table1[[#This Row],[Zscore]]&lt;1.81,1,0)</f>
        <v>#DIV/0!</v>
      </c>
    </row>
    <row r="910" spans="1:23" hidden="1" x14ac:dyDescent="0.45">
      <c r="A910" s="7">
        <v>904</v>
      </c>
      <c r="B910" s="5" t="s">
        <v>1820</v>
      </c>
      <c r="C910" s="6" t="s">
        <v>1821</v>
      </c>
      <c r="D910" s="6" t="s">
        <v>13</v>
      </c>
      <c r="E910" s="6"/>
      <c r="F910" s="6"/>
      <c r="G910" s="6"/>
      <c r="H910" s="6"/>
      <c r="I910" s="6"/>
      <c r="J910" s="8"/>
      <c r="K910" s="6"/>
      <c r="L910" s="6"/>
      <c r="M910" s="8"/>
      <c r="N910" s="8"/>
      <c r="O910" s="8"/>
      <c r="P910" s="8"/>
      <c r="Q910" s="18" t="e">
        <f>(Table1[[#This Row],[A. TÀI SẢN NGẮN HẠN]]-Table1[[#This Row],[I. Nợ ngắn hạn]])/Table1[[#This Row],[TỔNG CỘNG TÀI SẢN]]</f>
        <v>#DIV/0!</v>
      </c>
      <c r="R910" s="18" t="e">
        <f>Table1[[#This Row],[- LNST chưa phân phối kỳ này]]/Table1[[#This Row],[TỔNG CỘNG TÀI SẢN]]</f>
        <v>#DIV/0!</v>
      </c>
      <c r="S910" s="21" t="e">
        <f>Table1[[#This Row],[5. Lợi nhuận gộp về bán hàng và cung cấp dịch vụ]]/Table1[[#This Row],[TỔNG CỘNG TÀI SẢN]]</f>
        <v>#DIV/0!</v>
      </c>
      <c r="T91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910" s="23" t="e">
        <f>Table1[[#This Row],[1. Doanh thu bán hàng và cung cấp dịch vụ ]]/Table1[[#This Row],[TỔNG CỘNG TÀI SẢN]]</f>
        <v>#DIV/0!</v>
      </c>
      <c r="V910" s="23" t="e">
        <f>1.2*Table1[[#This Row],[X1]] + 1.4*Table1[[#This Row],[X2]] + 3.3*Table1[[#This Row],[x3]] + 0.6*Table1[[#This Row],[x4]] + 1*Table1[[#This Row],[x5]]</f>
        <v>#DIV/0!</v>
      </c>
      <c r="W910" s="23" t="e">
        <f>IF(Table1[[#This Row],[Zscore]]&lt;1.81,1,0)</f>
        <v>#DIV/0!</v>
      </c>
    </row>
    <row r="911" spans="1:23" hidden="1" x14ac:dyDescent="0.45">
      <c r="A911" s="7">
        <v>905</v>
      </c>
      <c r="B911" s="5" t="s">
        <v>1822</v>
      </c>
      <c r="C911" s="6" t="s">
        <v>1823</v>
      </c>
      <c r="D911" s="6" t="s">
        <v>13</v>
      </c>
      <c r="E911" s="8">
        <v>1424391596313</v>
      </c>
      <c r="F911" s="8">
        <v>1416695992469</v>
      </c>
      <c r="G911" s="8">
        <v>4863076523</v>
      </c>
      <c r="H911" s="6"/>
      <c r="I911" s="8">
        <v>13770048676</v>
      </c>
      <c r="J911" s="8"/>
      <c r="K911" s="8">
        <v>4863076523</v>
      </c>
      <c r="L911" s="8">
        <v>16607292921</v>
      </c>
      <c r="M911" s="8"/>
      <c r="N911" s="8"/>
      <c r="O911" s="8"/>
      <c r="P911" s="8"/>
      <c r="Q911" s="18">
        <f>(Table1[[#This Row],[A. TÀI SẢN NGẮN HẠN]]-Table1[[#This Row],[I. Nợ ngắn hạn]])/Table1[[#This Row],[TỔNG CỘNG TÀI SẢN]]</f>
        <v>0.99118312660682084</v>
      </c>
      <c r="R911" s="18">
        <f>Table1[[#This Row],[- LNST chưa phân phối kỳ này]]/Table1[[#This Row],[TỔNG CỘNG TÀI SẢN]]</f>
        <v>0</v>
      </c>
      <c r="S911" s="21">
        <f>Table1[[#This Row],[5. Lợi nhuận gộp về bán hàng và cung cấp dịch vụ]]/Table1[[#This Row],[TỔNG CỘNG TÀI SẢN]]</f>
        <v>9.6673195149728532E-3</v>
      </c>
      <c r="T91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911" s="23">
        <f>Table1[[#This Row],[1. Doanh thu bán hàng và cung cấp dịch vụ ]]/Table1[[#This Row],[TỔNG CỘNG TÀI SẢN]]</f>
        <v>1.1659218549159894E-2</v>
      </c>
      <c r="V911" s="23" t="e">
        <f>1.2*Table1[[#This Row],[X1]] + 1.4*Table1[[#This Row],[X2]] + 3.3*Table1[[#This Row],[x3]] + 0.6*Table1[[#This Row],[x4]] + 1*Table1[[#This Row],[x5]]</f>
        <v>#DIV/0!</v>
      </c>
      <c r="W911" s="23" t="e">
        <f>IF(Table1[[#This Row],[Zscore]]&lt;1.81,1,0)</f>
        <v>#DIV/0!</v>
      </c>
    </row>
    <row r="912" spans="1:23" hidden="1" x14ac:dyDescent="0.45">
      <c r="A912" s="7">
        <v>906</v>
      </c>
      <c r="B912" s="5" t="s">
        <v>1824</v>
      </c>
      <c r="C912" s="6" t="s">
        <v>1825</v>
      </c>
      <c r="D912" s="6" t="s">
        <v>36</v>
      </c>
      <c r="E912" s="6"/>
      <c r="F912" s="6"/>
      <c r="G912" s="6"/>
      <c r="H912" s="6"/>
      <c r="I912" s="6"/>
      <c r="J912" s="8"/>
      <c r="K912" s="6"/>
      <c r="L912" s="6"/>
      <c r="M912" s="8">
        <v>327282970000</v>
      </c>
      <c r="N912" s="8"/>
      <c r="O912" s="8">
        <v>231903361600</v>
      </c>
      <c r="P912" s="8">
        <v>165511673400</v>
      </c>
      <c r="Q912" s="18" t="e">
        <f>(Table1[[#This Row],[A. TÀI SẢN NGẮN HẠN]]-Table1[[#This Row],[I. Nợ ngắn hạn]])/Table1[[#This Row],[TỔNG CỘNG TÀI SẢN]]</f>
        <v>#DIV/0!</v>
      </c>
      <c r="R912" s="18" t="e">
        <f>Table1[[#This Row],[- LNST chưa phân phối kỳ này]]/Table1[[#This Row],[TỔNG CỘNG TÀI SẢN]]</f>
        <v>#DIV/0!</v>
      </c>
      <c r="S912" s="21" t="e">
        <f>Table1[[#This Row],[5. Lợi nhuận gộp về bán hàng và cung cấp dịch vụ]]/Table1[[#This Row],[TỔNG CỘNG TÀI SẢN]]</f>
        <v>#DIV/0!</v>
      </c>
      <c r="T91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912" s="23" t="e">
        <f>Table1[[#This Row],[1. Doanh thu bán hàng và cung cấp dịch vụ ]]/Table1[[#This Row],[TỔNG CỘNG TÀI SẢN]]</f>
        <v>#DIV/0!</v>
      </c>
      <c r="V912" s="23" t="e">
        <f>1.2*Table1[[#This Row],[X1]] + 1.4*Table1[[#This Row],[X2]] + 3.3*Table1[[#This Row],[x3]] + 0.6*Table1[[#This Row],[x4]] + 1*Table1[[#This Row],[x5]]</f>
        <v>#DIV/0!</v>
      </c>
      <c r="W912" s="23" t="e">
        <f>IF(Table1[[#This Row],[Zscore]]&lt;1.81,1,0)</f>
        <v>#DIV/0!</v>
      </c>
    </row>
    <row r="913" spans="1:23" x14ac:dyDescent="0.45">
      <c r="A913" s="7">
        <v>907</v>
      </c>
      <c r="B913" s="5" t="s">
        <v>1826</v>
      </c>
      <c r="C913" s="6" t="s">
        <v>1827</v>
      </c>
      <c r="D913" s="6" t="s">
        <v>18</v>
      </c>
      <c r="E913" s="8">
        <v>213186645229</v>
      </c>
      <c r="F913" s="8">
        <v>27535102880</v>
      </c>
      <c r="G913" s="8">
        <v>12037406667</v>
      </c>
      <c r="H913" s="8">
        <v>14092920242</v>
      </c>
      <c r="I913" s="8">
        <v>25074558348</v>
      </c>
      <c r="J913" s="8"/>
      <c r="K913" s="8">
        <v>12037406667</v>
      </c>
      <c r="L913" s="8">
        <v>72892265567</v>
      </c>
      <c r="M913" s="8">
        <v>216000000000</v>
      </c>
      <c r="N913" s="8">
        <v>246600000000</v>
      </c>
      <c r="O913" s="8">
        <v>198000000000</v>
      </c>
      <c r="P913" s="8">
        <v>216000000000</v>
      </c>
      <c r="Q913" s="18">
        <f>(Table1[[#This Row],[A. TÀI SẢN NGẮN HẠN]]-Table1[[#This Row],[I. Nợ ngắn hạn]])/Table1[[#This Row],[TỔNG CỘNG TÀI SẢN]]</f>
        <v>7.2695436416069806E-2</v>
      </c>
      <c r="R913" s="18">
        <f>Table1[[#This Row],[- LNST chưa phân phối kỳ này]]/Table1[[#This Row],[TỔNG CỘNG TÀI SẢN]]</f>
        <v>6.6106018164795083E-2</v>
      </c>
      <c r="S913" s="21">
        <f>Table1[[#This Row],[5. Lợi nhuận gộp về bán hàng và cung cấp dịch vụ]]/Table1[[#This Row],[TỔNG CỘNG TÀI SẢN]]</f>
        <v>0.11761786635868071</v>
      </c>
      <c r="T91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18.205748635276208</v>
      </c>
      <c r="U913" s="23">
        <f>Table1[[#This Row],[1. Doanh thu bán hàng và cung cấp dịch vụ ]]/Table1[[#This Row],[TỔNG CỘNG TÀI SẢN]]</f>
        <v>0.34191759755260875</v>
      </c>
      <c r="V913" s="23">
        <f>1.2*Table1[[#This Row],[X1]] + 1.4*Table1[[#This Row],[X2]] + 3.3*Table1[[#This Row],[x3]] + 0.6*Table1[[#This Row],[x4]] + 1*Table1[[#This Row],[x5]]</f>
        <v>11.833288686831976</v>
      </c>
      <c r="W913" s="23">
        <f>IF(Table1[[#This Row],[Zscore]]&lt;1.81,1,0)</f>
        <v>0</v>
      </c>
    </row>
    <row r="914" spans="1:23" x14ac:dyDescent="0.45">
      <c r="A914" s="7">
        <v>908</v>
      </c>
      <c r="B914" s="5" t="s">
        <v>1828</v>
      </c>
      <c r="C914" s="6" t="s">
        <v>1829</v>
      </c>
      <c r="D914" s="6" t="s">
        <v>36</v>
      </c>
      <c r="E914" s="8">
        <v>1711768413081</v>
      </c>
      <c r="F914" s="8">
        <v>980175555760</v>
      </c>
      <c r="G914" s="8">
        <v>930489016394</v>
      </c>
      <c r="H914" s="8">
        <v>19748125775</v>
      </c>
      <c r="I914" s="8">
        <v>278515804604</v>
      </c>
      <c r="J914" s="8"/>
      <c r="K914" s="8">
        <v>1233115761898</v>
      </c>
      <c r="L914" s="8">
        <v>3681916891787</v>
      </c>
      <c r="M914" s="8">
        <v>1129999943500</v>
      </c>
      <c r="N914" s="8">
        <v>1139999943000</v>
      </c>
      <c r="O914" s="8">
        <v>1069999946500</v>
      </c>
      <c r="P914" s="8">
        <v>855999957200</v>
      </c>
      <c r="Q914" s="18">
        <f>(Table1[[#This Row],[A. TÀI SẢN NGẮN HẠN]]-Table1[[#This Row],[I. Nợ ngắn hạn]])/Table1[[#This Row],[TỔNG CỘNG TÀI SẢN]]</f>
        <v>2.9026437797487772E-2</v>
      </c>
      <c r="R914" s="18">
        <f>Table1[[#This Row],[- LNST chưa phân phối kỳ này]]/Table1[[#This Row],[TỔNG CỘNG TÀI SẢN]]</f>
        <v>1.1536680794019026E-2</v>
      </c>
      <c r="S914" s="21">
        <f>Table1[[#This Row],[5. Lợi nhuận gộp về bán hàng và cung cấp dịch vụ]]/Table1[[#This Row],[TỔNG CỘNG TÀI SẢN]]</f>
        <v>0.16270647505564223</v>
      </c>
      <c r="T91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0.85069056771716978</v>
      </c>
      <c r="U914" s="23">
        <f>Table1[[#This Row],[1. Doanh thu bán hàng và cung cấp dịch vụ ]]/Table1[[#This Row],[TỔNG CỘNG TÀI SẢN]]</f>
        <v>2.1509433540486609</v>
      </c>
      <c r="V914" s="23">
        <f>1.2*Table1[[#This Row],[X1]] + 1.4*Table1[[#This Row],[X2]] + 3.3*Table1[[#This Row],[x3]] + 0.6*Table1[[#This Row],[x4]] + 1*Table1[[#This Row],[x5]]</f>
        <v>3.2492721408311942</v>
      </c>
      <c r="W914" s="23">
        <f>IF(Table1[[#This Row],[Zscore]]&lt;1.81,1,0)</f>
        <v>0</v>
      </c>
    </row>
    <row r="915" spans="1:23" x14ac:dyDescent="0.45">
      <c r="A915" s="7">
        <v>909</v>
      </c>
      <c r="B915" s="5" t="s">
        <v>1830</v>
      </c>
      <c r="C915" s="6" t="s">
        <v>1831</v>
      </c>
      <c r="D915" s="6" t="s">
        <v>18</v>
      </c>
      <c r="E915" s="8">
        <v>351933122418</v>
      </c>
      <c r="F915" s="8">
        <v>177235434336</v>
      </c>
      <c r="G915" s="8">
        <v>4345152630</v>
      </c>
      <c r="H915" s="8">
        <v>-23867282223</v>
      </c>
      <c r="I915" s="8">
        <v>1601719287</v>
      </c>
      <c r="J915" s="8"/>
      <c r="K915" s="8">
        <v>9955498268</v>
      </c>
      <c r="L915" s="8">
        <v>1836710093</v>
      </c>
      <c r="M915" s="8">
        <v>168301320900</v>
      </c>
      <c r="N915" s="8">
        <v>177935394600</v>
      </c>
      <c r="O915" s="8">
        <v>138394195800</v>
      </c>
      <c r="P915" s="8">
        <v>141689295700</v>
      </c>
      <c r="Q915" s="18">
        <f>(Table1[[#This Row],[A. TÀI SẢN NGẮN HẠN]]-Table1[[#This Row],[I. Nợ ngắn hạn]])/Table1[[#This Row],[TỔNG CỘNG TÀI SẢN]]</f>
        <v>0.49125890884647616</v>
      </c>
      <c r="R915" s="18">
        <f>Table1[[#This Row],[- LNST chưa phân phối kỳ này]]/Table1[[#This Row],[TỔNG CỘNG TÀI SẢN]]</f>
        <v>-6.7817663932899772E-2</v>
      </c>
      <c r="S915" s="21">
        <f>Table1[[#This Row],[5. Lợi nhuận gộp về bán hàng và cung cấp dịch vụ]]/Table1[[#This Row],[TỔNG CỘNG TÀI SẢN]]</f>
        <v>4.55120358093944E-3</v>
      </c>
      <c r="T91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15.727997487910367</v>
      </c>
      <c r="U915" s="23">
        <f>Table1[[#This Row],[1. Doanh thu bán hàng và cung cấp dịch vụ ]]/Table1[[#This Row],[TỔNG CỘNG TÀI SẢN]]</f>
        <v>5.2189179591300089E-3</v>
      </c>
      <c r="V915" s="23">
        <f>1.2*Table1[[#This Row],[X1]] + 1.4*Table1[[#This Row],[X2]] + 3.3*Table1[[#This Row],[x3]] + 0.6*Table1[[#This Row],[x4]] + 1*Table1[[#This Row],[x5]]</f>
        <v>9.9516023436321621</v>
      </c>
      <c r="W915" s="23">
        <f>IF(Table1[[#This Row],[Zscore]]&lt;1.81,1,0)</f>
        <v>0</v>
      </c>
    </row>
    <row r="916" spans="1:23" x14ac:dyDescent="0.45">
      <c r="A916" s="7">
        <v>910</v>
      </c>
      <c r="B916" s="5" t="s">
        <v>1832</v>
      </c>
      <c r="C916" s="6" t="s">
        <v>1833</v>
      </c>
      <c r="D916" s="6" t="s">
        <v>21</v>
      </c>
      <c r="E916" s="8">
        <v>19777415642108</v>
      </c>
      <c r="F916" s="8">
        <v>6110315567544</v>
      </c>
      <c r="G916" s="8">
        <v>2350292807513</v>
      </c>
      <c r="H916" s="8">
        <v>1676881154818</v>
      </c>
      <c r="I916" s="8">
        <v>2715411266782</v>
      </c>
      <c r="J916" s="8"/>
      <c r="K916" s="8">
        <v>4917376553076</v>
      </c>
      <c r="L916" s="8">
        <v>5945565383224</v>
      </c>
      <c r="M916" s="8">
        <v>24161057767500</v>
      </c>
      <c r="N916" s="8">
        <v>26016201649000</v>
      </c>
      <c r="O916" s="8">
        <v>24329134691100</v>
      </c>
      <c r="P916" s="8">
        <v>28531057781100</v>
      </c>
      <c r="Q916" s="18">
        <f>(Table1[[#This Row],[A. TÀI SẢN NGẮN HẠN]]-Table1[[#This Row],[I. Nợ ngắn hạn]])/Table1[[#This Row],[TỔNG CỘNG TÀI SẢN]]</f>
        <v>0.19011699142457994</v>
      </c>
      <c r="R916" s="18">
        <f>Table1[[#This Row],[- LNST chưa phân phối kỳ này]]/Table1[[#This Row],[TỔNG CỘNG TÀI SẢN]]</f>
        <v>8.478767828733702E-2</v>
      </c>
      <c r="S916" s="21">
        <f>Table1[[#This Row],[5. Lợi nhuận gộp về bán hàng và cung cấp dịch vụ]]/Table1[[#This Row],[TỔNG CỘNG TÀI SẢN]]</f>
        <v>0.13729858925554617</v>
      </c>
      <c r="T91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5.2384361242503523</v>
      </c>
      <c r="U916" s="23">
        <f>Table1[[#This Row],[1. Doanh thu bán hàng và cung cấp dịch vụ ]]/Table1[[#This Row],[TỔNG CỘNG TÀI SẢN]]</f>
        <v>0.30062397892702047</v>
      </c>
      <c r="V916" s="23">
        <f>1.2*Table1[[#This Row],[X1]] + 1.4*Table1[[#This Row],[X2]] + 3.3*Table1[[#This Row],[x3]] + 0.6*Table1[[#This Row],[x4]] + 1*Table1[[#This Row],[x5]]</f>
        <v>4.243614137332302</v>
      </c>
      <c r="W916" s="23">
        <f>IF(Table1[[#This Row],[Zscore]]&lt;1.81,1,0)</f>
        <v>0</v>
      </c>
    </row>
    <row r="917" spans="1:23" x14ac:dyDescent="0.45">
      <c r="A917" s="7">
        <v>911</v>
      </c>
      <c r="B917" s="5" t="s">
        <v>1834</v>
      </c>
      <c r="C917" s="6" t="s">
        <v>1835</v>
      </c>
      <c r="D917" s="6" t="s">
        <v>21</v>
      </c>
      <c r="E917" s="8">
        <v>198839029939</v>
      </c>
      <c r="F917" s="8">
        <v>177159695769</v>
      </c>
      <c r="G917" s="8">
        <v>8855253888</v>
      </c>
      <c r="H917" s="8">
        <v>17939188969</v>
      </c>
      <c r="I917" s="8">
        <v>27327134519</v>
      </c>
      <c r="J917" s="8"/>
      <c r="K917" s="8">
        <v>8855253888</v>
      </c>
      <c r="L917" s="8">
        <v>103577343943</v>
      </c>
      <c r="M917" s="8">
        <v>130350000000</v>
      </c>
      <c r="N917" s="8">
        <v>133155000000</v>
      </c>
      <c r="O917" s="8">
        <v>128535000000</v>
      </c>
      <c r="P917" s="8">
        <v>142725000000</v>
      </c>
      <c r="Q917" s="18">
        <f>(Table1[[#This Row],[A. TÀI SẢN NGẮN HẠN]]-Table1[[#This Row],[I. Nợ ngắn hạn]])/Table1[[#This Row],[TỔNG CỘNG TÀI SẢN]]</f>
        <v>0.8464356415972889</v>
      </c>
      <c r="R917" s="18">
        <f>Table1[[#This Row],[- LNST chưa phân phối kỳ này]]/Table1[[#This Row],[TỔNG CỘNG TÀI SẢN]]</f>
        <v>9.021965644523311E-2</v>
      </c>
      <c r="S917" s="21">
        <f>Table1[[#This Row],[5. Lợi nhuận gộp về bán hàng và cung cấp dịch vụ]]/Table1[[#This Row],[TỔNG CỘNG TÀI SẢN]]</f>
        <v>0.13743345321782871</v>
      </c>
      <c r="T91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15.097393218862839</v>
      </c>
      <c r="U917" s="23">
        <f>Table1[[#This Row],[1. Doanh thu bán hàng và cung cấp dịch vụ ]]/Table1[[#This Row],[TỔNG CỘNG TÀI SẢN]]</f>
        <v>0.52091052734855703</v>
      </c>
      <c r="V917" s="23">
        <f>1.2*Table1[[#This Row],[X1]] + 1.4*Table1[[#This Row],[X2]] + 3.3*Table1[[#This Row],[x3]] + 0.6*Table1[[#This Row],[x4]] + 1*Table1[[#This Row],[x5]]</f>
        <v>11.174907143225168</v>
      </c>
      <c r="W917" s="23">
        <f>IF(Table1[[#This Row],[Zscore]]&lt;1.81,1,0)</f>
        <v>0</v>
      </c>
    </row>
    <row r="918" spans="1:23" ht="26.25" x14ac:dyDescent="0.45">
      <c r="A918" s="7">
        <v>912</v>
      </c>
      <c r="B918" s="5" t="s">
        <v>1836</v>
      </c>
      <c r="C918" s="6" t="s">
        <v>1837</v>
      </c>
      <c r="D918" s="6" t="s">
        <v>36</v>
      </c>
      <c r="E918" s="8">
        <v>134587191180</v>
      </c>
      <c r="F918" s="8">
        <v>38445380277</v>
      </c>
      <c r="G918" s="8">
        <v>20678405218</v>
      </c>
      <c r="H918" s="8">
        <v>7119713634</v>
      </c>
      <c r="I918" s="8">
        <v>56060889346</v>
      </c>
      <c r="J918" s="8"/>
      <c r="K918" s="8">
        <v>20678405218</v>
      </c>
      <c r="L918" s="8">
        <v>174162597479</v>
      </c>
      <c r="M918" s="8">
        <v>156296002300</v>
      </c>
      <c r="N918" s="8">
        <v>133709874800</v>
      </c>
      <c r="O918" s="8">
        <v>156296002300</v>
      </c>
      <c r="P918" s="8">
        <v>149068441500</v>
      </c>
      <c r="Q918" s="18">
        <f>(Table1[[#This Row],[A. TÀI SẢN NGẮN HẠN]]-Table1[[#This Row],[I. Nợ ngắn hạn]])/Table1[[#This Row],[TỔNG CỘNG TÀI SẢN]]</f>
        <v>0.13201089125367094</v>
      </c>
      <c r="R918" s="18">
        <f>Table1[[#This Row],[- LNST chưa phân phối kỳ này]]/Table1[[#This Row],[TỔNG CỘNG TÀI SẢN]]</f>
        <v>5.290038057542884E-2</v>
      </c>
      <c r="S918" s="21">
        <f>Table1[[#This Row],[5. Lợi nhuận gộp về bán hàng và cung cấp dịch vụ]]/Table1[[#This Row],[TỔNG CỘNG TÀI SẢN]]</f>
        <v>0.41653955963032824</v>
      </c>
      <c r="T91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7.1979719255833379</v>
      </c>
      <c r="U918" s="23">
        <f>Table1[[#This Row],[1. Doanh thu bán hàng và cung cấp dịch vụ ]]/Table1[[#This Row],[TỔNG CỘNG TÀI SẢN]]</f>
        <v>1.2940503175080824</v>
      </c>
      <c r="V918" s="23">
        <f>1.2*Table1[[#This Row],[X1]] + 1.4*Table1[[#This Row],[X2]] + 3.3*Table1[[#This Row],[x3]] + 0.6*Table1[[#This Row],[x4]] + 1*Table1[[#This Row],[x5]]</f>
        <v>7.2198876219481738</v>
      </c>
      <c r="W918" s="23">
        <f>IF(Table1[[#This Row],[Zscore]]&lt;1.81,1,0)</f>
        <v>0</v>
      </c>
    </row>
    <row r="919" spans="1:23" hidden="1" x14ac:dyDescent="0.45">
      <c r="A919" s="7">
        <v>913</v>
      </c>
      <c r="B919" s="5" t="s">
        <v>1838</v>
      </c>
      <c r="C919" s="6" t="s">
        <v>1839</v>
      </c>
      <c r="D919" s="6" t="s">
        <v>18</v>
      </c>
      <c r="E919" s="6"/>
      <c r="F919" s="6"/>
      <c r="G919" s="6"/>
      <c r="H919" s="6"/>
      <c r="I919" s="6"/>
      <c r="J919" s="8"/>
      <c r="K919" s="6"/>
      <c r="L919" s="6"/>
      <c r="M919" s="8"/>
      <c r="N919" s="8"/>
      <c r="O919" s="8"/>
      <c r="P919" s="8"/>
      <c r="Q919" s="18" t="e">
        <f>(Table1[[#This Row],[A. TÀI SẢN NGẮN HẠN]]-Table1[[#This Row],[I. Nợ ngắn hạn]])/Table1[[#This Row],[TỔNG CỘNG TÀI SẢN]]</f>
        <v>#DIV/0!</v>
      </c>
      <c r="R919" s="18" t="e">
        <f>Table1[[#This Row],[- LNST chưa phân phối kỳ này]]/Table1[[#This Row],[TỔNG CỘNG TÀI SẢN]]</f>
        <v>#DIV/0!</v>
      </c>
      <c r="S919" s="21" t="e">
        <f>Table1[[#This Row],[5. Lợi nhuận gộp về bán hàng và cung cấp dịch vụ]]/Table1[[#This Row],[TỔNG CỘNG TÀI SẢN]]</f>
        <v>#DIV/0!</v>
      </c>
      <c r="T91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919" s="23" t="e">
        <f>Table1[[#This Row],[1. Doanh thu bán hàng và cung cấp dịch vụ ]]/Table1[[#This Row],[TỔNG CỘNG TÀI SẢN]]</f>
        <v>#DIV/0!</v>
      </c>
      <c r="V919" s="23" t="e">
        <f>1.2*Table1[[#This Row],[X1]] + 1.4*Table1[[#This Row],[X2]] + 3.3*Table1[[#This Row],[x3]] + 0.6*Table1[[#This Row],[x4]] + 1*Table1[[#This Row],[x5]]</f>
        <v>#DIV/0!</v>
      </c>
      <c r="W919" s="23" t="e">
        <f>IF(Table1[[#This Row],[Zscore]]&lt;1.81,1,0)</f>
        <v>#DIV/0!</v>
      </c>
    </row>
    <row r="920" spans="1:23" ht="26.25" hidden="1" x14ac:dyDescent="0.45">
      <c r="A920" s="7">
        <v>914</v>
      </c>
      <c r="B920" s="5" t="s">
        <v>1840</v>
      </c>
      <c r="C920" s="6" t="s">
        <v>1841</v>
      </c>
      <c r="D920" s="6" t="s">
        <v>13</v>
      </c>
      <c r="E920" s="6"/>
      <c r="F920" s="6"/>
      <c r="G920" s="6"/>
      <c r="H920" s="6"/>
      <c r="I920" s="6"/>
      <c r="J920" s="8"/>
      <c r="K920" s="6"/>
      <c r="L920" s="6"/>
      <c r="M920" s="8"/>
      <c r="N920" s="8"/>
      <c r="O920" s="8"/>
      <c r="P920" s="8"/>
      <c r="Q920" s="18" t="e">
        <f>(Table1[[#This Row],[A. TÀI SẢN NGẮN HẠN]]-Table1[[#This Row],[I. Nợ ngắn hạn]])/Table1[[#This Row],[TỔNG CỘNG TÀI SẢN]]</f>
        <v>#DIV/0!</v>
      </c>
      <c r="R920" s="18" t="e">
        <f>Table1[[#This Row],[- LNST chưa phân phối kỳ này]]/Table1[[#This Row],[TỔNG CỘNG TÀI SẢN]]</f>
        <v>#DIV/0!</v>
      </c>
      <c r="S920" s="21" t="e">
        <f>Table1[[#This Row],[5. Lợi nhuận gộp về bán hàng và cung cấp dịch vụ]]/Table1[[#This Row],[TỔNG CỘNG TÀI SẢN]]</f>
        <v>#DIV/0!</v>
      </c>
      <c r="T92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920" s="23" t="e">
        <f>Table1[[#This Row],[1. Doanh thu bán hàng và cung cấp dịch vụ ]]/Table1[[#This Row],[TỔNG CỘNG TÀI SẢN]]</f>
        <v>#DIV/0!</v>
      </c>
      <c r="V920" s="23" t="e">
        <f>1.2*Table1[[#This Row],[X1]] + 1.4*Table1[[#This Row],[X2]] + 3.3*Table1[[#This Row],[x3]] + 0.6*Table1[[#This Row],[x4]] + 1*Table1[[#This Row],[x5]]</f>
        <v>#DIV/0!</v>
      </c>
      <c r="W920" s="23" t="e">
        <f>IF(Table1[[#This Row],[Zscore]]&lt;1.81,1,0)</f>
        <v>#DIV/0!</v>
      </c>
    </row>
    <row r="921" spans="1:23" x14ac:dyDescent="0.45">
      <c r="A921" s="7">
        <v>915</v>
      </c>
      <c r="B921" s="5" t="s">
        <v>1842</v>
      </c>
      <c r="C921" s="6" t="s">
        <v>1843</v>
      </c>
      <c r="D921" s="6" t="s">
        <v>18</v>
      </c>
      <c r="E921" s="8">
        <v>716803589320</v>
      </c>
      <c r="F921" s="8">
        <v>445488557815</v>
      </c>
      <c r="G921" s="8">
        <v>109722965439</v>
      </c>
      <c r="H921" s="8">
        <v>4270922197</v>
      </c>
      <c r="I921" s="8">
        <v>21655386887</v>
      </c>
      <c r="J921" s="8"/>
      <c r="K921" s="8">
        <v>118439003455</v>
      </c>
      <c r="L921" s="8">
        <v>152838729608</v>
      </c>
      <c r="M921" s="8">
        <v>151402000400</v>
      </c>
      <c r="N921" s="8">
        <v>124365928900</v>
      </c>
      <c r="O921" s="8">
        <v>140587571800</v>
      </c>
      <c r="P921" s="8">
        <v>145994786100</v>
      </c>
      <c r="Q921" s="18">
        <f>(Table1[[#This Row],[A. TÀI SẢN NGẮN HẠN]]-Table1[[#This Row],[I. Nợ ngắn hạn]])/Table1[[#This Row],[TỔNG CỘNG TÀI SẢN]]</f>
        <v>0.4684206348555342</v>
      </c>
      <c r="R921" s="18">
        <f>Table1[[#This Row],[- LNST chưa phân phối kỳ này]]/Table1[[#This Row],[TỔNG CỘNG TÀI SẢN]]</f>
        <v>5.9582879614925423E-3</v>
      </c>
      <c r="S921" s="21">
        <f>Table1[[#This Row],[5. Lợi nhuận gộp về bán hàng và cung cấp dịch vụ]]/Table1[[#This Row],[TỔNG CỘNG TÀI SẢN]]</f>
        <v>3.0211046944594002E-2</v>
      </c>
      <c r="T92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1.1870040079610698</v>
      </c>
      <c r="U921" s="23">
        <f>Table1[[#This Row],[1. Doanh thu bán hàng và cung cấp dịch vụ ]]/Table1[[#This Row],[TỔNG CỘNG TÀI SẢN]]</f>
        <v>0.21322260642275992</v>
      </c>
      <c r="V921" s="23">
        <f>1.2*Table1[[#This Row],[X1]] + 1.4*Table1[[#This Row],[X2]] + 3.3*Table1[[#This Row],[x3]] + 0.6*Table1[[#This Row],[x4]] + 1*Table1[[#This Row],[x5]]</f>
        <v>1.5955678310892925</v>
      </c>
      <c r="W921" s="23">
        <f>IF(Table1[[#This Row],[Zscore]]&lt;1.81,1,0)</f>
        <v>1</v>
      </c>
    </row>
    <row r="922" spans="1:23" ht="26.25" hidden="1" x14ac:dyDescent="0.45">
      <c r="A922" s="7">
        <v>916</v>
      </c>
      <c r="B922" s="5" t="s">
        <v>1844</v>
      </c>
      <c r="C922" s="6" t="s">
        <v>1845</v>
      </c>
      <c r="D922" s="6" t="s">
        <v>13</v>
      </c>
      <c r="E922" s="6"/>
      <c r="F922" s="6"/>
      <c r="G922" s="6"/>
      <c r="H922" s="6"/>
      <c r="I922" s="6"/>
      <c r="J922" s="8"/>
      <c r="K922" s="6"/>
      <c r="L922" s="6"/>
      <c r="M922" s="8"/>
      <c r="N922" s="8"/>
      <c r="O922" s="8"/>
      <c r="P922" s="8"/>
      <c r="Q922" s="18" t="e">
        <f>(Table1[[#This Row],[A. TÀI SẢN NGẮN HẠN]]-Table1[[#This Row],[I. Nợ ngắn hạn]])/Table1[[#This Row],[TỔNG CỘNG TÀI SẢN]]</f>
        <v>#DIV/0!</v>
      </c>
      <c r="R922" s="18" t="e">
        <f>Table1[[#This Row],[- LNST chưa phân phối kỳ này]]/Table1[[#This Row],[TỔNG CỘNG TÀI SẢN]]</f>
        <v>#DIV/0!</v>
      </c>
      <c r="S922" s="21" t="e">
        <f>Table1[[#This Row],[5. Lợi nhuận gộp về bán hàng và cung cấp dịch vụ]]/Table1[[#This Row],[TỔNG CỘNG TÀI SẢN]]</f>
        <v>#DIV/0!</v>
      </c>
      <c r="T92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922" s="23" t="e">
        <f>Table1[[#This Row],[1. Doanh thu bán hàng và cung cấp dịch vụ ]]/Table1[[#This Row],[TỔNG CỘNG TÀI SẢN]]</f>
        <v>#DIV/0!</v>
      </c>
      <c r="V922" s="23" t="e">
        <f>1.2*Table1[[#This Row],[X1]] + 1.4*Table1[[#This Row],[X2]] + 3.3*Table1[[#This Row],[x3]] + 0.6*Table1[[#This Row],[x4]] + 1*Table1[[#This Row],[x5]]</f>
        <v>#DIV/0!</v>
      </c>
      <c r="W922" s="23" t="e">
        <f>IF(Table1[[#This Row],[Zscore]]&lt;1.81,1,0)</f>
        <v>#DIV/0!</v>
      </c>
    </row>
    <row r="923" spans="1:23" hidden="1" x14ac:dyDescent="0.45">
      <c r="A923" s="7">
        <v>917</v>
      </c>
      <c r="B923" s="5" t="s">
        <v>1846</v>
      </c>
      <c r="C923" s="6" t="s">
        <v>1847</v>
      </c>
      <c r="D923" s="6" t="s">
        <v>13</v>
      </c>
      <c r="E923" s="6"/>
      <c r="F923" s="6"/>
      <c r="G923" s="6"/>
      <c r="H923" s="6"/>
      <c r="I923" s="6"/>
      <c r="J923" s="8"/>
      <c r="K923" s="6"/>
      <c r="L923" s="6"/>
      <c r="M923" s="8"/>
      <c r="N923" s="8"/>
      <c r="O923" s="8"/>
      <c r="P923" s="8"/>
      <c r="Q923" s="18" t="e">
        <f>(Table1[[#This Row],[A. TÀI SẢN NGẮN HẠN]]-Table1[[#This Row],[I. Nợ ngắn hạn]])/Table1[[#This Row],[TỔNG CỘNG TÀI SẢN]]</f>
        <v>#DIV/0!</v>
      </c>
      <c r="R923" s="18" t="e">
        <f>Table1[[#This Row],[- LNST chưa phân phối kỳ này]]/Table1[[#This Row],[TỔNG CỘNG TÀI SẢN]]</f>
        <v>#DIV/0!</v>
      </c>
      <c r="S923" s="21" t="e">
        <f>Table1[[#This Row],[5. Lợi nhuận gộp về bán hàng và cung cấp dịch vụ]]/Table1[[#This Row],[TỔNG CỘNG TÀI SẢN]]</f>
        <v>#DIV/0!</v>
      </c>
      <c r="T92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923" s="23" t="e">
        <f>Table1[[#This Row],[1. Doanh thu bán hàng và cung cấp dịch vụ ]]/Table1[[#This Row],[TỔNG CỘNG TÀI SẢN]]</f>
        <v>#DIV/0!</v>
      </c>
      <c r="V923" s="23" t="e">
        <f>1.2*Table1[[#This Row],[X1]] + 1.4*Table1[[#This Row],[X2]] + 3.3*Table1[[#This Row],[x3]] + 0.6*Table1[[#This Row],[x4]] + 1*Table1[[#This Row],[x5]]</f>
        <v>#DIV/0!</v>
      </c>
      <c r="W923" s="23" t="e">
        <f>IF(Table1[[#This Row],[Zscore]]&lt;1.81,1,0)</f>
        <v>#DIV/0!</v>
      </c>
    </row>
    <row r="924" spans="1:23" hidden="1" x14ac:dyDescent="0.45">
      <c r="A924" s="7">
        <v>918</v>
      </c>
      <c r="B924" s="5" t="s">
        <v>1848</v>
      </c>
      <c r="C924" s="6" t="s">
        <v>1849</v>
      </c>
      <c r="D924" s="6" t="s">
        <v>13</v>
      </c>
      <c r="E924" s="6"/>
      <c r="F924" s="6"/>
      <c r="G924" s="6"/>
      <c r="H924" s="6"/>
      <c r="I924" s="6"/>
      <c r="J924" s="8"/>
      <c r="K924" s="6"/>
      <c r="L924" s="6"/>
      <c r="M924" s="8"/>
      <c r="N924" s="8"/>
      <c r="O924" s="8"/>
      <c r="P924" s="8"/>
      <c r="Q924" s="18" t="e">
        <f>(Table1[[#This Row],[A. TÀI SẢN NGẮN HẠN]]-Table1[[#This Row],[I. Nợ ngắn hạn]])/Table1[[#This Row],[TỔNG CỘNG TÀI SẢN]]</f>
        <v>#DIV/0!</v>
      </c>
      <c r="R924" s="18" t="e">
        <f>Table1[[#This Row],[- LNST chưa phân phối kỳ này]]/Table1[[#This Row],[TỔNG CỘNG TÀI SẢN]]</f>
        <v>#DIV/0!</v>
      </c>
      <c r="S924" s="21" t="e">
        <f>Table1[[#This Row],[5. Lợi nhuận gộp về bán hàng và cung cấp dịch vụ]]/Table1[[#This Row],[TỔNG CỘNG TÀI SẢN]]</f>
        <v>#DIV/0!</v>
      </c>
      <c r="T92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924" s="23" t="e">
        <f>Table1[[#This Row],[1. Doanh thu bán hàng và cung cấp dịch vụ ]]/Table1[[#This Row],[TỔNG CỘNG TÀI SẢN]]</f>
        <v>#DIV/0!</v>
      </c>
      <c r="V924" s="23" t="e">
        <f>1.2*Table1[[#This Row],[X1]] + 1.4*Table1[[#This Row],[X2]] + 3.3*Table1[[#This Row],[x3]] + 0.6*Table1[[#This Row],[x4]] + 1*Table1[[#This Row],[x5]]</f>
        <v>#DIV/0!</v>
      </c>
      <c r="W924" s="23" t="e">
        <f>IF(Table1[[#This Row],[Zscore]]&lt;1.81,1,0)</f>
        <v>#DIV/0!</v>
      </c>
    </row>
    <row r="925" spans="1:23" x14ac:dyDescent="0.45">
      <c r="A925" s="7">
        <v>919</v>
      </c>
      <c r="B925" s="5" t="s">
        <v>1850</v>
      </c>
      <c r="C925" s="6" t="s">
        <v>1851</v>
      </c>
      <c r="D925" s="6" t="s">
        <v>18</v>
      </c>
      <c r="E925" s="8">
        <v>748929140472</v>
      </c>
      <c r="F925" s="8">
        <v>127280101607</v>
      </c>
      <c r="G925" s="8">
        <v>31794298950</v>
      </c>
      <c r="H925" s="8">
        <v>41309655651</v>
      </c>
      <c r="I925" s="8">
        <v>139946050636</v>
      </c>
      <c r="J925" s="8"/>
      <c r="K925" s="8">
        <v>183154288210</v>
      </c>
      <c r="L925" s="8">
        <v>230350019549</v>
      </c>
      <c r="M925" s="8">
        <v>771174000000</v>
      </c>
      <c r="N925" s="8">
        <v>913984000000</v>
      </c>
      <c r="O925" s="8">
        <v>865428600000</v>
      </c>
      <c r="P925" s="8">
        <v>876853400000</v>
      </c>
      <c r="Q925" s="18">
        <f>(Table1[[#This Row],[A. TÀI SẢN NGẮN HẠN]]-Table1[[#This Row],[I. Nợ ngắn hạn]])/Table1[[#This Row],[TỔNG CỘNG TÀI SẢN]]</f>
        <v>0.12749644458596132</v>
      </c>
      <c r="R925" s="18">
        <f>Table1[[#This Row],[- LNST chưa phân phối kỳ này]]/Table1[[#This Row],[TỔNG CỘNG TÀI SẢN]]</f>
        <v>5.5158296584594486E-2</v>
      </c>
      <c r="S925" s="21">
        <f>Table1[[#This Row],[5. Lợi nhuận gộp về bán hàng và cung cấp dịch vụ]]/Table1[[#This Row],[TỔNG CỘNG TÀI SẢN]]</f>
        <v>0.18686153745840542</v>
      </c>
      <c r="T92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4.6783507411933831</v>
      </c>
      <c r="U925" s="23">
        <f>Table1[[#This Row],[1. Doanh thu bán hàng và cung cấp dịch vụ ]]/Table1[[#This Row],[TỔNG CỘNG TÀI SẢN]]</f>
        <v>0.30757251534347529</v>
      </c>
      <c r="V925" s="23">
        <f>1.2*Table1[[#This Row],[X1]] + 1.4*Table1[[#This Row],[X2]] + 3.3*Table1[[#This Row],[x3]] + 0.6*Table1[[#This Row],[x4]] + 1*Table1[[#This Row],[x5]]</f>
        <v>3.9614433823938291</v>
      </c>
      <c r="W925" s="23">
        <f>IF(Table1[[#This Row],[Zscore]]&lt;1.81,1,0)</f>
        <v>0</v>
      </c>
    </row>
    <row r="926" spans="1:23" ht="26.25" x14ac:dyDescent="0.45">
      <c r="A926" s="7">
        <v>920</v>
      </c>
      <c r="B926" s="5" t="s">
        <v>1852</v>
      </c>
      <c r="C926" s="6" t="s">
        <v>1853</v>
      </c>
      <c r="D926" s="6" t="s">
        <v>21</v>
      </c>
      <c r="E926" s="8">
        <v>2032544576236</v>
      </c>
      <c r="F926" s="8">
        <v>817449479951</v>
      </c>
      <c r="G926" s="8">
        <v>653091321475</v>
      </c>
      <c r="H926" s="8">
        <v>96922399925</v>
      </c>
      <c r="I926" s="8">
        <v>177796658054</v>
      </c>
      <c r="J926" s="8"/>
      <c r="K926" s="8">
        <v>1122834891858</v>
      </c>
      <c r="L926" s="8">
        <v>3584778019659</v>
      </c>
      <c r="M926" s="8">
        <v>794861481750</v>
      </c>
      <c r="N926" s="8">
        <v>702177320000</v>
      </c>
      <c r="O926" s="8">
        <v>782585628750</v>
      </c>
      <c r="P926" s="8">
        <v>766318517500</v>
      </c>
      <c r="Q926" s="18">
        <f>(Table1[[#This Row],[A. TÀI SẢN NGẮN HẠN]]-Table1[[#This Row],[I. Nợ ngắn hạn]])/Table1[[#This Row],[TỔNG CỘNG TÀI SẢN]]</f>
        <v>8.0863249149678809E-2</v>
      </c>
      <c r="R926" s="18">
        <f>Table1[[#This Row],[- LNST chưa phân phối kỳ này]]/Table1[[#This Row],[TỔNG CỘNG TÀI SẢN]]</f>
        <v>4.768525180613125E-2</v>
      </c>
      <c r="S926" s="21">
        <f>Table1[[#This Row],[5. Lợi nhuận gộp về bán hàng và cung cấp dịch vụ]]/Table1[[#This Row],[TỔNG CỘNG TÀI SẢN]]</f>
        <v>8.7474912054945217E-2</v>
      </c>
      <c r="T92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0.67818139828193169</v>
      </c>
      <c r="U926" s="23">
        <f>Table1[[#This Row],[1. Doanh thu bán hàng và cung cấp dịch vụ ]]/Table1[[#This Row],[TỔNG CỘNG TÀI SẢN]]</f>
        <v>1.7636897421937621</v>
      </c>
      <c r="V926" s="23">
        <f>1.2*Table1[[#This Row],[X1]] + 1.4*Table1[[#This Row],[X2]] + 3.3*Table1[[#This Row],[x3]] + 0.6*Table1[[#This Row],[x4]] + 1*Table1[[#This Row],[x5]]</f>
        <v>2.6230610424524388</v>
      </c>
      <c r="W926" s="23">
        <f>IF(Table1[[#This Row],[Zscore]]&lt;1.81,1,0)</f>
        <v>0</v>
      </c>
    </row>
    <row r="927" spans="1:23" ht="26.25" hidden="1" x14ac:dyDescent="0.45">
      <c r="A927" s="7">
        <v>921</v>
      </c>
      <c r="B927" s="5" t="s">
        <v>1854</v>
      </c>
      <c r="C927" s="6" t="s">
        <v>1855</v>
      </c>
      <c r="D927" s="6" t="s">
        <v>13</v>
      </c>
      <c r="E927" s="6"/>
      <c r="F927" s="6"/>
      <c r="G927" s="6"/>
      <c r="H927" s="6"/>
      <c r="I927" s="6"/>
      <c r="J927" s="8"/>
      <c r="K927" s="6"/>
      <c r="L927" s="6"/>
      <c r="M927" s="8"/>
      <c r="N927" s="8"/>
      <c r="O927" s="8"/>
      <c r="P927" s="8"/>
      <c r="Q927" s="18" t="e">
        <f>(Table1[[#This Row],[A. TÀI SẢN NGẮN HẠN]]-Table1[[#This Row],[I. Nợ ngắn hạn]])/Table1[[#This Row],[TỔNG CỘNG TÀI SẢN]]</f>
        <v>#DIV/0!</v>
      </c>
      <c r="R927" s="18" t="e">
        <f>Table1[[#This Row],[- LNST chưa phân phối kỳ này]]/Table1[[#This Row],[TỔNG CỘNG TÀI SẢN]]</f>
        <v>#DIV/0!</v>
      </c>
      <c r="S927" s="21" t="e">
        <f>Table1[[#This Row],[5. Lợi nhuận gộp về bán hàng và cung cấp dịch vụ]]/Table1[[#This Row],[TỔNG CỘNG TÀI SẢN]]</f>
        <v>#DIV/0!</v>
      </c>
      <c r="T92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927" s="23" t="e">
        <f>Table1[[#This Row],[1. Doanh thu bán hàng và cung cấp dịch vụ ]]/Table1[[#This Row],[TỔNG CỘNG TÀI SẢN]]</f>
        <v>#DIV/0!</v>
      </c>
      <c r="V927" s="23" t="e">
        <f>1.2*Table1[[#This Row],[X1]] + 1.4*Table1[[#This Row],[X2]] + 3.3*Table1[[#This Row],[x3]] + 0.6*Table1[[#This Row],[x4]] + 1*Table1[[#This Row],[x5]]</f>
        <v>#DIV/0!</v>
      </c>
      <c r="W927" s="23" t="e">
        <f>IF(Table1[[#This Row],[Zscore]]&lt;1.81,1,0)</f>
        <v>#DIV/0!</v>
      </c>
    </row>
    <row r="928" spans="1:23" x14ac:dyDescent="0.45">
      <c r="A928" s="7">
        <v>922</v>
      </c>
      <c r="B928" s="5" t="s">
        <v>1856</v>
      </c>
      <c r="C928" s="6" t="s">
        <v>1857</v>
      </c>
      <c r="D928" s="6" t="s">
        <v>21</v>
      </c>
      <c r="E928" s="8">
        <v>310802654499</v>
      </c>
      <c r="F928" s="8">
        <v>282645841189</v>
      </c>
      <c r="G928" s="8">
        <v>150566757431</v>
      </c>
      <c r="H928" s="8">
        <v>5953254632</v>
      </c>
      <c r="I928" s="8">
        <v>22615860570</v>
      </c>
      <c r="J928" s="8"/>
      <c r="K928" s="8">
        <v>152366757431</v>
      </c>
      <c r="L928" s="8">
        <v>255099704016</v>
      </c>
      <c r="M928" s="8">
        <v>106164000000</v>
      </c>
      <c r="N928" s="8">
        <v>94269700000</v>
      </c>
      <c r="O928" s="8">
        <v>91419000000</v>
      </c>
      <c r="P928" s="8">
        <v>96628900000</v>
      </c>
      <c r="Q928" s="18">
        <f>(Table1[[#This Row],[A. TÀI SẢN NGẮN HẠN]]-Table1[[#This Row],[I. Nợ ngắn hạn]])/Table1[[#This Row],[TỔNG CỘNG TÀI SẢN]]</f>
        <v>0.42496124742211611</v>
      </c>
      <c r="R928" s="18">
        <f>Table1[[#This Row],[- LNST chưa phân phối kỳ này]]/Table1[[#This Row],[TỔNG CỘNG TÀI SẢN]]</f>
        <v>1.915445233759789E-2</v>
      </c>
      <c r="S928" s="21">
        <f>Table1[[#This Row],[5. Lợi nhuận gộp về bán hàng và cung cấp dịch vụ]]/Table1[[#This Row],[TỔNG CỘNG TÀI SẢN]]</f>
        <v>7.2765982666575857E-2</v>
      </c>
      <c r="T92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0.63741200270657083</v>
      </c>
      <c r="U928" s="23">
        <f>Table1[[#This Row],[1. Doanh thu bán hàng và cung cấp dịch vụ ]]/Table1[[#This Row],[TỔNG CỘNG TÀI SẢN]]</f>
        <v>0.82077710831398576</v>
      </c>
      <c r="V928" s="23">
        <f>1.2*Table1[[#This Row],[X1]] + 1.4*Table1[[#This Row],[X2]] + 3.3*Table1[[#This Row],[x3]] + 0.6*Table1[[#This Row],[x4]] + 1*Table1[[#This Row],[x5]]</f>
        <v>1.9801217829168047</v>
      </c>
      <c r="W928" s="23">
        <f>IF(Table1[[#This Row],[Zscore]]&lt;1.81,1,0)</f>
        <v>0</v>
      </c>
    </row>
    <row r="929" spans="1:23" hidden="1" x14ac:dyDescent="0.45">
      <c r="A929" s="7">
        <v>923</v>
      </c>
      <c r="B929" s="5" t="s">
        <v>1858</v>
      </c>
      <c r="C929" s="6" t="s">
        <v>1859</v>
      </c>
      <c r="D929" s="6" t="s">
        <v>13</v>
      </c>
      <c r="E929" s="6"/>
      <c r="F929" s="6"/>
      <c r="G929" s="6"/>
      <c r="H929" s="6"/>
      <c r="I929" s="6"/>
      <c r="J929" s="8"/>
      <c r="K929" s="6"/>
      <c r="L929" s="6"/>
      <c r="M929" s="8"/>
      <c r="N929" s="8"/>
      <c r="O929" s="8"/>
      <c r="P929" s="8"/>
      <c r="Q929" s="18" t="e">
        <f>(Table1[[#This Row],[A. TÀI SẢN NGẮN HẠN]]-Table1[[#This Row],[I. Nợ ngắn hạn]])/Table1[[#This Row],[TỔNG CỘNG TÀI SẢN]]</f>
        <v>#DIV/0!</v>
      </c>
      <c r="R929" s="18" t="e">
        <f>Table1[[#This Row],[- LNST chưa phân phối kỳ này]]/Table1[[#This Row],[TỔNG CỘNG TÀI SẢN]]</f>
        <v>#DIV/0!</v>
      </c>
      <c r="S929" s="21" t="e">
        <f>Table1[[#This Row],[5. Lợi nhuận gộp về bán hàng và cung cấp dịch vụ]]/Table1[[#This Row],[TỔNG CỘNG TÀI SẢN]]</f>
        <v>#DIV/0!</v>
      </c>
      <c r="T92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929" s="23" t="e">
        <f>Table1[[#This Row],[1. Doanh thu bán hàng và cung cấp dịch vụ ]]/Table1[[#This Row],[TỔNG CỘNG TÀI SẢN]]</f>
        <v>#DIV/0!</v>
      </c>
      <c r="V929" s="23" t="e">
        <f>1.2*Table1[[#This Row],[X1]] + 1.4*Table1[[#This Row],[X2]] + 3.3*Table1[[#This Row],[x3]] + 0.6*Table1[[#This Row],[x4]] + 1*Table1[[#This Row],[x5]]</f>
        <v>#DIV/0!</v>
      </c>
      <c r="W929" s="23" t="e">
        <f>IF(Table1[[#This Row],[Zscore]]&lt;1.81,1,0)</f>
        <v>#DIV/0!</v>
      </c>
    </row>
    <row r="930" spans="1:23" hidden="1" x14ac:dyDescent="0.45">
      <c r="A930" s="7">
        <v>924</v>
      </c>
      <c r="B930" s="5" t="s">
        <v>1860</v>
      </c>
      <c r="C930" s="6" t="s">
        <v>1861</v>
      </c>
      <c r="D930" s="6" t="s">
        <v>18</v>
      </c>
      <c r="E930" s="6"/>
      <c r="F930" s="6"/>
      <c r="G930" s="6"/>
      <c r="H930" s="6"/>
      <c r="I930" s="6"/>
      <c r="J930" s="8"/>
      <c r="K930" s="6"/>
      <c r="L930" s="6"/>
      <c r="M930" s="8"/>
      <c r="N930" s="8"/>
      <c r="O930" s="8"/>
      <c r="P930" s="8"/>
      <c r="Q930" s="18" t="e">
        <f>(Table1[[#This Row],[A. TÀI SẢN NGẮN HẠN]]-Table1[[#This Row],[I. Nợ ngắn hạn]])/Table1[[#This Row],[TỔNG CỘNG TÀI SẢN]]</f>
        <v>#DIV/0!</v>
      </c>
      <c r="R930" s="18" t="e">
        <f>Table1[[#This Row],[- LNST chưa phân phối kỳ này]]/Table1[[#This Row],[TỔNG CỘNG TÀI SẢN]]</f>
        <v>#DIV/0!</v>
      </c>
      <c r="S930" s="21" t="e">
        <f>Table1[[#This Row],[5. Lợi nhuận gộp về bán hàng và cung cấp dịch vụ]]/Table1[[#This Row],[TỔNG CỘNG TÀI SẢN]]</f>
        <v>#DIV/0!</v>
      </c>
      <c r="T93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930" s="23" t="e">
        <f>Table1[[#This Row],[1. Doanh thu bán hàng và cung cấp dịch vụ ]]/Table1[[#This Row],[TỔNG CỘNG TÀI SẢN]]</f>
        <v>#DIV/0!</v>
      </c>
      <c r="V930" s="23" t="e">
        <f>1.2*Table1[[#This Row],[X1]] + 1.4*Table1[[#This Row],[X2]] + 3.3*Table1[[#This Row],[x3]] + 0.6*Table1[[#This Row],[x4]] + 1*Table1[[#This Row],[x5]]</f>
        <v>#DIV/0!</v>
      </c>
      <c r="W930" s="23" t="e">
        <f>IF(Table1[[#This Row],[Zscore]]&lt;1.81,1,0)</f>
        <v>#DIV/0!</v>
      </c>
    </row>
    <row r="931" spans="1:23" ht="26.25" hidden="1" x14ac:dyDescent="0.45">
      <c r="A931" s="7">
        <v>925</v>
      </c>
      <c r="B931" s="5" t="s">
        <v>1862</v>
      </c>
      <c r="C931" s="6" t="s">
        <v>1863</v>
      </c>
      <c r="D931" s="6" t="s">
        <v>13</v>
      </c>
      <c r="E931" s="6"/>
      <c r="F931" s="6"/>
      <c r="G931" s="6"/>
      <c r="H931" s="6"/>
      <c r="I931" s="6"/>
      <c r="J931" s="8"/>
      <c r="K931" s="6"/>
      <c r="L931" s="6"/>
      <c r="M931" s="8"/>
      <c r="N931" s="8"/>
      <c r="O931" s="8"/>
      <c r="P931" s="8"/>
      <c r="Q931" s="18" t="e">
        <f>(Table1[[#This Row],[A. TÀI SẢN NGẮN HẠN]]-Table1[[#This Row],[I. Nợ ngắn hạn]])/Table1[[#This Row],[TỔNG CỘNG TÀI SẢN]]</f>
        <v>#DIV/0!</v>
      </c>
      <c r="R931" s="18" t="e">
        <f>Table1[[#This Row],[- LNST chưa phân phối kỳ này]]/Table1[[#This Row],[TỔNG CỘNG TÀI SẢN]]</f>
        <v>#DIV/0!</v>
      </c>
      <c r="S931" s="21" t="e">
        <f>Table1[[#This Row],[5. Lợi nhuận gộp về bán hàng và cung cấp dịch vụ]]/Table1[[#This Row],[TỔNG CỘNG TÀI SẢN]]</f>
        <v>#DIV/0!</v>
      </c>
      <c r="T93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931" s="23" t="e">
        <f>Table1[[#This Row],[1. Doanh thu bán hàng và cung cấp dịch vụ ]]/Table1[[#This Row],[TỔNG CỘNG TÀI SẢN]]</f>
        <v>#DIV/0!</v>
      </c>
      <c r="V931" s="23" t="e">
        <f>1.2*Table1[[#This Row],[X1]] + 1.4*Table1[[#This Row],[X2]] + 3.3*Table1[[#This Row],[x3]] + 0.6*Table1[[#This Row],[x4]] + 1*Table1[[#This Row],[x5]]</f>
        <v>#DIV/0!</v>
      </c>
      <c r="W931" s="23" t="e">
        <f>IF(Table1[[#This Row],[Zscore]]&lt;1.81,1,0)</f>
        <v>#DIV/0!</v>
      </c>
    </row>
    <row r="932" spans="1:23" hidden="1" x14ac:dyDescent="0.45">
      <c r="A932" s="7">
        <v>926</v>
      </c>
      <c r="B932" s="5" t="s">
        <v>1864</v>
      </c>
      <c r="C932" s="6" t="s">
        <v>1865</v>
      </c>
      <c r="D932" s="6" t="s">
        <v>13</v>
      </c>
      <c r="E932" s="6"/>
      <c r="F932" s="6"/>
      <c r="G932" s="6"/>
      <c r="H932" s="6"/>
      <c r="I932" s="6"/>
      <c r="J932" s="8"/>
      <c r="K932" s="6"/>
      <c r="L932" s="6"/>
      <c r="M932" s="8"/>
      <c r="N932" s="8"/>
      <c r="O932" s="8"/>
      <c r="P932" s="8"/>
      <c r="Q932" s="18" t="e">
        <f>(Table1[[#This Row],[A. TÀI SẢN NGẮN HẠN]]-Table1[[#This Row],[I. Nợ ngắn hạn]])/Table1[[#This Row],[TỔNG CỘNG TÀI SẢN]]</f>
        <v>#DIV/0!</v>
      </c>
      <c r="R932" s="18" t="e">
        <f>Table1[[#This Row],[- LNST chưa phân phối kỳ này]]/Table1[[#This Row],[TỔNG CỘNG TÀI SẢN]]</f>
        <v>#DIV/0!</v>
      </c>
      <c r="S932" s="21" t="e">
        <f>Table1[[#This Row],[5. Lợi nhuận gộp về bán hàng và cung cấp dịch vụ]]/Table1[[#This Row],[TỔNG CỘNG TÀI SẢN]]</f>
        <v>#DIV/0!</v>
      </c>
      <c r="T93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932" s="23" t="e">
        <f>Table1[[#This Row],[1. Doanh thu bán hàng và cung cấp dịch vụ ]]/Table1[[#This Row],[TỔNG CỘNG TÀI SẢN]]</f>
        <v>#DIV/0!</v>
      </c>
      <c r="V932" s="23" t="e">
        <f>1.2*Table1[[#This Row],[X1]] + 1.4*Table1[[#This Row],[X2]] + 3.3*Table1[[#This Row],[x3]] + 0.6*Table1[[#This Row],[x4]] + 1*Table1[[#This Row],[x5]]</f>
        <v>#DIV/0!</v>
      </c>
      <c r="W932" s="23" t="e">
        <f>IF(Table1[[#This Row],[Zscore]]&lt;1.81,1,0)</f>
        <v>#DIV/0!</v>
      </c>
    </row>
    <row r="933" spans="1:23" ht="26.25" x14ac:dyDescent="0.45">
      <c r="A933" s="7">
        <v>927</v>
      </c>
      <c r="B933" s="5" t="s">
        <v>1866</v>
      </c>
      <c r="C933" s="6" t="s">
        <v>1867</v>
      </c>
      <c r="D933" s="6" t="s">
        <v>18</v>
      </c>
      <c r="E933" s="8">
        <v>1443153356877</v>
      </c>
      <c r="F933" s="8">
        <v>1178253527882</v>
      </c>
      <c r="G933" s="8">
        <v>1083420341212</v>
      </c>
      <c r="H933" s="8">
        <v>45601391286</v>
      </c>
      <c r="I933" s="8">
        <v>113230896297</v>
      </c>
      <c r="J933" s="8"/>
      <c r="K933" s="8">
        <v>1089122058212</v>
      </c>
      <c r="L933" s="8">
        <v>2463838055481</v>
      </c>
      <c r="M933" s="8">
        <v>296397545600</v>
      </c>
      <c r="N933" s="8">
        <v>304947474800</v>
      </c>
      <c r="O933" s="8">
        <v>336297215200</v>
      </c>
      <c r="P933" s="8">
        <v>327747286000</v>
      </c>
      <c r="Q933" s="18">
        <f>(Table1[[#This Row],[A. TÀI SẢN NGẮN HẠN]]-Table1[[#This Row],[I. Nợ ngắn hạn]])/Table1[[#This Row],[TỔNG CỘNG TÀI SẢN]]</f>
        <v>6.5712480394474554E-2</v>
      </c>
      <c r="R933" s="18">
        <f>Table1[[#This Row],[- LNST chưa phân phối kỳ này]]/Table1[[#This Row],[TỔNG CỘNG TÀI SẢN]]</f>
        <v>3.1598437594104287E-2</v>
      </c>
      <c r="S933" s="21">
        <f>Table1[[#This Row],[5. Lợi nhuận gộp về bán hàng và cung cấp dịch vụ]]/Table1[[#This Row],[TỔNG CỘNG TÀI SẢN]]</f>
        <v>7.8460751075015975E-2</v>
      </c>
      <c r="T93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0.2904609065758379</v>
      </c>
      <c r="U933" s="23">
        <f>Table1[[#This Row],[1. Doanh thu bán hàng và cung cấp dịch vụ ]]/Table1[[#This Row],[TỔNG CỘNG TÀI SẢN]]</f>
        <v>1.707260038401444</v>
      </c>
      <c r="V933" s="23">
        <f>1.2*Table1[[#This Row],[X1]] + 1.4*Table1[[#This Row],[X2]] + 3.3*Table1[[#This Row],[x3]] + 0.6*Table1[[#This Row],[x4]] + 1*Table1[[#This Row],[x5]]</f>
        <v>2.2635498499996149</v>
      </c>
      <c r="W933" s="23">
        <f>IF(Table1[[#This Row],[Zscore]]&lt;1.81,1,0)</f>
        <v>0</v>
      </c>
    </row>
    <row r="934" spans="1:23" hidden="1" x14ac:dyDescent="0.45">
      <c r="A934" s="7">
        <v>928</v>
      </c>
      <c r="B934" s="5" t="s">
        <v>1868</v>
      </c>
      <c r="C934" s="6" t="s">
        <v>1869</v>
      </c>
      <c r="D934" s="6" t="s">
        <v>18</v>
      </c>
      <c r="E934" s="6"/>
      <c r="F934" s="6"/>
      <c r="G934" s="6"/>
      <c r="H934" s="6"/>
      <c r="I934" s="6"/>
      <c r="J934" s="8"/>
      <c r="K934" s="6"/>
      <c r="L934" s="6"/>
      <c r="M934" s="8"/>
      <c r="N934" s="8"/>
      <c r="O934" s="8"/>
      <c r="P934" s="8"/>
      <c r="Q934" s="18" t="e">
        <f>(Table1[[#This Row],[A. TÀI SẢN NGẮN HẠN]]-Table1[[#This Row],[I. Nợ ngắn hạn]])/Table1[[#This Row],[TỔNG CỘNG TÀI SẢN]]</f>
        <v>#DIV/0!</v>
      </c>
      <c r="R934" s="18" t="e">
        <f>Table1[[#This Row],[- LNST chưa phân phối kỳ này]]/Table1[[#This Row],[TỔNG CỘNG TÀI SẢN]]</f>
        <v>#DIV/0!</v>
      </c>
      <c r="S934" s="21" t="e">
        <f>Table1[[#This Row],[5. Lợi nhuận gộp về bán hàng và cung cấp dịch vụ]]/Table1[[#This Row],[TỔNG CỘNG TÀI SẢN]]</f>
        <v>#DIV/0!</v>
      </c>
      <c r="T93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934" s="23" t="e">
        <f>Table1[[#This Row],[1. Doanh thu bán hàng và cung cấp dịch vụ ]]/Table1[[#This Row],[TỔNG CỘNG TÀI SẢN]]</f>
        <v>#DIV/0!</v>
      </c>
      <c r="V934" s="23" t="e">
        <f>1.2*Table1[[#This Row],[X1]] + 1.4*Table1[[#This Row],[X2]] + 3.3*Table1[[#This Row],[x3]] + 0.6*Table1[[#This Row],[x4]] + 1*Table1[[#This Row],[x5]]</f>
        <v>#DIV/0!</v>
      </c>
      <c r="W934" s="23" t="e">
        <f>IF(Table1[[#This Row],[Zscore]]&lt;1.81,1,0)</f>
        <v>#DIV/0!</v>
      </c>
    </row>
    <row r="935" spans="1:23" ht="26.25" x14ac:dyDescent="0.45">
      <c r="A935" s="7">
        <v>929</v>
      </c>
      <c r="B935" s="5" t="s">
        <v>1870</v>
      </c>
      <c r="C935" s="6" t="s">
        <v>1871</v>
      </c>
      <c r="D935" s="6" t="s">
        <v>21</v>
      </c>
      <c r="E935" s="8">
        <v>86514045690904</v>
      </c>
      <c r="F935" s="8">
        <v>32960822960976</v>
      </c>
      <c r="G935" s="8">
        <v>11352713740087</v>
      </c>
      <c r="H935" s="8">
        <v>3936067995790</v>
      </c>
      <c r="I935" s="8">
        <v>8646214750747</v>
      </c>
      <c r="J935" s="8"/>
      <c r="K935" s="8">
        <v>23912619408585</v>
      </c>
      <c r="L935" s="8">
        <v>28960505672607</v>
      </c>
      <c r="M935" s="8">
        <v>129600000000000</v>
      </c>
      <c r="N935" s="8">
        <v>104800000000000</v>
      </c>
      <c r="O935" s="8">
        <v>121200000000000</v>
      </c>
      <c r="P935" s="8">
        <v>110800000000000</v>
      </c>
      <c r="Q935" s="18">
        <f>(Table1[[#This Row],[A. TÀI SẢN NGẮN HẠN]]-Table1[[#This Row],[I. Nợ ngắn hạn]])/Table1[[#This Row],[TỔNG CỘNG TÀI SẢN]]</f>
        <v>0.2497641746877739</v>
      </c>
      <c r="R935" s="18">
        <f>Table1[[#This Row],[- LNST chưa phân phối kỳ này]]/Table1[[#This Row],[TỔNG CỘNG TÀI SẢN]]</f>
        <v>4.5496288658753992E-2</v>
      </c>
      <c r="S935" s="21">
        <f>Table1[[#This Row],[5. Lợi nhuận gộp về bán hàng và cung cấp dịch vụ]]/Table1[[#This Row],[TỔNG CỘNG TÀI SẢN]]</f>
        <v>9.9940011840829387E-2</v>
      </c>
      <c r="T93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4.8760864716534904</v>
      </c>
      <c r="U935" s="23">
        <f>Table1[[#This Row],[1. Doanh thu bán hàng và cung cấp dịch vụ ]]/Table1[[#This Row],[TỔNG CỘNG TÀI SẢN]]</f>
        <v>0.33474917790894476</v>
      </c>
      <c r="V935" s="23">
        <f>1.2*Table1[[#This Row],[X1]] + 1.4*Table1[[#This Row],[X2]] + 3.3*Table1[[#This Row],[x3]] + 0.6*Table1[[#This Row],[x4]] + 1*Table1[[#This Row],[x5]]</f>
        <v>3.9536149137233605</v>
      </c>
      <c r="W935" s="23">
        <f>IF(Table1[[#This Row],[Zscore]]&lt;1.81,1,0)</f>
        <v>0</v>
      </c>
    </row>
    <row r="936" spans="1:23" hidden="1" x14ac:dyDescent="0.45">
      <c r="A936" s="7">
        <v>930</v>
      </c>
      <c r="B936" s="5" t="s">
        <v>1872</v>
      </c>
      <c r="C936" s="6" t="s">
        <v>1873</v>
      </c>
      <c r="D936" s="6" t="s">
        <v>18</v>
      </c>
      <c r="E936" s="6"/>
      <c r="F936" s="6"/>
      <c r="G936" s="6"/>
      <c r="H936" s="6"/>
      <c r="I936" s="6"/>
      <c r="J936" s="8"/>
      <c r="K936" s="6"/>
      <c r="L936" s="6"/>
      <c r="M936" s="8"/>
      <c r="N936" s="8"/>
      <c r="O936" s="8"/>
      <c r="P936" s="8"/>
      <c r="Q936" s="18" t="e">
        <f>(Table1[[#This Row],[A. TÀI SẢN NGẮN HẠN]]-Table1[[#This Row],[I. Nợ ngắn hạn]])/Table1[[#This Row],[TỔNG CỘNG TÀI SẢN]]</f>
        <v>#DIV/0!</v>
      </c>
      <c r="R936" s="18" t="e">
        <f>Table1[[#This Row],[- LNST chưa phân phối kỳ này]]/Table1[[#This Row],[TỔNG CỘNG TÀI SẢN]]</f>
        <v>#DIV/0!</v>
      </c>
      <c r="S936" s="21" t="e">
        <f>Table1[[#This Row],[5. Lợi nhuận gộp về bán hàng và cung cấp dịch vụ]]/Table1[[#This Row],[TỔNG CỘNG TÀI SẢN]]</f>
        <v>#DIV/0!</v>
      </c>
      <c r="T93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936" s="23" t="e">
        <f>Table1[[#This Row],[1. Doanh thu bán hàng và cung cấp dịch vụ ]]/Table1[[#This Row],[TỔNG CỘNG TÀI SẢN]]</f>
        <v>#DIV/0!</v>
      </c>
      <c r="V936" s="23" t="e">
        <f>1.2*Table1[[#This Row],[X1]] + 1.4*Table1[[#This Row],[X2]] + 3.3*Table1[[#This Row],[x3]] + 0.6*Table1[[#This Row],[x4]] + 1*Table1[[#This Row],[x5]]</f>
        <v>#DIV/0!</v>
      </c>
      <c r="W936" s="23" t="e">
        <f>IF(Table1[[#This Row],[Zscore]]&lt;1.81,1,0)</f>
        <v>#DIV/0!</v>
      </c>
    </row>
    <row r="937" spans="1:23" hidden="1" x14ac:dyDescent="0.45">
      <c r="A937" s="7">
        <v>931</v>
      </c>
      <c r="B937" s="5" t="s">
        <v>1874</v>
      </c>
      <c r="C937" s="6" t="s">
        <v>1875</v>
      </c>
      <c r="D937" s="6" t="s">
        <v>18</v>
      </c>
      <c r="E937" s="6"/>
      <c r="F937" s="6"/>
      <c r="G937" s="6"/>
      <c r="H937" s="6"/>
      <c r="I937" s="6"/>
      <c r="J937" s="8"/>
      <c r="K937" s="6"/>
      <c r="L937" s="6"/>
      <c r="M937" s="8"/>
      <c r="N937" s="8"/>
      <c r="O937" s="8"/>
      <c r="P937" s="8"/>
      <c r="Q937" s="18" t="e">
        <f>(Table1[[#This Row],[A. TÀI SẢN NGẮN HẠN]]-Table1[[#This Row],[I. Nợ ngắn hạn]])/Table1[[#This Row],[TỔNG CỘNG TÀI SẢN]]</f>
        <v>#DIV/0!</v>
      </c>
      <c r="R937" s="18" t="e">
        <f>Table1[[#This Row],[- LNST chưa phân phối kỳ này]]/Table1[[#This Row],[TỔNG CỘNG TÀI SẢN]]</f>
        <v>#DIV/0!</v>
      </c>
      <c r="S937" s="21" t="e">
        <f>Table1[[#This Row],[5. Lợi nhuận gộp về bán hàng và cung cấp dịch vụ]]/Table1[[#This Row],[TỔNG CỘNG TÀI SẢN]]</f>
        <v>#DIV/0!</v>
      </c>
      <c r="T93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937" s="23" t="e">
        <f>Table1[[#This Row],[1. Doanh thu bán hàng và cung cấp dịch vụ ]]/Table1[[#This Row],[TỔNG CỘNG TÀI SẢN]]</f>
        <v>#DIV/0!</v>
      </c>
      <c r="V937" s="23" t="e">
        <f>1.2*Table1[[#This Row],[X1]] + 1.4*Table1[[#This Row],[X2]] + 3.3*Table1[[#This Row],[x3]] + 0.6*Table1[[#This Row],[x4]] + 1*Table1[[#This Row],[x5]]</f>
        <v>#DIV/0!</v>
      </c>
      <c r="W937" s="23" t="e">
        <f>IF(Table1[[#This Row],[Zscore]]&lt;1.81,1,0)</f>
        <v>#DIV/0!</v>
      </c>
    </row>
    <row r="938" spans="1:23" ht="26.25" hidden="1" x14ac:dyDescent="0.45">
      <c r="A938" s="7">
        <v>932</v>
      </c>
      <c r="B938" s="5" t="s">
        <v>1876</v>
      </c>
      <c r="C938" s="6" t="s">
        <v>1877</v>
      </c>
      <c r="D938" s="6" t="s">
        <v>13</v>
      </c>
      <c r="E938" s="6"/>
      <c r="F938" s="6"/>
      <c r="G938" s="6"/>
      <c r="H938" s="6"/>
      <c r="I938" s="6"/>
      <c r="J938" s="8"/>
      <c r="K938" s="6"/>
      <c r="L938" s="6"/>
      <c r="M938" s="8"/>
      <c r="N938" s="8"/>
      <c r="O938" s="8"/>
      <c r="P938" s="8"/>
      <c r="Q938" s="18" t="e">
        <f>(Table1[[#This Row],[A. TÀI SẢN NGẮN HẠN]]-Table1[[#This Row],[I. Nợ ngắn hạn]])/Table1[[#This Row],[TỔNG CỘNG TÀI SẢN]]</f>
        <v>#DIV/0!</v>
      </c>
      <c r="R938" s="18" t="e">
        <f>Table1[[#This Row],[- LNST chưa phân phối kỳ này]]/Table1[[#This Row],[TỔNG CỘNG TÀI SẢN]]</f>
        <v>#DIV/0!</v>
      </c>
      <c r="S938" s="21" t="e">
        <f>Table1[[#This Row],[5. Lợi nhuận gộp về bán hàng và cung cấp dịch vụ]]/Table1[[#This Row],[TỔNG CỘNG TÀI SẢN]]</f>
        <v>#DIV/0!</v>
      </c>
      <c r="T93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938" s="23" t="e">
        <f>Table1[[#This Row],[1. Doanh thu bán hàng và cung cấp dịch vụ ]]/Table1[[#This Row],[TỔNG CỘNG TÀI SẢN]]</f>
        <v>#DIV/0!</v>
      </c>
      <c r="V938" s="23" t="e">
        <f>1.2*Table1[[#This Row],[X1]] + 1.4*Table1[[#This Row],[X2]] + 3.3*Table1[[#This Row],[x3]] + 0.6*Table1[[#This Row],[x4]] + 1*Table1[[#This Row],[x5]]</f>
        <v>#DIV/0!</v>
      </c>
      <c r="W938" s="23" t="e">
        <f>IF(Table1[[#This Row],[Zscore]]&lt;1.81,1,0)</f>
        <v>#DIV/0!</v>
      </c>
    </row>
    <row r="939" spans="1:23" ht="26.25" hidden="1" x14ac:dyDescent="0.45">
      <c r="A939" s="7">
        <v>933</v>
      </c>
      <c r="B939" s="5" t="s">
        <v>1878</v>
      </c>
      <c r="C939" s="6" t="s">
        <v>1879</v>
      </c>
      <c r="D939" s="6" t="s">
        <v>13</v>
      </c>
      <c r="E939" s="6"/>
      <c r="F939" s="6"/>
      <c r="G939" s="6"/>
      <c r="H939" s="6"/>
      <c r="I939" s="6"/>
      <c r="J939" s="8"/>
      <c r="K939" s="6"/>
      <c r="L939" s="6"/>
      <c r="M939" s="8"/>
      <c r="N939" s="8"/>
      <c r="O939" s="8"/>
      <c r="P939" s="8"/>
      <c r="Q939" s="18" t="e">
        <f>(Table1[[#This Row],[A. TÀI SẢN NGẮN HẠN]]-Table1[[#This Row],[I. Nợ ngắn hạn]])/Table1[[#This Row],[TỔNG CỘNG TÀI SẢN]]</f>
        <v>#DIV/0!</v>
      </c>
      <c r="R939" s="18" t="e">
        <f>Table1[[#This Row],[- LNST chưa phân phối kỳ này]]/Table1[[#This Row],[TỔNG CỘNG TÀI SẢN]]</f>
        <v>#DIV/0!</v>
      </c>
      <c r="S939" s="21" t="e">
        <f>Table1[[#This Row],[5. Lợi nhuận gộp về bán hàng và cung cấp dịch vụ]]/Table1[[#This Row],[TỔNG CỘNG TÀI SẢN]]</f>
        <v>#DIV/0!</v>
      </c>
      <c r="T93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939" s="23" t="e">
        <f>Table1[[#This Row],[1. Doanh thu bán hàng và cung cấp dịch vụ ]]/Table1[[#This Row],[TỔNG CỘNG TÀI SẢN]]</f>
        <v>#DIV/0!</v>
      </c>
      <c r="V939" s="23" t="e">
        <f>1.2*Table1[[#This Row],[X1]] + 1.4*Table1[[#This Row],[X2]] + 3.3*Table1[[#This Row],[x3]] + 0.6*Table1[[#This Row],[x4]] + 1*Table1[[#This Row],[x5]]</f>
        <v>#DIV/0!</v>
      </c>
      <c r="W939" s="23" t="e">
        <f>IF(Table1[[#This Row],[Zscore]]&lt;1.81,1,0)</f>
        <v>#DIV/0!</v>
      </c>
    </row>
    <row r="940" spans="1:23" ht="26.25" hidden="1" x14ac:dyDescent="0.45">
      <c r="A940" s="7">
        <v>934</v>
      </c>
      <c r="B940" s="5" t="s">
        <v>1880</v>
      </c>
      <c r="C940" s="6" t="s">
        <v>1881</v>
      </c>
      <c r="D940" s="6" t="s">
        <v>13</v>
      </c>
      <c r="E940" s="6"/>
      <c r="F940" s="6"/>
      <c r="G940" s="6"/>
      <c r="H940" s="6"/>
      <c r="I940" s="6"/>
      <c r="J940" s="8"/>
      <c r="K940" s="6"/>
      <c r="L940" s="6"/>
      <c r="M940" s="8"/>
      <c r="N940" s="8"/>
      <c r="O940" s="8"/>
      <c r="P940" s="8"/>
      <c r="Q940" s="18" t="e">
        <f>(Table1[[#This Row],[A. TÀI SẢN NGẮN HẠN]]-Table1[[#This Row],[I. Nợ ngắn hạn]])/Table1[[#This Row],[TỔNG CỘNG TÀI SẢN]]</f>
        <v>#DIV/0!</v>
      </c>
      <c r="R940" s="18" t="e">
        <f>Table1[[#This Row],[- LNST chưa phân phối kỳ này]]/Table1[[#This Row],[TỔNG CỘNG TÀI SẢN]]</f>
        <v>#DIV/0!</v>
      </c>
      <c r="S940" s="21" t="e">
        <f>Table1[[#This Row],[5. Lợi nhuận gộp về bán hàng và cung cấp dịch vụ]]/Table1[[#This Row],[TỔNG CỘNG TÀI SẢN]]</f>
        <v>#DIV/0!</v>
      </c>
      <c r="T94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940" s="23" t="e">
        <f>Table1[[#This Row],[1. Doanh thu bán hàng và cung cấp dịch vụ ]]/Table1[[#This Row],[TỔNG CỘNG TÀI SẢN]]</f>
        <v>#DIV/0!</v>
      </c>
      <c r="V940" s="23" t="e">
        <f>1.2*Table1[[#This Row],[X1]] + 1.4*Table1[[#This Row],[X2]] + 3.3*Table1[[#This Row],[x3]] + 0.6*Table1[[#This Row],[x4]] + 1*Table1[[#This Row],[x5]]</f>
        <v>#DIV/0!</v>
      </c>
      <c r="W940" s="23" t="e">
        <f>IF(Table1[[#This Row],[Zscore]]&lt;1.81,1,0)</f>
        <v>#DIV/0!</v>
      </c>
    </row>
    <row r="941" spans="1:23" x14ac:dyDescent="0.45">
      <c r="A941" s="7">
        <v>935</v>
      </c>
      <c r="B941" s="5" t="s">
        <v>1882</v>
      </c>
      <c r="C941" s="6" t="s">
        <v>1883</v>
      </c>
      <c r="D941" s="6" t="s">
        <v>18</v>
      </c>
      <c r="E941" s="8">
        <v>401523512705</v>
      </c>
      <c r="F941" s="8">
        <v>391303031786</v>
      </c>
      <c r="G941" s="8">
        <v>90945017628</v>
      </c>
      <c r="H941" s="8">
        <v>6587974694</v>
      </c>
      <c r="I941" s="8">
        <v>63826543154</v>
      </c>
      <c r="J941" s="8"/>
      <c r="K941" s="8">
        <v>90945017628</v>
      </c>
      <c r="L941" s="8">
        <v>85530488932</v>
      </c>
      <c r="M941" s="8">
        <v>291763900000</v>
      </c>
      <c r="N941" s="8">
        <v>291763900000</v>
      </c>
      <c r="O941" s="8">
        <v>280093344000</v>
      </c>
      <c r="P941" s="8">
        <v>361787236000</v>
      </c>
      <c r="Q941" s="18">
        <f>(Table1[[#This Row],[A. TÀI SẢN NGẮN HẠN]]-Table1[[#This Row],[I. Nợ ngắn hạn]])/Table1[[#This Row],[TỔNG CỘNG TÀI SẢN]]</f>
        <v>0.74804589184462911</v>
      </c>
      <c r="R941" s="18">
        <f>Table1[[#This Row],[- LNST chưa phân phối kỳ này]]/Table1[[#This Row],[TỔNG CỘNG TÀI SẢN]]</f>
        <v>1.6407444360151822E-2</v>
      </c>
      <c r="S941" s="21">
        <f>Table1[[#This Row],[5. Lợi nhuận gộp về bán hàng và cung cấp dịch vụ]]/Table1[[#This Row],[TỔNG CỘNG TÀI SẢN]]</f>
        <v>0.15896091046825811</v>
      </c>
      <c r="T94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3.3685418177947644</v>
      </c>
      <c r="U941" s="23">
        <f>Table1[[#This Row],[1. Doanh thu bán hàng và cung cấp dịch vụ ]]/Table1[[#This Row],[TỔNG CỘNG TÀI SẢN]]</f>
        <v>0.21301489508246904</v>
      </c>
      <c r="V941" s="23">
        <f>1.2*Table1[[#This Row],[X1]] + 1.4*Table1[[#This Row],[X2]] + 3.3*Table1[[#This Row],[x3]] + 0.6*Table1[[#This Row],[x4]] + 1*Table1[[#This Row],[x5]]</f>
        <v>3.6793364826223467</v>
      </c>
      <c r="W941" s="23">
        <f>IF(Table1[[#This Row],[Zscore]]&lt;1.81,1,0)</f>
        <v>0</v>
      </c>
    </row>
    <row r="942" spans="1:23" hidden="1" x14ac:dyDescent="0.45">
      <c r="A942" s="7">
        <v>936</v>
      </c>
      <c r="B942" s="5" t="s">
        <v>1884</v>
      </c>
      <c r="C942" s="6" t="s">
        <v>1885</v>
      </c>
      <c r="D942" s="6" t="s">
        <v>13</v>
      </c>
      <c r="E942" s="6"/>
      <c r="F942" s="6"/>
      <c r="G942" s="6"/>
      <c r="H942" s="6"/>
      <c r="I942" s="6"/>
      <c r="J942" s="8"/>
      <c r="K942" s="6"/>
      <c r="L942" s="6"/>
      <c r="M942" s="8"/>
      <c r="N942" s="8"/>
      <c r="O942" s="8"/>
      <c r="P942" s="8"/>
      <c r="Q942" s="18" t="e">
        <f>(Table1[[#This Row],[A. TÀI SẢN NGẮN HẠN]]-Table1[[#This Row],[I. Nợ ngắn hạn]])/Table1[[#This Row],[TỔNG CỘNG TÀI SẢN]]</f>
        <v>#DIV/0!</v>
      </c>
      <c r="R942" s="18" t="e">
        <f>Table1[[#This Row],[- LNST chưa phân phối kỳ này]]/Table1[[#This Row],[TỔNG CỘNG TÀI SẢN]]</f>
        <v>#DIV/0!</v>
      </c>
      <c r="S942" s="21" t="e">
        <f>Table1[[#This Row],[5. Lợi nhuận gộp về bán hàng và cung cấp dịch vụ]]/Table1[[#This Row],[TỔNG CỘNG TÀI SẢN]]</f>
        <v>#DIV/0!</v>
      </c>
      <c r="T94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942" s="23" t="e">
        <f>Table1[[#This Row],[1. Doanh thu bán hàng và cung cấp dịch vụ ]]/Table1[[#This Row],[TỔNG CỘNG TÀI SẢN]]</f>
        <v>#DIV/0!</v>
      </c>
      <c r="V942" s="23" t="e">
        <f>1.2*Table1[[#This Row],[X1]] + 1.4*Table1[[#This Row],[X2]] + 3.3*Table1[[#This Row],[x3]] + 0.6*Table1[[#This Row],[x4]] + 1*Table1[[#This Row],[x5]]</f>
        <v>#DIV/0!</v>
      </c>
      <c r="W942" s="23" t="e">
        <f>IF(Table1[[#This Row],[Zscore]]&lt;1.81,1,0)</f>
        <v>#DIV/0!</v>
      </c>
    </row>
    <row r="943" spans="1:23" hidden="1" x14ac:dyDescent="0.45">
      <c r="A943" s="7">
        <v>937</v>
      </c>
      <c r="B943" s="5" t="s">
        <v>1886</v>
      </c>
      <c r="C943" s="6" t="s">
        <v>1887</v>
      </c>
      <c r="D943" s="6" t="s">
        <v>13</v>
      </c>
      <c r="E943" s="6"/>
      <c r="F943" s="6"/>
      <c r="G943" s="6"/>
      <c r="H943" s="6"/>
      <c r="I943" s="6"/>
      <c r="J943" s="8"/>
      <c r="K943" s="6"/>
      <c r="L943" s="6"/>
      <c r="M943" s="8"/>
      <c r="N943" s="8"/>
      <c r="O943" s="8"/>
      <c r="P943" s="8"/>
      <c r="Q943" s="18" t="e">
        <f>(Table1[[#This Row],[A. TÀI SẢN NGẮN HẠN]]-Table1[[#This Row],[I. Nợ ngắn hạn]])/Table1[[#This Row],[TỔNG CỘNG TÀI SẢN]]</f>
        <v>#DIV/0!</v>
      </c>
      <c r="R943" s="18" t="e">
        <f>Table1[[#This Row],[- LNST chưa phân phối kỳ này]]/Table1[[#This Row],[TỔNG CỘNG TÀI SẢN]]</f>
        <v>#DIV/0!</v>
      </c>
      <c r="S943" s="21" t="e">
        <f>Table1[[#This Row],[5. Lợi nhuận gộp về bán hàng và cung cấp dịch vụ]]/Table1[[#This Row],[TỔNG CỘNG TÀI SẢN]]</f>
        <v>#DIV/0!</v>
      </c>
      <c r="T94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943" s="23" t="e">
        <f>Table1[[#This Row],[1. Doanh thu bán hàng và cung cấp dịch vụ ]]/Table1[[#This Row],[TỔNG CỘNG TÀI SẢN]]</f>
        <v>#DIV/0!</v>
      </c>
      <c r="V943" s="23" t="e">
        <f>1.2*Table1[[#This Row],[X1]] + 1.4*Table1[[#This Row],[X2]] + 3.3*Table1[[#This Row],[x3]] + 0.6*Table1[[#This Row],[x4]] + 1*Table1[[#This Row],[x5]]</f>
        <v>#DIV/0!</v>
      </c>
      <c r="W943" s="23" t="e">
        <f>IF(Table1[[#This Row],[Zscore]]&lt;1.81,1,0)</f>
        <v>#DIV/0!</v>
      </c>
    </row>
    <row r="944" spans="1:23" x14ac:dyDescent="0.45">
      <c r="A944" s="7">
        <v>938</v>
      </c>
      <c r="B944" s="5" t="s">
        <v>1888</v>
      </c>
      <c r="C944" s="6" t="s">
        <v>1889</v>
      </c>
      <c r="D944" s="6" t="s">
        <v>36</v>
      </c>
      <c r="E944" s="8">
        <v>98367622912</v>
      </c>
      <c r="F944" s="8">
        <v>71586038389</v>
      </c>
      <c r="G944" s="8">
        <v>24214929035</v>
      </c>
      <c r="H944" s="8">
        <v>6943661883</v>
      </c>
      <c r="I944" s="8">
        <v>40407891582</v>
      </c>
      <c r="J944" s="8"/>
      <c r="K944" s="8">
        <v>24214929035</v>
      </c>
      <c r="L944" s="8">
        <v>165542608497</v>
      </c>
      <c r="M944" s="8">
        <v>60000000000</v>
      </c>
      <c r="N944" s="8">
        <v>58000000000</v>
      </c>
      <c r="O944" s="8">
        <v>60000000000</v>
      </c>
      <c r="P944" s="8">
        <v>58400000000</v>
      </c>
      <c r="Q944" s="18">
        <f>(Table1[[#This Row],[A. TÀI SẢN NGẮN HẠN]]-Table1[[#This Row],[I. Nợ ngắn hạn]])/Table1[[#This Row],[TỔNG CỘNG TÀI SẢN]]</f>
        <v>0.48157216726054619</v>
      </c>
      <c r="R944" s="18">
        <f>Table1[[#This Row],[- LNST chưa phân phối kỳ này]]/Table1[[#This Row],[TỔNG CỘNG TÀI SẢN]]</f>
        <v>7.0588895791573847E-2</v>
      </c>
      <c r="S944" s="21">
        <f>Table1[[#This Row],[5. Lợi nhuận gộp về bán hàng và cung cấp dịch vụ]]/Table1[[#This Row],[TỔNG CỘNG TÀI SẢN]]</f>
        <v>0.41078446734601926</v>
      </c>
      <c r="T94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2.4406431220416747</v>
      </c>
      <c r="U944" s="23">
        <f>Table1[[#This Row],[1. Doanh thu bán hàng và cung cấp dịch vụ ]]/Table1[[#This Row],[TỔNG CỘNG TÀI SẢN]]</f>
        <v>1.6828973151571931</v>
      </c>
      <c r="V944" s="23">
        <f>1.2*Table1[[#This Row],[X1]] + 1.4*Table1[[#This Row],[X2]] + 3.3*Table1[[#This Row],[x3]] + 0.6*Table1[[#This Row],[x4]] + 1*Table1[[#This Row],[x5]]</f>
        <v>5.1795829854449202</v>
      </c>
      <c r="W944" s="23">
        <f>IF(Table1[[#This Row],[Zscore]]&lt;1.81,1,0)</f>
        <v>0</v>
      </c>
    </row>
    <row r="945" spans="1:23" ht="26.25" hidden="1" x14ac:dyDescent="0.45">
      <c r="A945" s="7">
        <v>939</v>
      </c>
      <c r="B945" s="5" t="s">
        <v>1890</v>
      </c>
      <c r="C945" s="6" t="s">
        <v>1891</v>
      </c>
      <c r="D945" s="6" t="s">
        <v>13</v>
      </c>
      <c r="E945" s="6"/>
      <c r="F945" s="6"/>
      <c r="G945" s="6"/>
      <c r="H945" s="6"/>
      <c r="I945" s="6"/>
      <c r="J945" s="8"/>
      <c r="K945" s="6"/>
      <c r="L945" s="6"/>
      <c r="M945" s="8"/>
      <c r="N945" s="8"/>
      <c r="O945" s="8"/>
      <c r="P945" s="8"/>
      <c r="Q945" s="18" t="e">
        <f>(Table1[[#This Row],[A. TÀI SẢN NGẮN HẠN]]-Table1[[#This Row],[I. Nợ ngắn hạn]])/Table1[[#This Row],[TỔNG CỘNG TÀI SẢN]]</f>
        <v>#DIV/0!</v>
      </c>
      <c r="R945" s="18" t="e">
        <f>Table1[[#This Row],[- LNST chưa phân phối kỳ này]]/Table1[[#This Row],[TỔNG CỘNG TÀI SẢN]]</f>
        <v>#DIV/0!</v>
      </c>
      <c r="S945" s="21" t="e">
        <f>Table1[[#This Row],[5. Lợi nhuận gộp về bán hàng và cung cấp dịch vụ]]/Table1[[#This Row],[TỔNG CỘNG TÀI SẢN]]</f>
        <v>#DIV/0!</v>
      </c>
      <c r="T94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945" s="23" t="e">
        <f>Table1[[#This Row],[1. Doanh thu bán hàng và cung cấp dịch vụ ]]/Table1[[#This Row],[TỔNG CỘNG TÀI SẢN]]</f>
        <v>#DIV/0!</v>
      </c>
      <c r="V945" s="23" t="e">
        <f>1.2*Table1[[#This Row],[X1]] + 1.4*Table1[[#This Row],[X2]] + 3.3*Table1[[#This Row],[x3]] + 0.6*Table1[[#This Row],[x4]] + 1*Table1[[#This Row],[x5]]</f>
        <v>#DIV/0!</v>
      </c>
      <c r="W945" s="23" t="e">
        <f>IF(Table1[[#This Row],[Zscore]]&lt;1.81,1,0)</f>
        <v>#DIV/0!</v>
      </c>
    </row>
    <row r="946" spans="1:23" x14ac:dyDescent="0.45">
      <c r="A946" s="7">
        <v>940</v>
      </c>
      <c r="B946" s="5" t="s">
        <v>1892</v>
      </c>
      <c r="C946" s="6" t="s">
        <v>1893</v>
      </c>
      <c r="D946" s="6" t="s">
        <v>18</v>
      </c>
      <c r="E946" s="8">
        <v>266709899683</v>
      </c>
      <c r="F946" s="8">
        <v>78274188470</v>
      </c>
      <c r="G946" s="8">
        <v>133406284534</v>
      </c>
      <c r="H946" s="8">
        <v>-29095028936</v>
      </c>
      <c r="I946" s="8">
        <v>19862892432</v>
      </c>
      <c r="J946" s="8"/>
      <c r="K946" s="8">
        <v>157248465409</v>
      </c>
      <c r="L946" s="8">
        <v>42446519743</v>
      </c>
      <c r="M946" s="8">
        <v>195750000000</v>
      </c>
      <c r="N946" s="8">
        <v>390050000000</v>
      </c>
      <c r="O946" s="8">
        <v>346550000000</v>
      </c>
      <c r="P946" s="8">
        <v>348000000000</v>
      </c>
      <c r="Q946" s="18">
        <f>(Table1[[#This Row],[A. TÀI SẢN NGẮN HẠN]]-Table1[[#This Row],[I. Nợ ngắn hạn]])/Table1[[#This Row],[TỔNG CỘNG TÀI SẢN]]</f>
        <v>-0.20671184732748074</v>
      </c>
      <c r="R946" s="18">
        <f>Table1[[#This Row],[- LNST chưa phân phối kỳ này]]/Table1[[#This Row],[TỔNG CỘNG TÀI SẢN]]</f>
        <v>-0.10908867263862762</v>
      </c>
      <c r="S946" s="21">
        <f>Table1[[#This Row],[5. Lợi nhuận gộp về bán hàng và cung cấp dịch vụ]]/Table1[[#This Row],[TỔNG CỘNG TÀI SẢN]]</f>
        <v>7.4473772648140119E-2</v>
      </c>
      <c r="T94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2.0355524562192646</v>
      </c>
      <c r="U946" s="23">
        <f>Table1[[#This Row],[1. Doanh thu bán hàng và cung cấp dịch vụ ]]/Table1[[#This Row],[TỔNG CỘNG TÀI SẢN]]</f>
        <v>0.15914864725100239</v>
      </c>
      <c r="V946" s="23">
        <f>1.2*Table1[[#This Row],[X1]] + 1.4*Table1[[#This Row],[X2]] + 3.3*Table1[[#This Row],[x3]] + 0.6*Table1[[#This Row],[x4]] + 1*Table1[[#This Row],[x5]]</f>
        <v>1.2254652122343681</v>
      </c>
      <c r="W946" s="23">
        <f>IF(Table1[[#This Row],[Zscore]]&lt;1.81,1,0)</f>
        <v>1</v>
      </c>
    </row>
    <row r="947" spans="1:23" hidden="1" x14ac:dyDescent="0.45">
      <c r="A947" s="7">
        <v>941</v>
      </c>
      <c r="B947" s="5" t="s">
        <v>1894</v>
      </c>
      <c r="C947" s="6" t="s">
        <v>1895</v>
      </c>
      <c r="D947" s="6" t="s">
        <v>13</v>
      </c>
      <c r="E947" s="6"/>
      <c r="F947" s="6"/>
      <c r="G947" s="6"/>
      <c r="H947" s="6"/>
      <c r="I947" s="6"/>
      <c r="J947" s="8"/>
      <c r="K947" s="6"/>
      <c r="L947" s="6"/>
      <c r="M947" s="8"/>
      <c r="N947" s="8"/>
      <c r="O947" s="8"/>
      <c r="P947" s="8"/>
      <c r="Q947" s="18" t="e">
        <f>(Table1[[#This Row],[A. TÀI SẢN NGẮN HẠN]]-Table1[[#This Row],[I. Nợ ngắn hạn]])/Table1[[#This Row],[TỔNG CỘNG TÀI SẢN]]</f>
        <v>#DIV/0!</v>
      </c>
      <c r="R947" s="18" t="e">
        <f>Table1[[#This Row],[- LNST chưa phân phối kỳ này]]/Table1[[#This Row],[TỔNG CỘNG TÀI SẢN]]</f>
        <v>#DIV/0!</v>
      </c>
      <c r="S947" s="21" t="e">
        <f>Table1[[#This Row],[5. Lợi nhuận gộp về bán hàng và cung cấp dịch vụ]]/Table1[[#This Row],[TỔNG CỘNG TÀI SẢN]]</f>
        <v>#DIV/0!</v>
      </c>
      <c r="T94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947" s="23" t="e">
        <f>Table1[[#This Row],[1. Doanh thu bán hàng và cung cấp dịch vụ ]]/Table1[[#This Row],[TỔNG CỘNG TÀI SẢN]]</f>
        <v>#DIV/0!</v>
      </c>
      <c r="V947" s="23" t="e">
        <f>1.2*Table1[[#This Row],[X1]] + 1.4*Table1[[#This Row],[X2]] + 3.3*Table1[[#This Row],[x3]] + 0.6*Table1[[#This Row],[x4]] + 1*Table1[[#This Row],[x5]]</f>
        <v>#DIV/0!</v>
      </c>
      <c r="W947" s="23" t="e">
        <f>IF(Table1[[#This Row],[Zscore]]&lt;1.81,1,0)</f>
        <v>#DIV/0!</v>
      </c>
    </row>
    <row r="948" spans="1:23" x14ac:dyDescent="0.45">
      <c r="A948" s="7">
        <v>942</v>
      </c>
      <c r="B948" s="5" t="s">
        <v>1896</v>
      </c>
      <c r="C948" s="6" t="s">
        <v>1897</v>
      </c>
      <c r="D948" s="6" t="s">
        <v>21</v>
      </c>
      <c r="E948" s="8">
        <v>26892470553000</v>
      </c>
      <c r="F948" s="8">
        <v>8802389436000</v>
      </c>
      <c r="G948" s="8">
        <v>10218686017000</v>
      </c>
      <c r="H948" s="8">
        <v>2125515559000</v>
      </c>
      <c r="I948" s="8">
        <v>2780093086000</v>
      </c>
      <c r="J948" s="8"/>
      <c r="K948" s="8">
        <v>12707832972000</v>
      </c>
      <c r="L948" s="8">
        <v>7493026643000</v>
      </c>
      <c r="M948" s="8">
        <v>12900271252600</v>
      </c>
      <c r="N948" s="8">
        <v>22242857416650</v>
      </c>
      <c r="O948" s="8">
        <v>13693320714850</v>
      </c>
      <c r="P948" s="8">
        <v>17235608312900</v>
      </c>
      <c r="Q948" s="18">
        <f>(Table1[[#This Row],[A. TÀI SẢN NGẮN HẠN]]-Table1[[#This Row],[I. Nợ ngắn hạn]])/Table1[[#This Row],[TỔNG CỘNG TÀI SẢN]]</f>
        <v>-5.2665171770244983E-2</v>
      </c>
      <c r="R948" s="18">
        <f>Table1[[#This Row],[- LNST chưa phân phối kỳ này]]/Table1[[#This Row],[TỔNG CỘNG TÀI SẢN]]</f>
        <v>7.9037571308705493E-2</v>
      </c>
      <c r="S948" s="21">
        <f>Table1[[#This Row],[5. Lợi nhuận gộp về bán hàng và cung cấp dịch vụ]]/Table1[[#This Row],[TỔNG CỘNG TÀI SẢN]]</f>
        <v>0.10337812141584239</v>
      </c>
      <c r="T94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1.2998293619884069</v>
      </c>
      <c r="U948" s="23">
        <f>Table1[[#This Row],[1. Doanh thu bán hàng và cung cấp dịch vụ ]]/Table1[[#This Row],[TỔNG CỘNG TÀI SẢN]]</f>
        <v>0.27862916604231858</v>
      </c>
      <c r="V948" s="23">
        <f>1.2*Table1[[#This Row],[X1]] + 1.4*Table1[[#This Row],[X2]] + 3.3*Table1[[#This Row],[x3]] + 0.6*Table1[[#This Row],[x4]] + 1*Table1[[#This Row],[x5]]</f>
        <v>1.4471289776155363</v>
      </c>
      <c r="W948" s="23">
        <f>IF(Table1[[#This Row],[Zscore]]&lt;1.81,1,0)</f>
        <v>1</v>
      </c>
    </row>
    <row r="949" spans="1:23" x14ac:dyDescent="0.45">
      <c r="A949" s="7">
        <v>943</v>
      </c>
      <c r="B949" s="5" t="s">
        <v>1898</v>
      </c>
      <c r="C949" s="6" t="s">
        <v>1899</v>
      </c>
      <c r="D949" s="6" t="s">
        <v>21</v>
      </c>
      <c r="E949" s="8">
        <v>8713614967858</v>
      </c>
      <c r="F949" s="8">
        <v>1563782077526</v>
      </c>
      <c r="G949" s="8">
        <v>1513929796195</v>
      </c>
      <c r="H949" s="8">
        <v>1206512800982</v>
      </c>
      <c r="I949" s="8">
        <v>1964721411514</v>
      </c>
      <c r="J949" s="8"/>
      <c r="K949" s="8">
        <v>3318812211348</v>
      </c>
      <c r="L949" s="8">
        <v>5091077366754</v>
      </c>
      <c r="M949" s="8">
        <v>6858425270400</v>
      </c>
      <c r="N949" s="8">
        <v>9912153144400</v>
      </c>
      <c r="O949" s="8">
        <v>8767873215000</v>
      </c>
      <c r="P949" s="8">
        <v>9084733205600</v>
      </c>
      <c r="Q949" s="18">
        <f>(Table1[[#This Row],[A. TÀI SẢN NGẮN HẠN]]-Table1[[#This Row],[I. Nợ ngắn hạn]])/Table1[[#This Row],[TỔNG CỘNG TÀI SẢN]]</f>
        <v>5.7211939608177104E-3</v>
      </c>
      <c r="R949" s="18">
        <f>Table1[[#This Row],[- LNST chưa phân phối kỳ này]]/Table1[[#This Row],[TỔNG CỘNG TÀI SẢN]]</f>
        <v>0.13846294625508196</v>
      </c>
      <c r="S949" s="21">
        <f>Table1[[#This Row],[5. Lợi nhuận gộp về bán hàng và cung cấp dịch vụ]]/Table1[[#This Row],[TỔNG CỘNG TÀI SẢN]]</f>
        <v>0.22547718929070057</v>
      </c>
      <c r="T94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2.6081006268608009</v>
      </c>
      <c r="U949" s="23">
        <f>Table1[[#This Row],[1. Doanh thu bán hàng và cung cấp dịch vụ ]]/Table1[[#This Row],[TỔNG CỘNG TÀI SẢN]]</f>
        <v>0.58426696446119186</v>
      </c>
      <c r="V949" s="23">
        <f>1.2*Table1[[#This Row],[X1]] + 1.4*Table1[[#This Row],[X2]] + 3.3*Table1[[#This Row],[x3]] + 0.6*Table1[[#This Row],[x4]] + 1*Table1[[#This Row],[x5]]</f>
        <v>3.0939156227470801</v>
      </c>
      <c r="W949" s="23">
        <f>IF(Table1[[#This Row],[Zscore]]&lt;1.81,1,0)</f>
        <v>0</v>
      </c>
    </row>
    <row r="950" spans="1:23" hidden="1" x14ac:dyDescent="0.45">
      <c r="A950" s="7">
        <v>944</v>
      </c>
      <c r="B950" s="5" t="s">
        <v>1900</v>
      </c>
      <c r="C950" s="6" t="s">
        <v>1901</v>
      </c>
      <c r="D950" s="6" t="s">
        <v>13</v>
      </c>
      <c r="E950" s="6"/>
      <c r="F950" s="6"/>
      <c r="G950" s="6"/>
      <c r="H950" s="6"/>
      <c r="I950" s="6"/>
      <c r="J950" s="8"/>
      <c r="K950" s="6"/>
      <c r="L950" s="6"/>
      <c r="M950" s="8">
        <v>274024198500</v>
      </c>
      <c r="N950" s="8"/>
      <c r="O950" s="8">
        <v>274024198500</v>
      </c>
      <c r="P950" s="8">
        <v>274024198500</v>
      </c>
      <c r="Q950" s="18" t="e">
        <f>(Table1[[#This Row],[A. TÀI SẢN NGẮN HẠN]]-Table1[[#This Row],[I. Nợ ngắn hạn]])/Table1[[#This Row],[TỔNG CỘNG TÀI SẢN]]</f>
        <v>#DIV/0!</v>
      </c>
      <c r="R950" s="18" t="e">
        <f>Table1[[#This Row],[- LNST chưa phân phối kỳ này]]/Table1[[#This Row],[TỔNG CỘNG TÀI SẢN]]</f>
        <v>#DIV/0!</v>
      </c>
      <c r="S950" s="21" t="e">
        <f>Table1[[#This Row],[5. Lợi nhuận gộp về bán hàng và cung cấp dịch vụ]]/Table1[[#This Row],[TỔNG CỘNG TÀI SẢN]]</f>
        <v>#DIV/0!</v>
      </c>
      <c r="T95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950" s="23" t="e">
        <f>Table1[[#This Row],[1. Doanh thu bán hàng và cung cấp dịch vụ ]]/Table1[[#This Row],[TỔNG CỘNG TÀI SẢN]]</f>
        <v>#DIV/0!</v>
      </c>
      <c r="V950" s="23" t="e">
        <f>1.2*Table1[[#This Row],[X1]] + 1.4*Table1[[#This Row],[X2]] + 3.3*Table1[[#This Row],[x3]] + 0.6*Table1[[#This Row],[x4]] + 1*Table1[[#This Row],[x5]]</f>
        <v>#DIV/0!</v>
      </c>
      <c r="W950" s="23" t="e">
        <f>IF(Table1[[#This Row],[Zscore]]&lt;1.81,1,0)</f>
        <v>#DIV/0!</v>
      </c>
    </row>
    <row r="951" spans="1:23" hidden="1" x14ac:dyDescent="0.45">
      <c r="A951" s="7">
        <v>945</v>
      </c>
      <c r="B951" s="5" t="s">
        <v>1902</v>
      </c>
      <c r="C951" s="6" t="s">
        <v>1903</v>
      </c>
      <c r="D951" s="6" t="s">
        <v>13</v>
      </c>
      <c r="E951" s="6"/>
      <c r="F951" s="6"/>
      <c r="G951" s="6"/>
      <c r="H951" s="6"/>
      <c r="I951" s="6"/>
      <c r="J951" s="8"/>
      <c r="K951" s="6"/>
      <c r="L951" s="6"/>
      <c r="M951" s="8"/>
      <c r="N951" s="8"/>
      <c r="O951" s="8"/>
      <c r="P951" s="8"/>
      <c r="Q951" s="18" t="e">
        <f>(Table1[[#This Row],[A. TÀI SẢN NGẮN HẠN]]-Table1[[#This Row],[I. Nợ ngắn hạn]])/Table1[[#This Row],[TỔNG CỘNG TÀI SẢN]]</f>
        <v>#DIV/0!</v>
      </c>
      <c r="R951" s="18" t="e">
        <f>Table1[[#This Row],[- LNST chưa phân phối kỳ này]]/Table1[[#This Row],[TỔNG CỘNG TÀI SẢN]]</f>
        <v>#DIV/0!</v>
      </c>
      <c r="S951" s="21" t="e">
        <f>Table1[[#This Row],[5. Lợi nhuận gộp về bán hàng và cung cấp dịch vụ]]/Table1[[#This Row],[TỔNG CỘNG TÀI SẢN]]</f>
        <v>#DIV/0!</v>
      </c>
      <c r="T95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951" s="23" t="e">
        <f>Table1[[#This Row],[1. Doanh thu bán hàng và cung cấp dịch vụ ]]/Table1[[#This Row],[TỔNG CỘNG TÀI SẢN]]</f>
        <v>#DIV/0!</v>
      </c>
      <c r="V951" s="23" t="e">
        <f>1.2*Table1[[#This Row],[X1]] + 1.4*Table1[[#This Row],[X2]] + 3.3*Table1[[#This Row],[x3]] + 0.6*Table1[[#This Row],[x4]] + 1*Table1[[#This Row],[x5]]</f>
        <v>#DIV/0!</v>
      </c>
      <c r="W951" s="23" t="e">
        <f>IF(Table1[[#This Row],[Zscore]]&lt;1.81,1,0)</f>
        <v>#DIV/0!</v>
      </c>
    </row>
    <row r="952" spans="1:23" hidden="1" x14ac:dyDescent="0.45">
      <c r="A952" s="7">
        <v>946</v>
      </c>
      <c r="B952" s="5" t="s">
        <v>1904</v>
      </c>
      <c r="C952" s="6" t="s">
        <v>1905</v>
      </c>
      <c r="D952" s="6" t="s">
        <v>13</v>
      </c>
      <c r="E952" s="6"/>
      <c r="F952" s="6"/>
      <c r="G952" s="6"/>
      <c r="H952" s="6"/>
      <c r="I952" s="6"/>
      <c r="J952" s="8"/>
      <c r="K952" s="6"/>
      <c r="L952" s="6"/>
      <c r="M952" s="8"/>
      <c r="N952" s="8"/>
      <c r="O952" s="8"/>
      <c r="P952" s="8"/>
      <c r="Q952" s="18" t="e">
        <f>(Table1[[#This Row],[A. TÀI SẢN NGẮN HẠN]]-Table1[[#This Row],[I. Nợ ngắn hạn]])/Table1[[#This Row],[TỔNG CỘNG TÀI SẢN]]</f>
        <v>#DIV/0!</v>
      </c>
      <c r="R952" s="18" t="e">
        <f>Table1[[#This Row],[- LNST chưa phân phối kỳ này]]/Table1[[#This Row],[TỔNG CỘNG TÀI SẢN]]</f>
        <v>#DIV/0!</v>
      </c>
      <c r="S952" s="21" t="e">
        <f>Table1[[#This Row],[5. Lợi nhuận gộp về bán hàng và cung cấp dịch vụ]]/Table1[[#This Row],[TỔNG CỘNG TÀI SẢN]]</f>
        <v>#DIV/0!</v>
      </c>
      <c r="T95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952" s="23" t="e">
        <f>Table1[[#This Row],[1. Doanh thu bán hàng và cung cấp dịch vụ ]]/Table1[[#This Row],[TỔNG CỘNG TÀI SẢN]]</f>
        <v>#DIV/0!</v>
      </c>
      <c r="V952" s="23" t="e">
        <f>1.2*Table1[[#This Row],[X1]] + 1.4*Table1[[#This Row],[X2]] + 3.3*Table1[[#This Row],[x3]] + 0.6*Table1[[#This Row],[x4]] + 1*Table1[[#This Row],[x5]]</f>
        <v>#DIV/0!</v>
      </c>
      <c r="W952" s="23" t="e">
        <f>IF(Table1[[#This Row],[Zscore]]&lt;1.81,1,0)</f>
        <v>#DIV/0!</v>
      </c>
    </row>
    <row r="953" spans="1:23" hidden="1" x14ac:dyDescent="0.45">
      <c r="A953" s="7">
        <v>947</v>
      </c>
      <c r="B953" s="5" t="s">
        <v>1906</v>
      </c>
      <c r="C953" s="6" t="s">
        <v>1907</v>
      </c>
      <c r="D953" s="6" t="s">
        <v>13</v>
      </c>
      <c r="E953" s="6"/>
      <c r="F953" s="6"/>
      <c r="G953" s="6"/>
      <c r="H953" s="6"/>
      <c r="I953" s="6"/>
      <c r="J953" s="8"/>
      <c r="K953" s="6"/>
      <c r="L953" s="6"/>
      <c r="M953" s="8"/>
      <c r="N953" s="8"/>
      <c r="O953" s="8"/>
      <c r="P953" s="8"/>
      <c r="Q953" s="18" t="e">
        <f>(Table1[[#This Row],[A. TÀI SẢN NGẮN HẠN]]-Table1[[#This Row],[I. Nợ ngắn hạn]])/Table1[[#This Row],[TỔNG CỘNG TÀI SẢN]]</f>
        <v>#DIV/0!</v>
      </c>
      <c r="R953" s="18" t="e">
        <f>Table1[[#This Row],[- LNST chưa phân phối kỳ này]]/Table1[[#This Row],[TỔNG CỘNG TÀI SẢN]]</f>
        <v>#DIV/0!</v>
      </c>
      <c r="S953" s="21" t="e">
        <f>Table1[[#This Row],[5. Lợi nhuận gộp về bán hàng và cung cấp dịch vụ]]/Table1[[#This Row],[TỔNG CỘNG TÀI SẢN]]</f>
        <v>#DIV/0!</v>
      </c>
      <c r="T95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953" s="23" t="e">
        <f>Table1[[#This Row],[1. Doanh thu bán hàng và cung cấp dịch vụ ]]/Table1[[#This Row],[TỔNG CỘNG TÀI SẢN]]</f>
        <v>#DIV/0!</v>
      </c>
      <c r="V953" s="23" t="e">
        <f>1.2*Table1[[#This Row],[X1]] + 1.4*Table1[[#This Row],[X2]] + 3.3*Table1[[#This Row],[x3]] + 0.6*Table1[[#This Row],[x4]] + 1*Table1[[#This Row],[x5]]</f>
        <v>#DIV/0!</v>
      </c>
      <c r="W953" s="23" t="e">
        <f>IF(Table1[[#This Row],[Zscore]]&lt;1.81,1,0)</f>
        <v>#DIV/0!</v>
      </c>
    </row>
    <row r="954" spans="1:23" ht="26.25" hidden="1" x14ac:dyDescent="0.45">
      <c r="A954" s="7">
        <v>948</v>
      </c>
      <c r="B954" s="5" t="s">
        <v>1908</v>
      </c>
      <c r="C954" s="6" t="s">
        <v>1909</v>
      </c>
      <c r="D954" s="6" t="s">
        <v>13</v>
      </c>
      <c r="E954" s="6"/>
      <c r="F954" s="6"/>
      <c r="G954" s="6"/>
      <c r="H954" s="6"/>
      <c r="I954" s="6"/>
      <c r="J954" s="8"/>
      <c r="K954" s="6"/>
      <c r="L954" s="6"/>
      <c r="M954" s="8"/>
      <c r="N954" s="8"/>
      <c r="O954" s="8"/>
      <c r="P954" s="8"/>
      <c r="Q954" s="18" t="e">
        <f>(Table1[[#This Row],[A. TÀI SẢN NGẮN HẠN]]-Table1[[#This Row],[I. Nợ ngắn hạn]])/Table1[[#This Row],[TỔNG CỘNG TÀI SẢN]]</f>
        <v>#DIV/0!</v>
      </c>
      <c r="R954" s="18" t="e">
        <f>Table1[[#This Row],[- LNST chưa phân phối kỳ này]]/Table1[[#This Row],[TỔNG CỘNG TÀI SẢN]]</f>
        <v>#DIV/0!</v>
      </c>
      <c r="S954" s="21" t="e">
        <f>Table1[[#This Row],[5. Lợi nhuận gộp về bán hàng và cung cấp dịch vụ]]/Table1[[#This Row],[TỔNG CỘNG TÀI SẢN]]</f>
        <v>#DIV/0!</v>
      </c>
      <c r="T95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954" s="23" t="e">
        <f>Table1[[#This Row],[1. Doanh thu bán hàng và cung cấp dịch vụ ]]/Table1[[#This Row],[TỔNG CỘNG TÀI SẢN]]</f>
        <v>#DIV/0!</v>
      </c>
      <c r="V954" s="23" t="e">
        <f>1.2*Table1[[#This Row],[X1]] + 1.4*Table1[[#This Row],[X2]] + 3.3*Table1[[#This Row],[x3]] + 0.6*Table1[[#This Row],[x4]] + 1*Table1[[#This Row],[x5]]</f>
        <v>#DIV/0!</v>
      </c>
      <c r="W954" s="23" t="e">
        <f>IF(Table1[[#This Row],[Zscore]]&lt;1.81,1,0)</f>
        <v>#DIV/0!</v>
      </c>
    </row>
    <row r="955" spans="1:23" hidden="1" x14ac:dyDescent="0.45">
      <c r="A955" s="7">
        <v>949</v>
      </c>
      <c r="B955" s="5" t="s">
        <v>1910</v>
      </c>
      <c r="C955" s="6" t="s">
        <v>1911</v>
      </c>
      <c r="D955" s="6" t="s">
        <v>13</v>
      </c>
      <c r="E955" s="6"/>
      <c r="F955" s="6"/>
      <c r="G955" s="6"/>
      <c r="H955" s="6"/>
      <c r="I955" s="6"/>
      <c r="J955" s="8"/>
      <c r="K955" s="6"/>
      <c r="L955" s="6"/>
      <c r="M955" s="8"/>
      <c r="N955" s="8"/>
      <c r="O955" s="8"/>
      <c r="P955" s="8"/>
      <c r="Q955" s="18" t="e">
        <f>(Table1[[#This Row],[A. TÀI SẢN NGẮN HẠN]]-Table1[[#This Row],[I. Nợ ngắn hạn]])/Table1[[#This Row],[TỔNG CỘNG TÀI SẢN]]</f>
        <v>#DIV/0!</v>
      </c>
      <c r="R955" s="18" t="e">
        <f>Table1[[#This Row],[- LNST chưa phân phối kỳ này]]/Table1[[#This Row],[TỔNG CỘNG TÀI SẢN]]</f>
        <v>#DIV/0!</v>
      </c>
      <c r="S955" s="21" t="e">
        <f>Table1[[#This Row],[5. Lợi nhuận gộp về bán hàng và cung cấp dịch vụ]]/Table1[[#This Row],[TỔNG CỘNG TÀI SẢN]]</f>
        <v>#DIV/0!</v>
      </c>
      <c r="T95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955" s="23" t="e">
        <f>Table1[[#This Row],[1. Doanh thu bán hàng và cung cấp dịch vụ ]]/Table1[[#This Row],[TỔNG CỘNG TÀI SẢN]]</f>
        <v>#DIV/0!</v>
      </c>
      <c r="V955" s="23" t="e">
        <f>1.2*Table1[[#This Row],[X1]] + 1.4*Table1[[#This Row],[X2]] + 3.3*Table1[[#This Row],[x3]] + 0.6*Table1[[#This Row],[x4]] + 1*Table1[[#This Row],[x5]]</f>
        <v>#DIV/0!</v>
      </c>
      <c r="W955" s="23" t="e">
        <f>IF(Table1[[#This Row],[Zscore]]&lt;1.81,1,0)</f>
        <v>#DIV/0!</v>
      </c>
    </row>
    <row r="956" spans="1:23" hidden="1" x14ac:dyDescent="0.45">
      <c r="A956" s="7">
        <v>950</v>
      </c>
      <c r="B956" s="5" t="s">
        <v>1912</v>
      </c>
      <c r="C956" s="6" t="s">
        <v>1913</v>
      </c>
      <c r="D956" s="6" t="s">
        <v>18</v>
      </c>
      <c r="E956" s="8">
        <v>1166722642931</v>
      </c>
      <c r="F956" s="8">
        <v>735784121062</v>
      </c>
      <c r="G956" s="8">
        <v>698171097965</v>
      </c>
      <c r="H956" s="8">
        <v>45054263428</v>
      </c>
      <c r="I956" s="8">
        <v>343559497962</v>
      </c>
      <c r="J956" s="8"/>
      <c r="K956" s="8">
        <v>848460481161</v>
      </c>
      <c r="L956" s="8">
        <v>3372622175324</v>
      </c>
      <c r="M956" s="8"/>
      <c r="N956" s="8"/>
      <c r="O956" s="8"/>
      <c r="P956" s="8"/>
      <c r="Q956" s="18">
        <f>(Table1[[#This Row],[A. TÀI SẢN NGẮN HẠN]]-Table1[[#This Row],[I. Nợ ngắn hạn]])/Table1[[#This Row],[TỔNG CỘNG TÀI SẢN]]</f>
        <v>3.2238187306033485E-2</v>
      </c>
      <c r="R956" s="18">
        <f>Table1[[#This Row],[- LNST chưa phân phối kỳ này]]/Table1[[#This Row],[TỔNG CỘNG TÀI SẢN]]</f>
        <v>3.8616087294591497E-2</v>
      </c>
      <c r="S956" s="21">
        <f>Table1[[#This Row],[5. Lợi nhuận gộp về bán hàng và cung cấp dịch vụ]]/Table1[[#This Row],[TỔNG CỘNG TÀI SẢN]]</f>
        <v>0.29446544133138769</v>
      </c>
      <c r="T95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956" s="23">
        <f>Table1[[#This Row],[1. Doanh thu bán hàng và cung cấp dịch vụ ]]/Table1[[#This Row],[TỔNG CỘNG TÀI SẢN]]</f>
        <v>2.8906803135759978</v>
      </c>
      <c r="V956" s="23" t="e">
        <f>1.2*Table1[[#This Row],[X1]] + 1.4*Table1[[#This Row],[X2]] + 3.3*Table1[[#This Row],[x3]] + 0.6*Table1[[#This Row],[x4]] + 1*Table1[[#This Row],[x5]]</f>
        <v>#DIV/0!</v>
      </c>
      <c r="W956" s="23" t="e">
        <f>IF(Table1[[#This Row],[Zscore]]&lt;1.81,1,0)</f>
        <v>#DIV/0!</v>
      </c>
    </row>
    <row r="957" spans="1:23" hidden="1" x14ac:dyDescent="0.45">
      <c r="A957" s="7">
        <v>951</v>
      </c>
      <c r="B957" s="5" t="s">
        <v>1914</v>
      </c>
      <c r="C957" s="6" t="s">
        <v>1915</v>
      </c>
      <c r="D957" s="6" t="s">
        <v>13</v>
      </c>
      <c r="E957" s="6"/>
      <c r="F957" s="6"/>
      <c r="G957" s="6"/>
      <c r="H957" s="6"/>
      <c r="I957" s="6"/>
      <c r="J957" s="8"/>
      <c r="K957" s="6"/>
      <c r="L957" s="6"/>
      <c r="M957" s="8"/>
      <c r="N957" s="8"/>
      <c r="O957" s="8"/>
      <c r="P957" s="8"/>
      <c r="Q957" s="18" t="e">
        <f>(Table1[[#This Row],[A. TÀI SẢN NGẮN HẠN]]-Table1[[#This Row],[I. Nợ ngắn hạn]])/Table1[[#This Row],[TỔNG CỘNG TÀI SẢN]]</f>
        <v>#DIV/0!</v>
      </c>
      <c r="R957" s="18" t="e">
        <f>Table1[[#This Row],[- LNST chưa phân phối kỳ này]]/Table1[[#This Row],[TỔNG CỘNG TÀI SẢN]]</f>
        <v>#DIV/0!</v>
      </c>
      <c r="S957" s="21" t="e">
        <f>Table1[[#This Row],[5. Lợi nhuận gộp về bán hàng và cung cấp dịch vụ]]/Table1[[#This Row],[TỔNG CỘNG TÀI SẢN]]</f>
        <v>#DIV/0!</v>
      </c>
      <c r="T95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957" s="23" t="e">
        <f>Table1[[#This Row],[1. Doanh thu bán hàng và cung cấp dịch vụ ]]/Table1[[#This Row],[TỔNG CỘNG TÀI SẢN]]</f>
        <v>#DIV/0!</v>
      </c>
      <c r="V957" s="23" t="e">
        <f>1.2*Table1[[#This Row],[X1]] + 1.4*Table1[[#This Row],[X2]] + 3.3*Table1[[#This Row],[x3]] + 0.6*Table1[[#This Row],[x4]] + 1*Table1[[#This Row],[x5]]</f>
        <v>#DIV/0!</v>
      </c>
      <c r="W957" s="23" t="e">
        <f>IF(Table1[[#This Row],[Zscore]]&lt;1.81,1,0)</f>
        <v>#DIV/0!</v>
      </c>
    </row>
    <row r="958" spans="1:23" ht="26.25" x14ac:dyDescent="0.45">
      <c r="A958" s="7">
        <v>952</v>
      </c>
      <c r="B958" s="5" t="s">
        <v>1916</v>
      </c>
      <c r="C958" s="6" t="s">
        <v>1917</v>
      </c>
      <c r="D958" s="6" t="s">
        <v>18</v>
      </c>
      <c r="E958" s="8">
        <v>6913003144633</v>
      </c>
      <c r="F958" s="8">
        <v>5704711086445</v>
      </c>
      <c r="G958" s="8">
        <v>5048122058236</v>
      </c>
      <c r="H958" s="8">
        <v>46028250350</v>
      </c>
      <c r="I958" s="8">
        <v>133418331295</v>
      </c>
      <c r="J958" s="8"/>
      <c r="K958" s="8">
        <v>5268939333837</v>
      </c>
      <c r="L958" s="8">
        <v>3266301609342</v>
      </c>
      <c r="M958" s="8">
        <v>1452794400000</v>
      </c>
      <c r="N958" s="8">
        <v>1311746400000</v>
      </c>
      <c r="O958" s="8">
        <v>1382270400000</v>
      </c>
      <c r="P958" s="8">
        <v>1368165600000</v>
      </c>
      <c r="Q958" s="18">
        <f>(Table1[[#This Row],[A. TÀI SẢN NGẮN HẠN]]-Table1[[#This Row],[I. Nợ ngắn hạn]])/Table1[[#This Row],[TỔNG CỘNG TÀI SẢN]]</f>
        <v>9.4978841246260881E-2</v>
      </c>
      <c r="R958" s="18">
        <f>Table1[[#This Row],[- LNST chưa phân phối kỳ này]]/Table1[[#This Row],[TỔNG CỘNG TÀI SẢN]]</f>
        <v>6.6582134257720726E-3</v>
      </c>
      <c r="S958" s="21">
        <f>Table1[[#This Row],[5. Lợi nhuận gộp về bán hàng và cung cấp dịch vụ]]/Table1[[#This Row],[TỔNG CỘNG TÀI SẢN]]</f>
        <v>1.9299619644840036E-2</v>
      </c>
      <c r="T95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0.26167395611214167</v>
      </c>
      <c r="U958" s="23">
        <f>Table1[[#This Row],[1. Doanh thu bán hàng và cung cấp dịch vụ ]]/Table1[[#This Row],[TỔNG CỘNG TÀI SẢN]]</f>
        <v>0.47248663728409207</v>
      </c>
      <c r="V958" s="23">
        <f>1.2*Table1[[#This Row],[X1]] + 1.4*Table1[[#This Row],[X2]] + 3.3*Table1[[#This Row],[x3]] + 0.6*Table1[[#This Row],[x4]] + 1*Table1[[#This Row],[x5]]</f>
        <v>0.81647586407094308</v>
      </c>
      <c r="W958" s="23">
        <f>IF(Table1[[#This Row],[Zscore]]&lt;1.81,1,0)</f>
        <v>1</v>
      </c>
    </row>
    <row r="959" spans="1:23" hidden="1" x14ac:dyDescent="0.45">
      <c r="A959" s="7">
        <v>953</v>
      </c>
      <c r="B959" s="5" t="s">
        <v>1918</v>
      </c>
      <c r="C959" s="6" t="s">
        <v>1919</v>
      </c>
      <c r="D959" s="6" t="s">
        <v>13</v>
      </c>
      <c r="E959" s="6"/>
      <c r="F959" s="6"/>
      <c r="G959" s="6"/>
      <c r="H959" s="6"/>
      <c r="I959" s="6"/>
      <c r="J959" s="8"/>
      <c r="K959" s="6"/>
      <c r="L959" s="6"/>
      <c r="M959" s="8"/>
      <c r="N959" s="8"/>
      <c r="O959" s="8"/>
      <c r="P959" s="8"/>
      <c r="Q959" s="18" t="e">
        <f>(Table1[[#This Row],[A. TÀI SẢN NGẮN HẠN]]-Table1[[#This Row],[I. Nợ ngắn hạn]])/Table1[[#This Row],[TỔNG CỘNG TÀI SẢN]]</f>
        <v>#DIV/0!</v>
      </c>
      <c r="R959" s="18" t="e">
        <f>Table1[[#This Row],[- LNST chưa phân phối kỳ này]]/Table1[[#This Row],[TỔNG CỘNG TÀI SẢN]]</f>
        <v>#DIV/0!</v>
      </c>
      <c r="S959" s="21" t="e">
        <f>Table1[[#This Row],[5. Lợi nhuận gộp về bán hàng và cung cấp dịch vụ]]/Table1[[#This Row],[TỔNG CỘNG TÀI SẢN]]</f>
        <v>#DIV/0!</v>
      </c>
      <c r="T95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959" s="23" t="e">
        <f>Table1[[#This Row],[1. Doanh thu bán hàng và cung cấp dịch vụ ]]/Table1[[#This Row],[TỔNG CỘNG TÀI SẢN]]</f>
        <v>#DIV/0!</v>
      </c>
      <c r="V959" s="23" t="e">
        <f>1.2*Table1[[#This Row],[X1]] + 1.4*Table1[[#This Row],[X2]] + 3.3*Table1[[#This Row],[x3]] + 0.6*Table1[[#This Row],[x4]] + 1*Table1[[#This Row],[x5]]</f>
        <v>#DIV/0!</v>
      </c>
      <c r="W959" s="23" t="e">
        <f>IF(Table1[[#This Row],[Zscore]]&lt;1.81,1,0)</f>
        <v>#DIV/0!</v>
      </c>
    </row>
    <row r="960" spans="1:23" hidden="1" x14ac:dyDescent="0.45">
      <c r="A960" s="7">
        <v>954</v>
      </c>
      <c r="B960" s="5" t="s">
        <v>1920</v>
      </c>
      <c r="C960" s="6" t="s">
        <v>1921</v>
      </c>
      <c r="D960" s="6" t="s">
        <v>13</v>
      </c>
      <c r="E960" s="6"/>
      <c r="F960" s="6"/>
      <c r="G960" s="6"/>
      <c r="H960" s="6"/>
      <c r="I960" s="6"/>
      <c r="J960" s="8"/>
      <c r="K960" s="6"/>
      <c r="L960" s="6"/>
      <c r="M960" s="8"/>
      <c r="N960" s="8"/>
      <c r="O960" s="8"/>
      <c r="P960" s="8"/>
      <c r="Q960" s="18" t="e">
        <f>(Table1[[#This Row],[A. TÀI SẢN NGẮN HẠN]]-Table1[[#This Row],[I. Nợ ngắn hạn]])/Table1[[#This Row],[TỔNG CỘNG TÀI SẢN]]</f>
        <v>#DIV/0!</v>
      </c>
      <c r="R960" s="18" t="e">
        <f>Table1[[#This Row],[- LNST chưa phân phối kỳ này]]/Table1[[#This Row],[TỔNG CỘNG TÀI SẢN]]</f>
        <v>#DIV/0!</v>
      </c>
      <c r="S960" s="21" t="e">
        <f>Table1[[#This Row],[5. Lợi nhuận gộp về bán hàng và cung cấp dịch vụ]]/Table1[[#This Row],[TỔNG CỘNG TÀI SẢN]]</f>
        <v>#DIV/0!</v>
      </c>
      <c r="T96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960" s="23" t="e">
        <f>Table1[[#This Row],[1. Doanh thu bán hàng và cung cấp dịch vụ ]]/Table1[[#This Row],[TỔNG CỘNG TÀI SẢN]]</f>
        <v>#DIV/0!</v>
      </c>
      <c r="V960" s="23" t="e">
        <f>1.2*Table1[[#This Row],[X1]] + 1.4*Table1[[#This Row],[X2]] + 3.3*Table1[[#This Row],[x3]] + 0.6*Table1[[#This Row],[x4]] + 1*Table1[[#This Row],[x5]]</f>
        <v>#DIV/0!</v>
      </c>
      <c r="W960" s="23" t="e">
        <f>IF(Table1[[#This Row],[Zscore]]&lt;1.81,1,0)</f>
        <v>#DIV/0!</v>
      </c>
    </row>
    <row r="961" spans="1:23" hidden="1" x14ac:dyDescent="0.45">
      <c r="A961" s="7">
        <v>955</v>
      </c>
      <c r="B961" s="5" t="s">
        <v>1922</v>
      </c>
      <c r="C961" s="6" t="s">
        <v>1923</v>
      </c>
      <c r="D961" s="6" t="s">
        <v>13</v>
      </c>
      <c r="E961" s="6"/>
      <c r="F961" s="6"/>
      <c r="G961" s="6"/>
      <c r="H961" s="6"/>
      <c r="I961" s="6"/>
      <c r="J961" s="8"/>
      <c r="K961" s="6"/>
      <c r="L961" s="6"/>
      <c r="M961" s="8"/>
      <c r="N961" s="8"/>
      <c r="O961" s="8"/>
      <c r="P961" s="8"/>
      <c r="Q961" s="18" t="e">
        <f>(Table1[[#This Row],[A. TÀI SẢN NGẮN HẠN]]-Table1[[#This Row],[I. Nợ ngắn hạn]])/Table1[[#This Row],[TỔNG CỘNG TÀI SẢN]]</f>
        <v>#DIV/0!</v>
      </c>
      <c r="R961" s="18" t="e">
        <f>Table1[[#This Row],[- LNST chưa phân phối kỳ này]]/Table1[[#This Row],[TỔNG CỘNG TÀI SẢN]]</f>
        <v>#DIV/0!</v>
      </c>
      <c r="S961" s="21" t="e">
        <f>Table1[[#This Row],[5. Lợi nhuận gộp về bán hàng và cung cấp dịch vụ]]/Table1[[#This Row],[TỔNG CỘNG TÀI SẢN]]</f>
        <v>#DIV/0!</v>
      </c>
      <c r="T96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961" s="23" t="e">
        <f>Table1[[#This Row],[1. Doanh thu bán hàng và cung cấp dịch vụ ]]/Table1[[#This Row],[TỔNG CỘNG TÀI SẢN]]</f>
        <v>#DIV/0!</v>
      </c>
      <c r="V961" s="23" t="e">
        <f>1.2*Table1[[#This Row],[X1]] + 1.4*Table1[[#This Row],[X2]] + 3.3*Table1[[#This Row],[x3]] + 0.6*Table1[[#This Row],[x4]] + 1*Table1[[#This Row],[x5]]</f>
        <v>#DIV/0!</v>
      </c>
      <c r="W961" s="23" t="e">
        <f>IF(Table1[[#This Row],[Zscore]]&lt;1.81,1,0)</f>
        <v>#DIV/0!</v>
      </c>
    </row>
    <row r="962" spans="1:23" ht="26.25" hidden="1" x14ac:dyDescent="0.45">
      <c r="A962" s="7">
        <v>956</v>
      </c>
      <c r="B962" s="5" t="s">
        <v>1924</v>
      </c>
      <c r="C962" s="6" t="s">
        <v>1925</v>
      </c>
      <c r="D962" s="6" t="s">
        <v>13</v>
      </c>
      <c r="E962" s="6"/>
      <c r="F962" s="6"/>
      <c r="G962" s="6"/>
      <c r="H962" s="6"/>
      <c r="I962" s="6"/>
      <c r="J962" s="8"/>
      <c r="K962" s="6"/>
      <c r="L962" s="6"/>
      <c r="M962" s="8"/>
      <c r="N962" s="8"/>
      <c r="O962" s="8"/>
      <c r="P962" s="8"/>
      <c r="Q962" s="18" t="e">
        <f>(Table1[[#This Row],[A. TÀI SẢN NGẮN HẠN]]-Table1[[#This Row],[I. Nợ ngắn hạn]])/Table1[[#This Row],[TỔNG CỘNG TÀI SẢN]]</f>
        <v>#DIV/0!</v>
      </c>
      <c r="R962" s="18" t="e">
        <f>Table1[[#This Row],[- LNST chưa phân phối kỳ này]]/Table1[[#This Row],[TỔNG CỘNG TÀI SẢN]]</f>
        <v>#DIV/0!</v>
      </c>
      <c r="S962" s="21" t="e">
        <f>Table1[[#This Row],[5. Lợi nhuận gộp về bán hàng và cung cấp dịch vụ]]/Table1[[#This Row],[TỔNG CỘNG TÀI SẢN]]</f>
        <v>#DIV/0!</v>
      </c>
      <c r="T96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962" s="23" t="e">
        <f>Table1[[#This Row],[1. Doanh thu bán hàng và cung cấp dịch vụ ]]/Table1[[#This Row],[TỔNG CỘNG TÀI SẢN]]</f>
        <v>#DIV/0!</v>
      </c>
      <c r="V962" s="23" t="e">
        <f>1.2*Table1[[#This Row],[X1]] + 1.4*Table1[[#This Row],[X2]] + 3.3*Table1[[#This Row],[x3]] + 0.6*Table1[[#This Row],[x4]] + 1*Table1[[#This Row],[x5]]</f>
        <v>#DIV/0!</v>
      </c>
      <c r="W962" s="23" t="e">
        <f>IF(Table1[[#This Row],[Zscore]]&lt;1.81,1,0)</f>
        <v>#DIV/0!</v>
      </c>
    </row>
    <row r="963" spans="1:23" ht="26.25" hidden="1" x14ac:dyDescent="0.45">
      <c r="A963" s="7">
        <v>957</v>
      </c>
      <c r="B963" s="5" t="s">
        <v>1926</v>
      </c>
      <c r="C963" s="6" t="s">
        <v>1927</v>
      </c>
      <c r="D963" s="6" t="s">
        <v>13</v>
      </c>
      <c r="E963" s="6"/>
      <c r="F963" s="6"/>
      <c r="G963" s="6"/>
      <c r="H963" s="6"/>
      <c r="I963" s="6"/>
      <c r="J963" s="8"/>
      <c r="K963" s="6"/>
      <c r="L963" s="6"/>
      <c r="M963" s="8"/>
      <c r="N963" s="8"/>
      <c r="O963" s="8"/>
      <c r="P963" s="8"/>
      <c r="Q963" s="18" t="e">
        <f>(Table1[[#This Row],[A. TÀI SẢN NGẮN HẠN]]-Table1[[#This Row],[I. Nợ ngắn hạn]])/Table1[[#This Row],[TỔNG CỘNG TÀI SẢN]]</f>
        <v>#DIV/0!</v>
      </c>
      <c r="R963" s="18" t="e">
        <f>Table1[[#This Row],[- LNST chưa phân phối kỳ này]]/Table1[[#This Row],[TỔNG CỘNG TÀI SẢN]]</f>
        <v>#DIV/0!</v>
      </c>
      <c r="S963" s="21" t="e">
        <f>Table1[[#This Row],[5. Lợi nhuận gộp về bán hàng và cung cấp dịch vụ]]/Table1[[#This Row],[TỔNG CỘNG TÀI SẢN]]</f>
        <v>#DIV/0!</v>
      </c>
      <c r="T96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963" s="23" t="e">
        <f>Table1[[#This Row],[1. Doanh thu bán hàng và cung cấp dịch vụ ]]/Table1[[#This Row],[TỔNG CỘNG TÀI SẢN]]</f>
        <v>#DIV/0!</v>
      </c>
      <c r="V963" s="23" t="e">
        <f>1.2*Table1[[#This Row],[X1]] + 1.4*Table1[[#This Row],[X2]] + 3.3*Table1[[#This Row],[x3]] + 0.6*Table1[[#This Row],[x4]] + 1*Table1[[#This Row],[x5]]</f>
        <v>#DIV/0!</v>
      </c>
      <c r="W963" s="23" t="e">
        <f>IF(Table1[[#This Row],[Zscore]]&lt;1.81,1,0)</f>
        <v>#DIV/0!</v>
      </c>
    </row>
    <row r="964" spans="1:23" hidden="1" x14ac:dyDescent="0.45">
      <c r="A964" s="7">
        <v>958</v>
      </c>
      <c r="B964" s="5" t="s">
        <v>1928</v>
      </c>
      <c r="C964" s="6" t="s">
        <v>1929</v>
      </c>
      <c r="D964" s="6" t="s">
        <v>13</v>
      </c>
      <c r="E964" s="6"/>
      <c r="F964" s="6"/>
      <c r="G964" s="6"/>
      <c r="H964" s="6"/>
      <c r="I964" s="6"/>
      <c r="J964" s="8"/>
      <c r="K964" s="6"/>
      <c r="L964" s="6"/>
      <c r="M964" s="8"/>
      <c r="N964" s="8"/>
      <c r="O964" s="8"/>
      <c r="P964" s="8"/>
      <c r="Q964" s="18" t="e">
        <f>(Table1[[#This Row],[A. TÀI SẢN NGẮN HẠN]]-Table1[[#This Row],[I. Nợ ngắn hạn]])/Table1[[#This Row],[TỔNG CỘNG TÀI SẢN]]</f>
        <v>#DIV/0!</v>
      </c>
      <c r="R964" s="18" t="e">
        <f>Table1[[#This Row],[- LNST chưa phân phối kỳ này]]/Table1[[#This Row],[TỔNG CỘNG TÀI SẢN]]</f>
        <v>#DIV/0!</v>
      </c>
      <c r="S964" s="21" t="e">
        <f>Table1[[#This Row],[5. Lợi nhuận gộp về bán hàng và cung cấp dịch vụ]]/Table1[[#This Row],[TỔNG CỘNG TÀI SẢN]]</f>
        <v>#DIV/0!</v>
      </c>
      <c r="T96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964" s="23" t="e">
        <f>Table1[[#This Row],[1. Doanh thu bán hàng và cung cấp dịch vụ ]]/Table1[[#This Row],[TỔNG CỘNG TÀI SẢN]]</f>
        <v>#DIV/0!</v>
      </c>
      <c r="V964" s="23" t="e">
        <f>1.2*Table1[[#This Row],[X1]] + 1.4*Table1[[#This Row],[X2]] + 3.3*Table1[[#This Row],[x3]] + 0.6*Table1[[#This Row],[x4]] + 1*Table1[[#This Row],[x5]]</f>
        <v>#DIV/0!</v>
      </c>
      <c r="W964" s="23" t="e">
        <f>IF(Table1[[#This Row],[Zscore]]&lt;1.81,1,0)</f>
        <v>#DIV/0!</v>
      </c>
    </row>
    <row r="965" spans="1:23" ht="26.25" hidden="1" x14ac:dyDescent="0.45">
      <c r="A965" s="7">
        <v>959</v>
      </c>
      <c r="B965" s="5" t="s">
        <v>1930</v>
      </c>
      <c r="C965" s="6" t="s">
        <v>1931</v>
      </c>
      <c r="D965" s="6" t="s">
        <v>13</v>
      </c>
      <c r="E965" s="6"/>
      <c r="F965" s="6"/>
      <c r="G965" s="6"/>
      <c r="H965" s="6"/>
      <c r="I965" s="6"/>
      <c r="J965" s="8"/>
      <c r="K965" s="6"/>
      <c r="L965" s="6"/>
      <c r="M965" s="8"/>
      <c r="N965" s="8"/>
      <c r="O965" s="8"/>
      <c r="P965" s="8"/>
      <c r="Q965" s="18" t="e">
        <f>(Table1[[#This Row],[A. TÀI SẢN NGẮN HẠN]]-Table1[[#This Row],[I. Nợ ngắn hạn]])/Table1[[#This Row],[TỔNG CỘNG TÀI SẢN]]</f>
        <v>#DIV/0!</v>
      </c>
      <c r="R965" s="18" t="e">
        <f>Table1[[#This Row],[- LNST chưa phân phối kỳ này]]/Table1[[#This Row],[TỔNG CỘNG TÀI SẢN]]</f>
        <v>#DIV/0!</v>
      </c>
      <c r="S965" s="21" t="e">
        <f>Table1[[#This Row],[5. Lợi nhuận gộp về bán hàng và cung cấp dịch vụ]]/Table1[[#This Row],[TỔNG CỘNG TÀI SẢN]]</f>
        <v>#DIV/0!</v>
      </c>
      <c r="T96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965" s="23" t="e">
        <f>Table1[[#This Row],[1. Doanh thu bán hàng và cung cấp dịch vụ ]]/Table1[[#This Row],[TỔNG CỘNG TÀI SẢN]]</f>
        <v>#DIV/0!</v>
      </c>
      <c r="V965" s="23" t="e">
        <f>1.2*Table1[[#This Row],[X1]] + 1.4*Table1[[#This Row],[X2]] + 3.3*Table1[[#This Row],[x3]] + 0.6*Table1[[#This Row],[x4]] + 1*Table1[[#This Row],[x5]]</f>
        <v>#DIV/0!</v>
      </c>
      <c r="W965" s="23" t="e">
        <f>IF(Table1[[#This Row],[Zscore]]&lt;1.81,1,0)</f>
        <v>#DIV/0!</v>
      </c>
    </row>
    <row r="966" spans="1:23" ht="26.25" hidden="1" x14ac:dyDescent="0.45">
      <c r="A966" s="7">
        <v>960</v>
      </c>
      <c r="B966" s="5" t="s">
        <v>1932</v>
      </c>
      <c r="C966" s="6" t="s">
        <v>1933</v>
      </c>
      <c r="D966" s="6" t="s">
        <v>13</v>
      </c>
      <c r="E966" s="6"/>
      <c r="F966" s="6"/>
      <c r="G966" s="6"/>
      <c r="H966" s="6"/>
      <c r="I966" s="6"/>
      <c r="J966" s="8"/>
      <c r="K966" s="6"/>
      <c r="L966" s="6"/>
      <c r="M966" s="8"/>
      <c r="N966" s="8"/>
      <c r="O966" s="8"/>
      <c r="P966" s="8"/>
      <c r="Q966" s="18" t="e">
        <f>(Table1[[#This Row],[A. TÀI SẢN NGẮN HẠN]]-Table1[[#This Row],[I. Nợ ngắn hạn]])/Table1[[#This Row],[TỔNG CỘNG TÀI SẢN]]</f>
        <v>#DIV/0!</v>
      </c>
      <c r="R966" s="18" t="e">
        <f>Table1[[#This Row],[- LNST chưa phân phối kỳ này]]/Table1[[#This Row],[TỔNG CỘNG TÀI SẢN]]</f>
        <v>#DIV/0!</v>
      </c>
      <c r="S966" s="21" t="e">
        <f>Table1[[#This Row],[5. Lợi nhuận gộp về bán hàng và cung cấp dịch vụ]]/Table1[[#This Row],[TỔNG CỘNG TÀI SẢN]]</f>
        <v>#DIV/0!</v>
      </c>
      <c r="T96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966" s="23" t="e">
        <f>Table1[[#This Row],[1. Doanh thu bán hàng và cung cấp dịch vụ ]]/Table1[[#This Row],[TỔNG CỘNG TÀI SẢN]]</f>
        <v>#DIV/0!</v>
      </c>
      <c r="V966" s="23" t="e">
        <f>1.2*Table1[[#This Row],[X1]] + 1.4*Table1[[#This Row],[X2]] + 3.3*Table1[[#This Row],[x3]] + 0.6*Table1[[#This Row],[x4]] + 1*Table1[[#This Row],[x5]]</f>
        <v>#DIV/0!</v>
      </c>
      <c r="W966" s="23" t="e">
        <f>IF(Table1[[#This Row],[Zscore]]&lt;1.81,1,0)</f>
        <v>#DIV/0!</v>
      </c>
    </row>
    <row r="967" spans="1:23" x14ac:dyDescent="0.45">
      <c r="A967" s="7">
        <v>961</v>
      </c>
      <c r="B967" s="5" t="s">
        <v>1934</v>
      </c>
      <c r="C967" s="6" t="s">
        <v>1935</v>
      </c>
      <c r="D967" s="6" t="s">
        <v>21</v>
      </c>
      <c r="E967" s="8">
        <v>1254938167924</v>
      </c>
      <c r="F967" s="8">
        <v>787319660452</v>
      </c>
      <c r="G967" s="8">
        <v>90213525752</v>
      </c>
      <c r="H967" s="8">
        <v>-138109366282</v>
      </c>
      <c r="I967" s="8">
        <v>85178079859</v>
      </c>
      <c r="J967" s="8"/>
      <c r="K967" s="8">
        <v>90213525752</v>
      </c>
      <c r="L967" s="8">
        <v>563929206992</v>
      </c>
      <c r="M967" s="8">
        <v>569134009260</v>
      </c>
      <c r="N967" s="8">
        <v>810988227620</v>
      </c>
      <c r="O967" s="8">
        <v>676748042200</v>
      </c>
      <c r="P967" s="8">
        <v>763283037760</v>
      </c>
      <c r="Q967" s="18">
        <f>(Table1[[#This Row],[A. TÀI SẢN NGẮN HẠN]]-Table1[[#This Row],[I. Nợ ngắn hạn]])/Table1[[#This Row],[TỔNG CỘNG TÀI SẢN]]</f>
        <v>0.55549042376581637</v>
      </c>
      <c r="R967" s="18">
        <f>Table1[[#This Row],[- LNST chưa phân phối kỳ này]]/Table1[[#This Row],[TỔNG CỘNG TÀI SẢN]]</f>
        <v>-0.11005272595260168</v>
      </c>
      <c r="S967" s="21">
        <f>Table1[[#This Row],[5. Lợi nhuận gộp về bán hàng và cung cấp dịch vụ]]/Table1[[#This Row],[TỔNG CỘNG TÀI SẢN]]</f>
        <v>6.7874324039332634E-2</v>
      </c>
      <c r="T96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7.8152175445195873</v>
      </c>
      <c r="U967" s="23">
        <f>Table1[[#This Row],[1. Doanh thu bán hàng và cung cấp dịch vụ ]]/Table1[[#This Row],[TỔNG CỘNG TÀI SẢN]]</f>
        <v>0.44936812139907117</v>
      </c>
      <c r="V967" s="23">
        <f>1.2*Table1[[#This Row],[X1]] + 1.4*Table1[[#This Row],[X2]] + 3.3*Table1[[#This Row],[x3]] + 0.6*Table1[[#This Row],[x4]] + 1*Table1[[#This Row],[x5]]</f>
        <v>5.8749986096259583</v>
      </c>
      <c r="W967" s="23">
        <f>IF(Table1[[#This Row],[Zscore]]&lt;1.81,1,0)</f>
        <v>0</v>
      </c>
    </row>
    <row r="968" spans="1:23" ht="26.25" hidden="1" x14ac:dyDescent="0.45">
      <c r="A968" s="7">
        <v>962</v>
      </c>
      <c r="B968" s="5" t="s">
        <v>1936</v>
      </c>
      <c r="C968" s="6" t="s">
        <v>1937</v>
      </c>
      <c r="D968" s="6" t="s">
        <v>13</v>
      </c>
      <c r="E968" s="6"/>
      <c r="F968" s="6"/>
      <c r="G968" s="6"/>
      <c r="H968" s="6"/>
      <c r="I968" s="6"/>
      <c r="J968" s="8"/>
      <c r="K968" s="6"/>
      <c r="L968" s="6"/>
      <c r="M968" s="8"/>
      <c r="N968" s="8"/>
      <c r="O968" s="8"/>
      <c r="P968" s="8"/>
      <c r="Q968" s="18" t="e">
        <f>(Table1[[#This Row],[A. TÀI SẢN NGẮN HẠN]]-Table1[[#This Row],[I. Nợ ngắn hạn]])/Table1[[#This Row],[TỔNG CỘNG TÀI SẢN]]</f>
        <v>#DIV/0!</v>
      </c>
      <c r="R968" s="18" t="e">
        <f>Table1[[#This Row],[- LNST chưa phân phối kỳ này]]/Table1[[#This Row],[TỔNG CỘNG TÀI SẢN]]</f>
        <v>#DIV/0!</v>
      </c>
      <c r="S968" s="21" t="e">
        <f>Table1[[#This Row],[5. Lợi nhuận gộp về bán hàng và cung cấp dịch vụ]]/Table1[[#This Row],[TỔNG CỘNG TÀI SẢN]]</f>
        <v>#DIV/0!</v>
      </c>
      <c r="T96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968" s="23" t="e">
        <f>Table1[[#This Row],[1. Doanh thu bán hàng và cung cấp dịch vụ ]]/Table1[[#This Row],[TỔNG CỘNG TÀI SẢN]]</f>
        <v>#DIV/0!</v>
      </c>
      <c r="V968" s="23" t="e">
        <f>1.2*Table1[[#This Row],[X1]] + 1.4*Table1[[#This Row],[X2]] + 3.3*Table1[[#This Row],[x3]] + 0.6*Table1[[#This Row],[x4]] + 1*Table1[[#This Row],[x5]]</f>
        <v>#DIV/0!</v>
      </c>
      <c r="W968" s="23" t="e">
        <f>IF(Table1[[#This Row],[Zscore]]&lt;1.81,1,0)</f>
        <v>#DIV/0!</v>
      </c>
    </row>
    <row r="969" spans="1:23" hidden="1" x14ac:dyDescent="0.45">
      <c r="A969" s="7">
        <v>963</v>
      </c>
      <c r="B969" s="5" t="s">
        <v>1938</v>
      </c>
      <c r="C969" s="6" t="s">
        <v>1939</v>
      </c>
      <c r="D969" s="6" t="s">
        <v>13</v>
      </c>
      <c r="E969" s="6"/>
      <c r="F969" s="6"/>
      <c r="G969" s="6"/>
      <c r="H969" s="6"/>
      <c r="I969" s="6"/>
      <c r="J969" s="8"/>
      <c r="K969" s="6"/>
      <c r="L969" s="6"/>
      <c r="M969" s="8"/>
      <c r="N969" s="8"/>
      <c r="O969" s="8"/>
      <c r="P969" s="8"/>
      <c r="Q969" s="18" t="e">
        <f>(Table1[[#This Row],[A. TÀI SẢN NGẮN HẠN]]-Table1[[#This Row],[I. Nợ ngắn hạn]])/Table1[[#This Row],[TỔNG CỘNG TÀI SẢN]]</f>
        <v>#DIV/0!</v>
      </c>
      <c r="R969" s="18" t="e">
        <f>Table1[[#This Row],[- LNST chưa phân phối kỳ này]]/Table1[[#This Row],[TỔNG CỘNG TÀI SẢN]]</f>
        <v>#DIV/0!</v>
      </c>
      <c r="S969" s="21" t="e">
        <f>Table1[[#This Row],[5. Lợi nhuận gộp về bán hàng và cung cấp dịch vụ]]/Table1[[#This Row],[TỔNG CỘNG TÀI SẢN]]</f>
        <v>#DIV/0!</v>
      </c>
      <c r="T96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969" s="23" t="e">
        <f>Table1[[#This Row],[1. Doanh thu bán hàng và cung cấp dịch vụ ]]/Table1[[#This Row],[TỔNG CỘNG TÀI SẢN]]</f>
        <v>#DIV/0!</v>
      </c>
      <c r="V969" s="23" t="e">
        <f>1.2*Table1[[#This Row],[X1]] + 1.4*Table1[[#This Row],[X2]] + 3.3*Table1[[#This Row],[x3]] + 0.6*Table1[[#This Row],[x4]] + 1*Table1[[#This Row],[x5]]</f>
        <v>#DIV/0!</v>
      </c>
      <c r="W969" s="23" t="e">
        <f>IF(Table1[[#This Row],[Zscore]]&lt;1.81,1,0)</f>
        <v>#DIV/0!</v>
      </c>
    </row>
    <row r="970" spans="1:23" ht="26.25" hidden="1" x14ac:dyDescent="0.45">
      <c r="A970" s="7">
        <v>964</v>
      </c>
      <c r="B970" s="5" t="s">
        <v>1940</v>
      </c>
      <c r="C970" s="6" t="s">
        <v>1941</v>
      </c>
      <c r="D970" s="6" t="s">
        <v>13</v>
      </c>
      <c r="E970" s="6"/>
      <c r="F970" s="6"/>
      <c r="G970" s="6"/>
      <c r="H970" s="6"/>
      <c r="I970" s="6"/>
      <c r="J970" s="8"/>
      <c r="K970" s="6"/>
      <c r="L970" s="6"/>
      <c r="M970" s="8"/>
      <c r="N970" s="8"/>
      <c r="O970" s="8"/>
      <c r="P970" s="8"/>
      <c r="Q970" s="18" t="e">
        <f>(Table1[[#This Row],[A. TÀI SẢN NGẮN HẠN]]-Table1[[#This Row],[I. Nợ ngắn hạn]])/Table1[[#This Row],[TỔNG CỘNG TÀI SẢN]]</f>
        <v>#DIV/0!</v>
      </c>
      <c r="R970" s="18" t="e">
        <f>Table1[[#This Row],[- LNST chưa phân phối kỳ này]]/Table1[[#This Row],[TỔNG CỘNG TÀI SẢN]]</f>
        <v>#DIV/0!</v>
      </c>
      <c r="S970" s="21" t="e">
        <f>Table1[[#This Row],[5. Lợi nhuận gộp về bán hàng và cung cấp dịch vụ]]/Table1[[#This Row],[TỔNG CỘNG TÀI SẢN]]</f>
        <v>#DIV/0!</v>
      </c>
      <c r="T97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970" s="23" t="e">
        <f>Table1[[#This Row],[1. Doanh thu bán hàng và cung cấp dịch vụ ]]/Table1[[#This Row],[TỔNG CỘNG TÀI SẢN]]</f>
        <v>#DIV/0!</v>
      </c>
      <c r="V970" s="23" t="e">
        <f>1.2*Table1[[#This Row],[X1]] + 1.4*Table1[[#This Row],[X2]] + 3.3*Table1[[#This Row],[x3]] + 0.6*Table1[[#This Row],[x4]] + 1*Table1[[#This Row],[x5]]</f>
        <v>#DIV/0!</v>
      </c>
      <c r="W970" s="23" t="e">
        <f>IF(Table1[[#This Row],[Zscore]]&lt;1.81,1,0)</f>
        <v>#DIV/0!</v>
      </c>
    </row>
    <row r="971" spans="1:23" ht="26.25" x14ac:dyDescent="0.45">
      <c r="A971" s="7">
        <v>965</v>
      </c>
      <c r="B971" s="5" t="s">
        <v>1942</v>
      </c>
      <c r="C971" s="6" t="s">
        <v>1943</v>
      </c>
      <c r="D971" s="6" t="s">
        <v>21</v>
      </c>
      <c r="E971" s="8">
        <v>1096763453483</v>
      </c>
      <c r="F971" s="8">
        <v>338965090373</v>
      </c>
      <c r="G971" s="8">
        <v>3075711418</v>
      </c>
      <c r="H971" s="8">
        <v>17149502928</v>
      </c>
      <c r="I971" s="8">
        <v>10708200583</v>
      </c>
      <c r="J971" s="8"/>
      <c r="K971" s="8">
        <v>3075711418</v>
      </c>
      <c r="L971" s="8">
        <v>16534995451</v>
      </c>
      <c r="M971" s="8">
        <v>339678519500</v>
      </c>
      <c r="N971" s="8">
        <v>376038473700</v>
      </c>
      <c r="O971" s="8">
        <v>314800656100</v>
      </c>
      <c r="P971" s="8">
        <v>469808881900</v>
      </c>
      <c r="Q971" s="18">
        <f>(Table1[[#This Row],[A. TÀI SẢN NGẮN HẠN]]-Table1[[#This Row],[I. Nợ ngắn hạn]])/Table1[[#This Row],[TỔNG CỘNG TÀI SẢN]]</f>
        <v>0.30625507978800126</v>
      </c>
      <c r="R971" s="18">
        <f>Table1[[#This Row],[- LNST chưa phân phối kỳ này]]/Table1[[#This Row],[TỔNG CỘNG TÀI SẢN]]</f>
        <v>1.563646461188891E-2</v>
      </c>
      <c r="S971" s="21">
        <f>Table1[[#This Row],[5. Lợi nhuận gộp về bán hàng và cung cấp dịch vụ]]/Table1[[#This Row],[TỔNG CỘNG TÀI SẢN]]</f>
        <v>9.7634549628672317E-3</v>
      </c>
      <c r="T97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121.94955307084665</v>
      </c>
      <c r="U971" s="23">
        <f>Table1[[#This Row],[1. Doanh thu bán hàng và cung cấp dịch vụ ]]/Table1[[#This Row],[TỔNG CỘNG TÀI SẢN]]</f>
        <v>1.5076172896251867E-2</v>
      </c>
      <c r="V971" s="23">
        <f>1.2*Table1[[#This Row],[X1]] + 1.4*Table1[[#This Row],[X2]] + 3.3*Table1[[#This Row],[x3]] + 0.6*Table1[[#This Row],[x4]] + 1*Table1[[#This Row],[x5]]</f>
        <v>73.606424562983946</v>
      </c>
      <c r="W971" s="23">
        <f>IF(Table1[[#This Row],[Zscore]]&lt;1.81,1,0)</f>
        <v>0</v>
      </c>
    </row>
    <row r="972" spans="1:23" ht="26.25" hidden="1" x14ac:dyDescent="0.45">
      <c r="A972" s="7">
        <v>966</v>
      </c>
      <c r="B972" s="5" t="s">
        <v>1944</v>
      </c>
      <c r="C972" s="6" t="s">
        <v>1945</v>
      </c>
      <c r="D972" s="6" t="s">
        <v>13</v>
      </c>
      <c r="E972" s="6"/>
      <c r="F972" s="6"/>
      <c r="G972" s="6"/>
      <c r="H972" s="6"/>
      <c r="I972" s="6"/>
      <c r="J972" s="8"/>
      <c r="K972" s="6"/>
      <c r="L972" s="6"/>
      <c r="M972" s="8"/>
      <c r="N972" s="8"/>
      <c r="O972" s="8"/>
      <c r="P972" s="8"/>
      <c r="Q972" s="18" t="e">
        <f>(Table1[[#This Row],[A. TÀI SẢN NGẮN HẠN]]-Table1[[#This Row],[I. Nợ ngắn hạn]])/Table1[[#This Row],[TỔNG CỘNG TÀI SẢN]]</f>
        <v>#DIV/0!</v>
      </c>
      <c r="R972" s="18" t="e">
        <f>Table1[[#This Row],[- LNST chưa phân phối kỳ này]]/Table1[[#This Row],[TỔNG CỘNG TÀI SẢN]]</f>
        <v>#DIV/0!</v>
      </c>
      <c r="S972" s="21" t="e">
        <f>Table1[[#This Row],[5. Lợi nhuận gộp về bán hàng và cung cấp dịch vụ]]/Table1[[#This Row],[TỔNG CỘNG TÀI SẢN]]</f>
        <v>#DIV/0!</v>
      </c>
      <c r="T97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972" s="23" t="e">
        <f>Table1[[#This Row],[1. Doanh thu bán hàng và cung cấp dịch vụ ]]/Table1[[#This Row],[TỔNG CỘNG TÀI SẢN]]</f>
        <v>#DIV/0!</v>
      </c>
      <c r="V972" s="23" t="e">
        <f>1.2*Table1[[#This Row],[X1]] + 1.4*Table1[[#This Row],[X2]] + 3.3*Table1[[#This Row],[x3]] + 0.6*Table1[[#This Row],[x4]] + 1*Table1[[#This Row],[x5]]</f>
        <v>#DIV/0!</v>
      </c>
      <c r="W972" s="23" t="e">
        <f>IF(Table1[[#This Row],[Zscore]]&lt;1.81,1,0)</f>
        <v>#DIV/0!</v>
      </c>
    </row>
    <row r="973" spans="1:23" hidden="1" x14ac:dyDescent="0.45">
      <c r="A973" s="7">
        <v>967</v>
      </c>
      <c r="B973" s="5" t="s">
        <v>1946</v>
      </c>
      <c r="C973" s="6" t="s">
        <v>1947</v>
      </c>
      <c r="D973" s="6" t="s">
        <v>13</v>
      </c>
      <c r="E973" s="6"/>
      <c r="F973" s="6"/>
      <c r="G973" s="6"/>
      <c r="H973" s="6"/>
      <c r="I973" s="6"/>
      <c r="J973" s="8"/>
      <c r="K973" s="6"/>
      <c r="L973" s="6"/>
      <c r="M973" s="8"/>
      <c r="N973" s="8"/>
      <c r="O973" s="8"/>
      <c r="P973" s="8"/>
      <c r="Q973" s="18" t="e">
        <f>(Table1[[#This Row],[A. TÀI SẢN NGẮN HẠN]]-Table1[[#This Row],[I. Nợ ngắn hạn]])/Table1[[#This Row],[TỔNG CỘNG TÀI SẢN]]</f>
        <v>#DIV/0!</v>
      </c>
      <c r="R973" s="18" t="e">
        <f>Table1[[#This Row],[- LNST chưa phân phối kỳ này]]/Table1[[#This Row],[TỔNG CỘNG TÀI SẢN]]</f>
        <v>#DIV/0!</v>
      </c>
      <c r="S973" s="21" t="e">
        <f>Table1[[#This Row],[5. Lợi nhuận gộp về bán hàng và cung cấp dịch vụ]]/Table1[[#This Row],[TỔNG CỘNG TÀI SẢN]]</f>
        <v>#DIV/0!</v>
      </c>
      <c r="T97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973" s="23" t="e">
        <f>Table1[[#This Row],[1. Doanh thu bán hàng và cung cấp dịch vụ ]]/Table1[[#This Row],[TỔNG CỘNG TÀI SẢN]]</f>
        <v>#DIV/0!</v>
      </c>
      <c r="V973" s="23" t="e">
        <f>1.2*Table1[[#This Row],[X1]] + 1.4*Table1[[#This Row],[X2]] + 3.3*Table1[[#This Row],[x3]] + 0.6*Table1[[#This Row],[x4]] + 1*Table1[[#This Row],[x5]]</f>
        <v>#DIV/0!</v>
      </c>
      <c r="W973" s="23" t="e">
        <f>IF(Table1[[#This Row],[Zscore]]&lt;1.81,1,0)</f>
        <v>#DIV/0!</v>
      </c>
    </row>
    <row r="974" spans="1:23" x14ac:dyDescent="0.45">
      <c r="A974" s="7">
        <v>968</v>
      </c>
      <c r="B974" s="5" t="s">
        <v>1948</v>
      </c>
      <c r="C974" s="6" t="s">
        <v>1949</v>
      </c>
      <c r="D974" s="6" t="s">
        <v>21</v>
      </c>
      <c r="E974" s="8">
        <v>172324772806</v>
      </c>
      <c r="F974" s="8">
        <v>150242650207</v>
      </c>
      <c r="G974" s="8">
        <v>46883963020</v>
      </c>
      <c r="H974" s="8">
        <v>-3092530139</v>
      </c>
      <c r="I974" s="8">
        <v>4130686359</v>
      </c>
      <c r="J974" s="8"/>
      <c r="K974" s="8">
        <v>47748251670</v>
      </c>
      <c r="L974" s="8">
        <v>56955123207</v>
      </c>
      <c r="M974" s="8">
        <v>63570000000</v>
      </c>
      <c r="N974" s="8">
        <v>63960000000</v>
      </c>
      <c r="O974" s="8">
        <v>58500000000</v>
      </c>
      <c r="P974" s="8">
        <v>66924000000</v>
      </c>
      <c r="Q974" s="18">
        <f>(Table1[[#This Row],[A. TÀI SẢN NGẮN HẠN]]-Table1[[#This Row],[I. Nợ ngắn hạn]])/Table1[[#This Row],[TỔNG CỘNG TÀI SẢN]]</f>
        <v>0.59979006792807021</v>
      </c>
      <c r="R974" s="18">
        <f>Table1[[#This Row],[- LNST chưa phân phối kỳ này]]/Table1[[#This Row],[TỔNG CỘNG TÀI SẢN]]</f>
        <v>-1.7945940613434103E-2</v>
      </c>
      <c r="S974" s="21">
        <f>Table1[[#This Row],[5. Lợi nhuận gộp về bán hàng và cung cấp dịch vụ]]/Table1[[#This Row],[TỔNG CỘNG TÀI SẢN]]</f>
        <v>2.3970357202503029E-2</v>
      </c>
      <c r="T97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1.324414984595812</v>
      </c>
      <c r="U974" s="23">
        <f>Table1[[#This Row],[1. Doanh thu bán hàng và cung cấp dịch vụ ]]/Table1[[#This Row],[TỔNG CỘNG TÀI SẢN]]</f>
        <v>0.33051036295935821</v>
      </c>
      <c r="V974" s="23">
        <f>1.2*Table1[[#This Row],[X1]] + 1.4*Table1[[#This Row],[X2]] + 3.3*Table1[[#This Row],[x3]] + 0.6*Table1[[#This Row],[x4]] + 1*Table1[[#This Row],[x5]]</f>
        <v>1.8988852971399817</v>
      </c>
      <c r="W974" s="23">
        <f>IF(Table1[[#This Row],[Zscore]]&lt;1.81,1,0)</f>
        <v>0</v>
      </c>
    </row>
    <row r="975" spans="1:23" ht="26.25" hidden="1" x14ac:dyDescent="0.45">
      <c r="A975" s="7">
        <v>969</v>
      </c>
      <c r="B975" s="5" t="s">
        <v>1950</v>
      </c>
      <c r="C975" s="6" t="s">
        <v>1951</v>
      </c>
      <c r="D975" s="6" t="s">
        <v>13</v>
      </c>
      <c r="E975" s="6"/>
      <c r="F975" s="6"/>
      <c r="G975" s="6"/>
      <c r="H975" s="6"/>
      <c r="I975" s="6"/>
      <c r="J975" s="8"/>
      <c r="K975" s="6"/>
      <c r="L975" s="6"/>
      <c r="M975" s="8"/>
      <c r="N975" s="8"/>
      <c r="O975" s="8"/>
      <c r="P975" s="8"/>
      <c r="Q975" s="18" t="e">
        <f>(Table1[[#This Row],[A. TÀI SẢN NGẮN HẠN]]-Table1[[#This Row],[I. Nợ ngắn hạn]])/Table1[[#This Row],[TỔNG CỘNG TÀI SẢN]]</f>
        <v>#DIV/0!</v>
      </c>
      <c r="R975" s="18" t="e">
        <f>Table1[[#This Row],[- LNST chưa phân phối kỳ này]]/Table1[[#This Row],[TỔNG CỘNG TÀI SẢN]]</f>
        <v>#DIV/0!</v>
      </c>
      <c r="S975" s="21" t="e">
        <f>Table1[[#This Row],[5. Lợi nhuận gộp về bán hàng và cung cấp dịch vụ]]/Table1[[#This Row],[TỔNG CỘNG TÀI SẢN]]</f>
        <v>#DIV/0!</v>
      </c>
      <c r="T97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975" s="23" t="e">
        <f>Table1[[#This Row],[1. Doanh thu bán hàng và cung cấp dịch vụ ]]/Table1[[#This Row],[TỔNG CỘNG TÀI SẢN]]</f>
        <v>#DIV/0!</v>
      </c>
      <c r="V975" s="23" t="e">
        <f>1.2*Table1[[#This Row],[X1]] + 1.4*Table1[[#This Row],[X2]] + 3.3*Table1[[#This Row],[x3]] + 0.6*Table1[[#This Row],[x4]] + 1*Table1[[#This Row],[x5]]</f>
        <v>#DIV/0!</v>
      </c>
      <c r="W975" s="23" t="e">
        <f>IF(Table1[[#This Row],[Zscore]]&lt;1.81,1,0)</f>
        <v>#DIV/0!</v>
      </c>
    </row>
    <row r="976" spans="1:23" x14ac:dyDescent="0.45">
      <c r="A976" s="7">
        <v>970</v>
      </c>
      <c r="B976" s="5" t="s">
        <v>1952</v>
      </c>
      <c r="C976" s="6" t="s">
        <v>1953</v>
      </c>
      <c r="D976" s="6" t="s">
        <v>36</v>
      </c>
      <c r="E976" s="8">
        <v>218887727255</v>
      </c>
      <c r="F976" s="8">
        <v>165303848334</v>
      </c>
      <c r="G976" s="8">
        <v>143931572539</v>
      </c>
      <c r="H976" s="8">
        <v>12868405775</v>
      </c>
      <c r="I976" s="8">
        <v>82118372750</v>
      </c>
      <c r="J976" s="8"/>
      <c r="K976" s="8">
        <v>143931572539</v>
      </c>
      <c r="L976" s="8">
        <v>1416605787754</v>
      </c>
      <c r="M976" s="8">
        <v>153651600000</v>
      </c>
      <c r="N976" s="8">
        <v>96813000000</v>
      </c>
      <c r="O976" s="8">
        <v>140222700000</v>
      </c>
      <c r="P976" s="8">
        <v>127418400000</v>
      </c>
      <c r="Q976" s="18">
        <f>(Table1[[#This Row],[A. TÀI SẢN NGẮN HẠN]]-Table1[[#This Row],[I. Nợ ngắn hạn]])/Table1[[#This Row],[TỔNG CỘNG TÀI SẢN]]</f>
        <v>9.7640356830521191E-2</v>
      </c>
      <c r="R976" s="18">
        <f>Table1[[#This Row],[- LNST chưa phân phối kỳ này]]/Table1[[#This Row],[TỔNG CỘNG TÀI SẢN]]</f>
        <v>5.878998304920291E-2</v>
      </c>
      <c r="S976" s="21">
        <f>Table1[[#This Row],[5. Lợi nhuận gộp về bán hàng và cung cấp dịch vụ]]/Table1[[#This Row],[TỔNG CỘNG TÀI SẢN]]</f>
        <v>0.37516206952221526</v>
      </c>
      <c r="T97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0.89991669454527257</v>
      </c>
      <c r="U976" s="23">
        <f>Table1[[#This Row],[1. Doanh thu bán hàng và cung cấp dịch vụ ]]/Table1[[#This Row],[TỔNG CỘNG TÀI SẢN]]</f>
        <v>6.4718374370239653</v>
      </c>
      <c r="V976" s="23">
        <f>1.2*Table1[[#This Row],[X1]] + 1.4*Table1[[#This Row],[X2]] + 3.3*Table1[[#This Row],[x3]] + 0.6*Table1[[#This Row],[x4]] + 1*Table1[[#This Row],[x5]]</f>
        <v>8.4492966876399489</v>
      </c>
      <c r="W976" s="23">
        <f>IF(Table1[[#This Row],[Zscore]]&lt;1.81,1,0)</f>
        <v>0</v>
      </c>
    </row>
    <row r="977" spans="1:23" hidden="1" x14ac:dyDescent="0.45">
      <c r="A977" s="7">
        <v>971</v>
      </c>
      <c r="B977" s="5" t="s">
        <v>1954</v>
      </c>
      <c r="C977" s="6" t="s">
        <v>1955</v>
      </c>
      <c r="D977" s="6" t="s">
        <v>13</v>
      </c>
      <c r="E977" s="6"/>
      <c r="F977" s="6"/>
      <c r="G977" s="6"/>
      <c r="H977" s="6"/>
      <c r="I977" s="6"/>
      <c r="J977" s="8"/>
      <c r="K977" s="6"/>
      <c r="L977" s="6"/>
      <c r="M977" s="8"/>
      <c r="N977" s="8"/>
      <c r="O977" s="8"/>
      <c r="P977" s="8"/>
      <c r="Q977" s="18" t="e">
        <f>(Table1[[#This Row],[A. TÀI SẢN NGẮN HẠN]]-Table1[[#This Row],[I. Nợ ngắn hạn]])/Table1[[#This Row],[TỔNG CỘNG TÀI SẢN]]</f>
        <v>#DIV/0!</v>
      </c>
      <c r="R977" s="18" t="e">
        <f>Table1[[#This Row],[- LNST chưa phân phối kỳ này]]/Table1[[#This Row],[TỔNG CỘNG TÀI SẢN]]</f>
        <v>#DIV/0!</v>
      </c>
      <c r="S977" s="21" t="e">
        <f>Table1[[#This Row],[5. Lợi nhuận gộp về bán hàng và cung cấp dịch vụ]]/Table1[[#This Row],[TỔNG CỘNG TÀI SẢN]]</f>
        <v>#DIV/0!</v>
      </c>
      <c r="T97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977" s="23" t="e">
        <f>Table1[[#This Row],[1. Doanh thu bán hàng và cung cấp dịch vụ ]]/Table1[[#This Row],[TỔNG CỘNG TÀI SẢN]]</f>
        <v>#DIV/0!</v>
      </c>
      <c r="V977" s="23" t="e">
        <f>1.2*Table1[[#This Row],[X1]] + 1.4*Table1[[#This Row],[X2]] + 3.3*Table1[[#This Row],[x3]] + 0.6*Table1[[#This Row],[x4]] + 1*Table1[[#This Row],[x5]]</f>
        <v>#DIV/0!</v>
      </c>
      <c r="W977" s="23" t="e">
        <f>IF(Table1[[#This Row],[Zscore]]&lt;1.81,1,0)</f>
        <v>#DIV/0!</v>
      </c>
    </row>
    <row r="978" spans="1:23" hidden="1" x14ac:dyDescent="0.45">
      <c r="A978" s="7">
        <v>972</v>
      </c>
      <c r="B978" s="5" t="s">
        <v>1956</v>
      </c>
      <c r="C978" s="6" t="s">
        <v>1957</v>
      </c>
      <c r="D978" s="6" t="s">
        <v>18</v>
      </c>
      <c r="E978" s="6"/>
      <c r="F978" s="6"/>
      <c r="G978" s="6"/>
      <c r="H978" s="6"/>
      <c r="I978" s="6"/>
      <c r="J978" s="8"/>
      <c r="K978" s="6"/>
      <c r="L978" s="6"/>
      <c r="M978" s="8"/>
      <c r="N978" s="8"/>
      <c r="O978" s="8"/>
      <c r="P978" s="8"/>
      <c r="Q978" s="18" t="e">
        <f>(Table1[[#This Row],[A. TÀI SẢN NGẮN HẠN]]-Table1[[#This Row],[I. Nợ ngắn hạn]])/Table1[[#This Row],[TỔNG CỘNG TÀI SẢN]]</f>
        <v>#DIV/0!</v>
      </c>
      <c r="R978" s="18" t="e">
        <f>Table1[[#This Row],[- LNST chưa phân phối kỳ này]]/Table1[[#This Row],[TỔNG CỘNG TÀI SẢN]]</f>
        <v>#DIV/0!</v>
      </c>
      <c r="S978" s="21" t="e">
        <f>Table1[[#This Row],[5. Lợi nhuận gộp về bán hàng và cung cấp dịch vụ]]/Table1[[#This Row],[TỔNG CỘNG TÀI SẢN]]</f>
        <v>#DIV/0!</v>
      </c>
      <c r="T97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978" s="23" t="e">
        <f>Table1[[#This Row],[1. Doanh thu bán hàng và cung cấp dịch vụ ]]/Table1[[#This Row],[TỔNG CỘNG TÀI SẢN]]</f>
        <v>#DIV/0!</v>
      </c>
      <c r="V978" s="23" t="e">
        <f>1.2*Table1[[#This Row],[X1]] + 1.4*Table1[[#This Row],[X2]] + 3.3*Table1[[#This Row],[x3]] + 0.6*Table1[[#This Row],[x4]] + 1*Table1[[#This Row],[x5]]</f>
        <v>#DIV/0!</v>
      </c>
      <c r="W978" s="23" t="e">
        <f>IF(Table1[[#This Row],[Zscore]]&lt;1.81,1,0)</f>
        <v>#DIV/0!</v>
      </c>
    </row>
    <row r="979" spans="1:23" ht="26.25" hidden="1" x14ac:dyDescent="0.45">
      <c r="A979" s="7">
        <v>973</v>
      </c>
      <c r="B979" s="5" t="s">
        <v>1958</v>
      </c>
      <c r="C979" s="6" t="s">
        <v>1959</v>
      </c>
      <c r="D979" s="6" t="s">
        <v>13</v>
      </c>
      <c r="E979" s="6"/>
      <c r="F979" s="6"/>
      <c r="G979" s="6"/>
      <c r="H979" s="6"/>
      <c r="I979" s="6"/>
      <c r="J979" s="8"/>
      <c r="K979" s="6"/>
      <c r="L979" s="6"/>
      <c r="M979" s="8"/>
      <c r="N979" s="8"/>
      <c r="O979" s="8"/>
      <c r="P979" s="8"/>
      <c r="Q979" s="18" t="e">
        <f>(Table1[[#This Row],[A. TÀI SẢN NGẮN HẠN]]-Table1[[#This Row],[I. Nợ ngắn hạn]])/Table1[[#This Row],[TỔNG CỘNG TÀI SẢN]]</f>
        <v>#DIV/0!</v>
      </c>
      <c r="R979" s="18" t="e">
        <f>Table1[[#This Row],[- LNST chưa phân phối kỳ này]]/Table1[[#This Row],[TỔNG CỘNG TÀI SẢN]]</f>
        <v>#DIV/0!</v>
      </c>
      <c r="S979" s="21" t="e">
        <f>Table1[[#This Row],[5. Lợi nhuận gộp về bán hàng và cung cấp dịch vụ]]/Table1[[#This Row],[TỔNG CỘNG TÀI SẢN]]</f>
        <v>#DIV/0!</v>
      </c>
      <c r="T97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979" s="23" t="e">
        <f>Table1[[#This Row],[1. Doanh thu bán hàng và cung cấp dịch vụ ]]/Table1[[#This Row],[TỔNG CỘNG TÀI SẢN]]</f>
        <v>#DIV/0!</v>
      </c>
      <c r="V979" s="23" t="e">
        <f>1.2*Table1[[#This Row],[X1]] + 1.4*Table1[[#This Row],[X2]] + 3.3*Table1[[#This Row],[x3]] + 0.6*Table1[[#This Row],[x4]] + 1*Table1[[#This Row],[x5]]</f>
        <v>#DIV/0!</v>
      </c>
      <c r="W979" s="23" t="e">
        <f>IF(Table1[[#This Row],[Zscore]]&lt;1.81,1,0)</f>
        <v>#DIV/0!</v>
      </c>
    </row>
    <row r="980" spans="1:23" x14ac:dyDescent="0.45">
      <c r="A980" s="7">
        <v>974</v>
      </c>
      <c r="B980" s="5" t="s">
        <v>1960</v>
      </c>
      <c r="C980" s="6" t="s">
        <v>1961</v>
      </c>
      <c r="D980" s="6" t="s">
        <v>21</v>
      </c>
      <c r="E980" s="8">
        <v>2477102469069</v>
      </c>
      <c r="F980" s="8">
        <v>1981826455280</v>
      </c>
      <c r="G980" s="8">
        <v>1108471070835</v>
      </c>
      <c r="H980" s="8">
        <v>5619381333</v>
      </c>
      <c r="I980" s="8">
        <v>354858826028</v>
      </c>
      <c r="J980" s="8"/>
      <c r="K980" s="8">
        <v>1109018352444</v>
      </c>
      <c r="L980" s="8">
        <v>4650581742105</v>
      </c>
      <c r="M980" s="8">
        <v>1686802991700</v>
      </c>
      <c r="N980" s="8">
        <v>1117372682400</v>
      </c>
      <c r="O980" s="8">
        <v>1611595215000</v>
      </c>
      <c r="P980" s="8">
        <v>1305392124150</v>
      </c>
      <c r="Q980" s="18">
        <f>(Table1[[#This Row],[A. TÀI SẢN NGẮN HẠN]]-Table1[[#This Row],[I. Nợ ngắn hạn]])/Table1[[#This Row],[TỔNG CỘNG TÀI SẢN]]</f>
        <v>0.35257135921924293</v>
      </c>
      <c r="R980" s="18">
        <f>Table1[[#This Row],[- LNST chưa phân phối kỳ này]]/Table1[[#This Row],[TỔNG CỘNG TÀI SẢN]]</f>
        <v>2.2685300277917051E-3</v>
      </c>
      <c r="S980" s="21">
        <f>Table1[[#This Row],[5. Lợi nhuận gộp về bán hàng và cung cấp dịch vụ]]/Table1[[#This Row],[TỔNG CỘNG TÀI SẢN]]</f>
        <v>0.14325561031852307</v>
      </c>
      <c r="T98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1.2896907883990338</v>
      </c>
      <c r="U980" s="23">
        <f>Table1[[#This Row],[1. Doanh thu bán hàng và cung cấp dịch vụ ]]/Table1[[#This Row],[TỔNG CỘNG TÀI SẢN]]</f>
        <v>1.8774280838906456</v>
      </c>
      <c r="V980" s="23">
        <f>1.2*Table1[[#This Row],[X1]] + 1.4*Table1[[#This Row],[X2]] + 3.3*Table1[[#This Row],[x3]] + 0.6*Table1[[#This Row],[x4]] + 1*Table1[[#This Row],[x5]]</f>
        <v>3.5502476440831918</v>
      </c>
      <c r="W980" s="23">
        <f>IF(Table1[[#This Row],[Zscore]]&lt;1.81,1,0)</f>
        <v>0</v>
      </c>
    </row>
    <row r="981" spans="1:23" ht="26.25" x14ac:dyDescent="0.45">
      <c r="A981" s="7">
        <v>975</v>
      </c>
      <c r="B981" s="5" t="s">
        <v>1962</v>
      </c>
      <c r="C981" s="6" t="s">
        <v>1963</v>
      </c>
      <c r="D981" s="6" t="s">
        <v>18</v>
      </c>
      <c r="E981" s="8">
        <v>16088038853140</v>
      </c>
      <c r="F981" s="8">
        <v>13261928574999</v>
      </c>
      <c r="G981" s="8">
        <v>13333832610759</v>
      </c>
      <c r="H981" s="8">
        <v>395730310711</v>
      </c>
      <c r="I981" s="8">
        <v>290617158582</v>
      </c>
      <c r="J981" s="8"/>
      <c r="K981" s="8">
        <v>14114563395629</v>
      </c>
      <c r="L981" s="8">
        <v>4641253754813</v>
      </c>
      <c r="M981" s="8">
        <v>2256886255000</v>
      </c>
      <c r="N981" s="8">
        <v>2222164928000</v>
      </c>
      <c r="O981" s="8">
        <v>2256886255000</v>
      </c>
      <c r="P981" s="8">
        <v>2569378198000</v>
      </c>
      <c r="Q981" s="18">
        <f>(Table1[[#This Row],[A. TÀI SẢN NGẮN HẠN]]-Table1[[#This Row],[I. Nợ ngắn hạn]])/Table1[[#This Row],[TỔNG CỘNG TÀI SẢN]]</f>
        <v>-4.4694096288787899E-3</v>
      </c>
      <c r="R981" s="18">
        <f>Table1[[#This Row],[- LNST chưa phân phối kỳ này]]/Table1[[#This Row],[TỔNG CỘNG TÀI SẢN]]</f>
        <v>2.4597796805653719E-2</v>
      </c>
      <c r="S981" s="21">
        <f>Table1[[#This Row],[5. Lợi nhuận gộp về bán hàng và cung cấp dịch vụ]]/Table1[[#This Row],[TỔNG CỘNG TÀI SẢN]]</f>
        <v>1.8064175580063228E-2</v>
      </c>
      <c r="T98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0.16481763153371204</v>
      </c>
      <c r="U981" s="23">
        <f>Table1[[#This Row],[1. Doanh thu bán hàng và cung cấp dịch vụ ]]/Table1[[#This Row],[TỔNG CỘNG TÀI SẢN]]</f>
        <v>0.28849095885339304</v>
      </c>
      <c r="V981" s="23">
        <f>1.2*Table1[[#This Row],[X1]] + 1.4*Table1[[#This Row],[X2]] + 3.3*Table1[[#This Row],[x3]] + 0.6*Table1[[#This Row],[x4]] + 1*Table1[[#This Row],[x5]]</f>
        <v>0.47606694116108955</v>
      </c>
      <c r="W981" s="23">
        <f>IF(Table1[[#This Row],[Zscore]]&lt;1.81,1,0)</f>
        <v>1</v>
      </c>
    </row>
    <row r="982" spans="1:23" hidden="1" x14ac:dyDescent="0.45">
      <c r="A982" s="7">
        <v>976</v>
      </c>
      <c r="B982" s="5" t="s">
        <v>1964</v>
      </c>
      <c r="C982" s="6" t="s">
        <v>1965</v>
      </c>
      <c r="D982" s="6" t="s">
        <v>18</v>
      </c>
      <c r="E982" s="6"/>
      <c r="F982" s="6"/>
      <c r="G982" s="6"/>
      <c r="H982" s="6"/>
      <c r="I982" s="6"/>
      <c r="J982" s="8"/>
      <c r="K982" s="6"/>
      <c r="L982" s="6"/>
      <c r="M982" s="8"/>
      <c r="N982" s="8"/>
      <c r="O982" s="8"/>
      <c r="P982" s="8"/>
      <c r="Q982" s="18" t="e">
        <f>(Table1[[#This Row],[A. TÀI SẢN NGẮN HẠN]]-Table1[[#This Row],[I. Nợ ngắn hạn]])/Table1[[#This Row],[TỔNG CỘNG TÀI SẢN]]</f>
        <v>#DIV/0!</v>
      </c>
      <c r="R982" s="18" t="e">
        <f>Table1[[#This Row],[- LNST chưa phân phối kỳ này]]/Table1[[#This Row],[TỔNG CỘNG TÀI SẢN]]</f>
        <v>#DIV/0!</v>
      </c>
      <c r="S982" s="21" t="e">
        <f>Table1[[#This Row],[5. Lợi nhuận gộp về bán hàng và cung cấp dịch vụ]]/Table1[[#This Row],[TỔNG CỘNG TÀI SẢN]]</f>
        <v>#DIV/0!</v>
      </c>
      <c r="T98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982" s="23" t="e">
        <f>Table1[[#This Row],[1. Doanh thu bán hàng và cung cấp dịch vụ ]]/Table1[[#This Row],[TỔNG CỘNG TÀI SẢN]]</f>
        <v>#DIV/0!</v>
      </c>
      <c r="V982" s="23" t="e">
        <f>1.2*Table1[[#This Row],[X1]] + 1.4*Table1[[#This Row],[X2]] + 3.3*Table1[[#This Row],[x3]] + 0.6*Table1[[#This Row],[x4]] + 1*Table1[[#This Row],[x5]]</f>
        <v>#DIV/0!</v>
      </c>
      <c r="W982" s="23" t="e">
        <f>IF(Table1[[#This Row],[Zscore]]&lt;1.81,1,0)</f>
        <v>#DIV/0!</v>
      </c>
    </row>
    <row r="983" spans="1:23" ht="26.25" hidden="1" x14ac:dyDescent="0.45">
      <c r="A983" s="7">
        <v>977</v>
      </c>
      <c r="B983" s="5" t="s">
        <v>1966</v>
      </c>
      <c r="C983" s="6" t="s">
        <v>1967</v>
      </c>
      <c r="D983" s="6" t="s">
        <v>13</v>
      </c>
      <c r="E983" s="6"/>
      <c r="F983" s="6"/>
      <c r="G983" s="6"/>
      <c r="H983" s="6"/>
      <c r="I983" s="6"/>
      <c r="J983" s="8"/>
      <c r="K983" s="6"/>
      <c r="L983" s="6"/>
      <c r="M983" s="8"/>
      <c r="N983" s="8"/>
      <c r="O983" s="8"/>
      <c r="P983" s="8"/>
      <c r="Q983" s="18" t="e">
        <f>(Table1[[#This Row],[A. TÀI SẢN NGẮN HẠN]]-Table1[[#This Row],[I. Nợ ngắn hạn]])/Table1[[#This Row],[TỔNG CỘNG TÀI SẢN]]</f>
        <v>#DIV/0!</v>
      </c>
      <c r="R983" s="18" t="e">
        <f>Table1[[#This Row],[- LNST chưa phân phối kỳ này]]/Table1[[#This Row],[TỔNG CỘNG TÀI SẢN]]</f>
        <v>#DIV/0!</v>
      </c>
      <c r="S983" s="21" t="e">
        <f>Table1[[#This Row],[5. Lợi nhuận gộp về bán hàng và cung cấp dịch vụ]]/Table1[[#This Row],[TỔNG CỘNG TÀI SẢN]]</f>
        <v>#DIV/0!</v>
      </c>
      <c r="T98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983" s="23" t="e">
        <f>Table1[[#This Row],[1. Doanh thu bán hàng và cung cấp dịch vụ ]]/Table1[[#This Row],[TỔNG CỘNG TÀI SẢN]]</f>
        <v>#DIV/0!</v>
      </c>
      <c r="V983" s="23" t="e">
        <f>1.2*Table1[[#This Row],[X1]] + 1.4*Table1[[#This Row],[X2]] + 3.3*Table1[[#This Row],[x3]] + 0.6*Table1[[#This Row],[x4]] + 1*Table1[[#This Row],[x5]]</f>
        <v>#DIV/0!</v>
      </c>
      <c r="W983" s="23" t="e">
        <f>IF(Table1[[#This Row],[Zscore]]&lt;1.81,1,0)</f>
        <v>#DIV/0!</v>
      </c>
    </row>
    <row r="984" spans="1:23" x14ac:dyDescent="0.45">
      <c r="A984" s="7">
        <v>978</v>
      </c>
      <c r="B984" s="5" t="s">
        <v>1968</v>
      </c>
      <c r="C984" s="6" t="s">
        <v>1969</v>
      </c>
      <c r="D984" s="6" t="s">
        <v>18</v>
      </c>
      <c r="E984" s="8">
        <v>267400215939</v>
      </c>
      <c r="F984" s="8">
        <v>189866956051</v>
      </c>
      <c r="G984" s="8">
        <v>96303785893</v>
      </c>
      <c r="H984" s="8">
        <v>2824748535</v>
      </c>
      <c r="I984" s="8">
        <v>9761789535</v>
      </c>
      <c r="J984" s="8"/>
      <c r="K984" s="8">
        <v>96303785893</v>
      </c>
      <c r="L984" s="8">
        <v>251654960064</v>
      </c>
      <c r="M984" s="8">
        <v>91200000000</v>
      </c>
      <c r="N984" s="8">
        <v>89600000000</v>
      </c>
      <c r="O984" s="8">
        <v>83200000000</v>
      </c>
      <c r="P984" s="8">
        <v>83200000000</v>
      </c>
      <c r="Q984" s="18">
        <f>(Table1[[#This Row],[A. TÀI SẢN NGẮN HẠN]]-Table1[[#This Row],[I. Nợ ngắn hạn]])/Table1[[#This Row],[TỔNG CỘNG TÀI SẢN]]</f>
        <v>0.34989938145503913</v>
      </c>
      <c r="R984" s="18">
        <f>Table1[[#This Row],[- LNST chưa phân phối kỳ này]]/Table1[[#This Row],[TỔNG CỘNG TÀI SẢN]]</f>
        <v>1.056374814463272E-2</v>
      </c>
      <c r="S984" s="21">
        <f>Table1[[#This Row],[5. Lợi nhuận gộp về bán hàng và cung cấp dịch vụ]]/Table1[[#This Row],[TỔNG CỘNG TÀI SẢN]]</f>
        <v>3.6506288900031721E-2</v>
      </c>
      <c r="T98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0.90131451422315478</v>
      </c>
      <c r="U984" s="23">
        <f>Table1[[#This Row],[1. Doanh thu bán hàng và cung cấp dịch vụ ]]/Table1[[#This Row],[TỔNG CỘNG TÀI SẢN]]</f>
        <v>0.94111726566970366</v>
      </c>
      <c r="V984" s="23">
        <f>1.2*Table1[[#This Row],[X1]] + 1.4*Table1[[#This Row],[X2]] + 3.3*Table1[[#This Row],[x3]] + 0.6*Table1[[#This Row],[x4]] + 1*Table1[[#This Row],[x5]]</f>
        <v>2.0370452327222339</v>
      </c>
      <c r="W984" s="23">
        <f>IF(Table1[[#This Row],[Zscore]]&lt;1.81,1,0)</f>
        <v>0</v>
      </c>
    </row>
    <row r="985" spans="1:23" hidden="1" x14ac:dyDescent="0.45">
      <c r="A985" s="7">
        <v>979</v>
      </c>
      <c r="B985" s="5" t="s">
        <v>1970</v>
      </c>
      <c r="C985" s="6" t="s">
        <v>1971</v>
      </c>
      <c r="D985" s="6" t="s">
        <v>13</v>
      </c>
      <c r="E985" s="6"/>
      <c r="F985" s="6"/>
      <c r="G985" s="6"/>
      <c r="H985" s="6"/>
      <c r="I985" s="6"/>
      <c r="J985" s="8"/>
      <c r="K985" s="6"/>
      <c r="L985" s="6"/>
      <c r="M985" s="8"/>
      <c r="N985" s="8"/>
      <c r="O985" s="8"/>
      <c r="P985" s="8"/>
      <c r="Q985" s="18" t="e">
        <f>(Table1[[#This Row],[A. TÀI SẢN NGẮN HẠN]]-Table1[[#This Row],[I. Nợ ngắn hạn]])/Table1[[#This Row],[TỔNG CỘNG TÀI SẢN]]</f>
        <v>#DIV/0!</v>
      </c>
      <c r="R985" s="18" t="e">
        <f>Table1[[#This Row],[- LNST chưa phân phối kỳ này]]/Table1[[#This Row],[TỔNG CỘNG TÀI SẢN]]</f>
        <v>#DIV/0!</v>
      </c>
      <c r="S985" s="21" t="e">
        <f>Table1[[#This Row],[5. Lợi nhuận gộp về bán hàng và cung cấp dịch vụ]]/Table1[[#This Row],[TỔNG CỘNG TÀI SẢN]]</f>
        <v>#DIV/0!</v>
      </c>
      <c r="T98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985" s="23" t="e">
        <f>Table1[[#This Row],[1. Doanh thu bán hàng và cung cấp dịch vụ ]]/Table1[[#This Row],[TỔNG CỘNG TÀI SẢN]]</f>
        <v>#DIV/0!</v>
      </c>
      <c r="V985" s="23" t="e">
        <f>1.2*Table1[[#This Row],[X1]] + 1.4*Table1[[#This Row],[X2]] + 3.3*Table1[[#This Row],[x3]] + 0.6*Table1[[#This Row],[x4]] + 1*Table1[[#This Row],[x5]]</f>
        <v>#DIV/0!</v>
      </c>
      <c r="W985" s="23" t="e">
        <f>IF(Table1[[#This Row],[Zscore]]&lt;1.81,1,0)</f>
        <v>#DIV/0!</v>
      </c>
    </row>
    <row r="986" spans="1:23" hidden="1" x14ac:dyDescent="0.45">
      <c r="A986" s="7">
        <v>980</v>
      </c>
      <c r="B986" s="5" t="s">
        <v>1972</v>
      </c>
      <c r="C986" s="6" t="s">
        <v>1973</v>
      </c>
      <c r="D986" s="6" t="s">
        <v>36</v>
      </c>
      <c r="E986" s="6"/>
      <c r="F986" s="6"/>
      <c r="G986" s="6"/>
      <c r="H986" s="6"/>
      <c r="I986" s="6"/>
      <c r="J986" s="8"/>
      <c r="K986" s="6"/>
      <c r="L986" s="6"/>
      <c r="M986" s="8">
        <v>227699862000</v>
      </c>
      <c r="N986" s="8"/>
      <c r="O986" s="8">
        <v>217798548000</v>
      </c>
      <c r="P986" s="8"/>
      <c r="Q986" s="18" t="e">
        <f>(Table1[[#This Row],[A. TÀI SẢN NGẮN HẠN]]-Table1[[#This Row],[I. Nợ ngắn hạn]])/Table1[[#This Row],[TỔNG CỘNG TÀI SẢN]]</f>
        <v>#DIV/0!</v>
      </c>
      <c r="R986" s="18" t="e">
        <f>Table1[[#This Row],[- LNST chưa phân phối kỳ này]]/Table1[[#This Row],[TỔNG CỘNG TÀI SẢN]]</f>
        <v>#DIV/0!</v>
      </c>
      <c r="S986" s="21" t="e">
        <f>Table1[[#This Row],[5. Lợi nhuận gộp về bán hàng và cung cấp dịch vụ]]/Table1[[#This Row],[TỔNG CỘNG TÀI SẢN]]</f>
        <v>#DIV/0!</v>
      </c>
      <c r="T98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986" s="23" t="e">
        <f>Table1[[#This Row],[1. Doanh thu bán hàng và cung cấp dịch vụ ]]/Table1[[#This Row],[TỔNG CỘNG TÀI SẢN]]</f>
        <v>#DIV/0!</v>
      </c>
      <c r="V986" s="23" t="e">
        <f>1.2*Table1[[#This Row],[X1]] + 1.4*Table1[[#This Row],[X2]] + 3.3*Table1[[#This Row],[x3]] + 0.6*Table1[[#This Row],[x4]] + 1*Table1[[#This Row],[x5]]</f>
        <v>#DIV/0!</v>
      </c>
      <c r="W986" s="23" t="e">
        <f>IF(Table1[[#This Row],[Zscore]]&lt;1.81,1,0)</f>
        <v>#DIV/0!</v>
      </c>
    </row>
    <row r="987" spans="1:23" hidden="1" x14ac:dyDescent="0.45">
      <c r="A987" s="7">
        <v>981</v>
      </c>
      <c r="B987" s="5" t="s">
        <v>1974</v>
      </c>
      <c r="C987" s="6" t="s">
        <v>1975</v>
      </c>
      <c r="D987" s="6" t="s">
        <v>13</v>
      </c>
      <c r="E987" s="6"/>
      <c r="F987" s="6"/>
      <c r="G987" s="6"/>
      <c r="H987" s="6"/>
      <c r="I987" s="6"/>
      <c r="J987" s="8"/>
      <c r="K987" s="6"/>
      <c r="L987" s="6"/>
      <c r="M987" s="8"/>
      <c r="N987" s="8"/>
      <c r="O987" s="8"/>
      <c r="P987" s="8"/>
      <c r="Q987" s="18" t="e">
        <f>(Table1[[#This Row],[A. TÀI SẢN NGẮN HẠN]]-Table1[[#This Row],[I. Nợ ngắn hạn]])/Table1[[#This Row],[TỔNG CỘNG TÀI SẢN]]</f>
        <v>#DIV/0!</v>
      </c>
      <c r="R987" s="18" t="e">
        <f>Table1[[#This Row],[- LNST chưa phân phối kỳ này]]/Table1[[#This Row],[TỔNG CỘNG TÀI SẢN]]</f>
        <v>#DIV/0!</v>
      </c>
      <c r="S987" s="21" t="e">
        <f>Table1[[#This Row],[5. Lợi nhuận gộp về bán hàng và cung cấp dịch vụ]]/Table1[[#This Row],[TỔNG CỘNG TÀI SẢN]]</f>
        <v>#DIV/0!</v>
      </c>
      <c r="T98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987" s="23" t="e">
        <f>Table1[[#This Row],[1. Doanh thu bán hàng và cung cấp dịch vụ ]]/Table1[[#This Row],[TỔNG CỘNG TÀI SẢN]]</f>
        <v>#DIV/0!</v>
      </c>
      <c r="V987" s="23" t="e">
        <f>1.2*Table1[[#This Row],[X1]] + 1.4*Table1[[#This Row],[X2]] + 3.3*Table1[[#This Row],[x3]] + 0.6*Table1[[#This Row],[x4]] + 1*Table1[[#This Row],[x5]]</f>
        <v>#DIV/0!</v>
      </c>
      <c r="W987" s="23" t="e">
        <f>IF(Table1[[#This Row],[Zscore]]&lt;1.81,1,0)</f>
        <v>#DIV/0!</v>
      </c>
    </row>
    <row r="988" spans="1:23" hidden="1" x14ac:dyDescent="0.45">
      <c r="A988" s="7">
        <v>982</v>
      </c>
      <c r="B988" s="5" t="s">
        <v>1976</v>
      </c>
      <c r="C988" s="6" t="s">
        <v>1977</v>
      </c>
      <c r="D988" s="6" t="s">
        <v>18</v>
      </c>
      <c r="E988" s="6"/>
      <c r="F988" s="6"/>
      <c r="G988" s="6"/>
      <c r="H988" s="6"/>
      <c r="I988" s="6"/>
      <c r="J988" s="8"/>
      <c r="K988" s="6"/>
      <c r="L988" s="6"/>
      <c r="M988" s="8"/>
      <c r="N988" s="8"/>
      <c r="O988" s="8"/>
      <c r="P988" s="8"/>
      <c r="Q988" s="18" t="e">
        <f>(Table1[[#This Row],[A. TÀI SẢN NGẮN HẠN]]-Table1[[#This Row],[I. Nợ ngắn hạn]])/Table1[[#This Row],[TỔNG CỘNG TÀI SẢN]]</f>
        <v>#DIV/0!</v>
      </c>
      <c r="R988" s="18" t="e">
        <f>Table1[[#This Row],[- LNST chưa phân phối kỳ này]]/Table1[[#This Row],[TỔNG CỘNG TÀI SẢN]]</f>
        <v>#DIV/0!</v>
      </c>
      <c r="S988" s="21" t="e">
        <f>Table1[[#This Row],[5. Lợi nhuận gộp về bán hàng và cung cấp dịch vụ]]/Table1[[#This Row],[TỔNG CỘNG TÀI SẢN]]</f>
        <v>#DIV/0!</v>
      </c>
      <c r="T98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988" s="23" t="e">
        <f>Table1[[#This Row],[1. Doanh thu bán hàng và cung cấp dịch vụ ]]/Table1[[#This Row],[TỔNG CỘNG TÀI SẢN]]</f>
        <v>#DIV/0!</v>
      </c>
      <c r="V988" s="23" t="e">
        <f>1.2*Table1[[#This Row],[X1]] + 1.4*Table1[[#This Row],[X2]] + 3.3*Table1[[#This Row],[x3]] + 0.6*Table1[[#This Row],[x4]] + 1*Table1[[#This Row],[x5]]</f>
        <v>#DIV/0!</v>
      </c>
      <c r="W988" s="23" t="e">
        <f>IF(Table1[[#This Row],[Zscore]]&lt;1.81,1,0)</f>
        <v>#DIV/0!</v>
      </c>
    </row>
    <row r="989" spans="1:23" x14ac:dyDescent="0.45">
      <c r="A989" s="7">
        <v>983</v>
      </c>
      <c r="B989" s="5" t="s">
        <v>1978</v>
      </c>
      <c r="C989" s="6" t="s">
        <v>1979</v>
      </c>
      <c r="D989" s="6" t="s">
        <v>18</v>
      </c>
      <c r="E989" s="8">
        <v>604197972536</v>
      </c>
      <c r="F989" s="8">
        <v>515516618584</v>
      </c>
      <c r="G989" s="8">
        <v>35280502944</v>
      </c>
      <c r="H989" s="8">
        <v>19094401179</v>
      </c>
      <c r="I989" s="8">
        <v>20796672418</v>
      </c>
      <c r="J989" s="8"/>
      <c r="K989" s="8">
        <v>37923125574</v>
      </c>
      <c r="L989" s="8">
        <v>73201383127</v>
      </c>
      <c r="M989" s="8">
        <v>548171500500</v>
      </c>
      <c r="N989" s="8">
        <v>548171500500</v>
      </c>
      <c r="O989" s="8">
        <v>558514359000</v>
      </c>
      <c r="P989" s="8">
        <v>537828642000</v>
      </c>
      <c r="Q989" s="18">
        <f>(Table1[[#This Row],[A. TÀI SẢN NGẮN HẠN]]-Table1[[#This Row],[I. Nợ ngắn hạn]])/Table1[[#This Row],[TỔNG CỘNG TÀI SẢN]]</f>
        <v>0.79483238519372235</v>
      </c>
      <c r="R989" s="18">
        <f>Table1[[#This Row],[- LNST chưa phân phối kỳ này]]/Table1[[#This Row],[TỔNG CỘNG TÀI SẢN]]</f>
        <v>3.1602888534787821E-2</v>
      </c>
      <c r="S989" s="21">
        <f>Table1[[#This Row],[5. Lợi nhuận gộp về bán hàng và cung cấp dịch vụ]]/Table1[[#This Row],[TỔNG CỘNG TÀI SẢN]]</f>
        <v>3.4420294941921323E-2</v>
      </c>
      <c r="T98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14.454808041345226</v>
      </c>
      <c r="U989" s="23">
        <f>Table1[[#This Row],[1. Doanh thu bán hàng và cung cấp dịch vụ ]]/Table1[[#This Row],[TỔNG CỘNG TÀI SẢN]]</f>
        <v>0.12115463218082619</v>
      </c>
      <c r="V989" s="23">
        <f>1.2*Table1[[#This Row],[X1]] + 1.4*Table1[[#This Row],[X2]] + 3.3*Table1[[#This Row],[x3]] + 0.6*Table1[[#This Row],[x4]] + 1*Table1[[#This Row],[x5]]</f>
        <v>9.9056693364774695</v>
      </c>
      <c r="W989" s="23">
        <f>IF(Table1[[#This Row],[Zscore]]&lt;1.81,1,0)</f>
        <v>0</v>
      </c>
    </row>
    <row r="990" spans="1:23" hidden="1" x14ac:dyDescent="0.45">
      <c r="A990" s="7">
        <v>984</v>
      </c>
      <c r="B990" s="5" t="s">
        <v>1980</v>
      </c>
      <c r="C990" s="6" t="s">
        <v>1981</v>
      </c>
      <c r="D990" s="6" t="s">
        <v>13</v>
      </c>
      <c r="E990" s="6"/>
      <c r="F990" s="6"/>
      <c r="G990" s="6"/>
      <c r="H990" s="6"/>
      <c r="I990" s="6"/>
      <c r="J990" s="8"/>
      <c r="K990" s="6"/>
      <c r="L990" s="6"/>
      <c r="M990" s="8"/>
      <c r="N990" s="8"/>
      <c r="O990" s="8"/>
      <c r="P990" s="8"/>
      <c r="Q990" s="18" t="e">
        <f>(Table1[[#This Row],[A. TÀI SẢN NGẮN HẠN]]-Table1[[#This Row],[I. Nợ ngắn hạn]])/Table1[[#This Row],[TỔNG CỘNG TÀI SẢN]]</f>
        <v>#DIV/0!</v>
      </c>
      <c r="R990" s="18" t="e">
        <f>Table1[[#This Row],[- LNST chưa phân phối kỳ này]]/Table1[[#This Row],[TỔNG CỘNG TÀI SẢN]]</f>
        <v>#DIV/0!</v>
      </c>
      <c r="S990" s="21" t="e">
        <f>Table1[[#This Row],[5. Lợi nhuận gộp về bán hàng và cung cấp dịch vụ]]/Table1[[#This Row],[TỔNG CỘNG TÀI SẢN]]</f>
        <v>#DIV/0!</v>
      </c>
      <c r="T99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990" s="23" t="e">
        <f>Table1[[#This Row],[1. Doanh thu bán hàng và cung cấp dịch vụ ]]/Table1[[#This Row],[TỔNG CỘNG TÀI SẢN]]</f>
        <v>#DIV/0!</v>
      </c>
      <c r="V990" s="23" t="e">
        <f>1.2*Table1[[#This Row],[X1]] + 1.4*Table1[[#This Row],[X2]] + 3.3*Table1[[#This Row],[x3]] + 0.6*Table1[[#This Row],[x4]] + 1*Table1[[#This Row],[x5]]</f>
        <v>#DIV/0!</v>
      </c>
      <c r="W990" s="23" t="e">
        <f>IF(Table1[[#This Row],[Zscore]]&lt;1.81,1,0)</f>
        <v>#DIV/0!</v>
      </c>
    </row>
    <row r="991" spans="1:23" x14ac:dyDescent="0.45">
      <c r="A991" s="7">
        <v>985</v>
      </c>
      <c r="B991" s="5" t="s">
        <v>1982</v>
      </c>
      <c r="C991" s="6" t="s">
        <v>1983</v>
      </c>
      <c r="D991" s="6" t="s">
        <v>36</v>
      </c>
      <c r="E991" s="8">
        <v>169890570644</v>
      </c>
      <c r="F991" s="8">
        <v>128438357928</v>
      </c>
      <c r="G991" s="8">
        <v>67831529049</v>
      </c>
      <c r="H991" s="8">
        <v>30400012594</v>
      </c>
      <c r="I991" s="8">
        <v>50367246426</v>
      </c>
      <c r="J991" s="8"/>
      <c r="K991" s="8">
        <v>67831529049</v>
      </c>
      <c r="L991" s="8">
        <v>420723556838</v>
      </c>
      <c r="M991" s="8">
        <v>91259658000</v>
      </c>
      <c r="N991" s="8">
        <v>198815683500</v>
      </c>
      <c r="O991" s="8">
        <v>117333846000</v>
      </c>
      <c r="P991" s="8">
        <v>162311820300</v>
      </c>
      <c r="Q991" s="18">
        <f>(Table1[[#This Row],[A. TÀI SẢN NGẮN HẠN]]-Table1[[#This Row],[I. Nợ ngắn hạn]])/Table1[[#This Row],[TỔNG CỘNG TÀI SẢN]]</f>
        <v>0.35674039264956958</v>
      </c>
      <c r="R991" s="18">
        <f>Table1[[#This Row],[- LNST chưa phân phối kỳ này]]/Table1[[#This Row],[TỔNG CỘNG TÀI SẢN]]</f>
        <v>0.17893878676587771</v>
      </c>
      <c r="S991" s="21">
        <f>Table1[[#This Row],[5. Lợi nhuận gộp về bán hàng và cung cấp dịch vụ]]/Table1[[#This Row],[TỔNG CỘNG TÀI SẢN]]</f>
        <v>0.29646875771312159</v>
      </c>
      <c r="T99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2.0997647251488543</v>
      </c>
      <c r="U991" s="23">
        <f>Table1[[#This Row],[1. Doanh thu bán hàng và cung cấp dịch vụ ]]/Table1[[#This Row],[TỔNG CỘNG TÀI SẢN]]</f>
        <v>2.4764385406628135</v>
      </c>
      <c r="V991" s="23">
        <f>1.2*Table1[[#This Row],[X1]] + 1.4*Table1[[#This Row],[X2]] + 3.3*Table1[[#This Row],[x3]] + 0.6*Table1[[#This Row],[x4]] + 1*Table1[[#This Row],[x5]]</f>
        <v>5.3932470488571393</v>
      </c>
      <c r="W991" s="23">
        <f>IF(Table1[[#This Row],[Zscore]]&lt;1.81,1,0)</f>
        <v>0</v>
      </c>
    </row>
    <row r="992" spans="1:23" ht="26.25" x14ac:dyDescent="0.45">
      <c r="A992" s="7">
        <v>986</v>
      </c>
      <c r="B992" s="5" t="s">
        <v>1984</v>
      </c>
      <c r="C992" s="6" t="s">
        <v>1985</v>
      </c>
      <c r="D992" s="6" t="s">
        <v>21</v>
      </c>
      <c r="E992" s="8">
        <v>810994874049</v>
      </c>
      <c r="F992" s="8">
        <v>616384268775</v>
      </c>
      <c r="G992" s="8">
        <v>305491562855</v>
      </c>
      <c r="H992" s="8">
        <v>23649605536</v>
      </c>
      <c r="I992" s="8">
        <v>43140350491</v>
      </c>
      <c r="J992" s="8"/>
      <c r="K992" s="8">
        <v>305491562855</v>
      </c>
      <c r="L992" s="8">
        <v>790215635297</v>
      </c>
      <c r="M992" s="8">
        <v>288278764800</v>
      </c>
      <c r="N992" s="8">
        <v>280147825280</v>
      </c>
      <c r="O992" s="8">
        <v>265364298880</v>
      </c>
      <c r="P992" s="8">
        <v>303801467520</v>
      </c>
      <c r="Q992" s="18">
        <f>(Table1[[#This Row],[A. TÀI SẢN NGẮN HẠN]]-Table1[[#This Row],[I. Nợ ngắn hạn]])/Table1[[#This Row],[TỔNG CỘNG TÀI SẢN]]</f>
        <v>0.38334731311904197</v>
      </c>
      <c r="R992" s="18">
        <f>Table1[[#This Row],[- LNST chưa phân phối kỳ này]]/Table1[[#This Row],[TỔNG CỘNG TÀI SẢN]]</f>
        <v>2.9161226898915146E-2</v>
      </c>
      <c r="S992" s="21">
        <f>Table1[[#This Row],[5. Lợi nhuận gộp về bán hàng và cung cấp dịch vụ]]/Table1[[#This Row],[TỔNG CỘNG TÀI SẢN]]</f>
        <v>5.3194356550758513E-2</v>
      </c>
      <c r="T99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0.93095235253678055</v>
      </c>
      <c r="U992" s="23">
        <f>Table1[[#This Row],[1. Doanh thu bán hàng và cung cấp dịch vụ ]]/Table1[[#This Row],[TỔNG CỘNG TÀI SẢN]]</f>
        <v>0.97437808866996056</v>
      </c>
      <c r="V992" s="23">
        <f>1.2*Table1[[#This Row],[X1]] + 1.4*Table1[[#This Row],[X2]] + 3.3*Table1[[#This Row],[x3]] + 0.6*Table1[[#This Row],[x4]] + 1*Table1[[#This Row],[x5]]</f>
        <v>2.2093333702108637</v>
      </c>
      <c r="W992" s="23">
        <f>IF(Table1[[#This Row],[Zscore]]&lt;1.81,1,0)</f>
        <v>0</v>
      </c>
    </row>
    <row r="993" spans="1:23" hidden="1" x14ac:dyDescent="0.45">
      <c r="A993" s="7">
        <v>987</v>
      </c>
      <c r="B993" s="5" t="s">
        <v>1986</v>
      </c>
      <c r="C993" s="6" t="s">
        <v>1987</v>
      </c>
      <c r="D993" s="6" t="s">
        <v>18</v>
      </c>
      <c r="E993" s="6"/>
      <c r="F993" s="6"/>
      <c r="G993" s="6"/>
      <c r="H993" s="6"/>
      <c r="I993" s="6"/>
      <c r="J993" s="8"/>
      <c r="K993" s="6"/>
      <c r="L993" s="6"/>
      <c r="M993" s="8"/>
      <c r="N993" s="8"/>
      <c r="O993" s="8"/>
      <c r="P993" s="8"/>
      <c r="Q993" s="18" t="e">
        <f>(Table1[[#This Row],[A. TÀI SẢN NGẮN HẠN]]-Table1[[#This Row],[I. Nợ ngắn hạn]])/Table1[[#This Row],[TỔNG CỘNG TÀI SẢN]]</f>
        <v>#DIV/0!</v>
      </c>
      <c r="R993" s="18" t="e">
        <f>Table1[[#This Row],[- LNST chưa phân phối kỳ này]]/Table1[[#This Row],[TỔNG CỘNG TÀI SẢN]]</f>
        <v>#DIV/0!</v>
      </c>
      <c r="S993" s="21" t="e">
        <f>Table1[[#This Row],[5. Lợi nhuận gộp về bán hàng và cung cấp dịch vụ]]/Table1[[#This Row],[TỔNG CỘNG TÀI SẢN]]</f>
        <v>#DIV/0!</v>
      </c>
      <c r="T99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993" s="23" t="e">
        <f>Table1[[#This Row],[1. Doanh thu bán hàng và cung cấp dịch vụ ]]/Table1[[#This Row],[TỔNG CỘNG TÀI SẢN]]</f>
        <v>#DIV/0!</v>
      </c>
      <c r="V993" s="23" t="e">
        <f>1.2*Table1[[#This Row],[X1]] + 1.4*Table1[[#This Row],[X2]] + 3.3*Table1[[#This Row],[x3]] + 0.6*Table1[[#This Row],[x4]] + 1*Table1[[#This Row],[x5]]</f>
        <v>#DIV/0!</v>
      </c>
      <c r="W993" s="23" t="e">
        <f>IF(Table1[[#This Row],[Zscore]]&lt;1.81,1,0)</f>
        <v>#DIV/0!</v>
      </c>
    </row>
    <row r="994" spans="1:23" ht="26.25" x14ac:dyDescent="0.45">
      <c r="A994" s="7">
        <v>988</v>
      </c>
      <c r="B994" s="5" t="s">
        <v>1988</v>
      </c>
      <c r="C994" s="6" t="s">
        <v>1989</v>
      </c>
      <c r="D994" s="6" t="s">
        <v>21</v>
      </c>
      <c r="E994" s="8">
        <v>46499006209611</v>
      </c>
      <c r="F994" s="8">
        <v>46331257961416</v>
      </c>
      <c r="G994" s="8">
        <v>31955862213589</v>
      </c>
      <c r="H994" s="8">
        <v>301058257439</v>
      </c>
      <c r="I994" s="8">
        <v>1983737787667</v>
      </c>
      <c r="J994" s="8"/>
      <c r="K994" s="8">
        <v>31955862213589</v>
      </c>
      <c r="L994" s="8">
        <v>5136152570432</v>
      </c>
      <c r="M994" s="8">
        <v>22031116088400</v>
      </c>
      <c r="N994" s="8">
        <v>24191029430400</v>
      </c>
      <c r="O994" s="8">
        <v>15407381839600</v>
      </c>
      <c r="P994" s="8">
        <v>19223228743800</v>
      </c>
      <c r="Q994" s="18">
        <f>(Table1[[#This Row],[A. TÀI SẢN NGẮN HẠN]]-Table1[[#This Row],[I. Nợ ngắn hạn]])/Table1[[#This Row],[TỔNG CỘNG TÀI SẢN]]</f>
        <v>0.30915490286017577</v>
      </c>
      <c r="R994" s="18">
        <f>Table1[[#This Row],[- LNST chưa phân phối kỳ này]]/Table1[[#This Row],[TỔNG CỘNG TÀI SẢN]]</f>
        <v>6.4745094998777302E-3</v>
      </c>
      <c r="S994" s="21">
        <f>Table1[[#This Row],[5. Lợi nhuận gộp về bán hàng và cung cấp dịch vụ]]/Table1[[#This Row],[TỔNG CỘNG TÀI SẢN]]</f>
        <v>4.266193945575069E-2</v>
      </c>
      <c r="T99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0.63253461572864356</v>
      </c>
      <c r="U994" s="23">
        <f>Table1[[#This Row],[1. Doanh thu bán hàng và cung cấp dịch vụ ]]/Table1[[#This Row],[TỔNG CỘNG TÀI SẢN]]</f>
        <v>0.11045725466215223</v>
      </c>
      <c r="V994" s="23">
        <f>1.2*Table1[[#This Row],[X1]] + 1.4*Table1[[#This Row],[X2]] + 3.3*Table1[[#This Row],[x3]] + 0.6*Table1[[#This Row],[x4]] + 1*Table1[[#This Row],[x5]]</f>
        <v>1.0108126210353554</v>
      </c>
      <c r="W994" s="23">
        <f>IF(Table1[[#This Row],[Zscore]]&lt;1.81,1,0)</f>
        <v>1</v>
      </c>
    </row>
    <row r="995" spans="1:23" ht="26.25" hidden="1" x14ac:dyDescent="0.45">
      <c r="A995" s="7">
        <v>989</v>
      </c>
      <c r="B995" s="5" t="s">
        <v>1990</v>
      </c>
      <c r="C995" s="6" t="s">
        <v>1991</v>
      </c>
      <c r="D995" s="6" t="s">
        <v>13</v>
      </c>
      <c r="E995" s="6"/>
      <c r="F995" s="6"/>
      <c r="G995" s="6"/>
      <c r="H995" s="6"/>
      <c r="I995" s="6"/>
      <c r="J995" s="8"/>
      <c r="K995" s="6"/>
      <c r="L995" s="6"/>
      <c r="M995" s="8"/>
      <c r="N995" s="8"/>
      <c r="O995" s="8"/>
      <c r="P995" s="8"/>
      <c r="Q995" s="18" t="e">
        <f>(Table1[[#This Row],[A. TÀI SẢN NGẮN HẠN]]-Table1[[#This Row],[I. Nợ ngắn hạn]])/Table1[[#This Row],[TỔNG CỘNG TÀI SẢN]]</f>
        <v>#DIV/0!</v>
      </c>
      <c r="R995" s="18" t="e">
        <f>Table1[[#This Row],[- LNST chưa phân phối kỳ này]]/Table1[[#This Row],[TỔNG CỘNG TÀI SẢN]]</f>
        <v>#DIV/0!</v>
      </c>
      <c r="S995" s="21" t="e">
        <f>Table1[[#This Row],[5. Lợi nhuận gộp về bán hàng và cung cấp dịch vụ]]/Table1[[#This Row],[TỔNG CỘNG TÀI SẢN]]</f>
        <v>#DIV/0!</v>
      </c>
      <c r="T99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995" s="23" t="e">
        <f>Table1[[#This Row],[1. Doanh thu bán hàng và cung cấp dịch vụ ]]/Table1[[#This Row],[TỔNG CỘNG TÀI SẢN]]</f>
        <v>#DIV/0!</v>
      </c>
      <c r="V995" s="23" t="e">
        <f>1.2*Table1[[#This Row],[X1]] + 1.4*Table1[[#This Row],[X2]] + 3.3*Table1[[#This Row],[x3]] + 0.6*Table1[[#This Row],[x4]] + 1*Table1[[#This Row],[x5]]</f>
        <v>#DIV/0!</v>
      </c>
      <c r="W995" s="23" t="e">
        <f>IF(Table1[[#This Row],[Zscore]]&lt;1.81,1,0)</f>
        <v>#DIV/0!</v>
      </c>
    </row>
    <row r="996" spans="1:23" ht="26.25" x14ac:dyDescent="0.45">
      <c r="A996" s="7">
        <v>990</v>
      </c>
      <c r="B996" s="5" t="s">
        <v>1992</v>
      </c>
      <c r="C996" s="6" t="s">
        <v>1993</v>
      </c>
      <c r="D996" s="6" t="s">
        <v>36</v>
      </c>
      <c r="E996" s="8">
        <v>42662870863</v>
      </c>
      <c r="F996" s="8">
        <v>35231849665</v>
      </c>
      <c r="G996" s="8">
        <v>3634759288</v>
      </c>
      <c r="H996" s="8">
        <v>370725394</v>
      </c>
      <c r="I996" s="6"/>
      <c r="J996" s="8"/>
      <c r="K996" s="8">
        <v>3634759288</v>
      </c>
      <c r="L996" s="6"/>
      <c r="M996" s="8">
        <v>24196620000</v>
      </c>
      <c r="N996" s="8">
        <v>21776958000</v>
      </c>
      <c r="O996" s="8">
        <v>24196620000</v>
      </c>
      <c r="P996" s="8">
        <v>24196620000</v>
      </c>
      <c r="Q996" s="18">
        <f>(Table1[[#This Row],[A. TÀI SẢN NGẮN HẠN]]-Table1[[#This Row],[I. Nợ ngắn hạn]])/Table1[[#This Row],[TỔNG CỘNG TÀI SẢN]]</f>
        <v>0.74062269457827412</v>
      </c>
      <c r="R996" s="18">
        <f>Table1[[#This Row],[- LNST chưa phân phối kỳ này]]/Table1[[#This Row],[TỔNG CỘNG TÀI SẢN]]</f>
        <v>8.6896494891420227E-3</v>
      </c>
      <c r="S996" s="21">
        <f>Table1[[#This Row],[5. Lợi nhuận gộp về bán hàng và cung cấp dịch vụ]]/Table1[[#This Row],[TỔNG CỘNG TÀI SẢN]]</f>
        <v>0</v>
      </c>
      <c r="T99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6.4905823551746575</v>
      </c>
      <c r="U996" s="23">
        <f>Table1[[#This Row],[1. Doanh thu bán hàng và cung cấp dịch vụ ]]/Table1[[#This Row],[TỔNG CỘNG TÀI SẢN]]</f>
        <v>0</v>
      </c>
      <c r="V996" s="23">
        <f>1.2*Table1[[#This Row],[X1]] + 1.4*Table1[[#This Row],[X2]] + 3.3*Table1[[#This Row],[x3]] + 0.6*Table1[[#This Row],[x4]] + 1*Table1[[#This Row],[x5]]</f>
        <v>4.7952621558835222</v>
      </c>
      <c r="W996" s="23">
        <f>IF(Table1[[#This Row],[Zscore]]&lt;1.81,1,0)</f>
        <v>0</v>
      </c>
    </row>
    <row r="997" spans="1:23" hidden="1" x14ac:dyDescent="0.45">
      <c r="A997" s="7">
        <v>991</v>
      </c>
      <c r="B997" s="5" t="s">
        <v>1994</v>
      </c>
      <c r="C997" s="6" t="s">
        <v>1995</v>
      </c>
      <c r="D997" s="6" t="s">
        <v>18</v>
      </c>
      <c r="E997" s="8">
        <v>356861600168</v>
      </c>
      <c r="F997" s="8">
        <v>352673754650</v>
      </c>
      <c r="G997" s="8">
        <v>131669423123</v>
      </c>
      <c r="H997" s="8">
        <v>11393173590</v>
      </c>
      <c r="I997" s="8">
        <v>58765869402</v>
      </c>
      <c r="J997" s="8"/>
      <c r="K997" s="8">
        <v>235220159117</v>
      </c>
      <c r="L997" s="8">
        <v>173876019062</v>
      </c>
      <c r="M997" s="8"/>
      <c r="N997" s="8"/>
      <c r="O997" s="8"/>
      <c r="P997" s="8"/>
      <c r="Q997" s="18">
        <f>(Table1[[#This Row],[A. TÀI SẢN NGẮN HẠN]]-Table1[[#This Row],[I. Nợ ngắn hạn]])/Table1[[#This Row],[TỔNG CỘNG TÀI SẢN]]</f>
        <v>0.61929983899348551</v>
      </c>
      <c r="R997" s="18">
        <f>Table1[[#This Row],[- LNST chưa phân phối kỳ này]]/Table1[[#This Row],[TỔNG CỘNG TÀI SẢN]]</f>
        <v>3.192602842288559E-2</v>
      </c>
      <c r="S997" s="21">
        <f>Table1[[#This Row],[5. Lợi nhuận gộp về bán hàng và cung cấp dịch vụ]]/Table1[[#This Row],[TỔNG CỘNG TÀI SẢN]]</f>
        <v>0.16467411840986743</v>
      </c>
      <c r="T99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997" s="23">
        <f>Table1[[#This Row],[1. Doanh thu bán hàng và cung cấp dịch vụ ]]/Table1[[#This Row],[TỔNG CỘNG TÀI SẢN]]</f>
        <v>0.48723656168145929</v>
      </c>
      <c r="V997" s="23" t="e">
        <f>1.2*Table1[[#This Row],[X1]] + 1.4*Table1[[#This Row],[X2]] + 3.3*Table1[[#This Row],[x3]] + 0.6*Table1[[#This Row],[x4]] + 1*Table1[[#This Row],[x5]]</f>
        <v>#DIV/0!</v>
      </c>
      <c r="W997" s="23" t="e">
        <f>IF(Table1[[#This Row],[Zscore]]&lt;1.81,1,0)</f>
        <v>#DIV/0!</v>
      </c>
    </row>
    <row r="998" spans="1:23" ht="26.25" hidden="1" x14ac:dyDescent="0.45">
      <c r="A998" s="7">
        <v>992</v>
      </c>
      <c r="B998" s="5" t="s">
        <v>1996</v>
      </c>
      <c r="C998" s="6" t="s">
        <v>1997</v>
      </c>
      <c r="D998" s="6" t="s">
        <v>13</v>
      </c>
      <c r="E998" s="6"/>
      <c r="F998" s="6"/>
      <c r="G998" s="6"/>
      <c r="H998" s="6"/>
      <c r="I998" s="6"/>
      <c r="J998" s="8"/>
      <c r="K998" s="6"/>
      <c r="L998" s="6"/>
      <c r="M998" s="8"/>
      <c r="N998" s="8"/>
      <c r="O998" s="8"/>
      <c r="P998" s="8"/>
      <c r="Q998" s="18" t="e">
        <f>(Table1[[#This Row],[A. TÀI SẢN NGẮN HẠN]]-Table1[[#This Row],[I. Nợ ngắn hạn]])/Table1[[#This Row],[TỔNG CỘNG TÀI SẢN]]</f>
        <v>#DIV/0!</v>
      </c>
      <c r="R998" s="18" t="e">
        <f>Table1[[#This Row],[- LNST chưa phân phối kỳ này]]/Table1[[#This Row],[TỔNG CỘNG TÀI SẢN]]</f>
        <v>#DIV/0!</v>
      </c>
      <c r="S998" s="21" t="e">
        <f>Table1[[#This Row],[5. Lợi nhuận gộp về bán hàng và cung cấp dịch vụ]]/Table1[[#This Row],[TỔNG CỘNG TÀI SẢN]]</f>
        <v>#DIV/0!</v>
      </c>
      <c r="T99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998" s="23" t="e">
        <f>Table1[[#This Row],[1. Doanh thu bán hàng và cung cấp dịch vụ ]]/Table1[[#This Row],[TỔNG CỘNG TÀI SẢN]]</f>
        <v>#DIV/0!</v>
      </c>
      <c r="V998" s="23" t="e">
        <f>1.2*Table1[[#This Row],[X1]] + 1.4*Table1[[#This Row],[X2]] + 3.3*Table1[[#This Row],[x3]] + 0.6*Table1[[#This Row],[x4]] + 1*Table1[[#This Row],[x5]]</f>
        <v>#DIV/0!</v>
      </c>
      <c r="W998" s="23" t="e">
        <f>IF(Table1[[#This Row],[Zscore]]&lt;1.81,1,0)</f>
        <v>#DIV/0!</v>
      </c>
    </row>
    <row r="999" spans="1:23" ht="26.25" x14ac:dyDescent="0.45">
      <c r="A999" s="7">
        <v>993</v>
      </c>
      <c r="B999" s="5" t="s">
        <v>1998</v>
      </c>
      <c r="C999" s="6" t="s">
        <v>1999</v>
      </c>
      <c r="D999" s="6" t="s">
        <v>18</v>
      </c>
      <c r="E999" s="8">
        <v>816618304379</v>
      </c>
      <c r="F999" s="8">
        <v>369661786801</v>
      </c>
      <c r="G999" s="8">
        <v>321227585819</v>
      </c>
      <c r="H999" s="6"/>
      <c r="I999" s="8">
        <v>23056832201</v>
      </c>
      <c r="J999" s="8"/>
      <c r="K999" s="8">
        <v>425129839524</v>
      </c>
      <c r="L999" s="8">
        <v>154776456926</v>
      </c>
      <c r="M999" s="8">
        <v>204120000000</v>
      </c>
      <c r="N999" s="8">
        <v>175392000000</v>
      </c>
      <c r="O999" s="8">
        <v>192024000000</v>
      </c>
      <c r="P999" s="8">
        <v>198072000000</v>
      </c>
      <c r="Q999" s="18">
        <f>(Table1[[#This Row],[A. TÀI SẢN NGẮN HẠN]]-Table1[[#This Row],[I. Nợ ngắn hạn]])/Table1[[#This Row],[TỔNG CỘNG TÀI SẢN]]</f>
        <v>5.9310697203673317E-2</v>
      </c>
      <c r="R999" s="18">
        <f>Table1[[#This Row],[- LNST chưa phân phối kỳ này]]/Table1[[#This Row],[TỔNG CỘNG TÀI SẢN]]</f>
        <v>0</v>
      </c>
      <c r="S999" s="21">
        <f>Table1[[#This Row],[5. Lợi nhuận gộp về bán hàng và cung cấp dịch vụ]]/Table1[[#This Row],[TỔNG CỘNG TÀI SẢN]]</f>
        <v>2.8234527780434265E-2</v>
      </c>
      <c r="T99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0.45257232523462582</v>
      </c>
      <c r="U999" s="23">
        <f>Table1[[#This Row],[1. Doanh thu bán hàng và cung cấp dịch vụ ]]/Table1[[#This Row],[TỔNG CỘNG TÀI SẢN]]</f>
        <v>0.18953341615787103</v>
      </c>
      <c r="V999" s="23">
        <f>1.2*Table1[[#This Row],[X1]] + 1.4*Table1[[#This Row],[X2]] + 3.3*Table1[[#This Row],[x3]] + 0.6*Table1[[#This Row],[x4]] + 1*Table1[[#This Row],[x5]]</f>
        <v>0.62542358961848754</v>
      </c>
      <c r="W999" s="23">
        <f>IF(Table1[[#This Row],[Zscore]]&lt;1.81,1,0)</f>
        <v>1</v>
      </c>
    </row>
    <row r="1000" spans="1:23" ht="26.25" hidden="1" x14ac:dyDescent="0.45">
      <c r="A1000" s="7">
        <v>994</v>
      </c>
      <c r="B1000" s="5" t="s">
        <v>2000</v>
      </c>
      <c r="C1000" s="6" t="s">
        <v>2001</v>
      </c>
      <c r="D1000" s="6" t="s">
        <v>18</v>
      </c>
      <c r="E1000" s="8">
        <v>170483319895</v>
      </c>
      <c r="F1000" s="8">
        <v>158083483960</v>
      </c>
      <c r="G1000" s="8">
        <v>47890612821</v>
      </c>
      <c r="H1000" s="8">
        <v>2400935871</v>
      </c>
      <c r="I1000" s="8">
        <v>204719828</v>
      </c>
      <c r="J1000" s="8"/>
      <c r="K1000" s="8">
        <v>58861401526</v>
      </c>
      <c r="L1000" s="8">
        <v>986659023</v>
      </c>
      <c r="M1000" s="8"/>
      <c r="N1000" s="8"/>
      <c r="O1000" s="8"/>
      <c r="P1000" s="8"/>
      <c r="Q1000" s="18">
        <f>(Table1[[#This Row],[A. TÀI SẢN NGẮN HẠN]]-Table1[[#This Row],[I. Nợ ngắn hạn]])/Table1[[#This Row],[TỔNG CỘNG TÀI SẢN]]</f>
        <v>0.64635573267148572</v>
      </c>
      <c r="R1000" s="18">
        <f>Table1[[#This Row],[- LNST chưa phân phối kỳ này]]/Table1[[#This Row],[TỔNG CỘNG TÀI SẢN]]</f>
        <v>1.4083113072168743E-2</v>
      </c>
      <c r="S1000" s="21">
        <f>Table1[[#This Row],[5. Lợi nhuận gộp về bán hàng và cung cấp dịch vụ]]/Table1[[#This Row],[TỔNG CỘNG TÀI SẢN]]</f>
        <v>1.2008202804009572E-3</v>
      </c>
      <c r="T100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000" s="23">
        <f>Table1[[#This Row],[1. Doanh thu bán hàng và cung cấp dịch vụ ]]/Table1[[#This Row],[TỔNG CỘNG TÀI SẢN]]</f>
        <v>5.7874226264931919E-3</v>
      </c>
      <c r="V1000" s="23" t="e">
        <f>1.2*Table1[[#This Row],[X1]] + 1.4*Table1[[#This Row],[X2]] + 3.3*Table1[[#This Row],[x3]] + 0.6*Table1[[#This Row],[x4]] + 1*Table1[[#This Row],[x5]]</f>
        <v>#DIV/0!</v>
      </c>
      <c r="W1000" s="23" t="e">
        <f>IF(Table1[[#This Row],[Zscore]]&lt;1.81,1,0)</f>
        <v>#DIV/0!</v>
      </c>
    </row>
    <row r="1001" spans="1:23" x14ac:dyDescent="0.45">
      <c r="A1001" s="7">
        <v>995</v>
      </c>
      <c r="B1001" s="5" t="s">
        <v>2002</v>
      </c>
      <c r="C1001" s="6" t="s">
        <v>2003</v>
      </c>
      <c r="D1001" s="6" t="s">
        <v>36</v>
      </c>
      <c r="E1001" s="8">
        <v>528773110767</v>
      </c>
      <c r="F1001" s="8">
        <v>376537319336</v>
      </c>
      <c r="G1001" s="8">
        <v>152751682016</v>
      </c>
      <c r="H1001" s="8">
        <v>22510065868</v>
      </c>
      <c r="I1001" s="8">
        <v>108119636352</v>
      </c>
      <c r="J1001" s="8"/>
      <c r="K1001" s="8">
        <v>160374735651</v>
      </c>
      <c r="L1001" s="8">
        <v>318538107847</v>
      </c>
      <c r="M1001" s="8">
        <v>137999835000</v>
      </c>
      <c r="N1001" s="8">
        <v>168359798700</v>
      </c>
      <c r="O1001" s="8">
        <v>126959848200</v>
      </c>
      <c r="P1001" s="8">
        <v>165599802000</v>
      </c>
      <c r="Q1001" s="18">
        <f>(Table1[[#This Row],[A. TÀI SẢN NGẮN HẠN]]-Table1[[#This Row],[I. Nợ ngắn hạn]])/Table1[[#This Row],[TỔNG CỘNG TÀI SẢN]]</f>
        <v>0.42321674979915819</v>
      </c>
      <c r="R1001" s="18">
        <f>Table1[[#This Row],[- LNST chưa phân phối kỳ này]]/Table1[[#This Row],[TỔNG CỘNG TÀI SẢN]]</f>
        <v>4.2570367913278583E-2</v>
      </c>
      <c r="S1001" s="21">
        <f>Table1[[#This Row],[5. Lợi nhuận gộp về bán hàng và cung cấp dịch vụ]]/Table1[[#This Row],[TỔNG CỘNG TÀI SẢN]]</f>
        <v>0.20447264460019438</v>
      </c>
      <c r="T100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0.93362474062520073</v>
      </c>
      <c r="U1001" s="23">
        <f>Table1[[#This Row],[1. Doanh thu bán hàng và cung cấp dịch vụ ]]/Table1[[#This Row],[TỔNG CỘNG TÀI SẢN]]</f>
        <v>0.60240980745967143</v>
      </c>
      <c r="V1001" s="23">
        <f>1.2*Table1[[#This Row],[X1]] + 1.4*Table1[[#This Row],[X2]] + 3.3*Table1[[#This Row],[x3]] + 0.6*Table1[[#This Row],[x4]] + 1*Table1[[#This Row],[x5]]</f>
        <v>2.4048029938530129</v>
      </c>
      <c r="W1001" s="23">
        <f>IF(Table1[[#This Row],[Zscore]]&lt;1.81,1,0)</f>
        <v>0</v>
      </c>
    </row>
    <row r="1002" spans="1:23" ht="26.25" x14ac:dyDescent="0.45">
      <c r="A1002" s="7">
        <v>996</v>
      </c>
      <c r="B1002" s="5" t="s">
        <v>2004</v>
      </c>
      <c r="C1002" s="6" t="s">
        <v>2005</v>
      </c>
      <c r="D1002" s="6" t="s">
        <v>21</v>
      </c>
      <c r="E1002" s="8">
        <v>931101281000000</v>
      </c>
      <c r="F1002" s="6"/>
      <c r="G1002" s="6"/>
      <c r="H1002" s="6"/>
      <c r="I1002" s="6"/>
      <c r="J1002" s="8"/>
      <c r="K1002" s="8">
        <v>852836677000000</v>
      </c>
      <c r="L1002" s="8">
        <v>67992416000000</v>
      </c>
      <c r="M1002" s="8">
        <v>77240842177200</v>
      </c>
      <c r="N1002" s="8">
        <v>114624650358900</v>
      </c>
      <c r="O1002" s="8">
        <v>76521034821600</v>
      </c>
      <c r="P1002" s="8">
        <v>108346882692000</v>
      </c>
      <c r="Q1002" s="18">
        <f>(Table1[[#This Row],[A. TÀI SẢN NGẮN HẠN]]-Table1[[#This Row],[I. Nợ ngắn hạn]])/Table1[[#This Row],[TỔNG CỘNG TÀI SẢN]]</f>
        <v>0</v>
      </c>
      <c r="R1002" s="18">
        <f>Table1[[#This Row],[- LNST chưa phân phối kỳ này]]/Table1[[#This Row],[TỔNG CỘNG TÀI SẢN]]</f>
        <v>0</v>
      </c>
      <c r="S1002" s="21">
        <f>Table1[[#This Row],[5. Lợi nhuận gộp về bán hàng và cung cấp dịch vụ]]/Table1[[#This Row],[TỔNG CỘNG TÀI SẢN]]</f>
        <v>0</v>
      </c>
      <c r="T100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0.11043539173729157</v>
      </c>
      <c r="U1002" s="23">
        <f>Table1[[#This Row],[1. Doanh thu bán hàng và cung cấp dịch vụ ]]/Table1[[#This Row],[TỔNG CỘNG TÀI SẢN]]</f>
        <v>7.302365208538468E-2</v>
      </c>
      <c r="V1002" s="23">
        <f>1.2*Table1[[#This Row],[X1]] + 1.4*Table1[[#This Row],[X2]] + 3.3*Table1[[#This Row],[x3]] + 0.6*Table1[[#This Row],[x4]] + 1*Table1[[#This Row],[x5]]</f>
        <v>0.1392848871277596</v>
      </c>
      <c r="W1002" s="23">
        <f>IF(Table1[[#This Row],[Zscore]]&lt;1.81,1,0)</f>
        <v>1</v>
      </c>
    </row>
    <row r="1003" spans="1:23" hidden="1" x14ac:dyDescent="0.45">
      <c r="A1003" s="7">
        <v>997</v>
      </c>
      <c r="B1003" s="5" t="s">
        <v>2006</v>
      </c>
      <c r="C1003" s="6" t="s">
        <v>2007</v>
      </c>
      <c r="D1003" s="6" t="s">
        <v>13</v>
      </c>
      <c r="E1003" s="8">
        <v>6106131893847</v>
      </c>
      <c r="F1003" s="8">
        <v>5998540275609</v>
      </c>
      <c r="G1003" s="8">
        <v>2633284900621</v>
      </c>
      <c r="H1003" s="8">
        <v>43600543520</v>
      </c>
      <c r="I1003" s="8">
        <v>1395653523701</v>
      </c>
      <c r="J1003" s="8"/>
      <c r="K1003" s="8">
        <v>2644185036501</v>
      </c>
      <c r="L1003" s="8">
        <v>2030770963995</v>
      </c>
      <c r="M1003" s="8"/>
      <c r="N1003" s="8"/>
      <c r="O1003" s="8"/>
      <c r="P1003" s="8"/>
      <c r="Q1003" s="18">
        <f>(Table1[[#This Row],[A. TÀI SẢN NGẮN HẠN]]-Table1[[#This Row],[I. Nợ ngắn hạn]])/Table1[[#This Row],[TỔNG CỘNG TÀI SẢN]]</f>
        <v>0.55112720024588491</v>
      </c>
      <c r="R1003" s="18">
        <f>Table1[[#This Row],[- LNST chưa phân phối kỳ này]]/Table1[[#This Row],[TỔNG CỘNG TÀI SẢN]]</f>
        <v>7.1404522990954717E-3</v>
      </c>
      <c r="S1003" s="21">
        <f>Table1[[#This Row],[5. Lợi nhuận gộp về bán hàng và cung cấp dịch vụ]]/Table1[[#This Row],[TỔNG CỘNG TÀI SẢN]]</f>
        <v>0.22856589866775823</v>
      </c>
      <c r="T100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003" s="23">
        <f>Table1[[#This Row],[1. Doanh thu bán hàng và cung cấp dịch vụ ]]/Table1[[#This Row],[TỔNG CỘNG TÀI SẢN]]</f>
        <v>0.33257895494222101</v>
      </c>
      <c r="V1003" s="23" t="e">
        <f>1.2*Table1[[#This Row],[X1]] + 1.4*Table1[[#This Row],[X2]] + 3.3*Table1[[#This Row],[x3]] + 0.6*Table1[[#This Row],[x4]] + 1*Table1[[#This Row],[x5]]</f>
        <v>#DIV/0!</v>
      </c>
      <c r="W1003" s="23" t="e">
        <f>IF(Table1[[#This Row],[Zscore]]&lt;1.81,1,0)</f>
        <v>#DIV/0!</v>
      </c>
    </row>
    <row r="1004" spans="1:23" ht="26.25" x14ac:dyDescent="0.45">
      <c r="A1004" s="7">
        <v>998</v>
      </c>
      <c r="B1004" s="5" t="s">
        <v>2008</v>
      </c>
      <c r="C1004" s="6" t="s">
        <v>2009</v>
      </c>
      <c r="D1004" s="6" t="s">
        <v>21</v>
      </c>
      <c r="E1004" s="8">
        <v>6084132066183</v>
      </c>
      <c r="F1004" s="8">
        <v>3153980756465</v>
      </c>
      <c r="G1004" s="8">
        <v>1918407254193</v>
      </c>
      <c r="H1004" s="8">
        <v>639205490694</v>
      </c>
      <c r="I1004" s="8">
        <v>96559785030</v>
      </c>
      <c r="J1004" s="8"/>
      <c r="K1004" s="8">
        <v>3147240032134</v>
      </c>
      <c r="L1004" s="8">
        <v>456497816007</v>
      </c>
      <c r="M1004" s="8">
        <v>4922597061600</v>
      </c>
      <c r="N1004" s="8">
        <v>4534428761700</v>
      </c>
      <c r="O1004" s="8">
        <v>4592640374500</v>
      </c>
      <c r="P1004" s="8">
        <v>6483203014100</v>
      </c>
      <c r="Q1004" s="18">
        <f>(Table1[[#This Row],[A. TÀI SẢN NGẮN HẠN]]-Table1[[#This Row],[I. Nợ ngắn hạn]])/Table1[[#This Row],[TỔNG CỘNG TÀI SẢN]]</f>
        <v>0.20308130869472749</v>
      </c>
      <c r="R1004" s="18">
        <f>Table1[[#This Row],[- LNST chưa phân phối kỳ này]]/Table1[[#This Row],[TỔNG CỘNG TÀI SẢN]]</f>
        <v>0.1050610808149367</v>
      </c>
      <c r="S1004" s="21">
        <f>Table1[[#This Row],[5. Lợi nhuận gộp về bán hàng và cung cấp dịch vụ]]/Table1[[#This Row],[TỔNG CỘNG TÀI SẢN]]</f>
        <v>1.5870757567328527E-2</v>
      </c>
      <c r="T100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1.6310218637802467</v>
      </c>
      <c r="U1004" s="23">
        <f>Table1[[#This Row],[1. Doanh thu bán hàng và cung cấp dịch vụ ]]/Table1[[#This Row],[TỔNG CỘNG TÀI SẢN]]</f>
        <v>7.5030885431353375E-2</v>
      </c>
      <c r="V1004" s="23">
        <f>1.2*Table1[[#This Row],[X1]] + 1.4*Table1[[#This Row],[X2]] + 3.3*Table1[[#This Row],[x3]] + 0.6*Table1[[#This Row],[x4]] + 1*Table1[[#This Row],[x5]]</f>
        <v>1.4968005872462697</v>
      </c>
      <c r="W1004" s="23">
        <f>IF(Table1[[#This Row],[Zscore]]&lt;1.81,1,0)</f>
        <v>1</v>
      </c>
    </row>
    <row r="1005" spans="1:23" hidden="1" x14ac:dyDescent="0.45">
      <c r="A1005" s="7">
        <v>999</v>
      </c>
      <c r="B1005" s="5" t="s">
        <v>2010</v>
      </c>
      <c r="C1005" s="6" t="s">
        <v>2011</v>
      </c>
      <c r="D1005" s="6" t="s">
        <v>13</v>
      </c>
      <c r="E1005" s="6"/>
      <c r="F1005" s="6"/>
      <c r="G1005" s="6"/>
      <c r="H1005" s="6"/>
      <c r="I1005" s="6"/>
      <c r="J1005" s="8"/>
      <c r="K1005" s="6"/>
      <c r="L1005" s="6"/>
      <c r="M1005" s="8"/>
      <c r="N1005" s="8"/>
      <c r="O1005" s="8"/>
      <c r="P1005" s="8"/>
      <c r="Q1005" s="18" t="e">
        <f>(Table1[[#This Row],[A. TÀI SẢN NGẮN HẠN]]-Table1[[#This Row],[I. Nợ ngắn hạn]])/Table1[[#This Row],[TỔNG CỘNG TÀI SẢN]]</f>
        <v>#DIV/0!</v>
      </c>
      <c r="R1005" s="18" t="e">
        <f>Table1[[#This Row],[- LNST chưa phân phối kỳ này]]/Table1[[#This Row],[TỔNG CỘNG TÀI SẢN]]</f>
        <v>#DIV/0!</v>
      </c>
      <c r="S1005" s="21" t="e">
        <f>Table1[[#This Row],[5. Lợi nhuận gộp về bán hàng và cung cấp dịch vụ]]/Table1[[#This Row],[TỔNG CỘNG TÀI SẢN]]</f>
        <v>#DIV/0!</v>
      </c>
      <c r="T100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005" s="23" t="e">
        <f>Table1[[#This Row],[1. Doanh thu bán hàng và cung cấp dịch vụ ]]/Table1[[#This Row],[TỔNG CỘNG TÀI SẢN]]</f>
        <v>#DIV/0!</v>
      </c>
      <c r="V1005" s="23" t="e">
        <f>1.2*Table1[[#This Row],[X1]] + 1.4*Table1[[#This Row],[X2]] + 3.3*Table1[[#This Row],[x3]] + 0.6*Table1[[#This Row],[x4]] + 1*Table1[[#This Row],[x5]]</f>
        <v>#DIV/0!</v>
      </c>
      <c r="W1005" s="23" t="e">
        <f>IF(Table1[[#This Row],[Zscore]]&lt;1.81,1,0)</f>
        <v>#DIV/0!</v>
      </c>
    </row>
    <row r="1006" spans="1:23" hidden="1" x14ac:dyDescent="0.45">
      <c r="A1006" s="7">
        <v>1000</v>
      </c>
      <c r="B1006" s="5" t="s">
        <v>2012</v>
      </c>
      <c r="C1006" s="6" t="s">
        <v>2013</v>
      </c>
      <c r="D1006" s="6" t="s">
        <v>13</v>
      </c>
      <c r="E1006" s="6"/>
      <c r="F1006" s="6"/>
      <c r="G1006" s="6"/>
      <c r="H1006" s="6"/>
      <c r="I1006" s="6"/>
      <c r="J1006" s="8"/>
      <c r="K1006" s="6"/>
      <c r="L1006" s="6"/>
      <c r="M1006" s="8"/>
      <c r="N1006" s="8"/>
      <c r="O1006" s="8"/>
      <c r="P1006" s="8"/>
      <c r="Q1006" s="18" t="e">
        <f>(Table1[[#This Row],[A. TÀI SẢN NGẮN HẠN]]-Table1[[#This Row],[I. Nợ ngắn hạn]])/Table1[[#This Row],[TỔNG CỘNG TÀI SẢN]]</f>
        <v>#DIV/0!</v>
      </c>
      <c r="R1006" s="18" t="e">
        <f>Table1[[#This Row],[- LNST chưa phân phối kỳ này]]/Table1[[#This Row],[TỔNG CỘNG TÀI SẢN]]</f>
        <v>#DIV/0!</v>
      </c>
      <c r="S1006" s="21" t="e">
        <f>Table1[[#This Row],[5. Lợi nhuận gộp về bán hàng và cung cấp dịch vụ]]/Table1[[#This Row],[TỔNG CỘNG TÀI SẢN]]</f>
        <v>#DIV/0!</v>
      </c>
      <c r="T100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006" s="23" t="e">
        <f>Table1[[#This Row],[1. Doanh thu bán hàng và cung cấp dịch vụ ]]/Table1[[#This Row],[TỔNG CỘNG TÀI SẢN]]</f>
        <v>#DIV/0!</v>
      </c>
      <c r="V1006" s="23" t="e">
        <f>1.2*Table1[[#This Row],[X1]] + 1.4*Table1[[#This Row],[X2]] + 3.3*Table1[[#This Row],[x3]] + 0.6*Table1[[#This Row],[x4]] + 1*Table1[[#This Row],[x5]]</f>
        <v>#DIV/0!</v>
      </c>
      <c r="W1006" s="23" t="e">
        <f>IF(Table1[[#This Row],[Zscore]]&lt;1.81,1,0)</f>
        <v>#DIV/0!</v>
      </c>
    </row>
    <row r="1007" spans="1:23" x14ac:dyDescent="0.45">
      <c r="A1007" s="7">
        <v>1001</v>
      </c>
      <c r="B1007" s="5" t="s">
        <v>2014</v>
      </c>
      <c r="C1007" s="6" t="s">
        <v>2015</v>
      </c>
      <c r="D1007" s="6" t="s">
        <v>21</v>
      </c>
      <c r="E1007" s="8">
        <v>14732810336946</v>
      </c>
      <c r="F1007" s="8">
        <v>3638963190174</v>
      </c>
      <c r="G1007" s="8">
        <v>2240377680215</v>
      </c>
      <c r="H1007" s="8">
        <v>705567169656</v>
      </c>
      <c r="I1007" s="8">
        <v>1754400510214</v>
      </c>
      <c r="J1007" s="8"/>
      <c r="K1007" s="8">
        <v>6355255998226</v>
      </c>
      <c r="L1007" s="8">
        <v>2814783514087</v>
      </c>
      <c r="M1007" s="8">
        <v>8862335789150</v>
      </c>
      <c r="N1007" s="8">
        <v>10099990855500</v>
      </c>
      <c r="O1007" s="8">
        <v>8526004260150</v>
      </c>
      <c r="P1007" s="8">
        <v>11949806030500</v>
      </c>
      <c r="Q1007" s="18">
        <f>(Table1[[#This Row],[A. TÀI SẢN NGẮN HẠN]]-Table1[[#This Row],[I. Nợ ngắn hạn]])/Table1[[#This Row],[TỔNG CỘNG TÀI SẢN]]</f>
        <v>9.4929988099535678E-2</v>
      </c>
      <c r="R1007" s="18">
        <f>Table1[[#This Row],[- LNST chưa phân phối kỳ này]]/Table1[[#This Row],[TỔNG CỘNG TÀI SẢN]]</f>
        <v>4.7890874416989117E-2</v>
      </c>
      <c r="S1007" s="21">
        <f>Table1[[#This Row],[5. Lợi nhuận gộp về bán hàng và cung cấp dịch vụ]]/Table1[[#This Row],[TỔNG CỘNG TÀI SẢN]]</f>
        <v>0.11908118479027906</v>
      </c>
      <c r="T100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1.551398438800448</v>
      </c>
      <c r="U1007" s="23">
        <f>Table1[[#This Row],[1. Doanh thu bán hàng và cung cấp dịch vụ ]]/Table1[[#This Row],[TỔNG CỘNG TÀI SẢN]]</f>
        <v>0.19105543679119155</v>
      </c>
      <c r="V1007" s="23">
        <f>1.2*Table1[[#This Row],[X1]] + 1.4*Table1[[#This Row],[X2]] + 3.3*Table1[[#This Row],[x3]] + 0.6*Table1[[#This Row],[x4]] + 1*Table1[[#This Row],[x5]]</f>
        <v>1.6958256197826089</v>
      </c>
      <c r="W1007" s="23">
        <f>IF(Table1[[#This Row],[Zscore]]&lt;1.81,1,0)</f>
        <v>1</v>
      </c>
    </row>
    <row r="1008" spans="1:23" hidden="1" x14ac:dyDescent="0.45">
      <c r="A1008" s="7">
        <v>1002</v>
      </c>
      <c r="B1008" s="5" t="s">
        <v>2016</v>
      </c>
      <c r="C1008" s="6" t="s">
        <v>2017</v>
      </c>
      <c r="D1008" s="6" t="s">
        <v>13</v>
      </c>
      <c r="E1008" s="6"/>
      <c r="F1008" s="6"/>
      <c r="G1008" s="6"/>
      <c r="H1008" s="6"/>
      <c r="I1008" s="6"/>
      <c r="J1008" s="8"/>
      <c r="K1008" s="6"/>
      <c r="L1008" s="6"/>
      <c r="M1008" s="8"/>
      <c r="N1008" s="8"/>
      <c r="O1008" s="8"/>
      <c r="P1008" s="8"/>
      <c r="Q1008" s="18" t="e">
        <f>(Table1[[#This Row],[A. TÀI SẢN NGẮN HẠN]]-Table1[[#This Row],[I. Nợ ngắn hạn]])/Table1[[#This Row],[TỔNG CỘNG TÀI SẢN]]</f>
        <v>#DIV/0!</v>
      </c>
      <c r="R1008" s="18" t="e">
        <f>Table1[[#This Row],[- LNST chưa phân phối kỳ này]]/Table1[[#This Row],[TỔNG CỘNG TÀI SẢN]]</f>
        <v>#DIV/0!</v>
      </c>
      <c r="S1008" s="21" t="e">
        <f>Table1[[#This Row],[5. Lợi nhuận gộp về bán hàng và cung cấp dịch vụ]]/Table1[[#This Row],[TỔNG CỘNG TÀI SẢN]]</f>
        <v>#DIV/0!</v>
      </c>
      <c r="T100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008" s="23" t="e">
        <f>Table1[[#This Row],[1. Doanh thu bán hàng và cung cấp dịch vụ ]]/Table1[[#This Row],[TỔNG CỘNG TÀI SẢN]]</f>
        <v>#DIV/0!</v>
      </c>
      <c r="V1008" s="23" t="e">
        <f>1.2*Table1[[#This Row],[X1]] + 1.4*Table1[[#This Row],[X2]] + 3.3*Table1[[#This Row],[x3]] + 0.6*Table1[[#This Row],[x4]] + 1*Table1[[#This Row],[x5]]</f>
        <v>#DIV/0!</v>
      </c>
      <c r="W1008" s="23" t="e">
        <f>IF(Table1[[#This Row],[Zscore]]&lt;1.81,1,0)</f>
        <v>#DIV/0!</v>
      </c>
    </row>
    <row r="1009" spans="1:23" x14ac:dyDescent="0.45">
      <c r="A1009" s="7">
        <v>1003</v>
      </c>
      <c r="B1009" s="5" t="s">
        <v>2018</v>
      </c>
      <c r="C1009" s="6" t="s">
        <v>2019</v>
      </c>
      <c r="D1009" s="6" t="s">
        <v>18</v>
      </c>
      <c r="E1009" s="8">
        <v>1376366497219</v>
      </c>
      <c r="F1009" s="8">
        <v>1019646241689</v>
      </c>
      <c r="G1009" s="8">
        <v>717909688216</v>
      </c>
      <c r="H1009" s="8">
        <v>120541376464</v>
      </c>
      <c r="I1009" s="8">
        <v>343542409626</v>
      </c>
      <c r="J1009" s="8"/>
      <c r="K1009" s="8">
        <v>856605992573</v>
      </c>
      <c r="L1009" s="8">
        <v>2271609064894</v>
      </c>
      <c r="M1009" s="8">
        <v>721455698100</v>
      </c>
      <c r="N1009" s="8">
        <v>733513453500</v>
      </c>
      <c r="O1009" s="8">
        <v>645089913900</v>
      </c>
      <c r="P1009" s="8">
        <v>737532705300</v>
      </c>
      <c r="Q1009" s="18">
        <f>(Table1[[#This Row],[A. TÀI SẢN NGẮN HẠN]]-Table1[[#This Row],[I. Nợ ngắn hạn]])/Table1[[#This Row],[TỔNG CỘNG TÀI SẢN]]</f>
        <v>0.21922689493145175</v>
      </c>
      <c r="R1009" s="18">
        <f>Table1[[#This Row],[- LNST chưa phân phối kỳ này]]/Table1[[#This Row],[TỔNG CỘNG TÀI SẢN]]</f>
        <v>8.757941776958271E-2</v>
      </c>
      <c r="S1009" s="21">
        <f>Table1[[#This Row],[5. Lợi nhuận gộp về bán hàng và cung cấp dịch vụ]]/Table1[[#This Row],[TỔNG CỘNG TÀI SẢN]]</f>
        <v>0.24960096770746767</v>
      </c>
      <c r="T100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0.82814963804907671</v>
      </c>
      <c r="U1009" s="23">
        <f>Table1[[#This Row],[1. Doanh thu bán hàng và cung cấp dịch vụ ]]/Table1[[#This Row],[TỔNG CỘNG TÀI SẢN]]</f>
        <v>1.650439086888464</v>
      </c>
      <c r="V1009" s="23">
        <f>1.2*Table1[[#This Row],[X1]] + 1.4*Table1[[#This Row],[X2]] + 3.3*Table1[[#This Row],[x3]] + 0.6*Table1[[#This Row],[x4]] + 1*Table1[[#This Row],[x5]]</f>
        <v>3.356695521947711</v>
      </c>
      <c r="W1009" s="23">
        <f>IF(Table1[[#This Row],[Zscore]]&lt;1.81,1,0)</f>
        <v>0</v>
      </c>
    </row>
    <row r="1010" spans="1:23" hidden="1" x14ac:dyDescent="0.45">
      <c r="A1010" s="7">
        <v>1004</v>
      </c>
      <c r="B1010" s="5" t="s">
        <v>2020</v>
      </c>
      <c r="C1010" s="6" t="s">
        <v>2021</v>
      </c>
      <c r="D1010" s="6" t="s">
        <v>13</v>
      </c>
      <c r="E1010" s="6"/>
      <c r="F1010" s="6"/>
      <c r="G1010" s="6"/>
      <c r="H1010" s="6"/>
      <c r="I1010" s="6"/>
      <c r="J1010" s="8"/>
      <c r="K1010" s="6"/>
      <c r="L1010" s="6"/>
      <c r="M1010" s="8"/>
      <c r="N1010" s="8"/>
      <c r="O1010" s="8"/>
      <c r="P1010" s="8"/>
      <c r="Q1010" s="18" t="e">
        <f>(Table1[[#This Row],[A. TÀI SẢN NGẮN HẠN]]-Table1[[#This Row],[I. Nợ ngắn hạn]])/Table1[[#This Row],[TỔNG CỘNG TÀI SẢN]]</f>
        <v>#DIV/0!</v>
      </c>
      <c r="R1010" s="18" t="e">
        <f>Table1[[#This Row],[- LNST chưa phân phối kỳ này]]/Table1[[#This Row],[TỔNG CỘNG TÀI SẢN]]</f>
        <v>#DIV/0!</v>
      </c>
      <c r="S1010" s="21" t="e">
        <f>Table1[[#This Row],[5. Lợi nhuận gộp về bán hàng và cung cấp dịch vụ]]/Table1[[#This Row],[TỔNG CỘNG TÀI SẢN]]</f>
        <v>#DIV/0!</v>
      </c>
      <c r="T101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010" s="23" t="e">
        <f>Table1[[#This Row],[1. Doanh thu bán hàng và cung cấp dịch vụ ]]/Table1[[#This Row],[TỔNG CỘNG TÀI SẢN]]</f>
        <v>#DIV/0!</v>
      </c>
      <c r="V1010" s="23" t="e">
        <f>1.2*Table1[[#This Row],[X1]] + 1.4*Table1[[#This Row],[X2]] + 3.3*Table1[[#This Row],[x3]] + 0.6*Table1[[#This Row],[x4]] + 1*Table1[[#This Row],[x5]]</f>
        <v>#DIV/0!</v>
      </c>
      <c r="W1010" s="23" t="e">
        <f>IF(Table1[[#This Row],[Zscore]]&lt;1.81,1,0)</f>
        <v>#DIV/0!</v>
      </c>
    </row>
    <row r="1011" spans="1:23" hidden="1" x14ac:dyDescent="0.45">
      <c r="A1011" s="7">
        <v>1005</v>
      </c>
      <c r="B1011" s="5" t="s">
        <v>2022</v>
      </c>
      <c r="C1011" s="6" t="s">
        <v>2023</v>
      </c>
      <c r="D1011" s="6" t="s">
        <v>18</v>
      </c>
      <c r="E1011" s="6"/>
      <c r="F1011" s="6"/>
      <c r="G1011" s="6"/>
      <c r="H1011" s="6"/>
      <c r="I1011" s="6"/>
      <c r="J1011" s="8"/>
      <c r="K1011" s="6"/>
      <c r="L1011" s="6"/>
      <c r="M1011" s="8"/>
      <c r="N1011" s="8"/>
      <c r="O1011" s="8"/>
      <c r="P1011" s="8"/>
      <c r="Q1011" s="18" t="e">
        <f>(Table1[[#This Row],[A. TÀI SẢN NGẮN HẠN]]-Table1[[#This Row],[I. Nợ ngắn hạn]])/Table1[[#This Row],[TỔNG CỘNG TÀI SẢN]]</f>
        <v>#DIV/0!</v>
      </c>
      <c r="R1011" s="18" t="e">
        <f>Table1[[#This Row],[- LNST chưa phân phối kỳ này]]/Table1[[#This Row],[TỔNG CỘNG TÀI SẢN]]</f>
        <v>#DIV/0!</v>
      </c>
      <c r="S1011" s="21" t="e">
        <f>Table1[[#This Row],[5. Lợi nhuận gộp về bán hàng và cung cấp dịch vụ]]/Table1[[#This Row],[TỔNG CỘNG TÀI SẢN]]</f>
        <v>#DIV/0!</v>
      </c>
      <c r="T101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011" s="23" t="e">
        <f>Table1[[#This Row],[1. Doanh thu bán hàng và cung cấp dịch vụ ]]/Table1[[#This Row],[TỔNG CỘNG TÀI SẢN]]</f>
        <v>#DIV/0!</v>
      </c>
      <c r="V1011" s="23" t="e">
        <f>1.2*Table1[[#This Row],[X1]] + 1.4*Table1[[#This Row],[X2]] + 3.3*Table1[[#This Row],[x3]] + 0.6*Table1[[#This Row],[x4]] + 1*Table1[[#This Row],[x5]]</f>
        <v>#DIV/0!</v>
      </c>
      <c r="W1011" s="23" t="e">
        <f>IF(Table1[[#This Row],[Zscore]]&lt;1.81,1,0)</f>
        <v>#DIV/0!</v>
      </c>
    </row>
    <row r="1012" spans="1:23" hidden="1" x14ac:dyDescent="0.45">
      <c r="A1012" s="7">
        <v>1006</v>
      </c>
      <c r="B1012" s="5" t="s">
        <v>2024</v>
      </c>
      <c r="C1012" s="6" t="s">
        <v>2025</v>
      </c>
      <c r="D1012" s="6" t="s">
        <v>13</v>
      </c>
      <c r="E1012" s="6"/>
      <c r="F1012" s="6"/>
      <c r="G1012" s="6"/>
      <c r="H1012" s="6"/>
      <c r="I1012" s="6"/>
      <c r="J1012" s="8"/>
      <c r="K1012" s="6"/>
      <c r="L1012" s="6"/>
      <c r="M1012" s="8"/>
      <c r="N1012" s="8"/>
      <c r="O1012" s="8"/>
      <c r="P1012" s="8"/>
      <c r="Q1012" s="18" t="e">
        <f>(Table1[[#This Row],[A. TÀI SẢN NGẮN HẠN]]-Table1[[#This Row],[I. Nợ ngắn hạn]])/Table1[[#This Row],[TỔNG CỘNG TÀI SẢN]]</f>
        <v>#DIV/0!</v>
      </c>
      <c r="R1012" s="18" t="e">
        <f>Table1[[#This Row],[- LNST chưa phân phối kỳ này]]/Table1[[#This Row],[TỔNG CỘNG TÀI SẢN]]</f>
        <v>#DIV/0!</v>
      </c>
      <c r="S1012" s="21" t="e">
        <f>Table1[[#This Row],[5. Lợi nhuận gộp về bán hàng và cung cấp dịch vụ]]/Table1[[#This Row],[TỔNG CỘNG TÀI SẢN]]</f>
        <v>#DIV/0!</v>
      </c>
      <c r="T101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012" s="23" t="e">
        <f>Table1[[#This Row],[1. Doanh thu bán hàng và cung cấp dịch vụ ]]/Table1[[#This Row],[TỔNG CỘNG TÀI SẢN]]</f>
        <v>#DIV/0!</v>
      </c>
      <c r="V1012" s="23" t="e">
        <f>1.2*Table1[[#This Row],[X1]] + 1.4*Table1[[#This Row],[X2]] + 3.3*Table1[[#This Row],[x3]] + 0.6*Table1[[#This Row],[x4]] + 1*Table1[[#This Row],[x5]]</f>
        <v>#DIV/0!</v>
      </c>
      <c r="W1012" s="23" t="e">
        <f>IF(Table1[[#This Row],[Zscore]]&lt;1.81,1,0)</f>
        <v>#DIV/0!</v>
      </c>
    </row>
    <row r="1013" spans="1:23" ht="26.25" x14ac:dyDescent="0.45">
      <c r="A1013" s="7">
        <v>1007</v>
      </c>
      <c r="B1013" s="5" t="s">
        <v>2026</v>
      </c>
      <c r="C1013" s="6" t="s">
        <v>2027</v>
      </c>
      <c r="D1013" s="6" t="s">
        <v>18</v>
      </c>
      <c r="E1013" s="8">
        <v>911990849411</v>
      </c>
      <c r="F1013" s="8">
        <v>73493071501</v>
      </c>
      <c r="G1013" s="8">
        <v>159966737462</v>
      </c>
      <c r="H1013" s="8">
        <v>48516171731</v>
      </c>
      <c r="I1013" s="8">
        <v>162810522301</v>
      </c>
      <c r="J1013" s="8"/>
      <c r="K1013" s="8">
        <v>438134374130</v>
      </c>
      <c r="L1013" s="8">
        <v>603354168929</v>
      </c>
      <c r="M1013" s="8">
        <v>484613544000</v>
      </c>
      <c r="N1013" s="8">
        <v>573884460000</v>
      </c>
      <c r="O1013" s="8">
        <v>484613544000</v>
      </c>
      <c r="P1013" s="8">
        <v>573884460000</v>
      </c>
      <c r="Q1013" s="18">
        <f>(Table1[[#This Row],[A. TÀI SẢN NGẮN HẠN]]-Table1[[#This Row],[I. Nợ ngắn hạn]])/Table1[[#This Row],[TỔNG CỘNG TÀI SẢN]]</f>
        <v>-9.4818567551251343E-2</v>
      </c>
      <c r="R1013" s="18">
        <f>Table1[[#This Row],[- LNST chưa phân phối kỳ này]]/Table1[[#This Row],[TỔNG CỘNG TÀI SẢN]]</f>
        <v>5.3198090487786884E-2</v>
      </c>
      <c r="S1013" s="21">
        <f>Table1[[#This Row],[5. Lợi nhuận gộp về bán hàng và cung cấp dịch vụ]]/Table1[[#This Row],[TỔNG CỘNG TÀI SẢN]]</f>
        <v>0.17852210074931071</v>
      </c>
      <c r="T101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1.2079604643003088</v>
      </c>
      <c r="U1013" s="23">
        <f>Table1[[#This Row],[1. Doanh thu bán hàng và cung cấp dịch vụ ]]/Table1[[#This Row],[TỔNG CỘNG TÀI SẢN]]</f>
        <v>0.66157919163187895</v>
      </c>
      <c r="V1013" s="23">
        <f>1.2*Table1[[#This Row],[X1]] + 1.4*Table1[[#This Row],[X2]] + 3.3*Table1[[#This Row],[x3]] + 0.6*Table1[[#This Row],[x4]] + 1*Table1[[#This Row],[x5]]</f>
        <v>1.9361734483061896</v>
      </c>
      <c r="W1013" s="23">
        <f>IF(Table1[[#This Row],[Zscore]]&lt;1.81,1,0)</f>
        <v>0</v>
      </c>
    </row>
    <row r="1014" spans="1:23" hidden="1" x14ac:dyDescent="0.45">
      <c r="A1014" s="7">
        <v>1008</v>
      </c>
      <c r="B1014" s="5" t="s">
        <v>2028</v>
      </c>
      <c r="C1014" s="6" t="s">
        <v>2029</v>
      </c>
      <c r="D1014" s="6" t="s">
        <v>18</v>
      </c>
      <c r="E1014" s="6"/>
      <c r="F1014" s="6"/>
      <c r="G1014" s="6"/>
      <c r="H1014" s="6"/>
      <c r="I1014" s="6"/>
      <c r="J1014" s="8"/>
      <c r="K1014" s="6"/>
      <c r="L1014" s="6"/>
      <c r="M1014" s="8"/>
      <c r="N1014" s="8"/>
      <c r="O1014" s="8"/>
      <c r="P1014" s="8"/>
      <c r="Q1014" s="18" t="e">
        <f>(Table1[[#This Row],[A. TÀI SẢN NGẮN HẠN]]-Table1[[#This Row],[I. Nợ ngắn hạn]])/Table1[[#This Row],[TỔNG CỘNG TÀI SẢN]]</f>
        <v>#DIV/0!</v>
      </c>
      <c r="R1014" s="18" t="e">
        <f>Table1[[#This Row],[- LNST chưa phân phối kỳ này]]/Table1[[#This Row],[TỔNG CỘNG TÀI SẢN]]</f>
        <v>#DIV/0!</v>
      </c>
      <c r="S1014" s="21" t="e">
        <f>Table1[[#This Row],[5. Lợi nhuận gộp về bán hàng và cung cấp dịch vụ]]/Table1[[#This Row],[TỔNG CỘNG TÀI SẢN]]</f>
        <v>#DIV/0!</v>
      </c>
      <c r="T101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014" s="23" t="e">
        <f>Table1[[#This Row],[1. Doanh thu bán hàng và cung cấp dịch vụ ]]/Table1[[#This Row],[TỔNG CỘNG TÀI SẢN]]</f>
        <v>#DIV/0!</v>
      </c>
      <c r="V1014" s="23" t="e">
        <f>1.2*Table1[[#This Row],[X1]] + 1.4*Table1[[#This Row],[X2]] + 3.3*Table1[[#This Row],[x3]] + 0.6*Table1[[#This Row],[x4]] + 1*Table1[[#This Row],[x5]]</f>
        <v>#DIV/0!</v>
      </c>
      <c r="W1014" s="23" t="e">
        <f>IF(Table1[[#This Row],[Zscore]]&lt;1.81,1,0)</f>
        <v>#DIV/0!</v>
      </c>
    </row>
    <row r="1015" spans="1:23" hidden="1" x14ac:dyDescent="0.45">
      <c r="A1015" s="7">
        <v>1009</v>
      </c>
      <c r="B1015" s="5" t="s">
        <v>2030</v>
      </c>
      <c r="C1015" s="6" t="s">
        <v>2031</v>
      </c>
      <c r="D1015" s="6" t="s">
        <v>13</v>
      </c>
      <c r="E1015" s="6"/>
      <c r="F1015" s="6"/>
      <c r="G1015" s="6"/>
      <c r="H1015" s="6"/>
      <c r="I1015" s="6"/>
      <c r="J1015" s="8"/>
      <c r="K1015" s="6"/>
      <c r="L1015" s="6"/>
      <c r="M1015" s="8"/>
      <c r="N1015" s="8"/>
      <c r="O1015" s="8"/>
      <c r="P1015" s="8"/>
      <c r="Q1015" s="18" t="e">
        <f>(Table1[[#This Row],[A. TÀI SẢN NGẮN HẠN]]-Table1[[#This Row],[I. Nợ ngắn hạn]])/Table1[[#This Row],[TỔNG CỘNG TÀI SẢN]]</f>
        <v>#DIV/0!</v>
      </c>
      <c r="R1015" s="18" t="e">
        <f>Table1[[#This Row],[- LNST chưa phân phối kỳ này]]/Table1[[#This Row],[TỔNG CỘNG TÀI SẢN]]</f>
        <v>#DIV/0!</v>
      </c>
      <c r="S1015" s="21" t="e">
        <f>Table1[[#This Row],[5. Lợi nhuận gộp về bán hàng và cung cấp dịch vụ]]/Table1[[#This Row],[TỔNG CỘNG TÀI SẢN]]</f>
        <v>#DIV/0!</v>
      </c>
      <c r="T101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015" s="23" t="e">
        <f>Table1[[#This Row],[1. Doanh thu bán hàng và cung cấp dịch vụ ]]/Table1[[#This Row],[TỔNG CỘNG TÀI SẢN]]</f>
        <v>#DIV/0!</v>
      </c>
      <c r="V1015" s="23" t="e">
        <f>1.2*Table1[[#This Row],[X1]] + 1.4*Table1[[#This Row],[X2]] + 3.3*Table1[[#This Row],[x3]] + 0.6*Table1[[#This Row],[x4]] + 1*Table1[[#This Row],[x5]]</f>
        <v>#DIV/0!</v>
      </c>
      <c r="W1015" s="23" t="e">
        <f>IF(Table1[[#This Row],[Zscore]]&lt;1.81,1,0)</f>
        <v>#DIV/0!</v>
      </c>
    </row>
    <row r="1016" spans="1:23" ht="26.25" hidden="1" x14ac:dyDescent="0.45">
      <c r="A1016" s="7">
        <v>1010</v>
      </c>
      <c r="B1016" s="5" t="s">
        <v>2032</v>
      </c>
      <c r="C1016" s="6" t="s">
        <v>2033</v>
      </c>
      <c r="D1016" s="6" t="s">
        <v>18</v>
      </c>
      <c r="E1016" s="6"/>
      <c r="F1016" s="6"/>
      <c r="G1016" s="6"/>
      <c r="H1016" s="6"/>
      <c r="I1016" s="6"/>
      <c r="J1016" s="8"/>
      <c r="K1016" s="6"/>
      <c r="L1016" s="6"/>
      <c r="M1016" s="8"/>
      <c r="N1016" s="8"/>
      <c r="O1016" s="8"/>
      <c r="P1016" s="8"/>
      <c r="Q1016" s="18" t="e">
        <f>(Table1[[#This Row],[A. TÀI SẢN NGẮN HẠN]]-Table1[[#This Row],[I. Nợ ngắn hạn]])/Table1[[#This Row],[TỔNG CỘNG TÀI SẢN]]</f>
        <v>#DIV/0!</v>
      </c>
      <c r="R1016" s="18" t="e">
        <f>Table1[[#This Row],[- LNST chưa phân phối kỳ này]]/Table1[[#This Row],[TỔNG CỘNG TÀI SẢN]]</f>
        <v>#DIV/0!</v>
      </c>
      <c r="S1016" s="21" t="e">
        <f>Table1[[#This Row],[5. Lợi nhuận gộp về bán hàng và cung cấp dịch vụ]]/Table1[[#This Row],[TỔNG CỘNG TÀI SẢN]]</f>
        <v>#DIV/0!</v>
      </c>
      <c r="T101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016" s="23" t="e">
        <f>Table1[[#This Row],[1. Doanh thu bán hàng và cung cấp dịch vụ ]]/Table1[[#This Row],[TỔNG CỘNG TÀI SẢN]]</f>
        <v>#DIV/0!</v>
      </c>
      <c r="V1016" s="23" t="e">
        <f>1.2*Table1[[#This Row],[X1]] + 1.4*Table1[[#This Row],[X2]] + 3.3*Table1[[#This Row],[x3]] + 0.6*Table1[[#This Row],[x4]] + 1*Table1[[#This Row],[x5]]</f>
        <v>#DIV/0!</v>
      </c>
      <c r="W1016" s="23" t="e">
        <f>IF(Table1[[#This Row],[Zscore]]&lt;1.81,1,0)</f>
        <v>#DIV/0!</v>
      </c>
    </row>
    <row r="1017" spans="1:23" hidden="1" x14ac:dyDescent="0.45">
      <c r="A1017" s="7">
        <v>1011</v>
      </c>
      <c r="B1017" s="5" t="s">
        <v>2034</v>
      </c>
      <c r="C1017" s="6" t="s">
        <v>2035</v>
      </c>
      <c r="D1017" s="6" t="s">
        <v>13</v>
      </c>
      <c r="E1017" s="6"/>
      <c r="F1017" s="6"/>
      <c r="G1017" s="6"/>
      <c r="H1017" s="6"/>
      <c r="I1017" s="6"/>
      <c r="J1017" s="8"/>
      <c r="K1017" s="6"/>
      <c r="L1017" s="6"/>
      <c r="M1017" s="8"/>
      <c r="N1017" s="8"/>
      <c r="O1017" s="8"/>
      <c r="P1017" s="8"/>
      <c r="Q1017" s="18" t="e">
        <f>(Table1[[#This Row],[A. TÀI SẢN NGẮN HẠN]]-Table1[[#This Row],[I. Nợ ngắn hạn]])/Table1[[#This Row],[TỔNG CỘNG TÀI SẢN]]</f>
        <v>#DIV/0!</v>
      </c>
      <c r="R1017" s="18" t="e">
        <f>Table1[[#This Row],[- LNST chưa phân phối kỳ này]]/Table1[[#This Row],[TỔNG CỘNG TÀI SẢN]]</f>
        <v>#DIV/0!</v>
      </c>
      <c r="S1017" s="21" t="e">
        <f>Table1[[#This Row],[5. Lợi nhuận gộp về bán hàng và cung cấp dịch vụ]]/Table1[[#This Row],[TỔNG CỘNG TÀI SẢN]]</f>
        <v>#DIV/0!</v>
      </c>
      <c r="T101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017" s="23" t="e">
        <f>Table1[[#This Row],[1. Doanh thu bán hàng và cung cấp dịch vụ ]]/Table1[[#This Row],[TỔNG CỘNG TÀI SẢN]]</f>
        <v>#DIV/0!</v>
      </c>
      <c r="V1017" s="23" t="e">
        <f>1.2*Table1[[#This Row],[X1]] + 1.4*Table1[[#This Row],[X2]] + 3.3*Table1[[#This Row],[x3]] + 0.6*Table1[[#This Row],[x4]] + 1*Table1[[#This Row],[x5]]</f>
        <v>#DIV/0!</v>
      </c>
      <c r="W1017" s="23" t="e">
        <f>IF(Table1[[#This Row],[Zscore]]&lt;1.81,1,0)</f>
        <v>#DIV/0!</v>
      </c>
    </row>
    <row r="1018" spans="1:23" hidden="1" x14ac:dyDescent="0.45">
      <c r="A1018" s="7">
        <v>1012</v>
      </c>
      <c r="B1018" s="5" t="s">
        <v>2036</v>
      </c>
      <c r="C1018" s="6" t="s">
        <v>2037</v>
      </c>
      <c r="D1018" s="6" t="s">
        <v>13</v>
      </c>
      <c r="E1018" s="6"/>
      <c r="F1018" s="6"/>
      <c r="G1018" s="6"/>
      <c r="H1018" s="6"/>
      <c r="I1018" s="6"/>
      <c r="J1018" s="8"/>
      <c r="K1018" s="6"/>
      <c r="L1018" s="6"/>
      <c r="M1018" s="8"/>
      <c r="N1018" s="8"/>
      <c r="O1018" s="8"/>
      <c r="P1018" s="8"/>
      <c r="Q1018" s="18" t="e">
        <f>(Table1[[#This Row],[A. TÀI SẢN NGẮN HẠN]]-Table1[[#This Row],[I. Nợ ngắn hạn]])/Table1[[#This Row],[TỔNG CỘNG TÀI SẢN]]</f>
        <v>#DIV/0!</v>
      </c>
      <c r="R1018" s="18" t="e">
        <f>Table1[[#This Row],[- LNST chưa phân phối kỳ này]]/Table1[[#This Row],[TỔNG CỘNG TÀI SẢN]]</f>
        <v>#DIV/0!</v>
      </c>
      <c r="S1018" s="21" t="e">
        <f>Table1[[#This Row],[5. Lợi nhuận gộp về bán hàng và cung cấp dịch vụ]]/Table1[[#This Row],[TỔNG CỘNG TÀI SẢN]]</f>
        <v>#DIV/0!</v>
      </c>
      <c r="T101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018" s="23" t="e">
        <f>Table1[[#This Row],[1. Doanh thu bán hàng và cung cấp dịch vụ ]]/Table1[[#This Row],[TỔNG CỘNG TÀI SẢN]]</f>
        <v>#DIV/0!</v>
      </c>
      <c r="V1018" s="23" t="e">
        <f>1.2*Table1[[#This Row],[X1]] + 1.4*Table1[[#This Row],[X2]] + 3.3*Table1[[#This Row],[x3]] + 0.6*Table1[[#This Row],[x4]] + 1*Table1[[#This Row],[x5]]</f>
        <v>#DIV/0!</v>
      </c>
      <c r="W1018" s="23" t="e">
        <f>IF(Table1[[#This Row],[Zscore]]&lt;1.81,1,0)</f>
        <v>#DIV/0!</v>
      </c>
    </row>
    <row r="1019" spans="1:23" ht="26.25" hidden="1" x14ac:dyDescent="0.45">
      <c r="A1019" s="7">
        <v>1013</v>
      </c>
      <c r="B1019" s="5" t="s">
        <v>2038</v>
      </c>
      <c r="C1019" s="6" t="s">
        <v>2039</v>
      </c>
      <c r="D1019" s="6" t="s">
        <v>18</v>
      </c>
      <c r="E1019" s="6"/>
      <c r="F1019" s="6"/>
      <c r="G1019" s="6"/>
      <c r="H1019" s="6"/>
      <c r="I1019" s="6"/>
      <c r="J1019" s="8"/>
      <c r="K1019" s="6"/>
      <c r="L1019" s="6"/>
      <c r="M1019" s="8"/>
      <c r="N1019" s="8"/>
      <c r="O1019" s="8"/>
      <c r="P1019" s="8"/>
      <c r="Q1019" s="18" t="e">
        <f>(Table1[[#This Row],[A. TÀI SẢN NGẮN HẠN]]-Table1[[#This Row],[I. Nợ ngắn hạn]])/Table1[[#This Row],[TỔNG CỘNG TÀI SẢN]]</f>
        <v>#DIV/0!</v>
      </c>
      <c r="R1019" s="18" t="e">
        <f>Table1[[#This Row],[- LNST chưa phân phối kỳ này]]/Table1[[#This Row],[TỔNG CỘNG TÀI SẢN]]</f>
        <v>#DIV/0!</v>
      </c>
      <c r="S1019" s="21" t="e">
        <f>Table1[[#This Row],[5. Lợi nhuận gộp về bán hàng và cung cấp dịch vụ]]/Table1[[#This Row],[TỔNG CỘNG TÀI SẢN]]</f>
        <v>#DIV/0!</v>
      </c>
      <c r="T101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019" s="23" t="e">
        <f>Table1[[#This Row],[1. Doanh thu bán hàng và cung cấp dịch vụ ]]/Table1[[#This Row],[TỔNG CỘNG TÀI SẢN]]</f>
        <v>#DIV/0!</v>
      </c>
      <c r="V1019" s="23" t="e">
        <f>1.2*Table1[[#This Row],[X1]] + 1.4*Table1[[#This Row],[X2]] + 3.3*Table1[[#This Row],[x3]] + 0.6*Table1[[#This Row],[x4]] + 1*Table1[[#This Row],[x5]]</f>
        <v>#DIV/0!</v>
      </c>
      <c r="W1019" s="23" t="e">
        <f>IF(Table1[[#This Row],[Zscore]]&lt;1.81,1,0)</f>
        <v>#DIV/0!</v>
      </c>
    </row>
    <row r="1020" spans="1:23" hidden="1" x14ac:dyDescent="0.45">
      <c r="A1020" s="7">
        <v>1014</v>
      </c>
      <c r="B1020" s="5" t="s">
        <v>2040</v>
      </c>
      <c r="C1020" s="6" t="s">
        <v>2041</v>
      </c>
      <c r="D1020" s="6" t="s">
        <v>18</v>
      </c>
      <c r="E1020" s="8">
        <v>146757893440</v>
      </c>
      <c r="F1020" s="8">
        <v>87051770793</v>
      </c>
      <c r="G1020" s="8">
        <v>16095266356</v>
      </c>
      <c r="H1020" s="8">
        <v>9014444725</v>
      </c>
      <c r="I1020" s="8">
        <v>48567937667</v>
      </c>
      <c r="J1020" s="8"/>
      <c r="K1020" s="8">
        <v>29535258136</v>
      </c>
      <c r="L1020" s="8">
        <v>152327211223</v>
      </c>
      <c r="M1020" s="8"/>
      <c r="N1020" s="8"/>
      <c r="O1020" s="8"/>
      <c r="P1020" s="8"/>
      <c r="Q1020" s="18">
        <f>(Table1[[#This Row],[A. TÀI SẢN NGẮN HẠN]]-Table1[[#This Row],[I. Nợ ngắn hạn]])/Table1[[#This Row],[TỔNG CỘNG TÀI SẢN]]</f>
        <v>0.48349361505389565</v>
      </c>
      <c r="R1020" s="18">
        <f>Table1[[#This Row],[- LNST chưa phân phối kỳ này]]/Table1[[#This Row],[TỔNG CỘNG TÀI SẢN]]</f>
        <v>6.1423917403702954E-2</v>
      </c>
      <c r="S1020" s="21">
        <f>Table1[[#This Row],[5. Lợi nhuận gộp về bán hàng và cung cấp dịch vụ]]/Table1[[#This Row],[TỔNG CỘNG TÀI SẢN]]</f>
        <v>0.33093918513389092</v>
      </c>
      <c r="T102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020" s="23">
        <f>Table1[[#This Row],[1. Doanh thu bán hàng và cung cấp dịch vụ ]]/Table1[[#This Row],[TỔNG CỘNG TÀI SẢN]]</f>
        <v>1.0379490169315966</v>
      </c>
      <c r="V1020" s="23" t="e">
        <f>1.2*Table1[[#This Row],[X1]] + 1.4*Table1[[#This Row],[X2]] + 3.3*Table1[[#This Row],[x3]] + 0.6*Table1[[#This Row],[x4]] + 1*Table1[[#This Row],[x5]]</f>
        <v>#DIV/0!</v>
      </c>
      <c r="W1020" s="23" t="e">
        <f>IF(Table1[[#This Row],[Zscore]]&lt;1.81,1,0)</f>
        <v>#DIV/0!</v>
      </c>
    </row>
    <row r="1021" spans="1:23" x14ac:dyDescent="0.45">
      <c r="A1021" s="7">
        <v>1015</v>
      </c>
      <c r="B1021" s="5" t="s">
        <v>2042</v>
      </c>
      <c r="C1021" s="6" t="s">
        <v>2043</v>
      </c>
      <c r="D1021" s="6" t="s">
        <v>36</v>
      </c>
      <c r="E1021" s="8">
        <v>68239629821</v>
      </c>
      <c r="F1021" s="8">
        <v>67979798385</v>
      </c>
      <c r="G1021" s="8">
        <v>3193895156</v>
      </c>
      <c r="H1021" s="8">
        <v>-304530131</v>
      </c>
      <c r="I1021" s="8">
        <v>3970226345</v>
      </c>
      <c r="J1021" s="8"/>
      <c r="K1021" s="8">
        <v>3193895156</v>
      </c>
      <c r="L1021" s="8">
        <v>9153633779</v>
      </c>
      <c r="M1021" s="8">
        <v>21900000000</v>
      </c>
      <c r="N1021" s="8">
        <v>40000000000</v>
      </c>
      <c r="O1021" s="8">
        <v>18500000000</v>
      </c>
      <c r="P1021" s="8">
        <v>11000000000</v>
      </c>
      <c r="Q1021" s="18">
        <f>(Table1[[#This Row],[A. TÀI SẢN NGẮN HẠN]]-Table1[[#This Row],[I. Nợ ngắn hạn]])/Table1[[#This Row],[TỔNG CỘNG TÀI SẢN]]</f>
        <v>0.94938825721857667</v>
      </c>
      <c r="R1021" s="18">
        <f>Table1[[#This Row],[- LNST chưa phân phối kỳ này]]/Table1[[#This Row],[TỔNG CỘNG TÀI SẢN]]</f>
        <v>-4.462658015566846E-3</v>
      </c>
      <c r="S1021" s="21">
        <f>Table1[[#This Row],[5. Lợi nhuận gộp về bán hàng và cung cấp dịch vụ]]/Table1[[#This Row],[TỔNG CỘNG TÀI SẢN]]</f>
        <v>5.818065478101709E-2</v>
      </c>
      <c r="T102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7.1542736639536706</v>
      </c>
      <c r="U1021" s="23">
        <f>Table1[[#This Row],[1. Doanh thu bán hàng và cung cấp dịch vụ ]]/Table1[[#This Row],[TỔNG CỘNG TÀI SẢN]]</f>
        <v>0.13413955795204313</v>
      </c>
      <c r="V1021" s="23">
        <f>1.2*Table1[[#This Row],[X1]] + 1.4*Table1[[#This Row],[X2]] + 3.3*Table1[[#This Row],[x3]] + 0.6*Table1[[#This Row],[x4]] + 1*Table1[[#This Row],[x5]]</f>
        <v>5.7517181045420998</v>
      </c>
      <c r="W1021" s="23">
        <f>IF(Table1[[#This Row],[Zscore]]&lt;1.81,1,0)</f>
        <v>0</v>
      </c>
    </row>
    <row r="1022" spans="1:23" ht="26.25" hidden="1" x14ac:dyDescent="0.45">
      <c r="A1022" s="7">
        <v>1016</v>
      </c>
      <c r="B1022" s="5" t="s">
        <v>2044</v>
      </c>
      <c r="C1022" s="6" t="s">
        <v>2045</v>
      </c>
      <c r="D1022" s="6" t="s">
        <v>18</v>
      </c>
      <c r="E1022" s="8">
        <v>497278447018</v>
      </c>
      <c r="F1022" s="8">
        <v>473087574911</v>
      </c>
      <c r="G1022" s="8">
        <v>395557980277</v>
      </c>
      <c r="H1022" s="8">
        <v>7606905366</v>
      </c>
      <c r="I1022" s="8">
        <v>34945336564</v>
      </c>
      <c r="J1022" s="8"/>
      <c r="K1022" s="8">
        <v>395557980277</v>
      </c>
      <c r="L1022" s="8">
        <v>573091618564</v>
      </c>
      <c r="M1022" s="8"/>
      <c r="N1022" s="8"/>
      <c r="O1022" s="8"/>
      <c r="P1022" s="8"/>
      <c r="Q1022" s="18">
        <f>(Table1[[#This Row],[A. TÀI SẢN NGẮN HẠN]]-Table1[[#This Row],[I. Nợ ngắn hạn]])/Table1[[#This Row],[TỔNG CỘNG TÀI SẢN]]</f>
        <v>0.15590781200938247</v>
      </c>
      <c r="R1022" s="18">
        <f>Table1[[#This Row],[- LNST chưa phân phối kỳ này]]/Table1[[#This Row],[TỔNG CỘNG TÀI SẢN]]</f>
        <v>1.5297074328509261E-2</v>
      </c>
      <c r="S1022" s="21">
        <f>Table1[[#This Row],[5. Lợi nhuận gộp về bán hàng và cung cấp dịch vụ]]/Table1[[#This Row],[TỔNG CỘNG TÀI SẢN]]</f>
        <v>7.0273177479447613E-2</v>
      </c>
      <c r="T102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022" s="23">
        <f>Table1[[#This Row],[1. Doanh thu bán hàng và cung cấp dịch vụ ]]/Table1[[#This Row],[TỔNG CỘNG TÀI SẢN]]</f>
        <v>1.1524561782249449</v>
      </c>
      <c r="V1022" s="23" t="e">
        <f>1.2*Table1[[#This Row],[X1]] + 1.4*Table1[[#This Row],[X2]] + 3.3*Table1[[#This Row],[x3]] + 0.6*Table1[[#This Row],[x4]] + 1*Table1[[#This Row],[x5]]</f>
        <v>#DIV/0!</v>
      </c>
      <c r="W1022" s="23" t="e">
        <f>IF(Table1[[#This Row],[Zscore]]&lt;1.81,1,0)</f>
        <v>#DIV/0!</v>
      </c>
    </row>
    <row r="1023" spans="1:23" hidden="1" x14ac:dyDescent="0.45">
      <c r="A1023" s="7">
        <v>1017</v>
      </c>
      <c r="B1023" s="5" t="s">
        <v>2046</v>
      </c>
      <c r="C1023" s="6" t="s">
        <v>2047</v>
      </c>
      <c r="D1023" s="6" t="s">
        <v>18</v>
      </c>
      <c r="E1023" s="6"/>
      <c r="F1023" s="6"/>
      <c r="G1023" s="6"/>
      <c r="H1023" s="6"/>
      <c r="I1023" s="6"/>
      <c r="J1023" s="8"/>
      <c r="K1023" s="6"/>
      <c r="L1023" s="6"/>
      <c r="M1023" s="8"/>
      <c r="N1023" s="8"/>
      <c r="O1023" s="8"/>
      <c r="P1023" s="8"/>
      <c r="Q1023" s="18" t="e">
        <f>(Table1[[#This Row],[A. TÀI SẢN NGẮN HẠN]]-Table1[[#This Row],[I. Nợ ngắn hạn]])/Table1[[#This Row],[TỔNG CỘNG TÀI SẢN]]</f>
        <v>#DIV/0!</v>
      </c>
      <c r="R1023" s="18" t="e">
        <f>Table1[[#This Row],[- LNST chưa phân phối kỳ này]]/Table1[[#This Row],[TỔNG CỘNG TÀI SẢN]]</f>
        <v>#DIV/0!</v>
      </c>
      <c r="S1023" s="21" t="e">
        <f>Table1[[#This Row],[5. Lợi nhuận gộp về bán hàng và cung cấp dịch vụ]]/Table1[[#This Row],[TỔNG CỘNG TÀI SẢN]]</f>
        <v>#DIV/0!</v>
      </c>
      <c r="T102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023" s="23" t="e">
        <f>Table1[[#This Row],[1. Doanh thu bán hàng và cung cấp dịch vụ ]]/Table1[[#This Row],[TỔNG CỘNG TÀI SẢN]]</f>
        <v>#DIV/0!</v>
      </c>
      <c r="V1023" s="23" t="e">
        <f>1.2*Table1[[#This Row],[X1]] + 1.4*Table1[[#This Row],[X2]] + 3.3*Table1[[#This Row],[x3]] + 0.6*Table1[[#This Row],[x4]] + 1*Table1[[#This Row],[x5]]</f>
        <v>#DIV/0!</v>
      </c>
      <c r="W1023" s="23" t="e">
        <f>IF(Table1[[#This Row],[Zscore]]&lt;1.81,1,0)</f>
        <v>#DIV/0!</v>
      </c>
    </row>
    <row r="1024" spans="1:23" ht="26.25" hidden="1" x14ac:dyDescent="0.45">
      <c r="A1024" s="7">
        <v>1018</v>
      </c>
      <c r="B1024" s="5" t="s">
        <v>2048</v>
      </c>
      <c r="C1024" s="6" t="s">
        <v>2049</v>
      </c>
      <c r="D1024" s="6" t="s">
        <v>13</v>
      </c>
      <c r="E1024" s="6"/>
      <c r="F1024" s="6"/>
      <c r="G1024" s="6"/>
      <c r="H1024" s="6"/>
      <c r="I1024" s="6"/>
      <c r="J1024" s="8"/>
      <c r="K1024" s="6"/>
      <c r="L1024" s="6"/>
      <c r="M1024" s="8"/>
      <c r="N1024" s="8"/>
      <c r="O1024" s="8"/>
      <c r="P1024" s="8"/>
      <c r="Q1024" s="18" t="e">
        <f>(Table1[[#This Row],[A. TÀI SẢN NGẮN HẠN]]-Table1[[#This Row],[I. Nợ ngắn hạn]])/Table1[[#This Row],[TỔNG CỘNG TÀI SẢN]]</f>
        <v>#DIV/0!</v>
      </c>
      <c r="R1024" s="18" t="e">
        <f>Table1[[#This Row],[- LNST chưa phân phối kỳ này]]/Table1[[#This Row],[TỔNG CỘNG TÀI SẢN]]</f>
        <v>#DIV/0!</v>
      </c>
      <c r="S1024" s="21" t="e">
        <f>Table1[[#This Row],[5. Lợi nhuận gộp về bán hàng và cung cấp dịch vụ]]/Table1[[#This Row],[TỔNG CỘNG TÀI SẢN]]</f>
        <v>#DIV/0!</v>
      </c>
      <c r="T102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024" s="23" t="e">
        <f>Table1[[#This Row],[1. Doanh thu bán hàng và cung cấp dịch vụ ]]/Table1[[#This Row],[TỔNG CỘNG TÀI SẢN]]</f>
        <v>#DIV/0!</v>
      </c>
      <c r="V1024" s="23" t="e">
        <f>1.2*Table1[[#This Row],[X1]] + 1.4*Table1[[#This Row],[X2]] + 3.3*Table1[[#This Row],[x3]] + 0.6*Table1[[#This Row],[x4]] + 1*Table1[[#This Row],[x5]]</f>
        <v>#DIV/0!</v>
      </c>
      <c r="W1024" s="23" t="e">
        <f>IF(Table1[[#This Row],[Zscore]]&lt;1.81,1,0)</f>
        <v>#DIV/0!</v>
      </c>
    </row>
    <row r="1025" spans="1:23" ht="26.25" hidden="1" x14ac:dyDescent="0.45">
      <c r="A1025" s="7">
        <v>1019</v>
      </c>
      <c r="B1025" s="5" t="s">
        <v>2050</v>
      </c>
      <c r="C1025" s="6" t="s">
        <v>2051</v>
      </c>
      <c r="D1025" s="6" t="s">
        <v>18</v>
      </c>
      <c r="E1025" s="6"/>
      <c r="F1025" s="6"/>
      <c r="G1025" s="6"/>
      <c r="H1025" s="6"/>
      <c r="I1025" s="6"/>
      <c r="J1025" s="8"/>
      <c r="K1025" s="6"/>
      <c r="L1025" s="6"/>
      <c r="M1025" s="8"/>
      <c r="N1025" s="8"/>
      <c r="O1025" s="8"/>
      <c r="P1025" s="8"/>
      <c r="Q1025" s="18" t="e">
        <f>(Table1[[#This Row],[A. TÀI SẢN NGẮN HẠN]]-Table1[[#This Row],[I. Nợ ngắn hạn]])/Table1[[#This Row],[TỔNG CỘNG TÀI SẢN]]</f>
        <v>#DIV/0!</v>
      </c>
      <c r="R1025" s="18" t="e">
        <f>Table1[[#This Row],[- LNST chưa phân phối kỳ này]]/Table1[[#This Row],[TỔNG CỘNG TÀI SẢN]]</f>
        <v>#DIV/0!</v>
      </c>
      <c r="S1025" s="21" t="e">
        <f>Table1[[#This Row],[5. Lợi nhuận gộp về bán hàng và cung cấp dịch vụ]]/Table1[[#This Row],[TỔNG CỘNG TÀI SẢN]]</f>
        <v>#DIV/0!</v>
      </c>
      <c r="T102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025" s="23" t="e">
        <f>Table1[[#This Row],[1. Doanh thu bán hàng và cung cấp dịch vụ ]]/Table1[[#This Row],[TỔNG CỘNG TÀI SẢN]]</f>
        <v>#DIV/0!</v>
      </c>
      <c r="V1025" s="23" t="e">
        <f>1.2*Table1[[#This Row],[X1]] + 1.4*Table1[[#This Row],[X2]] + 3.3*Table1[[#This Row],[x3]] + 0.6*Table1[[#This Row],[x4]] + 1*Table1[[#This Row],[x5]]</f>
        <v>#DIV/0!</v>
      </c>
      <c r="W1025" s="23" t="e">
        <f>IF(Table1[[#This Row],[Zscore]]&lt;1.81,1,0)</f>
        <v>#DIV/0!</v>
      </c>
    </row>
    <row r="1026" spans="1:23" ht="26.25" hidden="1" x14ac:dyDescent="0.45">
      <c r="A1026" s="7">
        <v>1020</v>
      </c>
      <c r="B1026" s="5" t="s">
        <v>2052</v>
      </c>
      <c r="C1026" s="6" t="s">
        <v>2053</v>
      </c>
      <c r="D1026" s="6" t="s">
        <v>13</v>
      </c>
      <c r="E1026" s="6"/>
      <c r="F1026" s="6"/>
      <c r="G1026" s="6"/>
      <c r="H1026" s="6"/>
      <c r="I1026" s="6"/>
      <c r="J1026" s="8"/>
      <c r="K1026" s="6"/>
      <c r="L1026" s="6"/>
      <c r="M1026" s="8"/>
      <c r="N1026" s="8"/>
      <c r="O1026" s="8"/>
      <c r="P1026" s="8"/>
      <c r="Q1026" s="18" t="e">
        <f>(Table1[[#This Row],[A. TÀI SẢN NGẮN HẠN]]-Table1[[#This Row],[I. Nợ ngắn hạn]])/Table1[[#This Row],[TỔNG CỘNG TÀI SẢN]]</f>
        <v>#DIV/0!</v>
      </c>
      <c r="R1026" s="18" t="e">
        <f>Table1[[#This Row],[- LNST chưa phân phối kỳ này]]/Table1[[#This Row],[TỔNG CỘNG TÀI SẢN]]</f>
        <v>#DIV/0!</v>
      </c>
      <c r="S1026" s="21" t="e">
        <f>Table1[[#This Row],[5. Lợi nhuận gộp về bán hàng và cung cấp dịch vụ]]/Table1[[#This Row],[TỔNG CỘNG TÀI SẢN]]</f>
        <v>#DIV/0!</v>
      </c>
      <c r="T102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026" s="23" t="e">
        <f>Table1[[#This Row],[1. Doanh thu bán hàng và cung cấp dịch vụ ]]/Table1[[#This Row],[TỔNG CỘNG TÀI SẢN]]</f>
        <v>#DIV/0!</v>
      </c>
      <c r="V1026" s="23" t="e">
        <f>1.2*Table1[[#This Row],[X1]] + 1.4*Table1[[#This Row],[X2]] + 3.3*Table1[[#This Row],[x3]] + 0.6*Table1[[#This Row],[x4]] + 1*Table1[[#This Row],[x5]]</f>
        <v>#DIV/0!</v>
      </c>
      <c r="W1026" s="23" t="e">
        <f>IF(Table1[[#This Row],[Zscore]]&lt;1.81,1,0)</f>
        <v>#DIV/0!</v>
      </c>
    </row>
    <row r="1027" spans="1:23" ht="26.25" hidden="1" x14ac:dyDescent="0.45">
      <c r="A1027" s="7">
        <v>1021</v>
      </c>
      <c r="B1027" s="5" t="s">
        <v>2054</v>
      </c>
      <c r="C1027" s="6" t="s">
        <v>2055</v>
      </c>
      <c r="D1027" s="6" t="s">
        <v>13</v>
      </c>
      <c r="E1027" s="6"/>
      <c r="F1027" s="6"/>
      <c r="G1027" s="6"/>
      <c r="H1027" s="6"/>
      <c r="I1027" s="6"/>
      <c r="J1027" s="8"/>
      <c r="K1027" s="6"/>
      <c r="L1027" s="6"/>
      <c r="M1027" s="8"/>
      <c r="N1027" s="8"/>
      <c r="O1027" s="8"/>
      <c r="P1027" s="8"/>
      <c r="Q1027" s="18" t="e">
        <f>(Table1[[#This Row],[A. TÀI SẢN NGẮN HẠN]]-Table1[[#This Row],[I. Nợ ngắn hạn]])/Table1[[#This Row],[TỔNG CỘNG TÀI SẢN]]</f>
        <v>#DIV/0!</v>
      </c>
      <c r="R1027" s="18" t="e">
        <f>Table1[[#This Row],[- LNST chưa phân phối kỳ này]]/Table1[[#This Row],[TỔNG CỘNG TÀI SẢN]]</f>
        <v>#DIV/0!</v>
      </c>
      <c r="S1027" s="21" t="e">
        <f>Table1[[#This Row],[5. Lợi nhuận gộp về bán hàng và cung cấp dịch vụ]]/Table1[[#This Row],[TỔNG CỘNG TÀI SẢN]]</f>
        <v>#DIV/0!</v>
      </c>
      <c r="T102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027" s="23" t="e">
        <f>Table1[[#This Row],[1. Doanh thu bán hàng và cung cấp dịch vụ ]]/Table1[[#This Row],[TỔNG CỘNG TÀI SẢN]]</f>
        <v>#DIV/0!</v>
      </c>
      <c r="V1027" s="23" t="e">
        <f>1.2*Table1[[#This Row],[X1]] + 1.4*Table1[[#This Row],[X2]] + 3.3*Table1[[#This Row],[x3]] + 0.6*Table1[[#This Row],[x4]] + 1*Table1[[#This Row],[x5]]</f>
        <v>#DIV/0!</v>
      </c>
      <c r="W1027" s="23" t="e">
        <f>IF(Table1[[#This Row],[Zscore]]&lt;1.81,1,0)</f>
        <v>#DIV/0!</v>
      </c>
    </row>
    <row r="1028" spans="1:23" ht="26.25" x14ac:dyDescent="0.45">
      <c r="A1028" s="7">
        <v>1022</v>
      </c>
      <c r="B1028" s="5" t="s">
        <v>2056</v>
      </c>
      <c r="C1028" s="6" t="s">
        <v>2057</v>
      </c>
      <c r="D1028" s="6" t="s">
        <v>36</v>
      </c>
      <c r="E1028" s="8">
        <v>623783477903</v>
      </c>
      <c r="F1028" s="8">
        <v>515507749368</v>
      </c>
      <c r="G1028" s="8">
        <v>135463125586</v>
      </c>
      <c r="H1028" s="8">
        <v>288071541921</v>
      </c>
      <c r="I1028" s="8">
        <v>579860265243</v>
      </c>
      <c r="J1028" s="8"/>
      <c r="K1028" s="8">
        <v>148073310559</v>
      </c>
      <c r="L1028" s="8">
        <v>694766753598</v>
      </c>
      <c r="M1028" s="8">
        <v>4233600000000</v>
      </c>
      <c r="N1028" s="8">
        <v>3020220000000</v>
      </c>
      <c r="O1028" s="8">
        <v>3402000000000</v>
      </c>
      <c r="P1028" s="8">
        <v>3849300000000</v>
      </c>
      <c r="Q1028" s="18">
        <f>(Table1[[#This Row],[A. TÀI SẢN NGẮN HẠN]]-Table1[[#This Row],[I. Nợ ngắn hạn]])/Table1[[#This Row],[TỔNG CỘNG TÀI SẢN]]</f>
        <v>0.60925727795742923</v>
      </c>
      <c r="R1028" s="18">
        <f>Table1[[#This Row],[- LNST chưa phân phối kỳ này]]/Table1[[#This Row],[TỔNG CỘNG TÀI SẢN]]</f>
        <v>0.46181335691901076</v>
      </c>
      <c r="S1028" s="21">
        <f>Table1[[#This Row],[5. Lợi nhuận gộp về bán hàng và cung cấp dịch vụ]]/Table1[[#This Row],[TỔNG CỘNG TÀI SẢN]]</f>
        <v>0.92958580306157101</v>
      </c>
      <c r="T102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24.489761094083892</v>
      </c>
      <c r="U1028" s="23">
        <f>Table1[[#This Row],[1. Doanh thu bán hàng và cung cấp dịch vụ ]]/Table1[[#This Row],[TỔNG CỘNG TÀI SẢN]]</f>
        <v>1.1137947352078441</v>
      </c>
      <c r="V1028" s="23">
        <f>1.2*Table1[[#This Row],[X1]] + 1.4*Table1[[#This Row],[X2]] + 3.3*Table1[[#This Row],[x3]] + 0.6*Table1[[#This Row],[x4]] + 1*Table1[[#This Row],[x5]]</f>
        <v>20.252931974996894</v>
      </c>
      <c r="W1028" s="23">
        <f>IF(Table1[[#This Row],[Zscore]]&lt;1.81,1,0)</f>
        <v>0</v>
      </c>
    </row>
    <row r="1029" spans="1:23" ht="26.25" hidden="1" x14ac:dyDescent="0.45">
      <c r="A1029" s="7">
        <v>1023</v>
      </c>
      <c r="B1029" s="5" t="s">
        <v>2058</v>
      </c>
      <c r="C1029" s="6" t="s">
        <v>2059</v>
      </c>
      <c r="D1029" s="6" t="s">
        <v>13</v>
      </c>
      <c r="E1029" s="6"/>
      <c r="F1029" s="6"/>
      <c r="G1029" s="6"/>
      <c r="H1029" s="6"/>
      <c r="I1029" s="6"/>
      <c r="J1029" s="8"/>
      <c r="K1029" s="6"/>
      <c r="L1029" s="6"/>
      <c r="M1029" s="8"/>
      <c r="N1029" s="8"/>
      <c r="O1029" s="8"/>
      <c r="P1029" s="8"/>
      <c r="Q1029" s="18" t="e">
        <f>(Table1[[#This Row],[A. TÀI SẢN NGẮN HẠN]]-Table1[[#This Row],[I. Nợ ngắn hạn]])/Table1[[#This Row],[TỔNG CỘNG TÀI SẢN]]</f>
        <v>#DIV/0!</v>
      </c>
      <c r="R1029" s="18" t="e">
        <f>Table1[[#This Row],[- LNST chưa phân phối kỳ này]]/Table1[[#This Row],[TỔNG CỘNG TÀI SẢN]]</f>
        <v>#DIV/0!</v>
      </c>
      <c r="S1029" s="21" t="e">
        <f>Table1[[#This Row],[5. Lợi nhuận gộp về bán hàng và cung cấp dịch vụ]]/Table1[[#This Row],[TỔNG CỘNG TÀI SẢN]]</f>
        <v>#DIV/0!</v>
      </c>
      <c r="T102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029" s="23" t="e">
        <f>Table1[[#This Row],[1. Doanh thu bán hàng và cung cấp dịch vụ ]]/Table1[[#This Row],[TỔNG CỘNG TÀI SẢN]]</f>
        <v>#DIV/0!</v>
      </c>
      <c r="V1029" s="23" t="e">
        <f>1.2*Table1[[#This Row],[X1]] + 1.4*Table1[[#This Row],[X2]] + 3.3*Table1[[#This Row],[x3]] + 0.6*Table1[[#This Row],[x4]] + 1*Table1[[#This Row],[x5]]</f>
        <v>#DIV/0!</v>
      </c>
      <c r="W1029" s="23" t="e">
        <f>IF(Table1[[#This Row],[Zscore]]&lt;1.81,1,0)</f>
        <v>#DIV/0!</v>
      </c>
    </row>
    <row r="1030" spans="1:23" x14ac:dyDescent="0.45">
      <c r="A1030" s="7">
        <v>1024</v>
      </c>
      <c r="B1030" s="5" t="s">
        <v>2060</v>
      </c>
      <c r="C1030" s="6" t="s">
        <v>2061</v>
      </c>
      <c r="D1030" s="6" t="s">
        <v>18</v>
      </c>
      <c r="E1030" s="8">
        <v>254094441710</v>
      </c>
      <c r="F1030" s="8">
        <v>102274640244</v>
      </c>
      <c r="G1030" s="8">
        <v>60273626536</v>
      </c>
      <c r="H1030" s="8">
        <v>-19901986748</v>
      </c>
      <c r="I1030" s="8">
        <v>5024003542</v>
      </c>
      <c r="J1030" s="8"/>
      <c r="K1030" s="8">
        <v>67665246736</v>
      </c>
      <c r="L1030" s="8">
        <v>38472876551</v>
      </c>
      <c r="M1030" s="8">
        <v>218000000000</v>
      </c>
      <c r="N1030" s="8">
        <v>242000000000</v>
      </c>
      <c r="O1030" s="8">
        <v>214000000000</v>
      </c>
      <c r="P1030" s="8">
        <v>280000000000</v>
      </c>
      <c r="Q1030" s="18">
        <f>(Table1[[#This Row],[A. TÀI SẢN NGẮN HẠN]]-Table1[[#This Row],[I. Nợ ngắn hạn]])/Table1[[#This Row],[TỔNG CỘNG TÀI SẢN]]</f>
        <v>0.16529686137698396</v>
      </c>
      <c r="R1030" s="18">
        <f>Table1[[#This Row],[- LNST chưa phân phối kỳ này]]/Table1[[#This Row],[TỔNG CỘNG TÀI SẢN]]</f>
        <v>-7.8325155851753328E-2</v>
      </c>
      <c r="S1030" s="21">
        <f>Table1[[#This Row],[5. Lợi nhuận gộp về bán hàng và cung cấp dịch vụ]]/Table1[[#This Row],[TỔNG CỘNG TÀI SẢN]]</f>
        <v>1.9772189852676647E-2</v>
      </c>
      <c r="T103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3.5247045049657766</v>
      </c>
      <c r="U1030" s="23">
        <f>Table1[[#This Row],[1. Doanh thu bán hàng và cung cấp dịch vụ ]]/Table1[[#This Row],[TỔNG CỘNG TÀI SẢN]]</f>
        <v>0.15141172035124403</v>
      </c>
      <c r="V1030" s="23">
        <f>1.2*Table1[[#This Row],[X1]] + 1.4*Table1[[#This Row],[X2]] + 3.3*Table1[[#This Row],[x3]] + 0.6*Table1[[#This Row],[x4]] + 1*Table1[[#This Row],[x5]]</f>
        <v>2.420183665304469</v>
      </c>
      <c r="W1030" s="23">
        <f>IF(Table1[[#This Row],[Zscore]]&lt;1.81,1,0)</f>
        <v>0</v>
      </c>
    </row>
    <row r="1031" spans="1:23" ht="26.25" hidden="1" x14ac:dyDescent="0.45">
      <c r="A1031" s="7">
        <v>1025</v>
      </c>
      <c r="B1031" s="5" t="s">
        <v>2062</v>
      </c>
      <c r="C1031" s="6" t="s">
        <v>2063</v>
      </c>
      <c r="D1031" s="6" t="s">
        <v>13</v>
      </c>
      <c r="E1031" s="6"/>
      <c r="F1031" s="6"/>
      <c r="G1031" s="6"/>
      <c r="H1031" s="6"/>
      <c r="I1031" s="6"/>
      <c r="J1031" s="8"/>
      <c r="K1031" s="6"/>
      <c r="L1031" s="6"/>
      <c r="M1031" s="8"/>
      <c r="N1031" s="8"/>
      <c r="O1031" s="8"/>
      <c r="P1031" s="8"/>
      <c r="Q1031" s="18" t="e">
        <f>(Table1[[#This Row],[A. TÀI SẢN NGẮN HẠN]]-Table1[[#This Row],[I. Nợ ngắn hạn]])/Table1[[#This Row],[TỔNG CỘNG TÀI SẢN]]</f>
        <v>#DIV/0!</v>
      </c>
      <c r="R1031" s="18" t="e">
        <f>Table1[[#This Row],[- LNST chưa phân phối kỳ này]]/Table1[[#This Row],[TỔNG CỘNG TÀI SẢN]]</f>
        <v>#DIV/0!</v>
      </c>
      <c r="S1031" s="21" t="e">
        <f>Table1[[#This Row],[5. Lợi nhuận gộp về bán hàng và cung cấp dịch vụ]]/Table1[[#This Row],[TỔNG CỘNG TÀI SẢN]]</f>
        <v>#DIV/0!</v>
      </c>
      <c r="T103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031" s="23" t="e">
        <f>Table1[[#This Row],[1. Doanh thu bán hàng và cung cấp dịch vụ ]]/Table1[[#This Row],[TỔNG CỘNG TÀI SẢN]]</f>
        <v>#DIV/0!</v>
      </c>
      <c r="V1031" s="23" t="e">
        <f>1.2*Table1[[#This Row],[X1]] + 1.4*Table1[[#This Row],[X2]] + 3.3*Table1[[#This Row],[x3]] + 0.6*Table1[[#This Row],[x4]] + 1*Table1[[#This Row],[x5]]</f>
        <v>#DIV/0!</v>
      </c>
      <c r="W1031" s="23" t="e">
        <f>IF(Table1[[#This Row],[Zscore]]&lt;1.81,1,0)</f>
        <v>#DIV/0!</v>
      </c>
    </row>
    <row r="1032" spans="1:23" hidden="1" x14ac:dyDescent="0.45">
      <c r="A1032" s="7">
        <v>1026</v>
      </c>
      <c r="B1032" s="5" t="s">
        <v>2064</v>
      </c>
      <c r="C1032" s="6" t="s">
        <v>2065</v>
      </c>
      <c r="D1032" s="6" t="s">
        <v>13</v>
      </c>
      <c r="E1032" s="6"/>
      <c r="F1032" s="6"/>
      <c r="G1032" s="6"/>
      <c r="H1032" s="6"/>
      <c r="I1032" s="6"/>
      <c r="J1032" s="8"/>
      <c r="K1032" s="6"/>
      <c r="L1032" s="6"/>
      <c r="M1032" s="8"/>
      <c r="N1032" s="8"/>
      <c r="O1032" s="8"/>
      <c r="P1032" s="8"/>
      <c r="Q1032" s="18" t="e">
        <f>(Table1[[#This Row],[A. TÀI SẢN NGẮN HẠN]]-Table1[[#This Row],[I. Nợ ngắn hạn]])/Table1[[#This Row],[TỔNG CỘNG TÀI SẢN]]</f>
        <v>#DIV/0!</v>
      </c>
      <c r="R1032" s="18" t="e">
        <f>Table1[[#This Row],[- LNST chưa phân phối kỳ này]]/Table1[[#This Row],[TỔNG CỘNG TÀI SẢN]]</f>
        <v>#DIV/0!</v>
      </c>
      <c r="S1032" s="21" t="e">
        <f>Table1[[#This Row],[5. Lợi nhuận gộp về bán hàng và cung cấp dịch vụ]]/Table1[[#This Row],[TỔNG CỘNG TÀI SẢN]]</f>
        <v>#DIV/0!</v>
      </c>
      <c r="T103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032" s="23" t="e">
        <f>Table1[[#This Row],[1. Doanh thu bán hàng và cung cấp dịch vụ ]]/Table1[[#This Row],[TỔNG CỘNG TÀI SẢN]]</f>
        <v>#DIV/0!</v>
      </c>
      <c r="V1032" s="23" t="e">
        <f>1.2*Table1[[#This Row],[X1]] + 1.4*Table1[[#This Row],[X2]] + 3.3*Table1[[#This Row],[x3]] + 0.6*Table1[[#This Row],[x4]] + 1*Table1[[#This Row],[x5]]</f>
        <v>#DIV/0!</v>
      </c>
      <c r="W1032" s="23" t="e">
        <f>IF(Table1[[#This Row],[Zscore]]&lt;1.81,1,0)</f>
        <v>#DIV/0!</v>
      </c>
    </row>
    <row r="1033" spans="1:23" hidden="1" x14ac:dyDescent="0.45">
      <c r="A1033" s="7">
        <v>1027</v>
      </c>
      <c r="B1033" s="5" t="s">
        <v>2066</v>
      </c>
      <c r="C1033" s="6" t="s">
        <v>2067</v>
      </c>
      <c r="D1033" s="6" t="s">
        <v>18</v>
      </c>
      <c r="E1033" s="6"/>
      <c r="F1033" s="6"/>
      <c r="G1033" s="6"/>
      <c r="H1033" s="6"/>
      <c r="I1033" s="6"/>
      <c r="J1033" s="8"/>
      <c r="K1033" s="6"/>
      <c r="L1033" s="6"/>
      <c r="M1033" s="8"/>
      <c r="N1033" s="8"/>
      <c r="O1033" s="8"/>
      <c r="P1033" s="8"/>
      <c r="Q1033" s="18" t="e">
        <f>(Table1[[#This Row],[A. TÀI SẢN NGẮN HẠN]]-Table1[[#This Row],[I. Nợ ngắn hạn]])/Table1[[#This Row],[TỔNG CỘNG TÀI SẢN]]</f>
        <v>#DIV/0!</v>
      </c>
      <c r="R1033" s="18" t="e">
        <f>Table1[[#This Row],[- LNST chưa phân phối kỳ này]]/Table1[[#This Row],[TỔNG CỘNG TÀI SẢN]]</f>
        <v>#DIV/0!</v>
      </c>
      <c r="S1033" s="21" t="e">
        <f>Table1[[#This Row],[5. Lợi nhuận gộp về bán hàng và cung cấp dịch vụ]]/Table1[[#This Row],[TỔNG CỘNG TÀI SẢN]]</f>
        <v>#DIV/0!</v>
      </c>
      <c r="T103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033" s="23" t="e">
        <f>Table1[[#This Row],[1. Doanh thu bán hàng và cung cấp dịch vụ ]]/Table1[[#This Row],[TỔNG CỘNG TÀI SẢN]]</f>
        <v>#DIV/0!</v>
      </c>
      <c r="V1033" s="23" t="e">
        <f>1.2*Table1[[#This Row],[X1]] + 1.4*Table1[[#This Row],[X2]] + 3.3*Table1[[#This Row],[x3]] + 0.6*Table1[[#This Row],[x4]] + 1*Table1[[#This Row],[x5]]</f>
        <v>#DIV/0!</v>
      </c>
      <c r="W1033" s="23" t="e">
        <f>IF(Table1[[#This Row],[Zscore]]&lt;1.81,1,0)</f>
        <v>#DIV/0!</v>
      </c>
    </row>
    <row r="1034" spans="1:23" x14ac:dyDescent="0.45">
      <c r="A1034" s="7">
        <v>1028</v>
      </c>
      <c r="B1034" s="5" t="s">
        <v>2068</v>
      </c>
      <c r="C1034" s="6" t="s">
        <v>2069</v>
      </c>
      <c r="D1034" s="6" t="s">
        <v>36</v>
      </c>
      <c r="E1034" s="8">
        <v>988376930170</v>
      </c>
      <c r="F1034" s="8">
        <v>598748656407</v>
      </c>
      <c r="G1034" s="8">
        <v>319725236203</v>
      </c>
      <c r="H1034" s="8">
        <v>49323140258</v>
      </c>
      <c r="I1034" s="8">
        <v>157210670421</v>
      </c>
      <c r="J1034" s="8"/>
      <c r="K1034" s="8">
        <v>321667349068</v>
      </c>
      <c r="L1034" s="8">
        <v>768232755856</v>
      </c>
      <c r="M1034" s="8">
        <v>2161530000000</v>
      </c>
      <c r="N1034" s="8">
        <v>2458822500000</v>
      </c>
      <c r="O1034" s="8">
        <v>2248582500000</v>
      </c>
      <c r="P1034" s="8">
        <v>2248582500000</v>
      </c>
      <c r="Q1034" s="18">
        <f>(Table1[[#This Row],[A. TÀI SẢN NGẮN HẠN]]-Table1[[#This Row],[I. Nợ ngắn hạn]])/Table1[[#This Row],[TỔNG CỘNG TÀI SẢN]]</f>
        <v>0.28230466706260354</v>
      </c>
      <c r="R1034" s="18">
        <f>Table1[[#This Row],[- LNST chưa phân phối kỳ này]]/Table1[[#This Row],[TỔNG CỘNG TÀI SẢN]]</f>
        <v>4.9903168267511525E-2</v>
      </c>
      <c r="S1034" s="21">
        <f>Table1[[#This Row],[5. Lợi nhuận gộp về bán hàng và cung cấp dịch vụ]]/Table1[[#This Row],[TỔNG CỘNG TÀI SẢN]]</f>
        <v>0.15905942927457836</v>
      </c>
      <c r="T103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7.0861384644860008</v>
      </c>
      <c r="U1034" s="23">
        <f>Table1[[#This Row],[1. Doanh thu bán hàng và cung cấp dịch vụ ]]/Table1[[#This Row],[TỔNG CỘNG TÀI SẢN]]</f>
        <v>0.77726698429096741</v>
      </c>
      <c r="V1034" s="23">
        <f>1.2*Table1[[#This Row],[X1]] + 1.4*Table1[[#This Row],[X2]] + 3.3*Table1[[#This Row],[x3]] + 0.6*Table1[[#This Row],[x4]] + 1*Table1[[#This Row],[x5]]</f>
        <v>5.9624762156383166</v>
      </c>
      <c r="W1034" s="23">
        <f>IF(Table1[[#This Row],[Zscore]]&lt;1.81,1,0)</f>
        <v>0</v>
      </c>
    </row>
    <row r="1035" spans="1:23" ht="26.25" hidden="1" x14ac:dyDescent="0.45">
      <c r="A1035" s="7">
        <v>1029</v>
      </c>
      <c r="B1035" s="5" t="s">
        <v>2070</v>
      </c>
      <c r="C1035" s="6" t="s">
        <v>2071</v>
      </c>
      <c r="D1035" s="6" t="s">
        <v>13</v>
      </c>
      <c r="E1035" s="6"/>
      <c r="F1035" s="6"/>
      <c r="G1035" s="6"/>
      <c r="H1035" s="6"/>
      <c r="I1035" s="6"/>
      <c r="J1035" s="8"/>
      <c r="K1035" s="6"/>
      <c r="L1035" s="6"/>
      <c r="M1035" s="8"/>
      <c r="N1035" s="8"/>
      <c r="O1035" s="8"/>
      <c r="P1035" s="8"/>
      <c r="Q1035" s="18" t="e">
        <f>(Table1[[#This Row],[A. TÀI SẢN NGẮN HẠN]]-Table1[[#This Row],[I. Nợ ngắn hạn]])/Table1[[#This Row],[TỔNG CỘNG TÀI SẢN]]</f>
        <v>#DIV/0!</v>
      </c>
      <c r="R1035" s="18" t="e">
        <f>Table1[[#This Row],[- LNST chưa phân phối kỳ này]]/Table1[[#This Row],[TỔNG CỘNG TÀI SẢN]]</f>
        <v>#DIV/0!</v>
      </c>
      <c r="S1035" s="21" t="e">
        <f>Table1[[#This Row],[5. Lợi nhuận gộp về bán hàng và cung cấp dịch vụ]]/Table1[[#This Row],[TỔNG CỘNG TÀI SẢN]]</f>
        <v>#DIV/0!</v>
      </c>
      <c r="T103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035" s="23" t="e">
        <f>Table1[[#This Row],[1. Doanh thu bán hàng và cung cấp dịch vụ ]]/Table1[[#This Row],[TỔNG CỘNG TÀI SẢN]]</f>
        <v>#DIV/0!</v>
      </c>
      <c r="V1035" s="23" t="e">
        <f>1.2*Table1[[#This Row],[X1]] + 1.4*Table1[[#This Row],[X2]] + 3.3*Table1[[#This Row],[x3]] + 0.6*Table1[[#This Row],[x4]] + 1*Table1[[#This Row],[x5]]</f>
        <v>#DIV/0!</v>
      </c>
      <c r="W1035" s="23" t="e">
        <f>IF(Table1[[#This Row],[Zscore]]&lt;1.81,1,0)</f>
        <v>#DIV/0!</v>
      </c>
    </row>
    <row r="1036" spans="1:23" x14ac:dyDescent="0.45">
      <c r="A1036" s="7">
        <v>1030</v>
      </c>
      <c r="B1036" s="5" t="s">
        <v>2072</v>
      </c>
      <c r="C1036" s="6" t="s">
        <v>2073</v>
      </c>
      <c r="D1036" s="6" t="s">
        <v>18</v>
      </c>
      <c r="E1036" s="8">
        <v>53361897128</v>
      </c>
      <c r="F1036" s="8">
        <v>5389714005</v>
      </c>
      <c r="G1036" s="8">
        <v>12801216484</v>
      </c>
      <c r="H1036" s="8">
        <v>-67507587530</v>
      </c>
      <c r="I1036" s="8">
        <v>-16537512953</v>
      </c>
      <c r="J1036" s="8"/>
      <c r="K1036" s="8">
        <v>34715732068</v>
      </c>
      <c r="L1036" s="8">
        <v>22274521317</v>
      </c>
      <c r="M1036" s="8">
        <v>55834166400</v>
      </c>
      <c r="N1036" s="8">
        <v>45365260200</v>
      </c>
      <c r="O1036" s="8">
        <v>48854895600</v>
      </c>
      <c r="P1036" s="8">
        <v>52344531000</v>
      </c>
      <c r="Q1036" s="18">
        <f>(Table1[[#This Row],[A. TÀI SẢN NGẮN HẠN]]-Table1[[#This Row],[I. Nợ ngắn hạn]])/Table1[[#This Row],[TỔNG CỘNG TÀI SẢN]]</f>
        <v>-0.13889128531584841</v>
      </c>
      <c r="R1036" s="18">
        <f>Table1[[#This Row],[- LNST chưa phân phối kỳ này]]/Table1[[#This Row],[TỔNG CỘNG TÀI SẢN]]</f>
        <v>-1.2650897206309686</v>
      </c>
      <c r="S1036" s="21">
        <f>Table1[[#This Row],[5. Lợi nhuận gộp về bán hàng và cung cấp dịch vụ]]/Table1[[#This Row],[TỔNG CỘNG TÀI SẢN]]</f>
        <v>-0.30991238773485158</v>
      </c>
      <c r="T103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1.4575441820119766</v>
      </c>
      <c r="U1036" s="23">
        <f>Table1[[#This Row],[1. Doanh thu bán hàng và cung cấp dịch vụ ]]/Table1[[#This Row],[TỔNG CỘNG TÀI SẢN]]</f>
        <v>0.41742371459488714</v>
      </c>
      <c r="V1036" s="23">
        <f>1.2*Table1[[#This Row],[X1]] + 1.4*Table1[[#This Row],[X2]] + 3.3*Table1[[#This Row],[x3]] + 0.6*Table1[[#This Row],[x4]] + 1*Table1[[#This Row],[x5]]</f>
        <v>-1.6685558069853106</v>
      </c>
      <c r="W1036" s="23">
        <f>IF(Table1[[#This Row],[Zscore]]&lt;1.81,1,0)</f>
        <v>1</v>
      </c>
    </row>
    <row r="1037" spans="1:23" hidden="1" x14ac:dyDescent="0.45">
      <c r="A1037" s="7">
        <v>1031</v>
      </c>
      <c r="B1037" s="5" t="s">
        <v>2074</v>
      </c>
      <c r="C1037" s="6" t="s">
        <v>2075</v>
      </c>
      <c r="D1037" s="6" t="s">
        <v>13</v>
      </c>
      <c r="E1037" s="6"/>
      <c r="F1037" s="6"/>
      <c r="G1037" s="6"/>
      <c r="H1037" s="6"/>
      <c r="I1037" s="6"/>
      <c r="J1037" s="8"/>
      <c r="K1037" s="6"/>
      <c r="L1037" s="6"/>
      <c r="M1037" s="8"/>
      <c r="N1037" s="8"/>
      <c r="O1037" s="8"/>
      <c r="P1037" s="8"/>
      <c r="Q1037" s="18" t="e">
        <f>(Table1[[#This Row],[A. TÀI SẢN NGẮN HẠN]]-Table1[[#This Row],[I. Nợ ngắn hạn]])/Table1[[#This Row],[TỔNG CỘNG TÀI SẢN]]</f>
        <v>#DIV/0!</v>
      </c>
      <c r="R1037" s="18" t="e">
        <f>Table1[[#This Row],[- LNST chưa phân phối kỳ này]]/Table1[[#This Row],[TỔNG CỘNG TÀI SẢN]]</f>
        <v>#DIV/0!</v>
      </c>
      <c r="S1037" s="21" t="e">
        <f>Table1[[#This Row],[5. Lợi nhuận gộp về bán hàng và cung cấp dịch vụ]]/Table1[[#This Row],[TỔNG CỘNG TÀI SẢN]]</f>
        <v>#DIV/0!</v>
      </c>
      <c r="T103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037" s="23" t="e">
        <f>Table1[[#This Row],[1. Doanh thu bán hàng và cung cấp dịch vụ ]]/Table1[[#This Row],[TỔNG CỘNG TÀI SẢN]]</f>
        <v>#DIV/0!</v>
      </c>
      <c r="V1037" s="23" t="e">
        <f>1.2*Table1[[#This Row],[X1]] + 1.4*Table1[[#This Row],[X2]] + 3.3*Table1[[#This Row],[x3]] + 0.6*Table1[[#This Row],[x4]] + 1*Table1[[#This Row],[x5]]</f>
        <v>#DIV/0!</v>
      </c>
      <c r="W1037" s="23" t="e">
        <f>IF(Table1[[#This Row],[Zscore]]&lt;1.81,1,0)</f>
        <v>#DIV/0!</v>
      </c>
    </row>
    <row r="1038" spans="1:23" ht="26.25" hidden="1" x14ac:dyDescent="0.45">
      <c r="A1038" s="7">
        <v>1032</v>
      </c>
      <c r="B1038" s="5" t="s">
        <v>2076</v>
      </c>
      <c r="C1038" s="6" t="s">
        <v>2077</v>
      </c>
      <c r="D1038" s="6" t="s">
        <v>18</v>
      </c>
      <c r="E1038" s="6"/>
      <c r="F1038" s="6"/>
      <c r="G1038" s="6"/>
      <c r="H1038" s="6"/>
      <c r="I1038" s="6"/>
      <c r="J1038" s="8"/>
      <c r="K1038" s="6"/>
      <c r="L1038" s="6"/>
      <c r="M1038" s="8"/>
      <c r="N1038" s="8"/>
      <c r="O1038" s="8"/>
      <c r="P1038" s="8"/>
      <c r="Q1038" s="18" t="e">
        <f>(Table1[[#This Row],[A. TÀI SẢN NGẮN HẠN]]-Table1[[#This Row],[I. Nợ ngắn hạn]])/Table1[[#This Row],[TỔNG CỘNG TÀI SẢN]]</f>
        <v>#DIV/0!</v>
      </c>
      <c r="R1038" s="18" t="e">
        <f>Table1[[#This Row],[- LNST chưa phân phối kỳ này]]/Table1[[#This Row],[TỔNG CỘNG TÀI SẢN]]</f>
        <v>#DIV/0!</v>
      </c>
      <c r="S1038" s="21" t="e">
        <f>Table1[[#This Row],[5. Lợi nhuận gộp về bán hàng và cung cấp dịch vụ]]/Table1[[#This Row],[TỔNG CỘNG TÀI SẢN]]</f>
        <v>#DIV/0!</v>
      </c>
      <c r="T103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038" s="23" t="e">
        <f>Table1[[#This Row],[1. Doanh thu bán hàng và cung cấp dịch vụ ]]/Table1[[#This Row],[TỔNG CỘNG TÀI SẢN]]</f>
        <v>#DIV/0!</v>
      </c>
      <c r="V1038" s="23" t="e">
        <f>1.2*Table1[[#This Row],[X1]] + 1.4*Table1[[#This Row],[X2]] + 3.3*Table1[[#This Row],[x3]] + 0.6*Table1[[#This Row],[x4]] + 1*Table1[[#This Row],[x5]]</f>
        <v>#DIV/0!</v>
      </c>
      <c r="W1038" s="23" t="e">
        <f>IF(Table1[[#This Row],[Zscore]]&lt;1.81,1,0)</f>
        <v>#DIV/0!</v>
      </c>
    </row>
    <row r="1039" spans="1:23" x14ac:dyDescent="0.45">
      <c r="A1039" s="7">
        <v>1033</v>
      </c>
      <c r="B1039" s="5" t="s">
        <v>2078</v>
      </c>
      <c r="C1039" s="6" t="s">
        <v>2079</v>
      </c>
      <c r="D1039" s="6" t="s">
        <v>21</v>
      </c>
      <c r="E1039" s="8">
        <v>3647356901722</v>
      </c>
      <c r="F1039" s="8">
        <v>1256859754353</v>
      </c>
      <c r="G1039" s="8">
        <v>1234189773824</v>
      </c>
      <c r="H1039" s="8">
        <v>51465920461</v>
      </c>
      <c r="I1039" s="8">
        <v>199882286722</v>
      </c>
      <c r="J1039" s="8"/>
      <c r="K1039" s="8">
        <v>2510950355872</v>
      </c>
      <c r="L1039" s="8">
        <v>3123870069335</v>
      </c>
      <c r="M1039" s="8">
        <v>770333652700</v>
      </c>
      <c r="N1039" s="8">
        <v>960753207300</v>
      </c>
      <c r="O1039" s="8">
        <v>796299955600</v>
      </c>
      <c r="P1039" s="8">
        <v>822266258500</v>
      </c>
      <c r="Q1039" s="18">
        <f>(Table1[[#This Row],[A. TÀI SẢN NGẮN HẠN]]-Table1[[#This Row],[I. Nợ ngắn hạn]])/Table1[[#This Row],[TỔNG CỘNG TÀI SẢN]]</f>
        <v>6.215454407079545E-3</v>
      </c>
      <c r="R1039" s="18">
        <f>Table1[[#This Row],[- LNST chưa phân phối kỳ này]]/Table1[[#This Row],[TỔNG CỘNG TÀI SẢN]]</f>
        <v>1.411047008772346E-2</v>
      </c>
      <c r="S1039" s="21">
        <f>Table1[[#This Row],[5. Lợi nhuận gộp về bán hàng và cung cấp dịch vụ]]/Table1[[#This Row],[TỔNG CỘNG TÀI SẢN]]</f>
        <v>5.4801954431065149E-2</v>
      </c>
      <c r="T103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0.33350451018143851</v>
      </c>
      <c r="U1039" s="23">
        <f>Table1[[#This Row],[1. Doanh thu bán hàng và cung cấp dịch vụ ]]/Table1[[#This Row],[TỔNG CỘNG TÀI SẢN]]</f>
        <v>0.85647501835100093</v>
      </c>
      <c r="V1039" s="23">
        <f>1.2*Table1[[#This Row],[X1]] + 1.4*Table1[[#This Row],[X2]] + 3.3*Table1[[#This Row],[x3]] + 0.6*Table1[[#This Row],[x4]] + 1*Table1[[#This Row],[x5]]</f>
        <v>1.2646373774936874</v>
      </c>
      <c r="W1039" s="23">
        <f>IF(Table1[[#This Row],[Zscore]]&lt;1.81,1,0)</f>
        <v>1</v>
      </c>
    </row>
    <row r="1040" spans="1:23" hidden="1" x14ac:dyDescent="0.45">
      <c r="A1040" s="7">
        <v>1034</v>
      </c>
      <c r="B1040" s="5" t="s">
        <v>2080</v>
      </c>
      <c r="C1040" s="6" t="s">
        <v>2081</v>
      </c>
      <c r="D1040" s="6" t="s">
        <v>13</v>
      </c>
      <c r="E1040" s="6"/>
      <c r="F1040" s="6"/>
      <c r="G1040" s="6"/>
      <c r="H1040" s="6"/>
      <c r="I1040" s="6"/>
      <c r="J1040" s="8"/>
      <c r="K1040" s="6"/>
      <c r="L1040" s="6"/>
      <c r="M1040" s="8">
        <v>690000000</v>
      </c>
      <c r="N1040" s="8"/>
      <c r="O1040" s="8"/>
      <c r="P1040" s="8"/>
      <c r="Q1040" s="18" t="e">
        <f>(Table1[[#This Row],[A. TÀI SẢN NGẮN HẠN]]-Table1[[#This Row],[I. Nợ ngắn hạn]])/Table1[[#This Row],[TỔNG CỘNG TÀI SẢN]]</f>
        <v>#DIV/0!</v>
      </c>
      <c r="R1040" s="18" t="e">
        <f>Table1[[#This Row],[- LNST chưa phân phối kỳ này]]/Table1[[#This Row],[TỔNG CỘNG TÀI SẢN]]</f>
        <v>#DIV/0!</v>
      </c>
      <c r="S1040" s="21" t="e">
        <f>Table1[[#This Row],[5. Lợi nhuận gộp về bán hàng và cung cấp dịch vụ]]/Table1[[#This Row],[TỔNG CỘNG TÀI SẢN]]</f>
        <v>#DIV/0!</v>
      </c>
      <c r="T104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040" s="23" t="e">
        <f>Table1[[#This Row],[1. Doanh thu bán hàng và cung cấp dịch vụ ]]/Table1[[#This Row],[TỔNG CỘNG TÀI SẢN]]</f>
        <v>#DIV/0!</v>
      </c>
      <c r="V1040" s="23" t="e">
        <f>1.2*Table1[[#This Row],[X1]] + 1.4*Table1[[#This Row],[X2]] + 3.3*Table1[[#This Row],[x3]] + 0.6*Table1[[#This Row],[x4]] + 1*Table1[[#This Row],[x5]]</f>
        <v>#DIV/0!</v>
      </c>
      <c r="W1040" s="23" t="e">
        <f>IF(Table1[[#This Row],[Zscore]]&lt;1.81,1,0)</f>
        <v>#DIV/0!</v>
      </c>
    </row>
    <row r="1041" spans="1:23" x14ac:dyDescent="0.45">
      <c r="A1041" s="7">
        <v>1035</v>
      </c>
      <c r="B1041" s="5" t="s">
        <v>2082</v>
      </c>
      <c r="C1041" s="6" t="s">
        <v>2083</v>
      </c>
      <c r="D1041" s="6" t="s">
        <v>21</v>
      </c>
      <c r="E1041" s="8">
        <v>23460150062295</v>
      </c>
      <c r="F1041" s="8">
        <v>20295568335223</v>
      </c>
      <c r="G1041" s="8">
        <v>4366122235983</v>
      </c>
      <c r="H1041" s="8">
        <v>3596229344719</v>
      </c>
      <c r="I1041" s="8">
        <v>65280859563</v>
      </c>
      <c r="J1041" s="8"/>
      <c r="K1041" s="8">
        <v>6949598558468</v>
      </c>
      <c r="L1041" s="8">
        <v>892760410909</v>
      </c>
      <c r="M1041" s="8">
        <v>3863852664000</v>
      </c>
      <c r="N1041" s="8">
        <v>5399824600000</v>
      </c>
      <c r="O1041" s="8">
        <v>6587786012000</v>
      </c>
      <c r="P1041" s="8">
        <v>7710949528800</v>
      </c>
      <c r="Q1041" s="18">
        <f>(Table1[[#This Row],[A. TÀI SẢN NGẮN HẠN]]-Table1[[#This Row],[I. Nợ ngắn hạn]])/Table1[[#This Row],[TỔNG CỘNG TÀI SẢN]]</f>
        <v>0.67900017932288093</v>
      </c>
      <c r="R1041" s="18">
        <f>Table1[[#This Row],[- LNST chưa phân phối kỳ này]]/Table1[[#This Row],[TỔNG CỘNG TÀI SẢN]]</f>
        <v>0.15329097789953341</v>
      </c>
      <c r="S1041" s="21">
        <f>Table1[[#This Row],[5. Lợi nhuận gộp về bán hàng và cung cấp dịch vụ]]/Table1[[#This Row],[TỔNG CỘNG TÀI SẢN]]</f>
        <v>2.7826275360411682E-3</v>
      </c>
      <c r="T104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0.84761776549270929</v>
      </c>
      <c r="U1041" s="23">
        <f>Table1[[#This Row],[1. Doanh thu bán hàng và cung cấp dịch vụ ]]/Table1[[#This Row],[TỔNG CỘNG TÀI SẢN]]</f>
        <v>3.8054335054908225E-2</v>
      </c>
      <c r="V1041" s="23">
        <f>1.2*Table1[[#This Row],[X1]] + 1.4*Table1[[#This Row],[X2]] + 3.3*Table1[[#This Row],[x3]] + 0.6*Table1[[#This Row],[x4]] + 1*Table1[[#This Row],[x5]]</f>
        <v>1.5852152494662735</v>
      </c>
      <c r="W1041" s="23">
        <f>IF(Table1[[#This Row],[Zscore]]&lt;1.81,1,0)</f>
        <v>1</v>
      </c>
    </row>
    <row r="1042" spans="1:23" ht="26.25" x14ac:dyDescent="0.45">
      <c r="A1042" s="7">
        <v>1036</v>
      </c>
      <c r="B1042" s="5" t="s">
        <v>2084</v>
      </c>
      <c r="C1042" s="6" t="s">
        <v>2085</v>
      </c>
      <c r="D1042" s="6" t="s">
        <v>21</v>
      </c>
      <c r="E1042" s="8">
        <v>40753441078781</v>
      </c>
      <c r="F1042" s="8">
        <v>1864835151184</v>
      </c>
      <c r="G1042" s="8">
        <v>3558781882006</v>
      </c>
      <c r="H1042" s="8">
        <v>587555058795</v>
      </c>
      <c r="I1042" s="8">
        <v>1616973696861</v>
      </c>
      <c r="J1042" s="8"/>
      <c r="K1042" s="8">
        <v>28575631091903</v>
      </c>
      <c r="L1042" s="8">
        <v>3801547772265</v>
      </c>
      <c r="M1042" s="8">
        <v>5273517441600</v>
      </c>
      <c r="N1042" s="8">
        <v>6541243989450</v>
      </c>
      <c r="O1042" s="8">
        <v>5850880770800</v>
      </c>
      <c r="P1042" s="8">
        <v>8108157948900</v>
      </c>
      <c r="Q1042" s="18">
        <f>(Table1[[#This Row],[A. TÀI SẢN NGẮN HẠN]]-Table1[[#This Row],[I. Nợ ngắn hạn]])/Table1[[#This Row],[TỔNG CỘNG TÀI SẢN]]</f>
        <v>-4.1565734965727429E-2</v>
      </c>
      <c r="R1042" s="18">
        <f>Table1[[#This Row],[- LNST chưa phân phối kỳ này]]/Table1[[#This Row],[TỔNG CỘNG TÀI SẢN]]</f>
        <v>1.4417311599753988E-2</v>
      </c>
      <c r="S1042" s="21">
        <f>Table1[[#This Row],[5. Lợi nhuận gộp về bán hàng và cung cấp dịch vụ]]/Table1[[#This Row],[TỔNG CỘNG TÀI SẢN]]</f>
        <v>3.9676985649756726E-2</v>
      </c>
      <c r="T104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0.2254875847523547</v>
      </c>
      <c r="U1042" s="23">
        <f>Table1[[#This Row],[1. Doanh thu bán hàng và cung cấp dịch vụ ]]/Table1[[#This Row],[TỔNG CỘNG TÀI SẢN]]</f>
        <v>9.3281638841642339E-2</v>
      </c>
      <c r="V1042" s="23">
        <f>1.2*Table1[[#This Row],[X1]] + 1.4*Table1[[#This Row],[X2]] + 3.3*Table1[[#This Row],[x3]] + 0.6*Table1[[#This Row],[x4]] + 1*Table1[[#This Row],[x5]]</f>
        <v>0.329813596618035</v>
      </c>
      <c r="W1042" s="23">
        <f>IF(Table1[[#This Row],[Zscore]]&lt;1.81,1,0)</f>
        <v>1</v>
      </c>
    </row>
    <row r="1043" spans="1:23" ht="26.25" hidden="1" x14ac:dyDescent="0.45">
      <c r="A1043" s="7">
        <v>1037</v>
      </c>
      <c r="B1043" s="5" t="s">
        <v>2086</v>
      </c>
      <c r="C1043" s="6" t="s">
        <v>2087</v>
      </c>
      <c r="D1043" s="6" t="s">
        <v>13</v>
      </c>
      <c r="E1043" s="6"/>
      <c r="F1043" s="6"/>
      <c r="G1043" s="6"/>
      <c r="H1043" s="6"/>
      <c r="I1043" s="6"/>
      <c r="J1043" s="8"/>
      <c r="K1043" s="6"/>
      <c r="L1043" s="6"/>
      <c r="M1043" s="8"/>
      <c r="N1043" s="8"/>
      <c r="O1043" s="8"/>
      <c r="P1043" s="8"/>
      <c r="Q1043" s="18" t="e">
        <f>(Table1[[#This Row],[A. TÀI SẢN NGẮN HẠN]]-Table1[[#This Row],[I. Nợ ngắn hạn]])/Table1[[#This Row],[TỔNG CỘNG TÀI SẢN]]</f>
        <v>#DIV/0!</v>
      </c>
      <c r="R1043" s="18" t="e">
        <f>Table1[[#This Row],[- LNST chưa phân phối kỳ này]]/Table1[[#This Row],[TỔNG CỘNG TÀI SẢN]]</f>
        <v>#DIV/0!</v>
      </c>
      <c r="S1043" s="21" t="e">
        <f>Table1[[#This Row],[5. Lợi nhuận gộp về bán hàng và cung cấp dịch vụ]]/Table1[[#This Row],[TỔNG CỘNG TÀI SẢN]]</f>
        <v>#DIV/0!</v>
      </c>
      <c r="T104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043" s="23" t="e">
        <f>Table1[[#This Row],[1. Doanh thu bán hàng và cung cấp dịch vụ ]]/Table1[[#This Row],[TỔNG CỘNG TÀI SẢN]]</f>
        <v>#DIV/0!</v>
      </c>
      <c r="V1043" s="23" t="e">
        <f>1.2*Table1[[#This Row],[X1]] + 1.4*Table1[[#This Row],[X2]] + 3.3*Table1[[#This Row],[x3]] + 0.6*Table1[[#This Row],[x4]] + 1*Table1[[#This Row],[x5]]</f>
        <v>#DIV/0!</v>
      </c>
      <c r="W1043" s="23" t="e">
        <f>IF(Table1[[#This Row],[Zscore]]&lt;1.81,1,0)</f>
        <v>#DIV/0!</v>
      </c>
    </row>
    <row r="1044" spans="1:23" hidden="1" x14ac:dyDescent="0.45">
      <c r="A1044" s="7">
        <v>1038</v>
      </c>
      <c r="B1044" s="5" t="s">
        <v>2088</v>
      </c>
      <c r="C1044" s="6" t="s">
        <v>2089</v>
      </c>
      <c r="D1044" s="6" t="s">
        <v>21</v>
      </c>
      <c r="E1044" s="6"/>
      <c r="F1044" s="6"/>
      <c r="G1044" s="6"/>
      <c r="H1044" s="6"/>
      <c r="I1044" s="6"/>
      <c r="J1044" s="8"/>
      <c r="K1044" s="6"/>
      <c r="L1044" s="6"/>
      <c r="M1044" s="8">
        <v>211079882750</v>
      </c>
      <c r="N1044" s="8"/>
      <c r="O1044" s="8">
        <v>194193492130</v>
      </c>
      <c r="P1044" s="8">
        <v>255598548930</v>
      </c>
      <c r="Q1044" s="18" t="e">
        <f>(Table1[[#This Row],[A. TÀI SẢN NGẮN HẠN]]-Table1[[#This Row],[I. Nợ ngắn hạn]])/Table1[[#This Row],[TỔNG CỘNG TÀI SẢN]]</f>
        <v>#DIV/0!</v>
      </c>
      <c r="R1044" s="18" t="e">
        <f>Table1[[#This Row],[- LNST chưa phân phối kỳ này]]/Table1[[#This Row],[TỔNG CỘNG TÀI SẢN]]</f>
        <v>#DIV/0!</v>
      </c>
      <c r="S1044" s="21" t="e">
        <f>Table1[[#This Row],[5. Lợi nhuận gộp về bán hàng và cung cấp dịch vụ]]/Table1[[#This Row],[TỔNG CỘNG TÀI SẢN]]</f>
        <v>#DIV/0!</v>
      </c>
      <c r="T104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044" s="23" t="e">
        <f>Table1[[#This Row],[1. Doanh thu bán hàng và cung cấp dịch vụ ]]/Table1[[#This Row],[TỔNG CỘNG TÀI SẢN]]</f>
        <v>#DIV/0!</v>
      </c>
      <c r="V1044" s="23" t="e">
        <f>1.2*Table1[[#This Row],[X1]] + 1.4*Table1[[#This Row],[X2]] + 3.3*Table1[[#This Row],[x3]] + 0.6*Table1[[#This Row],[x4]] + 1*Table1[[#This Row],[x5]]</f>
        <v>#DIV/0!</v>
      </c>
      <c r="W1044" s="23" t="e">
        <f>IF(Table1[[#This Row],[Zscore]]&lt;1.81,1,0)</f>
        <v>#DIV/0!</v>
      </c>
    </row>
    <row r="1045" spans="1:23" ht="26.25" hidden="1" x14ac:dyDescent="0.45">
      <c r="A1045" s="7">
        <v>1039</v>
      </c>
      <c r="B1045" s="5" t="s">
        <v>2090</v>
      </c>
      <c r="C1045" s="6" t="s">
        <v>2091</v>
      </c>
      <c r="D1045" s="6" t="s">
        <v>13</v>
      </c>
      <c r="E1045" s="6"/>
      <c r="F1045" s="6"/>
      <c r="G1045" s="6"/>
      <c r="H1045" s="6"/>
      <c r="I1045" s="6"/>
      <c r="J1045" s="8"/>
      <c r="K1045" s="6"/>
      <c r="L1045" s="6"/>
      <c r="M1045" s="8"/>
      <c r="N1045" s="8"/>
      <c r="O1045" s="8"/>
      <c r="P1045" s="8"/>
      <c r="Q1045" s="18" t="e">
        <f>(Table1[[#This Row],[A. TÀI SẢN NGẮN HẠN]]-Table1[[#This Row],[I. Nợ ngắn hạn]])/Table1[[#This Row],[TỔNG CỘNG TÀI SẢN]]</f>
        <v>#DIV/0!</v>
      </c>
      <c r="R1045" s="18" t="e">
        <f>Table1[[#This Row],[- LNST chưa phân phối kỳ này]]/Table1[[#This Row],[TỔNG CỘNG TÀI SẢN]]</f>
        <v>#DIV/0!</v>
      </c>
      <c r="S1045" s="21" t="e">
        <f>Table1[[#This Row],[5. Lợi nhuận gộp về bán hàng và cung cấp dịch vụ]]/Table1[[#This Row],[TỔNG CỘNG TÀI SẢN]]</f>
        <v>#DIV/0!</v>
      </c>
      <c r="T104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045" s="23" t="e">
        <f>Table1[[#This Row],[1. Doanh thu bán hàng và cung cấp dịch vụ ]]/Table1[[#This Row],[TỔNG CỘNG TÀI SẢN]]</f>
        <v>#DIV/0!</v>
      </c>
      <c r="V1045" s="23" t="e">
        <f>1.2*Table1[[#This Row],[X1]] + 1.4*Table1[[#This Row],[X2]] + 3.3*Table1[[#This Row],[x3]] + 0.6*Table1[[#This Row],[x4]] + 1*Table1[[#This Row],[x5]]</f>
        <v>#DIV/0!</v>
      </c>
      <c r="W1045" s="23" t="e">
        <f>IF(Table1[[#This Row],[Zscore]]&lt;1.81,1,0)</f>
        <v>#DIV/0!</v>
      </c>
    </row>
    <row r="1046" spans="1:23" hidden="1" x14ac:dyDescent="0.45">
      <c r="A1046" s="7">
        <v>1040</v>
      </c>
      <c r="B1046" s="5" t="s">
        <v>2092</v>
      </c>
      <c r="C1046" s="6" t="s">
        <v>2093</v>
      </c>
      <c r="D1046" s="6" t="s">
        <v>13</v>
      </c>
      <c r="E1046" s="6"/>
      <c r="F1046" s="6"/>
      <c r="G1046" s="6"/>
      <c r="H1046" s="6"/>
      <c r="I1046" s="6"/>
      <c r="J1046" s="8"/>
      <c r="K1046" s="6"/>
      <c r="L1046" s="6"/>
      <c r="M1046" s="8"/>
      <c r="N1046" s="8"/>
      <c r="O1046" s="8"/>
      <c r="P1046" s="8"/>
      <c r="Q1046" s="18" t="e">
        <f>(Table1[[#This Row],[A. TÀI SẢN NGẮN HẠN]]-Table1[[#This Row],[I. Nợ ngắn hạn]])/Table1[[#This Row],[TỔNG CỘNG TÀI SẢN]]</f>
        <v>#DIV/0!</v>
      </c>
      <c r="R1046" s="18" t="e">
        <f>Table1[[#This Row],[- LNST chưa phân phối kỳ này]]/Table1[[#This Row],[TỔNG CỘNG TÀI SẢN]]</f>
        <v>#DIV/0!</v>
      </c>
      <c r="S1046" s="21" t="e">
        <f>Table1[[#This Row],[5. Lợi nhuận gộp về bán hàng và cung cấp dịch vụ]]/Table1[[#This Row],[TỔNG CỘNG TÀI SẢN]]</f>
        <v>#DIV/0!</v>
      </c>
      <c r="T104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046" s="23" t="e">
        <f>Table1[[#This Row],[1. Doanh thu bán hàng và cung cấp dịch vụ ]]/Table1[[#This Row],[TỔNG CỘNG TÀI SẢN]]</f>
        <v>#DIV/0!</v>
      </c>
      <c r="V1046" s="23" t="e">
        <f>1.2*Table1[[#This Row],[X1]] + 1.4*Table1[[#This Row],[X2]] + 3.3*Table1[[#This Row],[x3]] + 0.6*Table1[[#This Row],[x4]] + 1*Table1[[#This Row],[x5]]</f>
        <v>#DIV/0!</v>
      </c>
      <c r="W1046" s="23" t="e">
        <f>IF(Table1[[#This Row],[Zscore]]&lt;1.81,1,0)</f>
        <v>#DIV/0!</v>
      </c>
    </row>
    <row r="1047" spans="1:23" hidden="1" x14ac:dyDescent="0.45">
      <c r="A1047" s="7">
        <v>1041</v>
      </c>
      <c r="B1047" s="5" t="s">
        <v>2094</v>
      </c>
      <c r="C1047" s="6" t="s">
        <v>2095</v>
      </c>
      <c r="D1047" s="6" t="s">
        <v>13</v>
      </c>
      <c r="E1047" s="6"/>
      <c r="F1047" s="6"/>
      <c r="G1047" s="6"/>
      <c r="H1047" s="6"/>
      <c r="I1047" s="6"/>
      <c r="J1047" s="8"/>
      <c r="K1047" s="6"/>
      <c r="L1047" s="6"/>
      <c r="M1047" s="8">
        <v>327105935000</v>
      </c>
      <c r="N1047" s="8"/>
      <c r="O1047" s="8"/>
      <c r="P1047" s="8"/>
      <c r="Q1047" s="18" t="e">
        <f>(Table1[[#This Row],[A. TÀI SẢN NGẮN HẠN]]-Table1[[#This Row],[I. Nợ ngắn hạn]])/Table1[[#This Row],[TỔNG CỘNG TÀI SẢN]]</f>
        <v>#DIV/0!</v>
      </c>
      <c r="R1047" s="18" t="e">
        <f>Table1[[#This Row],[- LNST chưa phân phối kỳ này]]/Table1[[#This Row],[TỔNG CỘNG TÀI SẢN]]</f>
        <v>#DIV/0!</v>
      </c>
      <c r="S1047" s="21" t="e">
        <f>Table1[[#This Row],[5. Lợi nhuận gộp về bán hàng và cung cấp dịch vụ]]/Table1[[#This Row],[TỔNG CỘNG TÀI SẢN]]</f>
        <v>#DIV/0!</v>
      </c>
      <c r="T104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047" s="23" t="e">
        <f>Table1[[#This Row],[1. Doanh thu bán hàng và cung cấp dịch vụ ]]/Table1[[#This Row],[TỔNG CỘNG TÀI SẢN]]</f>
        <v>#DIV/0!</v>
      </c>
      <c r="V1047" s="23" t="e">
        <f>1.2*Table1[[#This Row],[X1]] + 1.4*Table1[[#This Row],[X2]] + 3.3*Table1[[#This Row],[x3]] + 0.6*Table1[[#This Row],[x4]] + 1*Table1[[#This Row],[x5]]</f>
        <v>#DIV/0!</v>
      </c>
      <c r="W1047" s="23" t="e">
        <f>IF(Table1[[#This Row],[Zscore]]&lt;1.81,1,0)</f>
        <v>#DIV/0!</v>
      </c>
    </row>
    <row r="1048" spans="1:23" x14ac:dyDescent="0.45">
      <c r="A1048" s="7">
        <v>1042</v>
      </c>
      <c r="B1048" s="5" t="s">
        <v>2096</v>
      </c>
      <c r="C1048" s="6" t="s">
        <v>2097</v>
      </c>
      <c r="D1048" s="6" t="s">
        <v>21</v>
      </c>
      <c r="E1048" s="8">
        <v>1796537360055</v>
      </c>
      <c r="F1048" s="8">
        <v>1367372750041</v>
      </c>
      <c r="G1048" s="8">
        <v>864068070413</v>
      </c>
      <c r="H1048" s="8">
        <v>59594410704</v>
      </c>
      <c r="I1048" s="8">
        <v>523803644193</v>
      </c>
      <c r="J1048" s="8"/>
      <c r="K1048" s="8">
        <v>897798746069</v>
      </c>
      <c r="L1048" s="8">
        <v>7542747254450</v>
      </c>
      <c r="M1048" s="8">
        <v>340323133920</v>
      </c>
      <c r="N1048" s="8">
        <v>453027548400</v>
      </c>
      <c r="O1048" s="8">
        <v>305701516400</v>
      </c>
      <c r="P1048" s="8">
        <v>348426065680</v>
      </c>
      <c r="Q1048" s="18">
        <f>(Table1[[#This Row],[A. TÀI SẢN NGẮN HẠN]]-Table1[[#This Row],[I. Nợ ngắn hạn]])/Table1[[#This Row],[TỔNG CỘNG TÀI SẢN]]</f>
        <v>0.28015263741166596</v>
      </c>
      <c r="R1048" s="18">
        <f>Table1[[#This Row],[- LNST chưa phân phối kỳ này]]/Table1[[#This Row],[TỔNG CỘNG TÀI SẢN]]</f>
        <v>3.3171818203755893E-2</v>
      </c>
      <c r="S1048" s="21">
        <f>Table1[[#This Row],[5. Lợi nhuận gộp về bán hàng và cung cấp dịch vụ]]/Table1[[#This Row],[TỔNG CỘNG TÀI SẢN]]</f>
        <v>0.29156290085554581</v>
      </c>
      <c r="T104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0.40306312264796662</v>
      </c>
      <c r="U1048" s="23">
        <f>Table1[[#This Row],[1. Doanh thu bán hàng và cung cấp dịch vụ ]]/Table1[[#This Row],[TỔNG CỘNG TÀI SẢN]]</f>
        <v>4.1984917331299378</v>
      </c>
      <c r="V1048" s="23">
        <f>1.2*Table1[[#This Row],[X1]] + 1.4*Table1[[#This Row],[X2]] + 3.3*Table1[[#This Row],[x3]] + 0.6*Table1[[#This Row],[x4]] + 1*Table1[[#This Row],[x5]]</f>
        <v>5.7851108899212758</v>
      </c>
      <c r="W1048" s="23">
        <f>IF(Table1[[#This Row],[Zscore]]&lt;1.81,1,0)</f>
        <v>0</v>
      </c>
    </row>
    <row r="1049" spans="1:23" hidden="1" x14ac:dyDescent="0.45">
      <c r="A1049" s="7">
        <v>1043</v>
      </c>
      <c r="B1049" s="5" t="s">
        <v>2098</v>
      </c>
      <c r="C1049" s="6" t="s">
        <v>2099</v>
      </c>
      <c r="D1049" s="6" t="s">
        <v>13</v>
      </c>
      <c r="E1049" s="6"/>
      <c r="F1049" s="6"/>
      <c r="G1049" s="6"/>
      <c r="H1049" s="6"/>
      <c r="I1049" s="6"/>
      <c r="J1049" s="8"/>
      <c r="K1049" s="6"/>
      <c r="L1049" s="6"/>
      <c r="M1049" s="8"/>
      <c r="N1049" s="8"/>
      <c r="O1049" s="8"/>
      <c r="P1049" s="8"/>
      <c r="Q1049" s="18" t="e">
        <f>(Table1[[#This Row],[A. TÀI SẢN NGẮN HẠN]]-Table1[[#This Row],[I. Nợ ngắn hạn]])/Table1[[#This Row],[TỔNG CỘNG TÀI SẢN]]</f>
        <v>#DIV/0!</v>
      </c>
      <c r="R1049" s="18" t="e">
        <f>Table1[[#This Row],[- LNST chưa phân phối kỳ này]]/Table1[[#This Row],[TỔNG CỘNG TÀI SẢN]]</f>
        <v>#DIV/0!</v>
      </c>
      <c r="S1049" s="21" t="e">
        <f>Table1[[#This Row],[5. Lợi nhuận gộp về bán hàng và cung cấp dịch vụ]]/Table1[[#This Row],[TỔNG CỘNG TÀI SẢN]]</f>
        <v>#DIV/0!</v>
      </c>
      <c r="T104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049" s="23" t="e">
        <f>Table1[[#This Row],[1. Doanh thu bán hàng và cung cấp dịch vụ ]]/Table1[[#This Row],[TỔNG CỘNG TÀI SẢN]]</f>
        <v>#DIV/0!</v>
      </c>
      <c r="V1049" s="23" t="e">
        <f>1.2*Table1[[#This Row],[X1]] + 1.4*Table1[[#This Row],[X2]] + 3.3*Table1[[#This Row],[x3]] + 0.6*Table1[[#This Row],[x4]] + 1*Table1[[#This Row],[x5]]</f>
        <v>#DIV/0!</v>
      </c>
      <c r="W1049" s="23" t="e">
        <f>IF(Table1[[#This Row],[Zscore]]&lt;1.81,1,0)</f>
        <v>#DIV/0!</v>
      </c>
    </row>
    <row r="1050" spans="1:23" x14ac:dyDescent="0.45">
      <c r="A1050" s="7">
        <v>1044</v>
      </c>
      <c r="B1050" s="5" t="s">
        <v>2100</v>
      </c>
      <c r="C1050" s="6" t="s">
        <v>2101</v>
      </c>
      <c r="D1050" s="6" t="s">
        <v>18</v>
      </c>
      <c r="E1050" s="8">
        <v>447755172032</v>
      </c>
      <c r="F1050" s="8">
        <v>39579595048</v>
      </c>
      <c r="G1050" s="8">
        <v>75696531802</v>
      </c>
      <c r="H1050" s="8">
        <v>13805672764</v>
      </c>
      <c r="I1050" s="8">
        <v>40662881208</v>
      </c>
      <c r="J1050" s="8"/>
      <c r="K1050" s="8">
        <v>181660758199</v>
      </c>
      <c r="L1050" s="8">
        <v>109611227676</v>
      </c>
      <c r="M1050" s="8">
        <v>189000000000</v>
      </c>
      <c r="N1050" s="8">
        <v>172200000000</v>
      </c>
      <c r="O1050" s="8">
        <v>147000000000</v>
      </c>
      <c r="P1050" s="8">
        <v>163800000000</v>
      </c>
      <c r="Q1050" s="18">
        <f>(Table1[[#This Row],[A. TÀI SẢN NGẮN HẠN]]-Table1[[#This Row],[I. Nợ ngắn hạn]])/Table1[[#This Row],[TỔNG CỘNG TÀI SẢN]]</f>
        <v>-8.0662243587481794E-2</v>
      </c>
      <c r="R1050" s="18">
        <f>Table1[[#This Row],[- LNST chưa phân phối kỳ này]]/Table1[[#This Row],[TỔNG CỘNG TÀI SẢN]]</f>
        <v>3.0833083851041124E-2</v>
      </c>
      <c r="S1050" s="21">
        <f>Table1[[#This Row],[5. Lợi nhuận gộp về bán hàng và cung cấp dịch vụ]]/Table1[[#This Row],[TỔNG CỘNG TÀI SẢN]]</f>
        <v>9.0814989413665378E-2</v>
      </c>
      <c r="T105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0.92480072012010794</v>
      </c>
      <c r="U1050" s="23">
        <f>Table1[[#This Row],[1. Doanh thu bán hàng và cung cấp dịch vụ ]]/Table1[[#This Row],[TỔNG CỘNG TÀI SẢN]]</f>
        <v>0.24480170084593986</v>
      </c>
      <c r="V1050" s="23">
        <f>1.2*Table1[[#This Row],[X1]] + 1.4*Table1[[#This Row],[X2]] + 3.3*Table1[[#This Row],[x3]] + 0.6*Table1[[#This Row],[x4]] + 1*Table1[[#This Row],[x5]]</f>
        <v>1.0457432230695798</v>
      </c>
      <c r="W1050" s="23">
        <f>IF(Table1[[#This Row],[Zscore]]&lt;1.81,1,0)</f>
        <v>1</v>
      </c>
    </row>
    <row r="1051" spans="1:23" ht="26.25" hidden="1" x14ac:dyDescent="0.45">
      <c r="A1051" s="7">
        <v>1045</v>
      </c>
      <c r="B1051" s="5" t="s">
        <v>2102</v>
      </c>
      <c r="C1051" s="6" t="s">
        <v>2103</v>
      </c>
      <c r="D1051" s="6" t="s">
        <v>13</v>
      </c>
      <c r="E1051" s="6"/>
      <c r="F1051" s="6"/>
      <c r="G1051" s="6"/>
      <c r="H1051" s="6"/>
      <c r="I1051" s="6"/>
      <c r="J1051" s="8"/>
      <c r="K1051" s="6"/>
      <c r="L1051" s="6"/>
      <c r="M1051" s="8"/>
      <c r="N1051" s="8"/>
      <c r="O1051" s="8"/>
      <c r="P1051" s="8"/>
      <c r="Q1051" s="18" t="e">
        <f>(Table1[[#This Row],[A. TÀI SẢN NGẮN HẠN]]-Table1[[#This Row],[I. Nợ ngắn hạn]])/Table1[[#This Row],[TỔNG CỘNG TÀI SẢN]]</f>
        <v>#DIV/0!</v>
      </c>
      <c r="R1051" s="18" t="e">
        <f>Table1[[#This Row],[- LNST chưa phân phối kỳ này]]/Table1[[#This Row],[TỔNG CỘNG TÀI SẢN]]</f>
        <v>#DIV/0!</v>
      </c>
      <c r="S1051" s="21" t="e">
        <f>Table1[[#This Row],[5. Lợi nhuận gộp về bán hàng và cung cấp dịch vụ]]/Table1[[#This Row],[TỔNG CỘNG TÀI SẢN]]</f>
        <v>#DIV/0!</v>
      </c>
      <c r="T105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051" s="23" t="e">
        <f>Table1[[#This Row],[1. Doanh thu bán hàng và cung cấp dịch vụ ]]/Table1[[#This Row],[TỔNG CỘNG TÀI SẢN]]</f>
        <v>#DIV/0!</v>
      </c>
      <c r="V1051" s="23" t="e">
        <f>1.2*Table1[[#This Row],[X1]] + 1.4*Table1[[#This Row],[X2]] + 3.3*Table1[[#This Row],[x3]] + 0.6*Table1[[#This Row],[x4]] + 1*Table1[[#This Row],[x5]]</f>
        <v>#DIV/0!</v>
      </c>
      <c r="W1051" s="23" t="e">
        <f>IF(Table1[[#This Row],[Zscore]]&lt;1.81,1,0)</f>
        <v>#DIV/0!</v>
      </c>
    </row>
    <row r="1052" spans="1:23" hidden="1" x14ac:dyDescent="0.45">
      <c r="A1052" s="7">
        <v>1046</v>
      </c>
      <c r="B1052" s="5" t="s">
        <v>2104</v>
      </c>
      <c r="C1052" s="6" t="s">
        <v>2105</v>
      </c>
      <c r="D1052" s="6" t="s">
        <v>13</v>
      </c>
      <c r="E1052" s="6"/>
      <c r="F1052" s="6"/>
      <c r="G1052" s="6"/>
      <c r="H1052" s="6"/>
      <c r="I1052" s="6"/>
      <c r="J1052" s="8"/>
      <c r="K1052" s="6"/>
      <c r="L1052" s="6"/>
      <c r="M1052" s="8"/>
      <c r="N1052" s="8"/>
      <c r="O1052" s="8"/>
      <c r="P1052" s="8"/>
      <c r="Q1052" s="18" t="e">
        <f>(Table1[[#This Row],[A. TÀI SẢN NGẮN HẠN]]-Table1[[#This Row],[I. Nợ ngắn hạn]])/Table1[[#This Row],[TỔNG CỘNG TÀI SẢN]]</f>
        <v>#DIV/0!</v>
      </c>
      <c r="R1052" s="18" t="e">
        <f>Table1[[#This Row],[- LNST chưa phân phối kỳ này]]/Table1[[#This Row],[TỔNG CỘNG TÀI SẢN]]</f>
        <v>#DIV/0!</v>
      </c>
      <c r="S1052" s="21" t="e">
        <f>Table1[[#This Row],[5. Lợi nhuận gộp về bán hàng và cung cấp dịch vụ]]/Table1[[#This Row],[TỔNG CỘNG TÀI SẢN]]</f>
        <v>#DIV/0!</v>
      </c>
      <c r="T105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052" s="23" t="e">
        <f>Table1[[#This Row],[1. Doanh thu bán hàng và cung cấp dịch vụ ]]/Table1[[#This Row],[TỔNG CỘNG TÀI SẢN]]</f>
        <v>#DIV/0!</v>
      </c>
      <c r="V1052" s="23" t="e">
        <f>1.2*Table1[[#This Row],[X1]] + 1.4*Table1[[#This Row],[X2]] + 3.3*Table1[[#This Row],[x3]] + 0.6*Table1[[#This Row],[x4]] + 1*Table1[[#This Row],[x5]]</f>
        <v>#DIV/0!</v>
      </c>
      <c r="W1052" s="23" t="e">
        <f>IF(Table1[[#This Row],[Zscore]]&lt;1.81,1,0)</f>
        <v>#DIV/0!</v>
      </c>
    </row>
    <row r="1053" spans="1:23" x14ac:dyDescent="0.45">
      <c r="A1053" s="7">
        <v>1047</v>
      </c>
      <c r="B1053" s="5" t="s">
        <v>2106</v>
      </c>
      <c r="C1053" s="6" t="s">
        <v>2107</v>
      </c>
      <c r="D1053" s="6" t="s">
        <v>18</v>
      </c>
      <c r="E1053" s="8">
        <v>524431640585</v>
      </c>
      <c r="F1053" s="8">
        <v>473458304673</v>
      </c>
      <c r="G1053" s="8">
        <v>332577900346</v>
      </c>
      <c r="H1053" s="8">
        <v>17122926424</v>
      </c>
      <c r="I1053" s="8">
        <v>118758550102</v>
      </c>
      <c r="J1053" s="8"/>
      <c r="K1053" s="8">
        <v>332577900346</v>
      </c>
      <c r="L1053" s="8">
        <v>1083097683764</v>
      </c>
      <c r="M1053" s="8">
        <v>88686058800</v>
      </c>
      <c r="N1053" s="8">
        <v>109250942000</v>
      </c>
      <c r="O1053" s="8">
        <v>83544838000</v>
      </c>
      <c r="P1053" s="8">
        <v>95112584800</v>
      </c>
      <c r="Q1053" s="18">
        <f>(Table1[[#This Row],[A. TÀI SẢN NGẮN HẠN]]-Table1[[#This Row],[I. Nợ ngắn hạn]])/Table1[[#This Row],[TỔNG CỘNG TÀI SẢN]]</f>
        <v>0.26863444808526205</v>
      </c>
      <c r="R1053" s="18">
        <f>Table1[[#This Row],[- LNST chưa phân phối kỳ này]]/Table1[[#This Row],[TỔNG CỘNG TÀI SẢN]]</f>
        <v>3.2650444974867437E-2</v>
      </c>
      <c r="S1053" s="21">
        <f>Table1[[#This Row],[5. Lợi nhuận gộp về bán hàng và cung cấp dịch vụ]]/Table1[[#This Row],[TỔNG CỘNG TÀI SẢN]]</f>
        <v>0.22645191653487121</v>
      </c>
      <c r="T105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0.28308737833166836</v>
      </c>
      <c r="U1053" s="23">
        <f>Table1[[#This Row],[1. Doanh thu bán hàng và cung cấp dịch vụ ]]/Table1[[#This Row],[TỔNG CỘNG TÀI SẢN]]</f>
        <v>2.0652790563052448</v>
      </c>
      <c r="V1053" s="23">
        <f>1.2*Table1[[#This Row],[X1]] + 1.4*Table1[[#This Row],[X2]] + 3.3*Table1[[#This Row],[x3]] + 0.6*Table1[[#This Row],[x4]] + 1*Table1[[#This Row],[x5]]</f>
        <v>3.3504947685364499</v>
      </c>
      <c r="W1053" s="23">
        <f>IF(Table1[[#This Row],[Zscore]]&lt;1.81,1,0)</f>
        <v>0</v>
      </c>
    </row>
    <row r="1054" spans="1:23" x14ac:dyDescent="0.45">
      <c r="A1054" s="7">
        <v>1048</v>
      </c>
      <c r="B1054" s="5" t="s">
        <v>2108</v>
      </c>
      <c r="C1054" s="6" t="s">
        <v>2109</v>
      </c>
      <c r="D1054" s="6" t="s">
        <v>36</v>
      </c>
      <c r="E1054" s="8">
        <v>357537280688</v>
      </c>
      <c r="F1054" s="8">
        <v>172538303463</v>
      </c>
      <c r="G1054" s="8">
        <v>42005984329</v>
      </c>
      <c r="H1054" s="8">
        <v>39497298682</v>
      </c>
      <c r="I1054" s="8">
        <v>53744027626</v>
      </c>
      <c r="J1054" s="8"/>
      <c r="K1054" s="8">
        <v>42005984329</v>
      </c>
      <c r="L1054" s="8">
        <v>121980043247</v>
      </c>
      <c r="M1054" s="8">
        <v>646796920000</v>
      </c>
      <c r="N1054" s="8">
        <v>564897310000</v>
      </c>
      <c r="O1054" s="8">
        <v>558597340000</v>
      </c>
      <c r="P1054" s="8">
        <v>615297070000</v>
      </c>
      <c r="Q1054" s="18">
        <f>(Table1[[#This Row],[A. TÀI SẢN NGẮN HẠN]]-Table1[[#This Row],[I. Nợ ngắn hạn]])/Table1[[#This Row],[TỔNG CỘNG TÀI SẢN]]</f>
        <v>0.36508729630325526</v>
      </c>
      <c r="R1054" s="18">
        <f>Table1[[#This Row],[- LNST chưa phân phối kỳ này]]/Table1[[#This Row],[TỔNG CỘNG TÀI SẢN]]</f>
        <v>0.11047043431665739</v>
      </c>
      <c r="S1054" s="21">
        <f>Table1[[#This Row],[5. Lợi nhuận gộp về bán hàng và cung cấp dịch vụ]]/Table1[[#This Row],[TỔNG CỘNG TÀI SẢN]]</f>
        <v>0.15031726907633722</v>
      </c>
      <c r="T105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14.197909405690575</v>
      </c>
      <c r="U1054" s="23">
        <f>Table1[[#This Row],[1. Doanh thu bán hàng và cung cấp dịch vụ ]]/Table1[[#This Row],[TỔNG CỘNG TÀI SẢN]]</f>
        <v>0.34116734068200349</v>
      </c>
      <c r="V1054" s="23">
        <f>1.2*Table1[[#This Row],[X1]] + 1.4*Table1[[#This Row],[X2]] + 3.3*Table1[[#This Row],[x3]] + 0.6*Table1[[#This Row],[x4]] + 1*Table1[[#This Row],[x5]]</f>
        <v>9.9487233356554885</v>
      </c>
      <c r="W1054" s="23">
        <f>IF(Table1[[#This Row],[Zscore]]&lt;1.81,1,0)</f>
        <v>0</v>
      </c>
    </row>
    <row r="1055" spans="1:23" ht="26.25" x14ac:dyDescent="0.45">
      <c r="A1055" s="7">
        <v>1049</v>
      </c>
      <c r="B1055" s="5" t="s">
        <v>2110</v>
      </c>
      <c r="C1055" s="6" t="s">
        <v>2111</v>
      </c>
      <c r="D1055" s="6" t="s">
        <v>18</v>
      </c>
      <c r="E1055" s="8">
        <v>218938880638</v>
      </c>
      <c r="F1055" s="8">
        <v>57054222985</v>
      </c>
      <c r="G1055" s="8">
        <v>177596564467</v>
      </c>
      <c r="H1055" s="8">
        <v>-58421792428</v>
      </c>
      <c r="I1055" s="8">
        <v>2480202660</v>
      </c>
      <c r="J1055" s="8"/>
      <c r="K1055" s="8">
        <v>189977061986</v>
      </c>
      <c r="L1055" s="8">
        <v>6406659734</v>
      </c>
      <c r="M1055" s="8">
        <v>25799999500</v>
      </c>
      <c r="N1055" s="8">
        <v>25799999500</v>
      </c>
      <c r="O1055" s="8">
        <v>30959999400</v>
      </c>
      <c r="P1055" s="8">
        <v>30959999400</v>
      </c>
      <c r="Q1055" s="18">
        <f>(Table1[[#This Row],[A. TÀI SẢN NGẮN HẠN]]-Table1[[#This Row],[I. Nợ ngắn hạn]])/Table1[[#This Row],[TỔNG CỘNG TÀI SẢN]]</f>
        <v>-0.5505753072763182</v>
      </c>
      <c r="R1055" s="18">
        <f>Table1[[#This Row],[- LNST chưa phân phối kỳ này]]/Table1[[#This Row],[TỔNG CỘNG TÀI SẢN]]</f>
        <v>-0.26684064638384769</v>
      </c>
      <c r="S1055" s="21">
        <f>Table1[[#This Row],[5. Lợi nhuận gộp về bán hàng và cung cấp dịch vụ]]/Table1[[#This Row],[TỔNG CỘNG TÀI SẢN]]</f>
        <v>1.1328287843495648E-2</v>
      </c>
      <c r="T105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0.14938645304500714</v>
      </c>
      <c r="U1055" s="23">
        <f>Table1[[#This Row],[1. Doanh thu bán hàng và cung cấp dịch vụ ]]/Table1[[#This Row],[TỔNG CỘNG TÀI SẢN]]</f>
        <v>2.9262320677490627E-2</v>
      </c>
      <c r="V1055" s="23">
        <f>1.2*Table1[[#This Row],[X1]] + 1.4*Table1[[#This Row],[X2]] + 3.3*Table1[[#This Row],[x3]] + 0.6*Table1[[#This Row],[x4]] + 1*Table1[[#This Row],[x5]]</f>
        <v>-0.87798973128093816</v>
      </c>
      <c r="W1055" s="23">
        <f>IF(Table1[[#This Row],[Zscore]]&lt;1.81,1,0)</f>
        <v>1</v>
      </c>
    </row>
    <row r="1056" spans="1:23" hidden="1" x14ac:dyDescent="0.45">
      <c r="A1056" s="7">
        <v>1050</v>
      </c>
      <c r="B1056" s="5" t="s">
        <v>2112</v>
      </c>
      <c r="C1056" s="6" t="s">
        <v>2113</v>
      </c>
      <c r="D1056" s="6" t="s">
        <v>13</v>
      </c>
      <c r="E1056" s="6"/>
      <c r="F1056" s="6"/>
      <c r="G1056" s="6"/>
      <c r="H1056" s="6"/>
      <c r="I1056" s="6"/>
      <c r="J1056" s="8"/>
      <c r="K1056" s="6"/>
      <c r="L1056" s="6"/>
      <c r="M1056" s="8"/>
      <c r="N1056" s="8"/>
      <c r="O1056" s="8"/>
      <c r="P1056" s="8"/>
      <c r="Q1056" s="18" t="e">
        <f>(Table1[[#This Row],[A. TÀI SẢN NGẮN HẠN]]-Table1[[#This Row],[I. Nợ ngắn hạn]])/Table1[[#This Row],[TỔNG CỘNG TÀI SẢN]]</f>
        <v>#DIV/0!</v>
      </c>
      <c r="R1056" s="18" t="e">
        <f>Table1[[#This Row],[- LNST chưa phân phối kỳ này]]/Table1[[#This Row],[TỔNG CỘNG TÀI SẢN]]</f>
        <v>#DIV/0!</v>
      </c>
      <c r="S1056" s="21" t="e">
        <f>Table1[[#This Row],[5. Lợi nhuận gộp về bán hàng và cung cấp dịch vụ]]/Table1[[#This Row],[TỔNG CỘNG TÀI SẢN]]</f>
        <v>#DIV/0!</v>
      </c>
      <c r="T105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056" s="23" t="e">
        <f>Table1[[#This Row],[1. Doanh thu bán hàng và cung cấp dịch vụ ]]/Table1[[#This Row],[TỔNG CỘNG TÀI SẢN]]</f>
        <v>#DIV/0!</v>
      </c>
      <c r="V1056" s="23" t="e">
        <f>1.2*Table1[[#This Row],[X1]] + 1.4*Table1[[#This Row],[X2]] + 3.3*Table1[[#This Row],[x3]] + 0.6*Table1[[#This Row],[x4]] + 1*Table1[[#This Row],[x5]]</f>
        <v>#DIV/0!</v>
      </c>
      <c r="W1056" s="23" t="e">
        <f>IF(Table1[[#This Row],[Zscore]]&lt;1.81,1,0)</f>
        <v>#DIV/0!</v>
      </c>
    </row>
    <row r="1057" spans="1:23" hidden="1" x14ac:dyDescent="0.45">
      <c r="A1057" s="7">
        <v>1051</v>
      </c>
      <c r="B1057" s="5" t="s">
        <v>2114</v>
      </c>
      <c r="C1057" s="6" t="s">
        <v>2115</v>
      </c>
      <c r="D1057" s="6" t="s">
        <v>13</v>
      </c>
      <c r="E1057" s="6"/>
      <c r="F1057" s="6"/>
      <c r="G1057" s="6"/>
      <c r="H1057" s="6"/>
      <c r="I1057" s="6"/>
      <c r="J1057" s="8"/>
      <c r="K1057" s="6"/>
      <c r="L1057" s="6"/>
      <c r="M1057" s="8"/>
      <c r="N1057" s="8"/>
      <c r="O1057" s="8">
        <v>124800000000</v>
      </c>
      <c r="P1057" s="8"/>
      <c r="Q1057" s="18" t="e">
        <f>(Table1[[#This Row],[A. TÀI SẢN NGẮN HẠN]]-Table1[[#This Row],[I. Nợ ngắn hạn]])/Table1[[#This Row],[TỔNG CỘNG TÀI SẢN]]</f>
        <v>#DIV/0!</v>
      </c>
      <c r="R1057" s="18" t="e">
        <f>Table1[[#This Row],[- LNST chưa phân phối kỳ này]]/Table1[[#This Row],[TỔNG CỘNG TÀI SẢN]]</f>
        <v>#DIV/0!</v>
      </c>
      <c r="S1057" s="21" t="e">
        <f>Table1[[#This Row],[5. Lợi nhuận gộp về bán hàng và cung cấp dịch vụ]]/Table1[[#This Row],[TỔNG CỘNG TÀI SẢN]]</f>
        <v>#DIV/0!</v>
      </c>
      <c r="T105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057" s="23" t="e">
        <f>Table1[[#This Row],[1. Doanh thu bán hàng và cung cấp dịch vụ ]]/Table1[[#This Row],[TỔNG CỘNG TÀI SẢN]]</f>
        <v>#DIV/0!</v>
      </c>
      <c r="V1057" s="23" t="e">
        <f>1.2*Table1[[#This Row],[X1]] + 1.4*Table1[[#This Row],[X2]] + 3.3*Table1[[#This Row],[x3]] + 0.6*Table1[[#This Row],[x4]] + 1*Table1[[#This Row],[x5]]</f>
        <v>#DIV/0!</v>
      </c>
      <c r="W1057" s="23" t="e">
        <f>IF(Table1[[#This Row],[Zscore]]&lt;1.81,1,0)</f>
        <v>#DIV/0!</v>
      </c>
    </row>
    <row r="1058" spans="1:23" x14ac:dyDescent="0.45">
      <c r="A1058" s="7">
        <v>1052</v>
      </c>
      <c r="B1058" s="5" t="s">
        <v>2116</v>
      </c>
      <c r="C1058" s="6" t="s">
        <v>2117</v>
      </c>
      <c r="D1058" s="6" t="s">
        <v>36</v>
      </c>
      <c r="E1058" s="8">
        <v>476201921011</v>
      </c>
      <c r="F1058" s="8">
        <v>447718860390</v>
      </c>
      <c r="G1058" s="8">
        <v>6881295786</v>
      </c>
      <c r="H1058" s="8">
        <v>5576509636</v>
      </c>
      <c r="I1058" s="6"/>
      <c r="J1058" s="8"/>
      <c r="K1058" s="8">
        <v>126957717881</v>
      </c>
      <c r="L1058" s="6"/>
      <c r="M1058" s="8">
        <v>50920740700</v>
      </c>
      <c r="N1058" s="8">
        <v>343350798700</v>
      </c>
      <c r="O1058" s="8">
        <v>64417804500</v>
      </c>
      <c r="P1058" s="8">
        <v>84049897300</v>
      </c>
      <c r="Q1058" s="18">
        <f>(Table1[[#This Row],[A. TÀI SẢN NGẮN HẠN]]-Table1[[#This Row],[I. Nợ ngắn hạn]])/Table1[[#This Row],[TỔNG CỘNG TÀI SẢN]]</f>
        <v>0.9257366364001226</v>
      </c>
      <c r="R1058" s="18">
        <f>Table1[[#This Row],[- LNST chưa phân phối kỳ này]]/Table1[[#This Row],[TỔNG CỘNG TÀI SẢN]]</f>
        <v>1.1710388786674353E-2</v>
      </c>
      <c r="S1058" s="21">
        <f>Table1[[#This Row],[5. Lợi nhuận gộp về bán hàng và cung cấp dịch vụ]]/Table1[[#This Row],[TỔNG CỘNG TÀI SẢN]]</f>
        <v>0</v>
      </c>
      <c r="T105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1.0687401488043451</v>
      </c>
      <c r="U1058" s="23">
        <f>Table1[[#This Row],[1. Doanh thu bán hàng và cung cấp dịch vụ ]]/Table1[[#This Row],[TỔNG CỘNG TÀI SẢN]]</f>
        <v>0</v>
      </c>
      <c r="V1058" s="23">
        <f>1.2*Table1[[#This Row],[X1]] + 1.4*Table1[[#This Row],[X2]] + 3.3*Table1[[#This Row],[x3]] + 0.6*Table1[[#This Row],[x4]] + 1*Table1[[#This Row],[x5]]</f>
        <v>1.7685225972640981</v>
      </c>
      <c r="W1058" s="23">
        <f>IF(Table1[[#This Row],[Zscore]]&lt;1.81,1,0)</f>
        <v>1</v>
      </c>
    </row>
    <row r="1059" spans="1:23" hidden="1" x14ac:dyDescent="0.45">
      <c r="A1059" s="7">
        <v>1053</v>
      </c>
      <c r="B1059" s="5" t="s">
        <v>2118</v>
      </c>
      <c r="C1059" s="6" t="s">
        <v>2119</v>
      </c>
      <c r="D1059" s="6" t="s">
        <v>18</v>
      </c>
      <c r="E1059" s="6"/>
      <c r="F1059" s="6"/>
      <c r="G1059" s="6"/>
      <c r="H1059" s="6"/>
      <c r="I1059" s="6"/>
      <c r="J1059" s="8"/>
      <c r="K1059" s="6"/>
      <c r="L1059" s="6"/>
      <c r="M1059" s="8"/>
      <c r="N1059" s="8"/>
      <c r="O1059" s="8"/>
      <c r="P1059" s="8"/>
      <c r="Q1059" s="18" t="e">
        <f>(Table1[[#This Row],[A. TÀI SẢN NGẮN HẠN]]-Table1[[#This Row],[I. Nợ ngắn hạn]])/Table1[[#This Row],[TỔNG CỘNG TÀI SẢN]]</f>
        <v>#DIV/0!</v>
      </c>
      <c r="R1059" s="18" t="e">
        <f>Table1[[#This Row],[- LNST chưa phân phối kỳ này]]/Table1[[#This Row],[TỔNG CỘNG TÀI SẢN]]</f>
        <v>#DIV/0!</v>
      </c>
      <c r="S1059" s="21" t="e">
        <f>Table1[[#This Row],[5. Lợi nhuận gộp về bán hàng và cung cấp dịch vụ]]/Table1[[#This Row],[TỔNG CỘNG TÀI SẢN]]</f>
        <v>#DIV/0!</v>
      </c>
      <c r="T105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059" s="23" t="e">
        <f>Table1[[#This Row],[1. Doanh thu bán hàng và cung cấp dịch vụ ]]/Table1[[#This Row],[TỔNG CỘNG TÀI SẢN]]</f>
        <v>#DIV/0!</v>
      </c>
      <c r="V1059" s="23" t="e">
        <f>1.2*Table1[[#This Row],[X1]] + 1.4*Table1[[#This Row],[X2]] + 3.3*Table1[[#This Row],[x3]] + 0.6*Table1[[#This Row],[x4]] + 1*Table1[[#This Row],[x5]]</f>
        <v>#DIV/0!</v>
      </c>
      <c r="W1059" s="23" t="e">
        <f>IF(Table1[[#This Row],[Zscore]]&lt;1.81,1,0)</f>
        <v>#DIV/0!</v>
      </c>
    </row>
    <row r="1060" spans="1:23" ht="26.25" hidden="1" x14ac:dyDescent="0.45">
      <c r="A1060" s="7">
        <v>1054</v>
      </c>
      <c r="B1060" s="5" t="s">
        <v>2120</v>
      </c>
      <c r="C1060" s="6" t="s">
        <v>2121</v>
      </c>
      <c r="D1060" s="6" t="s">
        <v>18</v>
      </c>
      <c r="E1060" s="6"/>
      <c r="F1060" s="6"/>
      <c r="G1060" s="6"/>
      <c r="H1060" s="6"/>
      <c r="I1060" s="6"/>
      <c r="J1060" s="8"/>
      <c r="K1060" s="6"/>
      <c r="L1060" s="6"/>
      <c r="M1060" s="8"/>
      <c r="N1060" s="8"/>
      <c r="O1060" s="8"/>
      <c r="P1060" s="8"/>
      <c r="Q1060" s="18" t="e">
        <f>(Table1[[#This Row],[A. TÀI SẢN NGẮN HẠN]]-Table1[[#This Row],[I. Nợ ngắn hạn]])/Table1[[#This Row],[TỔNG CỘNG TÀI SẢN]]</f>
        <v>#DIV/0!</v>
      </c>
      <c r="R1060" s="18" t="e">
        <f>Table1[[#This Row],[- LNST chưa phân phối kỳ này]]/Table1[[#This Row],[TỔNG CỘNG TÀI SẢN]]</f>
        <v>#DIV/0!</v>
      </c>
      <c r="S1060" s="21" t="e">
        <f>Table1[[#This Row],[5. Lợi nhuận gộp về bán hàng và cung cấp dịch vụ]]/Table1[[#This Row],[TỔNG CỘNG TÀI SẢN]]</f>
        <v>#DIV/0!</v>
      </c>
      <c r="T106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060" s="23" t="e">
        <f>Table1[[#This Row],[1. Doanh thu bán hàng và cung cấp dịch vụ ]]/Table1[[#This Row],[TỔNG CỘNG TÀI SẢN]]</f>
        <v>#DIV/0!</v>
      </c>
      <c r="V1060" s="23" t="e">
        <f>1.2*Table1[[#This Row],[X1]] + 1.4*Table1[[#This Row],[X2]] + 3.3*Table1[[#This Row],[x3]] + 0.6*Table1[[#This Row],[x4]] + 1*Table1[[#This Row],[x5]]</f>
        <v>#DIV/0!</v>
      </c>
      <c r="W1060" s="23" t="e">
        <f>IF(Table1[[#This Row],[Zscore]]&lt;1.81,1,0)</f>
        <v>#DIV/0!</v>
      </c>
    </row>
    <row r="1061" spans="1:23" x14ac:dyDescent="0.45">
      <c r="A1061" s="7">
        <v>1055</v>
      </c>
      <c r="B1061" s="5" t="s">
        <v>2122</v>
      </c>
      <c r="C1061" s="6" t="s">
        <v>2123</v>
      </c>
      <c r="D1061" s="6" t="s">
        <v>36</v>
      </c>
      <c r="E1061" s="8">
        <v>1614345377680</v>
      </c>
      <c r="F1061" s="8">
        <v>696973606251</v>
      </c>
      <c r="G1061" s="8">
        <v>981359751812</v>
      </c>
      <c r="H1061" s="8">
        <v>81963273873</v>
      </c>
      <c r="I1061" s="8">
        <v>298328698311</v>
      </c>
      <c r="J1061" s="8"/>
      <c r="K1061" s="8">
        <v>1180458353787</v>
      </c>
      <c r="L1061" s="8">
        <v>2877935257764</v>
      </c>
      <c r="M1061" s="8">
        <v>335480626800</v>
      </c>
      <c r="N1061" s="8">
        <v>365978865600</v>
      </c>
      <c r="O1061" s="8">
        <v>279567189000</v>
      </c>
      <c r="P1061" s="8">
        <v>279567189000</v>
      </c>
      <c r="Q1061" s="18">
        <f>(Table1[[#This Row],[A. TÀI SẢN NGẮN HẠN]]-Table1[[#This Row],[I. Nợ ngắn hạn]])/Table1[[#This Row],[TỔNG CỘNG TÀI SẢN]]</f>
        <v>-0.17616189787695594</v>
      </c>
      <c r="R1061" s="18">
        <f>Table1[[#This Row],[- LNST chưa phân phối kỳ này]]/Table1[[#This Row],[TỔNG CỘNG TÀI SẢN]]</f>
        <v>5.0771832970953619E-2</v>
      </c>
      <c r="S1061" s="21">
        <f>Table1[[#This Row],[5. Lợi nhuận gộp về bán hàng và cung cấp dịch vụ]]/Table1[[#This Row],[TỔNG CỘNG TÀI SẢN]]</f>
        <v>0.18479855824887526</v>
      </c>
      <c r="T106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0.2669712714463664</v>
      </c>
      <c r="U1061" s="23">
        <f>Table1[[#This Row],[1. Doanh thu bán hàng và cung cấp dịch vụ ]]/Table1[[#This Row],[TỔNG CỘNG TÀI SẢN]]</f>
        <v>1.7827258637181618</v>
      </c>
      <c r="V1061" s="23">
        <f>1.2*Table1[[#This Row],[X1]] + 1.4*Table1[[#This Row],[X2]] + 3.3*Table1[[#This Row],[x3]] + 0.6*Table1[[#This Row],[x4]] + 1*Table1[[#This Row],[x5]]</f>
        <v>2.4124301575142577</v>
      </c>
      <c r="W1061" s="23">
        <f>IF(Table1[[#This Row],[Zscore]]&lt;1.81,1,0)</f>
        <v>0</v>
      </c>
    </row>
    <row r="1062" spans="1:23" ht="26.25" x14ac:dyDescent="0.45">
      <c r="A1062" s="7">
        <v>1056</v>
      </c>
      <c r="B1062" s="5" t="s">
        <v>2124</v>
      </c>
      <c r="C1062" s="6" t="s">
        <v>2125</v>
      </c>
      <c r="D1062" s="6" t="s">
        <v>36</v>
      </c>
      <c r="E1062" s="8">
        <v>2707811236535</v>
      </c>
      <c r="F1062" s="8">
        <v>2620396136861</v>
      </c>
      <c r="G1062" s="8">
        <v>1094911667496</v>
      </c>
      <c r="H1062" s="8">
        <v>18970308182</v>
      </c>
      <c r="I1062" s="8">
        <v>92724849202</v>
      </c>
      <c r="J1062" s="8"/>
      <c r="K1062" s="8">
        <v>2029362498830</v>
      </c>
      <c r="L1062" s="8">
        <v>277023902805</v>
      </c>
      <c r="M1062" s="8">
        <v>499279383800</v>
      </c>
      <c r="N1062" s="8">
        <v>1270499099100</v>
      </c>
      <c r="O1062" s="8">
        <v>442399454000</v>
      </c>
      <c r="P1062" s="8">
        <v>995499294100</v>
      </c>
      <c r="Q1062" s="18">
        <f>(Table1[[#This Row],[A. TÀI SẢN NGẮN HẠN]]-Table1[[#This Row],[I. Nợ ngắn hạn]])/Table1[[#This Row],[TỔNG CỘNG TÀI SẢN]]</f>
        <v>0.56336440619733064</v>
      </c>
      <c r="R1062" s="18">
        <f>Table1[[#This Row],[- LNST chưa phân phối kỳ này]]/Table1[[#This Row],[TỔNG CỘNG TÀI SẢN]]</f>
        <v>7.0057720146973756E-3</v>
      </c>
      <c r="S1062" s="21">
        <f>Table1[[#This Row],[5. Lợi nhuận gộp về bán hàng và cung cấp dịch vụ]]/Table1[[#This Row],[TỔNG CỘNG TÀI SẢN]]</f>
        <v>3.424346865502103E-2</v>
      </c>
      <c r="T106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0.39515823723575022</v>
      </c>
      <c r="U1062" s="23">
        <f>Table1[[#This Row],[1. Doanh thu bán hàng và cung cấp dịch vụ ]]/Table1[[#This Row],[TỔNG CỘNG TÀI SẢN]]</f>
        <v>0.10230547058349919</v>
      </c>
      <c r="V1062" s="23">
        <f>1.2*Table1[[#This Row],[X1]] + 1.4*Table1[[#This Row],[X2]] + 3.3*Table1[[#This Row],[x3]] + 0.6*Table1[[#This Row],[x4]] + 1*Table1[[#This Row],[x5]]</f>
        <v>1.1382492277438918</v>
      </c>
      <c r="W1062" s="23">
        <f>IF(Table1[[#This Row],[Zscore]]&lt;1.81,1,0)</f>
        <v>1</v>
      </c>
    </row>
    <row r="1063" spans="1:23" hidden="1" x14ac:dyDescent="0.45">
      <c r="A1063" s="7">
        <v>1057</v>
      </c>
      <c r="B1063" s="5" t="s">
        <v>2126</v>
      </c>
      <c r="C1063" s="6" t="s">
        <v>2127</v>
      </c>
      <c r="D1063" s="6" t="s">
        <v>13</v>
      </c>
      <c r="E1063" s="6"/>
      <c r="F1063" s="6"/>
      <c r="G1063" s="6"/>
      <c r="H1063" s="6"/>
      <c r="I1063" s="6"/>
      <c r="J1063" s="8"/>
      <c r="K1063" s="6"/>
      <c r="L1063" s="6"/>
      <c r="M1063" s="8"/>
      <c r="N1063" s="8"/>
      <c r="O1063" s="8"/>
      <c r="P1063" s="8"/>
      <c r="Q1063" s="18" t="e">
        <f>(Table1[[#This Row],[A. TÀI SẢN NGẮN HẠN]]-Table1[[#This Row],[I. Nợ ngắn hạn]])/Table1[[#This Row],[TỔNG CỘNG TÀI SẢN]]</f>
        <v>#DIV/0!</v>
      </c>
      <c r="R1063" s="18" t="e">
        <f>Table1[[#This Row],[- LNST chưa phân phối kỳ này]]/Table1[[#This Row],[TỔNG CỘNG TÀI SẢN]]</f>
        <v>#DIV/0!</v>
      </c>
      <c r="S1063" s="21" t="e">
        <f>Table1[[#This Row],[5. Lợi nhuận gộp về bán hàng và cung cấp dịch vụ]]/Table1[[#This Row],[TỔNG CỘNG TÀI SẢN]]</f>
        <v>#DIV/0!</v>
      </c>
      <c r="T106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063" s="23" t="e">
        <f>Table1[[#This Row],[1. Doanh thu bán hàng và cung cấp dịch vụ ]]/Table1[[#This Row],[TỔNG CỘNG TÀI SẢN]]</f>
        <v>#DIV/0!</v>
      </c>
      <c r="V1063" s="23" t="e">
        <f>1.2*Table1[[#This Row],[X1]] + 1.4*Table1[[#This Row],[X2]] + 3.3*Table1[[#This Row],[x3]] + 0.6*Table1[[#This Row],[x4]] + 1*Table1[[#This Row],[x5]]</f>
        <v>#DIV/0!</v>
      </c>
      <c r="W1063" s="23" t="e">
        <f>IF(Table1[[#This Row],[Zscore]]&lt;1.81,1,0)</f>
        <v>#DIV/0!</v>
      </c>
    </row>
    <row r="1064" spans="1:23" hidden="1" x14ac:dyDescent="0.45">
      <c r="A1064" s="7">
        <v>1058</v>
      </c>
      <c r="B1064" s="5" t="s">
        <v>2128</v>
      </c>
      <c r="C1064" s="6" t="s">
        <v>2129</v>
      </c>
      <c r="D1064" s="6" t="s">
        <v>13</v>
      </c>
      <c r="E1064" s="6"/>
      <c r="F1064" s="6"/>
      <c r="G1064" s="6"/>
      <c r="H1064" s="6"/>
      <c r="I1064" s="6"/>
      <c r="J1064" s="8"/>
      <c r="K1064" s="6"/>
      <c r="L1064" s="6"/>
      <c r="M1064" s="8"/>
      <c r="N1064" s="8"/>
      <c r="O1064" s="8"/>
      <c r="P1064" s="8"/>
      <c r="Q1064" s="18" t="e">
        <f>(Table1[[#This Row],[A. TÀI SẢN NGẮN HẠN]]-Table1[[#This Row],[I. Nợ ngắn hạn]])/Table1[[#This Row],[TỔNG CỘNG TÀI SẢN]]</f>
        <v>#DIV/0!</v>
      </c>
      <c r="R1064" s="18" t="e">
        <f>Table1[[#This Row],[- LNST chưa phân phối kỳ này]]/Table1[[#This Row],[TỔNG CỘNG TÀI SẢN]]</f>
        <v>#DIV/0!</v>
      </c>
      <c r="S1064" s="21" t="e">
        <f>Table1[[#This Row],[5. Lợi nhuận gộp về bán hàng và cung cấp dịch vụ]]/Table1[[#This Row],[TỔNG CỘNG TÀI SẢN]]</f>
        <v>#DIV/0!</v>
      </c>
      <c r="T106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064" s="23" t="e">
        <f>Table1[[#This Row],[1. Doanh thu bán hàng và cung cấp dịch vụ ]]/Table1[[#This Row],[TỔNG CỘNG TÀI SẢN]]</f>
        <v>#DIV/0!</v>
      </c>
      <c r="V1064" s="23" t="e">
        <f>1.2*Table1[[#This Row],[X1]] + 1.4*Table1[[#This Row],[X2]] + 3.3*Table1[[#This Row],[x3]] + 0.6*Table1[[#This Row],[x4]] + 1*Table1[[#This Row],[x5]]</f>
        <v>#DIV/0!</v>
      </c>
      <c r="W1064" s="23" t="e">
        <f>IF(Table1[[#This Row],[Zscore]]&lt;1.81,1,0)</f>
        <v>#DIV/0!</v>
      </c>
    </row>
    <row r="1065" spans="1:23" hidden="1" x14ac:dyDescent="0.45">
      <c r="A1065" s="7">
        <v>1059</v>
      </c>
      <c r="B1065" s="5" t="s">
        <v>2130</v>
      </c>
      <c r="C1065" s="6" t="s">
        <v>2131</v>
      </c>
      <c r="D1065" s="6" t="s">
        <v>18</v>
      </c>
      <c r="E1065" s="6"/>
      <c r="F1065" s="6"/>
      <c r="G1065" s="6"/>
      <c r="H1065" s="6"/>
      <c r="I1065" s="6"/>
      <c r="J1065" s="8"/>
      <c r="K1065" s="6"/>
      <c r="L1065" s="6"/>
      <c r="M1065" s="8"/>
      <c r="N1065" s="8"/>
      <c r="O1065" s="8"/>
      <c r="P1065" s="8"/>
      <c r="Q1065" s="18" t="e">
        <f>(Table1[[#This Row],[A. TÀI SẢN NGẮN HẠN]]-Table1[[#This Row],[I. Nợ ngắn hạn]])/Table1[[#This Row],[TỔNG CỘNG TÀI SẢN]]</f>
        <v>#DIV/0!</v>
      </c>
      <c r="R1065" s="18" t="e">
        <f>Table1[[#This Row],[- LNST chưa phân phối kỳ này]]/Table1[[#This Row],[TỔNG CỘNG TÀI SẢN]]</f>
        <v>#DIV/0!</v>
      </c>
      <c r="S1065" s="21" t="e">
        <f>Table1[[#This Row],[5. Lợi nhuận gộp về bán hàng và cung cấp dịch vụ]]/Table1[[#This Row],[TỔNG CỘNG TÀI SẢN]]</f>
        <v>#DIV/0!</v>
      </c>
      <c r="T106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065" s="23" t="e">
        <f>Table1[[#This Row],[1. Doanh thu bán hàng và cung cấp dịch vụ ]]/Table1[[#This Row],[TỔNG CỘNG TÀI SẢN]]</f>
        <v>#DIV/0!</v>
      </c>
      <c r="V1065" s="23" t="e">
        <f>1.2*Table1[[#This Row],[X1]] + 1.4*Table1[[#This Row],[X2]] + 3.3*Table1[[#This Row],[x3]] + 0.6*Table1[[#This Row],[x4]] + 1*Table1[[#This Row],[x5]]</f>
        <v>#DIV/0!</v>
      </c>
      <c r="W1065" s="23" t="e">
        <f>IF(Table1[[#This Row],[Zscore]]&lt;1.81,1,0)</f>
        <v>#DIV/0!</v>
      </c>
    </row>
    <row r="1066" spans="1:23" hidden="1" x14ac:dyDescent="0.45">
      <c r="A1066" s="7">
        <v>1060</v>
      </c>
      <c r="B1066" s="5" t="s">
        <v>2132</v>
      </c>
      <c r="C1066" s="6" t="s">
        <v>2133</v>
      </c>
      <c r="D1066" s="6" t="s">
        <v>13</v>
      </c>
      <c r="E1066" s="6"/>
      <c r="F1066" s="6"/>
      <c r="G1066" s="6"/>
      <c r="H1066" s="6"/>
      <c r="I1066" s="6"/>
      <c r="J1066" s="8"/>
      <c r="K1066" s="6"/>
      <c r="L1066" s="6"/>
      <c r="M1066" s="8"/>
      <c r="N1066" s="8"/>
      <c r="O1066" s="8"/>
      <c r="P1066" s="8"/>
      <c r="Q1066" s="18" t="e">
        <f>(Table1[[#This Row],[A. TÀI SẢN NGẮN HẠN]]-Table1[[#This Row],[I. Nợ ngắn hạn]])/Table1[[#This Row],[TỔNG CỘNG TÀI SẢN]]</f>
        <v>#DIV/0!</v>
      </c>
      <c r="R1066" s="18" t="e">
        <f>Table1[[#This Row],[- LNST chưa phân phối kỳ này]]/Table1[[#This Row],[TỔNG CỘNG TÀI SẢN]]</f>
        <v>#DIV/0!</v>
      </c>
      <c r="S1066" s="21" t="e">
        <f>Table1[[#This Row],[5. Lợi nhuận gộp về bán hàng và cung cấp dịch vụ]]/Table1[[#This Row],[TỔNG CỘNG TÀI SẢN]]</f>
        <v>#DIV/0!</v>
      </c>
      <c r="T106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066" s="23" t="e">
        <f>Table1[[#This Row],[1. Doanh thu bán hàng và cung cấp dịch vụ ]]/Table1[[#This Row],[TỔNG CỘNG TÀI SẢN]]</f>
        <v>#DIV/0!</v>
      </c>
      <c r="V1066" s="23" t="e">
        <f>1.2*Table1[[#This Row],[X1]] + 1.4*Table1[[#This Row],[X2]] + 3.3*Table1[[#This Row],[x3]] + 0.6*Table1[[#This Row],[x4]] + 1*Table1[[#This Row],[x5]]</f>
        <v>#DIV/0!</v>
      </c>
      <c r="W1066" s="23" t="e">
        <f>IF(Table1[[#This Row],[Zscore]]&lt;1.81,1,0)</f>
        <v>#DIV/0!</v>
      </c>
    </row>
    <row r="1067" spans="1:23" hidden="1" x14ac:dyDescent="0.45">
      <c r="A1067" s="7">
        <v>1061</v>
      </c>
      <c r="B1067" s="5" t="s">
        <v>2134</v>
      </c>
      <c r="C1067" s="6" t="s">
        <v>2135</v>
      </c>
      <c r="D1067" s="6" t="s">
        <v>18</v>
      </c>
      <c r="E1067" s="6"/>
      <c r="F1067" s="6"/>
      <c r="G1067" s="6"/>
      <c r="H1067" s="6"/>
      <c r="I1067" s="6"/>
      <c r="J1067" s="8"/>
      <c r="K1067" s="6"/>
      <c r="L1067" s="6"/>
      <c r="M1067" s="8"/>
      <c r="N1067" s="8"/>
      <c r="O1067" s="8"/>
      <c r="P1067" s="8"/>
      <c r="Q1067" s="18" t="e">
        <f>(Table1[[#This Row],[A. TÀI SẢN NGẮN HẠN]]-Table1[[#This Row],[I. Nợ ngắn hạn]])/Table1[[#This Row],[TỔNG CỘNG TÀI SẢN]]</f>
        <v>#DIV/0!</v>
      </c>
      <c r="R1067" s="18" t="e">
        <f>Table1[[#This Row],[- LNST chưa phân phối kỳ này]]/Table1[[#This Row],[TỔNG CỘNG TÀI SẢN]]</f>
        <v>#DIV/0!</v>
      </c>
      <c r="S1067" s="21" t="e">
        <f>Table1[[#This Row],[5. Lợi nhuận gộp về bán hàng và cung cấp dịch vụ]]/Table1[[#This Row],[TỔNG CỘNG TÀI SẢN]]</f>
        <v>#DIV/0!</v>
      </c>
      <c r="T106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067" s="23" t="e">
        <f>Table1[[#This Row],[1. Doanh thu bán hàng và cung cấp dịch vụ ]]/Table1[[#This Row],[TỔNG CỘNG TÀI SẢN]]</f>
        <v>#DIV/0!</v>
      </c>
      <c r="V1067" s="23" t="e">
        <f>1.2*Table1[[#This Row],[X1]] + 1.4*Table1[[#This Row],[X2]] + 3.3*Table1[[#This Row],[x3]] + 0.6*Table1[[#This Row],[x4]] + 1*Table1[[#This Row],[x5]]</f>
        <v>#DIV/0!</v>
      </c>
      <c r="W1067" s="23" t="e">
        <f>IF(Table1[[#This Row],[Zscore]]&lt;1.81,1,0)</f>
        <v>#DIV/0!</v>
      </c>
    </row>
    <row r="1068" spans="1:23" hidden="1" x14ac:dyDescent="0.45">
      <c r="A1068" s="7">
        <v>1062</v>
      </c>
      <c r="B1068" s="5" t="s">
        <v>2136</v>
      </c>
      <c r="C1068" s="6" t="s">
        <v>2137</v>
      </c>
      <c r="D1068" s="6" t="s">
        <v>18</v>
      </c>
      <c r="E1068" s="6"/>
      <c r="F1068" s="6"/>
      <c r="G1068" s="6"/>
      <c r="H1068" s="6"/>
      <c r="I1068" s="6"/>
      <c r="J1068" s="8"/>
      <c r="K1068" s="6"/>
      <c r="L1068" s="6"/>
      <c r="M1068" s="8"/>
      <c r="N1068" s="8"/>
      <c r="O1068" s="8"/>
      <c r="P1068" s="8"/>
      <c r="Q1068" s="18" t="e">
        <f>(Table1[[#This Row],[A. TÀI SẢN NGẮN HẠN]]-Table1[[#This Row],[I. Nợ ngắn hạn]])/Table1[[#This Row],[TỔNG CỘNG TÀI SẢN]]</f>
        <v>#DIV/0!</v>
      </c>
      <c r="R1068" s="18" t="e">
        <f>Table1[[#This Row],[- LNST chưa phân phối kỳ này]]/Table1[[#This Row],[TỔNG CỘNG TÀI SẢN]]</f>
        <v>#DIV/0!</v>
      </c>
      <c r="S1068" s="21" t="e">
        <f>Table1[[#This Row],[5. Lợi nhuận gộp về bán hàng và cung cấp dịch vụ]]/Table1[[#This Row],[TỔNG CỘNG TÀI SẢN]]</f>
        <v>#DIV/0!</v>
      </c>
      <c r="T106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068" s="23" t="e">
        <f>Table1[[#This Row],[1. Doanh thu bán hàng và cung cấp dịch vụ ]]/Table1[[#This Row],[TỔNG CỘNG TÀI SẢN]]</f>
        <v>#DIV/0!</v>
      </c>
      <c r="V1068" s="23" t="e">
        <f>1.2*Table1[[#This Row],[X1]] + 1.4*Table1[[#This Row],[X2]] + 3.3*Table1[[#This Row],[x3]] + 0.6*Table1[[#This Row],[x4]] + 1*Table1[[#This Row],[x5]]</f>
        <v>#DIV/0!</v>
      </c>
      <c r="W1068" s="23" t="e">
        <f>IF(Table1[[#This Row],[Zscore]]&lt;1.81,1,0)</f>
        <v>#DIV/0!</v>
      </c>
    </row>
    <row r="1069" spans="1:23" hidden="1" x14ac:dyDescent="0.45">
      <c r="A1069" s="7">
        <v>1063</v>
      </c>
      <c r="B1069" s="5" t="s">
        <v>2138</v>
      </c>
      <c r="C1069" s="6" t="s">
        <v>2139</v>
      </c>
      <c r="D1069" s="6" t="s">
        <v>18</v>
      </c>
      <c r="E1069" s="8">
        <v>20466637690</v>
      </c>
      <c r="F1069" s="8">
        <v>1642779022</v>
      </c>
      <c r="G1069" s="8">
        <v>72002111198</v>
      </c>
      <c r="H1069" s="8">
        <v>-9738231803</v>
      </c>
      <c r="I1069" s="8">
        <v>271730589</v>
      </c>
      <c r="J1069" s="8"/>
      <c r="K1069" s="8">
        <v>73606525672</v>
      </c>
      <c r="L1069" s="8">
        <v>703604692</v>
      </c>
      <c r="M1069" s="8"/>
      <c r="N1069" s="8"/>
      <c r="O1069" s="8"/>
      <c r="P1069" s="8"/>
      <c r="Q1069" s="18">
        <f>(Table1[[#This Row],[A. TÀI SẢN NGẮN HẠN]]-Table1[[#This Row],[I. Nợ ngắn hạn]])/Table1[[#This Row],[TỔNG CỘNG TÀI SẢN]]</f>
        <v>-3.4377572536195125</v>
      </c>
      <c r="R1069" s="18">
        <f>Table1[[#This Row],[- LNST chưa phân phối kỳ này]]/Table1[[#This Row],[TỔNG CỘNG TÀI SẢN]]</f>
        <v>-0.47581004513301667</v>
      </c>
      <c r="S1069" s="21">
        <f>Table1[[#This Row],[5. Lợi nhuận gộp về bán hàng và cung cấp dịch vụ]]/Table1[[#This Row],[TỔNG CỘNG TÀI SẢN]]</f>
        <v>1.3276757673429064E-2</v>
      </c>
      <c r="T106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069" s="23">
        <f>Table1[[#This Row],[1. Doanh thu bán hàng và cung cấp dịch vụ ]]/Table1[[#This Row],[TỔNG CỘNG TÀI SẢN]]</f>
        <v>3.4378128086167338E-2</v>
      </c>
      <c r="V1069" s="23" t="e">
        <f>1.2*Table1[[#This Row],[X1]] + 1.4*Table1[[#This Row],[X2]] + 3.3*Table1[[#This Row],[x3]] + 0.6*Table1[[#This Row],[x4]] + 1*Table1[[#This Row],[x5]]</f>
        <v>#DIV/0!</v>
      </c>
      <c r="W1069" s="23" t="e">
        <f>IF(Table1[[#This Row],[Zscore]]&lt;1.81,1,0)</f>
        <v>#DIV/0!</v>
      </c>
    </row>
    <row r="1070" spans="1:23" ht="26.25" x14ac:dyDescent="0.45">
      <c r="A1070" s="7">
        <v>1064</v>
      </c>
      <c r="B1070" s="5" t="s">
        <v>2140</v>
      </c>
      <c r="C1070" s="6" t="s">
        <v>2141</v>
      </c>
      <c r="D1070" s="6" t="s">
        <v>21</v>
      </c>
      <c r="E1070" s="8">
        <v>1726694223592</v>
      </c>
      <c r="F1070" s="8">
        <v>1627305985866</v>
      </c>
      <c r="G1070" s="8">
        <v>1283187120566</v>
      </c>
      <c r="H1070" s="8">
        <v>31219878322</v>
      </c>
      <c r="I1070" s="8">
        <v>142813213493</v>
      </c>
      <c r="J1070" s="8"/>
      <c r="K1070" s="8">
        <v>1311841827394</v>
      </c>
      <c r="L1070" s="8">
        <v>5765927609529</v>
      </c>
      <c r="M1070" s="8">
        <v>320774988250</v>
      </c>
      <c r="N1070" s="8">
        <v>319409988300</v>
      </c>
      <c r="O1070" s="8">
        <v>335789987700</v>
      </c>
      <c r="P1070" s="8">
        <v>323504988150</v>
      </c>
      <c r="Q1070" s="18">
        <f>(Table1[[#This Row],[A. TÀI SẢN NGẮN HẠN]]-Table1[[#This Row],[I. Nợ ngắn hạn]])/Table1[[#This Row],[TỔNG CỘNG TÀI SẢN]]</f>
        <v>0.19929345948939234</v>
      </c>
      <c r="R1070" s="18">
        <f>Table1[[#This Row],[- LNST chưa phân phối kỳ này]]/Table1[[#This Row],[TỔNG CỘNG TÀI SẢN]]</f>
        <v>1.8080722049937738E-2</v>
      </c>
      <c r="S1070" s="21">
        <f>Table1[[#This Row],[5. Lợi nhuận gộp về bán hàng và cung cấp dịch vụ]]/Table1[[#This Row],[TỔNG CỘNG TÀI SẢN]]</f>
        <v>8.2709035300940051E-2</v>
      </c>
      <c r="T107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0.24764417578097866</v>
      </c>
      <c r="U1070" s="23">
        <f>Table1[[#This Row],[1. Doanh thu bán hàng và cung cấp dịch vụ ]]/Table1[[#This Row],[TỔNG CỘNG TÀI SẢN]]</f>
        <v>3.3392870206829564</v>
      </c>
      <c r="V1070" s="23">
        <f>1.2*Table1[[#This Row],[X1]] + 1.4*Table1[[#This Row],[X2]] + 3.3*Table1[[#This Row],[x3]] + 0.6*Table1[[#This Row],[x4]] + 1*Table1[[#This Row],[x5]]</f>
        <v>4.0252785049018289</v>
      </c>
      <c r="W1070" s="23">
        <f>IF(Table1[[#This Row],[Zscore]]&lt;1.81,1,0)</f>
        <v>0</v>
      </c>
    </row>
    <row r="1071" spans="1:23" hidden="1" x14ac:dyDescent="0.45">
      <c r="A1071" s="7">
        <v>1065</v>
      </c>
      <c r="B1071" s="5" t="s">
        <v>2142</v>
      </c>
      <c r="C1071" s="6" t="s">
        <v>2143</v>
      </c>
      <c r="D1071" s="6" t="s">
        <v>18</v>
      </c>
      <c r="E1071" s="6"/>
      <c r="F1071" s="6"/>
      <c r="G1071" s="6"/>
      <c r="H1071" s="6"/>
      <c r="I1071" s="6"/>
      <c r="J1071" s="8"/>
      <c r="K1071" s="6"/>
      <c r="L1071" s="6"/>
      <c r="M1071" s="8"/>
      <c r="N1071" s="8"/>
      <c r="O1071" s="8"/>
      <c r="P1071" s="8"/>
      <c r="Q1071" s="18" t="e">
        <f>(Table1[[#This Row],[A. TÀI SẢN NGẮN HẠN]]-Table1[[#This Row],[I. Nợ ngắn hạn]])/Table1[[#This Row],[TỔNG CỘNG TÀI SẢN]]</f>
        <v>#DIV/0!</v>
      </c>
      <c r="R1071" s="18" t="e">
        <f>Table1[[#This Row],[- LNST chưa phân phối kỳ này]]/Table1[[#This Row],[TỔNG CỘNG TÀI SẢN]]</f>
        <v>#DIV/0!</v>
      </c>
      <c r="S1071" s="21" t="e">
        <f>Table1[[#This Row],[5. Lợi nhuận gộp về bán hàng và cung cấp dịch vụ]]/Table1[[#This Row],[TỔNG CỘNG TÀI SẢN]]</f>
        <v>#DIV/0!</v>
      </c>
      <c r="T107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071" s="23" t="e">
        <f>Table1[[#This Row],[1. Doanh thu bán hàng và cung cấp dịch vụ ]]/Table1[[#This Row],[TỔNG CỘNG TÀI SẢN]]</f>
        <v>#DIV/0!</v>
      </c>
      <c r="V1071" s="23" t="e">
        <f>1.2*Table1[[#This Row],[X1]] + 1.4*Table1[[#This Row],[X2]] + 3.3*Table1[[#This Row],[x3]] + 0.6*Table1[[#This Row],[x4]] + 1*Table1[[#This Row],[x5]]</f>
        <v>#DIV/0!</v>
      </c>
      <c r="W1071" s="23" t="e">
        <f>IF(Table1[[#This Row],[Zscore]]&lt;1.81,1,0)</f>
        <v>#DIV/0!</v>
      </c>
    </row>
    <row r="1072" spans="1:23" hidden="1" x14ac:dyDescent="0.45">
      <c r="A1072" s="7">
        <v>1066</v>
      </c>
      <c r="B1072" s="5" t="s">
        <v>2144</v>
      </c>
      <c r="C1072" s="6" t="s">
        <v>2145</v>
      </c>
      <c r="D1072" s="6" t="s">
        <v>18</v>
      </c>
      <c r="E1072" s="8">
        <v>428318103836</v>
      </c>
      <c r="F1072" s="8">
        <v>413784578285</v>
      </c>
      <c r="G1072" s="8">
        <v>311554122038</v>
      </c>
      <c r="H1072" s="8">
        <v>18400692504</v>
      </c>
      <c r="I1072" s="8">
        <v>100314882706</v>
      </c>
      <c r="J1072" s="8"/>
      <c r="K1072" s="8">
        <v>311554122038</v>
      </c>
      <c r="L1072" s="8">
        <v>4973390362931</v>
      </c>
      <c r="M1072" s="8"/>
      <c r="N1072" s="8"/>
      <c r="O1072" s="8"/>
      <c r="P1072" s="8"/>
      <c r="Q1072" s="18">
        <f>(Table1[[#This Row],[A. TÀI SẢN NGẮN HẠN]]-Table1[[#This Row],[I. Nợ ngắn hạn]])/Table1[[#This Row],[TỔNG CỘNG TÀI SẢN]]</f>
        <v>0.23867881215252887</v>
      </c>
      <c r="R1072" s="18">
        <f>Table1[[#This Row],[- LNST chưa phân phối kỳ này]]/Table1[[#This Row],[TỔNG CỘNG TÀI SẢN]]</f>
        <v>4.296034265001672E-2</v>
      </c>
      <c r="S1072" s="21">
        <f>Table1[[#This Row],[5. Lợi nhuận gộp về bán hàng và cung cấp dịch vụ]]/Table1[[#This Row],[TỔNG CỘNG TÀI SẢN]]</f>
        <v>0.2342064970114125</v>
      </c>
      <c r="T107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072" s="23">
        <f>Table1[[#This Row],[1. Doanh thu bán hàng và cung cấp dịch vụ ]]/Table1[[#This Row],[TỔNG CỘNG TÀI SẢN]]</f>
        <v>11.611440932310618</v>
      </c>
      <c r="V1072" s="23" t="e">
        <f>1.2*Table1[[#This Row],[X1]] + 1.4*Table1[[#This Row],[X2]] + 3.3*Table1[[#This Row],[x3]] + 0.6*Table1[[#This Row],[x4]] + 1*Table1[[#This Row],[x5]]</f>
        <v>#DIV/0!</v>
      </c>
      <c r="W1072" s="23" t="e">
        <f>IF(Table1[[#This Row],[Zscore]]&lt;1.81,1,0)</f>
        <v>#DIV/0!</v>
      </c>
    </row>
    <row r="1073" spans="1:23" x14ac:dyDescent="0.45">
      <c r="A1073" s="7">
        <v>1067</v>
      </c>
      <c r="B1073" s="5" t="s">
        <v>2146</v>
      </c>
      <c r="C1073" s="6" t="s">
        <v>2147</v>
      </c>
      <c r="D1073" s="6" t="s">
        <v>36</v>
      </c>
      <c r="E1073" s="8">
        <v>283312243588</v>
      </c>
      <c r="F1073" s="8">
        <v>167461296264</v>
      </c>
      <c r="G1073" s="8">
        <v>39932806735</v>
      </c>
      <c r="H1073" s="8">
        <v>26912274694</v>
      </c>
      <c r="I1073" s="8">
        <v>20140601597</v>
      </c>
      <c r="J1073" s="8"/>
      <c r="K1073" s="8">
        <v>40086140096</v>
      </c>
      <c r="L1073" s="8">
        <v>121756054171</v>
      </c>
      <c r="M1073" s="8">
        <v>183721352100</v>
      </c>
      <c r="N1073" s="8">
        <v>222859886900</v>
      </c>
      <c r="O1073" s="8">
        <v>201957659100</v>
      </c>
      <c r="P1073" s="8">
        <v>237597246000</v>
      </c>
      <c r="Q1073" s="18">
        <f>(Table1[[#This Row],[A. TÀI SẢN NGẮN HẠN]]-Table1[[#This Row],[I. Nợ ngắn hạn]])/Table1[[#This Row],[TỔNG CỘNG TÀI SẢN]]</f>
        <v>0.4501340567351379</v>
      </c>
      <c r="R1073" s="18">
        <f>Table1[[#This Row],[- LNST chưa phân phối kỳ này]]/Table1[[#This Row],[TỔNG CỘNG TÀI SẢN]]</f>
        <v>9.4991569560038236E-2</v>
      </c>
      <c r="S1073" s="21">
        <f>Table1[[#This Row],[5. Lợi nhuận gộp về bán hàng và cung cấp dịch vụ]]/Table1[[#This Row],[TỔNG CỘNG TÀI SẢN]]</f>
        <v>7.1089767748579849E-2</v>
      </c>
      <c r="T107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5.2769868966782347</v>
      </c>
      <c r="U1073" s="23">
        <f>Table1[[#This Row],[1. Doanh thu bán hàng và cung cấp dịch vụ ]]/Table1[[#This Row],[TỔNG CỘNG TÀI SẢN]]</f>
        <v>0.42975923888436252</v>
      </c>
      <c r="V1073" s="23">
        <f>1.2*Table1[[#This Row],[X1]] + 1.4*Table1[[#This Row],[X2]] + 3.3*Table1[[#This Row],[x3]] + 0.6*Table1[[#This Row],[x4]] + 1*Table1[[#This Row],[x5]]</f>
        <v>4.5036966759278361</v>
      </c>
      <c r="W1073" s="23">
        <f>IF(Table1[[#This Row],[Zscore]]&lt;1.81,1,0)</f>
        <v>0</v>
      </c>
    </row>
    <row r="1074" spans="1:23" x14ac:dyDescent="0.45">
      <c r="A1074" s="7">
        <v>1068</v>
      </c>
      <c r="B1074" s="5" t="s">
        <v>2148</v>
      </c>
      <c r="C1074" s="6" t="s">
        <v>2149</v>
      </c>
      <c r="D1074" s="6" t="s">
        <v>36</v>
      </c>
      <c r="E1074" s="8">
        <v>92608540646</v>
      </c>
      <c r="F1074" s="8">
        <v>84313826609</v>
      </c>
      <c r="G1074" s="8">
        <v>10161636944</v>
      </c>
      <c r="H1074" s="8">
        <v>3170082351</v>
      </c>
      <c r="I1074" s="8">
        <v>5166048357</v>
      </c>
      <c r="J1074" s="8"/>
      <c r="K1074" s="8">
        <v>12127709194</v>
      </c>
      <c r="L1074" s="8">
        <v>47160377872</v>
      </c>
      <c r="M1074" s="8">
        <v>77451727200</v>
      </c>
      <c r="N1074" s="8">
        <v>67349328000</v>
      </c>
      <c r="O1074" s="8">
        <v>63981861600</v>
      </c>
      <c r="P1074" s="8">
        <v>66788083600</v>
      </c>
      <c r="Q1074" s="18">
        <f>(Table1[[#This Row],[A. TÀI SẢN NGẮN HẠN]]-Table1[[#This Row],[I. Nợ ngắn hạn]])/Table1[[#This Row],[TỔNG CỘNG TÀI SẢN]]</f>
        <v>0.80070573564537451</v>
      </c>
      <c r="R1074" s="18">
        <f>Table1[[#This Row],[- LNST chưa phân phối kỳ này]]/Table1[[#This Row],[TỔNG CỘNG TÀI SẢN]]</f>
        <v>3.423099347950824E-2</v>
      </c>
      <c r="S1074" s="21">
        <f>Table1[[#This Row],[5. Lợi nhuận gộp về bán hàng và cung cấp dịch vụ]]/Table1[[#This Row],[TỔNG CỘNG TÀI SẢN]]</f>
        <v>5.5783714125756875E-2</v>
      </c>
      <c r="T107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5.6806070295685887</v>
      </c>
      <c r="U1074" s="23">
        <f>Table1[[#This Row],[1. Doanh thu bán hàng và cung cấp dịch vụ ]]/Table1[[#This Row],[TỔNG CỘNG TÀI SẢN]]</f>
        <v>0.50924436928849259</v>
      </c>
      <c r="V1074" s="23">
        <f>1.2*Table1[[#This Row],[X1]] + 1.4*Table1[[#This Row],[X2]] + 3.3*Table1[[#This Row],[x3]] + 0.6*Table1[[#This Row],[x4]] + 1*Table1[[#This Row],[x5]]</f>
        <v>5.1104651172904045</v>
      </c>
      <c r="W1074" s="23">
        <f>IF(Table1[[#This Row],[Zscore]]&lt;1.81,1,0)</f>
        <v>0</v>
      </c>
    </row>
    <row r="1075" spans="1:23" ht="26.25" hidden="1" x14ac:dyDescent="0.45">
      <c r="A1075" s="7">
        <v>1069</v>
      </c>
      <c r="B1075" s="5" t="s">
        <v>2150</v>
      </c>
      <c r="C1075" s="6" t="s">
        <v>2151</v>
      </c>
      <c r="D1075" s="6" t="s">
        <v>18</v>
      </c>
      <c r="E1075" s="8">
        <v>2316622028968</v>
      </c>
      <c r="F1075" s="8">
        <v>1428868969469</v>
      </c>
      <c r="G1075" s="8">
        <v>1108474337998</v>
      </c>
      <c r="H1075" s="8">
        <v>136219552920</v>
      </c>
      <c r="I1075" s="8">
        <v>228925688684</v>
      </c>
      <c r="J1075" s="8"/>
      <c r="K1075" s="8">
        <v>1638127660714</v>
      </c>
      <c r="L1075" s="8">
        <v>1130628933189</v>
      </c>
      <c r="M1075" s="8"/>
      <c r="N1075" s="8"/>
      <c r="O1075" s="8"/>
      <c r="P1075" s="8"/>
      <c r="Q1075" s="18">
        <f>(Table1[[#This Row],[A. TÀI SẢN NGẮN HẠN]]-Table1[[#This Row],[I. Nợ ngắn hạn]])/Table1[[#This Row],[TỔNG CỘNG TÀI SẢN]]</f>
        <v>0.13830250574528474</v>
      </c>
      <c r="R1075" s="18">
        <f>Table1[[#This Row],[- LNST chưa phân phối kỳ này]]/Table1[[#This Row],[TỔNG CỘNG TÀI SẢN]]</f>
        <v>5.8800939996535635E-2</v>
      </c>
      <c r="S1075" s="21">
        <f>Table1[[#This Row],[5. Lợi nhuận gộp về bán hàng và cung cấp dịch vụ]]/Table1[[#This Row],[TỔNG CỘNG TÀI SẢN]]</f>
        <v>9.8818748082949437E-2</v>
      </c>
      <c r="T107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075" s="23">
        <f>Table1[[#This Row],[1. Doanh thu bán hàng và cung cấp dịch vụ ]]/Table1[[#This Row],[TỔNG CỘNG TÀI SẢN]]</f>
        <v>0.48805066991988688</v>
      </c>
      <c r="V1075" s="23" t="e">
        <f>1.2*Table1[[#This Row],[X1]] + 1.4*Table1[[#This Row],[X2]] + 3.3*Table1[[#This Row],[x3]] + 0.6*Table1[[#This Row],[x4]] + 1*Table1[[#This Row],[x5]]</f>
        <v>#DIV/0!</v>
      </c>
      <c r="W1075" s="23" t="e">
        <f>IF(Table1[[#This Row],[Zscore]]&lt;1.81,1,0)</f>
        <v>#DIV/0!</v>
      </c>
    </row>
    <row r="1076" spans="1:23" hidden="1" x14ac:dyDescent="0.45">
      <c r="A1076" s="7">
        <v>1070</v>
      </c>
      <c r="B1076" s="5" t="s">
        <v>2152</v>
      </c>
      <c r="C1076" s="6" t="s">
        <v>2153</v>
      </c>
      <c r="D1076" s="6" t="s">
        <v>13</v>
      </c>
      <c r="E1076" s="6"/>
      <c r="F1076" s="6"/>
      <c r="G1076" s="6"/>
      <c r="H1076" s="6"/>
      <c r="I1076" s="6"/>
      <c r="J1076" s="8"/>
      <c r="K1076" s="6"/>
      <c r="L1076" s="6"/>
      <c r="M1076" s="8"/>
      <c r="N1076" s="8"/>
      <c r="O1076" s="8"/>
      <c r="P1076" s="8"/>
      <c r="Q1076" s="18" t="e">
        <f>(Table1[[#This Row],[A. TÀI SẢN NGẮN HẠN]]-Table1[[#This Row],[I. Nợ ngắn hạn]])/Table1[[#This Row],[TỔNG CỘNG TÀI SẢN]]</f>
        <v>#DIV/0!</v>
      </c>
      <c r="R1076" s="18" t="e">
        <f>Table1[[#This Row],[- LNST chưa phân phối kỳ này]]/Table1[[#This Row],[TỔNG CỘNG TÀI SẢN]]</f>
        <v>#DIV/0!</v>
      </c>
      <c r="S1076" s="21" t="e">
        <f>Table1[[#This Row],[5. Lợi nhuận gộp về bán hàng và cung cấp dịch vụ]]/Table1[[#This Row],[TỔNG CỘNG TÀI SẢN]]</f>
        <v>#DIV/0!</v>
      </c>
      <c r="T107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076" s="23" t="e">
        <f>Table1[[#This Row],[1. Doanh thu bán hàng và cung cấp dịch vụ ]]/Table1[[#This Row],[TỔNG CỘNG TÀI SẢN]]</f>
        <v>#DIV/0!</v>
      </c>
      <c r="V1076" s="23" t="e">
        <f>1.2*Table1[[#This Row],[X1]] + 1.4*Table1[[#This Row],[X2]] + 3.3*Table1[[#This Row],[x3]] + 0.6*Table1[[#This Row],[x4]] + 1*Table1[[#This Row],[x5]]</f>
        <v>#DIV/0!</v>
      </c>
      <c r="W1076" s="23" t="e">
        <f>IF(Table1[[#This Row],[Zscore]]&lt;1.81,1,0)</f>
        <v>#DIV/0!</v>
      </c>
    </row>
    <row r="1077" spans="1:23" x14ac:dyDescent="0.45">
      <c r="A1077" s="7">
        <v>1071</v>
      </c>
      <c r="B1077" s="5" t="s">
        <v>2154</v>
      </c>
      <c r="C1077" s="6" t="s">
        <v>2155</v>
      </c>
      <c r="D1077" s="6" t="s">
        <v>21</v>
      </c>
      <c r="E1077" s="8">
        <v>3969431149991</v>
      </c>
      <c r="F1077" s="8">
        <v>881300843451</v>
      </c>
      <c r="G1077" s="8">
        <v>175118446941</v>
      </c>
      <c r="H1077" s="8">
        <v>475813407612</v>
      </c>
      <c r="I1077" s="8">
        <v>556207180925</v>
      </c>
      <c r="J1077" s="8"/>
      <c r="K1077" s="8">
        <v>502598636497</v>
      </c>
      <c r="L1077" s="8">
        <v>1153630423745</v>
      </c>
      <c r="M1077" s="8">
        <v>5739665924000</v>
      </c>
      <c r="N1077" s="8">
        <v>5057492515000</v>
      </c>
      <c r="O1077" s="8">
        <v>5645573040000</v>
      </c>
      <c r="P1077" s="8">
        <v>5516195324500</v>
      </c>
      <c r="Q1077" s="18">
        <f>(Table1[[#This Row],[A. TÀI SẢN NGẮN HẠN]]-Table1[[#This Row],[I. Nợ ngắn hạn]])/Table1[[#This Row],[TỔNG CỘNG TÀI SẢN]]</f>
        <v>0.1779051883823709</v>
      </c>
      <c r="R1077" s="18">
        <f>Table1[[#This Row],[- LNST chưa phân phối kỳ này]]/Table1[[#This Row],[TỔNG CỘNG TÀI SẢN]]</f>
        <v>0.11986941947918126</v>
      </c>
      <c r="S1077" s="21">
        <f>Table1[[#This Row],[5. Lợi nhuận gộp về bán hàng và cung cấp dịch vụ]]/Table1[[#This Row],[TỔNG CỘNG TÀI SẢN]]</f>
        <v>0.14012264223962195</v>
      </c>
      <c r="T107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10.922695173105126</v>
      </c>
      <c r="U1077" s="23">
        <f>Table1[[#This Row],[1. Doanh thu bán hàng và cung cấp dịch vụ ]]/Table1[[#This Row],[TỔNG CỘNG TÀI SẢN]]</f>
        <v>0.29062865185295272</v>
      </c>
      <c r="V1077" s="23">
        <f>1.2*Table1[[#This Row],[X1]] + 1.4*Table1[[#This Row],[X2]] + 3.3*Table1[[#This Row],[x3]] + 0.6*Table1[[#This Row],[x4]] + 1*Table1[[#This Row],[x5]]</f>
        <v>7.6879538884364793</v>
      </c>
      <c r="W1077" s="23">
        <f>IF(Table1[[#This Row],[Zscore]]&lt;1.81,1,0)</f>
        <v>0</v>
      </c>
    </row>
    <row r="1078" spans="1:23" hidden="1" x14ac:dyDescent="0.45">
      <c r="A1078" s="7">
        <v>1072</v>
      </c>
      <c r="B1078" s="5" t="s">
        <v>2156</v>
      </c>
      <c r="C1078" s="6" t="s">
        <v>2157</v>
      </c>
      <c r="D1078" s="6" t="s">
        <v>18</v>
      </c>
      <c r="E1078" s="8">
        <v>143463294133</v>
      </c>
      <c r="F1078" s="8">
        <v>100824874418</v>
      </c>
      <c r="G1078" s="8">
        <v>28060243030</v>
      </c>
      <c r="H1078" s="8">
        <v>12407421729</v>
      </c>
      <c r="I1078" s="8">
        <v>26214176682</v>
      </c>
      <c r="J1078" s="8"/>
      <c r="K1078" s="8">
        <v>28060243030</v>
      </c>
      <c r="L1078" s="8">
        <v>144774751391</v>
      </c>
      <c r="M1078" s="8"/>
      <c r="N1078" s="8"/>
      <c r="O1078" s="8"/>
      <c r="P1078" s="8"/>
      <c r="Q1078" s="18">
        <f>(Table1[[#This Row],[A. TÀI SẢN NGẮN HẠN]]-Table1[[#This Row],[I. Nợ ngắn hạn]])/Table1[[#This Row],[TỔNG CỘNG TÀI SẢN]]</f>
        <v>0.50720033878869641</v>
      </c>
      <c r="R1078" s="18">
        <f>Table1[[#This Row],[- LNST chưa phân phối kỳ này]]/Table1[[#This Row],[TỔNG CỘNG TÀI SẢN]]</f>
        <v>8.648499118873916E-2</v>
      </c>
      <c r="S1078" s="21">
        <f>Table1[[#This Row],[5. Lợi nhuận gộp về bán hàng và cung cấp dịch vụ]]/Table1[[#This Row],[TỔNG CỘNG TÀI SẢN]]</f>
        <v>0.18272392837778922</v>
      </c>
      <c r="T107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078" s="23">
        <f>Table1[[#This Row],[1. Doanh thu bán hàng và cung cấp dịch vụ ]]/Table1[[#This Row],[TỔNG CỘNG TÀI SẢN]]</f>
        <v>1.009141413250864</v>
      </c>
      <c r="V1078" s="23" t="e">
        <f>1.2*Table1[[#This Row],[X1]] + 1.4*Table1[[#This Row],[X2]] + 3.3*Table1[[#This Row],[x3]] + 0.6*Table1[[#This Row],[x4]] + 1*Table1[[#This Row],[x5]]</f>
        <v>#DIV/0!</v>
      </c>
      <c r="W1078" s="23" t="e">
        <f>IF(Table1[[#This Row],[Zscore]]&lt;1.81,1,0)</f>
        <v>#DIV/0!</v>
      </c>
    </row>
    <row r="1079" spans="1:23" hidden="1" x14ac:dyDescent="0.45">
      <c r="A1079" s="7">
        <v>1073</v>
      </c>
      <c r="B1079" s="5" t="s">
        <v>2158</v>
      </c>
      <c r="C1079" s="6" t="s">
        <v>2159</v>
      </c>
      <c r="D1079" s="6" t="s">
        <v>13</v>
      </c>
      <c r="E1079" s="6"/>
      <c r="F1079" s="6"/>
      <c r="G1079" s="6"/>
      <c r="H1079" s="6"/>
      <c r="I1079" s="6"/>
      <c r="J1079" s="8"/>
      <c r="K1079" s="6"/>
      <c r="L1079" s="6"/>
      <c r="M1079" s="8"/>
      <c r="N1079" s="8"/>
      <c r="O1079" s="8"/>
      <c r="P1079" s="8"/>
      <c r="Q1079" s="18" t="e">
        <f>(Table1[[#This Row],[A. TÀI SẢN NGẮN HẠN]]-Table1[[#This Row],[I. Nợ ngắn hạn]])/Table1[[#This Row],[TỔNG CỘNG TÀI SẢN]]</f>
        <v>#DIV/0!</v>
      </c>
      <c r="R1079" s="18" t="e">
        <f>Table1[[#This Row],[- LNST chưa phân phối kỳ này]]/Table1[[#This Row],[TỔNG CỘNG TÀI SẢN]]</f>
        <v>#DIV/0!</v>
      </c>
      <c r="S1079" s="21" t="e">
        <f>Table1[[#This Row],[5. Lợi nhuận gộp về bán hàng và cung cấp dịch vụ]]/Table1[[#This Row],[TỔNG CỘNG TÀI SẢN]]</f>
        <v>#DIV/0!</v>
      </c>
      <c r="T107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079" s="23" t="e">
        <f>Table1[[#This Row],[1. Doanh thu bán hàng và cung cấp dịch vụ ]]/Table1[[#This Row],[TỔNG CỘNG TÀI SẢN]]</f>
        <v>#DIV/0!</v>
      </c>
      <c r="V1079" s="23" t="e">
        <f>1.2*Table1[[#This Row],[X1]] + 1.4*Table1[[#This Row],[X2]] + 3.3*Table1[[#This Row],[x3]] + 0.6*Table1[[#This Row],[x4]] + 1*Table1[[#This Row],[x5]]</f>
        <v>#DIV/0!</v>
      </c>
      <c r="W1079" s="23" t="e">
        <f>IF(Table1[[#This Row],[Zscore]]&lt;1.81,1,0)</f>
        <v>#DIV/0!</v>
      </c>
    </row>
    <row r="1080" spans="1:23" x14ac:dyDescent="0.45">
      <c r="A1080" s="7">
        <v>1074</v>
      </c>
      <c r="B1080" s="5" t="s">
        <v>2160</v>
      </c>
      <c r="C1080" s="6" t="s">
        <v>2161</v>
      </c>
      <c r="D1080" s="6" t="s">
        <v>18</v>
      </c>
      <c r="E1080" s="8">
        <v>7354703232377</v>
      </c>
      <c r="F1080" s="8">
        <v>4392144438227</v>
      </c>
      <c r="G1080" s="8">
        <v>1291065661113</v>
      </c>
      <c r="H1080" s="8">
        <v>28695289407</v>
      </c>
      <c r="I1080" s="8">
        <v>547699017085</v>
      </c>
      <c r="J1080" s="8"/>
      <c r="K1080" s="8">
        <v>1295437943200</v>
      </c>
      <c r="L1080" s="8">
        <v>9730821795882</v>
      </c>
      <c r="M1080" s="8">
        <v>6400000000000</v>
      </c>
      <c r="N1080" s="8">
        <v>5450000000000</v>
      </c>
      <c r="O1080" s="8">
        <v>5900000000000</v>
      </c>
      <c r="P1080" s="8">
        <v>5750000000000</v>
      </c>
      <c r="Q1080" s="18">
        <f>(Table1[[#This Row],[A. TÀI SẢN NGẮN HẠN]]-Table1[[#This Row],[I. Nợ ngắn hạn]])/Table1[[#This Row],[TỔNG CỘNG TÀI SẢN]]</f>
        <v>0.42164567068625941</v>
      </c>
      <c r="R1080" s="18">
        <f>Table1[[#This Row],[- LNST chưa phân phối kỳ này]]/Table1[[#This Row],[TỔNG CỘNG TÀI SẢN]]</f>
        <v>3.9016243756345064E-3</v>
      </c>
      <c r="S1080" s="21">
        <f>Table1[[#This Row],[5. Lợi nhuận gộp về bán hàng và cung cấp dịch vụ]]/Table1[[#This Row],[TỔNG CỘNG TÀI SẢN]]</f>
        <v>7.4469220549091636E-2</v>
      </c>
      <c r="T108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4.5351458407089211</v>
      </c>
      <c r="U1080" s="23">
        <f>Table1[[#This Row],[1. Doanh thu bán hàng và cung cấp dịch vụ ]]/Table1[[#This Row],[TỔNG CỘNG TÀI SẢN]]</f>
        <v>1.3230747031429917</v>
      </c>
      <c r="V1080" s="23">
        <f>1.2*Table1[[#This Row],[X1]] + 1.4*Table1[[#This Row],[X2]] + 3.3*Table1[[#This Row],[x3]] + 0.6*Table1[[#This Row],[x4]] + 1*Table1[[#This Row],[x5]]</f>
        <v>4.8013477143297463</v>
      </c>
      <c r="W1080" s="23">
        <f>IF(Table1[[#This Row],[Zscore]]&lt;1.81,1,0)</f>
        <v>0</v>
      </c>
    </row>
    <row r="1081" spans="1:23" hidden="1" x14ac:dyDescent="0.45">
      <c r="A1081" s="7">
        <v>1075</v>
      </c>
      <c r="B1081" s="5" t="s">
        <v>2162</v>
      </c>
      <c r="C1081" s="6" t="s">
        <v>2163</v>
      </c>
      <c r="D1081" s="6" t="s">
        <v>13</v>
      </c>
      <c r="E1081" s="6"/>
      <c r="F1081" s="6"/>
      <c r="G1081" s="6"/>
      <c r="H1081" s="6"/>
      <c r="I1081" s="6"/>
      <c r="J1081" s="8"/>
      <c r="K1081" s="6"/>
      <c r="L1081" s="6"/>
      <c r="M1081" s="8"/>
      <c r="N1081" s="8"/>
      <c r="O1081" s="8"/>
      <c r="P1081" s="8"/>
      <c r="Q1081" s="18" t="e">
        <f>(Table1[[#This Row],[A. TÀI SẢN NGẮN HẠN]]-Table1[[#This Row],[I. Nợ ngắn hạn]])/Table1[[#This Row],[TỔNG CỘNG TÀI SẢN]]</f>
        <v>#DIV/0!</v>
      </c>
      <c r="R1081" s="18" t="e">
        <f>Table1[[#This Row],[- LNST chưa phân phối kỳ này]]/Table1[[#This Row],[TỔNG CỘNG TÀI SẢN]]</f>
        <v>#DIV/0!</v>
      </c>
      <c r="S1081" s="21" t="e">
        <f>Table1[[#This Row],[5. Lợi nhuận gộp về bán hàng và cung cấp dịch vụ]]/Table1[[#This Row],[TỔNG CỘNG TÀI SẢN]]</f>
        <v>#DIV/0!</v>
      </c>
      <c r="T108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081" s="23" t="e">
        <f>Table1[[#This Row],[1. Doanh thu bán hàng và cung cấp dịch vụ ]]/Table1[[#This Row],[TỔNG CỘNG TÀI SẢN]]</f>
        <v>#DIV/0!</v>
      </c>
      <c r="V1081" s="23" t="e">
        <f>1.2*Table1[[#This Row],[X1]] + 1.4*Table1[[#This Row],[X2]] + 3.3*Table1[[#This Row],[x3]] + 0.6*Table1[[#This Row],[x4]] + 1*Table1[[#This Row],[x5]]</f>
        <v>#DIV/0!</v>
      </c>
      <c r="W1081" s="23" t="e">
        <f>IF(Table1[[#This Row],[Zscore]]&lt;1.81,1,0)</f>
        <v>#DIV/0!</v>
      </c>
    </row>
    <row r="1082" spans="1:23" x14ac:dyDescent="0.45">
      <c r="A1082" s="7">
        <v>1076</v>
      </c>
      <c r="B1082" s="5" t="s">
        <v>2164</v>
      </c>
      <c r="C1082" s="6" t="s">
        <v>2165</v>
      </c>
      <c r="D1082" s="6" t="s">
        <v>18</v>
      </c>
      <c r="E1082" s="8">
        <v>2044358514849</v>
      </c>
      <c r="F1082" s="8">
        <v>973179382686</v>
      </c>
      <c r="G1082" s="8">
        <v>905772286950</v>
      </c>
      <c r="H1082" s="8">
        <v>102197977378</v>
      </c>
      <c r="I1082" s="8">
        <v>543090331114</v>
      </c>
      <c r="J1082" s="8"/>
      <c r="K1082" s="8">
        <v>1317233524887</v>
      </c>
      <c r="L1082" s="8">
        <v>1956591507839</v>
      </c>
      <c r="M1082" s="8">
        <v>1500000000000</v>
      </c>
      <c r="N1082" s="8">
        <v>1065000000000</v>
      </c>
      <c r="O1082" s="8">
        <v>1089000000000</v>
      </c>
      <c r="P1082" s="8">
        <v>1050000000000</v>
      </c>
      <c r="Q1082" s="18">
        <f>(Table1[[#This Row],[A. TÀI SẢN NGẮN HẠN]]-Table1[[#This Row],[I. Nợ ngắn hạn]])/Table1[[#This Row],[TỔNG CỘNG TÀI SẢN]]</f>
        <v>3.2972247894092498E-2</v>
      </c>
      <c r="R1082" s="18">
        <f>Table1[[#This Row],[- LNST chưa phân phối kỳ này]]/Table1[[#This Row],[TỔNG CỘNG TÀI SẢN]]</f>
        <v>4.9990242237697005E-2</v>
      </c>
      <c r="S1082" s="21">
        <f>Table1[[#This Row],[5. Lợi nhuận gộp về bán hàng và cung cấp dịch vụ]]/Table1[[#This Row],[TỔNG CỘNG TÀI SẢN]]</f>
        <v>0.26565317539429412</v>
      </c>
      <c r="T108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0.89278019256371732</v>
      </c>
      <c r="U1082" s="23">
        <f>Table1[[#This Row],[1. Doanh thu bán hàng và cung cấp dịch vụ ]]/Table1[[#This Row],[TỔNG CỘNG TÀI SẢN]]</f>
        <v>0.95706868126480127</v>
      </c>
      <c r="V1082" s="23">
        <f>1.2*Table1[[#This Row],[X1]] + 1.4*Table1[[#This Row],[X2]] + 3.3*Table1[[#This Row],[x3]] + 0.6*Table1[[#This Row],[x4]] + 1*Table1[[#This Row],[x5]]</f>
        <v>2.478945312209889</v>
      </c>
      <c r="W1082" s="23">
        <f>IF(Table1[[#This Row],[Zscore]]&lt;1.81,1,0)</f>
        <v>0</v>
      </c>
    </row>
    <row r="1083" spans="1:23" ht="26.25" x14ac:dyDescent="0.45">
      <c r="A1083" s="7">
        <v>1077</v>
      </c>
      <c r="B1083" s="5" t="s">
        <v>2166</v>
      </c>
      <c r="C1083" s="6" t="s">
        <v>2167</v>
      </c>
      <c r="D1083" s="6" t="s">
        <v>18</v>
      </c>
      <c r="E1083" s="8">
        <v>19882835427000</v>
      </c>
      <c r="F1083" s="8">
        <v>3066094495000</v>
      </c>
      <c r="G1083" s="8">
        <v>15746770409000</v>
      </c>
      <c r="H1083" s="8">
        <v>-979068218000</v>
      </c>
      <c r="I1083" s="8">
        <v>138685839000</v>
      </c>
      <c r="J1083" s="8"/>
      <c r="K1083" s="8">
        <v>18830217563000</v>
      </c>
      <c r="L1083" s="8">
        <v>677557864000</v>
      </c>
      <c r="M1083" s="8">
        <v>7316455707000</v>
      </c>
      <c r="N1083" s="8">
        <v>6651323370000</v>
      </c>
      <c r="O1083" s="8">
        <v>6540467980500</v>
      </c>
      <c r="P1083" s="8">
        <v>6651323370000</v>
      </c>
      <c r="Q1083" s="18">
        <f>(Table1[[#This Row],[A. TÀI SẢN NGẮN HẠN]]-Table1[[#This Row],[I. Nợ ngắn hạn]])/Table1[[#This Row],[TỔNG CỘNG TÀI SẢN]]</f>
        <v>-0.63776999817542168</v>
      </c>
      <c r="R1083" s="18">
        <f>Table1[[#This Row],[- LNST chưa phân phối kỳ này]]/Table1[[#This Row],[TỔNG CỘNG TÀI SẢN]]</f>
        <v>-4.9241881098631896E-2</v>
      </c>
      <c r="S1083" s="21">
        <f>Table1[[#This Row],[5. Lợi nhuận gộp về bán hàng và cung cấp dịch vụ]]/Table1[[#This Row],[TỔNG CỘNG TÀI SẢN]]</f>
        <v>6.9751539969832898E-3</v>
      </c>
      <c r="T108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0.36058492601894532</v>
      </c>
      <c r="U1083" s="23">
        <f>Table1[[#This Row],[1. Doanh thu bán hàng và cung cấp dịch vụ ]]/Table1[[#This Row],[TỔNG CỘNG TÀI SẢN]]</f>
        <v>3.4077527145846956E-2</v>
      </c>
      <c r="V1083" s="23">
        <f>1.2*Table1[[#This Row],[X1]] + 1.4*Table1[[#This Row],[X2]] + 3.3*Table1[[#This Row],[x3]] + 0.6*Table1[[#This Row],[x4]] + 1*Table1[[#This Row],[x5]]</f>
        <v>-0.56081614040133154</v>
      </c>
      <c r="W1083" s="23">
        <f>IF(Table1[[#This Row],[Zscore]]&lt;1.81,1,0)</f>
        <v>1</v>
      </c>
    </row>
    <row r="1084" spans="1:23" x14ac:dyDescent="0.45">
      <c r="A1084" s="7">
        <v>1078</v>
      </c>
      <c r="B1084" s="5" t="s">
        <v>2168</v>
      </c>
      <c r="C1084" s="6" t="s">
        <v>2169</v>
      </c>
      <c r="D1084" s="6" t="s">
        <v>18</v>
      </c>
      <c r="E1084" s="8">
        <v>828028754633</v>
      </c>
      <c r="F1084" s="8">
        <v>624387760545</v>
      </c>
      <c r="G1084" s="8">
        <v>300710363053</v>
      </c>
      <c r="H1084" s="8">
        <v>93735184164</v>
      </c>
      <c r="I1084" s="8">
        <v>173311868752</v>
      </c>
      <c r="J1084" s="8"/>
      <c r="K1084" s="8">
        <v>300710363053</v>
      </c>
      <c r="L1084" s="8">
        <v>980292288149</v>
      </c>
      <c r="M1084" s="8">
        <v>618251400000</v>
      </c>
      <c r="N1084" s="8">
        <v>642000600000</v>
      </c>
      <c r="O1084" s="8">
        <v>556400520000</v>
      </c>
      <c r="P1084" s="8">
        <v>615845020000</v>
      </c>
      <c r="Q1084" s="18">
        <f>(Table1[[#This Row],[A. TÀI SẢN NGẮN HẠN]]-Table1[[#This Row],[I. Nợ ngắn hạn]])/Table1[[#This Row],[TỔNG CỘNG TÀI SẢN]]</f>
        <v>0.39090115612646897</v>
      </c>
      <c r="R1084" s="18">
        <f>Table1[[#This Row],[- LNST chưa phân phối kỳ này]]/Table1[[#This Row],[TỔNG CỘNG TÀI SẢN]]</f>
        <v>0.11320281287277932</v>
      </c>
      <c r="S1084" s="21">
        <f>Table1[[#This Row],[5. Lợi nhuận gộp về bán hàng và cung cấp dịch vụ]]/Table1[[#This Row],[TỔNG CỘNG TÀI SẢN]]</f>
        <v>0.2093065823889359</v>
      </c>
      <c r="T108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2.0222927431763251</v>
      </c>
      <c r="U1084" s="23">
        <f>Table1[[#This Row],[1. Doanh thu bán hàng và cung cấp dịch vụ ]]/Table1[[#This Row],[TỔNG CỘNG TÀI SẢN]]</f>
        <v>1.1838867704340612</v>
      </c>
      <c r="V1084" s="23">
        <f>1.2*Table1[[#This Row],[X1]] + 1.4*Table1[[#This Row],[X2]] + 3.3*Table1[[#This Row],[x3]] + 0.6*Table1[[#This Row],[x4]] + 1*Table1[[#This Row],[x5]]</f>
        <v>3.7155394635969983</v>
      </c>
      <c r="W1084" s="23">
        <f>IF(Table1[[#This Row],[Zscore]]&lt;1.81,1,0)</f>
        <v>0</v>
      </c>
    </row>
    <row r="1085" spans="1:23" hidden="1" x14ac:dyDescent="0.45">
      <c r="A1085" s="7">
        <v>1079</v>
      </c>
      <c r="B1085" s="5" t="s">
        <v>2170</v>
      </c>
      <c r="C1085" s="6" t="s">
        <v>2171</v>
      </c>
      <c r="D1085" s="6" t="s">
        <v>13</v>
      </c>
      <c r="E1085" s="6"/>
      <c r="F1085" s="6"/>
      <c r="G1085" s="6"/>
      <c r="H1085" s="6"/>
      <c r="I1085" s="6"/>
      <c r="J1085" s="8"/>
      <c r="K1085" s="6"/>
      <c r="L1085" s="6"/>
      <c r="M1085" s="8"/>
      <c r="N1085" s="8"/>
      <c r="O1085" s="8"/>
      <c r="P1085" s="8"/>
      <c r="Q1085" s="18" t="e">
        <f>(Table1[[#This Row],[A. TÀI SẢN NGẮN HẠN]]-Table1[[#This Row],[I. Nợ ngắn hạn]])/Table1[[#This Row],[TỔNG CỘNG TÀI SẢN]]</f>
        <v>#DIV/0!</v>
      </c>
      <c r="R1085" s="18" t="e">
        <f>Table1[[#This Row],[- LNST chưa phân phối kỳ này]]/Table1[[#This Row],[TỔNG CỘNG TÀI SẢN]]</f>
        <v>#DIV/0!</v>
      </c>
      <c r="S1085" s="21" t="e">
        <f>Table1[[#This Row],[5. Lợi nhuận gộp về bán hàng và cung cấp dịch vụ]]/Table1[[#This Row],[TỔNG CỘNG TÀI SẢN]]</f>
        <v>#DIV/0!</v>
      </c>
      <c r="T108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085" s="23" t="e">
        <f>Table1[[#This Row],[1. Doanh thu bán hàng và cung cấp dịch vụ ]]/Table1[[#This Row],[TỔNG CỘNG TÀI SẢN]]</f>
        <v>#DIV/0!</v>
      </c>
      <c r="V1085" s="23" t="e">
        <f>1.2*Table1[[#This Row],[X1]] + 1.4*Table1[[#This Row],[X2]] + 3.3*Table1[[#This Row],[x3]] + 0.6*Table1[[#This Row],[x4]] + 1*Table1[[#This Row],[x5]]</f>
        <v>#DIV/0!</v>
      </c>
      <c r="W1085" s="23" t="e">
        <f>IF(Table1[[#This Row],[Zscore]]&lt;1.81,1,0)</f>
        <v>#DIV/0!</v>
      </c>
    </row>
    <row r="1086" spans="1:23" x14ac:dyDescent="0.45">
      <c r="A1086" s="7">
        <v>1080</v>
      </c>
      <c r="B1086" s="5" t="s">
        <v>2172</v>
      </c>
      <c r="C1086" s="6" t="s">
        <v>2173</v>
      </c>
      <c r="D1086" s="6" t="s">
        <v>18</v>
      </c>
      <c r="E1086" s="8">
        <v>900462350852</v>
      </c>
      <c r="F1086" s="8">
        <v>555919317319</v>
      </c>
      <c r="G1086" s="8">
        <v>313092425052</v>
      </c>
      <c r="H1086" s="8">
        <v>17509046290</v>
      </c>
      <c r="I1086" s="8">
        <v>119598470934</v>
      </c>
      <c r="J1086" s="8"/>
      <c r="K1086" s="8">
        <v>428260511841</v>
      </c>
      <c r="L1086" s="8">
        <v>743831198584</v>
      </c>
      <c r="M1086" s="8">
        <v>395160000000</v>
      </c>
      <c r="N1086" s="8">
        <v>355200000000</v>
      </c>
      <c r="O1086" s="8">
        <v>408480000000</v>
      </c>
      <c r="P1086" s="8">
        <v>372960000000</v>
      </c>
      <c r="Q1086" s="18">
        <f>(Table1[[#This Row],[A. TÀI SẢN NGẮN HẠN]]-Table1[[#This Row],[I. Nợ ngắn hạn]])/Table1[[#This Row],[TỔNG CỘNG TÀI SẢN]]</f>
        <v>0.2696691227981291</v>
      </c>
      <c r="R1086" s="18">
        <f>Table1[[#This Row],[- LNST chưa phân phối kỳ này]]/Table1[[#This Row],[TỔNG CỘNG TÀI SẢN]]</f>
        <v>1.9444506784135149E-2</v>
      </c>
      <c r="S1086" s="21">
        <f>Table1[[#This Row],[5. Lợi nhuận gộp về bán hàng và cung cấp dịch vụ]]/Table1[[#This Row],[TỔNG CỘNG TÀI SẢN]]</f>
        <v>0.13281895775080241</v>
      </c>
      <c r="T108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0.89419871646297755</v>
      </c>
      <c r="U1086" s="23">
        <f>Table1[[#This Row],[1. Doanh thu bán hàng và cung cấp dịch vụ ]]/Table1[[#This Row],[TỔNG CỘNG TÀI SẢN]]</f>
        <v>0.82605474607594798</v>
      </c>
      <c r="V1086" s="23">
        <f>1.2*Table1[[#This Row],[X1]] + 1.4*Table1[[#This Row],[X2]] + 3.3*Table1[[#This Row],[x3]] + 0.6*Table1[[#This Row],[x4]] + 1*Table1[[#This Row],[x5]]</f>
        <v>2.1517017933869269</v>
      </c>
      <c r="W1086" s="23">
        <f>IF(Table1[[#This Row],[Zscore]]&lt;1.81,1,0)</f>
        <v>0</v>
      </c>
    </row>
    <row r="1087" spans="1:23" hidden="1" x14ac:dyDescent="0.45">
      <c r="A1087" s="7">
        <v>1081</v>
      </c>
      <c r="B1087" s="5" t="s">
        <v>2174</v>
      </c>
      <c r="C1087" s="6" t="s">
        <v>2175</v>
      </c>
      <c r="D1087" s="6" t="s">
        <v>18</v>
      </c>
      <c r="E1087" s="8">
        <v>178217338024</v>
      </c>
      <c r="F1087" s="8">
        <v>124966076953</v>
      </c>
      <c r="G1087" s="8">
        <v>44306946773</v>
      </c>
      <c r="H1087" s="8">
        <v>6690859621</v>
      </c>
      <c r="I1087" s="8">
        <v>53834303542</v>
      </c>
      <c r="J1087" s="8"/>
      <c r="K1087" s="8">
        <v>44306946773</v>
      </c>
      <c r="L1087" s="8">
        <v>339873881959</v>
      </c>
      <c r="M1087" s="8"/>
      <c r="N1087" s="8"/>
      <c r="O1087" s="8"/>
      <c r="P1087" s="8"/>
      <c r="Q1087" s="18">
        <f>(Table1[[#This Row],[A. TÀI SẢN NGẮN HẠN]]-Table1[[#This Row],[I. Nợ ngắn hạn]])/Table1[[#This Row],[TỔNG CỘNG TÀI SẢN]]</f>
        <v>0.45258857008142428</v>
      </c>
      <c r="R1087" s="18">
        <f>Table1[[#This Row],[- LNST chưa phân phối kỳ này]]/Table1[[#This Row],[TỔNG CỘNG TÀI SẢN]]</f>
        <v>3.7543258670483352E-2</v>
      </c>
      <c r="S1087" s="21">
        <f>Table1[[#This Row],[5. Lợi nhuận gộp về bán hàng và cung cấp dịch vụ]]/Table1[[#This Row],[TỔNG CỘNG TÀI SẢN]]</f>
        <v>0.30207107871149042</v>
      </c>
      <c r="T108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087" s="23">
        <f>Table1[[#This Row],[1. Doanh thu bán hàng và cung cấp dịch vụ ]]/Table1[[#This Row],[TỔNG CỘNG TÀI SẢN]]</f>
        <v>1.9070752920416205</v>
      </c>
      <c r="V1087" s="23" t="e">
        <f>1.2*Table1[[#This Row],[X1]] + 1.4*Table1[[#This Row],[X2]] + 3.3*Table1[[#This Row],[x3]] + 0.6*Table1[[#This Row],[x4]] + 1*Table1[[#This Row],[x5]]</f>
        <v>#DIV/0!</v>
      </c>
      <c r="W1087" s="23" t="e">
        <f>IF(Table1[[#This Row],[Zscore]]&lt;1.81,1,0)</f>
        <v>#DIV/0!</v>
      </c>
    </row>
    <row r="1088" spans="1:23" ht="26.25" x14ac:dyDescent="0.45">
      <c r="A1088" s="7">
        <v>1082</v>
      </c>
      <c r="B1088" s="5" t="s">
        <v>2176</v>
      </c>
      <c r="C1088" s="6" t="s">
        <v>2177</v>
      </c>
      <c r="D1088" s="6" t="s">
        <v>18</v>
      </c>
      <c r="E1088" s="8">
        <v>365234182718</v>
      </c>
      <c r="F1088" s="8">
        <v>287609599773</v>
      </c>
      <c r="G1088" s="8">
        <v>22975038808</v>
      </c>
      <c r="H1088" s="8">
        <v>-5348870400</v>
      </c>
      <c r="I1088" s="8">
        <v>41699749459</v>
      </c>
      <c r="J1088" s="8"/>
      <c r="K1088" s="8">
        <v>23215038808</v>
      </c>
      <c r="L1088" s="8">
        <v>131329664477</v>
      </c>
      <c r="M1088" s="8">
        <v>240000000000</v>
      </c>
      <c r="N1088" s="8">
        <v>240000000000</v>
      </c>
      <c r="O1088" s="8">
        <v>240000000000</v>
      </c>
      <c r="P1088" s="8">
        <v>240000000000</v>
      </c>
      <c r="Q1088" s="18">
        <f>(Table1[[#This Row],[A. TÀI SẢN NGẮN HẠN]]-Table1[[#This Row],[I. Nợ ngắn hạn]])/Table1[[#This Row],[TỔNG CỘNG TÀI SẢN]]</f>
        <v>0.72456131842765192</v>
      </c>
      <c r="R1088" s="18">
        <f>Table1[[#This Row],[- LNST chưa phân phối kỳ này]]/Table1[[#This Row],[TỔNG CỘNG TÀI SẢN]]</f>
        <v>-1.4645043243747812E-2</v>
      </c>
      <c r="S1088" s="21">
        <f>Table1[[#This Row],[5. Lợi nhuận gộp về bán hàng và cung cấp dịch vụ]]/Table1[[#This Row],[TỔNG CỘNG TÀI SẢN]]</f>
        <v>0.11417263616641458</v>
      </c>
      <c r="T108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10.338126159724316</v>
      </c>
      <c r="U1088" s="23">
        <f>Table1[[#This Row],[1. Doanh thu bán hàng và cung cấp dịch vụ ]]/Table1[[#This Row],[TỔNG CỘNG TÀI SẢN]]</f>
        <v>0.35957659685539511</v>
      </c>
      <c r="V1088" s="23">
        <f>1.2*Table1[[#This Row],[X1]] + 1.4*Table1[[#This Row],[X2]] + 3.3*Table1[[#This Row],[x3]] + 0.6*Table1[[#This Row],[x4]] + 1*Table1[[#This Row],[x5]]</f>
        <v>7.7881925136110883</v>
      </c>
      <c r="W1088" s="23">
        <f>IF(Table1[[#This Row],[Zscore]]&lt;1.81,1,0)</f>
        <v>0</v>
      </c>
    </row>
    <row r="1089" spans="1:23" hidden="1" x14ac:dyDescent="0.45">
      <c r="A1089" s="7">
        <v>1083</v>
      </c>
      <c r="B1089" s="5" t="s">
        <v>2178</v>
      </c>
      <c r="C1089" s="6" t="s">
        <v>2179</v>
      </c>
      <c r="D1089" s="6" t="s">
        <v>13</v>
      </c>
      <c r="E1089" s="6"/>
      <c r="F1089" s="6"/>
      <c r="G1089" s="6"/>
      <c r="H1089" s="6"/>
      <c r="I1089" s="6"/>
      <c r="J1089" s="8"/>
      <c r="K1089" s="6"/>
      <c r="L1089" s="6"/>
      <c r="M1089" s="8"/>
      <c r="N1089" s="8"/>
      <c r="O1089" s="8"/>
      <c r="P1089" s="8"/>
      <c r="Q1089" s="18" t="e">
        <f>(Table1[[#This Row],[A. TÀI SẢN NGẮN HẠN]]-Table1[[#This Row],[I. Nợ ngắn hạn]])/Table1[[#This Row],[TỔNG CỘNG TÀI SẢN]]</f>
        <v>#DIV/0!</v>
      </c>
      <c r="R1089" s="18" t="e">
        <f>Table1[[#This Row],[- LNST chưa phân phối kỳ này]]/Table1[[#This Row],[TỔNG CỘNG TÀI SẢN]]</f>
        <v>#DIV/0!</v>
      </c>
      <c r="S1089" s="21" t="e">
        <f>Table1[[#This Row],[5. Lợi nhuận gộp về bán hàng và cung cấp dịch vụ]]/Table1[[#This Row],[TỔNG CỘNG TÀI SẢN]]</f>
        <v>#DIV/0!</v>
      </c>
      <c r="T108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089" s="23" t="e">
        <f>Table1[[#This Row],[1. Doanh thu bán hàng và cung cấp dịch vụ ]]/Table1[[#This Row],[TỔNG CỘNG TÀI SẢN]]</f>
        <v>#DIV/0!</v>
      </c>
      <c r="V1089" s="23" t="e">
        <f>1.2*Table1[[#This Row],[X1]] + 1.4*Table1[[#This Row],[X2]] + 3.3*Table1[[#This Row],[x3]] + 0.6*Table1[[#This Row],[x4]] + 1*Table1[[#This Row],[x5]]</f>
        <v>#DIV/0!</v>
      </c>
      <c r="W1089" s="23" t="e">
        <f>IF(Table1[[#This Row],[Zscore]]&lt;1.81,1,0)</f>
        <v>#DIV/0!</v>
      </c>
    </row>
    <row r="1090" spans="1:23" hidden="1" x14ac:dyDescent="0.45">
      <c r="A1090" s="7">
        <v>1084</v>
      </c>
      <c r="B1090" s="5" t="s">
        <v>2180</v>
      </c>
      <c r="C1090" s="6" t="s">
        <v>2181</v>
      </c>
      <c r="D1090" s="6" t="s">
        <v>13</v>
      </c>
      <c r="E1090" s="6"/>
      <c r="F1090" s="6"/>
      <c r="G1090" s="6"/>
      <c r="H1090" s="6"/>
      <c r="I1090" s="6"/>
      <c r="J1090" s="8"/>
      <c r="K1090" s="6"/>
      <c r="L1090" s="6"/>
      <c r="M1090" s="8"/>
      <c r="N1090" s="8"/>
      <c r="O1090" s="8"/>
      <c r="P1090" s="8"/>
      <c r="Q1090" s="18" t="e">
        <f>(Table1[[#This Row],[A. TÀI SẢN NGẮN HẠN]]-Table1[[#This Row],[I. Nợ ngắn hạn]])/Table1[[#This Row],[TỔNG CỘNG TÀI SẢN]]</f>
        <v>#DIV/0!</v>
      </c>
      <c r="R1090" s="18" t="e">
        <f>Table1[[#This Row],[- LNST chưa phân phối kỳ này]]/Table1[[#This Row],[TỔNG CỘNG TÀI SẢN]]</f>
        <v>#DIV/0!</v>
      </c>
      <c r="S1090" s="21" t="e">
        <f>Table1[[#This Row],[5. Lợi nhuận gộp về bán hàng và cung cấp dịch vụ]]/Table1[[#This Row],[TỔNG CỘNG TÀI SẢN]]</f>
        <v>#DIV/0!</v>
      </c>
      <c r="T109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090" s="23" t="e">
        <f>Table1[[#This Row],[1. Doanh thu bán hàng và cung cấp dịch vụ ]]/Table1[[#This Row],[TỔNG CỘNG TÀI SẢN]]</f>
        <v>#DIV/0!</v>
      </c>
      <c r="V1090" s="23" t="e">
        <f>1.2*Table1[[#This Row],[X1]] + 1.4*Table1[[#This Row],[X2]] + 3.3*Table1[[#This Row],[x3]] + 0.6*Table1[[#This Row],[x4]] + 1*Table1[[#This Row],[x5]]</f>
        <v>#DIV/0!</v>
      </c>
      <c r="W1090" s="23" t="e">
        <f>IF(Table1[[#This Row],[Zscore]]&lt;1.81,1,0)</f>
        <v>#DIV/0!</v>
      </c>
    </row>
    <row r="1091" spans="1:23" hidden="1" x14ac:dyDescent="0.45">
      <c r="A1091" s="7">
        <v>1085</v>
      </c>
      <c r="B1091" s="5" t="s">
        <v>2182</v>
      </c>
      <c r="C1091" s="6" t="s">
        <v>2183</v>
      </c>
      <c r="D1091" s="6" t="s">
        <v>13</v>
      </c>
      <c r="E1091" s="6"/>
      <c r="F1091" s="6"/>
      <c r="G1091" s="6"/>
      <c r="H1091" s="6"/>
      <c r="I1091" s="6"/>
      <c r="J1091" s="8"/>
      <c r="K1091" s="6"/>
      <c r="L1091" s="6"/>
      <c r="M1091" s="8"/>
      <c r="N1091" s="8"/>
      <c r="O1091" s="8"/>
      <c r="P1091" s="8"/>
      <c r="Q1091" s="18" t="e">
        <f>(Table1[[#This Row],[A. TÀI SẢN NGẮN HẠN]]-Table1[[#This Row],[I. Nợ ngắn hạn]])/Table1[[#This Row],[TỔNG CỘNG TÀI SẢN]]</f>
        <v>#DIV/0!</v>
      </c>
      <c r="R1091" s="18" t="e">
        <f>Table1[[#This Row],[- LNST chưa phân phối kỳ này]]/Table1[[#This Row],[TỔNG CỘNG TÀI SẢN]]</f>
        <v>#DIV/0!</v>
      </c>
      <c r="S1091" s="21" t="e">
        <f>Table1[[#This Row],[5. Lợi nhuận gộp về bán hàng và cung cấp dịch vụ]]/Table1[[#This Row],[TỔNG CỘNG TÀI SẢN]]</f>
        <v>#DIV/0!</v>
      </c>
      <c r="T109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091" s="23" t="e">
        <f>Table1[[#This Row],[1. Doanh thu bán hàng và cung cấp dịch vụ ]]/Table1[[#This Row],[TỔNG CỘNG TÀI SẢN]]</f>
        <v>#DIV/0!</v>
      </c>
      <c r="V1091" s="23" t="e">
        <f>1.2*Table1[[#This Row],[X1]] + 1.4*Table1[[#This Row],[X2]] + 3.3*Table1[[#This Row],[x3]] + 0.6*Table1[[#This Row],[x4]] + 1*Table1[[#This Row],[x5]]</f>
        <v>#DIV/0!</v>
      </c>
      <c r="W1091" s="23" t="e">
        <f>IF(Table1[[#This Row],[Zscore]]&lt;1.81,1,0)</f>
        <v>#DIV/0!</v>
      </c>
    </row>
    <row r="1092" spans="1:23" ht="26.25" hidden="1" x14ac:dyDescent="0.45">
      <c r="A1092" s="7">
        <v>1086</v>
      </c>
      <c r="B1092" s="5" t="s">
        <v>2184</v>
      </c>
      <c r="C1092" s="6" t="s">
        <v>2185</v>
      </c>
      <c r="D1092" s="6" t="s">
        <v>13</v>
      </c>
      <c r="E1092" s="6"/>
      <c r="F1092" s="6"/>
      <c r="G1092" s="6"/>
      <c r="H1092" s="6"/>
      <c r="I1092" s="6"/>
      <c r="J1092" s="8"/>
      <c r="K1092" s="6"/>
      <c r="L1092" s="6"/>
      <c r="M1092" s="8"/>
      <c r="N1092" s="8"/>
      <c r="O1092" s="8"/>
      <c r="P1092" s="8"/>
      <c r="Q1092" s="18" t="e">
        <f>(Table1[[#This Row],[A. TÀI SẢN NGẮN HẠN]]-Table1[[#This Row],[I. Nợ ngắn hạn]])/Table1[[#This Row],[TỔNG CỘNG TÀI SẢN]]</f>
        <v>#DIV/0!</v>
      </c>
      <c r="R1092" s="18" t="e">
        <f>Table1[[#This Row],[- LNST chưa phân phối kỳ này]]/Table1[[#This Row],[TỔNG CỘNG TÀI SẢN]]</f>
        <v>#DIV/0!</v>
      </c>
      <c r="S1092" s="21" t="e">
        <f>Table1[[#This Row],[5. Lợi nhuận gộp về bán hàng và cung cấp dịch vụ]]/Table1[[#This Row],[TỔNG CỘNG TÀI SẢN]]</f>
        <v>#DIV/0!</v>
      </c>
      <c r="T109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092" s="23" t="e">
        <f>Table1[[#This Row],[1. Doanh thu bán hàng và cung cấp dịch vụ ]]/Table1[[#This Row],[TỔNG CỘNG TÀI SẢN]]</f>
        <v>#DIV/0!</v>
      </c>
      <c r="V1092" s="23" t="e">
        <f>1.2*Table1[[#This Row],[X1]] + 1.4*Table1[[#This Row],[X2]] + 3.3*Table1[[#This Row],[x3]] + 0.6*Table1[[#This Row],[x4]] + 1*Table1[[#This Row],[x5]]</f>
        <v>#DIV/0!</v>
      </c>
      <c r="W1092" s="23" t="e">
        <f>IF(Table1[[#This Row],[Zscore]]&lt;1.81,1,0)</f>
        <v>#DIV/0!</v>
      </c>
    </row>
    <row r="1093" spans="1:23" hidden="1" x14ac:dyDescent="0.45">
      <c r="A1093" s="7">
        <v>1087</v>
      </c>
      <c r="B1093" s="5" t="s">
        <v>2186</v>
      </c>
      <c r="C1093" s="6" t="s">
        <v>2187</v>
      </c>
      <c r="D1093" s="6" t="s">
        <v>13</v>
      </c>
      <c r="E1093" s="6"/>
      <c r="F1093" s="6"/>
      <c r="G1093" s="6"/>
      <c r="H1093" s="6"/>
      <c r="I1093" s="6"/>
      <c r="J1093" s="8"/>
      <c r="K1093" s="6"/>
      <c r="L1093" s="6"/>
      <c r="M1093" s="8"/>
      <c r="N1093" s="8"/>
      <c r="O1093" s="8"/>
      <c r="P1093" s="8"/>
      <c r="Q1093" s="18" t="e">
        <f>(Table1[[#This Row],[A. TÀI SẢN NGẮN HẠN]]-Table1[[#This Row],[I. Nợ ngắn hạn]])/Table1[[#This Row],[TỔNG CỘNG TÀI SẢN]]</f>
        <v>#DIV/0!</v>
      </c>
      <c r="R1093" s="18" t="e">
        <f>Table1[[#This Row],[- LNST chưa phân phối kỳ này]]/Table1[[#This Row],[TỔNG CỘNG TÀI SẢN]]</f>
        <v>#DIV/0!</v>
      </c>
      <c r="S1093" s="21" t="e">
        <f>Table1[[#This Row],[5. Lợi nhuận gộp về bán hàng và cung cấp dịch vụ]]/Table1[[#This Row],[TỔNG CỘNG TÀI SẢN]]</f>
        <v>#DIV/0!</v>
      </c>
      <c r="T109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093" s="23" t="e">
        <f>Table1[[#This Row],[1. Doanh thu bán hàng và cung cấp dịch vụ ]]/Table1[[#This Row],[TỔNG CỘNG TÀI SẢN]]</f>
        <v>#DIV/0!</v>
      </c>
      <c r="V1093" s="23" t="e">
        <f>1.2*Table1[[#This Row],[X1]] + 1.4*Table1[[#This Row],[X2]] + 3.3*Table1[[#This Row],[x3]] + 0.6*Table1[[#This Row],[x4]] + 1*Table1[[#This Row],[x5]]</f>
        <v>#DIV/0!</v>
      </c>
      <c r="W1093" s="23" t="e">
        <f>IF(Table1[[#This Row],[Zscore]]&lt;1.81,1,0)</f>
        <v>#DIV/0!</v>
      </c>
    </row>
    <row r="1094" spans="1:23" ht="26.25" hidden="1" x14ac:dyDescent="0.45">
      <c r="A1094" s="7">
        <v>1088</v>
      </c>
      <c r="B1094" s="5" t="s">
        <v>2188</v>
      </c>
      <c r="C1094" s="6" t="s">
        <v>2189</v>
      </c>
      <c r="D1094" s="6" t="s">
        <v>13</v>
      </c>
      <c r="E1094" s="6"/>
      <c r="F1094" s="6"/>
      <c r="G1094" s="6"/>
      <c r="H1094" s="6"/>
      <c r="I1094" s="6"/>
      <c r="J1094" s="8"/>
      <c r="K1094" s="6"/>
      <c r="L1094" s="6"/>
      <c r="M1094" s="8"/>
      <c r="N1094" s="8"/>
      <c r="O1094" s="8"/>
      <c r="P1094" s="8"/>
      <c r="Q1094" s="18" t="e">
        <f>(Table1[[#This Row],[A. TÀI SẢN NGẮN HẠN]]-Table1[[#This Row],[I. Nợ ngắn hạn]])/Table1[[#This Row],[TỔNG CỘNG TÀI SẢN]]</f>
        <v>#DIV/0!</v>
      </c>
      <c r="R1094" s="18" t="e">
        <f>Table1[[#This Row],[- LNST chưa phân phối kỳ này]]/Table1[[#This Row],[TỔNG CỘNG TÀI SẢN]]</f>
        <v>#DIV/0!</v>
      </c>
      <c r="S1094" s="21" t="e">
        <f>Table1[[#This Row],[5. Lợi nhuận gộp về bán hàng và cung cấp dịch vụ]]/Table1[[#This Row],[TỔNG CỘNG TÀI SẢN]]</f>
        <v>#DIV/0!</v>
      </c>
      <c r="T109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094" s="23" t="e">
        <f>Table1[[#This Row],[1. Doanh thu bán hàng và cung cấp dịch vụ ]]/Table1[[#This Row],[TỔNG CỘNG TÀI SẢN]]</f>
        <v>#DIV/0!</v>
      </c>
      <c r="V1094" s="23" t="e">
        <f>1.2*Table1[[#This Row],[X1]] + 1.4*Table1[[#This Row],[X2]] + 3.3*Table1[[#This Row],[x3]] + 0.6*Table1[[#This Row],[x4]] + 1*Table1[[#This Row],[x5]]</f>
        <v>#DIV/0!</v>
      </c>
      <c r="W1094" s="23" t="e">
        <f>IF(Table1[[#This Row],[Zscore]]&lt;1.81,1,0)</f>
        <v>#DIV/0!</v>
      </c>
    </row>
    <row r="1095" spans="1:23" hidden="1" x14ac:dyDescent="0.45">
      <c r="A1095" s="7">
        <v>1089</v>
      </c>
      <c r="B1095" s="5" t="s">
        <v>2190</v>
      </c>
      <c r="C1095" s="6" t="s">
        <v>2191</v>
      </c>
      <c r="D1095" s="6" t="s">
        <v>13</v>
      </c>
      <c r="E1095" s="6"/>
      <c r="F1095" s="6"/>
      <c r="G1095" s="6"/>
      <c r="H1095" s="6"/>
      <c r="I1095" s="6"/>
      <c r="J1095" s="8"/>
      <c r="K1095" s="6"/>
      <c r="L1095" s="6"/>
      <c r="M1095" s="8"/>
      <c r="N1095" s="8"/>
      <c r="O1095" s="8"/>
      <c r="P1095" s="8"/>
      <c r="Q1095" s="18" t="e">
        <f>(Table1[[#This Row],[A. TÀI SẢN NGẮN HẠN]]-Table1[[#This Row],[I. Nợ ngắn hạn]])/Table1[[#This Row],[TỔNG CỘNG TÀI SẢN]]</f>
        <v>#DIV/0!</v>
      </c>
      <c r="R1095" s="18" t="e">
        <f>Table1[[#This Row],[- LNST chưa phân phối kỳ này]]/Table1[[#This Row],[TỔNG CỘNG TÀI SẢN]]</f>
        <v>#DIV/0!</v>
      </c>
      <c r="S1095" s="21" t="e">
        <f>Table1[[#This Row],[5. Lợi nhuận gộp về bán hàng và cung cấp dịch vụ]]/Table1[[#This Row],[TỔNG CỘNG TÀI SẢN]]</f>
        <v>#DIV/0!</v>
      </c>
      <c r="T109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095" s="23" t="e">
        <f>Table1[[#This Row],[1. Doanh thu bán hàng và cung cấp dịch vụ ]]/Table1[[#This Row],[TỔNG CỘNG TÀI SẢN]]</f>
        <v>#DIV/0!</v>
      </c>
      <c r="V1095" s="23" t="e">
        <f>1.2*Table1[[#This Row],[X1]] + 1.4*Table1[[#This Row],[X2]] + 3.3*Table1[[#This Row],[x3]] + 0.6*Table1[[#This Row],[x4]] + 1*Table1[[#This Row],[x5]]</f>
        <v>#DIV/0!</v>
      </c>
      <c r="W1095" s="23" t="e">
        <f>IF(Table1[[#This Row],[Zscore]]&lt;1.81,1,0)</f>
        <v>#DIV/0!</v>
      </c>
    </row>
    <row r="1096" spans="1:23" hidden="1" x14ac:dyDescent="0.45">
      <c r="A1096" s="7">
        <v>1090</v>
      </c>
      <c r="B1096" s="5" t="s">
        <v>2192</v>
      </c>
      <c r="C1096" s="6" t="s">
        <v>2193</v>
      </c>
      <c r="D1096" s="6" t="s">
        <v>13</v>
      </c>
      <c r="E1096" s="6"/>
      <c r="F1096" s="6"/>
      <c r="G1096" s="6"/>
      <c r="H1096" s="6"/>
      <c r="I1096" s="6"/>
      <c r="J1096" s="8"/>
      <c r="K1096" s="6"/>
      <c r="L1096" s="6"/>
      <c r="M1096" s="8"/>
      <c r="N1096" s="8"/>
      <c r="O1096" s="8"/>
      <c r="P1096" s="8"/>
      <c r="Q1096" s="18" t="e">
        <f>(Table1[[#This Row],[A. TÀI SẢN NGẮN HẠN]]-Table1[[#This Row],[I. Nợ ngắn hạn]])/Table1[[#This Row],[TỔNG CỘNG TÀI SẢN]]</f>
        <v>#DIV/0!</v>
      </c>
      <c r="R1096" s="18" t="e">
        <f>Table1[[#This Row],[- LNST chưa phân phối kỳ này]]/Table1[[#This Row],[TỔNG CỘNG TÀI SẢN]]</f>
        <v>#DIV/0!</v>
      </c>
      <c r="S1096" s="21" t="e">
        <f>Table1[[#This Row],[5. Lợi nhuận gộp về bán hàng và cung cấp dịch vụ]]/Table1[[#This Row],[TỔNG CỘNG TÀI SẢN]]</f>
        <v>#DIV/0!</v>
      </c>
      <c r="T109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096" s="23" t="e">
        <f>Table1[[#This Row],[1. Doanh thu bán hàng và cung cấp dịch vụ ]]/Table1[[#This Row],[TỔNG CỘNG TÀI SẢN]]</f>
        <v>#DIV/0!</v>
      </c>
      <c r="V1096" s="23" t="e">
        <f>1.2*Table1[[#This Row],[X1]] + 1.4*Table1[[#This Row],[X2]] + 3.3*Table1[[#This Row],[x3]] + 0.6*Table1[[#This Row],[x4]] + 1*Table1[[#This Row],[x5]]</f>
        <v>#DIV/0!</v>
      </c>
      <c r="W1096" s="23" t="e">
        <f>IF(Table1[[#This Row],[Zscore]]&lt;1.81,1,0)</f>
        <v>#DIV/0!</v>
      </c>
    </row>
    <row r="1097" spans="1:23" hidden="1" x14ac:dyDescent="0.45">
      <c r="A1097" s="7">
        <v>1091</v>
      </c>
      <c r="B1097" s="5" t="s">
        <v>2194</v>
      </c>
      <c r="C1097" s="6" t="s">
        <v>2195</v>
      </c>
      <c r="D1097" s="6" t="s">
        <v>13</v>
      </c>
      <c r="E1097" s="6"/>
      <c r="F1097" s="6"/>
      <c r="G1097" s="6"/>
      <c r="H1097" s="6"/>
      <c r="I1097" s="6"/>
      <c r="J1097" s="8"/>
      <c r="K1097" s="6"/>
      <c r="L1097" s="6"/>
      <c r="M1097" s="8"/>
      <c r="N1097" s="8"/>
      <c r="O1097" s="8"/>
      <c r="P1097" s="8"/>
      <c r="Q1097" s="18" t="e">
        <f>(Table1[[#This Row],[A. TÀI SẢN NGẮN HẠN]]-Table1[[#This Row],[I. Nợ ngắn hạn]])/Table1[[#This Row],[TỔNG CỘNG TÀI SẢN]]</f>
        <v>#DIV/0!</v>
      </c>
      <c r="R1097" s="18" t="e">
        <f>Table1[[#This Row],[- LNST chưa phân phối kỳ này]]/Table1[[#This Row],[TỔNG CỘNG TÀI SẢN]]</f>
        <v>#DIV/0!</v>
      </c>
      <c r="S1097" s="21" t="e">
        <f>Table1[[#This Row],[5. Lợi nhuận gộp về bán hàng và cung cấp dịch vụ]]/Table1[[#This Row],[TỔNG CỘNG TÀI SẢN]]</f>
        <v>#DIV/0!</v>
      </c>
      <c r="T109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097" s="23" t="e">
        <f>Table1[[#This Row],[1. Doanh thu bán hàng và cung cấp dịch vụ ]]/Table1[[#This Row],[TỔNG CỘNG TÀI SẢN]]</f>
        <v>#DIV/0!</v>
      </c>
      <c r="V1097" s="23" t="e">
        <f>1.2*Table1[[#This Row],[X1]] + 1.4*Table1[[#This Row],[X2]] + 3.3*Table1[[#This Row],[x3]] + 0.6*Table1[[#This Row],[x4]] + 1*Table1[[#This Row],[x5]]</f>
        <v>#DIV/0!</v>
      </c>
      <c r="W1097" s="23" t="e">
        <f>IF(Table1[[#This Row],[Zscore]]&lt;1.81,1,0)</f>
        <v>#DIV/0!</v>
      </c>
    </row>
    <row r="1098" spans="1:23" hidden="1" x14ac:dyDescent="0.45">
      <c r="A1098" s="7">
        <v>1092</v>
      </c>
      <c r="B1098" s="5" t="s">
        <v>2196</v>
      </c>
      <c r="C1098" s="6" t="s">
        <v>2197</v>
      </c>
      <c r="D1098" s="6" t="s">
        <v>13</v>
      </c>
      <c r="E1098" s="6"/>
      <c r="F1098" s="6"/>
      <c r="G1098" s="6"/>
      <c r="H1098" s="6"/>
      <c r="I1098" s="6"/>
      <c r="J1098" s="8"/>
      <c r="K1098" s="6"/>
      <c r="L1098" s="6"/>
      <c r="M1098" s="8"/>
      <c r="N1098" s="8"/>
      <c r="O1098" s="8"/>
      <c r="P1098" s="8"/>
      <c r="Q1098" s="18" t="e">
        <f>(Table1[[#This Row],[A. TÀI SẢN NGẮN HẠN]]-Table1[[#This Row],[I. Nợ ngắn hạn]])/Table1[[#This Row],[TỔNG CỘNG TÀI SẢN]]</f>
        <v>#DIV/0!</v>
      </c>
      <c r="R1098" s="18" t="e">
        <f>Table1[[#This Row],[- LNST chưa phân phối kỳ này]]/Table1[[#This Row],[TỔNG CỘNG TÀI SẢN]]</f>
        <v>#DIV/0!</v>
      </c>
      <c r="S1098" s="21" t="e">
        <f>Table1[[#This Row],[5. Lợi nhuận gộp về bán hàng và cung cấp dịch vụ]]/Table1[[#This Row],[TỔNG CỘNG TÀI SẢN]]</f>
        <v>#DIV/0!</v>
      </c>
      <c r="T109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098" s="23" t="e">
        <f>Table1[[#This Row],[1. Doanh thu bán hàng và cung cấp dịch vụ ]]/Table1[[#This Row],[TỔNG CỘNG TÀI SẢN]]</f>
        <v>#DIV/0!</v>
      </c>
      <c r="V1098" s="23" t="e">
        <f>1.2*Table1[[#This Row],[X1]] + 1.4*Table1[[#This Row],[X2]] + 3.3*Table1[[#This Row],[x3]] + 0.6*Table1[[#This Row],[x4]] + 1*Table1[[#This Row],[x5]]</f>
        <v>#DIV/0!</v>
      </c>
      <c r="W1098" s="23" t="e">
        <f>IF(Table1[[#This Row],[Zscore]]&lt;1.81,1,0)</f>
        <v>#DIV/0!</v>
      </c>
    </row>
    <row r="1099" spans="1:23" x14ac:dyDescent="0.45">
      <c r="A1099" s="7">
        <v>1093</v>
      </c>
      <c r="B1099" s="5" t="s">
        <v>2198</v>
      </c>
      <c r="C1099" s="6" t="s">
        <v>2199</v>
      </c>
      <c r="D1099" s="6" t="s">
        <v>36</v>
      </c>
      <c r="E1099" s="8">
        <v>1415932608952</v>
      </c>
      <c r="F1099" s="8">
        <v>493432605433</v>
      </c>
      <c r="G1099" s="8">
        <v>466220378176</v>
      </c>
      <c r="H1099" s="8">
        <v>23320270851</v>
      </c>
      <c r="I1099" s="8">
        <v>278043297659</v>
      </c>
      <c r="J1099" s="8"/>
      <c r="K1099" s="8">
        <v>533399453616</v>
      </c>
      <c r="L1099" s="8">
        <v>1808422146708</v>
      </c>
      <c r="M1099" s="8">
        <v>280791150900</v>
      </c>
      <c r="N1099" s="8">
        <v>359988655000</v>
      </c>
      <c r="O1099" s="8">
        <v>295190697100</v>
      </c>
      <c r="P1099" s="8">
        <v>338389335700</v>
      </c>
      <c r="Q1099" s="18">
        <f>(Table1[[#This Row],[A. TÀI SẢN NGẮN HẠN]]-Table1[[#This Row],[I. Nợ ngắn hạn]])/Table1[[#This Row],[TỔNG CỘNG TÀI SẢN]]</f>
        <v>1.921858927815857E-2</v>
      </c>
      <c r="R1099" s="18">
        <f>Table1[[#This Row],[- LNST chưa phân phối kỳ này]]/Table1[[#This Row],[TỔNG CỘNG TÀI SẢN]]</f>
        <v>1.6469901677213621E-2</v>
      </c>
      <c r="S1099" s="21">
        <f>Table1[[#This Row],[5. Lợi nhuận gộp về bán hàng và cung cấp dịch vụ]]/Table1[[#This Row],[TỔNG CỘNG TÀI SẢN]]</f>
        <v>0.19636760669336745</v>
      </c>
      <c r="T109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0.59728212602249187</v>
      </c>
      <c r="U1099" s="23">
        <f>Table1[[#This Row],[1. Doanh thu bán hàng và cung cấp dịch vụ ]]/Table1[[#This Row],[TỔNG CỘNG TÀI SẢN]]</f>
        <v>1.2771950693659782</v>
      </c>
      <c r="V1099" s="23">
        <f>1.2*Table1[[#This Row],[X1]] + 1.4*Table1[[#This Row],[X2]] + 3.3*Table1[[#This Row],[x3]] + 0.6*Table1[[#This Row],[x4]] + 1*Table1[[#This Row],[x5]]</f>
        <v>2.3296976165494749</v>
      </c>
      <c r="W1099" s="23">
        <f>IF(Table1[[#This Row],[Zscore]]&lt;1.81,1,0)</f>
        <v>0</v>
      </c>
    </row>
    <row r="1100" spans="1:23" hidden="1" x14ac:dyDescent="0.45">
      <c r="A1100" s="7">
        <v>1094</v>
      </c>
      <c r="B1100" s="5" t="s">
        <v>2200</v>
      </c>
      <c r="C1100" s="6" t="s">
        <v>2201</v>
      </c>
      <c r="D1100" s="6" t="s">
        <v>13</v>
      </c>
      <c r="E1100" s="6"/>
      <c r="F1100" s="6"/>
      <c r="G1100" s="6"/>
      <c r="H1100" s="6"/>
      <c r="I1100" s="6"/>
      <c r="J1100" s="8"/>
      <c r="K1100" s="6"/>
      <c r="L1100" s="6"/>
      <c r="M1100" s="8"/>
      <c r="N1100" s="8"/>
      <c r="O1100" s="8"/>
      <c r="P1100" s="8"/>
      <c r="Q1100" s="18" t="e">
        <f>(Table1[[#This Row],[A. TÀI SẢN NGẮN HẠN]]-Table1[[#This Row],[I. Nợ ngắn hạn]])/Table1[[#This Row],[TỔNG CỘNG TÀI SẢN]]</f>
        <v>#DIV/0!</v>
      </c>
      <c r="R1100" s="18" t="e">
        <f>Table1[[#This Row],[- LNST chưa phân phối kỳ này]]/Table1[[#This Row],[TỔNG CỘNG TÀI SẢN]]</f>
        <v>#DIV/0!</v>
      </c>
      <c r="S1100" s="21" t="e">
        <f>Table1[[#This Row],[5. Lợi nhuận gộp về bán hàng và cung cấp dịch vụ]]/Table1[[#This Row],[TỔNG CỘNG TÀI SẢN]]</f>
        <v>#DIV/0!</v>
      </c>
      <c r="T110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100" s="23" t="e">
        <f>Table1[[#This Row],[1. Doanh thu bán hàng và cung cấp dịch vụ ]]/Table1[[#This Row],[TỔNG CỘNG TÀI SẢN]]</f>
        <v>#DIV/0!</v>
      </c>
      <c r="V1100" s="23" t="e">
        <f>1.2*Table1[[#This Row],[X1]] + 1.4*Table1[[#This Row],[X2]] + 3.3*Table1[[#This Row],[x3]] + 0.6*Table1[[#This Row],[x4]] + 1*Table1[[#This Row],[x5]]</f>
        <v>#DIV/0!</v>
      </c>
      <c r="W1100" s="23" t="e">
        <f>IF(Table1[[#This Row],[Zscore]]&lt;1.81,1,0)</f>
        <v>#DIV/0!</v>
      </c>
    </row>
    <row r="1101" spans="1:23" ht="26.25" hidden="1" x14ac:dyDescent="0.45">
      <c r="A1101" s="7">
        <v>1095</v>
      </c>
      <c r="B1101" s="5" t="s">
        <v>2202</v>
      </c>
      <c r="C1101" s="6" t="s">
        <v>2203</v>
      </c>
      <c r="D1101" s="6" t="s">
        <v>13</v>
      </c>
      <c r="E1101" s="6"/>
      <c r="F1101" s="6"/>
      <c r="G1101" s="6"/>
      <c r="H1101" s="6"/>
      <c r="I1101" s="6"/>
      <c r="J1101" s="8"/>
      <c r="K1101" s="6"/>
      <c r="L1101" s="6"/>
      <c r="M1101" s="8"/>
      <c r="N1101" s="8"/>
      <c r="O1101" s="8"/>
      <c r="P1101" s="8"/>
      <c r="Q1101" s="18" t="e">
        <f>(Table1[[#This Row],[A. TÀI SẢN NGẮN HẠN]]-Table1[[#This Row],[I. Nợ ngắn hạn]])/Table1[[#This Row],[TỔNG CỘNG TÀI SẢN]]</f>
        <v>#DIV/0!</v>
      </c>
      <c r="R1101" s="18" t="e">
        <f>Table1[[#This Row],[- LNST chưa phân phối kỳ này]]/Table1[[#This Row],[TỔNG CỘNG TÀI SẢN]]</f>
        <v>#DIV/0!</v>
      </c>
      <c r="S1101" s="21" t="e">
        <f>Table1[[#This Row],[5. Lợi nhuận gộp về bán hàng và cung cấp dịch vụ]]/Table1[[#This Row],[TỔNG CỘNG TÀI SẢN]]</f>
        <v>#DIV/0!</v>
      </c>
      <c r="T110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101" s="23" t="e">
        <f>Table1[[#This Row],[1. Doanh thu bán hàng và cung cấp dịch vụ ]]/Table1[[#This Row],[TỔNG CỘNG TÀI SẢN]]</f>
        <v>#DIV/0!</v>
      </c>
      <c r="V1101" s="23" t="e">
        <f>1.2*Table1[[#This Row],[X1]] + 1.4*Table1[[#This Row],[X2]] + 3.3*Table1[[#This Row],[x3]] + 0.6*Table1[[#This Row],[x4]] + 1*Table1[[#This Row],[x5]]</f>
        <v>#DIV/0!</v>
      </c>
      <c r="W1101" s="23" t="e">
        <f>IF(Table1[[#This Row],[Zscore]]&lt;1.81,1,0)</f>
        <v>#DIV/0!</v>
      </c>
    </row>
    <row r="1102" spans="1:23" hidden="1" x14ac:dyDescent="0.45">
      <c r="A1102" s="7">
        <v>1096</v>
      </c>
      <c r="B1102" s="5" t="s">
        <v>2204</v>
      </c>
      <c r="C1102" s="6" t="s">
        <v>2205</v>
      </c>
      <c r="D1102" s="6" t="s">
        <v>13</v>
      </c>
      <c r="E1102" s="6"/>
      <c r="F1102" s="6"/>
      <c r="G1102" s="6"/>
      <c r="H1102" s="6"/>
      <c r="I1102" s="6"/>
      <c r="J1102" s="8"/>
      <c r="K1102" s="6"/>
      <c r="L1102" s="6"/>
      <c r="M1102" s="8"/>
      <c r="N1102" s="8"/>
      <c r="O1102" s="8"/>
      <c r="P1102" s="8"/>
      <c r="Q1102" s="18" t="e">
        <f>(Table1[[#This Row],[A. TÀI SẢN NGẮN HẠN]]-Table1[[#This Row],[I. Nợ ngắn hạn]])/Table1[[#This Row],[TỔNG CỘNG TÀI SẢN]]</f>
        <v>#DIV/0!</v>
      </c>
      <c r="R1102" s="18" t="e">
        <f>Table1[[#This Row],[- LNST chưa phân phối kỳ này]]/Table1[[#This Row],[TỔNG CỘNG TÀI SẢN]]</f>
        <v>#DIV/0!</v>
      </c>
      <c r="S1102" s="21" t="e">
        <f>Table1[[#This Row],[5. Lợi nhuận gộp về bán hàng và cung cấp dịch vụ]]/Table1[[#This Row],[TỔNG CỘNG TÀI SẢN]]</f>
        <v>#DIV/0!</v>
      </c>
      <c r="T110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102" s="23" t="e">
        <f>Table1[[#This Row],[1. Doanh thu bán hàng và cung cấp dịch vụ ]]/Table1[[#This Row],[TỔNG CỘNG TÀI SẢN]]</f>
        <v>#DIV/0!</v>
      </c>
      <c r="V1102" s="23" t="e">
        <f>1.2*Table1[[#This Row],[X1]] + 1.4*Table1[[#This Row],[X2]] + 3.3*Table1[[#This Row],[x3]] + 0.6*Table1[[#This Row],[x4]] + 1*Table1[[#This Row],[x5]]</f>
        <v>#DIV/0!</v>
      </c>
      <c r="W1102" s="23" t="e">
        <f>IF(Table1[[#This Row],[Zscore]]&lt;1.81,1,0)</f>
        <v>#DIV/0!</v>
      </c>
    </row>
    <row r="1103" spans="1:23" hidden="1" x14ac:dyDescent="0.45">
      <c r="A1103" s="7">
        <v>1097</v>
      </c>
      <c r="B1103" s="5" t="s">
        <v>2206</v>
      </c>
      <c r="C1103" s="6" t="s">
        <v>2207</v>
      </c>
      <c r="D1103" s="6" t="s">
        <v>13</v>
      </c>
      <c r="E1103" s="6"/>
      <c r="F1103" s="6"/>
      <c r="G1103" s="6"/>
      <c r="H1103" s="6"/>
      <c r="I1103" s="6"/>
      <c r="J1103" s="8"/>
      <c r="K1103" s="6"/>
      <c r="L1103" s="6"/>
      <c r="M1103" s="8"/>
      <c r="N1103" s="8"/>
      <c r="O1103" s="8"/>
      <c r="P1103" s="8"/>
      <c r="Q1103" s="18" t="e">
        <f>(Table1[[#This Row],[A. TÀI SẢN NGẮN HẠN]]-Table1[[#This Row],[I. Nợ ngắn hạn]])/Table1[[#This Row],[TỔNG CỘNG TÀI SẢN]]</f>
        <v>#DIV/0!</v>
      </c>
      <c r="R1103" s="18" t="e">
        <f>Table1[[#This Row],[- LNST chưa phân phối kỳ này]]/Table1[[#This Row],[TỔNG CỘNG TÀI SẢN]]</f>
        <v>#DIV/0!</v>
      </c>
      <c r="S1103" s="21" t="e">
        <f>Table1[[#This Row],[5. Lợi nhuận gộp về bán hàng và cung cấp dịch vụ]]/Table1[[#This Row],[TỔNG CỘNG TÀI SẢN]]</f>
        <v>#DIV/0!</v>
      </c>
      <c r="T110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103" s="23" t="e">
        <f>Table1[[#This Row],[1. Doanh thu bán hàng và cung cấp dịch vụ ]]/Table1[[#This Row],[TỔNG CỘNG TÀI SẢN]]</f>
        <v>#DIV/0!</v>
      </c>
      <c r="V1103" s="23" t="e">
        <f>1.2*Table1[[#This Row],[X1]] + 1.4*Table1[[#This Row],[X2]] + 3.3*Table1[[#This Row],[x3]] + 0.6*Table1[[#This Row],[x4]] + 1*Table1[[#This Row],[x5]]</f>
        <v>#DIV/0!</v>
      </c>
      <c r="W1103" s="23" t="e">
        <f>IF(Table1[[#This Row],[Zscore]]&lt;1.81,1,0)</f>
        <v>#DIV/0!</v>
      </c>
    </row>
    <row r="1104" spans="1:23" hidden="1" x14ac:dyDescent="0.45">
      <c r="A1104" s="7">
        <v>1098</v>
      </c>
      <c r="B1104" s="5" t="s">
        <v>2208</v>
      </c>
      <c r="C1104" s="6" t="s">
        <v>2209</v>
      </c>
      <c r="D1104" s="6" t="s">
        <v>13</v>
      </c>
      <c r="E1104" s="6"/>
      <c r="F1104" s="6"/>
      <c r="G1104" s="6"/>
      <c r="H1104" s="6"/>
      <c r="I1104" s="6"/>
      <c r="J1104" s="8"/>
      <c r="K1104" s="6"/>
      <c r="L1104" s="6"/>
      <c r="M1104" s="8"/>
      <c r="N1104" s="8"/>
      <c r="O1104" s="8"/>
      <c r="P1104" s="8"/>
      <c r="Q1104" s="18" t="e">
        <f>(Table1[[#This Row],[A. TÀI SẢN NGẮN HẠN]]-Table1[[#This Row],[I. Nợ ngắn hạn]])/Table1[[#This Row],[TỔNG CỘNG TÀI SẢN]]</f>
        <v>#DIV/0!</v>
      </c>
      <c r="R1104" s="18" t="e">
        <f>Table1[[#This Row],[- LNST chưa phân phối kỳ này]]/Table1[[#This Row],[TỔNG CỘNG TÀI SẢN]]</f>
        <v>#DIV/0!</v>
      </c>
      <c r="S1104" s="21" t="e">
        <f>Table1[[#This Row],[5. Lợi nhuận gộp về bán hàng và cung cấp dịch vụ]]/Table1[[#This Row],[TỔNG CỘNG TÀI SẢN]]</f>
        <v>#DIV/0!</v>
      </c>
      <c r="T110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104" s="23" t="e">
        <f>Table1[[#This Row],[1. Doanh thu bán hàng và cung cấp dịch vụ ]]/Table1[[#This Row],[TỔNG CỘNG TÀI SẢN]]</f>
        <v>#DIV/0!</v>
      </c>
      <c r="V1104" s="23" t="e">
        <f>1.2*Table1[[#This Row],[X1]] + 1.4*Table1[[#This Row],[X2]] + 3.3*Table1[[#This Row],[x3]] + 0.6*Table1[[#This Row],[x4]] + 1*Table1[[#This Row],[x5]]</f>
        <v>#DIV/0!</v>
      </c>
      <c r="W1104" s="23" t="e">
        <f>IF(Table1[[#This Row],[Zscore]]&lt;1.81,1,0)</f>
        <v>#DIV/0!</v>
      </c>
    </row>
    <row r="1105" spans="1:23" hidden="1" x14ac:dyDescent="0.45">
      <c r="A1105" s="7">
        <v>1099</v>
      </c>
      <c r="B1105" s="5" t="s">
        <v>2210</v>
      </c>
      <c r="C1105" s="6" t="s">
        <v>2211</v>
      </c>
      <c r="D1105" s="6" t="s">
        <v>13</v>
      </c>
      <c r="E1105" s="6"/>
      <c r="F1105" s="6"/>
      <c r="G1105" s="6"/>
      <c r="H1105" s="6"/>
      <c r="I1105" s="6"/>
      <c r="J1105" s="8"/>
      <c r="K1105" s="6"/>
      <c r="L1105" s="6"/>
      <c r="M1105" s="8"/>
      <c r="N1105" s="8"/>
      <c r="O1105" s="8"/>
      <c r="P1105" s="8"/>
      <c r="Q1105" s="18" t="e">
        <f>(Table1[[#This Row],[A. TÀI SẢN NGẮN HẠN]]-Table1[[#This Row],[I. Nợ ngắn hạn]])/Table1[[#This Row],[TỔNG CỘNG TÀI SẢN]]</f>
        <v>#DIV/0!</v>
      </c>
      <c r="R1105" s="18" t="e">
        <f>Table1[[#This Row],[- LNST chưa phân phối kỳ này]]/Table1[[#This Row],[TỔNG CỘNG TÀI SẢN]]</f>
        <v>#DIV/0!</v>
      </c>
      <c r="S1105" s="21" t="e">
        <f>Table1[[#This Row],[5. Lợi nhuận gộp về bán hàng và cung cấp dịch vụ]]/Table1[[#This Row],[TỔNG CỘNG TÀI SẢN]]</f>
        <v>#DIV/0!</v>
      </c>
      <c r="T110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105" s="23" t="e">
        <f>Table1[[#This Row],[1. Doanh thu bán hàng và cung cấp dịch vụ ]]/Table1[[#This Row],[TỔNG CỘNG TÀI SẢN]]</f>
        <v>#DIV/0!</v>
      </c>
      <c r="V1105" s="23" t="e">
        <f>1.2*Table1[[#This Row],[X1]] + 1.4*Table1[[#This Row],[X2]] + 3.3*Table1[[#This Row],[x3]] + 0.6*Table1[[#This Row],[x4]] + 1*Table1[[#This Row],[x5]]</f>
        <v>#DIV/0!</v>
      </c>
      <c r="W1105" s="23" t="e">
        <f>IF(Table1[[#This Row],[Zscore]]&lt;1.81,1,0)</f>
        <v>#DIV/0!</v>
      </c>
    </row>
    <row r="1106" spans="1:23" hidden="1" x14ac:dyDescent="0.45">
      <c r="A1106" s="7">
        <v>1100</v>
      </c>
      <c r="B1106" s="5" t="s">
        <v>2212</v>
      </c>
      <c r="C1106" s="6" t="s">
        <v>2213</v>
      </c>
      <c r="D1106" s="6" t="s">
        <v>18</v>
      </c>
      <c r="E1106" s="6"/>
      <c r="F1106" s="6"/>
      <c r="G1106" s="6"/>
      <c r="H1106" s="6"/>
      <c r="I1106" s="6"/>
      <c r="J1106" s="8"/>
      <c r="K1106" s="6"/>
      <c r="L1106" s="6"/>
      <c r="M1106" s="8">
        <v>155998771500</v>
      </c>
      <c r="N1106" s="8"/>
      <c r="O1106" s="8">
        <v>155198777800</v>
      </c>
      <c r="P1106" s="8">
        <v>143198872300</v>
      </c>
      <c r="Q1106" s="18" t="e">
        <f>(Table1[[#This Row],[A. TÀI SẢN NGẮN HẠN]]-Table1[[#This Row],[I. Nợ ngắn hạn]])/Table1[[#This Row],[TỔNG CỘNG TÀI SẢN]]</f>
        <v>#DIV/0!</v>
      </c>
      <c r="R1106" s="18" t="e">
        <f>Table1[[#This Row],[- LNST chưa phân phối kỳ này]]/Table1[[#This Row],[TỔNG CỘNG TÀI SẢN]]</f>
        <v>#DIV/0!</v>
      </c>
      <c r="S1106" s="21" t="e">
        <f>Table1[[#This Row],[5. Lợi nhuận gộp về bán hàng và cung cấp dịch vụ]]/Table1[[#This Row],[TỔNG CỘNG TÀI SẢN]]</f>
        <v>#DIV/0!</v>
      </c>
      <c r="T110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106" s="23" t="e">
        <f>Table1[[#This Row],[1. Doanh thu bán hàng và cung cấp dịch vụ ]]/Table1[[#This Row],[TỔNG CỘNG TÀI SẢN]]</f>
        <v>#DIV/0!</v>
      </c>
      <c r="V1106" s="23" t="e">
        <f>1.2*Table1[[#This Row],[X1]] + 1.4*Table1[[#This Row],[X2]] + 3.3*Table1[[#This Row],[x3]] + 0.6*Table1[[#This Row],[x4]] + 1*Table1[[#This Row],[x5]]</f>
        <v>#DIV/0!</v>
      </c>
      <c r="W1106" s="23" t="e">
        <f>IF(Table1[[#This Row],[Zscore]]&lt;1.81,1,0)</f>
        <v>#DIV/0!</v>
      </c>
    </row>
    <row r="1107" spans="1:23" ht="26.25" hidden="1" x14ac:dyDescent="0.45">
      <c r="A1107" s="7">
        <v>1101</v>
      </c>
      <c r="B1107" s="5" t="s">
        <v>2214</v>
      </c>
      <c r="C1107" s="6" t="s">
        <v>2215</v>
      </c>
      <c r="D1107" s="6" t="s">
        <v>21</v>
      </c>
      <c r="E1107" s="8">
        <v>4700316112784</v>
      </c>
      <c r="F1107" s="8">
        <v>2665368715810</v>
      </c>
      <c r="G1107" s="8">
        <v>1501137396613</v>
      </c>
      <c r="H1107" s="8">
        <v>301886798172</v>
      </c>
      <c r="I1107" s="8">
        <v>2131138970392</v>
      </c>
      <c r="J1107" s="8"/>
      <c r="K1107" s="8">
        <v>1520244500381</v>
      </c>
      <c r="L1107" s="8">
        <v>8326182949311</v>
      </c>
      <c r="M1107" s="8"/>
      <c r="N1107" s="8"/>
      <c r="O1107" s="8"/>
      <c r="P1107" s="8"/>
      <c r="Q1107" s="18">
        <f>(Table1[[#This Row],[A. TÀI SẢN NGẮN HẠN]]-Table1[[#This Row],[I. Nợ ngắn hạn]])/Table1[[#This Row],[TỔNG CỘNG TÀI SẢN]]</f>
        <v>0.24769213203139759</v>
      </c>
      <c r="R1107" s="18">
        <f>Table1[[#This Row],[- LNST chưa phân phối kỳ này]]/Table1[[#This Row],[TỔNG CỘNG TÀI SẢN]]</f>
        <v>6.4226913877329039E-2</v>
      </c>
      <c r="S1107" s="21">
        <f>Table1[[#This Row],[5. Lợi nhuận gộp về bán hàng và cung cấp dịch vụ]]/Table1[[#This Row],[TỔNG CỘNG TÀI SẢN]]</f>
        <v>0.45340332846884318</v>
      </c>
      <c r="T110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107" s="23">
        <f>Table1[[#This Row],[1. Doanh thu bán hàng và cung cấp dịch vụ ]]/Table1[[#This Row],[TỔNG CỘNG TÀI SẢN]]</f>
        <v>1.7714091455817844</v>
      </c>
      <c r="V1107" s="23" t="e">
        <f>1.2*Table1[[#This Row],[X1]] + 1.4*Table1[[#This Row],[X2]] + 3.3*Table1[[#This Row],[x3]] + 0.6*Table1[[#This Row],[x4]] + 1*Table1[[#This Row],[x5]]</f>
        <v>#DIV/0!</v>
      </c>
      <c r="W1107" s="23" t="e">
        <f>IF(Table1[[#This Row],[Zscore]]&lt;1.81,1,0)</f>
        <v>#DIV/0!</v>
      </c>
    </row>
    <row r="1108" spans="1:23" hidden="1" x14ac:dyDescent="0.45">
      <c r="A1108" s="7">
        <v>1102</v>
      </c>
      <c r="B1108" s="5" t="s">
        <v>2216</v>
      </c>
      <c r="C1108" s="6" t="s">
        <v>2217</v>
      </c>
      <c r="D1108" s="6" t="s">
        <v>18</v>
      </c>
      <c r="E1108" s="6"/>
      <c r="F1108" s="6"/>
      <c r="G1108" s="6"/>
      <c r="H1108" s="6"/>
      <c r="I1108" s="6"/>
      <c r="J1108" s="8"/>
      <c r="K1108" s="6"/>
      <c r="L1108" s="6"/>
      <c r="M1108" s="8"/>
      <c r="N1108" s="8"/>
      <c r="O1108" s="8"/>
      <c r="P1108" s="8"/>
      <c r="Q1108" s="18" t="e">
        <f>(Table1[[#This Row],[A. TÀI SẢN NGẮN HẠN]]-Table1[[#This Row],[I. Nợ ngắn hạn]])/Table1[[#This Row],[TỔNG CỘNG TÀI SẢN]]</f>
        <v>#DIV/0!</v>
      </c>
      <c r="R1108" s="18" t="e">
        <f>Table1[[#This Row],[- LNST chưa phân phối kỳ này]]/Table1[[#This Row],[TỔNG CỘNG TÀI SẢN]]</f>
        <v>#DIV/0!</v>
      </c>
      <c r="S1108" s="21" t="e">
        <f>Table1[[#This Row],[5. Lợi nhuận gộp về bán hàng và cung cấp dịch vụ]]/Table1[[#This Row],[TỔNG CỘNG TÀI SẢN]]</f>
        <v>#DIV/0!</v>
      </c>
      <c r="T110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108" s="23" t="e">
        <f>Table1[[#This Row],[1. Doanh thu bán hàng và cung cấp dịch vụ ]]/Table1[[#This Row],[TỔNG CỘNG TÀI SẢN]]</f>
        <v>#DIV/0!</v>
      </c>
      <c r="V1108" s="23" t="e">
        <f>1.2*Table1[[#This Row],[X1]] + 1.4*Table1[[#This Row],[X2]] + 3.3*Table1[[#This Row],[x3]] + 0.6*Table1[[#This Row],[x4]] + 1*Table1[[#This Row],[x5]]</f>
        <v>#DIV/0!</v>
      </c>
      <c r="W1108" s="23" t="e">
        <f>IF(Table1[[#This Row],[Zscore]]&lt;1.81,1,0)</f>
        <v>#DIV/0!</v>
      </c>
    </row>
    <row r="1109" spans="1:23" x14ac:dyDescent="0.45">
      <c r="A1109" s="7">
        <v>1103</v>
      </c>
      <c r="B1109" s="5" t="s">
        <v>2218</v>
      </c>
      <c r="C1109" s="6" t="s">
        <v>2219</v>
      </c>
      <c r="D1109" s="6" t="s">
        <v>18</v>
      </c>
      <c r="E1109" s="8">
        <v>168028799011</v>
      </c>
      <c r="F1109" s="8">
        <v>32211890899</v>
      </c>
      <c r="G1109" s="8">
        <v>27385576071</v>
      </c>
      <c r="H1109" s="8">
        <v>24922735658</v>
      </c>
      <c r="I1109" s="8">
        <v>31573311814</v>
      </c>
      <c r="J1109" s="8"/>
      <c r="K1109" s="8">
        <v>27385576071</v>
      </c>
      <c r="L1109" s="8">
        <v>51561979709</v>
      </c>
      <c r="M1109" s="8">
        <v>166131800000</v>
      </c>
      <c r="N1109" s="8">
        <v>141212030000</v>
      </c>
      <c r="O1109" s="8"/>
      <c r="P1109" s="8">
        <v>144534666000</v>
      </c>
      <c r="Q1109" s="18">
        <f>(Table1[[#This Row],[A. TÀI SẢN NGẮN HẠN]]-Table1[[#This Row],[I. Nợ ngắn hạn]])/Table1[[#This Row],[TỔNG CỘNG TÀI SẢN]]</f>
        <v>2.8723140654502002E-2</v>
      </c>
      <c r="R1109" s="18">
        <f>Table1[[#This Row],[- LNST chưa phân phối kỳ này]]/Table1[[#This Row],[TỔNG CỘNG TÀI SẢN]]</f>
        <v>0.14832419088092413</v>
      </c>
      <c r="S1109" s="21">
        <f>Table1[[#This Row],[5. Lợi nhuận gộp về bán hàng và cung cấp dịch vụ]]/Table1[[#This Row],[TỔNG CỘNG TÀI SẢN]]</f>
        <v>0.18790416880818778</v>
      </c>
      <c r="T110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5.5002007240168727</v>
      </c>
      <c r="U1109" s="23">
        <f>Table1[[#This Row],[1. Doanh thu bán hàng và cung cấp dịch vụ ]]/Table1[[#This Row],[TỔNG CỘNG TÀI SẢN]]</f>
        <v>0.3068639424461071</v>
      </c>
      <c r="V1109" s="23">
        <f>1.2*Table1[[#This Row],[X1]] + 1.4*Table1[[#This Row],[X2]] + 3.3*Table1[[#This Row],[x3]] + 0.6*Table1[[#This Row],[x4]] + 1*Table1[[#This Row],[x5]]</f>
        <v>4.4691897699419467</v>
      </c>
      <c r="W1109" s="23">
        <f>IF(Table1[[#This Row],[Zscore]]&lt;1.81,1,0)</f>
        <v>0</v>
      </c>
    </row>
    <row r="1110" spans="1:23" hidden="1" x14ac:dyDescent="0.45">
      <c r="A1110" s="7">
        <v>1104</v>
      </c>
      <c r="B1110" s="5" t="s">
        <v>2220</v>
      </c>
      <c r="C1110" s="6" t="s">
        <v>2221</v>
      </c>
      <c r="D1110" s="6" t="s">
        <v>13</v>
      </c>
      <c r="E1110" s="6"/>
      <c r="F1110" s="6"/>
      <c r="G1110" s="6"/>
      <c r="H1110" s="6"/>
      <c r="I1110" s="6"/>
      <c r="J1110" s="8"/>
      <c r="K1110" s="6"/>
      <c r="L1110" s="6"/>
      <c r="M1110" s="8"/>
      <c r="N1110" s="8"/>
      <c r="O1110" s="8"/>
      <c r="P1110" s="8"/>
      <c r="Q1110" s="18" t="e">
        <f>(Table1[[#This Row],[A. TÀI SẢN NGẮN HẠN]]-Table1[[#This Row],[I. Nợ ngắn hạn]])/Table1[[#This Row],[TỔNG CỘNG TÀI SẢN]]</f>
        <v>#DIV/0!</v>
      </c>
      <c r="R1110" s="18" t="e">
        <f>Table1[[#This Row],[- LNST chưa phân phối kỳ này]]/Table1[[#This Row],[TỔNG CỘNG TÀI SẢN]]</f>
        <v>#DIV/0!</v>
      </c>
      <c r="S1110" s="21" t="e">
        <f>Table1[[#This Row],[5. Lợi nhuận gộp về bán hàng và cung cấp dịch vụ]]/Table1[[#This Row],[TỔNG CỘNG TÀI SẢN]]</f>
        <v>#DIV/0!</v>
      </c>
      <c r="T111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110" s="23" t="e">
        <f>Table1[[#This Row],[1. Doanh thu bán hàng và cung cấp dịch vụ ]]/Table1[[#This Row],[TỔNG CỘNG TÀI SẢN]]</f>
        <v>#DIV/0!</v>
      </c>
      <c r="V1110" s="23" t="e">
        <f>1.2*Table1[[#This Row],[X1]] + 1.4*Table1[[#This Row],[X2]] + 3.3*Table1[[#This Row],[x3]] + 0.6*Table1[[#This Row],[x4]] + 1*Table1[[#This Row],[x5]]</f>
        <v>#DIV/0!</v>
      </c>
      <c r="W1110" s="23" t="e">
        <f>IF(Table1[[#This Row],[Zscore]]&lt;1.81,1,0)</f>
        <v>#DIV/0!</v>
      </c>
    </row>
    <row r="1111" spans="1:23" x14ac:dyDescent="0.45">
      <c r="A1111" s="7">
        <v>1105</v>
      </c>
      <c r="B1111" s="5" t="s">
        <v>2222</v>
      </c>
      <c r="C1111" s="6" t="s">
        <v>2223</v>
      </c>
      <c r="D1111" s="6" t="s">
        <v>21</v>
      </c>
      <c r="E1111" s="8">
        <v>257921581413150</v>
      </c>
      <c r="F1111" s="8">
        <v>103682043127964</v>
      </c>
      <c r="G1111" s="8">
        <v>94208648920111</v>
      </c>
      <c r="H1111" s="8">
        <v>3860994446656</v>
      </c>
      <c r="I1111" s="8">
        <v>24497788183182</v>
      </c>
      <c r="J1111" s="8"/>
      <c r="K1111" s="8">
        <v>126701570536575</v>
      </c>
      <c r="L1111" s="8">
        <v>158332317934212</v>
      </c>
      <c r="M1111" s="8">
        <v>171099692850000</v>
      </c>
      <c r="N1111" s="8">
        <v>202632298572000</v>
      </c>
      <c r="O1111" s="8">
        <v>145194879540000</v>
      </c>
      <c r="P1111" s="8">
        <v>216064363818250</v>
      </c>
      <c r="Q1111" s="18">
        <f>(Table1[[#This Row],[A. TÀI SẢN NGẮN HẠN]]-Table1[[#This Row],[I. Nợ ngắn hạn]])/Table1[[#This Row],[TỔNG CỘNG TÀI SẢN]]</f>
        <v>3.6729746134264371E-2</v>
      </c>
      <c r="R1111" s="18">
        <f>Table1[[#This Row],[- LNST chưa phân phối kỳ này]]/Table1[[#This Row],[TỔNG CỘNG TÀI SẢN]]</f>
        <v>1.4969644748227916E-2</v>
      </c>
      <c r="S1111" s="21">
        <f>Table1[[#This Row],[5. Lợi nhuận gộp về bán hàng và cung cấp dịch vụ]]/Table1[[#This Row],[TỔNG CỘNG TÀI SẢN]]</f>
        <v>9.4981536825878787E-2</v>
      </c>
      <c r="T111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1.4502409711016166</v>
      </c>
      <c r="U1111" s="23">
        <f>Table1[[#This Row],[1. Doanh thu bán hàng và cung cấp dịch vụ ]]/Table1[[#This Row],[TỔNG CỘNG TÀI SẢN]]</f>
        <v>0.61387774170238363</v>
      </c>
      <c r="V1111" s="23">
        <f>1.2*Table1[[#This Row],[X1]] + 1.4*Table1[[#This Row],[X2]] + 3.3*Table1[[#This Row],[x3]] + 0.6*Table1[[#This Row],[x4]] + 1*Table1[[#This Row],[x5]]</f>
        <v>1.8624945938973898</v>
      </c>
      <c r="W1111" s="23">
        <f>IF(Table1[[#This Row],[Zscore]]&lt;1.81,1,0)</f>
        <v>0</v>
      </c>
    </row>
    <row r="1112" spans="1:23" hidden="1" x14ac:dyDescent="0.45">
      <c r="A1112" s="7">
        <v>1106</v>
      </c>
      <c r="B1112" s="5" t="s">
        <v>2224</v>
      </c>
      <c r="C1112" s="6" t="s">
        <v>2225</v>
      </c>
      <c r="D1112" s="6" t="s">
        <v>13</v>
      </c>
      <c r="E1112" s="6"/>
      <c r="F1112" s="6"/>
      <c r="G1112" s="6"/>
      <c r="H1112" s="6"/>
      <c r="I1112" s="6"/>
      <c r="J1112" s="8"/>
      <c r="K1112" s="6"/>
      <c r="L1112" s="6"/>
      <c r="M1112" s="8"/>
      <c r="N1112" s="8"/>
      <c r="O1112" s="8"/>
      <c r="P1112" s="8"/>
      <c r="Q1112" s="18" t="e">
        <f>(Table1[[#This Row],[A. TÀI SẢN NGẮN HẠN]]-Table1[[#This Row],[I. Nợ ngắn hạn]])/Table1[[#This Row],[TỔNG CỘNG TÀI SẢN]]</f>
        <v>#DIV/0!</v>
      </c>
      <c r="R1112" s="18" t="e">
        <f>Table1[[#This Row],[- LNST chưa phân phối kỳ này]]/Table1[[#This Row],[TỔNG CỘNG TÀI SẢN]]</f>
        <v>#DIV/0!</v>
      </c>
      <c r="S1112" s="21" t="e">
        <f>Table1[[#This Row],[5. Lợi nhuận gộp về bán hàng và cung cấp dịch vụ]]/Table1[[#This Row],[TỔNG CỘNG TÀI SẢN]]</f>
        <v>#DIV/0!</v>
      </c>
      <c r="T111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112" s="23" t="e">
        <f>Table1[[#This Row],[1. Doanh thu bán hàng và cung cấp dịch vụ ]]/Table1[[#This Row],[TỔNG CỘNG TÀI SẢN]]</f>
        <v>#DIV/0!</v>
      </c>
      <c r="V1112" s="23" t="e">
        <f>1.2*Table1[[#This Row],[X1]] + 1.4*Table1[[#This Row],[X2]] + 3.3*Table1[[#This Row],[x3]] + 0.6*Table1[[#This Row],[x4]] + 1*Table1[[#This Row],[x5]]</f>
        <v>#DIV/0!</v>
      </c>
      <c r="W1112" s="23" t="e">
        <f>IF(Table1[[#This Row],[Zscore]]&lt;1.81,1,0)</f>
        <v>#DIV/0!</v>
      </c>
    </row>
    <row r="1113" spans="1:23" hidden="1" x14ac:dyDescent="0.45">
      <c r="A1113" s="7">
        <v>1107</v>
      </c>
      <c r="B1113" s="5" t="s">
        <v>2226</v>
      </c>
      <c r="C1113" s="6" t="s">
        <v>2227</v>
      </c>
      <c r="D1113" s="6" t="s">
        <v>18</v>
      </c>
      <c r="E1113" s="6"/>
      <c r="F1113" s="6"/>
      <c r="G1113" s="6"/>
      <c r="H1113" s="6"/>
      <c r="I1113" s="6"/>
      <c r="J1113" s="8"/>
      <c r="K1113" s="6"/>
      <c r="L1113" s="6"/>
      <c r="M1113" s="8"/>
      <c r="N1113" s="8"/>
      <c r="O1113" s="8"/>
      <c r="P1113" s="8"/>
      <c r="Q1113" s="18" t="e">
        <f>(Table1[[#This Row],[A. TÀI SẢN NGẮN HẠN]]-Table1[[#This Row],[I. Nợ ngắn hạn]])/Table1[[#This Row],[TỔNG CỘNG TÀI SẢN]]</f>
        <v>#DIV/0!</v>
      </c>
      <c r="R1113" s="18" t="e">
        <f>Table1[[#This Row],[- LNST chưa phân phối kỳ này]]/Table1[[#This Row],[TỔNG CỘNG TÀI SẢN]]</f>
        <v>#DIV/0!</v>
      </c>
      <c r="S1113" s="21" t="e">
        <f>Table1[[#This Row],[5. Lợi nhuận gộp về bán hàng và cung cấp dịch vụ]]/Table1[[#This Row],[TỔNG CỘNG TÀI SẢN]]</f>
        <v>#DIV/0!</v>
      </c>
      <c r="T111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113" s="23" t="e">
        <f>Table1[[#This Row],[1. Doanh thu bán hàng và cung cấp dịch vụ ]]/Table1[[#This Row],[TỔNG CỘNG TÀI SẢN]]</f>
        <v>#DIV/0!</v>
      </c>
      <c r="V1113" s="23" t="e">
        <f>1.2*Table1[[#This Row],[X1]] + 1.4*Table1[[#This Row],[X2]] + 3.3*Table1[[#This Row],[x3]] + 0.6*Table1[[#This Row],[x4]] + 1*Table1[[#This Row],[x5]]</f>
        <v>#DIV/0!</v>
      </c>
      <c r="W1113" s="23" t="e">
        <f>IF(Table1[[#This Row],[Zscore]]&lt;1.81,1,0)</f>
        <v>#DIV/0!</v>
      </c>
    </row>
    <row r="1114" spans="1:23" ht="26.25" x14ac:dyDescent="0.45">
      <c r="A1114" s="7">
        <v>1108</v>
      </c>
      <c r="B1114" s="5" t="s">
        <v>2228</v>
      </c>
      <c r="C1114" s="6" t="s">
        <v>2229</v>
      </c>
      <c r="D1114" s="6" t="s">
        <v>18</v>
      </c>
      <c r="E1114" s="8">
        <v>2373547194059</v>
      </c>
      <c r="F1114" s="8">
        <v>1828335698974</v>
      </c>
      <c r="G1114" s="8">
        <v>1884948791759</v>
      </c>
      <c r="H1114" s="8">
        <v>11726397235</v>
      </c>
      <c r="I1114" s="8">
        <v>16302498511</v>
      </c>
      <c r="J1114" s="8"/>
      <c r="K1114" s="8">
        <v>1934133509861</v>
      </c>
      <c r="L1114" s="8">
        <v>93924658520</v>
      </c>
      <c r="M1114" s="8">
        <v>1230000000000</v>
      </c>
      <c r="N1114" s="8">
        <v>1638000000000</v>
      </c>
      <c r="O1114" s="8">
        <v>1320000000000</v>
      </c>
      <c r="P1114" s="8">
        <v>1752000000000</v>
      </c>
      <c r="Q1114" s="18">
        <f>(Table1[[#This Row],[A. TÀI SẢN NGẮN HẠN]]-Table1[[#This Row],[I. Nợ ngắn hạn]])/Table1[[#This Row],[TỔNG CỘNG TÀI SẢN]]</f>
        <v>-2.3851681958000602E-2</v>
      </c>
      <c r="R1114" s="18">
        <f>Table1[[#This Row],[- LNST chưa phân phối kỳ này]]/Table1[[#This Row],[TỔNG CỘNG TÀI SẢN]]</f>
        <v>4.9404525279089576E-3</v>
      </c>
      <c r="S1114" s="21">
        <f>Table1[[#This Row],[5. Lợi nhuận gộp về bán hàng và cung cấp dịch vụ]]/Table1[[#This Row],[TỔNG CỘNG TÀI SẢN]]</f>
        <v>6.8684113599279725E-3</v>
      </c>
      <c r="T111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0.76778567375461182</v>
      </c>
      <c r="U1114" s="23">
        <f>Table1[[#This Row],[1. Doanh thu bán hàng và cung cấp dịch vụ ]]/Table1[[#This Row],[TỔNG CỘNG TÀI SẢN]]</f>
        <v>3.9571430791472725E-2</v>
      </c>
      <c r="V1114" s="23">
        <f>1.2*Table1[[#This Row],[X1]] + 1.4*Table1[[#This Row],[X2]] + 3.3*Table1[[#This Row],[x3]] + 0.6*Table1[[#This Row],[x4]] + 1*Table1[[#This Row],[x5]]</f>
        <v>0.50120320772147398</v>
      </c>
      <c r="W1114" s="23">
        <f>IF(Table1[[#This Row],[Zscore]]&lt;1.81,1,0)</f>
        <v>1</v>
      </c>
    </row>
    <row r="1115" spans="1:23" hidden="1" x14ac:dyDescent="0.45">
      <c r="A1115" s="7">
        <v>1109</v>
      </c>
      <c r="B1115" s="5" t="s">
        <v>2230</v>
      </c>
      <c r="C1115" s="6" t="s">
        <v>2231</v>
      </c>
      <c r="D1115" s="6" t="s">
        <v>13</v>
      </c>
      <c r="E1115" s="6"/>
      <c r="F1115" s="6"/>
      <c r="G1115" s="6"/>
      <c r="H1115" s="6"/>
      <c r="I1115" s="6"/>
      <c r="J1115" s="8"/>
      <c r="K1115" s="6"/>
      <c r="L1115" s="6"/>
      <c r="M1115" s="8"/>
      <c r="N1115" s="8"/>
      <c r="O1115" s="8"/>
      <c r="P1115" s="8"/>
      <c r="Q1115" s="18" t="e">
        <f>(Table1[[#This Row],[A. TÀI SẢN NGẮN HẠN]]-Table1[[#This Row],[I. Nợ ngắn hạn]])/Table1[[#This Row],[TỔNG CỘNG TÀI SẢN]]</f>
        <v>#DIV/0!</v>
      </c>
      <c r="R1115" s="18" t="e">
        <f>Table1[[#This Row],[- LNST chưa phân phối kỳ này]]/Table1[[#This Row],[TỔNG CỘNG TÀI SẢN]]</f>
        <v>#DIV/0!</v>
      </c>
      <c r="S1115" s="21" t="e">
        <f>Table1[[#This Row],[5. Lợi nhuận gộp về bán hàng và cung cấp dịch vụ]]/Table1[[#This Row],[TỔNG CỘNG TÀI SẢN]]</f>
        <v>#DIV/0!</v>
      </c>
      <c r="T111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115" s="23" t="e">
        <f>Table1[[#This Row],[1. Doanh thu bán hàng và cung cấp dịch vụ ]]/Table1[[#This Row],[TỔNG CỘNG TÀI SẢN]]</f>
        <v>#DIV/0!</v>
      </c>
      <c r="V1115" s="23" t="e">
        <f>1.2*Table1[[#This Row],[X1]] + 1.4*Table1[[#This Row],[X2]] + 3.3*Table1[[#This Row],[x3]] + 0.6*Table1[[#This Row],[x4]] + 1*Table1[[#This Row],[x5]]</f>
        <v>#DIV/0!</v>
      </c>
      <c r="W1115" s="23" t="e">
        <f>IF(Table1[[#This Row],[Zscore]]&lt;1.81,1,0)</f>
        <v>#DIV/0!</v>
      </c>
    </row>
    <row r="1116" spans="1:23" ht="26.25" hidden="1" x14ac:dyDescent="0.45">
      <c r="A1116" s="7">
        <v>1110</v>
      </c>
      <c r="B1116" s="5" t="s">
        <v>2232</v>
      </c>
      <c r="C1116" s="6" t="s">
        <v>2233</v>
      </c>
      <c r="D1116" s="6" t="s">
        <v>18</v>
      </c>
      <c r="E1116" s="6"/>
      <c r="F1116" s="6"/>
      <c r="G1116" s="6"/>
      <c r="H1116" s="6"/>
      <c r="I1116" s="6"/>
      <c r="J1116" s="8"/>
      <c r="K1116" s="6"/>
      <c r="L1116" s="6"/>
      <c r="M1116" s="8"/>
      <c r="N1116" s="8"/>
      <c r="O1116" s="8"/>
      <c r="P1116" s="8"/>
      <c r="Q1116" s="18" t="e">
        <f>(Table1[[#This Row],[A. TÀI SẢN NGẮN HẠN]]-Table1[[#This Row],[I. Nợ ngắn hạn]])/Table1[[#This Row],[TỔNG CỘNG TÀI SẢN]]</f>
        <v>#DIV/0!</v>
      </c>
      <c r="R1116" s="18" t="e">
        <f>Table1[[#This Row],[- LNST chưa phân phối kỳ này]]/Table1[[#This Row],[TỔNG CỘNG TÀI SẢN]]</f>
        <v>#DIV/0!</v>
      </c>
      <c r="S1116" s="21" t="e">
        <f>Table1[[#This Row],[5. Lợi nhuận gộp về bán hàng và cung cấp dịch vụ]]/Table1[[#This Row],[TỔNG CỘNG TÀI SẢN]]</f>
        <v>#DIV/0!</v>
      </c>
      <c r="T111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116" s="23" t="e">
        <f>Table1[[#This Row],[1. Doanh thu bán hàng và cung cấp dịch vụ ]]/Table1[[#This Row],[TỔNG CỘNG TÀI SẢN]]</f>
        <v>#DIV/0!</v>
      </c>
      <c r="V1116" s="23" t="e">
        <f>1.2*Table1[[#This Row],[X1]] + 1.4*Table1[[#This Row],[X2]] + 3.3*Table1[[#This Row],[x3]] + 0.6*Table1[[#This Row],[x4]] + 1*Table1[[#This Row],[x5]]</f>
        <v>#DIV/0!</v>
      </c>
      <c r="W1116" s="23" t="e">
        <f>IF(Table1[[#This Row],[Zscore]]&lt;1.81,1,0)</f>
        <v>#DIV/0!</v>
      </c>
    </row>
    <row r="1117" spans="1:23" hidden="1" x14ac:dyDescent="0.45">
      <c r="A1117" s="7">
        <v>1111</v>
      </c>
      <c r="B1117" s="5" t="s">
        <v>2234</v>
      </c>
      <c r="C1117" s="6" t="s">
        <v>2235</v>
      </c>
      <c r="D1117" s="6" t="s">
        <v>18</v>
      </c>
      <c r="E1117" s="6"/>
      <c r="F1117" s="6"/>
      <c r="G1117" s="6"/>
      <c r="H1117" s="6"/>
      <c r="I1117" s="6"/>
      <c r="J1117" s="8"/>
      <c r="K1117" s="6"/>
      <c r="L1117" s="6"/>
      <c r="M1117" s="8"/>
      <c r="N1117" s="8"/>
      <c r="O1117" s="8"/>
      <c r="P1117" s="8"/>
      <c r="Q1117" s="18" t="e">
        <f>(Table1[[#This Row],[A. TÀI SẢN NGẮN HẠN]]-Table1[[#This Row],[I. Nợ ngắn hạn]])/Table1[[#This Row],[TỔNG CỘNG TÀI SẢN]]</f>
        <v>#DIV/0!</v>
      </c>
      <c r="R1117" s="18" t="e">
        <f>Table1[[#This Row],[- LNST chưa phân phối kỳ này]]/Table1[[#This Row],[TỔNG CỘNG TÀI SẢN]]</f>
        <v>#DIV/0!</v>
      </c>
      <c r="S1117" s="21" t="e">
        <f>Table1[[#This Row],[5. Lợi nhuận gộp về bán hàng và cung cấp dịch vụ]]/Table1[[#This Row],[TỔNG CỘNG TÀI SẢN]]</f>
        <v>#DIV/0!</v>
      </c>
      <c r="T111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117" s="23" t="e">
        <f>Table1[[#This Row],[1. Doanh thu bán hàng và cung cấp dịch vụ ]]/Table1[[#This Row],[TỔNG CỘNG TÀI SẢN]]</f>
        <v>#DIV/0!</v>
      </c>
      <c r="V1117" s="23" t="e">
        <f>1.2*Table1[[#This Row],[X1]] + 1.4*Table1[[#This Row],[X2]] + 3.3*Table1[[#This Row],[x3]] + 0.6*Table1[[#This Row],[x4]] + 1*Table1[[#This Row],[x5]]</f>
        <v>#DIV/0!</v>
      </c>
      <c r="W1117" s="23" t="e">
        <f>IF(Table1[[#This Row],[Zscore]]&lt;1.81,1,0)</f>
        <v>#DIV/0!</v>
      </c>
    </row>
    <row r="1118" spans="1:23" hidden="1" x14ac:dyDescent="0.45">
      <c r="A1118" s="7">
        <v>1112</v>
      </c>
      <c r="B1118" s="5" t="s">
        <v>2236</v>
      </c>
      <c r="C1118" s="6" t="s">
        <v>2237</v>
      </c>
      <c r="D1118" s="6" t="s">
        <v>18</v>
      </c>
      <c r="E1118" s="6"/>
      <c r="F1118" s="6"/>
      <c r="G1118" s="6"/>
      <c r="H1118" s="6"/>
      <c r="I1118" s="6"/>
      <c r="J1118" s="8"/>
      <c r="K1118" s="6"/>
      <c r="L1118" s="6"/>
      <c r="M1118" s="8"/>
      <c r="N1118" s="8"/>
      <c r="O1118" s="8"/>
      <c r="P1118" s="8"/>
      <c r="Q1118" s="18" t="e">
        <f>(Table1[[#This Row],[A. TÀI SẢN NGẮN HẠN]]-Table1[[#This Row],[I. Nợ ngắn hạn]])/Table1[[#This Row],[TỔNG CỘNG TÀI SẢN]]</f>
        <v>#DIV/0!</v>
      </c>
      <c r="R1118" s="18" t="e">
        <f>Table1[[#This Row],[- LNST chưa phân phối kỳ này]]/Table1[[#This Row],[TỔNG CỘNG TÀI SẢN]]</f>
        <v>#DIV/0!</v>
      </c>
      <c r="S1118" s="21" t="e">
        <f>Table1[[#This Row],[5. Lợi nhuận gộp về bán hàng và cung cấp dịch vụ]]/Table1[[#This Row],[TỔNG CỘNG TÀI SẢN]]</f>
        <v>#DIV/0!</v>
      </c>
      <c r="T111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118" s="23" t="e">
        <f>Table1[[#This Row],[1. Doanh thu bán hàng và cung cấp dịch vụ ]]/Table1[[#This Row],[TỔNG CỘNG TÀI SẢN]]</f>
        <v>#DIV/0!</v>
      </c>
      <c r="V1118" s="23" t="e">
        <f>1.2*Table1[[#This Row],[X1]] + 1.4*Table1[[#This Row],[X2]] + 3.3*Table1[[#This Row],[x3]] + 0.6*Table1[[#This Row],[x4]] + 1*Table1[[#This Row],[x5]]</f>
        <v>#DIV/0!</v>
      </c>
      <c r="W1118" s="23" t="e">
        <f>IF(Table1[[#This Row],[Zscore]]&lt;1.81,1,0)</f>
        <v>#DIV/0!</v>
      </c>
    </row>
    <row r="1119" spans="1:23" hidden="1" x14ac:dyDescent="0.45">
      <c r="A1119" s="7">
        <v>1113</v>
      </c>
      <c r="B1119" s="5" t="s">
        <v>2238</v>
      </c>
      <c r="C1119" s="6" t="s">
        <v>2239</v>
      </c>
      <c r="D1119" s="6" t="s">
        <v>13</v>
      </c>
      <c r="E1119" s="6"/>
      <c r="F1119" s="6"/>
      <c r="G1119" s="6"/>
      <c r="H1119" s="6"/>
      <c r="I1119" s="6"/>
      <c r="J1119" s="8"/>
      <c r="K1119" s="6"/>
      <c r="L1119" s="6"/>
      <c r="M1119" s="8"/>
      <c r="N1119" s="8"/>
      <c r="O1119" s="8"/>
      <c r="P1119" s="8"/>
      <c r="Q1119" s="18" t="e">
        <f>(Table1[[#This Row],[A. TÀI SẢN NGẮN HẠN]]-Table1[[#This Row],[I. Nợ ngắn hạn]])/Table1[[#This Row],[TỔNG CỘNG TÀI SẢN]]</f>
        <v>#DIV/0!</v>
      </c>
      <c r="R1119" s="18" t="e">
        <f>Table1[[#This Row],[- LNST chưa phân phối kỳ này]]/Table1[[#This Row],[TỔNG CỘNG TÀI SẢN]]</f>
        <v>#DIV/0!</v>
      </c>
      <c r="S1119" s="21" t="e">
        <f>Table1[[#This Row],[5. Lợi nhuận gộp về bán hàng và cung cấp dịch vụ]]/Table1[[#This Row],[TỔNG CỘNG TÀI SẢN]]</f>
        <v>#DIV/0!</v>
      </c>
      <c r="T111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119" s="23" t="e">
        <f>Table1[[#This Row],[1. Doanh thu bán hàng và cung cấp dịch vụ ]]/Table1[[#This Row],[TỔNG CỘNG TÀI SẢN]]</f>
        <v>#DIV/0!</v>
      </c>
      <c r="V1119" s="23" t="e">
        <f>1.2*Table1[[#This Row],[X1]] + 1.4*Table1[[#This Row],[X2]] + 3.3*Table1[[#This Row],[x3]] + 0.6*Table1[[#This Row],[x4]] + 1*Table1[[#This Row],[x5]]</f>
        <v>#DIV/0!</v>
      </c>
      <c r="W1119" s="23" t="e">
        <f>IF(Table1[[#This Row],[Zscore]]&lt;1.81,1,0)</f>
        <v>#DIV/0!</v>
      </c>
    </row>
    <row r="1120" spans="1:23" ht="26.25" hidden="1" x14ac:dyDescent="0.45">
      <c r="A1120" s="7">
        <v>1114</v>
      </c>
      <c r="B1120" s="5" t="s">
        <v>2240</v>
      </c>
      <c r="C1120" s="6" t="s">
        <v>2241</v>
      </c>
      <c r="D1120" s="6" t="s">
        <v>18</v>
      </c>
      <c r="E1120" s="6"/>
      <c r="F1120" s="6"/>
      <c r="G1120" s="6"/>
      <c r="H1120" s="6"/>
      <c r="I1120" s="6"/>
      <c r="J1120" s="8"/>
      <c r="K1120" s="6"/>
      <c r="L1120" s="6"/>
      <c r="M1120" s="8"/>
      <c r="N1120" s="8"/>
      <c r="O1120" s="8"/>
      <c r="P1120" s="8"/>
      <c r="Q1120" s="18" t="e">
        <f>(Table1[[#This Row],[A. TÀI SẢN NGẮN HẠN]]-Table1[[#This Row],[I. Nợ ngắn hạn]])/Table1[[#This Row],[TỔNG CỘNG TÀI SẢN]]</f>
        <v>#DIV/0!</v>
      </c>
      <c r="R1120" s="18" t="e">
        <f>Table1[[#This Row],[- LNST chưa phân phối kỳ này]]/Table1[[#This Row],[TỔNG CỘNG TÀI SẢN]]</f>
        <v>#DIV/0!</v>
      </c>
      <c r="S1120" s="21" t="e">
        <f>Table1[[#This Row],[5. Lợi nhuận gộp về bán hàng và cung cấp dịch vụ]]/Table1[[#This Row],[TỔNG CỘNG TÀI SẢN]]</f>
        <v>#DIV/0!</v>
      </c>
      <c r="T112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120" s="23" t="e">
        <f>Table1[[#This Row],[1. Doanh thu bán hàng và cung cấp dịch vụ ]]/Table1[[#This Row],[TỔNG CỘNG TÀI SẢN]]</f>
        <v>#DIV/0!</v>
      </c>
      <c r="V1120" s="23" t="e">
        <f>1.2*Table1[[#This Row],[X1]] + 1.4*Table1[[#This Row],[X2]] + 3.3*Table1[[#This Row],[x3]] + 0.6*Table1[[#This Row],[x4]] + 1*Table1[[#This Row],[x5]]</f>
        <v>#DIV/0!</v>
      </c>
      <c r="W1120" s="23" t="e">
        <f>IF(Table1[[#This Row],[Zscore]]&lt;1.81,1,0)</f>
        <v>#DIV/0!</v>
      </c>
    </row>
    <row r="1121" spans="1:23" hidden="1" x14ac:dyDescent="0.45">
      <c r="A1121" s="7">
        <v>1115</v>
      </c>
      <c r="B1121" s="5" t="s">
        <v>2242</v>
      </c>
      <c r="C1121" s="6" t="s">
        <v>2243</v>
      </c>
      <c r="D1121" s="6" t="s">
        <v>13</v>
      </c>
      <c r="E1121" s="6"/>
      <c r="F1121" s="6"/>
      <c r="G1121" s="6"/>
      <c r="H1121" s="6"/>
      <c r="I1121" s="6"/>
      <c r="J1121" s="8"/>
      <c r="K1121" s="6"/>
      <c r="L1121" s="6"/>
      <c r="M1121" s="8"/>
      <c r="N1121" s="8"/>
      <c r="O1121" s="8"/>
      <c r="P1121" s="8"/>
      <c r="Q1121" s="18" t="e">
        <f>(Table1[[#This Row],[A. TÀI SẢN NGẮN HẠN]]-Table1[[#This Row],[I. Nợ ngắn hạn]])/Table1[[#This Row],[TỔNG CỘNG TÀI SẢN]]</f>
        <v>#DIV/0!</v>
      </c>
      <c r="R1121" s="18" t="e">
        <f>Table1[[#This Row],[- LNST chưa phân phối kỳ này]]/Table1[[#This Row],[TỔNG CỘNG TÀI SẢN]]</f>
        <v>#DIV/0!</v>
      </c>
      <c r="S1121" s="21" t="e">
        <f>Table1[[#This Row],[5. Lợi nhuận gộp về bán hàng và cung cấp dịch vụ]]/Table1[[#This Row],[TỔNG CỘNG TÀI SẢN]]</f>
        <v>#DIV/0!</v>
      </c>
      <c r="T112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121" s="23" t="e">
        <f>Table1[[#This Row],[1. Doanh thu bán hàng và cung cấp dịch vụ ]]/Table1[[#This Row],[TỔNG CỘNG TÀI SẢN]]</f>
        <v>#DIV/0!</v>
      </c>
      <c r="V1121" s="23" t="e">
        <f>1.2*Table1[[#This Row],[X1]] + 1.4*Table1[[#This Row],[X2]] + 3.3*Table1[[#This Row],[x3]] + 0.6*Table1[[#This Row],[x4]] + 1*Table1[[#This Row],[x5]]</f>
        <v>#DIV/0!</v>
      </c>
      <c r="W1121" s="23" t="e">
        <f>IF(Table1[[#This Row],[Zscore]]&lt;1.81,1,0)</f>
        <v>#DIV/0!</v>
      </c>
    </row>
    <row r="1122" spans="1:23" hidden="1" x14ac:dyDescent="0.45">
      <c r="A1122" s="7">
        <v>1116</v>
      </c>
      <c r="B1122" s="5" t="s">
        <v>2244</v>
      </c>
      <c r="C1122" s="6" t="s">
        <v>2245</v>
      </c>
      <c r="D1122" s="6" t="s">
        <v>13</v>
      </c>
      <c r="E1122" s="6"/>
      <c r="F1122" s="6"/>
      <c r="G1122" s="6"/>
      <c r="H1122" s="6"/>
      <c r="I1122" s="6"/>
      <c r="J1122" s="8"/>
      <c r="K1122" s="6"/>
      <c r="L1122" s="6"/>
      <c r="M1122" s="8"/>
      <c r="N1122" s="8"/>
      <c r="O1122" s="8"/>
      <c r="P1122" s="8"/>
      <c r="Q1122" s="18" t="e">
        <f>(Table1[[#This Row],[A. TÀI SẢN NGẮN HẠN]]-Table1[[#This Row],[I. Nợ ngắn hạn]])/Table1[[#This Row],[TỔNG CỘNG TÀI SẢN]]</f>
        <v>#DIV/0!</v>
      </c>
      <c r="R1122" s="18" t="e">
        <f>Table1[[#This Row],[- LNST chưa phân phối kỳ này]]/Table1[[#This Row],[TỔNG CỘNG TÀI SẢN]]</f>
        <v>#DIV/0!</v>
      </c>
      <c r="S1122" s="21" t="e">
        <f>Table1[[#This Row],[5. Lợi nhuận gộp về bán hàng và cung cấp dịch vụ]]/Table1[[#This Row],[TỔNG CỘNG TÀI SẢN]]</f>
        <v>#DIV/0!</v>
      </c>
      <c r="T112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122" s="23" t="e">
        <f>Table1[[#This Row],[1. Doanh thu bán hàng và cung cấp dịch vụ ]]/Table1[[#This Row],[TỔNG CỘNG TÀI SẢN]]</f>
        <v>#DIV/0!</v>
      </c>
      <c r="V1122" s="23" t="e">
        <f>1.2*Table1[[#This Row],[X1]] + 1.4*Table1[[#This Row],[X2]] + 3.3*Table1[[#This Row],[x3]] + 0.6*Table1[[#This Row],[x4]] + 1*Table1[[#This Row],[x5]]</f>
        <v>#DIV/0!</v>
      </c>
      <c r="W1122" s="23" t="e">
        <f>IF(Table1[[#This Row],[Zscore]]&lt;1.81,1,0)</f>
        <v>#DIV/0!</v>
      </c>
    </row>
    <row r="1123" spans="1:23" x14ac:dyDescent="0.45">
      <c r="A1123" s="7">
        <v>1117</v>
      </c>
      <c r="B1123" s="5" t="s">
        <v>2246</v>
      </c>
      <c r="C1123" s="6" t="s">
        <v>2247</v>
      </c>
      <c r="D1123" s="6" t="s">
        <v>18</v>
      </c>
      <c r="E1123" s="8">
        <v>2094006665840</v>
      </c>
      <c r="F1123" s="8">
        <v>808662360345</v>
      </c>
      <c r="G1123" s="8">
        <v>200763991180</v>
      </c>
      <c r="H1123" s="8">
        <v>149830526829</v>
      </c>
      <c r="I1123" s="8">
        <v>528133751642</v>
      </c>
      <c r="J1123" s="8"/>
      <c r="K1123" s="8">
        <v>946326462039</v>
      </c>
      <c r="L1123" s="8">
        <v>1388641551390</v>
      </c>
      <c r="M1123" s="8">
        <v>1484138800000</v>
      </c>
      <c r="N1123" s="8">
        <v>1573187128000</v>
      </c>
      <c r="O1123" s="8">
        <v>1357987002000</v>
      </c>
      <c r="P1123" s="8">
        <v>1409931860000</v>
      </c>
      <c r="Q1123" s="18">
        <f>(Table1[[#This Row],[A. TÀI SẢN NGẮN HẠN]]-Table1[[#This Row],[I. Nợ ngắn hạn]])/Table1[[#This Row],[TỔNG CỘNG TÀI SẢN]]</f>
        <v>0.29030393220889994</v>
      </c>
      <c r="R1123" s="18">
        <f>Table1[[#This Row],[- LNST chưa phân phối kỳ này]]/Table1[[#This Row],[TỔNG CỘNG TÀI SẢN]]</f>
        <v>7.1552077303868686E-2</v>
      </c>
      <c r="S1123" s="21">
        <f>Table1[[#This Row],[5. Lợi nhuận gộp về bán hàng và cung cấp dịch vụ]]/Table1[[#This Row],[TỔNG CỘNG TÀI SẢN]]</f>
        <v>0.25221206802135077</v>
      </c>
      <c r="T112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1.5389099385027896</v>
      </c>
      <c r="U1123" s="23">
        <f>Table1[[#This Row],[1. Doanh thu bán hàng và cung cấp dịch vụ ]]/Table1[[#This Row],[TỔNG CỘNG TÀI SẢN]]</f>
        <v>0.66315049232804313</v>
      </c>
      <c r="V1123" s="23">
        <f>1.2*Table1[[#This Row],[X1]] + 1.4*Table1[[#This Row],[X2]] + 3.3*Table1[[#This Row],[x3]] + 0.6*Table1[[#This Row],[x4]] + 1*Table1[[#This Row],[x5]]</f>
        <v>2.8673339067762704</v>
      </c>
      <c r="W1123" s="23">
        <f>IF(Table1[[#This Row],[Zscore]]&lt;1.81,1,0)</f>
        <v>0</v>
      </c>
    </row>
    <row r="1124" spans="1:23" x14ac:dyDescent="0.45">
      <c r="A1124" s="7">
        <v>1118</v>
      </c>
      <c r="B1124" s="5" t="s">
        <v>2248</v>
      </c>
      <c r="C1124" s="6" t="s">
        <v>2249</v>
      </c>
      <c r="D1124" s="6" t="s">
        <v>21</v>
      </c>
      <c r="E1124" s="8">
        <v>8475817744603</v>
      </c>
      <c r="F1124" s="8">
        <v>5912766642502</v>
      </c>
      <c r="G1124" s="8">
        <v>3357260031192</v>
      </c>
      <c r="H1124" s="8">
        <v>118047494488</v>
      </c>
      <c r="I1124" s="8">
        <v>346356124039</v>
      </c>
      <c r="J1124" s="8"/>
      <c r="K1124" s="8">
        <v>4922376411348</v>
      </c>
      <c r="L1124" s="8">
        <v>1142739310537</v>
      </c>
      <c r="M1124" s="8">
        <v>1374841986120</v>
      </c>
      <c r="N1124" s="8">
        <v>1460009188800</v>
      </c>
      <c r="O1124" s="8">
        <v>1292716469250</v>
      </c>
      <c r="P1124" s="8">
        <v>1554301448910</v>
      </c>
      <c r="Q1124" s="18">
        <f>(Table1[[#This Row],[A. TÀI SẢN NGẮN HẠN]]-Table1[[#This Row],[I. Nợ ngắn hạn]])/Table1[[#This Row],[TỔNG CỘNG TÀI SẢN]]</f>
        <v>0.30150561141280152</v>
      </c>
      <c r="R1124" s="18">
        <f>Table1[[#This Row],[- LNST chưa phân phối kỳ này]]/Table1[[#This Row],[TỔNG CỘNG TÀI SẢN]]</f>
        <v>1.3927564046922442E-2</v>
      </c>
      <c r="S1124" s="21">
        <f>Table1[[#This Row],[5. Lợi nhuận gộp về bán hàng và cung cấp dịch vụ]]/Table1[[#This Row],[TỔNG CỘNG TÀI SẢN]]</f>
        <v>4.0864036306059462E-2</v>
      </c>
      <c r="T112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0.28857347641989917</v>
      </c>
      <c r="U1124" s="23">
        <f>Table1[[#This Row],[1. Doanh thu bán hàng và cung cấp dịch vụ ]]/Table1[[#This Row],[TỔNG CỘNG TÀI SẢN]]</f>
        <v>0.13482348782978992</v>
      </c>
      <c r="V1124" s="23">
        <f>1.2*Table1[[#This Row],[X1]] + 1.4*Table1[[#This Row],[X2]] + 3.3*Table1[[#This Row],[x3]] + 0.6*Table1[[#This Row],[x4]] + 1*Table1[[#This Row],[x5]]</f>
        <v>0.82412421685277881</v>
      </c>
      <c r="W1124" s="23">
        <f>IF(Table1[[#This Row],[Zscore]]&lt;1.81,1,0)</f>
        <v>1</v>
      </c>
    </row>
    <row r="1125" spans="1:23" ht="26.25" x14ac:dyDescent="0.45">
      <c r="A1125" s="7">
        <v>1119</v>
      </c>
      <c r="B1125" s="5" t="s">
        <v>2250</v>
      </c>
      <c r="C1125" s="6" t="s">
        <v>2251</v>
      </c>
      <c r="D1125" s="6" t="s">
        <v>21</v>
      </c>
      <c r="E1125" s="8">
        <v>8975340551225</v>
      </c>
      <c r="F1125" s="8">
        <v>5423967300481</v>
      </c>
      <c r="G1125" s="8">
        <v>2495828408318</v>
      </c>
      <c r="H1125" s="8">
        <v>73202406701</v>
      </c>
      <c r="I1125" s="8">
        <v>15316408026</v>
      </c>
      <c r="J1125" s="8"/>
      <c r="K1125" s="8">
        <v>3508409932809</v>
      </c>
      <c r="L1125" s="8">
        <v>147369560375</v>
      </c>
      <c r="M1125" s="8">
        <v>1966203524340</v>
      </c>
      <c r="N1125" s="8">
        <v>1735563814740</v>
      </c>
      <c r="O1125" s="8">
        <v>1868181647760</v>
      </c>
      <c r="P1125" s="8">
        <v>2093055364620</v>
      </c>
      <c r="Q1125" s="18">
        <f>(Table1[[#This Row],[A. TÀI SẢN NGẮN HẠN]]-Table1[[#This Row],[I. Nợ ngắn hạn]])/Table1[[#This Row],[TỔNG CỘNG TÀI SẢN]]</f>
        <v>0.32624265067728853</v>
      </c>
      <c r="R1125" s="18">
        <f>Table1[[#This Row],[- LNST chưa phân phối kỳ này]]/Table1[[#This Row],[TỔNG CỘNG TÀI SẢN]]</f>
        <v>8.1559475412895568E-3</v>
      </c>
      <c r="S1125" s="21">
        <f>Table1[[#This Row],[5. Lợi nhuận gộp về bán hàng và cung cấp dịch vụ]]/Table1[[#This Row],[TỔNG CỘNG TÀI SẢN]]</f>
        <v>1.7064988162381804E-3</v>
      </c>
      <c r="T112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0.54604539508048833</v>
      </c>
      <c r="U1125" s="23">
        <f>Table1[[#This Row],[1. Doanh thu bán hàng và cung cấp dịch vụ ]]/Table1[[#This Row],[TỔNG CỘNG TÀI SẢN]]</f>
        <v>1.6419383702926598E-2</v>
      </c>
      <c r="V1125" s="23">
        <f>1.2*Table1[[#This Row],[X1]] + 1.4*Table1[[#This Row],[X2]] + 3.3*Table1[[#This Row],[x3]] + 0.6*Table1[[#This Row],[x4]] + 1*Table1[[#This Row],[x5]]</f>
        <v>0.75258757421535727</v>
      </c>
      <c r="W1125" s="23">
        <f>IF(Table1[[#This Row],[Zscore]]&lt;1.81,1,0)</f>
        <v>1</v>
      </c>
    </row>
    <row r="1126" spans="1:23" ht="26.25" hidden="1" x14ac:dyDescent="0.45">
      <c r="A1126" s="7">
        <v>1120</v>
      </c>
      <c r="B1126" s="5" t="s">
        <v>2252</v>
      </c>
      <c r="C1126" s="6" t="s">
        <v>2253</v>
      </c>
      <c r="D1126" s="6" t="s">
        <v>13</v>
      </c>
      <c r="E1126" s="6"/>
      <c r="F1126" s="6"/>
      <c r="G1126" s="6"/>
      <c r="H1126" s="6"/>
      <c r="I1126" s="6"/>
      <c r="J1126" s="8"/>
      <c r="K1126" s="6"/>
      <c r="L1126" s="6"/>
      <c r="M1126" s="8"/>
      <c r="N1126" s="8"/>
      <c r="O1126" s="8"/>
      <c r="P1126" s="8"/>
      <c r="Q1126" s="18" t="e">
        <f>(Table1[[#This Row],[A. TÀI SẢN NGẮN HẠN]]-Table1[[#This Row],[I. Nợ ngắn hạn]])/Table1[[#This Row],[TỔNG CỘNG TÀI SẢN]]</f>
        <v>#DIV/0!</v>
      </c>
      <c r="R1126" s="18" t="e">
        <f>Table1[[#This Row],[- LNST chưa phân phối kỳ này]]/Table1[[#This Row],[TỔNG CỘNG TÀI SẢN]]</f>
        <v>#DIV/0!</v>
      </c>
      <c r="S1126" s="21" t="e">
        <f>Table1[[#This Row],[5. Lợi nhuận gộp về bán hàng và cung cấp dịch vụ]]/Table1[[#This Row],[TỔNG CỘNG TÀI SẢN]]</f>
        <v>#DIV/0!</v>
      </c>
      <c r="T112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126" s="23" t="e">
        <f>Table1[[#This Row],[1. Doanh thu bán hàng và cung cấp dịch vụ ]]/Table1[[#This Row],[TỔNG CỘNG TÀI SẢN]]</f>
        <v>#DIV/0!</v>
      </c>
      <c r="V1126" s="23" t="e">
        <f>1.2*Table1[[#This Row],[X1]] + 1.4*Table1[[#This Row],[X2]] + 3.3*Table1[[#This Row],[x3]] + 0.6*Table1[[#This Row],[x4]] + 1*Table1[[#This Row],[x5]]</f>
        <v>#DIV/0!</v>
      </c>
      <c r="W1126" s="23" t="e">
        <f>IF(Table1[[#This Row],[Zscore]]&lt;1.81,1,0)</f>
        <v>#DIV/0!</v>
      </c>
    </row>
    <row r="1127" spans="1:23" ht="26.25" hidden="1" x14ac:dyDescent="0.45">
      <c r="A1127" s="7">
        <v>1121</v>
      </c>
      <c r="B1127" s="5" t="s">
        <v>2254</v>
      </c>
      <c r="C1127" s="6" t="s">
        <v>2255</v>
      </c>
      <c r="D1127" s="6" t="s">
        <v>18</v>
      </c>
      <c r="E1127" s="8">
        <v>168317457205</v>
      </c>
      <c r="F1127" s="8">
        <v>122845546830</v>
      </c>
      <c r="G1127" s="8">
        <v>14994973281</v>
      </c>
      <c r="H1127" s="8">
        <v>21279049820</v>
      </c>
      <c r="I1127" s="8">
        <v>42194516880</v>
      </c>
      <c r="J1127" s="8"/>
      <c r="K1127" s="8">
        <v>34769840890</v>
      </c>
      <c r="L1127" s="8">
        <v>47304751997</v>
      </c>
      <c r="M1127" s="8"/>
      <c r="N1127" s="8"/>
      <c r="O1127" s="8"/>
      <c r="P1127" s="8"/>
      <c r="Q1127" s="18">
        <f>(Table1[[#This Row],[A. TÀI SẢN NGẮN HẠN]]-Table1[[#This Row],[I. Nợ ngắn hạn]])/Table1[[#This Row],[TỔNG CỘNG TÀI SẢN]]</f>
        <v>0.64075690864106172</v>
      </c>
      <c r="R1127" s="18">
        <f>Table1[[#This Row],[- LNST chưa phân phối kỳ này]]/Table1[[#This Row],[TỔNG CỘNG TÀI SẢN]]</f>
        <v>0.12642212028003408</v>
      </c>
      <c r="S1127" s="21">
        <f>Table1[[#This Row],[5. Lợi nhuận gộp về bán hàng và cung cấp dịch vụ]]/Table1[[#This Row],[TỔNG CỘNG TÀI SẢN]]</f>
        <v>0.25068413924890603</v>
      </c>
      <c r="T112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127" s="23">
        <f>Table1[[#This Row],[1. Doanh thu bán hàng và cung cấp dịch vụ ]]/Table1[[#This Row],[TỔNG CỘNG TÀI SẢN]]</f>
        <v>0.28104483505466582</v>
      </c>
      <c r="V1127" s="23" t="e">
        <f>1.2*Table1[[#This Row],[X1]] + 1.4*Table1[[#This Row],[X2]] + 3.3*Table1[[#This Row],[x3]] + 0.6*Table1[[#This Row],[x4]] + 1*Table1[[#This Row],[x5]]</f>
        <v>#DIV/0!</v>
      </c>
      <c r="W1127" s="23" t="e">
        <f>IF(Table1[[#This Row],[Zscore]]&lt;1.81,1,0)</f>
        <v>#DIV/0!</v>
      </c>
    </row>
    <row r="1128" spans="1:23" x14ac:dyDescent="0.45">
      <c r="A1128" s="7">
        <v>1122</v>
      </c>
      <c r="B1128" s="5" t="s">
        <v>2256</v>
      </c>
      <c r="C1128" s="6" t="s">
        <v>2257</v>
      </c>
      <c r="D1128" s="6" t="s">
        <v>21</v>
      </c>
      <c r="E1128" s="8">
        <v>858386337203</v>
      </c>
      <c r="F1128" s="8">
        <v>130842535448</v>
      </c>
      <c r="G1128" s="8">
        <v>177163209764</v>
      </c>
      <c r="H1128" s="8">
        <v>35129716727</v>
      </c>
      <c r="I1128" s="8">
        <v>40267668141</v>
      </c>
      <c r="J1128" s="8"/>
      <c r="K1128" s="8">
        <v>230056298452</v>
      </c>
      <c r="L1128" s="8">
        <v>244145490491</v>
      </c>
      <c r="M1128" s="8">
        <v>1205244217800</v>
      </c>
      <c r="N1128" s="8">
        <v>894116011200</v>
      </c>
      <c r="O1128" s="8">
        <v>963591241800</v>
      </c>
      <c r="P1128" s="8">
        <v>971142897300</v>
      </c>
      <c r="Q1128" s="18">
        <f>(Table1[[#This Row],[A. TÀI SẢN NGẮN HẠN]]-Table1[[#This Row],[I. Nợ ngắn hạn]])/Table1[[#This Row],[TỔNG CỘNG TÀI SẢN]]</f>
        <v>-5.3962501857768519E-2</v>
      </c>
      <c r="R1128" s="18">
        <f>Table1[[#This Row],[- LNST chưa phân phối kỳ này]]/Table1[[#This Row],[TỔNG CỘNG TÀI SẢN]]</f>
        <v>4.0925298090680309E-2</v>
      </c>
      <c r="S1128" s="21">
        <f>Table1[[#This Row],[5. Lợi nhuận gộp về bán hàng và cung cấp dịch vụ]]/Table1[[#This Row],[TỔNG CỘNG TÀI SẢN]]</f>
        <v>4.6910891280271032E-2</v>
      </c>
      <c r="T112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4.3838121312528333</v>
      </c>
      <c r="U1128" s="23">
        <f>Table1[[#This Row],[1. Doanh thu bán hàng và cung cấp dịch vụ ]]/Table1[[#This Row],[TỔNG CỘNG TÀI SẢN]]</f>
        <v>0.28442378438423582</v>
      </c>
      <c r="V1128" s="23">
        <f>1.2*Table1[[#This Row],[X1]] + 1.4*Table1[[#This Row],[X2]] + 3.3*Table1[[#This Row],[x3]] + 0.6*Table1[[#This Row],[x4]] + 1*Table1[[#This Row],[x5]]</f>
        <v>3.0620574194584602</v>
      </c>
      <c r="W1128" s="23">
        <f>IF(Table1[[#This Row],[Zscore]]&lt;1.81,1,0)</f>
        <v>0</v>
      </c>
    </row>
    <row r="1129" spans="1:23" hidden="1" x14ac:dyDescent="0.45">
      <c r="A1129" s="7">
        <v>1123</v>
      </c>
      <c r="B1129" s="5" t="s">
        <v>2258</v>
      </c>
      <c r="C1129" s="6" t="s">
        <v>2259</v>
      </c>
      <c r="D1129" s="6" t="s">
        <v>13</v>
      </c>
      <c r="E1129" s="6"/>
      <c r="F1129" s="6"/>
      <c r="G1129" s="6"/>
      <c r="H1129" s="6"/>
      <c r="I1129" s="6"/>
      <c r="J1129" s="8"/>
      <c r="K1129" s="6"/>
      <c r="L1129" s="6"/>
      <c r="M1129" s="8"/>
      <c r="N1129" s="8"/>
      <c r="O1129" s="8"/>
      <c r="P1129" s="8"/>
      <c r="Q1129" s="18" t="e">
        <f>(Table1[[#This Row],[A. TÀI SẢN NGẮN HẠN]]-Table1[[#This Row],[I. Nợ ngắn hạn]])/Table1[[#This Row],[TỔNG CỘNG TÀI SẢN]]</f>
        <v>#DIV/0!</v>
      </c>
      <c r="R1129" s="18" t="e">
        <f>Table1[[#This Row],[- LNST chưa phân phối kỳ này]]/Table1[[#This Row],[TỔNG CỘNG TÀI SẢN]]</f>
        <v>#DIV/0!</v>
      </c>
      <c r="S1129" s="21" t="e">
        <f>Table1[[#This Row],[5. Lợi nhuận gộp về bán hàng và cung cấp dịch vụ]]/Table1[[#This Row],[TỔNG CỘNG TÀI SẢN]]</f>
        <v>#DIV/0!</v>
      </c>
      <c r="T112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129" s="23" t="e">
        <f>Table1[[#This Row],[1. Doanh thu bán hàng và cung cấp dịch vụ ]]/Table1[[#This Row],[TỔNG CỘNG TÀI SẢN]]</f>
        <v>#DIV/0!</v>
      </c>
      <c r="V1129" s="23" t="e">
        <f>1.2*Table1[[#This Row],[X1]] + 1.4*Table1[[#This Row],[X2]] + 3.3*Table1[[#This Row],[x3]] + 0.6*Table1[[#This Row],[x4]] + 1*Table1[[#This Row],[x5]]</f>
        <v>#DIV/0!</v>
      </c>
      <c r="W1129" s="23" t="e">
        <f>IF(Table1[[#This Row],[Zscore]]&lt;1.81,1,0)</f>
        <v>#DIV/0!</v>
      </c>
    </row>
    <row r="1130" spans="1:23" hidden="1" x14ac:dyDescent="0.45">
      <c r="A1130" s="7">
        <v>1124</v>
      </c>
      <c r="B1130" s="5" t="s">
        <v>2260</v>
      </c>
      <c r="C1130" s="6" t="s">
        <v>2261</v>
      </c>
      <c r="D1130" s="6" t="s">
        <v>13</v>
      </c>
      <c r="E1130" s="8">
        <v>1875748479464</v>
      </c>
      <c r="F1130" s="8">
        <v>1618179470488</v>
      </c>
      <c r="G1130" s="8">
        <v>45836465470</v>
      </c>
      <c r="H1130" s="8">
        <v>24321268160</v>
      </c>
      <c r="I1130" s="8">
        <v>207697420214</v>
      </c>
      <c r="J1130" s="8"/>
      <c r="K1130" s="8">
        <v>51916782510</v>
      </c>
      <c r="L1130" s="8">
        <v>221879345451</v>
      </c>
      <c r="M1130" s="8"/>
      <c r="N1130" s="8"/>
      <c r="O1130" s="8"/>
      <c r="P1130" s="8"/>
      <c r="Q1130" s="18">
        <f>(Table1[[#This Row],[A. TÀI SẢN NGẮN HẠN]]-Table1[[#This Row],[I. Nợ ngắn hạn]])/Table1[[#This Row],[TỔNG CỘNG TÀI SẢN]]</f>
        <v>0.83824831646261078</v>
      </c>
      <c r="R1130" s="18">
        <f>Table1[[#This Row],[- LNST chưa phân phối kỳ này]]/Table1[[#This Row],[TỔNG CỘNG TÀI SẢN]]</f>
        <v>1.2966167066785982E-2</v>
      </c>
      <c r="S1130" s="21">
        <f>Table1[[#This Row],[5. Lợi nhuận gộp về bán hàng và cung cấp dịch vụ]]/Table1[[#This Row],[TỔNG CỘNG TÀI SẢN]]</f>
        <v>0.11072775613996504</v>
      </c>
      <c r="T113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130" s="23">
        <f>Table1[[#This Row],[1. Doanh thu bán hàng và cung cấp dịch vụ ]]/Table1[[#This Row],[TỔNG CỘNG TÀI SẢN]]</f>
        <v>0.11828843146091879</v>
      </c>
      <c r="V1130" s="23" t="e">
        <f>1.2*Table1[[#This Row],[X1]] + 1.4*Table1[[#This Row],[X2]] + 3.3*Table1[[#This Row],[x3]] + 0.6*Table1[[#This Row],[x4]] + 1*Table1[[#This Row],[x5]]</f>
        <v>#DIV/0!</v>
      </c>
      <c r="W1130" s="23" t="e">
        <f>IF(Table1[[#This Row],[Zscore]]&lt;1.81,1,0)</f>
        <v>#DIV/0!</v>
      </c>
    </row>
    <row r="1131" spans="1:23" hidden="1" x14ac:dyDescent="0.45">
      <c r="A1131" s="7">
        <v>1125</v>
      </c>
      <c r="B1131" s="5" t="s">
        <v>2262</v>
      </c>
      <c r="C1131" s="6" t="s">
        <v>2263</v>
      </c>
      <c r="D1131" s="6" t="s">
        <v>18</v>
      </c>
      <c r="E1131" s="6"/>
      <c r="F1131" s="6"/>
      <c r="G1131" s="6"/>
      <c r="H1131" s="6"/>
      <c r="I1131" s="6"/>
      <c r="J1131" s="8"/>
      <c r="K1131" s="6"/>
      <c r="L1131" s="6"/>
      <c r="M1131" s="8"/>
      <c r="N1131" s="8"/>
      <c r="O1131" s="8"/>
      <c r="P1131" s="8"/>
      <c r="Q1131" s="18" t="e">
        <f>(Table1[[#This Row],[A. TÀI SẢN NGẮN HẠN]]-Table1[[#This Row],[I. Nợ ngắn hạn]])/Table1[[#This Row],[TỔNG CỘNG TÀI SẢN]]</f>
        <v>#DIV/0!</v>
      </c>
      <c r="R1131" s="18" t="e">
        <f>Table1[[#This Row],[- LNST chưa phân phối kỳ này]]/Table1[[#This Row],[TỔNG CỘNG TÀI SẢN]]</f>
        <v>#DIV/0!</v>
      </c>
      <c r="S1131" s="21" t="e">
        <f>Table1[[#This Row],[5. Lợi nhuận gộp về bán hàng và cung cấp dịch vụ]]/Table1[[#This Row],[TỔNG CỘNG TÀI SẢN]]</f>
        <v>#DIV/0!</v>
      </c>
      <c r="T113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131" s="23" t="e">
        <f>Table1[[#This Row],[1. Doanh thu bán hàng và cung cấp dịch vụ ]]/Table1[[#This Row],[TỔNG CỘNG TÀI SẢN]]</f>
        <v>#DIV/0!</v>
      </c>
      <c r="V1131" s="23" t="e">
        <f>1.2*Table1[[#This Row],[X1]] + 1.4*Table1[[#This Row],[X2]] + 3.3*Table1[[#This Row],[x3]] + 0.6*Table1[[#This Row],[x4]] + 1*Table1[[#This Row],[x5]]</f>
        <v>#DIV/0!</v>
      </c>
      <c r="W1131" s="23" t="e">
        <f>IF(Table1[[#This Row],[Zscore]]&lt;1.81,1,0)</f>
        <v>#DIV/0!</v>
      </c>
    </row>
    <row r="1132" spans="1:23" hidden="1" x14ac:dyDescent="0.45">
      <c r="A1132" s="7">
        <v>1126</v>
      </c>
      <c r="B1132" s="5" t="s">
        <v>2264</v>
      </c>
      <c r="C1132" s="6" t="s">
        <v>2265</v>
      </c>
      <c r="D1132" s="6" t="s">
        <v>13</v>
      </c>
      <c r="E1132" s="6"/>
      <c r="F1132" s="6"/>
      <c r="G1132" s="6"/>
      <c r="H1132" s="6"/>
      <c r="I1132" s="6"/>
      <c r="J1132" s="8"/>
      <c r="K1132" s="6"/>
      <c r="L1132" s="6"/>
      <c r="M1132" s="8"/>
      <c r="N1132" s="8"/>
      <c r="O1132" s="8"/>
      <c r="P1132" s="8"/>
      <c r="Q1132" s="18" t="e">
        <f>(Table1[[#This Row],[A. TÀI SẢN NGẮN HẠN]]-Table1[[#This Row],[I. Nợ ngắn hạn]])/Table1[[#This Row],[TỔNG CỘNG TÀI SẢN]]</f>
        <v>#DIV/0!</v>
      </c>
      <c r="R1132" s="18" t="e">
        <f>Table1[[#This Row],[- LNST chưa phân phối kỳ này]]/Table1[[#This Row],[TỔNG CỘNG TÀI SẢN]]</f>
        <v>#DIV/0!</v>
      </c>
      <c r="S1132" s="21" t="e">
        <f>Table1[[#This Row],[5. Lợi nhuận gộp về bán hàng và cung cấp dịch vụ]]/Table1[[#This Row],[TỔNG CỘNG TÀI SẢN]]</f>
        <v>#DIV/0!</v>
      </c>
      <c r="T113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132" s="23" t="e">
        <f>Table1[[#This Row],[1. Doanh thu bán hàng và cung cấp dịch vụ ]]/Table1[[#This Row],[TỔNG CỘNG TÀI SẢN]]</f>
        <v>#DIV/0!</v>
      </c>
      <c r="V1132" s="23" t="e">
        <f>1.2*Table1[[#This Row],[X1]] + 1.4*Table1[[#This Row],[X2]] + 3.3*Table1[[#This Row],[x3]] + 0.6*Table1[[#This Row],[x4]] + 1*Table1[[#This Row],[x5]]</f>
        <v>#DIV/0!</v>
      </c>
      <c r="W1132" s="23" t="e">
        <f>IF(Table1[[#This Row],[Zscore]]&lt;1.81,1,0)</f>
        <v>#DIV/0!</v>
      </c>
    </row>
    <row r="1133" spans="1:23" x14ac:dyDescent="0.45">
      <c r="A1133" s="7">
        <v>1127</v>
      </c>
      <c r="B1133" s="5" t="s">
        <v>2266</v>
      </c>
      <c r="C1133" s="6" t="s">
        <v>2267</v>
      </c>
      <c r="D1133" s="6" t="s">
        <v>21</v>
      </c>
      <c r="E1133" s="8">
        <v>18953042840245</v>
      </c>
      <c r="F1133" s="8">
        <v>11715671714140</v>
      </c>
      <c r="G1133" s="8">
        <v>7598266235772</v>
      </c>
      <c r="H1133" s="8">
        <v>735018776205</v>
      </c>
      <c r="I1133" s="8">
        <v>4520040848605</v>
      </c>
      <c r="J1133" s="8"/>
      <c r="K1133" s="8">
        <v>7614415050988</v>
      </c>
      <c r="L1133" s="8">
        <v>37320690884017</v>
      </c>
      <c r="M1133" s="8">
        <v>10680895714800</v>
      </c>
      <c r="N1133" s="8">
        <v>9780471366750</v>
      </c>
      <c r="O1133" s="8">
        <v>10308306329400</v>
      </c>
      <c r="P1133" s="8">
        <v>11798663871000</v>
      </c>
      <c r="Q1133" s="18">
        <f>(Table1[[#This Row],[A. TÀI SẢN NGẮN HẠN]]-Table1[[#This Row],[I. Nợ ngắn hạn]])/Table1[[#This Row],[TỔNG CỘNG TÀI SẢN]]</f>
        <v>0.21724245088630717</v>
      </c>
      <c r="R1133" s="18">
        <f>Table1[[#This Row],[- LNST chưa phân phối kỳ này]]/Table1[[#This Row],[TỔNG CỘNG TÀI SẢN]]</f>
        <v>3.8781043360713398E-2</v>
      </c>
      <c r="S1133" s="21">
        <f>Table1[[#This Row],[5. Lợi nhuận gộp về bán hàng và cung cấp dịch vụ]]/Table1[[#This Row],[TỔNG CỘNG TÀI SẢN]]</f>
        <v>0.23848628880884074</v>
      </c>
      <c r="T113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1.3976233563872575</v>
      </c>
      <c r="U1133" s="23">
        <f>Table1[[#This Row],[1. Doanh thu bán hàng và cung cấp dịch vụ ]]/Table1[[#This Row],[TỔNG CỘNG TÀI SẢN]]</f>
        <v>1.969113413534318</v>
      </c>
      <c r="V1133" s="23">
        <f>1.2*Table1[[#This Row],[X1]] + 1.4*Table1[[#This Row],[X2]] + 3.3*Table1[[#This Row],[x3]] + 0.6*Table1[[#This Row],[x4]] + 1*Table1[[#This Row],[x5]]</f>
        <v>3.9096765822044146</v>
      </c>
      <c r="W1133" s="23">
        <f>IF(Table1[[#This Row],[Zscore]]&lt;1.81,1,0)</f>
        <v>0</v>
      </c>
    </row>
    <row r="1134" spans="1:23" ht="26.25" hidden="1" x14ac:dyDescent="0.45">
      <c r="A1134" s="7">
        <v>1128</v>
      </c>
      <c r="B1134" s="5" t="s">
        <v>2268</v>
      </c>
      <c r="C1134" s="6" t="s">
        <v>2269</v>
      </c>
      <c r="D1134" s="6" t="s">
        <v>18</v>
      </c>
      <c r="E1134" s="6"/>
      <c r="F1134" s="6"/>
      <c r="G1134" s="6"/>
      <c r="H1134" s="6"/>
      <c r="I1134" s="6"/>
      <c r="J1134" s="8"/>
      <c r="K1134" s="6"/>
      <c r="L1134" s="6"/>
      <c r="M1134" s="8"/>
      <c r="N1134" s="8"/>
      <c r="O1134" s="8"/>
      <c r="P1134" s="8"/>
      <c r="Q1134" s="18" t="e">
        <f>(Table1[[#This Row],[A. TÀI SẢN NGẮN HẠN]]-Table1[[#This Row],[I. Nợ ngắn hạn]])/Table1[[#This Row],[TỔNG CỘNG TÀI SẢN]]</f>
        <v>#DIV/0!</v>
      </c>
      <c r="R1134" s="18" t="e">
        <f>Table1[[#This Row],[- LNST chưa phân phối kỳ này]]/Table1[[#This Row],[TỔNG CỘNG TÀI SẢN]]</f>
        <v>#DIV/0!</v>
      </c>
      <c r="S1134" s="21" t="e">
        <f>Table1[[#This Row],[5. Lợi nhuận gộp về bán hàng và cung cấp dịch vụ]]/Table1[[#This Row],[TỔNG CỘNG TÀI SẢN]]</f>
        <v>#DIV/0!</v>
      </c>
      <c r="T113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134" s="23" t="e">
        <f>Table1[[#This Row],[1. Doanh thu bán hàng và cung cấp dịch vụ ]]/Table1[[#This Row],[TỔNG CỘNG TÀI SẢN]]</f>
        <v>#DIV/0!</v>
      </c>
      <c r="V1134" s="23" t="e">
        <f>1.2*Table1[[#This Row],[X1]] + 1.4*Table1[[#This Row],[X2]] + 3.3*Table1[[#This Row],[x3]] + 0.6*Table1[[#This Row],[x4]] + 1*Table1[[#This Row],[x5]]</f>
        <v>#DIV/0!</v>
      </c>
      <c r="W1134" s="23" t="e">
        <f>IF(Table1[[#This Row],[Zscore]]&lt;1.81,1,0)</f>
        <v>#DIV/0!</v>
      </c>
    </row>
    <row r="1135" spans="1:23" ht="26.25" x14ac:dyDescent="0.45">
      <c r="A1135" s="7">
        <v>1129</v>
      </c>
      <c r="B1135" s="5" t="s">
        <v>2270</v>
      </c>
      <c r="C1135" s="6" t="s">
        <v>2271</v>
      </c>
      <c r="D1135" s="6" t="s">
        <v>21</v>
      </c>
      <c r="E1135" s="8">
        <v>468128033797</v>
      </c>
      <c r="F1135" s="8">
        <v>310028602424</v>
      </c>
      <c r="G1135" s="8">
        <v>20992484983</v>
      </c>
      <c r="H1135" s="8">
        <v>164244939</v>
      </c>
      <c r="I1135" s="8">
        <v>2175781665</v>
      </c>
      <c r="J1135" s="8"/>
      <c r="K1135" s="8">
        <v>21063521555</v>
      </c>
      <c r="L1135" s="8">
        <v>46266299785</v>
      </c>
      <c r="M1135" s="8">
        <v>160440230080</v>
      </c>
      <c r="N1135" s="8">
        <v>269585867370</v>
      </c>
      <c r="O1135" s="8">
        <v>249145164980</v>
      </c>
      <c r="P1135" s="8">
        <v>420384256700</v>
      </c>
      <c r="Q1135" s="18">
        <f>(Table1[[#This Row],[A. TÀI SẢN NGẮN HẠN]]-Table1[[#This Row],[I. Nợ ngắn hạn]])/Table1[[#This Row],[TỔNG CỘNG TÀI SẢN]]</f>
        <v>0.61742962731075879</v>
      </c>
      <c r="R1135" s="18">
        <f>Table1[[#This Row],[- LNST chưa phân phối kỳ này]]/Table1[[#This Row],[TỔNG CỘNG TÀI SẢN]]</f>
        <v>3.5085473875128681E-4</v>
      </c>
      <c r="S1135" s="21">
        <f>Table1[[#This Row],[5. Lợi nhuận gộp về bán hàng và cung cấp dịch vụ]]/Table1[[#This Row],[TỔNG CỘNG TÀI SẢN]]</f>
        <v>4.6478345835265882E-3</v>
      </c>
      <c r="T113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13.050471122063994</v>
      </c>
      <c r="U1135" s="23">
        <f>Table1[[#This Row],[1. Doanh thu bán hàng và cung cấp dịch vụ ]]/Table1[[#This Row],[TỔNG CỘNG TÀI SẢN]]</f>
        <v>9.8832576655862092E-2</v>
      </c>
      <c r="V1135" s="23">
        <f>1.2*Table1[[#This Row],[X1]] + 1.4*Table1[[#This Row],[X2]] + 3.3*Table1[[#This Row],[x3]] + 0.6*Table1[[#This Row],[x4]] + 1*Table1[[#This Row],[x5]]</f>
        <v>8.6858598534270577</v>
      </c>
      <c r="W1135" s="23">
        <f>IF(Table1[[#This Row],[Zscore]]&lt;1.81,1,0)</f>
        <v>0</v>
      </c>
    </row>
    <row r="1136" spans="1:23" ht="26.25" x14ac:dyDescent="0.45">
      <c r="A1136" s="7">
        <v>1130</v>
      </c>
      <c r="B1136" s="5" t="s">
        <v>2272</v>
      </c>
      <c r="C1136" s="6" t="s">
        <v>2273</v>
      </c>
      <c r="D1136" s="6" t="s">
        <v>18</v>
      </c>
      <c r="E1136" s="8">
        <v>1154790517718</v>
      </c>
      <c r="F1136" s="8">
        <v>482239447240</v>
      </c>
      <c r="G1136" s="8">
        <v>438674300565</v>
      </c>
      <c r="H1136" s="8">
        <v>7943227939</v>
      </c>
      <c r="I1136" s="8">
        <v>147652491396</v>
      </c>
      <c r="J1136" s="8"/>
      <c r="K1136" s="8">
        <v>759346889253</v>
      </c>
      <c r="L1136" s="8">
        <v>1237780615777</v>
      </c>
      <c r="M1136" s="8">
        <v>102500000000</v>
      </c>
      <c r="N1136" s="8">
        <v>141450000000</v>
      </c>
      <c r="O1136" s="8">
        <v>108650000000</v>
      </c>
      <c r="P1136" s="8">
        <v>139400000000</v>
      </c>
      <c r="Q1136" s="18">
        <f>(Table1[[#This Row],[A. TÀI SẢN NGẮN HẠN]]-Table1[[#This Row],[I. Nợ ngắn hạn]])/Table1[[#This Row],[TỔNG CỘNG TÀI SẢN]]</f>
        <v>3.7725583996905156E-2</v>
      </c>
      <c r="R1136" s="18">
        <f>Table1[[#This Row],[- LNST chưa phân phối kỳ này]]/Table1[[#This Row],[TỔNG CỘNG TÀI SẢN]]</f>
        <v>6.8785011801939105E-3</v>
      </c>
      <c r="S1136" s="21">
        <f>Table1[[#This Row],[5. Lợi nhuận gộp về bán hàng và cung cấp dịch vụ]]/Table1[[#This Row],[TỔNG CỘNG TÀI SẢN]]</f>
        <v>0.12786084500224201</v>
      </c>
      <c r="T113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0.16198130490927543</v>
      </c>
      <c r="U1136" s="23">
        <f>Table1[[#This Row],[1. Doanh thu bán hàng và cung cấp dịch vụ ]]/Table1[[#This Row],[TỔNG CỘNG TÀI SẢN]]</f>
        <v>1.0718659330724312</v>
      </c>
      <c r="V1136" s="23">
        <f>1.2*Table1[[#This Row],[X1]] + 1.4*Table1[[#This Row],[X2]] + 3.3*Table1[[#This Row],[x3]] + 0.6*Table1[[#This Row],[x4]] + 1*Table1[[#This Row],[x5]]</f>
        <v>1.6458961069739528</v>
      </c>
      <c r="W1136" s="23">
        <f>IF(Table1[[#This Row],[Zscore]]&lt;1.81,1,0)</f>
        <v>1</v>
      </c>
    </row>
    <row r="1137" spans="1:23" x14ac:dyDescent="0.45">
      <c r="A1137" s="7">
        <v>1131</v>
      </c>
      <c r="B1137" s="5" t="s">
        <v>2274</v>
      </c>
      <c r="C1137" s="6" t="s">
        <v>2275</v>
      </c>
      <c r="D1137" s="6" t="s">
        <v>18</v>
      </c>
      <c r="E1137" s="8">
        <v>227200577079</v>
      </c>
      <c r="F1137" s="8">
        <v>206974472788</v>
      </c>
      <c r="G1137" s="8">
        <v>29832950885</v>
      </c>
      <c r="H1137" s="8">
        <v>20540197010</v>
      </c>
      <c r="I1137" s="8">
        <v>72408440347</v>
      </c>
      <c r="J1137" s="8"/>
      <c r="K1137" s="8">
        <v>29832950885</v>
      </c>
      <c r="L1137" s="8">
        <v>433298171435</v>
      </c>
      <c r="M1137" s="8">
        <v>194838793200</v>
      </c>
      <c r="N1137" s="8">
        <v>171987329800</v>
      </c>
      <c r="O1137" s="8">
        <v>180406290000</v>
      </c>
      <c r="P1137" s="8">
        <v>171987329800</v>
      </c>
      <c r="Q1137" s="18">
        <f>(Table1[[#This Row],[A. TÀI SẢN NGẮN HẠN]]-Table1[[#This Row],[I. Nợ ngắn hạn]])/Table1[[#This Row],[TỔNG CỘNG TÀI SẢN]]</f>
        <v>0.77967021114302038</v>
      </c>
      <c r="R1137" s="18">
        <f>Table1[[#This Row],[- LNST chưa phân phối kỳ này]]/Table1[[#This Row],[TỔNG CỘNG TÀI SẢN]]</f>
        <v>9.0405567072384507E-2</v>
      </c>
      <c r="S1137" s="21">
        <f>Table1[[#This Row],[5. Lợi nhuận gộp về bán hàng và cung cấp dịch vụ]]/Table1[[#This Row],[TỔNG CỘNG TÀI SẢN]]</f>
        <v>0.31869831176451119</v>
      </c>
      <c r="T113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6.0270583487738678</v>
      </c>
      <c r="U1137" s="23">
        <f>Table1[[#This Row],[1. Doanh thu bán hàng và cung cấp dịch vụ ]]/Table1[[#This Row],[TỔNG CỘNG TÀI SẢN]]</f>
        <v>1.907117389426074</v>
      </c>
      <c r="V1137" s="23">
        <f>1.2*Table1[[#This Row],[X1]] + 1.4*Table1[[#This Row],[X2]] + 3.3*Table1[[#This Row],[x3]] + 0.6*Table1[[#This Row],[x4]] + 1*Table1[[#This Row],[x5]]</f>
        <v>7.6372288747862447</v>
      </c>
      <c r="W1137" s="23">
        <f>IF(Table1[[#This Row],[Zscore]]&lt;1.81,1,0)</f>
        <v>0</v>
      </c>
    </row>
    <row r="1138" spans="1:23" hidden="1" x14ac:dyDescent="0.45">
      <c r="A1138" s="7">
        <v>1132</v>
      </c>
      <c r="B1138" s="5" t="s">
        <v>2276</v>
      </c>
      <c r="C1138" s="6" t="s">
        <v>2277</v>
      </c>
      <c r="D1138" s="6" t="s">
        <v>13</v>
      </c>
      <c r="E1138" s="6"/>
      <c r="F1138" s="6"/>
      <c r="G1138" s="6"/>
      <c r="H1138" s="6"/>
      <c r="I1138" s="6"/>
      <c r="J1138" s="8"/>
      <c r="K1138" s="6"/>
      <c r="L1138" s="6"/>
      <c r="M1138" s="8"/>
      <c r="N1138" s="8"/>
      <c r="O1138" s="8"/>
      <c r="P1138" s="8"/>
      <c r="Q1138" s="18" t="e">
        <f>(Table1[[#This Row],[A. TÀI SẢN NGẮN HẠN]]-Table1[[#This Row],[I. Nợ ngắn hạn]])/Table1[[#This Row],[TỔNG CỘNG TÀI SẢN]]</f>
        <v>#DIV/0!</v>
      </c>
      <c r="R1138" s="18" t="e">
        <f>Table1[[#This Row],[- LNST chưa phân phối kỳ này]]/Table1[[#This Row],[TỔNG CỘNG TÀI SẢN]]</f>
        <v>#DIV/0!</v>
      </c>
      <c r="S1138" s="21" t="e">
        <f>Table1[[#This Row],[5. Lợi nhuận gộp về bán hàng và cung cấp dịch vụ]]/Table1[[#This Row],[TỔNG CỘNG TÀI SẢN]]</f>
        <v>#DIV/0!</v>
      </c>
      <c r="T113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138" s="23" t="e">
        <f>Table1[[#This Row],[1. Doanh thu bán hàng và cung cấp dịch vụ ]]/Table1[[#This Row],[TỔNG CỘNG TÀI SẢN]]</f>
        <v>#DIV/0!</v>
      </c>
      <c r="V1138" s="23" t="e">
        <f>1.2*Table1[[#This Row],[X1]] + 1.4*Table1[[#This Row],[X2]] + 3.3*Table1[[#This Row],[x3]] + 0.6*Table1[[#This Row],[x4]] + 1*Table1[[#This Row],[x5]]</f>
        <v>#DIV/0!</v>
      </c>
      <c r="W1138" s="23" t="e">
        <f>IF(Table1[[#This Row],[Zscore]]&lt;1.81,1,0)</f>
        <v>#DIV/0!</v>
      </c>
    </row>
    <row r="1139" spans="1:23" ht="26.25" hidden="1" x14ac:dyDescent="0.45">
      <c r="A1139" s="7">
        <v>1133</v>
      </c>
      <c r="B1139" s="5" t="s">
        <v>2278</v>
      </c>
      <c r="C1139" s="6" t="s">
        <v>2279</v>
      </c>
      <c r="D1139" s="6" t="s">
        <v>13</v>
      </c>
      <c r="E1139" s="6"/>
      <c r="F1139" s="6"/>
      <c r="G1139" s="6"/>
      <c r="H1139" s="6"/>
      <c r="I1139" s="6"/>
      <c r="J1139" s="8"/>
      <c r="K1139" s="6"/>
      <c r="L1139" s="6"/>
      <c r="M1139" s="8"/>
      <c r="N1139" s="8"/>
      <c r="O1139" s="8"/>
      <c r="P1139" s="8"/>
      <c r="Q1139" s="18" t="e">
        <f>(Table1[[#This Row],[A. TÀI SẢN NGẮN HẠN]]-Table1[[#This Row],[I. Nợ ngắn hạn]])/Table1[[#This Row],[TỔNG CỘNG TÀI SẢN]]</f>
        <v>#DIV/0!</v>
      </c>
      <c r="R1139" s="18" t="e">
        <f>Table1[[#This Row],[- LNST chưa phân phối kỳ này]]/Table1[[#This Row],[TỔNG CỘNG TÀI SẢN]]</f>
        <v>#DIV/0!</v>
      </c>
      <c r="S1139" s="21" t="e">
        <f>Table1[[#This Row],[5. Lợi nhuận gộp về bán hàng và cung cấp dịch vụ]]/Table1[[#This Row],[TỔNG CỘNG TÀI SẢN]]</f>
        <v>#DIV/0!</v>
      </c>
      <c r="T113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139" s="23" t="e">
        <f>Table1[[#This Row],[1. Doanh thu bán hàng và cung cấp dịch vụ ]]/Table1[[#This Row],[TỔNG CỘNG TÀI SẢN]]</f>
        <v>#DIV/0!</v>
      </c>
      <c r="V1139" s="23" t="e">
        <f>1.2*Table1[[#This Row],[X1]] + 1.4*Table1[[#This Row],[X2]] + 3.3*Table1[[#This Row],[x3]] + 0.6*Table1[[#This Row],[x4]] + 1*Table1[[#This Row],[x5]]</f>
        <v>#DIV/0!</v>
      </c>
      <c r="W1139" s="23" t="e">
        <f>IF(Table1[[#This Row],[Zscore]]&lt;1.81,1,0)</f>
        <v>#DIV/0!</v>
      </c>
    </row>
    <row r="1140" spans="1:23" x14ac:dyDescent="0.45">
      <c r="A1140" s="7">
        <v>1134</v>
      </c>
      <c r="B1140" s="5" t="s">
        <v>2280</v>
      </c>
      <c r="C1140" s="6" t="s">
        <v>2281</v>
      </c>
      <c r="D1140" s="6" t="s">
        <v>18</v>
      </c>
      <c r="E1140" s="8">
        <v>577282108684</v>
      </c>
      <c r="F1140" s="8">
        <v>474150022330</v>
      </c>
      <c r="G1140" s="8">
        <v>399583223203</v>
      </c>
      <c r="H1140" s="8">
        <v>4455306028</v>
      </c>
      <c r="I1140" s="8">
        <v>21881138652</v>
      </c>
      <c r="J1140" s="8"/>
      <c r="K1140" s="8">
        <v>399583223203</v>
      </c>
      <c r="L1140" s="8">
        <v>1616078015149</v>
      </c>
      <c r="M1140" s="8">
        <v>61424976600</v>
      </c>
      <c r="N1140" s="8">
        <v>70874973000</v>
      </c>
      <c r="O1140" s="8">
        <v>59849977200</v>
      </c>
      <c r="P1140" s="8">
        <v>75599971200</v>
      </c>
      <c r="Q1140" s="18">
        <f>(Table1[[#This Row],[A. TÀI SẢN NGẮN HẠN]]-Table1[[#This Row],[I. Nợ ngắn hạn]])/Table1[[#This Row],[TỔNG CỘNG TÀI SẢN]]</f>
        <v>0.12916873397823822</v>
      </c>
      <c r="R1140" s="18">
        <f>Table1[[#This Row],[- LNST chưa phân phối kỳ này]]/Table1[[#This Row],[TỔNG CỘNG TÀI SẢN]]</f>
        <v>7.7177275390649634E-3</v>
      </c>
      <c r="S1140" s="21">
        <f>Table1[[#This Row],[5. Lợi nhuận gộp về bán hàng và cung cấp dịch vụ]]/Table1[[#This Row],[TỔNG CỘNG TÀI SẢN]]</f>
        <v>3.790371868943123E-2</v>
      </c>
      <c r="T114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0.16751823052889736</v>
      </c>
      <c r="U1140" s="23">
        <f>Table1[[#This Row],[1. Doanh thu bán hàng và cung cấp dịch vụ ]]/Table1[[#This Row],[TỔNG CỘNG TÀI SẢN]]</f>
        <v>2.7994597283347114</v>
      </c>
      <c r="V1140" s="23">
        <f>1.2*Table1[[#This Row],[X1]] + 1.4*Table1[[#This Row],[X2]] + 3.3*Table1[[#This Row],[x3]] + 0.6*Table1[[#This Row],[x4]] + 1*Table1[[#This Row],[x5]]</f>
        <v>3.1908602376557496</v>
      </c>
      <c r="W1140" s="23">
        <f>IF(Table1[[#This Row],[Zscore]]&lt;1.81,1,0)</f>
        <v>0</v>
      </c>
    </row>
    <row r="1141" spans="1:23" x14ac:dyDescent="0.45">
      <c r="A1141" s="7">
        <v>1135</v>
      </c>
      <c r="B1141" s="5" t="s">
        <v>2282</v>
      </c>
      <c r="C1141" s="6" t="s">
        <v>2283</v>
      </c>
      <c r="D1141" s="6" t="s">
        <v>21</v>
      </c>
      <c r="E1141" s="8">
        <v>7600347667748</v>
      </c>
      <c r="F1141" s="8">
        <v>1657313551722</v>
      </c>
      <c r="G1141" s="8">
        <v>2460075502855</v>
      </c>
      <c r="H1141" s="8">
        <v>273733616880</v>
      </c>
      <c r="I1141" s="8">
        <v>920056530652</v>
      </c>
      <c r="J1141" s="8"/>
      <c r="K1141" s="8">
        <v>2511538525960</v>
      </c>
      <c r="L1141" s="8">
        <v>7963542745613</v>
      </c>
      <c r="M1141" s="8">
        <v>4559999436450</v>
      </c>
      <c r="N1141" s="8">
        <v>6296233531500</v>
      </c>
      <c r="O1141" s="8">
        <v>4579078932000</v>
      </c>
      <c r="P1141" s="8">
        <v>6448869495900</v>
      </c>
      <c r="Q1141" s="18">
        <f>(Table1[[#This Row],[A. TÀI SẢN NGẮN HẠN]]-Table1[[#This Row],[I. Nợ ngắn hạn]])/Table1[[#This Row],[TỔNG CỘNG TÀI SẢN]]</f>
        <v>-0.10562174077108503</v>
      </c>
      <c r="R1141" s="18">
        <f>Table1[[#This Row],[- LNST chưa phân phối kỳ này]]/Table1[[#This Row],[TỔNG CỘNG TÀI SẢN]]</f>
        <v>3.6015933592299453E-2</v>
      </c>
      <c r="S1141" s="21">
        <f>Table1[[#This Row],[5. Lợi nhuận gộp về bán hàng và cung cấp dịch vụ]]/Table1[[#This Row],[TỔNG CỘNG TÀI SẢN]]</f>
        <v>0.1210545320915056</v>
      </c>
      <c r="T114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2.1783640953193304</v>
      </c>
      <c r="U1141" s="23">
        <f>Table1[[#This Row],[1. Doanh thu bán hàng và cung cấp dịch vụ ]]/Table1[[#This Row],[TỔNG CỘNG TÀI SẢN]]</f>
        <v>1.0477866399988798</v>
      </c>
      <c r="V1141" s="23">
        <f>1.2*Table1[[#This Row],[X1]] + 1.4*Table1[[#This Row],[X2]] + 3.3*Table1[[#This Row],[x3]] + 0.6*Table1[[#This Row],[x4]] + 1*Table1[[#This Row],[x5]]</f>
        <v>2.6779612711963638</v>
      </c>
      <c r="W1141" s="23">
        <f>IF(Table1[[#This Row],[Zscore]]&lt;1.81,1,0)</f>
        <v>0</v>
      </c>
    </row>
    <row r="1142" spans="1:23" hidden="1" x14ac:dyDescent="0.45">
      <c r="A1142" s="7">
        <v>1136</v>
      </c>
      <c r="B1142" s="5" t="s">
        <v>2284</v>
      </c>
      <c r="C1142" s="6" t="s">
        <v>2285</v>
      </c>
      <c r="D1142" s="6" t="s">
        <v>13</v>
      </c>
      <c r="E1142" s="6"/>
      <c r="F1142" s="6"/>
      <c r="G1142" s="6"/>
      <c r="H1142" s="6"/>
      <c r="I1142" s="6"/>
      <c r="J1142" s="8"/>
      <c r="K1142" s="6"/>
      <c r="L1142" s="6"/>
      <c r="M1142" s="8"/>
      <c r="N1142" s="8"/>
      <c r="O1142" s="8"/>
      <c r="P1142" s="8"/>
      <c r="Q1142" s="18" t="e">
        <f>(Table1[[#This Row],[A. TÀI SẢN NGẮN HẠN]]-Table1[[#This Row],[I. Nợ ngắn hạn]])/Table1[[#This Row],[TỔNG CỘNG TÀI SẢN]]</f>
        <v>#DIV/0!</v>
      </c>
      <c r="R1142" s="18" t="e">
        <f>Table1[[#This Row],[- LNST chưa phân phối kỳ này]]/Table1[[#This Row],[TỔNG CỘNG TÀI SẢN]]</f>
        <v>#DIV/0!</v>
      </c>
      <c r="S1142" s="21" t="e">
        <f>Table1[[#This Row],[5. Lợi nhuận gộp về bán hàng và cung cấp dịch vụ]]/Table1[[#This Row],[TỔNG CỘNG TÀI SẢN]]</f>
        <v>#DIV/0!</v>
      </c>
      <c r="T114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142" s="23" t="e">
        <f>Table1[[#This Row],[1. Doanh thu bán hàng và cung cấp dịch vụ ]]/Table1[[#This Row],[TỔNG CỘNG TÀI SẢN]]</f>
        <v>#DIV/0!</v>
      </c>
      <c r="V1142" s="23" t="e">
        <f>1.2*Table1[[#This Row],[X1]] + 1.4*Table1[[#This Row],[X2]] + 3.3*Table1[[#This Row],[x3]] + 0.6*Table1[[#This Row],[x4]] + 1*Table1[[#This Row],[x5]]</f>
        <v>#DIV/0!</v>
      </c>
      <c r="W1142" s="23" t="e">
        <f>IF(Table1[[#This Row],[Zscore]]&lt;1.81,1,0)</f>
        <v>#DIV/0!</v>
      </c>
    </row>
    <row r="1143" spans="1:23" x14ac:dyDescent="0.45">
      <c r="A1143" s="7">
        <v>1137</v>
      </c>
      <c r="B1143" s="5" t="s">
        <v>2286</v>
      </c>
      <c r="C1143" s="6" t="s">
        <v>2287</v>
      </c>
      <c r="D1143" s="6" t="s">
        <v>36</v>
      </c>
      <c r="E1143" s="8">
        <v>599893185455</v>
      </c>
      <c r="F1143" s="8">
        <v>322470489750</v>
      </c>
      <c r="G1143" s="8">
        <v>203119136099</v>
      </c>
      <c r="H1143" s="8">
        <v>13223683193</v>
      </c>
      <c r="I1143" s="8">
        <v>139019454732</v>
      </c>
      <c r="J1143" s="8"/>
      <c r="K1143" s="8">
        <v>299183580264</v>
      </c>
      <c r="L1143" s="8">
        <v>1004988618880</v>
      </c>
      <c r="M1143" s="8">
        <v>442199812400</v>
      </c>
      <c r="N1143" s="8">
        <v>556049764100</v>
      </c>
      <c r="O1143" s="8">
        <v>424049820100</v>
      </c>
      <c r="P1143" s="8">
        <v>414149824300</v>
      </c>
      <c r="Q1143" s="18">
        <f>(Table1[[#This Row],[A. TÀI SẢN NGẮN HẠN]]-Table1[[#This Row],[I. Nợ ngắn hạn]])/Table1[[#This Row],[TỔNG CỘNG TÀI SẢN]]</f>
        <v>0.19895434144742913</v>
      </c>
      <c r="R1143" s="18">
        <f>Table1[[#This Row],[- LNST chưa phân phối kỳ này]]/Table1[[#This Row],[TỔNG CỘNG TÀI SẢN]]</f>
        <v>2.2043396247234004E-2</v>
      </c>
      <c r="S1143" s="21">
        <f>Table1[[#This Row],[5. Lợi nhuận gộp về bán hàng và cung cấp dịch vụ]]/Table1[[#This Row],[TỔNG CỘNG TÀI SẢN]]</f>
        <v>0.23174034661947049</v>
      </c>
      <c r="T114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1.5345504750624306</v>
      </c>
      <c r="U1143" s="23">
        <f>Table1[[#This Row],[1. Doanh thu bán hàng và cung cấp dịch vụ ]]/Table1[[#This Row],[TỔNG CỘNG TÀI SẢN]]</f>
        <v>1.6752792717886067</v>
      </c>
      <c r="V1143" s="23">
        <f>1.2*Table1[[#This Row],[X1]] + 1.4*Table1[[#This Row],[X2]] + 3.3*Table1[[#This Row],[x3]] + 0.6*Table1[[#This Row],[x4]] + 1*Table1[[#This Row],[x5]]</f>
        <v>3.6303586651533601</v>
      </c>
      <c r="W1143" s="23">
        <f>IF(Table1[[#This Row],[Zscore]]&lt;1.81,1,0)</f>
        <v>0</v>
      </c>
    </row>
    <row r="1144" spans="1:23" ht="26.25" hidden="1" x14ac:dyDescent="0.45">
      <c r="A1144" s="7">
        <v>1138</v>
      </c>
      <c r="B1144" s="5" t="s">
        <v>2288</v>
      </c>
      <c r="C1144" s="6" t="s">
        <v>2289</v>
      </c>
      <c r="D1144" s="6" t="s">
        <v>13</v>
      </c>
      <c r="E1144" s="6"/>
      <c r="F1144" s="6"/>
      <c r="G1144" s="6"/>
      <c r="H1144" s="6"/>
      <c r="I1144" s="6"/>
      <c r="J1144" s="8"/>
      <c r="K1144" s="6"/>
      <c r="L1144" s="6"/>
      <c r="M1144" s="8"/>
      <c r="N1144" s="8"/>
      <c r="O1144" s="8"/>
      <c r="P1144" s="8"/>
      <c r="Q1144" s="18" t="e">
        <f>(Table1[[#This Row],[A. TÀI SẢN NGẮN HẠN]]-Table1[[#This Row],[I. Nợ ngắn hạn]])/Table1[[#This Row],[TỔNG CỘNG TÀI SẢN]]</f>
        <v>#DIV/0!</v>
      </c>
      <c r="R1144" s="18" t="e">
        <f>Table1[[#This Row],[- LNST chưa phân phối kỳ này]]/Table1[[#This Row],[TỔNG CỘNG TÀI SẢN]]</f>
        <v>#DIV/0!</v>
      </c>
      <c r="S1144" s="21" t="e">
        <f>Table1[[#This Row],[5. Lợi nhuận gộp về bán hàng và cung cấp dịch vụ]]/Table1[[#This Row],[TỔNG CỘNG TÀI SẢN]]</f>
        <v>#DIV/0!</v>
      </c>
      <c r="T114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144" s="23" t="e">
        <f>Table1[[#This Row],[1. Doanh thu bán hàng và cung cấp dịch vụ ]]/Table1[[#This Row],[TỔNG CỘNG TÀI SẢN]]</f>
        <v>#DIV/0!</v>
      </c>
      <c r="V1144" s="23" t="e">
        <f>1.2*Table1[[#This Row],[X1]] + 1.4*Table1[[#This Row],[X2]] + 3.3*Table1[[#This Row],[x3]] + 0.6*Table1[[#This Row],[x4]] + 1*Table1[[#This Row],[x5]]</f>
        <v>#DIV/0!</v>
      </c>
      <c r="W1144" s="23" t="e">
        <f>IF(Table1[[#This Row],[Zscore]]&lt;1.81,1,0)</f>
        <v>#DIV/0!</v>
      </c>
    </row>
    <row r="1145" spans="1:23" ht="26.25" x14ac:dyDescent="0.45">
      <c r="A1145" s="7">
        <v>1139</v>
      </c>
      <c r="B1145" s="5" t="s">
        <v>2290</v>
      </c>
      <c r="C1145" s="6" t="s">
        <v>2291</v>
      </c>
      <c r="D1145" s="6" t="s">
        <v>18</v>
      </c>
      <c r="E1145" s="8">
        <v>266418126335</v>
      </c>
      <c r="F1145" s="8">
        <v>154684351103</v>
      </c>
      <c r="G1145" s="8">
        <v>40462394565</v>
      </c>
      <c r="H1145" s="8">
        <v>3053291178</v>
      </c>
      <c r="I1145" s="8">
        <v>15026858712</v>
      </c>
      <c r="J1145" s="8"/>
      <c r="K1145" s="8">
        <v>40463594565</v>
      </c>
      <c r="L1145" s="8">
        <v>401519398480</v>
      </c>
      <c r="M1145" s="8">
        <v>86025027000</v>
      </c>
      <c r="N1145" s="8">
        <v>76969761000</v>
      </c>
      <c r="O1145" s="8">
        <v>86025027000</v>
      </c>
      <c r="P1145" s="8">
        <v>90552660000</v>
      </c>
      <c r="Q1145" s="18">
        <f>(Table1[[#This Row],[A. TÀI SẢN NGẮN HẠN]]-Table1[[#This Row],[I. Nợ ngắn hạn]])/Table1[[#This Row],[TỔNG CỘNG TÀI SẢN]]</f>
        <v>0.42873192642446112</v>
      </c>
      <c r="R1145" s="18">
        <f>Table1[[#This Row],[- LNST chưa phân phối kỳ này]]/Table1[[#This Row],[TỔNG CỘNG TÀI SẢN]]</f>
        <v>1.1460523426100237E-2</v>
      </c>
      <c r="S1145" s="21">
        <f>Table1[[#This Row],[5. Lợi nhuận gộp về bán hàng và cung cấp dịch vụ]]/Table1[[#This Row],[TỔNG CỘNG TÀI SẢN]]</f>
        <v>5.6403289516062799E-2</v>
      </c>
      <c r="T114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2.0980122913605515</v>
      </c>
      <c r="U1145" s="23">
        <f>Table1[[#This Row],[1. Doanh thu bán hàng và cung cấp dịch vụ ]]/Table1[[#This Row],[TỔNG CỘNG TÀI SẢN]]</f>
        <v>1.5071024032918867</v>
      </c>
      <c r="V1145" s="23">
        <f>1.2*Table1[[#This Row],[X1]] + 1.4*Table1[[#This Row],[X2]] + 3.3*Table1[[#This Row],[x3]] + 0.6*Table1[[#This Row],[x4]] + 1*Table1[[#This Row],[x5]]</f>
        <v>3.4825636780171183</v>
      </c>
      <c r="W1145" s="23">
        <f>IF(Table1[[#This Row],[Zscore]]&lt;1.81,1,0)</f>
        <v>0</v>
      </c>
    </row>
    <row r="1146" spans="1:23" ht="26.25" x14ac:dyDescent="0.45">
      <c r="A1146" s="7">
        <v>1140</v>
      </c>
      <c r="B1146" s="5" t="s">
        <v>2292</v>
      </c>
      <c r="C1146" s="6" t="s">
        <v>2293</v>
      </c>
      <c r="D1146" s="6" t="s">
        <v>21</v>
      </c>
      <c r="E1146" s="8">
        <v>3737760469074</v>
      </c>
      <c r="F1146" s="8">
        <v>2745127796924</v>
      </c>
      <c r="G1146" s="8">
        <v>2332947578113</v>
      </c>
      <c r="H1146" s="8">
        <v>226599475350</v>
      </c>
      <c r="I1146" s="8">
        <v>630523064441</v>
      </c>
      <c r="J1146" s="8"/>
      <c r="K1146" s="8">
        <v>2625461607307</v>
      </c>
      <c r="L1146" s="8">
        <v>5412229347365</v>
      </c>
      <c r="M1146" s="8">
        <v>1710128630000</v>
      </c>
      <c r="N1146" s="8">
        <v>1558917256400</v>
      </c>
      <c r="O1146" s="8">
        <v>1560717391800</v>
      </c>
      <c r="P1146" s="8">
        <v>1641723484800</v>
      </c>
      <c r="Q1146" s="18">
        <f>(Table1[[#This Row],[A. TÀI SẢN NGẮN HẠN]]-Table1[[#This Row],[I. Nợ ngắn hạn]])/Table1[[#This Row],[TỔNG CỘNG TÀI SẢN]]</f>
        <v>0.11027464767241073</v>
      </c>
      <c r="R1146" s="18">
        <f>Table1[[#This Row],[- LNST chưa phân phối kỳ này]]/Table1[[#This Row],[TỔNG CỘNG TÀI SẢN]]</f>
        <v>6.0624397209203242E-2</v>
      </c>
      <c r="S1146" s="21">
        <f>Table1[[#This Row],[5. Lợi nhuận gộp về bán hàng và cung cấp dịch vụ]]/Table1[[#This Row],[TỔNG CỘNG TÀI SẢN]]</f>
        <v>0.16869006712920986</v>
      </c>
      <c r="T114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0.616223709479222</v>
      </c>
      <c r="U1146" s="23">
        <f>Table1[[#This Row],[1. Doanh thu bán hàng và cung cấp dịch vụ ]]/Table1[[#This Row],[TỔNG CỘNG TÀI SẢN]]</f>
        <v>1.4479872084221159</v>
      </c>
      <c r="V1146" s="23">
        <f>1.2*Table1[[#This Row],[X1]] + 1.4*Table1[[#This Row],[X2]] + 3.3*Table1[[#This Row],[x3]] + 0.6*Table1[[#This Row],[x4]] + 1*Table1[[#This Row],[x5]]</f>
        <v>2.5916023889358191</v>
      </c>
      <c r="W1146" s="23">
        <f>IF(Table1[[#This Row],[Zscore]]&lt;1.81,1,0)</f>
        <v>0</v>
      </c>
    </row>
    <row r="1147" spans="1:23" hidden="1" x14ac:dyDescent="0.45">
      <c r="A1147" s="7">
        <v>1141</v>
      </c>
      <c r="B1147" s="5" t="s">
        <v>2294</v>
      </c>
      <c r="C1147" s="6" t="s">
        <v>2295</v>
      </c>
      <c r="D1147" s="6" t="s">
        <v>13</v>
      </c>
      <c r="E1147" s="6"/>
      <c r="F1147" s="6"/>
      <c r="G1147" s="6"/>
      <c r="H1147" s="6"/>
      <c r="I1147" s="6"/>
      <c r="J1147" s="8"/>
      <c r="K1147" s="6"/>
      <c r="L1147" s="6"/>
      <c r="M1147" s="8"/>
      <c r="N1147" s="8"/>
      <c r="O1147" s="8"/>
      <c r="P1147" s="8"/>
      <c r="Q1147" s="18" t="e">
        <f>(Table1[[#This Row],[A. TÀI SẢN NGẮN HẠN]]-Table1[[#This Row],[I. Nợ ngắn hạn]])/Table1[[#This Row],[TỔNG CỘNG TÀI SẢN]]</f>
        <v>#DIV/0!</v>
      </c>
      <c r="R1147" s="18" t="e">
        <f>Table1[[#This Row],[- LNST chưa phân phối kỳ này]]/Table1[[#This Row],[TỔNG CỘNG TÀI SẢN]]</f>
        <v>#DIV/0!</v>
      </c>
      <c r="S1147" s="21" t="e">
        <f>Table1[[#This Row],[5. Lợi nhuận gộp về bán hàng và cung cấp dịch vụ]]/Table1[[#This Row],[TỔNG CỘNG TÀI SẢN]]</f>
        <v>#DIV/0!</v>
      </c>
      <c r="T114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147" s="23" t="e">
        <f>Table1[[#This Row],[1. Doanh thu bán hàng và cung cấp dịch vụ ]]/Table1[[#This Row],[TỔNG CỘNG TÀI SẢN]]</f>
        <v>#DIV/0!</v>
      </c>
      <c r="V1147" s="23" t="e">
        <f>1.2*Table1[[#This Row],[X1]] + 1.4*Table1[[#This Row],[X2]] + 3.3*Table1[[#This Row],[x3]] + 0.6*Table1[[#This Row],[x4]] + 1*Table1[[#This Row],[x5]]</f>
        <v>#DIV/0!</v>
      </c>
      <c r="W1147" s="23" t="e">
        <f>IF(Table1[[#This Row],[Zscore]]&lt;1.81,1,0)</f>
        <v>#DIV/0!</v>
      </c>
    </row>
    <row r="1148" spans="1:23" ht="26.25" x14ac:dyDescent="0.45">
      <c r="A1148" s="7">
        <v>1142</v>
      </c>
      <c r="B1148" s="5" t="s">
        <v>2296</v>
      </c>
      <c r="C1148" s="6" t="s">
        <v>2297</v>
      </c>
      <c r="D1148" s="6" t="s">
        <v>21</v>
      </c>
      <c r="E1148" s="8">
        <v>1632391856499</v>
      </c>
      <c r="F1148" s="8">
        <v>569958363195</v>
      </c>
      <c r="G1148" s="8">
        <v>174243022295</v>
      </c>
      <c r="H1148" s="8">
        <v>169428061449</v>
      </c>
      <c r="I1148" s="8">
        <v>211562335562</v>
      </c>
      <c r="J1148" s="8"/>
      <c r="K1148" s="8">
        <v>1005982970442</v>
      </c>
      <c r="L1148" s="8">
        <v>496280393802</v>
      </c>
      <c r="M1148" s="8">
        <v>446590680000</v>
      </c>
      <c r="N1148" s="8">
        <v>583811280000</v>
      </c>
      <c r="O1148" s="8">
        <v>451580520000</v>
      </c>
      <c r="P1148" s="8">
        <v>581316360000</v>
      </c>
      <c r="Q1148" s="18">
        <f>(Table1[[#This Row],[A. TÀI SẢN NGẮN HẠN]]-Table1[[#This Row],[I. Nợ ngắn hạn]])/Table1[[#This Row],[TỔNG CỘNG TÀI SẢN]]</f>
        <v>0.24241442967541685</v>
      </c>
      <c r="R1148" s="18">
        <f>Table1[[#This Row],[- LNST chưa phân phối kỳ này]]/Table1[[#This Row],[TỔNG CỘNG TÀI SẢN]]</f>
        <v>0.1037912929879308</v>
      </c>
      <c r="S1148" s="21">
        <f>Table1[[#This Row],[5. Lợi nhuận gộp về bán hàng và cung cấp dịch vụ]]/Table1[[#This Row],[TỔNG CỘNG TÀI SẢN]]</f>
        <v>0.1296026653892644</v>
      </c>
      <c r="T114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0.51275690061966106</v>
      </c>
      <c r="U1148" s="23">
        <f>Table1[[#This Row],[1. Doanh thu bán hàng và cung cấp dịch vụ ]]/Table1[[#This Row],[TỔNG CỘNG TÀI SẢN]]</f>
        <v>0.30402038078428995</v>
      </c>
      <c r="V1148" s="23">
        <f>1.2*Table1[[#This Row],[X1]] + 1.4*Table1[[#This Row],[X2]] + 3.3*Table1[[#This Row],[x3]] + 0.6*Table1[[#This Row],[x4]] + 1*Table1[[#This Row],[x5]]</f>
        <v>1.4755684427342621</v>
      </c>
      <c r="W1148" s="23">
        <f>IF(Table1[[#This Row],[Zscore]]&lt;1.81,1,0)</f>
        <v>1</v>
      </c>
    </row>
    <row r="1149" spans="1:23" ht="26.25" hidden="1" x14ac:dyDescent="0.45">
      <c r="A1149" s="7">
        <v>1143</v>
      </c>
      <c r="B1149" s="5" t="s">
        <v>2298</v>
      </c>
      <c r="C1149" s="6" t="s">
        <v>2299</v>
      </c>
      <c r="D1149" s="6" t="s">
        <v>13</v>
      </c>
      <c r="E1149" s="6"/>
      <c r="F1149" s="6"/>
      <c r="G1149" s="6"/>
      <c r="H1149" s="6"/>
      <c r="I1149" s="6"/>
      <c r="J1149" s="8"/>
      <c r="K1149" s="6"/>
      <c r="L1149" s="6"/>
      <c r="M1149" s="8"/>
      <c r="N1149" s="8"/>
      <c r="O1149" s="8"/>
      <c r="P1149" s="8"/>
      <c r="Q1149" s="18" t="e">
        <f>(Table1[[#This Row],[A. TÀI SẢN NGẮN HẠN]]-Table1[[#This Row],[I. Nợ ngắn hạn]])/Table1[[#This Row],[TỔNG CỘNG TÀI SẢN]]</f>
        <v>#DIV/0!</v>
      </c>
      <c r="R1149" s="18" t="e">
        <f>Table1[[#This Row],[- LNST chưa phân phối kỳ này]]/Table1[[#This Row],[TỔNG CỘNG TÀI SẢN]]</f>
        <v>#DIV/0!</v>
      </c>
      <c r="S1149" s="21" t="e">
        <f>Table1[[#This Row],[5. Lợi nhuận gộp về bán hàng và cung cấp dịch vụ]]/Table1[[#This Row],[TỔNG CỘNG TÀI SẢN]]</f>
        <v>#DIV/0!</v>
      </c>
      <c r="T114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149" s="23" t="e">
        <f>Table1[[#This Row],[1. Doanh thu bán hàng và cung cấp dịch vụ ]]/Table1[[#This Row],[TỔNG CỘNG TÀI SẢN]]</f>
        <v>#DIV/0!</v>
      </c>
      <c r="V1149" s="23" t="e">
        <f>1.2*Table1[[#This Row],[X1]] + 1.4*Table1[[#This Row],[X2]] + 3.3*Table1[[#This Row],[x3]] + 0.6*Table1[[#This Row],[x4]] + 1*Table1[[#This Row],[x5]]</f>
        <v>#DIV/0!</v>
      </c>
      <c r="W1149" s="23" t="e">
        <f>IF(Table1[[#This Row],[Zscore]]&lt;1.81,1,0)</f>
        <v>#DIV/0!</v>
      </c>
    </row>
    <row r="1150" spans="1:23" ht="26.25" x14ac:dyDescent="0.45">
      <c r="A1150" s="7">
        <v>1144</v>
      </c>
      <c r="B1150" s="5" t="s">
        <v>2300</v>
      </c>
      <c r="C1150" s="6" t="s">
        <v>2301</v>
      </c>
      <c r="D1150" s="6" t="s">
        <v>21</v>
      </c>
      <c r="E1150" s="8">
        <v>361009507968</v>
      </c>
      <c r="F1150" s="8">
        <v>308091888122</v>
      </c>
      <c r="G1150" s="8">
        <v>191323585523</v>
      </c>
      <c r="H1150" s="8">
        <v>25013192960</v>
      </c>
      <c r="I1150" s="8">
        <v>68615850038</v>
      </c>
      <c r="J1150" s="8"/>
      <c r="K1150" s="8">
        <v>192082273207</v>
      </c>
      <c r="L1150" s="8">
        <v>690388034705</v>
      </c>
      <c r="M1150" s="8">
        <v>354600000000</v>
      </c>
      <c r="N1150" s="8">
        <v>279600000000</v>
      </c>
      <c r="O1150" s="8">
        <v>337200000000</v>
      </c>
      <c r="P1150" s="8">
        <v>322800000000</v>
      </c>
      <c r="Q1150" s="18">
        <f>(Table1[[#This Row],[A. TÀI SẢN NGẮN HẠN]]-Table1[[#This Row],[I. Nợ ngắn hạn]])/Table1[[#This Row],[TỔNG CỘNG TÀI SẢN]]</f>
        <v>0.32344938297123849</v>
      </c>
      <c r="R1150" s="18">
        <f>Table1[[#This Row],[- LNST chưa phân phối kỳ này]]/Table1[[#This Row],[TỔNG CỘNG TÀI SẢN]]</f>
        <v>6.9286798291797833E-2</v>
      </c>
      <c r="S1150" s="21">
        <f>Table1[[#This Row],[5. Lợi nhuận gộp về bán hàng và cung cấp dịch vụ]]/Table1[[#This Row],[TỔNG CỘNG TÀI SẢN]]</f>
        <v>0.1900666008056556</v>
      </c>
      <c r="T115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1.6844344592450864</v>
      </c>
      <c r="U1150" s="23">
        <f>Table1[[#This Row],[1. Doanh thu bán hàng và cung cấp dịch vụ ]]/Table1[[#This Row],[TỔNG CỘNG TÀI SẢN]]</f>
        <v>1.9123818610511394</v>
      </c>
      <c r="V1150" s="23">
        <f>1.2*Table1[[#This Row],[X1]] + 1.4*Table1[[#This Row],[X2]] + 3.3*Table1[[#This Row],[x3]] + 0.6*Table1[[#This Row],[x4]] + 1*Table1[[#This Row],[x5]]</f>
        <v>4.0354030964308576</v>
      </c>
      <c r="W1150" s="23">
        <f>IF(Table1[[#This Row],[Zscore]]&lt;1.81,1,0)</f>
        <v>0</v>
      </c>
    </row>
    <row r="1151" spans="1:23" ht="26.25" x14ac:dyDescent="0.45">
      <c r="A1151" s="7">
        <v>1145</v>
      </c>
      <c r="B1151" s="5" t="s">
        <v>2302</v>
      </c>
      <c r="C1151" s="6" t="s">
        <v>2303</v>
      </c>
      <c r="D1151" s="6" t="s">
        <v>18</v>
      </c>
      <c r="E1151" s="8">
        <v>3046466403586</v>
      </c>
      <c r="F1151" s="8">
        <v>962559080384</v>
      </c>
      <c r="G1151" s="8">
        <v>680961247956</v>
      </c>
      <c r="H1151" s="8">
        <v>-30426252707</v>
      </c>
      <c r="I1151" s="8">
        <v>119068518527</v>
      </c>
      <c r="J1151" s="8"/>
      <c r="K1151" s="8">
        <v>871542135221</v>
      </c>
      <c r="L1151" s="8">
        <v>444825123856</v>
      </c>
      <c r="M1151" s="8">
        <v>2287569440000</v>
      </c>
      <c r="N1151" s="8">
        <v>2419544600000</v>
      </c>
      <c r="O1151" s="8">
        <v>2419544600000</v>
      </c>
      <c r="P1151" s="8">
        <v>2287569440000</v>
      </c>
      <c r="Q1151" s="18">
        <f>(Table1[[#This Row],[A. TÀI SẢN NGẮN HẠN]]-Table1[[#This Row],[I. Nợ ngắn hạn]])/Table1[[#This Row],[TỔNG CỘNG TÀI SẢN]]</f>
        <v>9.2434248444864114E-2</v>
      </c>
      <c r="R1151" s="18">
        <f>Table1[[#This Row],[- LNST chưa phân phối kỳ này]]/Table1[[#This Row],[TỔNG CỘNG TÀI SẢN]]</f>
        <v>-9.987391514045655E-3</v>
      </c>
      <c r="S1151" s="21">
        <f>Table1[[#This Row],[5. Lợi nhuận gộp về bán hàng và cung cấp dịch vụ]]/Table1[[#This Row],[TỔNG CỘNG TÀI SẢN]]</f>
        <v>3.9084139705871782E-2</v>
      </c>
      <c r="T115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2.7004512173163038</v>
      </c>
      <c r="U1151" s="23">
        <f>Table1[[#This Row],[1. Doanh thu bán hàng và cung cấp dịch vụ ]]/Table1[[#This Row],[TỔNG CỘNG TÀI SẢN]]</f>
        <v>0.14601346771209942</v>
      </c>
      <c r="V1151" s="23">
        <f>1.2*Table1[[#This Row],[X1]] + 1.4*Table1[[#This Row],[X2]] + 3.3*Table1[[#This Row],[x3]] + 0.6*Table1[[#This Row],[x4]] + 1*Table1[[#This Row],[x5]]</f>
        <v>1.9922006091454316</v>
      </c>
      <c r="W1151" s="23">
        <f>IF(Table1[[#This Row],[Zscore]]&lt;1.81,1,0)</f>
        <v>0</v>
      </c>
    </row>
    <row r="1152" spans="1:23" x14ac:dyDescent="0.45">
      <c r="A1152" s="7">
        <v>1146</v>
      </c>
      <c r="B1152" s="5" t="s">
        <v>2304</v>
      </c>
      <c r="C1152" s="6" t="s">
        <v>2305</v>
      </c>
      <c r="D1152" s="6" t="s">
        <v>21</v>
      </c>
      <c r="E1152" s="8">
        <v>7359552625097</v>
      </c>
      <c r="F1152" s="8">
        <v>6786806075403</v>
      </c>
      <c r="G1152" s="8">
        <v>4804906994654</v>
      </c>
      <c r="H1152" s="8">
        <v>17750418204</v>
      </c>
      <c r="I1152" s="8">
        <v>42807501906</v>
      </c>
      <c r="J1152" s="8"/>
      <c r="K1152" s="8">
        <v>5801714201907</v>
      </c>
      <c r="L1152" s="8">
        <v>630688865509</v>
      </c>
      <c r="M1152" s="8">
        <v>917899033300</v>
      </c>
      <c r="N1152" s="8">
        <v>775312775700</v>
      </c>
      <c r="O1152" s="8">
        <v>876905484240</v>
      </c>
      <c r="P1152" s="8">
        <v>926810674400</v>
      </c>
      <c r="Q1152" s="18">
        <f>(Table1[[#This Row],[A. TÀI SẢN NGẮN HẠN]]-Table1[[#This Row],[I. Nợ ngắn hạn]])/Table1[[#This Row],[TỔNG CỘNG TÀI SẢN]]</f>
        <v>0.26929613547302794</v>
      </c>
      <c r="R1152" s="18">
        <f>Table1[[#This Row],[- LNST chưa phân phối kỳ này]]/Table1[[#This Row],[TỔNG CỘNG TÀI SẢN]]</f>
        <v>2.411888209545352E-3</v>
      </c>
      <c r="S1152" s="21">
        <f>Table1[[#This Row],[5. Lợi nhuận gộp về bán hàng và cung cấp dịch vụ]]/Table1[[#This Row],[TỔNG CỘNG TÀI SẢN]]</f>
        <v>5.8165902313166472E-3</v>
      </c>
      <c r="T115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0.15068511848147284</v>
      </c>
      <c r="U1152" s="23">
        <f>Table1[[#This Row],[1. Doanh thu bán hàng và cung cấp dịch vụ ]]/Table1[[#This Row],[TỔNG CỘNG TÀI SẢN]]</f>
        <v>8.5696630982469185E-2</v>
      </c>
      <c r="V1152" s="23">
        <f>1.2*Table1[[#This Row],[X1]] + 1.4*Table1[[#This Row],[X2]] + 3.3*Table1[[#This Row],[x3]] + 0.6*Table1[[#This Row],[x4]] + 1*Table1[[#This Row],[x5]]</f>
        <v>0.52183445589569477</v>
      </c>
      <c r="W1152" s="23">
        <f>IF(Table1[[#This Row],[Zscore]]&lt;1.81,1,0)</f>
        <v>1</v>
      </c>
    </row>
    <row r="1153" spans="1:23" x14ac:dyDescent="0.45">
      <c r="A1153" s="7">
        <v>1147</v>
      </c>
      <c r="B1153" s="5" t="s">
        <v>2306</v>
      </c>
      <c r="C1153" s="6" t="s">
        <v>2307</v>
      </c>
      <c r="D1153" s="6" t="s">
        <v>18</v>
      </c>
      <c r="E1153" s="8">
        <v>765089624661</v>
      </c>
      <c r="F1153" s="8">
        <v>20835559738</v>
      </c>
      <c r="G1153" s="8">
        <v>1914421624</v>
      </c>
      <c r="H1153" s="8">
        <v>-24850724191</v>
      </c>
      <c r="I1153" s="8">
        <v>-31526999</v>
      </c>
      <c r="J1153" s="8"/>
      <c r="K1153" s="8">
        <v>2119421624</v>
      </c>
      <c r="L1153" s="6"/>
      <c r="M1153" s="8">
        <v>293775936000</v>
      </c>
      <c r="N1153" s="8">
        <v>128526972000</v>
      </c>
      <c r="O1153" s="8">
        <v>110165976000</v>
      </c>
      <c r="P1153" s="8">
        <v>220331952000</v>
      </c>
      <c r="Q1153" s="18">
        <f>(Table1[[#This Row],[A. TÀI SẢN NGẮN HẠN]]-Table1[[#This Row],[I. Nợ ngắn hạn]])/Table1[[#This Row],[TỔNG CỘNG TÀI SẢN]]</f>
        <v>2.4730616524023155E-2</v>
      </c>
      <c r="R1153" s="18">
        <f>Table1[[#This Row],[- LNST chưa phân phối kỳ này]]/Table1[[#This Row],[TỔNG CỘNG TÀI SẢN]]</f>
        <v>-3.2480801451216894E-2</v>
      </c>
      <c r="S1153" s="21">
        <f>Table1[[#This Row],[5. Lợi nhuận gộp về bán hàng và cung cấp dịch vụ]]/Table1[[#This Row],[TỔNG CỘNG TÀI SẢN]]</f>
        <v>-4.1206935741638307E-5</v>
      </c>
      <c r="T115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88.797909235637775</v>
      </c>
      <c r="U1153" s="23">
        <f>Table1[[#This Row],[1. Doanh thu bán hàng và cung cấp dịch vụ ]]/Table1[[#This Row],[TỔNG CỘNG TÀI SẢN]]</f>
        <v>0</v>
      </c>
      <c r="V1153" s="23">
        <f>1.2*Table1[[#This Row],[X1]] + 1.4*Table1[[#This Row],[X2]] + 3.3*Table1[[#This Row],[x3]] + 0.6*Table1[[#This Row],[x4]] + 1*Table1[[#This Row],[x5]]</f>
        <v>53.262813176291836</v>
      </c>
      <c r="W1153" s="23">
        <f>IF(Table1[[#This Row],[Zscore]]&lt;1.81,1,0)</f>
        <v>0</v>
      </c>
    </row>
    <row r="1154" spans="1:23" hidden="1" x14ac:dyDescent="0.45">
      <c r="A1154" s="7">
        <v>1148</v>
      </c>
      <c r="B1154" s="5" t="s">
        <v>2308</v>
      </c>
      <c r="C1154" s="6" t="s">
        <v>2309</v>
      </c>
      <c r="D1154" s="6" t="s">
        <v>13</v>
      </c>
      <c r="E1154" s="6"/>
      <c r="F1154" s="6"/>
      <c r="G1154" s="6"/>
      <c r="H1154" s="6"/>
      <c r="I1154" s="6"/>
      <c r="J1154" s="8"/>
      <c r="K1154" s="6"/>
      <c r="L1154" s="6"/>
      <c r="M1154" s="8"/>
      <c r="N1154" s="8"/>
      <c r="O1154" s="8"/>
      <c r="P1154" s="8"/>
      <c r="Q1154" s="18" t="e">
        <f>(Table1[[#This Row],[A. TÀI SẢN NGẮN HẠN]]-Table1[[#This Row],[I. Nợ ngắn hạn]])/Table1[[#This Row],[TỔNG CỘNG TÀI SẢN]]</f>
        <v>#DIV/0!</v>
      </c>
      <c r="R1154" s="18" t="e">
        <f>Table1[[#This Row],[- LNST chưa phân phối kỳ này]]/Table1[[#This Row],[TỔNG CỘNG TÀI SẢN]]</f>
        <v>#DIV/0!</v>
      </c>
      <c r="S1154" s="21" t="e">
        <f>Table1[[#This Row],[5. Lợi nhuận gộp về bán hàng và cung cấp dịch vụ]]/Table1[[#This Row],[TỔNG CỘNG TÀI SẢN]]</f>
        <v>#DIV/0!</v>
      </c>
      <c r="T115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154" s="23" t="e">
        <f>Table1[[#This Row],[1. Doanh thu bán hàng và cung cấp dịch vụ ]]/Table1[[#This Row],[TỔNG CỘNG TÀI SẢN]]</f>
        <v>#DIV/0!</v>
      </c>
      <c r="V1154" s="23" t="e">
        <f>1.2*Table1[[#This Row],[X1]] + 1.4*Table1[[#This Row],[X2]] + 3.3*Table1[[#This Row],[x3]] + 0.6*Table1[[#This Row],[x4]] + 1*Table1[[#This Row],[x5]]</f>
        <v>#DIV/0!</v>
      </c>
      <c r="W1154" s="23" t="e">
        <f>IF(Table1[[#This Row],[Zscore]]&lt;1.81,1,0)</f>
        <v>#DIV/0!</v>
      </c>
    </row>
    <row r="1155" spans="1:23" hidden="1" x14ac:dyDescent="0.45">
      <c r="A1155" s="7">
        <v>1149</v>
      </c>
      <c r="B1155" s="5" t="s">
        <v>2310</v>
      </c>
      <c r="C1155" s="6" t="s">
        <v>2311</v>
      </c>
      <c r="D1155" s="6" t="s">
        <v>13</v>
      </c>
      <c r="E1155" s="6"/>
      <c r="F1155" s="6"/>
      <c r="G1155" s="6"/>
      <c r="H1155" s="6"/>
      <c r="I1155" s="6"/>
      <c r="J1155" s="8"/>
      <c r="K1155" s="6"/>
      <c r="L1155" s="6"/>
      <c r="M1155" s="8"/>
      <c r="N1155" s="8"/>
      <c r="O1155" s="8"/>
      <c r="P1155" s="8"/>
      <c r="Q1155" s="18" t="e">
        <f>(Table1[[#This Row],[A. TÀI SẢN NGẮN HẠN]]-Table1[[#This Row],[I. Nợ ngắn hạn]])/Table1[[#This Row],[TỔNG CỘNG TÀI SẢN]]</f>
        <v>#DIV/0!</v>
      </c>
      <c r="R1155" s="18" t="e">
        <f>Table1[[#This Row],[- LNST chưa phân phối kỳ này]]/Table1[[#This Row],[TỔNG CỘNG TÀI SẢN]]</f>
        <v>#DIV/0!</v>
      </c>
      <c r="S1155" s="21" t="e">
        <f>Table1[[#This Row],[5. Lợi nhuận gộp về bán hàng và cung cấp dịch vụ]]/Table1[[#This Row],[TỔNG CỘNG TÀI SẢN]]</f>
        <v>#DIV/0!</v>
      </c>
      <c r="T115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155" s="23" t="e">
        <f>Table1[[#This Row],[1. Doanh thu bán hàng và cung cấp dịch vụ ]]/Table1[[#This Row],[TỔNG CỘNG TÀI SẢN]]</f>
        <v>#DIV/0!</v>
      </c>
      <c r="V1155" s="23" t="e">
        <f>1.2*Table1[[#This Row],[X1]] + 1.4*Table1[[#This Row],[X2]] + 3.3*Table1[[#This Row],[x3]] + 0.6*Table1[[#This Row],[x4]] + 1*Table1[[#This Row],[x5]]</f>
        <v>#DIV/0!</v>
      </c>
      <c r="W1155" s="23" t="e">
        <f>IF(Table1[[#This Row],[Zscore]]&lt;1.81,1,0)</f>
        <v>#DIV/0!</v>
      </c>
    </row>
    <row r="1156" spans="1:23" x14ac:dyDescent="0.45">
      <c r="A1156" s="7">
        <v>1150</v>
      </c>
      <c r="B1156" s="5" t="s">
        <v>2312</v>
      </c>
      <c r="C1156" s="6" t="s">
        <v>2313</v>
      </c>
      <c r="D1156" s="6" t="s">
        <v>18</v>
      </c>
      <c r="E1156" s="8">
        <v>171574466068</v>
      </c>
      <c r="F1156" s="8">
        <v>9501419243</v>
      </c>
      <c r="G1156" s="8">
        <v>51659925135</v>
      </c>
      <c r="H1156" s="8">
        <v>-5725805465</v>
      </c>
      <c r="I1156" s="8">
        <v>1903336505</v>
      </c>
      <c r="J1156" s="8"/>
      <c r="K1156" s="8">
        <v>62997476565</v>
      </c>
      <c r="L1156" s="8">
        <v>7853621745</v>
      </c>
      <c r="M1156" s="8">
        <v>34000000000</v>
      </c>
      <c r="N1156" s="8">
        <v>32000000000</v>
      </c>
      <c r="O1156" s="8">
        <v>36000000000</v>
      </c>
      <c r="P1156" s="8">
        <v>28000000000</v>
      </c>
      <c r="Q1156" s="18">
        <f>(Table1[[#This Row],[A. TÀI SẢN NGẮN HẠN]]-Table1[[#This Row],[I. Nợ ngắn hạn]])/Table1[[#This Row],[TỔNG CỘNG TÀI SẢN]]</f>
        <v>-0.24571550101919795</v>
      </c>
      <c r="R1156" s="18">
        <f>Table1[[#This Row],[- LNST chưa phân phối kỳ này]]/Table1[[#This Row],[TỔNG CỘNG TÀI SẢN]]</f>
        <v>-3.3372130458681974E-2</v>
      </c>
      <c r="S1156" s="21">
        <f>Table1[[#This Row],[5. Lợi nhuận gộp về bán hàng và cung cấp dịch vụ]]/Table1[[#This Row],[TỔNG CỘNG TÀI SẢN]]</f>
        <v>1.1093355256286514E-2</v>
      </c>
      <c r="T115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0.5158936797486946</v>
      </c>
      <c r="U1156" s="23">
        <f>Table1[[#This Row],[1. Doanh thu bán hàng và cung cấp dịch vụ ]]/Table1[[#This Row],[TỔNG CỘNG TÀI SẢN]]</f>
        <v>4.577383759356931E-2</v>
      </c>
      <c r="V1156" s="23">
        <f>1.2*Table1[[#This Row],[X1]] + 1.4*Table1[[#This Row],[X2]] + 3.3*Table1[[#This Row],[x3]] + 0.6*Table1[[#This Row],[x4]] + 1*Table1[[#This Row],[x5]]</f>
        <v>5.0338533923339278E-2</v>
      </c>
      <c r="W1156" s="23">
        <f>IF(Table1[[#This Row],[Zscore]]&lt;1.81,1,0)</f>
        <v>1</v>
      </c>
    </row>
    <row r="1157" spans="1:23" ht="26.25" hidden="1" x14ac:dyDescent="0.45">
      <c r="A1157" s="7">
        <v>1151</v>
      </c>
      <c r="B1157" s="5" t="s">
        <v>2314</v>
      </c>
      <c r="C1157" s="6" t="s">
        <v>2315</v>
      </c>
      <c r="D1157" s="6" t="s">
        <v>13</v>
      </c>
      <c r="E1157" s="6"/>
      <c r="F1157" s="6"/>
      <c r="G1157" s="6"/>
      <c r="H1157" s="6"/>
      <c r="I1157" s="6"/>
      <c r="J1157" s="8"/>
      <c r="K1157" s="6"/>
      <c r="L1157" s="6"/>
      <c r="M1157" s="8"/>
      <c r="N1157" s="8"/>
      <c r="O1157" s="8"/>
      <c r="P1157" s="8"/>
      <c r="Q1157" s="18" t="e">
        <f>(Table1[[#This Row],[A. TÀI SẢN NGẮN HẠN]]-Table1[[#This Row],[I. Nợ ngắn hạn]])/Table1[[#This Row],[TỔNG CỘNG TÀI SẢN]]</f>
        <v>#DIV/0!</v>
      </c>
      <c r="R1157" s="18" t="e">
        <f>Table1[[#This Row],[- LNST chưa phân phối kỳ này]]/Table1[[#This Row],[TỔNG CỘNG TÀI SẢN]]</f>
        <v>#DIV/0!</v>
      </c>
      <c r="S1157" s="21" t="e">
        <f>Table1[[#This Row],[5. Lợi nhuận gộp về bán hàng và cung cấp dịch vụ]]/Table1[[#This Row],[TỔNG CỘNG TÀI SẢN]]</f>
        <v>#DIV/0!</v>
      </c>
      <c r="T115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157" s="23" t="e">
        <f>Table1[[#This Row],[1. Doanh thu bán hàng và cung cấp dịch vụ ]]/Table1[[#This Row],[TỔNG CỘNG TÀI SẢN]]</f>
        <v>#DIV/0!</v>
      </c>
      <c r="V1157" s="23" t="e">
        <f>1.2*Table1[[#This Row],[X1]] + 1.4*Table1[[#This Row],[X2]] + 3.3*Table1[[#This Row],[x3]] + 0.6*Table1[[#This Row],[x4]] + 1*Table1[[#This Row],[x5]]</f>
        <v>#DIV/0!</v>
      </c>
      <c r="W1157" s="23" t="e">
        <f>IF(Table1[[#This Row],[Zscore]]&lt;1.81,1,0)</f>
        <v>#DIV/0!</v>
      </c>
    </row>
    <row r="1158" spans="1:23" x14ac:dyDescent="0.45">
      <c r="A1158" s="7">
        <v>1152</v>
      </c>
      <c r="B1158" s="5" t="s">
        <v>2316</v>
      </c>
      <c r="C1158" s="6" t="s">
        <v>2317</v>
      </c>
      <c r="D1158" s="6" t="s">
        <v>21</v>
      </c>
      <c r="E1158" s="8">
        <v>386201229675</v>
      </c>
      <c r="F1158" s="8">
        <v>367626640697</v>
      </c>
      <c r="G1158" s="8">
        <v>47690025512</v>
      </c>
      <c r="H1158" s="8">
        <v>15864302940</v>
      </c>
      <c r="I1158" s="8">
        <v>40147223724</v>
      </c>
      <c r="J1158" s="8"/>
      <c r="K1158" s="8">
        <v>47690025512</v>
      </c>
      <c r="L1158" s="8">
        <v>273082091934</v>
      </c>
      <c r="M1158" s="8">
        <v>120556800000</v>
      </c>
      <c r="N1158" s="8">
        <v>157903200000</v>
      </c>
      <c r="O1158" s="8">
        <v>118067040000</v>
      </c>
      <c r="P1158" s="8">
        <v>159868800000</v>
      </c>
      <c r="Q1158" s="18">
        <f>(Table1[[#This Row],[A. TÀI SẢN NGẮN HẠN]]-Table1[[#This Row],[I. Nợ ngắn hạn]])/Table1[[#This Row],[TỔNG CỘNG TÀI SẢN]]</f>
        <v>0.82841946270921074</v>
      </c>
      <c r="R1158" s="18">
        <f>Table1[[#This Row],[- LNST chưa phân phối kỳ này]]/Table1[[#This Row],[TỔNG CỘNG TÀI SẢN]]</f>
        <v>4.1077815711126273E-2</v>
      </c>
      <c r="S1158" s="21">
        <f>Table1[[#This Row],[5. Lợi nhuận gộp về bán hàng và cung cấp dịch vụ]]/Table1[[#This Row],[TỔNG CỘNG TÀI SẢN]]</f>
        <v>0.10395415819308784</v>
      </c>
      <c r="T115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2.9167306686594081</v>
      </c>
      <c r="U1158" s="23">
        <f>Table1[[#This Row],[1. Doanh thu bán hàng và cung cấp dịch vụ ]]/Table1[[#This Row],[TỔNG CỘNG TÀI SẢN]]</f>
        <v>0.70709793483518124</v>
      </c>
      <c r="V1158" s="23">
        <f>1.2*Table1[[#This Row],[X1]] + 1.4*Table1[[#This Row],[X2]] + 3.3*Table1[[#This Row],[x3]] + 0.6*Table1[[#This Row],[x4]] + 1*Table1[[#This Row],[x5]]</f>
        <v>3.8517973553146461</v>
      </c>
      <c r="W1158" s="23">
        <f>IF(Table1[[#This Row],[Zscore]]&lt;1.81,1,0)</f>
        <v>0</v>
      </c>
    </row>
    <row r="1159" spans="1:23" hidden="1" x14ac:dyDescent="0.45">
      <c r="A1159" s="7">
        <v>1153</v>
      </c>
      <c r="B1159" s="5" t="s">
        <v>2318</v>
      </c>
      <c r="C1159" s="6" t="s">
        <v>2319</v>
      </c>
      <c r="D1159" s="6" t="s">
        <v>13</v>
      </c>
      <c r="E1159" s="6"/>
      <c r="F1159" s="6"/>
      <c r="G1159" s="6"/>
      <c r="H1159" s="6"/>
      <c r="I1159" s="6"/>
      <c r="J1159" s="8"/>
      <c r="K1159" s="6"/>
      <c r="L1159" s="6"/>
      <c r="M1159" s="8"/>
      <c r="N1159" s="8"/>
      <c r="O1159" s="8"/>
      <c r="P1159" s="8"/>
      <c r="Q1159" s="18" t="e">
        <f>(Table1[[#This Row],[A. TÀI SẢN NGẮN HẠN]]-Table1[[#This Row],[I. Nợ ngắn hạn]])/Table1[[#This Row],[TỔNG CỘNG TÀI SẢN]]</f>
        <v>#DIV/0!</v>
      </c>
      <c r="R1159" s="18" t="e">
        <f>Table1[[#This Row],[- LNST chưa phân phối kỳ này]]/Table1[[#This Row],[TỔNG CỘNG TÀI SẢN]]</f>
        <v>#DIV/0!</v>
      </c>
      <c r="S1159" s="21" t="e">
        <f>Table1[[#This Row],[5. Lợi nhuận gộp về bán hàng và cung cấp dịch vụ]]/Table1[[#This Row],[TỔNG CỘNG TÀI SẢN]]</f>
        <v>#DIV/0!</v>
      </c>
      <c r="T115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159" s="23" t="e">
        <f>Table1[[#This Row],[1. Doanh thu bán hàng và cung cấp dịch vụ ]]/Table1[[#This Row],[TỔNG CỘNG TÀI SẢN]]</f>
        <v>#DIV/0!</v>
      </c>
      <c r="V1159" s="23" t="e">
        <f>1.2*Table1[[#This Row],[X1]] + 1.4*Table1[[#This Row],[X2]] + 3.3*Table1[[#This Row],[x3]] + 0.6*Table1[[#This Row],[x4]] + 1*Table1[[#This Row],[x5]]</f>
        <v>#DIV/0!</v>
      </c>
      <c r="W1159" s="23" t="e">
        <f>IF(Table1[[#This Row],[Zscore]]&lt;1.81,1,0)</f>
        <v>#DIV/0!</v>
      </c>
    </row>
    <row r="1160" spans="1:23" x14ac:dyDescent="0.45">
      <c r="A1160" s="7">
        <v>1154</v>
      </c>
      <c r="B1160" s="5" t="s">
        <v>2320</v>
      </c>
      <c r="C1160" s="6" t="s">
        <v>2321</v>
      </c>
      <c r="D1160" s="6" t="s">
        <v>21</v>
      </c>
      <c r="E1160" s="8">
        <v>662469173320</v>
      </c>
      <c r="F1160" s="8">
        <v>534573184948</v>
      </c>
      <c r="G1160" s="8">
        <v>512052615266</v>
      </c>
      <c r="H1160" s="8">
        <v>469476635</v>
      </c>
      <c r="I1160" s="8">
        <v>25834952879</v>
      </c>
      <c r="J1160" s="8"/>
      <c r="K1160" s="8">
        <v>512052615266</v>
      </c>
      <c r="L1160" s="8">
        <v>394121297819</v>
      </c>
      <c r="M1160" s="8">
        <v>68700000000</v>
      </c>
      <c r="N1160" s="8">
        <v>68200000000</v>
      </c>
      <c r="O1160" s="8">
        <v>60000000000</v>
      </c>
      <c r="P1160" s="8">
        <v>68000000000</v>
      </c>
      <c r="Q1160" s="18">
        <f>(Table1[[#This Row],[A. TÀI SẢN NGẮN HẠN]]-Table1[[#This Row],[I. Nợ ngắn hạn]])/Table1[[#This Row],[TỔNG CỘNG TÀI SẢN]]</f>
        <v>3.3994894538468788E-2</v>
      </c>
      <c r="R1160" s="18">
        <f>Table1[[#This Row],[- LNST chưa phân phối kỳ này]]/Table1[[#This Row],[TỔNG CỘNG TÀI SẢN]]</f>
        <v>7.0867695269078335E-4</v>
      </c>
      <c r="S1160" s="21">
        <f>Table1[[#This Row],[5. Lợi nhuận gộp về bán hàng và cung cấp dịch vụ]]/Table1[[#This Row],[TỔNG CỘNG TÀI SẢN]]</f>
        <v>3.8997969897265922E-2</v>
      </c>
      <c r="T116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0.12933241238421872</v>
      </c>
      <c r="U1160" s="23">
        <f>Table1[[#This Row],[1. Doanh thu bán hàng và cung cấp dịch vụ ]]/Table1[[#This Row],[TỔNG CỘNG TÀI SẢN]]</f>
        <v>0.59492775466643955</v>
      </c>
      <c r="V1160" s="23">
        <f>1.2*Table1[[#This Row],[X1]] + 1.4*Table1[[#This Row],[X2]] + 3.3*Table1[[#This Row],[x3]] + 0.6*Table1[[#This Row],[x4]] + 1*Table1[[#This Row],[x5]]</f>
        <v>0.84300652393787789</v>
      </c>
      <c r="W1160" s="23">
        <f>IF(Table1[[#This Row],[Zscore]]&lt;1.81,1,0)</f>
        <v>1</v>
      </c>
    </row>
    <row r="1161" spans="1:23" hidden="1" x14ac:dyDescent="0.45">
      <c r="A1161" s="7">
        <v>1155</v>
      </c>
      <c r="B1161" s="5" t="s">
        <v>2322</v>
      </c>
      <c r="C1161" s="6" t="s">
        <v>2323</v>
      </c>
      <c r="D1161" s="6" t="s">
        <v>18</v>
      </c>
      <c r="E1161" s="8">
        <v>228322708685</v>
      </c>
      <c r="F1161" s="8">
        <v>199107319971</v>
      </c>
      <c r="G1161" s="8">
        <v>89636568691</v>
      </c>
      <c r="H1161" s="8">
        <v>-3294577002</v>
      </c>
      <c r="I1161" s="8">
        <v>5706414274</v>
      </c>
      <c r="J1161" s="8"/>
      <c r="K1161" s="8">
        <v>89636568691</v>
      </c>
      <c r="L1161" s="8">
        <v>68056991191</v>
      </c>
      <c r="M1161" s="8"/>
      <c r="N1161" s="8"/>
      <c r="O1161" s="8"/>
      <c r="P1161" s="8"/>
      <c r="Q1161" s="18">
        <f>(Table1[[#This Row],[A. TÀI SẢN NGẮN HẠN]]-Table1[[#This Row],[I. Nợ ngắn hạn]])/Table1[[#This Row],[TỔNG CỘNG TÀI SẢN]]</f>
        <v>0.47945625693775701</v>
      </c>
      <c r="R1161" s="18">
        <f>Table1[[#This Row],[- LNST chưa phân phối kỳ này]]/Table1[[#This Row],[TỔNG CỘNG TÀI SẢN]]</f>
        <v>-1.442947581068375E-2</v>
      </c>
      <c r="S1161" s="21">
        <f>Table1[[#This Row],[5. Lợi nhuận gộp về bán hàng và cung cấp dịch vụ]]/Table1[[#This Row],[TỔNG CỘNG TÀI SẢN]]</f>
        <v>2.4992758306282704E-2</v>
      </c>
      <c r="T116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161" s="23">
        <f>Table1[[#This Row],[1. Doanh thu bán hàng và cung cấp dịch vụ ]]/Table1[[#This Row],[TỔNG CỘNG TÀI SẢN]]</f>
        <v>0.29807368519306249</v>
      </c>
      <c r="V1161" s="23" t="e">
        <f>1.2*Table1[[#This Row],[X1]] + 1.4*Table1[[#This Row],[X2]] + 3.3*Table1[[#This Row],[x3]] + 0.6*Table1[[#This Row],[x4]] + 1*Table1[[#This Row],[x5]]</f>
        <v>#DIV/0!</v>
      </c>
      <c r="W1161" s="23" t="e">
        <f>IF(Table1[[#This Row],[Zscore]]&lt;1.81,1,0)</f>
        <v>#DIV/0!</v>
      </c>
    </row>
    <row r="1162" spans="1:23" x14ac:dyDescent="0.45">
      <c r="A1162" s="7">
        <v>1156</v>
      </c>
      <c r="B1162" s="5" t="s">
        <v>2324</v>
      </c>
      <c r="C1162" s="6" t="s">
        <v>2325</v>
      </c>
      <c r="D1162" s="6" t="s">
        <v>18</v>
      </c>
      <c r="E1162" s="8">
        <v>574805648282</v>
      </c>
      <c r="F1162" s="8">
        <v>567584997315</v>
      </c>
      <c r="G1162" s="8">
        <v>260736062593</v>
      </c>
      <c r="H1162" s="8">
        <v>27137412666</v>
      </c>
      <c r="I1162" s="8">
        <v>175446119322</v>
      </c>
      <c r="J1162" s="8"/>
      <c r="K1162" s="8">
        <v>354289882995</v>
      </c>
      <c r="L1162" s="8">
        <v>491409123690</v>
      </c>
      <c r="M1162" s="8">
        <v>201000000000</v>
      </c>
      <c r="N1162" s="8">
        <v>175500000000</v>
      </c>
      <c r="O1162" s="8">
        <v>171000000000</v>
      </c>
      <c r="P1162" s="8">
        <v>235500000000</v>
      </c>
      <c r="Q1162" s="18">
        <f>(Table1[[#This Row],[A. TÀI SẢN NGẮN HẠN]]-Table1[[#This Row],[I. Nợ ngắn hạn]])/Table1[[#This Row],[TỔNG CỘNG TÀI SẢN]]</f>
        <v>0.53383075764673027</v>
      </c>
      <c r="R1162" s="18">
        <f>Table1[[#This Row],[- LNST chưa phân phối kỳ này]]/Table1[[#This Row],[TỔNG CỘNG TÀI SẢN]]</f>
        <v>4.721145790252633E-2</v>
      </c>
      <c r="S1162" s="21">
        <f>Table1[[#This Row],[5. Lợi nhuận gộp về bán hàng và cung cấp dịch vụ]]/Table1[[#This Row],[TỔNG CỘNG TÀI SẢN]]</f>
        <v>0.30522685336579369</v>
      </c>
      <c r="T116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0.55251366012831526</v>
      </c>
      <c r="U1162" s="23">
        <f>Table1[[#This Row],[1. Doanh thu bán hàng và cung cấp dịch vụ ]]/Table1[[#This Row],[TỔNG CỘNG TÀI SẢN]]</f>
        <v>0.85491352626534101</v>
      </c>
      <c r="V1162" s="23">
        <f>1.2*Table1[[#This Row],[X1]] + 1.4*Table1[[#This Row],[X2]] + 3.3*Table1[[#This Row],[x3]] + 0.6*Table1[[#This Row],[x4]] + 1*Table1[[#This Row],[x5]]</f>
        <v>2.9003632886890625</v>
      </c>
      <c r="W1162" s="23">
        <f>IF(Table1[[#This Row],[Zscore]]&lt;1.81,1,0)</f>
        <v>0</v>
      </c>
    </row>
    <row r="1163" spans="1:23" ht="26.25" hidden="1" x14ac:dyDescent="0.45">
      <c r="A1163" s="7">
        <v>1157</v>
      </c>
      <c r="B1163" s="5" t="s">
        <v>2326</v>
      </c>
      <c r="C1163" s="6" t="s">
        <v>2327</v>
      </c>
      <c r="D1163" s="6" t="s">
        <v>18</v>
      </c>
      <c r="E1163" s="8">
        <v>99838489392</v>
      </c>
      <c r="F1163" s="8">
        <v>77037482744</v>
      </c>
      <c r="G1163" s="8">
        <v>20372142912</v>
      </c>
      <c r="H1163" s="8">
        <v>-2452583291</v>
      </c>
      <c r="I1163" s="6"/>
      <c r="J1163" s="8"/>
      <c r="K1163" s="8">
        <v>24833081240</v>
      </c>
      <c r="L1163" s="6"/>
      <c r="M1163" s="8"/>
      <c r="N1163" s="8"/>
      <c r="O1163" s="8"/>
      <c r="P1163" s="8"/>
      <c r="Q1163" s="18">
        <f>(Table1[[#This Row],[A. TÀI SẢN NGẮN HẠN]]-Table1[[#This Row],[I. Nợ ngắn hạn]])/Table1[[#This Row],[TỔNG CỘNG TÀI SẢN]]</f>
        <v>0.56757008421383992</v>
      </c>
      <c r="R1163" s="18">
        <f>Table1[[#This Row],[- LNST chưa phân phối kỳ này]]/Table1[[#This Row],[TỔNG CỘNG TÀI SẢN]]</f>
        <v>-2.4565508812641593E-2</v>
      </c>
      <c r="S1163" s="21">
        <f>Table1[[#This Row],[5. Lợi nhuận gộp về bán hàng và cung cấp dịch vụ]]/Table1[[#This Row],[TỔNG CỘNG TÀI SẢN]]</f>
        <v>0</v>
      </c>
      <c r="T116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163" s="23">
        <f>Table1[[#This Row],[1. Doanh thu bán hàng và cung cấp dịch vụ ]]/Table1[[#This Row],[TỔNG CỘNG TÀI SẢN]]</f>
        <v>0</v>
      </c>
      <c r="V1163" s="23" t="e">
        <f>1.2*Table1[[#This Row],[X1]] + 1.4*Table1[[#This Row],[X2]] + 3.3*Table1[[#This Row],[x3]] + 0.6*Table1[[#This Row],[x4]] + 1*Table1[[#This Row],[x5]]</f>
        <v>#DIV/0!</v>
      </c>
      <c r="W1163" s="23" t="e">
        <f>IF(Table1[[#This Row],[Zscore]]&lt;1.81,1,0)</f>
        <v>#DIV/0!</v>
      </c>
    </row>
    <row r="1164" spans="1:23" x14ac:dyDescent="0.45">
      <c r="A1164" s="7">
        <v>1158</v>
      </c>
      <c r="B1164" s="5" t="s">
        <v>2328</v>
      </c>
      <c r="C1164" s="6" t="s">
        <v>2329</v>
      </c>
      <c r="D1164" s="6" t="s">
        <v>21</v>
      </c>
      <c r="E1164" s="8">
        <v>1000191158872</v>
      </c>
      <c r="F1164" s="8">
        <v>568934986834</v>
      </c>
      <c r="G1164" s="8">
        <v>170935473030</v>
      </c>
      <c r="H1164" s="8">
        <v>71428969615</v>
      </c>
      <c r="I1164" s="8">
        <v>78959652415</v>
      </c>
      <c r="J1164" s="8"/>
      <c r="K1164" s="8">
        <v>332766509592</v>
      </c>
      <c r="L1164" s="8">
        <v>305642392768</v>
      </c>
      <c r="M1164" s="8">
        <v>476001709700</v>
      </c>
      <c r="N1164" s="8">
        <v>465740321200</v>
      </c>
      <c r="O1164" s="8">
        <v>419460070150</v>
      </c>
      <c r="P1164" s="8">
        <v>482373904100</v>
      </c>
      <c r="Q1164" s="18">
        <f>(Table1[[#This Row],[A. TÀI SẢN NGẮN HẠN]]-Table1[[#This Row],[I. Nợ ngắn hạn]])/Table1[[#This Row],[TỔNG CỘNG TÀI SẢN]]</f>
        <v>0.3979234472066896</v>
      </c>
      <c r="R1164" s="18">
        <f>Table1[[#This Row],[- LNST chưa phân phối kỳ này]]/Table1[[#This Row],[TỔNG CỘNG TÀI SẢN]]</f>
        <v>7.1415317943378423E-2</v>
      </c>
      <c r="S1164" s="21">
        <f>Table1[[#This Row],[5. Lợi nhuận gộp về bán hàng và cung cấp dịch vụ]]/Table1[[#This Row],[TỔNG CỘNG TÀI SẢN]]</f>
        <v>7.8944561461680454E-2</v>
      </c>
      <c r="T116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1.3850372197989371</v>
      </c>
      <c r="U1164" s="23">
        <f>Table1[[#This Row],[1. Doanh thu bán hàng và cung cấp dịch vụ ]]/Table1[[#This Row],[TỔNG CỘNG TÀI SẢN]]</f>
        <v>0.3055839776795255</v>
      </c>
      <c r="V1164" s="23">
        <f>1.2*Table1[[#This Row],[X1]] + 1.4*Table1[[#This Row],[X2]] + 3.3*Table1[[#This Row],[x3]] + 0.6*Table1[[#This Row],[x4]] + 1*Table1[[#This Row],[x5]]</f>
        <v>1.9746129441511904</v>
      </c>
      <c r="W1164" s="23">
        <f>IF(Table1[[#This Row],[Zscore]]&lt;1.81,1,0)</f>
        <v>0</v>
      </c>
    </row>
    <row r="1165" spans="1:23" ht="26.25" hidden="1" x14ac:dyDescent="0.45">
      <c r="A1165" s="7">
        <v>1159</v>
      </c>
      <c r="B1165" s="5" t="s">
        <v>2330</v>
      </c>
      <c r="C1165" s="6" t="s">
        <v>2331</v>
      </c>
      <c r="D1165" s="6" t="s">
        <v>13</v>
      </c>
      <c r="E1165" s="6"/>
      <c r="F1165" s="6"/>
      <c r="G1165" s="6"/>
      <c r="H1165" s="6"/>
      <c r="I1165" s="6"/>
      <c r="J1165" s="8"/>
      <c r="K1165" s="6"/>
      <c r="L1165" s="6"/>
      <c r="M1165" s="8"/>
      <c r="N1165" s="8"/>
      <c r="O1165" s="8"/>
      <c r="P1165" s="8"/>
      <c r="Q1165" s="18" t="e">
        <f>(Table1[[#This Row],[A. TÀI SẢN NGẮN HẠN]]-Table1[[#This Row],[I. Nợ ngắn hạn]])/Table1[[#This Row],[TỔNG CỘNG TÀI SẢN]]</f>
        <v>#DIV/0!</v>
      </c>
      <c r="R1165" s="18" t="e">
        <f>Table1[[#This Row],[- LNST chưa phân phối kỳ này]]/Table1[[#This Row],[TỔNG CỘNG TÀI SẢN]]</f>
        <v>#DIV/0!</v>
      </c>
      <c r="S1165" s="21" t="e">
        <f>Table1[[#This Row],[5. Lợi nhuận gộp về bán hàng và cung cấp dịch vụ]]/Table1[[#This Row],[TỔNG CỘNG TÀI SẢN]]</f>
        <v>#DIV/0!</v>
      </c>
      <c r="T116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165" s="23" t="e">
        <f>Table1[[#This Row],[1. Doanh thu bán hàng và cung cấp dịch vụ ]]/Table1[[#This Row],[TỔNG CỘNG TÀI SẢN]]</f>
        <v>#DIV/0!</v>
      </c>
      <c r="V1165" s="23" t="e">
        <f>1.2*Table1[[#This Row],[X1]] + 1.4*Table1[[#This Row],[X2]] + 3.3*Table1[[#This Row],[x3]] + 0.6*Table1[[#This Row],[x4]] + 1*Table1[[#This Row],[x5]]</f>
        <v>#DIV/0!</v>
      </c>
      <c r="W1165" s="23" t="e">
        <f>IF(Table1[[#This Row],[Zscore]]&lt;1.81,1,0)</f>
        <v>#DIV/0!</v>
      </c>
    </row>
    <row r="1166" spans="1:23" ht="26.25" x14ac:dyDescent="0.45">
      <c r="A1166" s="7">
        <v>1160</v>
      </c>
      <c r="B1166" s="5" t="s">
        <v>2332</v>
      </c>
      <c r="C1166" s="6" t="s">
        <v>2333</v>
      </c>
      <c r="D1166" s="6" t="s">
        <v>18</v>
      </c>
      <c r="E1166" s="8">
        <v>657984812434</v>
      </c>
      <c r="F1166" s="8">
        <v>455585276072</v>
      </c>
      <c r="G1166" s="8">
        <v>344100396588</v>
      </c>
      <c r="H1166" s="8">
        <v>62739546946</v>
      </c>
      <c r="I1166" s="8">
        <v>182342755282</v>
      </c>
      <c r="J1166" s="8"/>
      <c r="K1166" s="8">
        <v>344100396588</v>
      </c>
      <c r="L1166" s="8">
        <v>789337259119</v>
      </c>
      <c r="M1166" s="8">
        <v>716067976300</v>
      </c>
      <c r="N1166" s="8">
        <v>565830281000</v>
      </c>
      <c r="O1166" s="8">
        <v>708263420700</v>
      </c>
      <c r="P1166" s="8">
        <v>556074586500</v>
      </c>
      <c r="Q1166" s="18">
        <f>(Table1[[#This Row],[A. TÀI SẢN NGẮN HẠN]]-Table1[[#This Row],[I. Nợ ngắn hạn]])/Table1[[#This Row],[TỔNG CỘNG TÀI SẢN]]</f>
        <v>0.16943381880137642</v>
      </c>
      <c r="R1166" s="18">
        <f>Table1[[#This Row],[- LNST chưa phân phối kỳ này]]/Table1[[#This Row],[TỔNG CỘNG TÀI SẢN]]</f>
        <v>9.5351056377601676E-2</v>
      </c>
      <c r="S1166" s="21">
        <f>Table1[[#This Row],[5. Lợi nhuận gộp về bán hàng và cung cấp dịch vụ]]/Table1[[#This Row],[TỔNG CỘNG TÀI SẢN]]</f>
        <v>0.27712304575463148</v>
      </c>
      <c r="T116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1.8499225006333488</v>
      </c>
      <c r="U1166" s="23">
        <f>Table1[[#This Row],[1. Doanh thu bán hàng và cung cấp dịch vụ ]]/Table1[[#This Row],[TỔNG CỘNG TÀI SẢN]]</f>
        <v>1.1996283868606397</v>
      </c>
      <c r="V1166" s="23">
        <f>1.2*Table1[[#This Row],[X1]] + 1.4*Table1[[#This Row],[X2]] + 3.3*Table1[[#This Row],[x3]] + 0.6*Table1[[#This Row],[x4]] + 1*Table1[[#This Row],[x5]]</f>
        <v>3.5608999997212267</v>
      </c>
      <c r="W1166" s="23">
        <f>IF(Table1[[#This Row],[Zscore]]&lt;1.81,1,0)</f>
        <v>0</v>
      </c>
    </row>
    <row r="1167" spans="1:23" ht="26.25" hidden="1" x14ac:dyDescent="0.45">
      <c r="A1167" s="7">
        <v>1161</v>
      </c>
      <c r="B1167" s="5" t="s">
        <v>2334</v>
      </c>
      <c r="C1167" s="6" t="s">
        <v>2335</v>
      </c>
      <c r="D1167" s="6" t="s">
        <v>13</v>
      </c>
      <c r="E1167" s="6"/>
      <c r="F1167" s="6"/>
      <c r="G1167" s="6"/>
      <c r="H1167" s="6"/>
      <c r="I1167" s="6"/>
      <c r="J1167" s="8"/>
      <c r="K1167" s="6"/>
      <c r="L1167" s="6"/>
      <c r="M1167" s="8"/>
      <c r="N1167" s="8"/>
      <c r="O1167" s="8"/>
      <c r="P1167" s="8"/>
      <c r="Q1167" s="18" t="e">
        <f>(Table1[[#This Row],[A. TÀI SẢN NGẮN HẠN]]-Table1[[#This Row],[I. Nợ ngắn hạn]])/Table1[[#This Row],[TỔNG CỘNG TÀI SẢN]]</f>
        <v>#DIV/0!</v>
      </c>
      <c r="R1167" s="18" t="e">
        <f>Table1[[#This Row],[- LNST chưa phân phối kỳ này]]/Table1[[#This Row],[TỔNG CỘNG TÀI SẢN]]</f>
        <v>#DIV/0!</v>
      </c>
      <c r="S1167" s="21" t="e">
        <f>Table1[[#This Row],[5. Lợi nhuận gộp về bán hàng và cung cấp dịch vụ]]/Table1[[#This Row],[TỔNG CỘNG TÀI SẢN]]</f>
        <v>#DIV/0!</v>
      </c>
      <c r="T116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167" s="23" t="e">
        <f>Table1[[#This Row],[1. Doanh thu bán hàng và cung cấp dịch vụ ]]/Table1[[#This Row],[TỔNG CỘNG TÀI SẢN]]</f>
        <v>#DIV/0!</v>
      </c>
      <c r="V1167" s="23" t="e">
        <f>1.2*Table1[[#This Row],[X1]] + 1.4*Table1[[#This Row],[X2]] + 3.3*Table1[[#This Row],[x3]] + 0.6*Table1[[#This Row],[x4]] + 1*Table1[[#This Row],[x5]]</f>
        <v>#DIV/0!</v>
      </c>
      <c r="W1167" s="23" t="e">
        <f>IF(Table1[[#This Row],[Zscore]]&lt;1.81,1,0)</f>
        <v>#DIV/0!</v>
      </c>
    </row>
    <row r="1168" spans="1:23" hidden="1" x14ac:dyDescent="0.45">
      <c r="A1168" s="7">
        <v>1162</v>
      </c>
      <c r="B1168" s="5" t="s">
        <v>2336</v>
      </c>
      <c r="C1168" s="6" t="s">
        <v>2337</v>
      </c>
      <c r="D1168" s="6" t="s">
        <v>13</v>
      </c>
      <c r="E1168" s="6"/>
      <c r="F1168" s="6"/>
      <c r="G1168" s="6"/>
      <c r="H1168" s="6"/>
      <c r="I1168" s="6"/>
      <c r="J1168" s="8"/>
      <c r="K1168" s="6"/>
      <c r="L1168" s="6"/>
      <c r="M1168" s="8"/>
      <c r="N1168" s="8"/>
      <c r="O1168" s="8"/>
      <c r="P1168" s="8"/>
      <c r="Q1168" s="18" t="e">
        <f>(Table1[[#This Row],[A. TÀI SẢN NGẮN HẠN]]-Table1[[#This Row],[I. Nợ ngắn hạn]])/Table1[[#This Row],[TỔNG CỘNG TÀI SẢN]]</f>
        <v>#DIV/0!</v>
      </c>
      <c r="R1168" s="18" t="e">
        <f>Table1[[#This Row],[- LNST chưa phân phối kỳ này]]/Table1[[#This Row],[TỔNG CỘNG TÀI SẢN]]</f>
        <v>#DIV/0!</v>
      </c>
      <c r="S1168" s="21" t="e">
        <f>Table1[[#This Row],[5. Lợi nhuận gộp về bán hàng và cung cấp dịch vụ]]/Table1[[#This Row],[TỔNG CỘNG TÀI SẢN]]</f>
        <v>#DIV/0!</v>
      </c>
      <c r="T116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168" s="23" t="e">
        <f>Table1[[#This Row],[1. Doanh thu bán hàng và cung cấp dịch vụ ]]/Table1[[#This Row],[TỔNG CỘNG TÀI SẢN]]</f>
        <v>#DIV/0!</v>
      </c>
      <c r="V1168" s="23" t="e">
        <f>1.2*Table1[[#This Row],[X1]] + 1.4*Table1[[#This Row],[X2]] + 3.3*Table1[[#This Row],[x3]] + 0.6*Table1[[#This Row],[x4]] + 1*Table1[[#This Row],[x5]]</f>
        <v>#DIV/0!</v>
      </c>
      <c r="W1168" s="23" t="e">
        <f>IF(Table1[[#This Row],[Zscore]]&lt;1.81,1,0)</f>
        <v>#DIV/0!</v>
      </c>
    </row>
    <row r="1169" spans="1:23" ht="26.25" hidden="1" x14ac:dyDescent="0.45">
      <c r="A1169" s="7">
        <v>1163</v>
      </c>
      <c r="B1169" s="5" t="s">
        <v>2338</v>
      </c>
      <c r="C1169" s="6" t="s">
        <v>2339</v>
      </c>
      <c r="D1169" s="6" t="s">
        <v>13</v>
      </c>
      <c r="E1169" s="6"/>
      <c r="F1169" s="6"/>
      <c r="G1169" s="6"/>
      <c r="H1169" s="6"/>
      <c r="I1169" s="6"/>
      <c r="J1169" s="8"/>
      <c r="K1169" s="6"/>
      <c r="L1169" s="6"/>
      <c r="M1169" s="8"/>
      <c r="N1169" s="8"/>
      <c r="O1169" s="8"/>
      <c r="P1169" s="8"/>
      <c r="Q1169" s="18" t="e">
        <f>(Table1[[#This Row],[A. TÀI SẢN NGẮN HẠN]]-Table1[[#This Row],[I. Nợ ngắn hạn]])/Table1[[#This Row],[TỔNG CỘNG TÀI SẢN]]</f>
        <v>#DIV/0!</v>
      </c>
      <c r="R1169" s="18" t="e">
        <f>Table1[[#This Row],[- LNST chưa phân phối kỳ này]]/Table1[[#This Row],[TỔNG CỘNG TÀI SẢN]]</f>
        <v>#DIV/0!</v>
      </c>
      <c r="S1169" s="21" t="e">
        <f>Table1[[#This Row],[5. Lợi nhuận gộp về bán hàng và cung cấp dịch vụ]]/Table1[[#This Row],[TỔNG CỘNG TÀI SẢN]]</f>
        <v>#DIV/0!</v>
      </c>
      <c r="T116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169" s="23" t="e">
        <f>Table1[[#This Row],[1. Doanh thu bán hàng và cung cấp dịch vụ ]]/Table1[[#This Row],[TỔNG CỘNG TÀI SẢN]]</f>
        <v>#DIV/0!</v>
      </c>
      <c r="V1169" s="23" t="e">
        <f>1.2*Table1[[#This Row],[X1]] + 1.4*Table1[[#This Row],[X2]] + 3.3*Table1[[#This Row],[x3]] + 0.6*Table1[[#This Row],[x4]] + 1*Table1[[#This Row],[x5]]</f>
        <v>#DIV/0!</v>
      </c>
      <c r="W1169" s="23" t="e">
        <f>IF(Table1[[#This Row],[Zscore]]&lt;1.81,1,0)</f>
        <v>#DIV/0!</v>
      </c>
    </row>
    <row r="1170" spans="1:23" x14ac:dyDescent="0.45">
      <c r="A1170" s="7">
        <v>1164</v>
      </c>
      <c r="B1170" s="5" t="s">
        <v>2340</v>
      </c>
      <c r="C1170" s="6" t="s">
        <v>2341</v>
      </c>
      <c r="D1170" s="6" t="s">
        <v>36</v>
      </c>
      <c r="E1170" s="8">
        <v>55293240391022</v>
      </c>
      <c r="F1170" s="8">
        <v>29010674523908</v>
      </c>
      <c r="G1170" s="8">
        <v>18628676103279</v>
      </c>
      <c r="H1170" s="8">
        <v>415802539979</v>
      </c>
      <c r="I1170" s="8">
        <v>3307991164558</v>
      </c>
      <c r="J1170" s="8"/>
      <c r="K1170" s="8">
        <v>35580542496404</v>
      </c>
      <c r="L1170" s="8">
        <v>37004575746692</v>
      </c>
      <c r="M1170" s="8">
        <v>13209177082000</v>
      </c>
      <c r="N1170" s="8">
        <v>16878912179800</v>
      </c>
      <c r="O1170" s="8">
        <v>11513404348500</v>
      </c>
      <c r="P1170" s="8">
        <v>15618959387500</v>
      </c>
      <c r="Q1170" s="18">
        <f>(Table1[[#This Row],[A. TÀI SẢN NGẮN HẠN]]-Table1[[#This Row],[I. Nợ ngắn hạn]])/Table1[[#This Row],[TỔNG CỘNG TÀI SẢN]]</f>
        <v>0.18776252480791</v>
      </c>
      <c r="R1170" s="18">
        <f>Table1[[#This Row],[- LNST chưa phân phối kỳ này]]/Table1[[#This Row],[TỔNG CỘNG TÀI SẢN]]</f>
        <v>7.5199524759000042E-3</v>
      </c>
      <c r="S1170" s="21">
        <f>Table1[[#This Row],[5. Lợi nhuận gộp về bán hàng và cung cấp dịch vụ]]/Table1[[#This Row],[TỔNG CỘNG TÀI SẢN]]</f>
        <v>5.9826321285650692E-2</v>
      </c>
      <c r="T117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0.40204876726923899</v>
      </c>
      <c r="U1170" s="23">
        <f>Table1[[#This Row],[1. Doanh thu bán hàng và cung cấp dịch vụ ]]/Table1[[#This Row],[TỔNG CỘNG TÀI SẢN]]</f>
        <v>0.6692423067449752</v>
      </c>
      <c r="V1170" s="23">
        <f>1.2*Table1[[#This Row],[X1]] + 1.4*Table1[[#This Row],[X2]] + 3.3*Table1[[#This Row],[x3]] + 0.6*Table1[[#This Row],[x4]] + 1*Table1[[#This Row],[x5]]</f>
        <v>1.3437413905849178</v>
      </c>
      <c r="W1170" s="23">
        <f>IF(Table1[[#This Row],[Zscore]]&lt;1.81,1,0)</f>
        <v>1</v>
      </c>
    </row>
    <row r="1171" spans="1:23" hidden="1" x14ac:dyDescent="0.45">
      <c r="A1171" s="7">
        <v>1165</v>
      </c>
      <c r="B1171" s="5" t="s">
        <v>2342</v>
      </c>
      <c r="C1171" s="6" t="s">
        <v>2343</v>
      </c>
      <c r="D1171" s="6" t="s">
        <v>13</v>
      </c>
      <c r="E1171" s="6"/>
      <c r="F1171" s="6"/>
      <c r="G1171" s="6"/>
      <c r="H1171" s="6"/>
      <c r="I1171" s="6"/>
      <c r="J1171" s="8"/>
      <c r="K1171" s="6"/>
      <c r="L1171" s="6"/>
      <c r="M1171" s="8"/>
      <c r="N1171" s="8"/>
      <c r="O1171" s="8"/>
      <c r="P1171" s="8"/>
      <c r="Q1171" s="18" t="e">
        <f>(Table1[[#This Row],[A. TÀI SẢN NGẮN HẠN]]-Table1[[#This Row],[I. Nợ ngắn hạn]])/Table1[[#This Row],[TỔNG CỘNG TÀI SẢN]]</f>
        <v>#DIV/0!</v>
      </c>
      <c r="R1171" s="18" t="e">
        <f>Table1[[#This Row],[- LNST chưa phân phối kỳ này]]/Table1[[#This Row],[TỔNG CỘNG TÀI SẢN]]</f>
        <v>#DIV/0!</v>
      </c>
      <c r="S1171" s="21" t="e">
        <f>Table1[[#This Row],[5. Lợi nhuận gộp về bán hàng và cung cấp dịch vụ]]/Table1[[#This Row],[TỔNG CỘNG TÀI SẢN]]</f>
        <v>#DIV/0!</v>
      </c>
      <c r="T117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171" s="23" t="e">
        <f>Table1[[#This Row],[1. Doanh thu bán hàng và cung cấp dịch vụ ]]/Table1[[#This Row],[TỔNG CỘNG TÀI SẢN]]</f>
        <v>#DIV/0!</v>
      </c>
      <c r="V1171" s="23" t="e">
        <f>1.2*Table1[[#This Row],[X1]] + 1.4*Table1[[#This Row],[X2]] + 3.3*Table1[[#This Row],[x3]] + 0.6*Table1[[#This Row],[x4]] + 1*Table1[[#This Row],[x5]]</f>
        <v>#DIV/0!</v>
      </c>
      <c r="W1171" s="23" t="e">
        <f>IF(Table1[[#This Row],[Zscore]]&lt;1.81,1,0)</f>
        <v>#DIV/0!</v>
      </c>
    </row>
    <row r="1172" spans="1:23" ht="26.25" hidden="1" x14ac:dyDescent="0.45">
      <c r="A1172" s="7">
        <v>1166</v>
      </c>
      <c r="B1172" s="5" t="s">
        <v>2344</v>
      </c>
      <c r="C1172" s="6" t="s">
        <v>2345</v>
      </c>
      <c r="D1172" s="6" t="s">
        <v>13</v>
      </c>
      <c r="E1172" s="6"/>
      <c r="F1172" s="6"/>
      <c r="G1172" s="6"/>
      <c r="H1172" s="6"/>
      <c r="I1172" s="6"/>
      <c r="J1172" s="8"/>
      <c r="K1172" s="6"/>
      <c r="L1172" s="6"/>
      <c r="M1172" s="8"/>
      <c r="N1172" s="8"/>
      <c r="O1172" s="8"/>
      <c r="P1172" s="8"/>
      <c r="Q1172" s="18" t="e">
        <f>(Table1[[#This Row],[A. TÀI SẢN NGẮN HẠN]]-Table1[[#This Row],[I. Nợ ngắn hạn]])/Table1[[#This Row],[TỔNG CỘNG TÀI SẢN]]</f>
        <v>#DIV/0!</v>
      </c>
      <c r="R1172" s="18" t="e">
        <f>Table1[[#This Row],[- LNST chưa phân phối kỳ này]]/Table1[[#This Row],[TỔNG CỘNG TÀI SẢN]]</f>
        <v>#DIV/0!</v>
      </c>
      <c r="S1172" s="21" t="e">
        <f>Table1[[#This Row],[5. Lợi nhuận gộp về bán hàng và cung cấp dịch vụ]]/Table1[[#This Row],[TỔNG CỘNG TÀI SẢN]]</f>
        <v>#DIV/0!</v>
      </c>
      <c r="T117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172" s="23" t="e">
        <f>Table1[[#This Row],[1. Doanh thu bán hàng và cung cấp dịch vụ ]]/Table1[[#This Row],[TỔNG CỘNG TÀI SẢN]]</f>
        <v>#DIV/0!</v>
      </c>
      <c r="V1172" s="23" t="e">
        <f>1.2*Table1[[#This Row],[X1]] + 1.4*Table1[[#This Row],[X2]] + 3.3*Table1[[#This Row],[x3]] + 0.6*Table1[[#This Row],[x4]] + 1*Table1[[#This Row],[x5]]</f>
        <v>#DIV/0!</v>
      </c>
      <c r="W1172" s="23" t="e">
        <f>IF(Table1[[#This Row],[Zscore]]&lt;1.81,1,0)</f>
        <v>#DIV/0!</v>
      </c>
    </row>
    <row r="1173" spans="1:23" hidden="1" x14ac:dyDescent="0.45">
      <c r="A1173" s="7">
        <v>1167</v>
      </c>
      <c r="B1173" s="5" t="s">
        <v>2346</v>
      </c>
      <c r="C1173" s="6" t="s">
        <v>2347</v>
      </c>
      <c r="D1173" s="6" t="s">
        <v>13</v>
      </c>
      <c r="E1173" s="6"/>
      <c r="F1173" s="6"/>
      <c r="G1173" s="6"/>
      <c r="H1173" s="6"/>
      <c r="I1173" s="6"/>
      <c r="J1173" s="8"/>
      <c r="K1173" s="6"/>
      <c r="L1173" s="6"/>
      <c r="M1173" s="8"/>
      <c r="N1173" s="8"/>
      <c r="O1173" s="8"/>
      <c r="P1173" s="8"/>
      <c r="Q1173" s="18" t="e">
        <f>(Table1[[#This Row],[A. TÀI SẢN NGẮN HẠN]]-Table1[[#This Row],[I. Nợ ngắn hạn]])/Table1[[#This Row],[TỔNG CỘNG TÀI SẢN]]</f>
        <v>#DIV/0!</v>
      </c>
      <c r="R1173" s="18" t="e">
        <f>Table1[[#This Row],[- LNST chưa phân phối kỳ này]]/Table1[[#This Row],[TỔNG CỘNG TÀI SẢN]]</f>
        <v>#DIV/0!</v>
      </c>
      <c r="S1173" s="21" t="e">
        <f>Table1[[#This Row],[5. Lợi nhuận gộp về bán hàng và cung cấp dịch vụ]]/Table1[[#This Row],[TỔNG CỘNG TÀI SẢN]]</f>
        <v>#DIV/0!</v>
      </c>
      <c r="T117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173" s="23" t="e">
        <f>Table1[[#This Row],[1. Doanh thu bán hàng và cung cấp dịch vụ ]]/Table1[[#This Row],[TỔNG CỘNG TÀI SẢN]]</f>
        <v>#DIV/0!</v>
      </c>
      <c r="V1173" s="23" t="e">
        <f>1.2*Table1[[#This Row],[X1]] + 1.4*Table1[[#This Row],[X2]] + 3.3*Table1[[#This Row],[x3]] + 0.6*Table1[[#This Row],[x4]] + 1*Table1[[#This Row],[x5]]</f>
        <v>#DIV/0!</v>
      </c>
      <c r="W1173" s="23" t="e">
        <f>IF(Table1[[#This Row],[Zscore]]&lt;1.81,1,0)</f>
        <v>#DIV/0!</v>
      </c>
    </row>
    <row r="1174" spans="1:23" hidden="1" x14ac:dyDescent="0.45">
      <c r="A1174" s="7">
        <v>1168</v>
      </c>
      <c r="B1174" s="5" t="s">
        <v>2348</v>
      </c>
      <c r="C1174" s="6" t="s">
        <v>2349</v>
      </c>
      <c r="D1174" s="6" t="s">
        <v>13</v>
      </c>
      <c r="E1174" s="6"/>
      <c r="F1174" s="6"/>
      <c r="G1174" s="6"/>
      <c r="H1174" s="6"/>
      <c r="I1174" s="6"/>
      <c r="J1174" s="8"/>
      <c r="K1174" s="6"/>
      <c r="L1174" s="6"/>
      <c r="M1174" s="8"/>
      <c r="N1174" s="8"/>
      <c r="O1174" s="8"/>
      <c r="P1174" s="8"/>
      <c r="Q1174" s="18" t="e">
        <f>(Table1[[#This Row],[A. TÀI SẢN NGẮN HẠN]]-Table1[[#This Row],[I. Nợ ngắn hạn]])/Table1[[#This Row],[TỔNG CỘNG TÀI SẢN]]</f>
        <v>#DIV/0!</v>
      </c>
      <c r="R1174" s="18" t="e">
        <f>Table1[[#This Row],[- LNST chưa phân phối kỳ này]]/Table1[[#This Row],[TỔNG CỘNG TÀI SẢN]]</f>
        <v>#DIV/0!</v>
      </c>
      <c r="S1174" s="21" t="e">
        <f>Table1[[#This Row],[5. Lợi nhuận gộp về bán hàng và cung cấp dịch vụ]]/Table1[[#This Row],[TỔNG CỘNG TÀI SẢN]]</f>
        <v>#DIV/0!</v>
      </c>
      <c r="T117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174" s="23" t="e">
        <f>Table1[[#This Row],[1. Doanh thu bán hàng và cung cấp dịch vụ ]]/Table1[[#This Row],[TỔNG CỘNG TÀI SẢN]]</f>
        <v>#DIV/0!</v>
      </c>
      <c r="V1174" s="23" t="e">
        <f>1.2*Table1[[#This Row],[X1]] + 1.4*Table1[[#This Row],[X2]] + 3.3*Table1[[#This Row],[x3]] + 0.6*Table1[[#This Row],[x4]] + 1*Table1[[#This Row],[x5]]</f>
        <v>#DIV/0!</v>
      </c>
      <c r="W1174" s="23" t="e">
        <f>IF(Table1[[#This Row],[Zscore]]&lt;1.81,1,0)</f>
        <v>#DIV/0!</v>
      </c>
    </row>
    <row r="1175" spans="1:23" hidden="1" x14ac:dyDescent="0.45">
      <c r="A1175" s="7">
        <v>1169</v>
      </c>
      <c r="B1175" s="5" t="s">
        <v>2350</v>
      </c>
      <c r="C1175" s="6" t="s">
        <v>2351</v>
      </c>
      <c r="D1175" s="6" t="s">
        <v>13</v>
      </c>
      <c r="E1175" s="6"/>
      <c r="F1175" s="6"/>
      <c r="G1175" s="6"/>
      <c r="H1175" s="6"/>
      <c r="I1175" s="6"/>
      <c r="J1175" s="8"/>
      <c r="K1175" s="6"/>
      <c r="L1175" s="6"/>
      <c r="M1175" s="8"/>
      <c r="N1175" s="8"/>
      <c r="O1175" s="8"/>
      <c r="P1175" s="8"/>
      <c r="Q1175" s="18" t="e">
        <f>(Table1[[#This Row],[A. TÀI SẢN NGẮN HẠN]]-Table1[[#This Row],[I. Nợ ngắn hạn]])/Table1[[#This Row],[TỔNG CỘNG TÀI SẢN]]</f>
        <v>#DIV/0!</v>
      </c>
      <c r="R1175" s="18" t="e">
        <f>Table1[[#This Row],[- LNST chưa phân phối kỳ này]]/Table1[[#This Row],[TỔNG CỘNG TÀI SẢN]]</f>
        <v>#DIV/0!</v>
      </c>
      <c r="S1175" s="21" t="e">
        <f>Table1[[#This Row],[5. Lợi nhuận gộp về bán hàng và cung cấp dịch vụ]]/Table1[[#This Row],[TỔNG CỘNG TÀI SẢN]]</f>
        <v>#DIV/0!</v>
      </c>
      <c r="T117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175" s="23" t="e">
        <f>Table1[[#This Row],[1. Doanh thu bán hàng và cung cấp dịch vụ ]]/Table1[[#This Row],[TỔNG CỘNG TÀI SẢN]]</f>
        <v>#DIV/0!</v>
      </c>
      <c r="V1175" s="23" t="e">
        <f>1.2*Table1[[#This Row],[X1]] + 1.4*Table1[[#This Row],[X2]] + 3.3*Table1[[#This Row],[x3]] + 0.6*Table1[[#This Row],[x4]] + 1*Table1[[#This Row],[x5]]</f>
        <v>#DIV/0!</v>
      </c>
      <c r="W1175" s="23" t="e">
        <f>IF(Table1[[#This Row],[Zscore]]&lt;1.81,1,0)</f>
        <v>#DIV/0!</v>
      </c>
    </row>
    <row r="1176" spans="1:23" x14ac:dyDescent="0.45">
      <c r="A1176" s="7">
        <v>1170</v>
      </c>
      <c r="B1176" s="5" t="s">
        <v>2352</v>
      </c>
      <c r="C1176" s="6" t="s">
        <v>2353</v>
      </c>
      <c r="D1176" s="6" t="s">
        <v>18</v>
      </c>
      <c r="E1176" s="8">
        <v>174560607031</v>
      </c>
      <c r="F1176" s="8">
        <v>173317918049</v>
      </c>
      <c r="G1176" s="8">
        <v>22308570757</v>
      </c>
      <c r="H1176" s="8">
        <v>1247451041</v>
      </c>
      <c r="I1176" s="8">
        <v>8202406972</v>
      </c>
      <c r="J1176" s="8"/>
      <c r="K1176" s="8">
        <v>22308570757</v>
      </c>
      <c r="L1176" s="8">
        <v>88153829990</v>
      </c>
      <c r="M1176" s="8">
        <v>207480000000</v>
      </c>
      <c r="N1176" s="8">
        <v>263445000000</v>
      </c>
      <c r="O1176" s="8">
        <v>170625000000</v>
      </c>
      <c r="P1176" s="8">
        <v>339885000000</v>
      </c>
      <c r="Q1176" s="18">
        <f>(Table1[[#This Row],[A. TÀI SẢN NGẮN HẠN]]-Table1[[#This Row],[I. Nợ ngắn hạn]])/Table1[[#This Row],[TỔNG CỘNG TÀI SẢN]]</f>
        <v>0.86508262007351089</v>
      </c>
      <c r="R1176" s="18">
        <f>Table1[[#This Row],[- LNST chưa phân phối kỳ này]]/Table1[[#This Row],[TỔNG CỘNG TÀI SẢN]]</f>
        <v>7.1462345498057691E-3</v>
      </c>
      <c r="S1176" s="21">
        <f>Table1[[#This Row],[5. Lợi nhuận gộp về bán hàng và cung cấp dịch vụ]]/Table1[[#This Row],[TỔNG CỘNG TÀI SẢN]]</f>
        <v>4.6988877453567432E-2</v>
      </c>
      <c r="T117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10.998407413572703</v>
      </c>
      <c r="U1176" s="23">
        <f>Table1[[#This Row],[1. Doanh thu bán hàng và cung cấp dịch vụ ]]/Table1[[#This Row],[TỔNG CỘNG TÀI SẢN]]</f>
        <v>0.50500414434480556</v>
      </c>
      <c r="V1176" s="23">
        <f>1.2*Table1[[#This Row],[X1]] + 1.4*Table1[[#This Row],[X2]] + 3.3*Table1[[#This Row],[x3]] + 0.6*Table1[[#This Row],[x4]] + 1*Table1[[#This Row],[x5]]</f>
        <v>8.3072157605431407</v>
      </c>
      <c r="W1176" s="23">
        <f>IF(Table1[[#This Row],[Zscore]]&lt;1.81,1,0)</f>
        <v>0</v>
      </c>
    </row>
    <row r="1177" spans="1:23" hidden="1" x14ac:dyDescent="0.45">
      <c r="A1177" s="7">
        <v>1171</v>
      </c>
      <c r="B1177" s="5" t="s">
        <v>2354</v>
      </c>
      <c r="C1177" s="6" t="s">
        <v>2355</v>
      </c>
      <c r="D1177" s="6" t="s">
        <v>13</v>
      </c>
      <c r="E1177" s="6"/>
      <c r="F1177" s="6"/>
      <c r="G1177" s="6"/>
      <c r="H1177" s="6"/>
      <c r="I1177" s="6"/>
      <c r="J1177" s="8"/>
      <c r="K1177" s="6"/>
      <c r="L1177" s="6"/>
      <c r="M1177" s="8"/>
      <c r="N1177" s="8"/>
      <c r="O1177" s="8"/>
      <c r="P1177" s="8"/>
      <c r="Q1177" s="18" t="e">
        <f>(Table1[[#This Row],[A. TÀI SẢN NGẮN HẠN]]-Table1[[#This Row],[I. Nợ ngắn hạn]])/Table1[[#This Row],[TỔNG CỘNG TÀI SẢN]]</f>
        <v>#DIV/0!</v>
      </c>
      <c r="R1177" s="18" t="e">
        <f>Table1[[#This Row],[- LNST chưa phân phối kỳ này]]/Table1[[#This Row],[TỔNG CỘNG TÀI SẢN]]</f>
        <v>#DIV/0!</v>
      </c>
      <c r="S1177" s="21" t="e">
        <f>Table1[[#This Row],[5. Lợi nhuận gộp về bán hàng và cung cấp dịch vụ]]/Table1[[#This Row],[TỔNG CỘNG TÀI SẢN]]</f>
        <v>#DIV/0!</v>
      </c>
      <c r="T117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177" s="23" t="e">
        <f>Table1[[#This Row],[1. Doanh thu bán hàng và cung cấp dịch vụ ]]/Table1[[#This Row],[TỔNG CỘNG TÀI SẢN]]</f>
        <v>#DIV/0!</v>
      </c>
      <c r="V1177" s="23" t="e">
        <f>1.2*Table1[[#This Row],[X1]] + 1.4*Table1[[#This Row],[X2]] + 3.3*Table1[[#This Row],[x3]] + 0.6*Table1[[#This Row],[x4]] + 1*Table1[[#This Row],[x5]]</f>
        <v>#DIV/0!</v>
      </c>
      <c r="W1177" s="23" t="e">
        <f>IF(Table1[[#This Row],[Zscore]]&lt;1.81,1,0)</f>
        <v>#DIV/0!</v>
      </c>
    </row>
    <row r="1178" spans="1:23" hidden="1" x14ac:dyDescent="0.45">
      <c r="A1178" s="7">
        <v>1172</v>
      </c>
      <c r="B1178" s="5" t="s">
        <v>2356</v>
      </c>
      <c r="C1178" s="6" t="s">
        <v>2357</v>
      </c>
      <c r="D1178" s="6" t="s">
        <v>13</v>
      </c>
      <c r="E1178" s="6"/>
      <c r="F1178" s="6"/>
      <c r="G1178" s="6"/>
      <c r="H1178" s="6"/>
      <c r="I1178" s="6"/>
      <c r="J1178" s="8"/>
      <c r="K1178" s="6"/>
      <c r="L1178" s="6"/>
      <c r="M1178" s="8"/>
      <c r="N1178" s="8"/>
      <c r="O1178" s="8"/>
      <c r="P1178" s="8"/>
      <c r="Q1178" s="18" t="e">
        <f>(Table1[[#This Row],[A. TÀI SẢN NGẮN HẠN]]-Table1[[#This Row],[I. Nợ ngắn hạn]])/Table1[[#This Row],[TỔNG CỘNG TÀI SẢN]]</f>
        <v>#DIV/0!</v>
      </c>
      <c r="R1178" s="18" t="e">
        <f>Table1[[#This Row],[- LNST chưa phân phối kỳ này]]/Table1[[#This Row],[TỔNG CỘNG TÀI SẢN]]</f>
        <v>#DIV/0!</v>
      </c>
      <c r="S1178" s="21" t="e">
        <f>Table1[[#This Row],[5. Lợi nhuận gộp về bán hàng và cung cấp dịch vụ]]/Table1[[#This Row],[TỔNG CỘNG TÀI SẢN]]</f>
        <v>#DIV/0!</v>
      </c>
      <c r="T117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178" s="23" t="e">
        <f>Table1[[#This Row],[1. Doanh thu bán hàng và cung cấp dịch vụ ]]/Table1[[#This Row],[TỔNG CỘNG TÀI SẢN]]</f>
        <v>#DIV/0!</v>
      </c>
      <c r="V1178" s="23" t="e">
        <f>1.2*Table1[[#This Row],[X1]] + 1.4*Table1[[#This Row],[X2]] + 3.3*Table1[[#This Row],[x3]] + 0.6*Table1[[#This Row],[x4]] + 1*Table1[[#This Row],[x5]]</f>
        <v>#DIV/0!</v>
      </c>
      <c r="W1178" s="23" t="e">
        <f>IF(Table1[[#This Row],[Zscore]]&lt;1.81,1,0)</f>
        <v>#DIV/0!</v>
      </c>
    </row>
    <row r="1179" spans="1:23" hidden="1" x14ac:dyDescent="0.45">
      <c r="A1179" s="7">
        <v>1173</v>
      </c>
      <c r="B1179" s="5" t="s">
        <v>2358</v>
      </c>
      <c r="C1179" s="6" t="s">
        <v>2359</v>
      </c>
      <c r="D1179" s="6" t="s">
        <v>13</v>
      </c>
      <c r="E1179" s="6"/>
      <c r="F1179" s="6"/>
      <c r="G1179" s="6"/>
      <c r="H1179" s="6"/>
      <c r="I1179" s="6"/>
      <c r="J1179" s="8"/>
      <c r="K1179" s="6"/>
      <c r="L1179" s="6"/>
      <c r="M1179" s="8"/>
      <c r="N1179" s="8"/>
      <c r="O1179" s="8"/>
      <c r="P1179" s="8"/>
      <c r="Q1179" s="18" t="e">
        <f>(Table1[[#This Row],[A. TÀI SẢN NGẮN HẠN]]-Table1[[#This Row],[I. Nợ ngắn hạn]])/Table1[[#This Row],[TỔNG CỘNG TÀI SẢN]]</f>
        <v>#DIV/0!</v>
      </c>
      <c r="R1179" s="18" t="e">
        <f>Table1[[#This Row],[- LNST chưa phân phối kỳ này]]/Table1[[#This Row],[TỔNG CỘNG TÀI SẢN]]</f>
        <v>#DIV/0!</v>
      </c>
      <c r="S1179" s="21" t="e">
        <f>Table1[[#This Row],[5. Lợi nhuận gộp về bán hàng và cung cấp dịch vụ]]/Table1[[#This Row],[TỔNG CỘNG TÀI SẢN]]</f>
        <v>#DIV/0!</v>
      </c>
      <c r="T117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179" s="23" t="e">
        <f>Table1[[#This Row],[1. Doanh thu bán hàng và cung cấp dịch vụ ]]/Table1[[#This Row],[TỔNG CỘNG TÀI SẢN]]</f>
        <v>#DIV/0!</v>
      </c>
      <c r="V1179" s="23" t="e">
        <f>1.2*Table1[[#This Row],[X1]] + 1.4*Table1[[#This Row],[X2]] + 3.3*Table1[[#This Row],[x3]] + 0.6*Table1[[#This Row],[x4]] + 1*Table1[[#This Row],[x5]]</f>
        <v>#DIV/0!</v>
      </c>
      <c r="W1179" s="23" t="e">
        <f>IF(Table1[[#This Row],[Zscore]]&lt;1.81,1,0)</f>
        <v>#DIV/0!</v>
      </c>
    </row>
    <row r="1180" spans="1:23" x14ac:dyDescent="0.45">
      <c r="A1180" s="7">
        <v>1174</v>
      </c>
      <c r="B1180" s="5" t="s">
        <v>2360</v>
      </c>
      <c r="C1180" s="6" t="s">
        <v>2361</v>
      </c>
      <c r="D1180" s="6" t="s">
        <v>21</v>
      </c>
      <c r="E1180" s="8">
        <v>972016170518</v>
      </c>
      <c r="F1180" s="8">
        <v>650044109888</v>
      </c>
      <c r="G1180" s="8">
        <v>380658833109</v>
      </c>
      <c r="H1180" s="8">
        <v>41897157772</v>
      </c>
      <c r="I1180" s="8">
        <v>84947822867</v>
      </c>
      <c r="J1180" s="8"/>
      <c r="K1180" s="8">
        <v>380658833109</v>
      </c>
      <c r="L1180" s="8">
        <v>700777051426</v>
      </c>
      <c r="M1180" s="8">
        <v>485705718500</v>
      </c>
      <c r="N1180" s="8">
        <v>582757075600</v>
      </c>
      <c r="O1180" s="8">
        <v>617548542800</v>
      </c>
      <c r="P1180" s="8">
        <v>578408142200</v>
      </c>
      <c r="Q1180" s="18">
        <f>(Table1[[#This Row],[A. TÀI SẢN NGẮN HẠN]]-Table1[[#This Row],[I. Nợ ngắn hạn]])/Table1[[#This Row],[TỔNG CỘNG TÀI SẢN]]</f>
        <v>0.27714073587422017</v>
      </c>
      <c r="R1180" s="18">
        <f>Table1[[#This Row],[- LNST chưa phân phối kỳ này]]/Table1[[#This Row],[TỔNG CỘNG TÀI SẢN]]</f>
        <v>4.3103354700027741E-2</v>
      </c>
      <c r="S1180" s="21">
        <f>Table1[[#This Row],[5. Lợi nhuận gộp về bán hàng và cung cấp dịch vụ]]/Table1[[#This Row],[TỔNG CỘNG TÀI SẢN]]</f>
        <v>8.7393425586459336E-2</v>
      </c>
      <c r="T118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1.4871712424256245</v>
      </c>
      <c r="U1180" s="23">
        <f>Table1[[#This Row],[1. Doanh thu bán hàng và cung cấp dịch vụ ]]/Table1[[#This Row],[TỔNG CỘNG TÀI SẢN]]</f>
        <v>0.72095205067683887</v>
      </c>
      <c r="V1180" s="23">
        <f>1.2*Table1[[#This Row],[X1]] + 1.4*Table1[[#This Row],[X2]] + 3.3*Table1[[#This Row],[x3]] + 0.6*Table1[[#This Row],[x4]] + 1*Table1[[#This Row],[x5]]</f>
        <v>2.2945666801966325</v>
      </c>
      <c r="W1180" s="23">
        <f>IF(Table1[[#This Row],[Zscore]]&lt;1.81,1,0)</f>
        <v>0</v>
      </c>
    </row>
    <row r="1181" spans="1:23" ht="26.25" x14ac:dyDescent="0.45">
      <c r="A1181" s="7">
        <v>1175</v>
      </c>
      <c r="B1181" s="5" t="s">
        <v>2362</v>
      </c>
      <c r="C1181" s="6" t="s">
        <v>2363</v>
      </c>
      <c r="D1181" s="6" t="s">
        <v>21</v>
      </c>
      <c r="E1181" s="8">
        <v>73490416201391</v>
      </c>
      <c r="F1181" s="8">
        <v>32340532668555</v>
      </c>
      <c r="G1181" s="8">
        <v>56336475121756</v>
      </c>
      <c r="H1181" s="8">
        <v>7300730481597</v>
      </c>
      <c r="I1181" s="8">
        <v>18071509343466</v>
      </c>
      <c r="J1181" s="8"/>
      <c r="K1181" s="8">
        <v>66673113581713</v>
      </c>
      <c r="L1181" s="8">
        <v>121429628648475</v>
      </c>
      <c r="M1181" s="8">
        <v>63995991628600</v>
      </c>
      <c r="N1181" s="8">
        <v>77476305453900</v>
      </c>
      <c r="O1181" s="8">
        <v>83925539194600</v>
      </c>
      <c r="P1181" s="8">
        <v>77503796090000</v>
      </c>
      <c r="Q1181" s="18">
        <f>(Table1[[#This Row],[A. TÀI SẢN NGẮN HẠN]]-Table1[[#This Row],[I. Nợ ngắn hạn]])/Table1[[#This Row],[TỔNG CỘNG TÀI SẢN]]</f>
        <v>-0.32651798279986899</v>
      </c>
      <c r="R1181" s="18">
        <f>Table1[[#This Row],[- LNST chưa phân phối kỳ này]]/Table1[[#This Row],[TỔNG CỘNG TÀI SẢN]]</f>
        <v>9.9342619881077968E-2</v>
      </c>
      <c r="S1181" s="21">
        <f>Table1[[#This Row],[5. Lợi nhuận gộp về bán hàng và cung cấp dịch vụ]]/Table1[[#This Row],[TỔNG CỘNG TÀI SẢN]]</f>
        <v>0.24590293915254693</v>
      </c>
      <c r="T118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1.135771288061532</v>
      </c>
      <c r="U1181" s="23">
        <f>Table1[[#This Row],[1. Doanh thu bán hàng và cung cấp dịch vụ ]]/Table1[[#This Row],[TỔNG CỘNG TÀI SẢN]]</f>
        <v>1.6523192400450255</v>
      </c>
      <c r="V1181" s="23">
        <f>1.2*Table1[[#This Row],[X1]] + 1.4*Table1[[#This Row],[X2]] + 3.3*Table1[[#This Row],[x3]] + 0.6*Table1[[#This Row],[x4]] + 1*Table1[[#This Row],[x5]]</f>
        <v>2.892519800559016</v>
      </c>
      <c r="W1181" s="23">
        <f>IF(Table1[[#This Row],[Zscore]]&lt;1.81,1,0)</f>
        <v>0</v>
      </c>
    </row>
    <row r="1182" spans="1:23" hidden="1" x14ac:dyDescent="0.45">
      <c r="A1182" s="7">
        <v>1176</v>
      </c>
      <c r="B1182" s="5" t="s">
        <v>2364</v>
      </c>
      <c r="C1182" s="6" t="s">
        <v>2365</v>
      </c>
      <c r="D1182" s="6" t="s">
        <v>13</v>
      </c>
      <c r="E1182" s="8">
        <v>262584750873</v>
      </c>
      <c r="F1182" s="8">
        <v>253943446287</v>
      </c>
      <c r="G1182" s="8">
        <v>1052010236</v>
      </c>
      <c r="H1182" s="6"/>
      <c r="I1182" s="8">
        <v>8319489601</v>
      </c>
      <c r="J1182" s="8"/>
      <c r="K1182" s="8">
        <v>1052010236</v>
      </c>
      <c r="L1182" s="8">
        <v>9748159993</v>
      </c>
      <c r="M1182" s="8"/>
      <c r="N1182" s="8"/>
      <c r="O1182" s="8"/>
      <c r="P1182" s="8"/>
      <c r="Q1182" s="18">
        <f>(Table1[[#This Row],[A. TÀI SẢN NGẮN HẠN]]-Table1[[#This Row],[I. Nợ ngắn hạn]])/Table1[[#This Row],[TỔNG CỘNG TÀI SẢN]]</f>
        <v>0.96308500478503334</v>
      </c>
      <c r="R1182" s="18">
        <f>Table1[[#This Row],[- LNST chưa phân phối kỳ này]]/Table1[[#This Row],[TỔNG CỘNG TÀI SẢN]]</f>
        <v>0</v>
      </c>
      <c r="S1182" s="21">
        <f>Table1[[#This Row],[5. Lợi nhuận gộp về bán hàng và cung cấp dịch vụ]]/Table1[[#This Row],[TỔNG CỘNG TÀI SẢN]]</f>
        <v>3.1683064509042069E-2</v>
      </c>
      <c r="T118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182" s="23">
        <f>Table1[[#This Row],[1. Doanh thu bán hàng và cung cấp dịch vụ ]]/Table1[[#This Row],[TỔNG CỘNG TÀI SẢN]]</f>
        <v>3.7123861764976333E-2</v>
      </c>
      <c r="V1182" s="23" t="e">
        <f>1.2*Table1[[#This Row],[X1]] + 1.4*Table1[[#This Row],[X2]] + 3.3*Table1[[#This Row],[x3]] + 0.6*Table1[[#This Row],[x4]] + 1*Table1[[#This Row],[x5]]</f>
        <v>#DIV/0!</v>
      </c>
      <c r="W1182" s="23" t="e">
        <f>IF(Table1[[#This Row],[Zscore]]&lt;1.81,1,0)</f>
        <v>#DIV/0!</v>
      </c>
    </row>
    <row r="1183" spans="1:23" x14ac:dyDescent="0.45">
      <c r="A1183" s="7">
        <v>1177</v>
      </c>
      <c r="B1183" s="5" t="s">
        <v>2366</v>
      </c>
      <c r="C1183" s="6" t="s">
        <v>2367</v>
      </c>
      <c r="D1183" s="6" t="s">
        <v>36</v>
      </c>
      <c r="E1183" s="8">
        <v>841041402738</v>
      </c>
      <c r="F1183" s="8">
        <v>455017923451</v>
      </c>
      <c r="G1183" s="8">
        <v>312726445830</v>
      </c>
      <c r="H1183" s="8">
        <v>98838234534</v>
      </c>
      <c r="I1183" s="8">
        <v>306842255061</v>
      </c>
      <c r="J1183" s="8"/>
      <c r="K1183" s="8">
        <v>336144976170</v>
      </c>
      <c r="L1183" s="8">
        <v>1813678801800</v>
      </c>
      <c r="M1183" s="8">
        <v>459300866200</v>
      </c>
      <c r="N1183" s="8">
        <v>780149306400</v>
      </c>
      <c r="O1183" s="8">
        <v>942222577800</v>
      </c>
      <c r="P1183" s="8">
        <v>824101380000</v>
      </c>
      <c r="Q1183" s="18">
        <f>(Table1[[#This Row],[A. TÀI SẢN NGẮN HẠN]]-Table1[[#This Row],[I. Nợ ngắn hạn]])/Table1[[#This Row],[TỔNG CỘNG TÀI SẢN]]</f>
        <v>0.16918486671140306</v>
      </c>
      <c r="R1183" s="18">
        <f>Table1[[#This Row],[- LNST chưa phân phối kỳ này]]/Table1[[#This Row],[TỔNG CỘNG TÀI SẢN]]</f>
        <v>0.11751886912134568</v>
      </c>
      <c r="S1183" s="21">
        <f>Table1[[#This Row],[5. Lợi nhuận gộp về bán hàng và cung cấp dịch vụ]]/Table1[[#This Row],[TỔNG CỘNG TÀI SẢN]]</f>
        <v>0.36483608780980198</v>
      </c>
      <c r="T118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2.2354745299539127</v>
      </c>
      <c r="U1183" s="23">
        <f>Table1[[#This Row],[1. Doanh thu bán hàng và cung cấp dịch vụ ]]/Table1[[#This Row],[TỔNG CỘNG TÀI SẢN]]</f>
        <v>2.1564679169129972</v>
      </c>
      <c r="V1183" s="23">
        <f>1.2*Table1[[#This Row],[X1]] + 1.4*Table1[[#This Row],[X2]] + 3.3*Table1[[#This Row],[x3]] + 0.6*Table1[[#This Row],[x4]] + 1*Table1[[#This Row],[x5]]</f>
        <v>5.0692599814812587</v>
      </c>
      <c r="W1183" s="23">
        <f>IF(Table1[[#This Row],[Zscore]]&lt;1.81,1,0)</f>
        <v>0</v>
      </c>
    </row>
    <row r="1184" spans="1:23" x14ac:dyDescent="0.45">
      <c r="A1184" s="7">
        <v>1178</v>
      </c>
      <c r="B1184" s="5" t="s">
        <v>2368</v>
      </c>
      <c r="C1184" s="6" t="s">
        <v>2369</v>
      </c>
      <c r="D1184" s="6" t="s">
        <v>18</v>
      </c>
      <c r="E1184" s="8">
        <v>526981366788</v>
      </c>
      <c r="F1184" s="8">
        <v>90125187661</v>
      </c>
      <c r="G1184" s="8">
        <v>237978079735</v>
      </c>
      <c r="H1184" s="8">
        <v>-45722107110</v>
      </c>
      <c r="I1184" s="8">
        <v>29765974428</v>
      </c>
      <c r="J1184" s="8"/>
      <c r="K1184" s="8">
        <v>238656490644</v>
      </c>
      <c r="L1184" s="8">
        <v>437906377765</v>
      </c>
      <c r="M1184" s="8">
        <v>108796155000</v>
      </c>
      <c r="N1184" s="8">
        <v>107965650000</v>
      </c>
      <c r="O1184" s="8">
        <v>103813125000</v>
      </c>
      <c r="P1184" s="8">
        <v>116685952500</v>
      </c>
      <c r="Q1184" s="18">
        <f>(Table1[[#This Row],[A. TÀI SẢN NGẮN HẠN]]-Table1[[#This Row],[I. Nợ ngắn hạn]])/Table1[[#This Row],[TỔNG CỘNG TÀI SẢN]]</f>
        <v>-0.28056569243648405</v>
      </c>
      <c r="R1184" s="18">
        <f>Table1[[#This Row],[- LNST chưa phân phối kỳ này]]/Table1[[#This Row],[TỔNG CỘNG TÀI SẢN]]</f>
        <v>-8.6762284193614772E-2</v>
      </c>
      <c r="S1184" s="21">
        <f>Table1[[#This Row],[5. Lợi nhuận gộp về bán hàng và cung cấp dịch vụ]]/Table1[[#This Row],[TỔNG CỘNG TÀI SẢN]]</f>
        <v>5.6483922020670971E-2</v>
      </c>
      <c r="T118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0.45804419703826005</v>
      </c>
      <c r="U1184" s="23">
        <f>Table1[[#This Row],[1. Doanh thu bán hàng và cung cấp dịch vụ ]]/Table1[[#This Row],[TỔNG CỘNG TÀI SẢN]]</f>
        <v>0.83097127405866311</v>
      </c>
      <c r="V1184" s="23">
        <f>1.2*Table1[[#This Row],[X1]] + 1.4*Table1[[#This Row],[X2]] + 3.3*Table1[[#This Row],[x3]] + 0.6*Table1[[#This Row],[x4]] + 1*Table1[[#This Row],[x5]]</f>
        <v>0.83404870615499171</v>
      </c>
      <c r="W1184" s="23">
        <f>IF(Table1[[#This Row],[Zscore]]&lt;1.81,1,0)</f>
        <v>1</v>
      </c>
    </row>
    <row r="1185" spans="1:23" x14ac:dyDescent="0.45">
      <c r="A1185" s="7">
        <v>1179</v>
      </c>
      <c r="B1185" s="5" t="s">
        <v>2370</v>
      </c>
      <c r="C1185" s="6" t="s">
        <v>2371</v>
      </c>
      <c r="D1185" s="6" t="s">
        <v>18</v>
      </c>
      <c r="E1185" s="8">
        <v>1945559441962</v>
      </c>
      <c r="F1185" s="8">
        <v>525288439437</v>
      </c>
      <c r="G1185" s="8">
        <v>262145877951</v>
      </c>
      <c r="H1185" s="8">
        <v>142081286144</v>
      </c>
      <c r="I1185" s="8">
        <v>292323811245</v>
      </c>
      <c r="J1185" s="8"/>
      <c r="K1185" s="8">
        <v>824924765355</v>
      </c>
      <c r="L1185" s="8">
        <v>668487646230</v>
      </c>
      <c r="M1185" s="8">
        <v>1520464200000</v>
      </c>
      <c r="N1185" s="8">
        <v>1293268400000</v>
      </c>
      <c r="O1185" s="8">
        <v>1424342900000</v>
      </c>
      <c r="P1185" s="8">
        <v>1249576900000</v>
      </c>
      <c r="Q1185" s="18">
        <f>(Table1[[#This Row],[A. TÀI SẢN NGẮN HẠN]]-Table1[[#This Row],[I. Nợ ngắn hạn]])/Table1[[#This Row],[TỔNG CỘNG TÀI SẢN]]</f>
        <v>0.13525290248682087</v>
      </c>
      <c r="R1185" s="18">
        <f>Table1[[#This Row],[- LNST chưa phân phối kỳ này]]/Table1[[#This Row],[TỔNG CỘNG TÀI SẢN]]</f>
        <v>7.3028499196466645E-2</v>
      </c>
      <c r="S1185" s="21">
        <f>Table1[[#This Row],[5. Lợi nhuận gộp về bán hàng và cung cấp dịch vụ]]/Table1[[#This Row],[TỔNG CỘNG TÀI SẢN]]</f>
        <v>0.15025180158474416</v>
      </c>
      <c r="T118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1.6630766314908825</v>
      </c>
      <c r="U1185" s="23">
        <f>Table1[[#This Row],[1. Doanh thu bán hàng và cung cấp dịch vụ ]]/Table1[[#This Row],[TỔNG CỘNG TÀI SẢN]]</f>
        <v>0.34359661895288246</v>
      </c>
      <c r="V1185" s="23">
        <f>1.2*Table1[[#This Row],[X1]] + 1.4*Table1[[#This Row],[X2]] + 3.3*Table1[[#This Row],[x3]] + 0.6*Table1[[#This Row],[x4]] + 1*Table1[[#This Row],[x5]]</f>
        <v>2.1018169249363061</v>
      </c>
      <c r="W1185" s="23">
        <f>IF(Table1[[#This Row],[Zscore]]&lt;1.81,1,0)</f>
        <v>0</v>
      </c>
    </row>
    <row r="1186" spans="1:23" ht="26.25" hidden="1" x14ac:dyDescent="0.45">
      <c r="A1186" s="7">
        <v>1180</v>
      </c>
      <c r="B1186" s="5" t="s">
        <v>2372</v>
      </c>
      <c r="C1186" s="6" t="s">
        <v>2373</v>
      </c>
      <c r="D1186" s="6" t="s">
        <v>13</v>
      </c>
      <c r="E1186" s="6"/>
      <c r="F1186" s="6"/>
      <c r="G1186" s="6"/>
      <c r="H1186" s="6"/>
      <c r="I1186" s="6"/>
      <c r="J1186" s="8"/>
      <c r="K1186" s="6"/>
      <c r="L1186" s="6"/>
      <c r="M1186" s="8"/>
      <c r="N1186" s="8"/>
      <c r="O1186" s="8"/>
      <c r="P1186" s="8"/>
      <c r="Q1186" s="18" t="e">
        <f>(Table1[[#This Row],[A. TÀI SẢN NGẮN HẠN]]-Table1[[#This Row],[I. Nợ ngắn hạn]])/Table1[[#This Row],[TỔNG CỘNG TÀI SẢN]]</f>
        <v>#DIV/0!</v>
      </c>
      <c r="R1186" s="18" t="e">
        <f>Table1[[#This Row],[- LNST chưa phân phối kỳ này]]/Table1[[#This Row],[TỔNG CỘNG TÀI SẢN]]</f>
        <v>#DIV/0!</v>
      </c>
      <c r="S1186" s="21" t="e">
        <f>Table1[[#This Row],[5. Lợi nhuận gộp về bán hàng và cung cấp dịch vụ]]/Table1[[#This Row],[TỔNG CỘNG TÀI SẢN]]</f>
        <v>#DIV/0!</v>
      </c>
      <c r="T118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186" s="23" t="e">
        <f>Table1[[#This Row],[1. Doanh thu bán hàng và cung cấp dịch vụ ]]/Table1[[#This Row],[TỔNG CỘNG TÀI SẢN]]</f>
        <v>#DIV/0!</v>
      </c>
      <c r="V1186" s="23" t="e">
        <f>1.2*Table1[[#This Row],[X1]] + 1.4*Table1[[#This Row],[X2]] + 3.3*Table1[[#This Row],[x3]] + 0.6*Table1[[#This Row],[x4]] + 1*Table1[[#This Row],[x5]]</f>
        <v>#DIV/0!</v>
      </c>
      <c r="W1186" s="23" t="e">
        <f>IF(Table1[[#This Row],[Zscore]]&lt;1.81,1,0)</f>
        <v>#DIV/0!</v>
      </c>
    </row>
    <row r="1187" spans="1:23" hidden="1" x14ac:dyDescent="0.45">
      <c r="A1187" s="7">
        <v>1181</v>
      </c>
      <c r="B1187" s="5" t="s">
        <v>2374</v>
      </c>
      <c r="C1187" s="6" t="s">
        <v>2375</v>
      </c>
      <c r="D1187" s="6" t="s">
        <v>13</v>
      </c>
      <c r="E1187" s="6"/>
      <c r="F1187" s="6"/>
      <c r="G1187" s="6"/>
      <c r="H1187" s="6"/>
      <c r="I1187" s="6"/>
      <c r="J1187" s="8"/>
      <c r="K1187" s="6"/>
      <c r="L1187" s="6"/>
      <c r="M1187" s="8"/>
      <c r="N1187" s="8"/>
      <c r="O1187" s="8"/>
      <c r="P1187" s="8"/>
      <c r="Q1187" s="18" t="e">
        <f>(Table1[[#This Row],[A. TÀI SẢN NGẮN HẠN]]-Table1[[#This Row],[I. Nợ ngắn hạn]])/Table1[[#This Row],[TỔNG CỘNG TÀI SẢN]]</f>
        <v>#DIV/0!</v>
      </c>
      <c r="R1187" s="18" t="e">
        <f>Table1[[#This Row],[- LNST chưa phân phối kỳ này]]/Table1[[#This Row],[TỔNG CỘNG TÀI SẢN]]</f>
        <v>#DIV/0!</v>
      </c>
      <c r="S1187" s="21" t="e">
        <f>Table1[[#This Row],[5. Lợi nhuận gộp về bán hàng và cung cấp dịch vụ]]/Table1[[#This Row],[TỔNG CỘNG TÀI SẢN]]</f>
        <v>#DIV/0!</v>
      </c>
      <c r="T118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187" s="23" t="e">
        <f>Table1[[#This Row],[1. Doanh thu bán hàng và cung cấp dịch vụ ]]/Table1[[#This Row],[TỔNG CỘNG TÀI SẢN]]</f>
        <v>#DIV/0!</v>
      </c>
      <c r="V1187" s="23" t="e">
        <f>1.2*Table1[[#This Row],[X1]] + 1.4*Table1[[#This Row],[X2]] + 3.3*Table1[[#This Row],[x3]] + 0.6*Table1[[#This Row],[x4]] + 1*Table1[[#This Row],[x5]]</f>
        <v>#DIV/0!</v>
      </c>
      <c r="W1187" s="23" t="e">
        <f>IF(Table1[[#This Row],[Zscore]]&lt;1.81,1,0)</f>
        <v>#DIV/0!</v>
      </c>
    </row>
    <row r="1188" spans="1:23" hidden="1" x14ac:dyDescent="0.45">
      <c r="A1188" s="7">
        <v>1182</v>
      </c>
      <c r="B1188" s="5" t="s">
        <v>2376</v>
      </c>
      <c r="C1188" s="6" t="s">
        <v>2377</v>
      </c>
      <c r="D1188" s="6" t="s">
        <v>18</v>
      </c>
      <c r="E1188" s="6"/>
      <c r="F1188" s="6"/>
      <c r="G1188" s="6"/>
      <c r="H1188" s="6"/>
      <c r="I1188" s="6"/>
      <c r="J1188" s="8"/>
      <c r="K1188" s="6"/>
      <c r="L1188" s="6"/>
      <c r="M1188" s="8"/>
      <c r="N1188" s="8"/>
      <c r="O1188" s="8"/>
      <c r="P1188" s="8"/>
      <c r="Q1188" s="18" t="e">
        <f>(Table1[[#This Row],[A. TÀI SẢN NGẮN HẠN]]-Table1[[#This Row],[I. Nợ ngắn hạn]])/Table1[[#This Row],[TỔNG CỘNG TÀI SẢN]]</f>
        <v>#DIV/0!</v>
      </c>
      <c r="R1188" s="18" t="e">
        <f>Table1[[#This Row],[- LNST chưa phân phối kỳ này]]/Table1[[#This Row],[TỔNG CỘNG TÀI SẢN]]</f>
        <v>#DIV/0!</v>
      </c>
      <c r="S1188" s="21" t="e">
        <f>Table1[[#This Row],[5. Lợi nhuận gộp về bán hàng và cung cấp dịch vụ]]/Table1[[#This Row],[TỔNG CỘNG TÀI SẢN]]</f>
        <v>#DIV/0!</v>
      </c>
      <c r="T118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188" s="23" t="e">
        <f>Table1[[#This Row],[1. Doanh thu bán hàng và cung cấp dịch vụ ]]/Table1[[#This Row],[TỔNG CỘNG TÀI SẢN]]</f>
        <v>#DIV/0!</v>
      </c>
      <c r="V1188" s="23" t="e">
        <f>1.2*Table1[[#This Row],[X1]] + 1.4*Table1[[#This Row],[X2]] + 3.3*Table1[[#This Row],[x3]] + 0.6*Table1[[#This Row],[x4]] + 1*Table1[[#This Row],[x5]]</f>
        <v>#DIV/0!</v>
      </c>
      <c r="W1188" s="23" t="e">
        <f>IF(Table1[[#This Row],[Zscore]]&lt;1.81,1,0)</f>
        <v>#DIV/0!</v>
      </c>
    </row>
    <row r="1189" spans="1:23" hidden="1" x14ac:dyDescent="0.45">
      <c r="A1189" s="7">
        <v>1183</v>
      </c>
      <c r="B1189" s="5" t="s">
        <v>2378</v>
      </c>
      <c r="C1189" s="6" t="s">
        <v>2379</v>
      </c>
      <c r="D1189" s="6" t="s">
        <v>13</v>
      </c>
      <c r="E1189" s="6"/>
      <c r="F1189" s="6"/>
      <c r="G1189" s="6"/>
      <c r="H1189" s="6"/>
      <c r="I1189" s="6"/>
      <c r="J1189" s="8"/>
      <c r="K1189" s="6"/>
      <c r="L1189" s="6"/>
      <c r="M1189" s="8"/>
      <c r="N1189" s="8"/>
      <c r="O1189" s="8"/>
      <c r="P1189" s="8"/>
      <c r="Q1189" s="18" t="e">
        <f>(Table1[[#This Row],[A. TÀI SẢN NGẮN HẠN]]-Table1[[#This Row],[I. Nợ ngắn hạn]])/Table1[[#This Row],[TỔNG CỘNG TÀI SẢN]]</f>
        <v>#DIV/0!</v>
      </c>
      <c r="R1189" s="18" t="e">
        <f>Table1[[#This Row],[- LNST chưa phân phối kỳ này]]/Table1[[#This Row],[TỔNG CỘNG TÀI SẢN]]</f>
        <v>#DIV/0!</v>
      </c>
      <c r="S1189" s="21" t="e">
        <f>Table1[[#This Row],[5. Lợi nhuận gộp về bán hàng và cung cấp dịch vụ]]/Table1[[#This Row],[TỔNG CỘNG TÀI SẢN]]</f>
        <v>#DIV/0!</v>
      </c>
      <c r="T118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189" s="23" t="e">
        <f>Table1[[#This Row],[1. Doanh thu bán hàng và cung cấp dịch vụ ]]/Table1[[#This Row],[TỔNG CỘNG TÀI SẢN]]</f>
        <v>#DIV/0!</v>
      </c>
      <c r="V1189" s="23" t="e">
        <f>1.2*Table1[[#This Row],[X1]] + 1.4*Table1[[#This Row],[X2]] + 3.3*Table1[[#This Row],[x3]] + 0.6*Table1[[#This Row],[x4]] + 1*Table1[[#This Row],[x5]]</f>
        <v>#DIV/0!</v>
      </c>
      <c r="W1189" s="23" t="e">
        <f>IF(Table1[[#This Row],[Zscore]]&lt;1.81,1,0)</f>
        <v>#DIV/0!</v>
      </c>
    </row>
    <row r="1190" spans="1:23" hidden="1" x14ac:dyDescent="0.45">
      <c r="A1190" s="7">
        <v>1184</v>
      </c>
      <c r="B1190" s="5" t="s">
        <v>2380</v>
      </c>
      <c r="C1190" s="6" t="s">
        <v>2381</v>
      </c>
      <c r="D1190" s="6" t="s">
        <v>13</v>
      </c>
      <c r="E1190" s="6"/>
      <c r="F1190" s="6"/>
      <c r="G1190" s="6"/>
      <c r="H1190" s="6"/>
      <c r="I1190" s="6"/>
      <c r="J1190" s="8"/>
      <c r="K1190" s="6"/>
      <c r="L1190" s="6"/>
      <c r="M1190" s="8"/>
      <c r="N1190" s="8"/>
      <c r="O1190" s="8"/>
      <c r="P1190" s="8"/>
      <c r="Q1190" s="18" t="e">
        <f>(Table1[[#This Row],[A. TÀI SẢN NGẮN HẠN]]-Table1[[#This Row],[I. Nợ ngắn hạn]])/Table1[[#This Row],[TỔNG CỘNG TÀI SẢN]]</f>
        <v>#DIV/0!</v>
      </c>
      <c r="R1190" s="18" t="e">
        <f>Table1[[#This Row],[- LNST chưa phân phối kỳ này]]/Table1[[#This Row],[TỔNG CỘNG TÀI SẢN]]</f>
        <v>#DIV/0!</v>
      </c>
      <c r="S1190" s="21" t="e">
        <f>Table1[[#This Row],[5. Lợi nhuận gộp về bán hàng và cung cấp dịch vụ]]/Table1[[#This Row],[TỔNG CỘNG TÀI SẢN]]</f>
        <v>#DIV/0!</v>
      </c>
      <c r="T119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190" s="23" t="e">
        <f>Table1[[#This Row],[1. Doanh thu bán hàng và cung cấp dịch vụ ]]/Table1[[#This Row],[TỔNG CỘNG TÀI SẢN]]</f>
        <v>#DIV/0!</v>
      </c>
      <c r="V1190" s="23" t="e">
        <f>1.2*Table1[[#This Row],[X1]] + 1.4*Table1[[#This Row],[X2]] + 3.3*Table1[[#This Row],[x3]] + 0.6*Table1[[#This Row],[x4]] + 1*Table1[[#This Row],[x5]]</f>
        <v>#DIV/0!</v>
      </c>
      <c r="W1190" s="23" t="e">
        <f>IF(Table1[[#This Row],[Zscore]]&lt;1.81,1,0)</f>
        <v>#DIV/0!</v>
      </c>
    </row>
    <row r="1191" spans="1:23" hidden="1" x14ac:dyDescent="0.45">
      <c r="A1191" s="7">
        <v>1185</v>
      </c>
      <c r="B1191" s="5" t="s">
        <v>2382</v>
      </c>
      <c r="C1191" s="6" t="s">
        <v>2383</v>
      </c>
      <c r="D1191" s="6" t="s">
        <v>18</v>
      </c>
      <c r="E1191" s="6"/>
      <c r="F1191" s="6"/>
      <c r="G1191" s="6"/>
      <c r="H1191" s="6"/>
      <c r="I1191" s="6"/>
      <c r="J1191" s="8"/>
      <c r="K1191" s="6"/>
      <c r="L1191" s="6"/>
      <c r="M1191" s="8"/>
      <c r="N1191" s="8"/>
      <c r="O1191" s="8"/>
      <c r="P1191" s="8"/>
      <c r="Q1191" s="18" t="e">
        <f>(Table1[[#This Row],[A. TÀI SẢN NGẮN HẠN]]-Table1[[#This Row],[I. Nợ ngắn hạn]])/Table1[[#This Row],[TỔNG CỘNG TÀI SẢN]]</f>
        <v>#DIV/0!</v>
      </c>
      <c r="R1191" s="18" t="e">
        <f>Table1[[#This Row],[- LNST chưa phân phối kỳ này]]/Table1[[#This Row],[TỔNG CỘNG TÀI SẢN]]</f>
        <v>#DIV/0!</v>
      </c>
      <c r="S1191" s="21" t="e">
        <f>Table1[[#This Row],[5. Lợi nhuận gộp về bán hàng và cung cấp dịch vụ]]/Table1[[#This Row],[TỔNG CỘNG TÀI SẢN]]</f>
        <v>#DIV/0!</v>
      </c>
      <c r="T119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191" s="23" t="e">
        <f>Table1[[#This Row],[1. Doanh thu bán hàng và cung cấp dịch vụ ]]/Table1[[#This Row],[TỔNG CỘNG TÀI SẢN]]</f>
        <v>#DIV/0!</v>
      </c>
      <c r="V1191" s="23" t="e">
        <f>1.2*Table1[[#This Row],[X1]] + 1.4*Table1[[#This Row],[X2]] + 3.3*Table1[[#This Row],[x3]] + 0.6*Table1[[#This Row],[x4]] + 1*Table1[[#This Row],[x5]]</f>
        <v>#DIV/0!</v>
      </c>
      <c r="W1191" s="23" t="e">
        <f>IF(Table1[[#This Row],[Zscore]]&lt;1.81,1,0)</f>
        <v>#DIV/0!</v>
      </c>
    </row>
    <row r="1192" spans="1:23" ht="26.25" x14ac:dyDescent="0.45">
      <c r="A1192" s="7">
        <v>1186</v>
      </c>
      <c r="B1192" s="5" t="s">
        <v>2384</v>
      </c>
      <c r="C1192" s="6" t="s">
        <v>2385</v>
      </c>
      <c r="D1192" s="6" t="s">
        <v>18</v>
      </c>
      <c r="E1192" s="8">
        <v>180225317867</v>
      </c>
      <c r="F1192" s="8">
        <v>151765459805</v>
      </c>
      <c r="G1192" s="8">
        <v>46066445512</v>
      </c>
      <c r="H1192" s="8">
        <v>-2408042570</v>
      </c>
      <c r="I1192" s="8">
        <v>11586051698</v>
      </c>
      <c r="J1192" s="8"/>
      <c r="K1192" s="8">
        <v>97347706562</v>
      </c>
      <c r="L1192" s="8">
        <v>42989723850</v>
      </c>
      <c r="M1192" s="8">
        <v>42263100000</v>
      </c>
      <c r="N1192" s="8">
        <v>38421000000</v>
      </c>
      <c r="O1192" s="8">
        <v>37140300000</v>
      </c>
      <c r="P1192" s="8">
        <v>39701700000</v>
      </c>
      <c r="Q1192" s="18">
        <f>(Table1[[#This Row],[A. TÀI SẢN NGẮN HẠN]]-Table1[[#This Row],[I. Nợ ngắn hạn]])/Table1[[#This Row],[TỔNG CỘNG TÀI SẢN]]</f>
        <v>0.58648260712738587</v>
      </c>
      <c r="R1192" s="18">
        <f>Table1[[#This Row],[- LNST chưa phân phối kỳ này]]/Table1[[#This Row],[TỔNG CỘNG TÀI SẢN]]</f>
        <v>-1.3361289071367051E-2</v>
      </c>
      <c r="S1192" s="21">
        <f>Table1[[#This Row],[5. Lợi nhuận gộp về bán hàng và cung cấp dịch vụ]]/Table1[[#This Row],[TỔNG CỘNG TÀI SẢN]]</f>
        <v>6.4286482249680935E-2</v>
      </c>
      <c r="T119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0.40454496968470655</v>
      </c>
      <c r="U1192" s="23">
        <f>Table1[[#This Row],[1. Doanh thu bán hàng và cung cấp dịch vụ ]]/Table1[[#This Row],[TỔNG CỘNG TÀI SẢN]]</f>
        <v>0.23853321141996775</v>
      </c>
      <c r="V1192" s="23">
        <f>1.2*Table1[[#This Row],[X1]] + 1.4*Table1[[#This Row],[X2]] + 3.3*Table1[[#This Row],[x3]] + 0.6*Table1[[#This Row],[x4]] + 1*Table1[[#This Row],[x5]]</f>
        <v>1.3784789085076881</v>
      </c>
      <c r="W1192" s="23">
        <f>IF(Table1[[#This Row],[Zscore]]&lt;1.81,1,0)</f>
        <v>1</v>
      </c>
    </row>
    <row r="1193" spans="1:23" x14ac:dyDescent="0.45">
      <c r="A1193" s="7">
        <v>1187</v>
      </c>
      <c r="B1193" s="5" t="s">
        <v>2386</v>
      </c>
      <c r="C1193" s="6" t="s">
        <v>2387</v>
      </c>
      <c r="D1193" s="6" t="s">
        <v>36</v>
      </c>
      <c r="E1193" s="8">
        <v>1418440299350</v>
      </c>
      <c r="F1193" s="8">
        <v>1221651054172</v>
      </c>
      <c r="G1193" s="8">
        <v>835521871723</v>
      </c>
      <c r="H1193" s="8">
        <v>19527852750</v>
      </c>
      <c r="I1193" s="8">
        <v>2544218100</v>
      </c>
      <c r="J1193" s="8"/>
      <c r="K1193" s="8">
        <v>1060369512369</v>
      </c>
      <c r="L1193" s="8">
        <v>6546277358</v>
      </c>
      <c r="M1193" s="8">
        <v>140576000000</v>
      </c>
      <c r="N1193" s="8">
        <v>312781600000</v>
      </c>
      <c r="O1193" s="8">
        <v>172205600000</v>
      </c>
      <c r="P1193" s="8">
        <v>277637600000</v>
      </c>
      <c r="Q1193" s="18">
        <f>(Table1[[#This Row],[A. TÀI SẢN NGẮN HẠN]]-Table1[[#This Row],[I. Nợ ngắn hạn]])/Table1[[#This Row],[TỔNG CỘNG TÀI SẢN]]</f>
        <v>0.27222096173236449</v>
      </c>
      <c r="R1193" s="18">
        <f>Table1[[#This Row],[- LNST chưa phân phối kỳ này]]/Table1[[#This Row],[TỔNG CỘNG TÀI SẢN]]</f>
        <v>1.3767130529884574E-2</v>
      </c>
      <c r="S1193" s="21">
        <f>Table1[[#This Row],[5. Lợi nhuận gộp về bán hàng và cung cấp dịch vụ]]/Table1[[#This Row],[TỔNG CỘNG TÀI SẢN]]</f>
        <v>1.7936730232255016E-3</v>
      </c>
      <c r="T119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0.21294482476729618</v>
      </c>
      <c r="U1193" s="23">
        <f>Table1[[#This Row],[1. Doanh thu bán hàng và cung cấp dịch vụ ]]/Table1[[#This Row],[TỔNG CỘNG TÀI SẢN]]</f>
        <v>4.6151236403815027E-3</v>
      </c>
      <c r="V1193" s="23">
        <f>1.2*Table1[[#This Row],[X1]] + 1.4*Table1[[#This Row],[X2]] + 3.3*Table1[[#This Row],[x3]] + 0.6*Table1[[#This Row],[x4]] + 1*Table1[[#This Row],[x5]]</f>
        <v>0.4842402762980792</v>
      </c>
      <c r="W1193" s="23">
        <f>IF(Table1[[#This Row],[Zscore]]&lt;1.81,1,0)</f>
        <v>1</v>
      </c>
    </row>
    <row r="1194" spans="1:23" ht="26.25" hidden="1" x14ac:dyDescent="0.45">
      <c r="A1194" s="7">
        <v>1188</v>
      </c>
      <c r="B1194" s="5" t="s">
        <v>2388</v>
      </c>
      <c r="C1194" s="6" t="s">
        <v>2389</v>
      </c>
      <c r="D1194" s="6" t="s">
        <v>18</v>
      </c>
      <c r="E1194" s="6"/>
      <c r="F1194" s="6"/>
      <c r="G1194" s="6"/>
      <c r="H1194" s="6"/>
      <c r="I1194" s="6"/>
      <c r="J1194" s="8"/>
      <c r="K1194" s="6"/>
      <c r="L1194" s="6"/>
      <c r="M1194" s="8"/>
      <c r="N1194" s="8"/>
      <c r="O1194" s="8"/>
      <c r="P1194" s="8"/>
      <c r="Q1194" s="18" t="e">
        <f>(Table1[[#This Row],[A. TÀI SẢN NGẮN HẠN]]-Table1[[#This Row],[I. Nợ ngắn hạn]])/Table1[[#This Row],[TỔNG CỘNG TÀI SẢN]]</f>
        <v>#DIV/0!</v>
      </c>
      <c r="R1194" s="18" t="e">
        <f>Table1[[#This Row],[- LNST chưa phân phối kỳ này]]/Table1[[#This Row],[TỔNG CỘNG TÀI SẢN]]</f>
        <v>#DIV/0!</v>
      </c>
      <c r="S1194" s="21" t="e">
        <f>Table1[[#This Row],[5. Lợi nhuận gộp về bán hàng và cung cấp dịch vụ]]/Table1[[#This Row],[TỔNG CỘNG TÀI SẢN]]</f>
        <v>#DIV/0!</v>
      </c>
      <c r="T119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194" s="23" t="e">
        <f>Table1[[#This Row],[1. Doanh thu bán hàng và cung cấp dịch vụ ]]/Table1[[#This Row],[TỔNG CỘNG TÀI SẢN]]</f>
        <v>#DIV/0!</v>
      </c>
      <c r="V1194" s="23" t="e">
        <f>1.2*Table1[[#This Row],[X1]] + 1.4*Table1[[#This Row],[X2]] + 3.3*Table1[[#This Row],[x3]] + 0.6*Table1[[#This Row],[x4]] + 1*Table1[[#This Row],[x5]]</f>
        <v>#DIV/0!</v>
      </c>
      <c r="W1194" s="23" t="e">
        <f>IF(Table1[[#This Row],[Zscore]]&lt;1.81,1,0)</f>
        <v>#DIV/0!</v>
      </c>
    </row>
    <row r="1195" spans="1:23" ht="26.25" hidden="1" x14ac:dyDescent="0.45">
      <c r="A1195" s="7">
        <v>1189</v>
      </c>
      <c r="B1195" s="5" t="s">
        <v>2390</v>
      </c>
      <c r="C1195" s="6" t="s">
        <v>2391</v>
      </c>
      <c r="D1195" s="6" t="s">
        <v>13</v>
      </c>
      <c r="E1195" s="6"/>
      <c r="F1195" s="6"/>
      <c r="G1195" s="6"/>
      <c r="H1195" s="6"/>
      <c r="I1195" s="6"/>
      <c r="J1195" s="8"/>
      <c r="K1195" s="6"/>
      <c r="L1195" s="6"/>
      <c r="M1195" s="8"/>
      <c r="N1195" s="8"/>
      <c r="O1195" s="8"/>
      <c r="P1195" s="8"/>
      <c r="Q1195" s="18" t="e">
        <f>(Table1[[#This Row],[A. TÀI SẢN NGẮN HẠN]]-Table1[[#This Row],[I. Nợ ngắn hạn]])/Table1[[#This Row],[TỔNG CỘNG TÀI SẢN]]</f>
        <v>#DIV/0!</v>
      </c>
      <c r="R1195" s="18" t="e">
        <f>Table1[[#This Row],[- LNST chưa phân phối kỳ này]]/Table1[[#This Row],[TỔNG CỘNG TÀI SẢN]]</f>
        <v>#DIV/0!</v>
      </c>
      <c r="S1195" s="21" t="e">
        <f>Table1[[#This Row],[5. Lợi nhuận gộp về bán hàng và cung cấp dịch vụ]]/Table1[[#This Row],[TỔNG CỘNG TÀI SẢN]]</f>
        <v>#DIV/0!</v>
      </c>
      <c r="T119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195" s="23" t="e">
        <f>Table1[[#This Row],[1. Doanh thu bán hàng và cung cấp dịch vụ ]]/Table1[[#This Row],[TỔNG CỘNG TÀI SẢN]]</f>
        <v>#DIV/0!</v>
      </c>
      <c r="V1195" s="23" t="e">
        <f>1.2*Table1[[#This Row],[X1]] + 1.4*Table1[[#This Row],[X2]] + 3.3*Table1[[#This Row],[x3]] + 0.6*Table1[[#This Row],[x4]] + 1*Table1[[#This Row],[x5]]</f>
        <v>#DIV/0!</v>
      </c>
      <c r="W1195" s="23" t="e">
        <f>IF(Table1[[#This Row],[Zscore]]&lt;1.81,1,0)</f>
        <v>#DIV/0!</v>
      </c>
    </row>
    <row r="1196" spans="1:23" hidden="1" x14ac:dyDescent="0.45">
      <c r="A1196" s="7">
        <v>1190</v>
      </c>
      <c r="B1196" s="5" t="s">
        <v>2392</v>
      </c>
      <c r="C1196" s="6" t="s">
        <v>2393</v>
      </c>
      <c r="D1196" s="6" t="s">
        <v>13</v>
      </c>
      <c r="E1196" s="6"/>
      <c r="F1196" s="6"/>
      <c r="G1196" s="6"/>
      <c r="H1196" s="6"/>
      <c r="I1196" s="6"/>
      <c r="J1196" s="8"/>
      <c r="K1196" s="6"/>
      <c r="L1196" s="6"/>
      <c r="M1196" s="8"/>
      <c r="N1196" s="8"/>
      <c r="O1196" s="8"/>
      <c r="P1196" s="8"/>
      <c r="Q1196" s="18" t="e">
        <f>(Table1[[#This Row],[A. TÀI SẢN NGẮN HẠN]]-Table1[[#This Row],[I. Nợ ngắn hạn]])/Table1[[#This Row],[TỔNG CỘNG TÀI SẢN]]</f>
        <v>#DIV/0!</v>
      </c>
      <c r="R1196" s="18" t="e">
        <f>Table1[[#This Row],[- LNST chưa phân phối kỳ này]]/Table1[[#This Row],[TỔNG CỘNG TÀI SẢN]]</f>
        <v>#DIV/0!</v>
      </c>
      <c r="S1196" s="21" t="e">
        <f>Table1[[#This Row],[5. Lợi nhuận gộp về bán hàng và cung cấp dịch vụ]]/Table1[[#This Row],[TỔNG CỘNG TÀI SẢN]]</f>
        <v>#DIV/0!</v>
      </c>
      <c r="T119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196" s="23" t="e">
        <f>Table1[[#This Row],[1. Doanh thu bán hàng và cung cấp dịch vụ ]]/Table1[[#This Row],[TỔNG CỘNG TÀI SẢN]]</f>
        <v>#DIV/0!</v>
      </c>
      <c r="V1196" s="23" t="e">
        <f>1.2*Table1[[#This Row],[X1]] + 1.4*Table1[[#This Row],[X2]] + 3.3*Table1[[#This Row],[x3]] + 0.6*Table1[[#This Row],[x4]] + 1*Table1[[#This Row],[x5]]</f>
        <v>#DIV/0!</v>
      </c>
      <c r="W1196" s="23" t="e">
        <f>IF(Table1[[#This Row],[Zscore]]&lt;1.81,1,0)</f>
        <v>#DIV/0!</v>
      </c>
    </row>
    <row r="1197" spans="1:23" ht="26.25" x14ac:dyDescent="0.45">
      <c r="A1197" s="7">
        <v>1191</v>
      </c>
      <c r="B1197" s="5" t="s">
        <v>2394</v>
      </c>
      <c r="C1197" s="6" t="s">
        <v>2395</v>
      </c>
      <c r="D1197" s="6" t="s">
        <v>18</v>
      </c>
      <c r="E1197" s="8">
        <v>1283743185245</v>
      </c>
      <c r="F1197" s="8">
        <v>858099439680</v>
      </c>
      <c r="G1197" s="8">
        <v>137238397413</v>
      </c>
      <c r="H1197" s="8">
        <v>137001656124</v>
      </c>
      <c r="I1197" s="8">
        <v>205639094550</v>
      </c>
      <c r="J1197" s="8"/>
      <c r="K1197" s="8">
        <v>759719938137</v>
      </c>
      <c r="L1197" s="8">
        <v>450605501119</v>
      </c>
      <c r="M1197" s="8">
        <v>1458597140000</v>
      </c>
      <c r="N1197" s="8">
        <v>1144437120200</v>
      </c>
      <c r="O1197" s="8">
        <v>1305597440000</v>
      </c>
      <c r="P1197" s="8">
        <v>1242356873800</v>
      </c>
      <c r="Q1197" s="18">
        <f>(Table1[[#This Row],[A. TÀI SẢN NGẮN HẠN]]-Table1[[#This Row],[I. Nợ ngắn hạn]])/Table1[[#This Row],[TỔNG CỘNG TÀI SẢN]]</f>
        <v>0.56153056978403748</v>
      </c>
      <c r="R1197" s="18">
        <f>Table1[[#This Row],[- LNST chưa phân phối kỳ này]]/Table1[[#This Row],[TỔNG CỘNG TÀI SẢN]]</f>
        <v>0.1067204544481017</v>
      </c>
      <c r="S1197" s="21">
        <f>Table1[[#This Row],[5. Lợi nhuận gộp về bán hàng và cung cấp dịch vụ]]/Table1[[#This Row],[TỔNG CỘNG TÀI SẢN]]</f>
        <v>0.16018709732099115</v>
      </c>
      <c r="T119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1.6950287584367452</v>
      </c>
      <c r="U1197" s="23">
        <f>Table1[[#This Row],[1. Doanh thu bán hàng và cung cấp dịch vụ ]]/Table1[[#This Row],[TỔNG CỘNG TÀI SẢN]]</f>
        <v>0.35100906964737094</v>
      </c>
      <c r="V1197" s="23">
        <f>1.2*Table1[[#This Row],[X1]] + 1.4*Table1[[#This Row],[X2]] + 3.3*Table1[[#This Row],[x3]] + 0.6*Table1[[#This Row],[x4]] + 1*Table1[[#This Row],[x5]]</f>
        <v>2.7198890658368762</v>
      </c>
      <c r="W1197" s="23">
        <f>IF(Table1[[#This Row],[Zscore]]&lt;1.81,1,0)</f>
        <v>0</v>
      </c>
    </row>
    <row r="1198" spans="1:23" hidden="1" x14ac:dyDescent="0.45">
      <c r="A1198" s="7">
        <v>1192</v>
      </c>
      <c r="B1198" s="5" t="s">
        <v>2396</v>
      </c>
      <c r="C1198" s="6" t="s">
        <v>2397</v>
      </c>
      <c r="D1198" s="6" t="s">
        <v>13</v>
      </c>
      <c r="E1198" s="6"/>
      <c r="F1198" s="6"/>
      <c r="G1198" s="6"/>
      <c r="H1198" s="6"/>
      <c r="I1198" s="6"/>
      <c r="J1198" s="8"/>
      <c r="K1198" s="6"/>
      <c r="L1198" s="6"/>
      <c r="M1198" s="8"/>
      <c r="N1198" s="8"/>
      <c r="O1198" s="8"/>
      <c r="P1198" s="8"/>
      <c r="Q1198" s="18" t="e">
        <f>(Table1[[#This Row],[A. TÀI SẢN NGẮN HẠN]]-Table1[[#This Row],[I. Nợ ngắn hạn]])/Table1[[#This Row],[TỔNG CỘNG TÀI SẢN]]</f>
        <v>#DIV/0!</v>
      </c>
      <c r="R1198" s="18" t="e">
        <f>Table1[[#This Row],[- LNST chưa phân phối kỳ này]]/Table1[[#This Row],[TỔNG CỘNG TÀI SẢN]]</f>
        <v>#DIV/0!</v>
      </c>
      <c r="S1198" s="21" t="e">
        <f>Table1[[#This Row],[5. Lợi nhuận gộp về bán hàng và cung cấp dịch vụ]]/Table1[[#This Row],[TỔNG CỘNG TÀI SẢN]]</f>
        <v>#DIV/0!</v>
      </c>
      <c r="T119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198" s="23" t="e">
        <f>Table1[[#This Row],[1. Doanh thu bán hàng và cung cấp dịch vụ ]]/Table1[[#This Row],[TỔNG CỘNG TÀI SẢN]]</f>
        <v>#DIV/0!</v>
      </c>
      <c r="V1198" s="23" t="e">
        <f>1.2*Table1[[#This Row],[X1]] + 1.4*Table1[[#This Row],[X2]] + 3.3*Table1[[#This Row],[x3]] + 0.6*Table1[[#This Row],[x4]] + 1*Table1[[#This Row],[x5]]</f>
        <v>#DIV/0!</v>
      </c>
      <c r="W1198" s="23" t="e">
        <f>IF(Table1[[#This Row],[Zscore]]&lt;1.81,1,0)</f>
        <v>#DIV/0!</v>
      </c>
    </row>
    <row r="1199" spans="1:23" ht="26.25" x14ac:dyDescent="0.45">
      <c r="A1199" s="7">
        <v>1193</v>
      </c>
      <c r="B1199" s="5" t="s">
        <v>2398</v>
      </c>
      <c r="C1199" s="6" t="s">
        <v>2399</v>
      </c>
      <c r="D1199" s="6" t="s">
        <v>21</v>
      </c>
      <c r="E1199" s="8">
        <v>1674116041381</v>
      </c>
      <c r="F1199" s="8">
        <v>1457194268021</v>
      </c>
      <c r="G1199" s="8">
        <v>1015687882166</v>
      </c>
      <c r="H1199" s="8">
        <v>31742483163</v>
      </c>
      <c r="I1199" s="8">
        <v>119468164441</v>
      </c>
      <c r="J1199" s="8"/>
      <c r="K1199" s="8">
        <v>1022236100117</v>
      </c>
      <c r="L1199" s="8">
        <v>2113267573437</v>
      </c>
      <c r="M1199" s="8">
        <v>437716000000</v>
      </c>
      <c r="N1199" s="8">
        <v>579330000000</v>
      </c>
      <c r="O1199" s="8">
        <v>395875500000</v>
      </c>
      <c r="P1199" s="8">
        <v>595422500000</v>
      </c>
      <c r="Q1199" s="18">
        <f>(Table1[[#This Row],[A. TÀI SẢN NGẮN HẠN]]-Table1[[#This Row],[I. Nợ ngắn hạn]])/Table1[[#This Row],[TỔNG CỘNG TÀI SẢN]]</f>
        <v>0.2637250793504109</v>
      </c>
      <c r="R1199" s="18">
        <f>Table1[[#This Row],[- LNST chưa phân phối kỳ này]]/Table1[[#This Row],[TỔNG CỘNG TÀI SẢN]]</f>
        <v>1.8960742492387335E-2</v>
      </c>
      <c r="S1199" s="21">
        <f>Table1[[#This Row],[5. Lợi nhuận gộp về bán hàng và cung cấp dịch vụ]]/Table1[[#This Row],[TỔNG CỘNG TÀI SẢN]]</f>
        <v>7.1361937576590664E-2</v>
      </c>
      <c r="T119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0.49116441880944506</v>
      </c>
      <c r="U1199" s="23">
        <f>Table1[[#This Row],[1. Doanh thu bán hàng và cung cấp dịch vụ ]]/Table1[[#This Row],[TỔNG CỘNG TÀI SẢN]]</f>
        <v>1.262318454157896</v>
      </c>
      <c r="V1199" s="23">
        <f>1.2*Table1[[#This Row],[X1]] + 1.4*Table1[[#This Row],[X2]] + 3.3*Table1[[#This Row],[x3]] + 0.6*Table1[[#This Row],[x4]] + 1*Table1[[#This Row],[x5]]</f>
        <v>2.1355266341561476</v>
      </c>
      <c r="W1199" s="23">
        <f>IF(Table1[[#This Row],[Zscore]]&lt;1.81,1,0)</f>
        <v>0</v>
      </c>
    </row>
    <row r="1200" spans="1:23" x14ac:dyDescent="0.45">
      <c r="A1200" s="7">
        <v>1194</v>
      </c>
      <c r="B1200" s="5" t="s">
        <v>2400</v>
      </c>
      <c r="C1200" s="6" t="s">
        <v>2401</v>
      </c>
      <c r="D1200" s="6" t="s">
        <v>36</v>
      </c>
      <c r="E1200" s="8">
        <v>23201490679523</v>
      </c>
      <c r="F1200" s="8">
        <v>9856822003191</v>
      </c>
      <c r="G1200" s="8">
        <v>5620500395796</v>
      </c>
      <c r="H1200" s="8">
        <v>1362543225952</v>
      </c>
      <c r="I1200" s="8">
        <v>3060006159283</v>
      </c>
      <c r="J1200" s="8"/>
      <c r="K1200" s="8">
        <v>14938459787767</v>
      </c>
      <c r="L1200" s="8">
        <v>8588311505194</v>
      </c>
      <c r="M1200" s="8">
        <v>17819996166000</v>
      </c>
      <c r="N1200" s="8">
        <v>13813757157200</v>
      </c>
      <c r="O1200" s="8">
        <v>14585996861800</v>
      </c>
      <c r="P1200" s="8">
        <v>12704997266500</v>
      </c>
      <c r="Q1200" s="18">
        <f>(Table1[[#This Row],[A. TÀI SẢN NGẮN HẠN]]-Table1[[#This Row],[I. Nợ ngắn hạn]])/Table1[[#This Row],[TỔNG CỘNG TÀI SẢN]]</f>
        <v>0.18258833735773114</v>
      </c>
      <c r="R1200" s="18">
        <f>Table1[[#This Row],[- LNST chưa phân phối kỳ này]]/Table1[[#This Row],[TỔNG CỘNG TÀI SẢN]]</f>
        <v>5.8726538082078637E-2</v>
      </c>
      <c r="S1200" s="21">
        <f>Table1[[#This Row],[5. Lợi nhuận gộp về bán hàng và cung cấp dịch vụ]]/Table1[[#This Row],[TỔNG CỘNG TÀI SẢN]]</f>
        <v>0.13188834293236501</v>
      </c>
      <c r="T120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0.98612487981781538</v>
      </c>
      <c r="U1200" s="23">
        <f>Table1[[#This Row],[1. Doanh thu bán hàng và cung cấp dịch vụ ]]/Table1[[#This Row],[TỔNG CỘNG TÀI SẢN]]</f>
        <v>0.37016205656017648</v>
      </c>
      <c r="V1200" s="23">
        <f>1.2*Table1[[#This Row],[X1]] + 1.4*Table1[[#This Row],[X2]] + 3.3*Table1[[#This Row],[x3]] + 0.6*Table1[[#This Row],[x4]] + 1*Table1[[#This Row],[x5]]</f>
        <v>1.6983916742718577</v>
      </c>
      <c r="W1200" s="23">
        <f>IF(Table1[[#This Row],[Zscore]]&lt;1.81,1,0)</f>
        <v>1</v>
      </c>
    </row>
    <row r="1201" spans="1:23" ht="26.25" x14ac:dyDescent="0.45">
      <c r="A1201" s="7">
        <v>1195</v>
      </c>
      <c r="B1201" s="5" t="s">
        <v>2402</v>
      </c>
      <c r="C1201" s="6" t="s">
        <v>2403</v>
      </c>
      <c r="D1201" s="6" t="s">
        <v>21</v>
      </c>
      <c r="E1201" s="8">
        <v>9670738362980</v>
      </c>
      <c r="F1201" s="8">
        <v>7343037889598</v>
      </c>
      <c r="G1201" s="8">
        <v>4940802093866</v>
      </c>
      <c r="H1201" s="8">
        <v>128375121109</v>
      </c>
      <c r="I1201" s="8">
        <v>588820828565</v>
      </c>
      <c r="J1201" s="8"/>
      <c r="K1201" s="8">
        <v>6032373433575</v>
      </c>
      <c r="L1201" s="8">
        <v>6949409680202</v>
      </c>
      <c r="M1201" s="8">
        <v>2029672923240</v>
      </c>
      <c r="N1201" s="8">
        <v>1854842415720</v>
      </c>
      <c r="O1201" s="8">
        <v>1977770116320</v>
      </c>
      <c r="P1201" s="8">
        <v>2220893790840</v>
      </c>
      <c r="Q1201" s="18">
        <f>(Table1[[#This Row],[A. TÀI SẢN NGẮN HẠN]]-Table1[[#This Row],[I. Nợ ngắn hạn]])/Table1[[#This Row],[TỔNG CỘNG TÀI SẢN]]</f>
        <v>0.24840252166554949</v>
      </c>
      <c r="R1201" s="18">
        <f>Table1[[#This Row],[- LNST chưa phân phối kỳ này]]/Table1[[#This Row],[TỔNG CỘNG TÀI SẢN]]</f>
        <v>1.3274593551245833E-2</v>
      </c>
      <c r="S1201" s="21">
        <f>Table1[[#This Row],[5. Lợi nhuận gộp về bán hàng và cung cấp dịch vụ]]/Table1[[#This Row],[TỔNG CỘNG TÀI SẢN]]</f>
        <v>6.0886853357446966E-2</v>
      </c>
      <c r="T120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0.33499166352710441</v>
      </c>
      <c r="U1201" s="23">
        <f>Table1[[#This Row],[1. Doanh thu bán hàng và cung cấp dịch vụ ]]/Table1[[#This Row],[TỔNG CỘNG TÀI SẢN]]</f>
        <v>0.71860176745186666</v>
      </c>
      <c r="V1201" s="23">
        <f>1.2*Table1[[#This Row],[X1]] + 1.4*Table1[[#This Row],[X2]] + 3.3*Table1[[#This Row],[x3]] + 0.6*Table1[[#This Row],[x4]] + 1*Table1[[#This Row],[x5]]</f>
        <v>1.4371908386181078</v>
      </c>
      <c r="W1201" s="23">
        <f>IF(Table1[[#This Row],[Zscore]]&lt;1.81,1,0)</f>
        <v>1</v>
      </c>
    </row>
    <row r="1202" spans="1:23" ht="26.25" hidden="1" x14ac:dyDescent="0.45">
      <c r="A1202" s="7">
        <v>1196</v>
      </c>
      <c r="B1202" s="5" t="s">
        <v>2404</v>
      </c>
      <c r="C1202" s="6" t="s">
        <v>2405</v>
      </c>
      <c r="D1202" s="6" t="s">
        <v>13</v>
      </c>
      <c r="E1202" s="6"/>
      <c r="F1202" s="6"/>
      <c r="G1202" s="6"/>
      <c r="H1202" s="6"/>
      <c r="I1202" s="6"/>
      <c r="J1202" s="8"/>
      <c r="K1202" s="6"/>
      <c r="L1202" s="6"/>
      <c r="M1202" s="8"/>
      <c r="N1202" s="8"/>
      <c r="O1202" s="8"/>
      <c r="P1202" s="8"/>
      <c r="Q1202" s="18" t="e">
        <f>(Table1[[#This Row],[A. TÀI SẢN NGẮN HẠN]]-Table1[[#This Row],[I. Nợ ngắn hạn]])/Table1[[#This Row],[TỔNG CỘNG TÀI SẢN]]</f>
        <v>#DIV/0!</v>
      </c>
      <c r="R1202" s="18" t="e">
        <f>Table1[[#This Row],[- LNST chưa phân phối kỳ này]]/Table1[[#This Row],[TỔNG CỘNG TÀI SẢN]]</f>
        <v>#DIV/0!</v>
      </c>
      <c r="S1202" s="21" t="e">
        <f>Table1[[#This Row],[5. Lợi nhuận gộp về bán hàng và cung cấp dịch vụ]]/Table1[[#This Row],[TỔNG CỘNG TÀI SẢN]]</f>
        <v>#DIV/0!</v>
      </c>
      <c r="T120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202" s="23" t="e">
        <f>Table1[[#This Row],[1. Doanh thu bán hàng và cung cấp dịch vụ ]]/Table1[[#This Row],[TỔNG CỘNG TÀI SẢN]]</f>
        <v>#DIV/0!</v>
      </c>
      <c r="V1202" s="23" t="e">
        <f>1.2*Table1[[#This Row],[X1]] + 1.4*Table1[[#This Row],[X2]] + 3.3*Table1[[#This Row],[x3]] + 0.6*Table1[[#This Row],[x4]] + 1*Table1[[#This Row],[x5]]</f>
        <v>#DIV/0!</v>
      </c>
      <c r="W1202" s="23" t="e">
        <f>IF(Table1[[#This Row],[Zscore]]&lt;1.81,1,0)</f>
        <v>#DIV/0!</v>
      </c>
    </row>
    <row r="1203" spans="1:23" x14ac:dyDescent="0.45">
      <c r="A1203" s="7">
        <v>1197</v>
      </c>
      <c r="B1203" s="5" t="s">
        <v>2406</v>
      </c>
      <c r="C1203" s="6" t="s">
        <v>2407</v>
      </c>
      <c r="D1203" s="6" t="s">
        <v>36</v>
      </c>
      <c r="E1203" s="8">
        <v>3330305033422</v>
      </c>
      <c r="F1203" s="8">
        <v>1533691866637</v>
      </c>
      <c r="G1203" s="8">
        <v>1021751469214</v>
      </c>
      <c r="H1203" s="8">
        <v>-104196451170</v>
      </c>
      <c r="I1203" s="8">
        <v>277939359225</v>
      </c>
      <c r="J1203" s="8"/>
      <c r="K1203" s="8">
        <v>1337227099346</v>
      </c>
      <c r="L1203" s="8">
        <v>1058639824373</v>
      </c>
      <c r="M1203" s="8">
        <v>867450965000</v>
      </c>
      <c r="N1203" s="8">
        <v>867450965000</v>
      </c>
      <c r="O1203" s="8">
        <v>815403907100</v>
      </c>
      <c r="P1203" s="8">
        <v>1197082331700</v>
      </c>
      <c r="Q1203" s="18">
        <f>(Table1[[#This Row],[A. TÀI SẢN NGẮN HẠN]]-Table1[[#This Row],[I. Nợ ngắn hạn]])/Table1[[#This Row],[TỔNG CỘNG TÀI SẢN]]</f>
        <v>0.15372177391719705</v>
      </c>
      <c r="R1203" s="18">
        <f>Table1[[#This Row],[- LNST chưa phân phối kỳ này]]/Table1[[#This Row],[TỔNG CỘNG TÀI SẢN]]</f>
        <v>-3.1287359603493936E-2</v>
      </c>
      <c r="S1203" s="21">
        <f>Table1[[#This Row],[5. Lợi nhuận gộp về bán hàng và cung cấp dịch vụ]]/Table1[[#This Row],[TỔNG CỘNG TÀI SẢN]]</f>
        <v>8.345762818591064E-2</v>
      </c>
      <c r="T120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0.70058933344843621</v>
      </c>
      <c r="U1203" s="23">
        <f>Table1[[#This Row],[1. Doanh thu bán hàng và cung cấp dịch vụ ]]/Table1[[#This Row],[TỔNG CỘNG TÀI SẢN]]</f>
        <v>0.3178807387758148</v>
      </c>
      <c r="V1203" s="23">
        <f>1.2*Table1[[#This Row],[X1]] + 1.4*Table1[[#This Row],[X2]] + 3.3*Table1[[#This Row],[x3]] + 0.6*Table1[[#This Row],[x4]] + 1*Table1[[#This Row],[x5]]</f>
        <v>1.1543083371141267</v>
      </c>
      <c r="W1203" s="23">
        <f>IF(Table1[[#This Row],[Zscore]]&lt;1.81,1,0)</f>
        <v>1</v>
      </c>
    </row>
    <row r="1204" spans="1:23" hidden="1" x14ac:dyDescent="0.45">
      <c r="A1204" s="7">
        <v>1198</v>
      </c>
      <c r="B1204" s="5" t="s">
        <v>2408</v>
      </c>
      <c r="C1204" s="6" t="s">
        <v>2409</v>
      </c>
      <c r="D1204" s="6" t="s">
        <v>13</v>
      </c>
      <c r="E1204" s="6"/>
      <c r="F1204" s="6"/>
      <c r="G1204" s="6"/>
      <c r="H1204" s="6"/>
      <c r="I1204" s="6"/>
      <c r="J1204" s="8"/>
      <c r="K1204" s="6"/>
      <c r="L1204" s="6"/>
      <c r="M1204" s="8"/>
      <c r="N1204" s="8"/>
      <c r="O1204" s="8"/>
      <c r="P1204" s="8"/>
      <c r="Q1204" s="18" t="e">
        <f>(Table1[[#This Row],[A. TÀI SẢN NGẮN HẠN]]-Table1[[#This Row],[I. Nợ ngắn hạn]])/Table1[[#This Row],[TỔNG CỘNG TÀI SẢN]]</f>
        <v>#DIV/0!</v>
      </c>
      <c r="R1204" s="18" t="e">
        <f>Table1[[#This Row],[- LNST chưa phân phối kỳ này]]/Table1[[#This Row],[TỔNG CỘNG TÀI SẢN]]</f>
        <v>#DIV/0!</v>
      </c>
      <c r="S1204" s="21" t="e">
        <f>Table1[[#This Row],[5. Lợi nhuận gộp về bán hàng và cung cấp dịch vụ]]/Table1[[#This Row],[TỔNG CỘNG TÀI SẢN]]</f>
        <v>#DIV/0!</v>
      </c>
      <c r="T120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204" s="23" t="e">
        <f>Table1[[#This Row],[1. Doanh thu bán hàng và cung cấp dịch vụ ]]/Table1[[#This Row],[TỔNG CỘNG TÀI SẢN]]</f>
        <v>#DIV/0!</v>
      </c>
      <c r="V1204" s="23" t="e">
        <f>1.2*Table1[[#This Row],[X1]] + 1.4*Table1[[#This Row],[X2]] + 3.3*Table1[[#This Row],[x3]] + 0.6*Table1[[#This Row],[x4]] + 1*Table1[[#This Row],[x5]]</f>
        <v>#DIV/0!</v>
      </c>
      <c r="W1204" s="23" t="e">
        <f>IF(Table1[[#This Row],[Zscore]]&lt;1.81,1,0)</f>
        <v>#DIV/0!</v>
      </c>
    </row>
    <row r="1205" spans="1:23" x14ac:dyDescent="0.45">
      <c r="A1205" s="7">
        <v>1199</v>
      </c>
      <c r="B1205" s="5" t="s">
        <v>2410</v>
      </c>
      <c r="C1205" s="6" t="s">
        <v>2411</v>
      </c>
      <c r="D1205" s="6" t="s">
        <v>18</v>
      </c>
      <c r="E1205" s="8">
        <v>7711901202826</v>
      </c>
      <c r="F1205" s="8">
        <v>3786649794801</v>
      </c>
      <c r="G1205" s="8">
        <v>3157491894396</v>
      </c>
      <c r="H1205" s="8">
        <v>175287927388</v>
      </c>
      <c r="I1205" s="8">
        <v>2723051809943</v>
      </c>
      <c r="J1205" s="8"/>
      <c r="K1205" s="8">
        <v>4190219374274</v>
      </c>
      <c r="L1205" s="8">
        <v>7557913714553</v>
      </c>
      <c r="M1205" s="8">
        <v>13158172088800</v>
      </c>
      <c r="N1205" s="8">
        <v>13596983840000</v>
      </c>
      <c r="O1205" s="8">
        <v>13596983840000</v>
      </c>
      <c r="P1205" s="8">
        <v>11866458624000</v>
      </c>
      <c r="Q1205" s="18">
        <f>(Table1[[#This Row],[A. TÀI SẢN NGẮN HẠN]]-Table1[[#This Row],[I. Nợ ngắn hạn]])/Table1[[#This Row],[TỔNG CỘNG TÀI SẢN]]</f>
        <v>8.1582723100037544E-2</v>
      </c>
      <c r="R1205" s="18">
        <f>Table1[[#This Row],[- LNST chưa phân phối kỳ này]]/Table1[[#This Row],[TỔNG CỘNG TÀI SẢN]]</f>
        <v>2.2729534880940427E-2</v>
      </c>
      <c r="S1205" s="21">
        <f>Table1[[#This Row],[5. Lợi nhuận gộp về bán hàng và cung cấp dịch vụ]]/Table1[[#This Row],[TỔNG CỘNG TÀI SẢN]]</f>
        <v>0.35309734115177033</v>
      </c>
      <c r="T120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3.1155050445209342</v>
      </c>
      <c r="U1205" s="23">
        <f>Table1[[#This Row],[1. Doanh thu bán hàng và cung cấp dịch vụ ]]/Table1[[#This Row],[TỔNG CỘNG TÀI SẢN]]</f>
        <v>0.98003248690263667</v>
      </c>
      <c r="V1205" s="23">
        <f>1.2*Table1[[#This Row],[X1]] + 1.4*Table1[[#This Row],[X2]] + 3.3*Table1[[#This Row],[x3]] + 0.6*Table1[[#This Row],[x4]] + 1*Table1[[#This Row],[x5]]</f>
        <v>4.1442773559694013</v>
      </c>
      <c r="W1205" s="23">
        <f>IF(Table1[[#This Row],[Zscore]]&lt;1.81,1,0)</f>
        <v>0</v>
      </c>
    </row>
    <row r="1206" spans="1:23" hidden="1" x14ac:dyDescent="0.45">
      <c r="A1206" s="7">
        <v>1200</v>
      </c>
      <c r="B1206" s="5" t="s">
        <v>2412</v>
      </c>
      <c r="C1206" s="6" t="s">
        <v>2413</v>
      </c>
      <c r="D1206" s="6" t="s">
        <v>13</v>
      </c>
      <c r="E1206" s="6"/>
      <c r="F1206" s="6"/>
      <c r="G1206" s="6"/>
      <c r="H1206" s="6"/>
      <c r="I1206" s="6"/>
      <c r="J1206" s="8"/>
      <c r="K1206" s="6"/>
      <c r="L1206" s="6"/>
      <c r="M1206" s="8"/>
      <c r="N1206" s="8"/>
      <c r="O1206" s="8"/>
      <c r="P1206" s="8"/>
      <c r="Q1206" s="18" t="e">
        <f>(Table1[[#This Row],[A. TÀI SẢN NGẮN HẠN]]-Table1[[#This Row],[I. Nợ ngắn hạn]])/Table1[[#This Row],[TỔNG CỘNG TÀI SẢN]]</f>
        <v>#DIV/0!</v>
      </c>
      <c r="R1206" s="18" t="e">
        <f>Table1[[#This Row],[- LNST chưa phân phối kỳ này]]/Table1[[#This Row],[TỔNG CỘNG TÀI SẢN]]</f>
        <v>#DIV/0!</v>
      </c>
      <c r="S1206" s="21" t="e">
        <f>Table1[[#This Row],[5. Lợi nhuận gộp về bán hàng và cung cấp dịch vụ]]/Table1[[#This Row],[TỔNG CỘNG TÀI SẢN]]</f>
        <v>#DIV/0!</v>
      </c>
      <c r="T120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206" s="23" t="e">
        <f>Table1[[#This Row],[1. Doanh thu bán hàng và cung cấp dịch vụ ]]/Table1[[#This Row],[TỔNG CỘNG TÀI SẢN]]</f>
        <v>#DIV/0!</v>
      </c>
      <c r="V1206" s="23" t="e">
        <f>1.2*Table1[[#This Row],[X1]] + 1.4*Table1[[#This Row],[X2]] + 3.3*Table1[[#This Row],[x3]] + 0.6*Table1[[#This Row],[x4]] + 1*Table1[[#This Row],[x5]]</f>
        <v>#DIV/0!</v>
      </c>
      <c r="W1206" s="23" t="e">
        <f>IF(Table1[[#This Row],[Zscore]]&lt;1.81,1,0)</f>
        <v>#DIV/0!</v>
      </c>
    </row>
    <row r="1207" spans="1:23" x14ac:dyDescent="0.45">
      <c r="A1207" s="7">
        <v>1201</v>
      </c>
      <c r="B1207" s="5" t="s">
        <v>2414</v>
      </c>
      <c r="C1207" s="6" t="s">
        <v>2415</v>
      </c>
      <c r="D1207" s="6" t="s">
        <v>36</v>
      </c>
      <c r="E1207" s="8">
        <v>2001178003514</v>
      </c>
      <c r="F1207" s="8">
        <v>463891955031</v>
      </c>
      <c r="G1207" s="8">
        <v>199207868312</v>
      </c>
      <c r="H1207" s="8">
        <v>110439898403</v>
      </c>
      <c r="I1207" s="8">
        <v>121778193390</v>
      </c>
      <c r="J1207" s="8"/>
      <c r="K1207" s="8">
        <v>1059460868872</v>
      </c>
      <c r="L1207" s="8">
        <v>177648306603</v>
      </c>
      <c r="M1207" s="8">
        <v>1414421451100</v>
      </c>
      <c r="N1207" s="8">
        <v>1105145623600</v>
      </c>
      <c r="O1207" s="8">
        <v>1092774590500</v>
      </c>
      <c r="P1207" s="8">
        <v>1096898268200</v>
      </c>
      <c r="Q1207" s="18">
        <f>(Table1[[#This Row],[A. TÀI SẢN NGẮN HẠN]]-Table1[[#This Row],[I. Nợ ngắn hạn]])/Table1[[#This Row],[TỔNG CỘNG TÀI SẢN]]</f>
        <v>0.13226413954891758</v>
      </c>
      <c r="R1207" s="18">
        <f>Table1[[#This Row],[- LNST chưa phân phối kỳ này]]/Table1[[#This Row],[TỔNG CỘNG TÀI SẢN]]</f>
        <v>5.5187443700196244E-2</v>
      </c>
      <c r="S1207" s="21">
        <f>Table1[[#This Row],[5. Lợi nhuận gộp về bán hàng và cung cấp dịch vụ]]/Table1[[#This Row],[TỔNG CỘNG TÀI SẢN]]</f>
        <v>6.0853254021462189E-2</v>
      </c>
      <c r="T120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1.1112349855860868</v>
      </c>
      <c r="U1207" s="23">
        <f>Table1[[#This Row],[1. Doanh thu bán hàng và cung cấp dịch vụ ]]/Table1[[#This Row],[TỔNG CỘNG TÀI SẢN]]</f>
        <v>8.8771866516149822E-2</v>
      </c>
      <c r="V1207" s="23">
        <f>1.2*Table1[[#This Row],[X1]] + 1.4*Table1[[#This Row],[X2]] + 3.3*Table1[[#This Row],[x3]] + 0.6*Table1[[#This Row],[x4]] + 1*Table1[[#This Row],[x5]]</f>
        <v>1.192307984777603</v>
      </c>
      <c r="W1207" s="23">
        <f>IF(Table1[[#This Row],[Zscore]]&lt;1.81,1,0)</f>
        <v>1</v>
      </c>
    </row>
    <row r="1208" spans="1:23" ht="26.25" hidden="1" x14ac:dyDescent="0.45">
      <c r="A1208" s="7">
        <v>1202</v>
      </c>
      <c r="B1208" s="5" t="s">
        <v>2416</v>
      </c>
      <c r="C1208" s="6" t="s">
        <v>2417</v>
      </c>
      <c r="D1208" s="6" t="s">
        <v>13</v>
      </c>
      <c r="E1208" s="6"/>
      <c r="F1208" s="6"/>
      <c r="G1208" s="6"/>
      <c r="H1208" s="6"/>
      <c r="I1208" s="6"/>
      <c r="J1208" s="8"/>
      <c r="K1208" s="6"/>
      <c r="L1208" s="6"/>
      <c r="M1208" s="8"/>
      <c r="N1208" s="8"/>
      <c r="O1208" s="8"/>
      <c r="P1208" s="8"/>
      <c r="Q1208" s="18" t="e">
        <f>(Table1[[#This Row],[A. TÀI SẢN NGẮN HẠN]]-Table1[[#This Row],[I. Nợ ngắn hạn]])/Table1[[#This Row],[TỔNG CỘNG TÀI SẢN]]</f>
        <v>#DIV/0!</v>
      </c>
      <c r="R1208" s="18" t="e">
        <f>Table1[[#This Row],[- LNST chưa phân phối kỳ này]]/Table1[[#This Row],[TỔNG CỘNG TÀI SẢN]]</f>
        <v>#DIV/0!</v>
      </c>
      <c r="S1208" s="21" t="e">
        <f>Table1[[#This Row],[5. Lợi nhuận gộp về bán hàng và cung cấp dịch vụ]]/Table1[[#This Row],[TỔNG CỘNG TÀI SẢN]]</f>
        <v>#DIV/0!</v>
      </c>
      <c r="T120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208" s="23" t="e">
        <f>Table1[[#This Row],[1. Doanh thu bán hàng và cung cấp dịch vụ ]]/Table1[[#This Row],[TỔNG CỘNG TÀI SẢN]]</f>
        <v>#DIV/0!</v>
      </c>
      <c r="V1208" s="23" t="e">
        <f>1.2*Table1[[#This Row],[X1]] + 1.4*Table1[[#This Row],[X2]] + 3.3*Table1[[#This Row],[x3]] + 0.6*Table1[[#This Row],[x4]] + 1*Table1[[#This Row],[x5]]</f>
        <v>#DIV/0!</v>
      </c>
      <c r="W1208" s="23" t="e">
        <f>IF(Table1[[#This Row],[Zscore]]&lt;1.81,1,0)</f>
        <v>#DIV/0!</v>
      </c>
    </row>
    <row r="1209" spans="1:23" ht="26.25" hidden="1" x14ac:dyDescent="0.45">
      <c r="A1209" s="7">
        <v>1203</v>
      </c>
      <c r="B1209" s="5" t="s">
        <v>2418</v>
      </c>
      <c r="C1209" s="6" t="s">
        <v>2419</v>
      </c>
      <c r="D1209" s="6" t="s">
        <v>13</v>
      </c>
      <c r="E1209" s="6"/>
      <c r="F1209" s="6"/>
      <c r="G1209" s="6"/>
      <c r="H1209" s="6"/>
      <c r="I1209" s="6"/>
      <c r="J1209" s="8"/>
      <c r="K1209" s="6"/>
      <c r="L1209" s="6"/>
      <c r="M1209" s="8"/>
      <c r="N1209" s="8"/>
      <c r="O1209" s="8"/>
      <c r="P1209" s="8"/>
      <c r="Q1209" s="18" t="e">
        <f>(Table1[[#This Row],[A. TÀI SẢN NGẮN HẠN]]-Table1[[#This Row],[I. Nợ ngắn hạn]])/Table1[[#This Row],[TỔNG CỘNG TÀI SẢN]]</f>
        <v>#DIV/0!</v>
      </c>
      <c r="R1209" s="18" t="e">
        <f>Table1[[#This Row],[- LNST chưa phân phối kỳ này]]/Table1[[#This Row],[TỔNG CỘNG TÀI SẢN]]</f>
        <v>#DIV/0!</v>
      </c>
      <c r="S1209" s="21" t="e">
        <f>Table1[[#This Row],[5. Lợi nhuận gộp về bán hàng và cung cấp dịch vụ]]/Table1[[#This Row],[TỔNG CỘNG TÀI SẢN]]</f>
        <v>#DIV/0!</v>
      </c>
      <c r="T120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209" s="23" t="e">
        <f>Table1[[#This Row],[1. Doanh thu bán hàng và cung cấp dịch vụ ]]/Table1[[#This Row],[TỔNG CỘNG TÀI SẢN]]</f>
        <v>#DIV/0!</v>
      </c>
      <c r="V1209" s="23" t="e">
        <f>1.2*Table1[[#This Row],[X1]] + 1.4*Table1[[#This Row],[X2]] + 3.3*Table1[[#This Row],[x3]] + 0.6*Table1[[#This Row],[x4]] + 1*Table1[[#This Row],[x5]]</f>
        <v>#DIV/0!</v>
      </c>
      <c r="W1209" s="23" t="e">
        <f>IF(Table1[[#This Row],[Zscore]]&lt;1.81,1,0)</f>
        <v>#DIV/0!</v>
      </c>
    </row>
    <row r="1210" spans="1:23" hidden="1" x14ac:dyDescent="0.45">
      <c r="A1210" s="7">
        <v>1204</v>
      </c>
      <c r="B1210" s="5" t="s">
        <v>2420</v>
      </c>
      <c r="C1210" s="6" t="s">
        <v>2421</v>
      </c>
      <c r="D1210" s="6" t="s">
        <v>13</v>
      </c>
      <c r="E1210" s="6"/>
      <c r="F1210" s="6"/>
      <c r="G1210" s="6"/>
      <c r="H1210" s="6"/>
      <c r="I1210" s="6"/>
      <c r="J1210" s="8"/>
      <c r="K1210" s="6"/>
      <c r="L1210" s="6"/>
      <c r="M1210" s="8"/>
      <c r="N1210" s="8"/>
      <c r="O1210" s="8"/>
      <c r="P1210" s="8"/>
      <c r="Q1210" s="18" t="e">
        <f>(Table1[[#This Row],[A. TÀI SẢN NGẮN HẠN]]-Table1[[#This Row],[I. Nợ ngắn hạn]])/Table1[[#This Row],[TỔNG CỘNG TÀI SẢN]]</f>
        <v>#DIV/0!</v>
      </c>
      <c r="R1210" s="18" t="e">
        <f>Table1[[#This Row],[- LNST chưa phân phối kỳ này]]/Table1[[#This Row],[TỔNG CỘNG TÀI SẢN]]</f>
        <v>#DIV/0!</v>
      </c>
      <c r="S1210" s="21" t="e">
        <f>Table1[[#This Row],[5. Lợi nhuận gộp về bán hàng và cung cấp dịch vụ]]/Table1[[#This Row],[TỔNG CỘNG TÀI SẢN]]</f>
        <v>#DIV/0!</v>
      </c>
      <c r="T121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210" s="23" t="e">
        <f>Table1[[#This Row],[1. Doanh thu bán hàng và cung cấp dịch vụ ]]/Table1[[#This Row],[TỔNG CỘNG TÀI SẢN]]</f>
        <v>#DIV/0!</v>
      </c>
      <c r="V1210" s="23" t="e">
        <f>1.2*Table1[[#This Row],[X1]] + 1.4*Table1[[#This Row],[X2]] + 3.3*Table1[[#This Row],[x3]] + 0.6*Table1[[#This Row],[x4]] + 1*Table1[[#This Row],[x5]]</f>
        <v>#DIV/0!</v>
      </c>
      <c r="W1210" s="23" t="e">
        <f>IF(Table1[[#This Row],[Zscore]]&lt;1.81,1,0)</f>
        <v>#DIV/0!</v>
      </c>
    </row>
    <row r="1211" spans="1:23" x14ac:dyDescent="0.45">
      <c r="A1211" s="7">
        <v>1205</v>
      </c>
      <c r="B1211" s="5" t="s">
        <v>2422</v>
      </c>
      <c r="C1211" s="6" t="s">
        <v>2423</v>
      </c>
      <c r="D1211" s="6" t="s">
        <v>18</v>
      </c>
      <c r="E1211" s="8">
        <v>1453313899000</v>
      </c>
      <c r="F1211" s="8">
        <v>1305196214000</v>
      </c>
      <c r="G1211" s="8">
        <v>260194401000</v>
      </c>
      <c r="H1211" s="8">
        <v>140719127000</v>
      </c>
      <c r="I1211" s="8">
        <v>635959943000</v>
      </c>
      <c r="J1211" s="8"/>
      <c r="K1211" s="8">
        <v>266046783000</v>
      </c>
      <c r="L1211" s="8">
        <v>2136141667000</v>
      </c>
      <c r="M1211" s="8">
        <v>2239523288800</v>
      </c>
      <c r="N1211" s="8">
        <v>1803818368800</v>
      </c>
      <c r="O1211" s="8">
        <v>2178524600000</v>
      </c>
      <c r="P1211" s="8">
        <v>1847388860800</v>
      </c>
      <c r="Q1211" s="18">
        <f>(Table1[[#This Row],[A. TÀI SẢN NGẮN HẠN]]-Table1[[#This Row],[I. Nợ ngắn hạn]])/Table1[[#This Row],[TỔNG CỘNG TÀI SẢN]]</f>
        <v>0.71904756000685577</v>
      </c>
      <c r="R1211" s="18">
        <f>Table1[[#This Row],[- LNST chưa phân phối kỳ này]]/Table1[[#This Row],[TỔNG CỘNG TÀI SẢN]]</f>
        <v>9.6826382171688014E-2</v>
      </c>
      <c r="S1211" s="21">
        <f>Table1[[#This Row],[5. Lợi nhuận gộp về bán hàng và cung cấp dịch vụ]]/Table1[[#This Row],[TỔNG CỘNG TÀI SẢN]]</f>
        <v>0.43759296834468658</v>
      </c>
      <c r="T121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7.5825528008733709</v>
      </c>
      <c r="U1211" s="23">
        <f>Table1[[#This Row],[1. Doanh thu bán hàng và cung cấp dịch vụ ]]/Table1[[#This Row],[TỔNG CỘNG TÀI SẢN]]</f>
        <v>1.4698419030257963</v>
      </c>
      <c r="V1211" s="23">
        <f>1.2*Table1[[#This Row],[X1]] + 1.4*Table1[[#This Row],[X2]] + 3.3*Table1[[#This Row],[x3]] + 0.6*Table1[[#This Row],[x4]] + 1*Table1[[#This Row],[x5]]</f>
        <v>8.4618443861358745</v>
      </c>
      <c r="W1211" s="23">
        <f>IF(Table1[[#This Row],[Zscore]]&lt;1.81,1,0)</f>
        <v>0</v>
      </c>
    </row>
    <row r="1212" spans="1:23" hidden="1" x14ac:dyDescent="0.45">
      <c r="A1212" s="7">
        <v>1206</v>
      </c>
      <c r="B1212" s="5" t="s">
        <v>2424</v>
      </c>
      <c r="C1212" s="6" t="s">
        <v>2425</v>
      </c>
      <c r="D1212" s="6" t="s">
        <v>18</v>
      </c>
      <c r="E1212" s="6"/>
      <c r="F1212" s="6"/>
      <c r="G1212" s="6"/>
      <c r="H1212" s="6"/>
      <c r="I1212" s="6"/>
      <c r="J1212" s="8"/>
      <c r="K1212" s="6"/>
      <c r="L1212" s="6"/>
      <c r="M1212" s="8"/>
      <c r="N1212" s="8"/>
      <c r="O1212" s="8"/>
      <c r="P1212" s="8"/>
      <c r="Q1212" s="18" t="e">
        <f>(Table1[[#This Row],[A. TÀI SẢN NGẮN HẠN]]-Table1[[#This Row],[I. Nợ ngắn hạn]])/Table1[[#This Row],[TỔNG CỘNG TÀI SẢN]]</f>
        <v>#DIV/0!</v>
      </c>
      <c r="R1212" s="18" t="e">
        <f>Table1[[#This Row],[- LNST chưa phân phối kỳ này]]/Table1[[#This Row],[TỔNG CỘNG TÀI SẢN]]</f>
        <v>#DIV/0!</v>
      </c>
      <c r="S1212" s="21" t="e">
        <f>Table1[[#This Row],[5. Lợi nhuận gộp về bán hàng và cung cấp dịch vụ]]/Table1[[#This Row],[TỔNG CỘNG TÀI SẢN]]</f>
        <v>#DIV/0!</v>
      </c>
      <c r="T121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212" s="23" t="e">
        <f>Table1[[#This Row],[1. Doanh thu bán hàng và cung cấp dịch vụ ]]/Table1[[#This Row],[TỔNG CỘNG TÀI SẢN]]</f>
        <v>#DIV/0!</v>
      </c>
      <c r="V1212" s="23" t="e">
        <f>1.2*Table1[[#This Row],[X1]] + 1.4*Table1[[#This Row],[X2]] + 3.3*Table1[[#This Row],[x3]] + 0.6*Table1[[#This Row],[x4]] + 1*Table1[[#This Row],[x5]]</f>
        <v>#DIV/0!</v>
      </c>
      <c r="W1212" s="23" t="e">
        <f>IF(Table1[[#This Row],[Zscore]]&lt;1.81,1,0)</f>
        <v>#DIV/0!</v>
      </c>
    </row>
    <row r="1213" spans="1:23" x14ac:dyDescent="0.45">
      <c r="A1213" s="7">
        <v>1207</v>
      </c>
      <c r="B1213" s="5" t="s">
        <v>2426</v>
      </c>
      <c r="C1213" s="6" t="s">
        <v>2427</v>
      </c>
      <c r="D1213" s="6" t="s">
        <v>21</v>
      </c>
      <c r="E1213" s="8">
        <v>10284933533065</v>
      </c>
      <c r="F1213" s="8">
        <v>6368586354013</v>
      </c>
      <c r="G1213" s="8">
        <v>963017561053</v>
      </c>
      <c r="H1213" s="8">
        <v>512831599328</v>
      </c>
      <c r="I1213" s="8">
        <v>771711312668</v>
      </c>
      <c r="J1213" s="8"/>
      <c r="K1213" s="8">
        <v>2279008046178</v>
      </c>
      <c r="L1213" s="8">
        <v>1695110171327</v>
      </c>
      <c r="M1213" s="8">
        <v>5231815118400</v>
      </c>
      <c r="N1213" s="8">
        <v>6767991880000</v>
      </c>
      <c r="O1213" s="8">
        <v>4721854800000</v>
      </c>
      <c r="P1213" s="8">
        <v>5099603184000</v>
      </c>
      <c r="Q1213" s="18">
        <f>(Table1[[#This Row],[A. TÀI SẢN NGẮN HẠN]]-Table1[[#This Row],[I. Nợ ngắn hạn]])/Table1[[#This Row],[TỔNG CỘNG TÀI SẢN]]</f>
        <v>0.52558130546800852</v>
      </c>
      <c r="R1213" s="18">
        <f>Table1[[#This Row],[- LNST chưa phân phối kỳ này]]/Table1[[#This Row],[TỔNG CỘNG TÀI SẢN]]</f>
        <v>4.9862412594043448E-2</v>
      </c>
      <c r="S1213" s="21">
        <f>Table1[[#This Row],[5. Lợi nhuận gộp về bán hàng và cung cấp dịch vụ]]/Table1[[#This Row],[TỔNG CỘNG TÀI SẢN]]</f>
        <v>7.5033184238578479E-2</v>
      </c>
      <c r="T121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2.3937239952920804</v>
      </c>
      <c r="U1213" s="23">
        <f>Table1[[#This Row],[1. Doanh thu bán hàng và cung cấp dịch vụ ]]/Table1[[#This Row],[TỔNG CỘNG TÀI SẢN]]</f>
        <v>0.16481488829046836</v>
      </c>
      <c r="V1213" s="23">
        <f>1.2*Table1[[#This Row],[X1]] + 1.4*Table1[[#This Row],[X2]] + 3.3*Table1[[#This Row],[x3]] + 0.6*Table1[[#This Row],[x4]] + 1*Table1[[#This Row],[x5]]</f>
        <v>2.549163737646297</v>
      </c>
      <c r="W1213" s="23">
        <f>IF(Table1[[#This Row],[Zscore]]&lt;1.81,1,0)</f>
        <v>0</v>
      </c>
    </row>
    <row r="1214" spans="1:23" hidden="1" x14ac:dyDescent="0.45">
      <c r="A1214" s="7">
        <v>1208</v>
      </c>
      <c r="B1214" s="5" t="s">
        <v>2428</v>
      </c>
      <c r="C1214" s="6" t="s">
        <v>2429</v>
      </c>
      <c r="D1214" s="6" t="s">
        <v>13</v>
      </c>
      <c r="E1214" s="6"/>
      <c r="F1214" s="6"/>
      <c r="G1214" s="6"/>
      <c r="H1214" s="6"/>
      <c r="I1214" s="6"/>
      <c r="J1214" s="8"/>
      <c r="K1214" s="6"/>
      <c r="L1214" s="6"/>
      <c r="M1214" s="8"/>
      <c r="N1214" s="8"/>
      <c r="O1214" s="8"/>
      <c r="P1214" s="8"/>
      <c r="Q1214" s="18" t="e">
        <f>(Table1[[#This Row],[A. TÀI SẢN NGẮN HẠN]]-Table1[[#This Row],[I. Nợ ngắn hạn]])/Table1[[#This Row],[TỔNG CỘNG TÀI SẢN]]</f>
        <v>#DIV/0!</v>
      </c>
      <c r="R1214" s="18" t="e">
        <f>Table1[[#This Row],[- LNST chưa phân phối kỳ này]]/Table1[[#This Row],[TỔNG CỘNG TÀI SẢN]]</f>
        <v>#DIV/0!</v>
      </c>
      <c r="S1214" s="21" t="e">
        <f>Table1[[#This Row],[5. Lợi nhuận gộp về bán hàng và cung cấp dịch vụ]]/Table1[[#This Row],[TỔNG CỘNG TÀI SẢN]]</f>
        <v>#DIV/0!</v>
      </c>
      <c r="T121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214" s="23" t="e">
        <f>Table1[[#This Row],[1. Doanh thu bán hàng và cung cấp dịch vụ ]]/Table1[[#This Row],[TỔNG CỘNG TÀI SẢN]]</f>
        <v>#DIV/0!</v>
      </c>
      <c r="V1214" s="23" t="e">
        <f>1.2*Table1[[#This Row],[X1]] + 1.4*Table1[[#This Row],[X2]] + 3.3*Table1[[#This Row],[x3]] + 0.6*Table1[[#This Row],[x4]] + 1*Table1[[#This Row],[x5]]</f>
        <v>#DIV/0!</v>
      </c>
      <c r="W1214" s="23" t="e">
        <f>IF(Table1[[#This Row],[Zscore]]&lt;1.81,1,0)</f>
        <v>#DIV/0!</v>
      </c>
    </row>
    <row r="1215" spans="1:23" x14ac:dyDescent="0.45">
      <c r="A1215" s="7">
        <v>1209</v>
      </c>
      <c r="B1215" s="5" t="s">
        <v>2430</v>
      </c>
      <c r="C1215" s="6" t="s">
        <v>2431</v>
      </c>
      <c r="D1215" s="6" t="s">
        <v>18</v>
      </c>
      <c r="E1215" s="8">
        <v>313680456599</v>
      </c>
      <c r="F1215" s="8">
        <v>227928500145</v>
      </c>
      <c r="G1215" s="8">
        <v>100842000146</v>
      </c>
      <c r="H1215" s="8">
        <v>-11184751215</v>
      </c>
      <c r="I1215" s="8">
        <v>757107631</v>
      </c>
      <c r="J1215" s="8"/>
      <c r="K1215" s="8">
        <v>122303978749</v>
      </c>
      <c r="L1215" s="8">
        <v>100273043859</v>
      </c>
      <c r="M1215" s="8">
        <v>76601580900</v>
      </c>
      <c r="N1215" s="8">
        <v>135525873900</v>
      </c>
      <c r="O1215" s="8">
        <v>84458153300</v>
      </c>
      <c r="P1215" s="8">
        <v>139454160100</v>
      </c>
      <c r="Q1215" s="18">
        <f>(Table1[[#This Row],[A. TÀI SẢN NGẮN HẠN]]-Table1[[#This Row],[I. Nợ ngắn hạn]])/Table1[[#This Row],[TỔNG CỘNG TÀI SẢN]]</f>
        <v>0.40514637531742598</v>
      </c>
      <c r="R1215" s="18">
        <f>Table1[[#This Row],[- LNST chưa phân phối kỳ này]]/Table1[[#This Row],[TỔNG CỘNG TÀI SẢN]]</f>
        <v>-3.5656512797347342E-2</v>
      </c>
      <c r="S1215" s="21">
        <f>Table1[[#This Row],[5. Lợi nhuận gộp về bán hàng và cung cấp dịch vụ]]/Table1[[#This Row],[TỔNG CỘNG TÀI SẢN]]</f>
        <v>2.4136270369175868E-3</v>
      </c>
      <c r="T121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0.89130331788892281</v>
      </c>
      <c r="U1215" s="23">
        <f>Table1[[#This Row],[1. Doanh thu bán hàng và cung cấp dịch vụ ]]/Table1[[#This Row],[TỔNG CỘNG TÀI SẢN]]</f>
        <v>0.31966621365635844</v>
      </c>
      <c r="V1215" s="23">
        <f>1.2*Table1[[#This Row],[X1]] + 1.4*Table1[[#This Row],[X2]] + 3.3*Table1[[#This Row],[x3]] + 0.6*Table1[[#This Row],[x4]] + 1*Table1[[#This Row],[x5]]</f>
        <v>1.2986697060761649</v>
      </c>
      <c r="W1215" s="23">
        <f>IF(Table1[[#This Row],[Zscore]]&lt;1.81,1,0)</f>
        <v>1</v>
      </c>
    </row>
    <row r="1216" spans="1:23" x14ac:dyDescent="0.45">
      <c r="A1216" s="7">
        <v>1210</v>
      </c>
      <c r="B1216" s="5" t="s">
        <v>2432</v>
      </c>
      <c r="C1216" s="6" t="s">
        <v>2433</v>
      </c>
      <c r="D1216" s="6" t="s">
        <v>21</v>
      </c>
      <c r="E1216" s="8">
        <v>1855957075741</v>
      </c>
      <c r="F1216" s="8">
        <v>466405406473</v>
      </c>
      <c r="G1216" s="8">
        <v>432088245832</v>
      </c>
      <c r="H1216" s="8">
        <v>109242066773</v>
      </c>
      <c r="I1216" s="8">
        <v>219187945995</v>
      </c>
      <c r="J1216" s="8"/>
      <c r="K1216" s="8">
        <v>999902816299</v>
      </c>
      <c r="L1216" s="8">
        <v>574302773465</v>
      </c>
      <c r="M1216" s="8">
        <v>775484760000</v>
      </c>
      <c r="N1216" s="8">
        <v>859488570000</v>
      </c>
      <c r="O1216" s="8">
        <v>1065765826800</v>
      </c>
      <c r="P1216" s="8">
        <v>1004646639600</v>
      </c>
      <c r="Q1216" s="18">
        <f>(Table1[[#This Row],[A. TÀI SẢN NGẮN HẠN]]-Table1[[#This Row],[I. Nợ ngắn hạn]])/Table1[[#This Row],[TỔNG CỘNG TÀI SẢN]]</f>
        <v>1.8490277113385665E-2</v>
      </c>
      <c r="R1216" s="18">
        <f>Table1[[#This Row],[- LNST chưa phân phối kỳ này]]/Table1[[#This Row],[TỔNG CỘNG TÀI SẢN]]</f>
        <v>5.8860233461694993E-2</v>
      </c>
      <c r="S1216" s="21">
        <f>Table1[[#This Row],[5. Lợi nhuận gộp về bán hàng và cung cấp dịch vụ]]/Table1[[#This Row],[TỔNG CỘNG TÀI SẢN]]</f>
        <v>0.11809968498732015</v>
      </c>
      <c r="T121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0.92643648362622022</v>
      </c>
      <c r="U1216" s="23">
        <f>Table1[[#This Row],[1. Doanh thu bán hàng và cung cấp dịch vụ ]]/Table1[[#This Row],[TỔNG CỘNG TÀI SẢN]]</f>
        <v>0.30943753008711516</v>
      </c>
      <c r="V1216" s="23">
        <f>1.2*Table1[[#This Row],[X1]] + 1.4*Table1[[#This Row],[X2]] + 3.3*Table1[[#This Row],[x3]] + 0.6*Table1[[#This Row],[x4]] + 1*Table1[[#This Row],[x5]]</f>
        <v>1.3596210401034394</v>
      </c>
      <c r="W1216" s="23">
        <f>IF(Table1[[#This Row],[Zscore]]&lt;1.81,1,0)</f>
        <v>1</v>
      </c>
    </row>
    <row r="1217" spans="1:23" ht="26.25" hidden="1" x14ac:dyDescent="0.45">
      <c r="A1217" s="7">
        <v>1211</v>
      </c>
      <c r="B1217" s="5" t="s">
        <v>2434</v>
      </c>
      <c r="C1217" s="6" t="s">
        <v>2435</v>
      </c>
      <c r="D1217" s="6" t="s">
        <v>18</v>
      </c>
      <c r="E1217" s="8">
        <v>107482329050</v>
      </c>
      <c r="F1217" s="8">
        <v>104417530546</v>
      </c>
      <c r="G1217" s="8">
        <v>44240272390</v>
      </c>
      <c r="H1217" s="8">
        <v>51180798588</v>
      </c>
      <c r="I1217" s="8">
        <v>14286360967</v>
      </c>
      <c r="J1217" s="8"/>
      <c r="K1217" s="8">
        <v>45402464056</v>
      </c>
      <c r="L1217" s="8">
        <v>159361786302</v>
      </c>
      <c r="M1217" s="8"/>
      <c r="N1217" s="8"/>
      <c r="O1217" s="8"/>
      <c r="P1217" s="8"/>
      <c r="Q1217" s="18">
        <f>(Table1[[#This Row],[A. TÀI SẢN NGẮN HẠN]]-Table1[[#This Row],[I. Nợ ngắn hạn]])/Table1[[#This Row],[TỔNG CỘNG TÀI SẢN]]</f>
        <v>0.55988048163718129</v>
      </c>
      <c r="R1217" s="18">
        <f>Table1[[#This Row],[- LNST chưa phân phối kỳ này]]/Table1[[#This Row],[TỔNG CỘNG TÀI SẢN]]</f>
        <v>0.47617872668344452</v>
      </c>
      <c r="S1217" s="21">
        <f>Table1[[#This Row],[5. Lợi nhuận gộp về bán hàng và cung cấp dịch vụ]]/Table1[[#This Row],[TỔNG CỘNG TÀI SẢN]]</f>
        <v>0.13291823031071542</v>
      </c>
      <c r="T121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217" s="23">
        <f>Table1[[#This Row],[1. Doanh thu bán hàng và cung cấp dịch vụ ]]/Table1[[#This Row],[TỔNG CỘNG TÀI SẢN]]</f>
        <v>1.4826789455582605</v>
      </c>
      <c r="V1217" s="23" t="e">
        <f>1.2*Table1[[#This Row],[X1]] + 1.4*Table1[[#This Row],[X2]] + 3.3*Table1[[#This Row],[x3]] + 0.6*Table1[[#This Row],[x4]] + 1*Table1[[#This Row],[x5]]</f>
        <v>#DIV/0!</v>
      </c>
      <c r="W1217" s="23" t="e">
        <f>IF(Table1[[#This Row],[Zscore]]&lt;1.81,1,0)</f>
        <v>#DIV/0!</v>
      </c>
    </row>
    <row r="1218" spans="1:23" ht="26.25" x14ac:dyDescent="0.45">
      <c r="A1218" s="7">
        <v>1212</v>
      </c>
      <c r="B1218" s="5" t="s">
        <v>2436</v>
      </c>
      <c r="C1218" s="6" t="s">
        <v>2437</v>
      </c>
      <c r="D1218" s="6" t="s">
        <v>18</v>
      </c>
      <c r="E1218" s="8">
        <v>709154416586</v>
      </c>
      <c r="F1218" s="8">
        <v>147635603715</v>
      </c>
      <c r="G1218" s="8">
        <v>89663048932</v>
      </c>
      <c r="H1218" s="8">
        <v>15943825684</v>
      </c>
      <c r="I1218" s="8">
        <v>36762883123</v>
      </c>
      <c r="J1218" s="8"/>
      <c r="K1218" s="8">
        <v>343390649470</v>
      </c>
      <c r="L1218" s="8">
        <v>222897427796</v>
      </c>
      <c r="M1218" s="8">
        <v>619200000000</v>
      </c>
      <c r="N1218" s="8">
        <v>792000000000</v>
      </c>
      <c r="O1218" s="8">
        <v>676800000000</v>
      </c>
      <c r="P1218" s="8">
        <v>518400000000</v>
      </c>
      <c r="Q1218" s="18">
        <f>(Table1[[#This Row],[A. TÀI SẢN NGẮN HẠN]]-Table1[[#This Row],[I. Nợ ngắn hạn]])/Table1[[#This Row],[TỔNG CỘNG TÀI SẢN]]</f>
        <v>8.1748845423667463E-2</v>
      </c>
      <c r="R1218" s="18">
        <f>Table1[[#This Row],[- LNST chưa phân phối kỳ này]]/Table1[[#This Row],[TỔNG CỘNG TÀI SẢN]]</f>
        <v>2.2482868767505552E-2</v>
      </c>
      <c r="S1218" s="21">
        <f>Table1[[#This Row],[5. Lợi nhuận gộp về bán hàng và cung cấp dịch vụ]]/Table1[[#This Row],[TỔNG CỘNG TÀI SẢN]]</f>
        <v>5.1840448657125046E-2</v>
      </c>
      <c r="T121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1.8975473007366395</v>
      </c>
      <c r="U1218" s="23">
        <f>Table1[[#This Row],[1. Doanh thu bán hàng và cung cấp dịch vụ ]]/Table1[[#This Row],[TỔNG CỘNG TÀI SẢN]]</f>
        <v>0.31431437580135124</v>
      </c>
      <c r="V1218" s="23">
        <f>1.2*Table1[[#This Row],[X1]] + 1.4*Table1[[#This Row],[X2]] + 3.3*Table1[[#This Row],[x3]] + 0.6*Table1[[#This Row],[x4]] + 1*Table1[[#This Row],[x5]]</f>
        <v>1.7534908675947563</v>
      </c>
      <c r="W1218" s="23">
        <f>IF(Table1[[#This Row],[Zscore]]&lt;1.81,1,0)</f>
        <v>1</v>
      </c>
    </row>
    <row r="1219" spans="1:23" ht="26.25" hidden="1" x14ac:dyDescent="0.45">
      <c r="A1219" s="7">
        <v>1213</v>
      </c>
      <c r="B1219" s="5" t="s">
        <v>2438</v>
      </c>
      <c r="C1219" s="6" t="s">
        <v>2439</v>
      </c>
      <c r="D1219" s="6" t="s">
        <v>18</v>
      </c>
      <c r="E1219" s="6"/>
      <c r="F1219" s="6"/>
      <c r="G1219" s="6"/>
      <c r="H1219" s="6"/>
      <c r="I1219" s="6"/>
      <c r="J1219" s="8"/>
      <c r="K1219" s="6"/>
      <c r="L1219" s="6"/>
      <c r="M1219" s="8"/>
      <c r="N1219" s="8"/>
      <c r="O1219" s="8"/>
      <c r="P1219" s="8"/>
      <c r="Q1219" s="18" t="e">
        <f>(Table1[[#This Row],[A. TÀI SẢN NGẮN HẠN]]-Table1[[#This Row],[I. Nợ ngắn hạn]])/Table1[[#This Row],[TỔNG CỘNG TÀI SẢN]]</f>
        <v>#DIV/0!</v>
      </c>
      <c r="R1219" s="18" t="e">
        <f>Table1[[#This Row],[- LNST chưa phân phối kỳ này]]/Table1[[#This Row],[TỔNG CỘNG TÀI SẢN]]</f>
        <v>#DIV/0!</v>
      </c>
      <c r="S1219" s="21" t="e">
        <f>Table1[[#This Row],[5. Lợi nhuận gộp về bán hàng và cung cấp dịch vụ]]/Table1[[#This Row],[TỔNG CỘNG TÀI SẢN]]</f>
        <v>#DIV/0!</v>
      </c>
      <c r="T121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219" s="23" t="e">
        <f>Table1[[#This Row],[1. Doanh thu bán hàng và cung cấp dịch vụ ]]/Table1[[#This Row],[TỔNG CỘNG TÀI SẢN]]</f>
        <v>#DIV/0!</v>
      </c>
      <c r="V1219" s="23" t="e">
        <f>1.2*Table1[[#This Row],[X1]] + 1.4*Table1[[#This Row],[X2]] + 3.3*Table1[[#This Row],[x3]] + 0.6*Table1[[#This Row],[x4]] + 1*Table1[[#This Row],[x5]]</f>
        <v>#DIV/0!</v>
      </c>
      <c r="W1219" s="23" t="e">
        <f>IF(Table1[[#This Row],[Zscore]]&lt;1.81,1,0)</f>
        <v>#DIV/0!</v>
      </c>
    </row>
    <row r="1220" spans="1:23" hidden="1" x14ac:dyDescent="0.45">
      <c r="A1220" s="7">
        <v>1214</v>
      </c>
      <c r="B1220" s="5" t="s">
        <v>2440</v>
      </c>
      <c r="C1220" s="6" t="s">
        <v>2441</v>
      </c>
      <c r="D1220" s="6" t="s">
        <v>13</v>
      </c>
      <c r="E1220" s="6"/>
      <c r="F1220" s="6"/>
      <c r="G1220" s="6"/>
      <c r="H1220" s="6"/>
      <c r="I1220" s="6"/>
      <c r="J1220" s="8"/>
      <c r="K1220" s="6"/>
      <c r="L1220" s="6"/>
      <c r="M1220" s="8"/>
      <c r="N1220" s="8"/>
      <c r="O1220" s="8"/>
      <c r="P1220" s="8"/>
      <c r="Q1220" s="18" t="e">
        <f>(Table1[[#This Row],[A. TÀI SẢN NGẮN HẠN]]-Table1[[#This Row],[I. Nợ ngắn hạn]])/Table1[[#This Row],[TỔNG CỘNG TÀI SẢN]]</f>
        <v>#DIV/0!</v>
      </c>
      <c r="R1220" s="18" t="e">
        <f>Table1[[#This Row],[- LNST chưa phân phối kỳ này]]/Table1[[#This Row],[TỔNG CỘNG TÀI SẢN]]</f>
        <v>#DIV/0!</v>
      </c>
      <c r="S1220" s="21" t="e">
        <f>Table1[[#This Row],[5. Lợi nhuận gộp về bán hàng và cung cấp dịch vụ]]/Table1[[#This Row],[TỔNG CỘNG TÀI SẢN]]</f>
        <v>#DIV/0!</v>
      </c>
      <c r="T122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220" s="23" t="e">
        <f>Table1[[#This Row],[1. Doanh thu bán hàng và cung cấp dịch vụ ]]/Table1[[#This Row],[TỔNG CỘNG TÀI SẢN]]</f>
        <v>#DIV/0!</v>
      </c>
      <c r="V1220" s="23" t="e">
        <f>1.2*Table1[[#This Row],[X1]] + 1.4*Table1[[#This Row],[X2]] + 3.3*Table1[[#This Row],[x3]] + 0.6*Table1[[#This Row],[x4]] + 1*Table1[[#This Row],[x5]]</f>
        <v>#DIV/0!</v>
      </c>
      <c r="W1220" s="23" t="e">
        <f>IF(Table1[[#This Row],[Zscore]]&lt;1.81,1,0)</f>
        <v>#DIV/0!</v>
      </c>
    </row>
    <row r="1221" spans="1:23" x14ac:dyDescent="0.45">
      <c r="A1221" s="7">
        <v>1215</v>
      </c>
      <c r="B1221" s="5" t="s">
        <v>2442</v>
      </c>
      <c r="C1221" s="6" t="s">
        <v>2443</v>
      </c>
      <c r="D1221" s="6" t="s">
        <v>21</v>
      </c>
      <c r="E1221" s="8">
        <v>2782634485220</v>
      </c>
      <c r="F1221" s="8">
        <v>1507411305624</v>
      </c>
      <c r="G1221" s="8">
        <v>372432306329</v>
      </c>
      <c r="H1221" s="8">
        <v>353941027367</v>
      </c>
      <c r="I1221" s="8">
        <v>1001564116197</v>
      </c>
      <c r="J1221" s="8"/>
      <c r="K1221" s="8">
        <v>476112306329</v>
      </c>
      <c r="L1221" s="8">
        <v>2914294074254</v>
      </c>
      <c r="M1221" s="8">
        <v>6861099257100</v>
      </c>
      <c r="N1221" s="8">
        <v>8085470505000</v>
      </c>
      <c r="O1221" s="8">
        <v>7946862439200</v>
      </c>
      <c r="P1221" s="8">
        <v>8147074089800</v>
      </c>
      <c r="Q1221" s="18">
        <f>(Table1[[#This Row],[A. TÀI SẢN NGẮN HẠN]]-Table1[[#This Row],[I. Nợ ngắn hạn]])/Table1[[#This Row],[TỔNG CỘNG TÀI SẢN]]</f>
        <v>0.40787929759494324</v>
      </c>
      <c r="R1221" s="18">
        <f>Table1[[#This Row],[- LNST chưa phân phối kỳ này]]/Table1[[#This Row],[TỔNG CỘNG TÀI SẢN]]</f>
        <v>0.12719637783796703</v>
      </c>
      <c r="S1221" s="21">
        <f>Table1[[#This Row],[5. Lợi nhuận gộp về bán hàng và cung cấp dịch vụ]]/Table1[[#This Row],[TỔNG CỘNG TÀI SẢN]]</f>
        <v>0.35993376834680268</v>
      </c>
      <c r="T122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16.298941383406813</v>
      </c>
      <c r="U1221" s="23">
        <f>Table1[[#This Row],[1. Doanh thu bán hàng và cung cấp dịch vụ ]]/Table1[[#This Row],[TỔNG CỘNG TÀI SẢN]]</f>
        <v>1.0473147262902518</v>
      </c>
      <c r="V1221" s="23">
        <f>1.2*Table1[[#This Row],[X1]] + 1.4*Table1[[#This Row],[X2]] + 3.3*Table1[[#This Row],[x3]] + 0.6*Table1[[#This Row],[x4]] + 1*Table1[[#This Row],[x5]]</f>
        <v>12.681991077965874</v>
      </c>
      <c r="W1221" s="23">
        <f>IF(Table1[[#This Row],[Zscore]]&lt;1.81,1,0)</f>
        <v>0</v>
      </c>
    </row>
    <row r="1222" spans="1:23" ht="26.25" hidden="1" x14ac:dyDescent="0.45">
      <c r="A1222" s="7">
        <v>1216</v>
      </c>
      <c r="B1222" s="5" t="s">
        <v>2444</v>
      </c>
      <c r="C1222" s="6" t="s">
        <v>2445</v>
      </c>
      <c r="D1222" s="6" t="s">
        <v>13</v>
      </c>
      <c r="E1222" s="6"/>
      <c r="F1222" s="6"/>
      <c r="G1222" s="6"/>
      <c r="H1222" s="6"/>
      <c r="I1222" s="6"/>
      <c r="J1222" s="8"/>
      <c r="K1222" s="6"/>
      <c r="L1222" s="6"/>
      <c r="M1222" s="8"/>
      <c r="N1222" s="8"/>
      <c r="O1222" s="8"/>
      <c r="P1222" s="8"/>
      <c r="Q1222" s="18" t="e">
        <f>(Table1[[#This Row],[A. TÀI SẢN NGẮN HẠN]]-Table1[[#This Row],[I. Nợ ngắn hạn]])/Table1[[#This Row],[TỔNG CỘNG TÀI SẢN]]</f>
        <v>#DIV/0!</v>
      </c>
      <c r="R1222" s="18" t="e">
        <f>Table1[[#This Row],[- LNST chưa phân phối kỳ này]]/Table1[[#This Row],[TỔNG CỘNG TÀI SẢN]]</f>
        <v>#DIV/0!</v>
      </c>
      <c r="S1222" s="21" t="e">
        <f>Table1[[#This Row],[5. Lợi nhuận gộp về bán hàng và cung cấp dịch vụ]]/Table1[[#This Row],[TỔNG CỘNG TÀI SẢN]]</f>
        <v>#DIV/0!</v>
      </c>
      <c r="T122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222" s="23" t="e">
        <f>Table1[[#This Row],[1. Doanh thu bán hàng và cung cấp dịch vụ ]]/Table1[[#This Row],[TỔNG CỘNG TÀI SẢN]]</f>
        <v>#DIV/0!</v>
      </c>
      <c r="V1222" s="23" t="e">
        <f>1.2*Table1[[#This Row],[X1]] + 1.4*Table1[[#This Row],[X2]] + 3.3*Table1[[#This Row],[x3]] + 0.6*Table1[[#This Row],[x4]] + 1*Table1[[#This Row],[x5]]</f>
        <v>#DIV/0!</v>
      </c>
      <c r="W1222" s="23" t="e">
        <f>IF(Table1[[#This Row],[Zscore]]&lt;1.81,1,0)</f>
        <v>#DIV/0!</v>
      </c>
    </row>
    <row r="1223" spans="1:23" hidden="1" x14ac:dyDescent="0.45">
      <c r="A1223" s="7">
        <v>1217</v>
      </c>
      <c r="B1223" s="5" t="s">
        <v>2446</v>
      </c>
      <c r="C1223" s="6" t="s">
        <v>2447</v>
      </c>
      <c r="D1223" s="6" t="s">
        <v>18</v>
      </c>
      <c r="E1223" s="6"/>
      <c r="F1223" s="6"/>
      <c r="G1223" s="6"/>
      <c r="H1223" s="6"/>
      <c r="I1223" s="6"/>
      <c r="J1223" s="8"/>
      <c r="K1223" s="6"/>
      <c r="L1223" s="6"/>
      <c r="M1223" s="8"/>
      <c r="N1223" s="8"/>
      <c r="O1223" s="8"/>
      <c r="P1223" s="8"/>
      <c r="Q1223" s="18" t="e">
        <f>(Table1[[#This Row],[A. TÀI SẢN NGẮN HẠN]]-Table1[[#This Row],[I. Nợ ngắn hạn]])/Table1[[#This Row],[TỔNG CỘNG TÀI SẢN]]</f>
        <v>#DIV/0!</v>
      </c>
      <c r="R1223" s="18" t="e">
        <f>Table1[[#This Row],[- LNST chưa phân phối kỳ này]]/Table1[[#This Row],[TỔNG CỘNG TÀI SẢN]]</f>
        <v>#DIV/0!</v>
      </c>
      <c r="S1223" s="21" t="e">
        <f>Table1[[#This Row],[5. Lợi nhuận gộp về bán hàng và cung cấp dịch vụ]]/Table1[[#This Row],[TỔNG CỘNG TÀI SẢN]]</f>
        <v>#DIV/0!</v>
      </c>
      <c r="T122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223" s="23" t="e">
        <f>Table1[[#This Row],[1. Doanh thu bán hàng và cung cấp dịch vụ ]]/Table1[[#This Row],[TỔNG CỘNG TÀI SẢN]]</f>
        <v>#DIV/0!</v>
      </c>
      <c r="V1223" s="23" t="e">
        <f>1.2*Table1[[#This Row],[X1]] + 1.4*Table1[[#This Row],[X2]] + 3.3*Table1[[#This Row],[x3]] + 0.6*Table1[[#This Row],[x4]] + 1*Table1[[#This Row],[x5]]</f>
        <v>#DIV/0!</v>
      </c>
      <c r="W1223" s="23" t="e">
        <f>IF(Table1[[#This Row],[Zscore]]&lt;1.81,1,0)</f>
        <v>#DIV/0!</v>
      </c>
    </row>
    <row r="1224" spans="1:23" x14ac:dyDescent="0.45">
      <c r="A1224" s="7">
        <v>1218</v>
      </c>
      <c r="B1224" s="5" t="s">
        <v>2448</v>
      </c>
      <c r="C1224" s="6" t="s">
        <v>2449</v>
      </c>
      <c r="D1224" s="6" t="s">
        <v>36</v>
      </c>
      <c r="E1224" s="8">
        <v>46859640863</v>
      </c>
      <c r="F1224" s="8">
        <v>41202386850</v>
      </c>
      <c r="G1224" s="8">
        <v>10643980685</v>
      </c>
      <c r="H1224" s="8">
        <v>1450025389</v>
      </c>
      <c r="I1224" s="8">
        <v>7232061333</v>
      </c>
      <c r="J1224" s="8"/>
      <c r="K1224" s="8">
        <v>10643980685</v>
      </c>
      <c r="L1224" s="8">
        <v>25846765385</v>
      </c>
      <c r="M1224" s="8">
        <v>58400000000</v>
      </c>
      <c r="N1224" s="8">
        <v>32000000000</v>
      </c>
      <c r="O1224" s="8">
        <v>58400000000</v>
      </c>
      <c r="P1224" s="8">
        <v>48400000000</v>
      </c>
      <c r="Q1224" s="18">
        <f>(Table1[[#This Row],[A. TÀI SẢN NGẮN HẠN]]-Table1[[#This Row],[I. Nợ ngắn hạn]])/Table1[[#This Row],[TỔNG CỘNG TÀI SẢN]]</f>
        <v>0.65212634160687033</v>
      </c>
      <c r="R1224" s="18">
        <f>Table1[[#This Row],[- LNST chưa phân phối kỳ này]]/Table1[[#This Row],[TỔNG CỘNG TÀI SẢN]]</f>
        <v>3.0944014130183582E-2</v>
      </c>
      <c r="S1224" s="21">
        <f>Table1[[#This Row],[5. Lợi nhuận gộp về bán hàng và cung cấp dịch vụ]]/Table1[[#This Row],[TỔNG CỘNG TÀI SẢN]]</f>
        <v>0.15433454460617468</v>
      </c>
      <c r="T122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4.6317258043765417</v>
      </c>
      <c r="U1224" s="23">
        <f>Table1[[#This Row],[1. Doanh thu bán hàng và cung cấp dịch vụ ]]/Table1[[#This Row],[TỔNG CỘNG TÀI SẢN]]</f>
        <v>0.55157839259942776</v>
      </c>
      <c r="V1224" s="23">
        <f>1.2*Table1[[#This Row],[X1]] + 1.4*Table1[[#This Row],[X2]] + 3.3*Table1[[#This Row],[x3]] + 0.6*Table1[[#This Row],[x4]] + 1*Table1[[#This Row],[x5]]</f>
        <v>4.6657911021362306</v>
      </c>
      <c r="W1224" s="23">
        <f>IF(Table1[[#This Row],[Zscore]]&lt;1.81,1,0)</f>
        <v>0</v>
      </c>
    </row>
    <row r="1225" spans="1:23" ht="26.25" hidden="1" x14ac:dyDescent="0.45">
      <c r="A1225" s="7">
        <v>1219</v>
      </c>
      <c r="B1225" s="5" t="s">
        <v>2450</v>
      </c>
      <c r="C1225" s="6" t="s">
        <v>2451</v>
      </c>
      <c r="D1225" s="6" t="s">
        <v>13</v>
      </c>
      <c r="E1225" s="6"/>
      <c r="F1225" s="6"/>
      <c r="G1225" s="6"/>
      <c r="H1225" s="6"/>
      <c r="I1225" s="6"/>
      <c r="J1225" s="8"/>
      <c r="K1225" s="6"/>
      <c r="L1225" s="6"/>
      <c r="M1225" s="8"/>
      <c r="N1225" s="8"/>
      <c r="O1225" s="8"/>
      <c r="P1225" s="8"/>
      <c r="Q1225" s="18" t="e">
        <f>(Table1[[#This Row],[A. TÀI SẢN NGẮN HẠN]]-Table1[[#This Row],[I. Nợ ngắn hạn]])/Table1[[#This Row],[TỔNG CỘNG TÀI SẢN]]</f>
        <v>#DIV/0!</v>
      </c>
      <c r="R1225" s="18" t="e">
        <f>Table1[[#This Row],[- LNST chưa phân phối kỳ này]]/Table1[[#This Row],[TỔNG CỘNG TÀI SẢN]]</f>
        <v>#DIV/0!</v>
      </c>
      <c r="S1225" s="21" t="e">
        <f>Table1[[#This Row],[5. Lợi nhuận gộp về bán hàng và cung cấp dịch vụ]]/Table1[[#This Row],[TỔNG CỘNG TÀI SẢN]]</f>
        <v>#DIV/0!</v>
      </c>
      <c r="T122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225" s="23" t="e">
        <f>Table1[[#This Row],[1. Doanh thu bán hàng và cung cấp dịch vụ ]]/Table1[[#This Row],[TỔNG CỘNG TÀI SẢN]]</f>
        <v>#DIV/0!</v>
      </c>
      <c r="V1225" s="23" t="e">
        <f>1.2*Table1[[#This Row],[X1]] + 1.4*Table1[[#This Row],[X2]] + 3.3*Table1[[#This Row],[x3]] + 0.6*Table1[[#This Row],[x4]] + 1*Table1[[#This Row],[x5]]</f>
        <v>#DIV/0!</v>
      </c>
      <c r="W1225" s="23" t="e">
        <f>IF(Table1[[#This Row],[Zscore]]&lt;1.81,1,0)</f>
        <v>#DIV/0!</v>
      </c>
    </row>
    <row r="1226" spans="1:23" ht="26.25" hidden="1" x14ac:dyDescent="0.45">
      <c r="A1226" s="7">
        <v>1220</v>
      </c>
      <c r="B1226" s="5" t="s">
        <v>2452</v>
      </c>
      <c r="C1226" s="6" t="s">
        <v>2453</v>
      </c>
      <c r="D1226" s="6" t="s">
        <v>13</v>
      </c>
      <c r="E1226" s="6"/>
      <c r="F1226" s="6"/>
      <c r="G1226" s="6"/>
      <c r="H1226" s="6"/>
      <c r="I1226" s="6"/>
      <c r="J1226" s="8"/>
      <c r="K1226" s="6"/>
      <c r="L1226" s="6"/>
      <c r="M1226" s="8"/>
      <c r="N1226" s="8"/>
      <c r="O1226" s="8"/>
      <c r="P1226" s="8"/>
      <c r="Q1226" s="18" t="e">
        <f>(Table1[[#This Row],[A. TÀI SẢN NGẮN HẠN]]-Table1[[#This Row],[I. Nợ ngắn hạn]])/Table1[[#This Row],[TỔNG CỘNG TÀI SẢN]]</f>
        <v>#DIV/0!</v>
      </c>
      <c r="R1226" s="18" t="e">
        <f>Table1[[#This Row],[- LNST chưa phân phối kỳ này]]/Table1[[#This Row],[TỔNG CỘNG TÀI SẢN]]</f>
        <v>#DIV/0!</v>
      </c>
      <c r="S1226" s="21" t="e">
        <f>Table1[[#This Row],[5. Lợi nhuận gộp về bán hàng và cung cấp dịch vụ]]/Table1[[#This Row],[TỔNG CỘNG TÀI SẢN]]</f>
        <v>#DIV/0!</v>
      </c>
      <c r="T122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226" s="23" t="e">
        <f>Table1[[#This Row],[1. Doanh thu bán hàng và cung cấp dịch vụ ]]/Table1[[#This Row],[TỔNG CỘNG TÀI SẢN]]</f>
        <v>#DIV/0!</v>
      </c>
      <c r="V1226" s="23" t="e">
        <f>1.2*Table1[[#This Row],[X1]] + 1.4*Table1[[#This Row],[X2]] + 3.3*Table1[[#This Row],[x3]] + 0.6*Table1[[#This Row],[x4]] + 1*Table1[[#This Row],[x5]]</f>
        <v>#DIV/0!</v>
      </c>
      <c r="W1226" s="23" t="e">
        <f>IF(Table1[[#This Row],[Zscore]]&lt;1.81,1,0)</f>
        <v>#DIV/0!</v>
      </c>
    </row>
    <row r="1227" spans="1:23" ht="26.25" hidden="1" x14ac:dyDescent="0.45">
      <c r="A1227" s="7">
        <v>1221</v>
      </c>
      <c r="B1227" s="5" t="s">
        <v>2454</v>
      </c>
      <c r="C1227" s="6" t="s">
        <v>2455</v>
      </c>
      <c r="D1227" s="6" t="s">
        <v>13</v>
      </c>
      <c r="E1227" s="6"/>
      <c r="F1227" s="6"/>
      <c r="G1227" s="6"/>
      <c r="H1227" s="6"/>
      <c r="I1227" s="6"/>
      <c r="J1227" s="8"/>
      <c r="K1227" s="6"/>
      <c r="L1227" s="6"/>
      <c r="M1227" s="8"/>
      <c r="N1227" s="8"/>
      <c r="O1227" s="8"/>
      <c r="P1227" s="8"/>
      <c r="Q1227" s="18" t="e">
        <f>(Table1[[#This Row],[A. TÀI SẢN NGẮN HẠN]]-Table1[[#This Row],[I. Nợ ngắn hạn]])/Table1[[#This Row],[TỔNG CỘNG TÀI SẢN]]</f>
        <v>#DIV/0!</v>
      </c>
      <c r="R1227" s="18" t="e">
        <f>Table1[[#This Row],[- LNST chưa phân phối kỳ này]]/Table1[[#This Row],[TỔNG CỘNG TÀI SẢN]]</f>
        <v>#DIV/0!</v>
      </c>
      <c r="S1227" s="21" t="e">
        <f>Table1[[#This Row],[5. Lợi nhuận gộp về bán hàng và cung cấp dịch vụ]]/Table1[[#This Row],[TỔNG CỘNG TÀI SẢN]]</f>
        <v>#DIV/0!</v>
      </c>
      <c r="T122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227" s="23" t="e">
        <f>Table1[[#This Row],[1. Doanh thu bán hàng và cung cấp dịch vụ ]]/Table1[[#This Row],[TỔNG CỘNG TÀI SẢN]]</f>
        <v>#DIV/0!</v>
      </c>
      <c r="V1227" s="23" t="e">
        <f>1.2*Table1[[#This Row],[X1]] + 1.4*Table1[[#This Row],[X2]] + 3.3*Table1[[#This Row],[x3]] + 0.6*Table1[[#This Row],[x4]] + 1*Table1[[#This Row],[x5]]</f>
        <v>#DIV/0!</v>
      </c>
      <c r="W1227" s="23" t="e">
        <f>IF(Table1[[#This Row],[Zscore]]&lt;1.81,1,0)</f>
        <v>#DIV/0!</v>
      </c>
    </row>
    <row r="1228" spans="1:23" ht="26.25" hidden="1" x14ac:dyDescent="0.45">
      <c r="A1228" s="7">
        <v>1222</v>
      </c>
      <c r="B1228" s="5" t="s">
        <v>2456</v>
      </c>
      <c r="C1228" s="6" t="s">
        <v>2457</v>
      </c>
      <c r="D1228" s="6" t="s">
        <v>13</v>
      </c>
      <c r="E1228" s="6"/>
      <c r="F1228" s="6"/>
      <c r="G1228" s="6"/>
      <c r="H1228" s="6"/>
      <c r="I1228" s="6"/>
      <c r="J1228" s="8"/>
      <c r="K1228" s="6"/>
      <c r="L1228" s="6"/>
      <c r="M1228" s="8">
        <v>249716424000</v>
      </c>
      <c r="N1228" s="8"/>
      <c r="O1228" s="8">
        <v>218501871000</v>
      </c>
      <c r="P1228" s="8">
        <v>218501871000</v>
      </c>
      <c r="Q1228" s="18" t="e">
        <f>(Table1[[#This Row],[A. TÀI SẢN NGẮN HẠN]]-Table1[[#This Row],[I. Nợ ngắn hạn]])/Table1[[#This Row],[TỔNG CỘNG TÀI SẢN]]</f>
        <v>#DIV/0!</v>
      </c>
      <c r="R1228" s="18" t="e">
        <f>Table1[[#This Row],[- LNST chưa phân phối kỳ này]]/Table1[[#This Row],[TỔNG CỘNG TÀI SẢN]]</f>
        <v>#DIV/0!</v>
      </c>
      <c r="S1228" s="21" t="e">
        <f>Table1[[#This Row],[5. Lợi nhuận gộp về bán hàng và cung cấp dịch vụ]]/Table1[[#This Row],[TỔNG CỘNG TÀI SẢN]]</f>
        <v>#DIV/0!</v>
      </c>
      <c r="T122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228" s="23" t="e">
        <f>Table1[[#This Row],[1. Doanh thu bán hàng và cung cấp dịch vụ ]]/Table1[[#This Row],[TỔNG CỘNG TÀI SẢN]]</f>
        <v>#DIV/0!</v>
      </c>
      <c r="V1228" s="23" t="e">
        <f>1.2*Table1[[#This Row],[X1]] + 1.4*Table1[[#This Row],[X2]] + 3.3*Table1[[#This Row],[x3]] + 0.6*Table1[[#This Row],[x4]] + 1*Table1[[#This Row],[x5]]</f>
        <v>#DIV/0!</v>
      </c>
      <c r="W1228" s="23" t="e">
        <f>IF(Table1[[#This Row],[Zscore]]&lt;1.81,1,0)</f>
        <v>#DIV/0!</v>
      </c>
    </row>
    <row r="1229" spans="1:23" x14ac:dyDescent="0.45">
      <c r="A1229" s="7">
        <v>1223</v>
      </c>
      <c r="B1229" s="5" t="s">
        <v>2458</v>
      </c>
      <c r="C1229" s="6" t="s">
        <v>2459</v>
      </c>
      <c r="D1229" s="6" t="s">
        <v>36</v>
      </c>
      <c r="E1229" s="8">
        <v>1305494183179</v>
      </c>
      <c r="F1229" s="8">
        <v>778799127219</v>
      </c>
      <c r="G1229" s="8">
        <v>463235704106</v>
      </c>
      <c r="H1229" s="8">
        <v>124308331827</v>
      </c>
      <c r="I1229" s="8">
        <v>346072507187</v>
      </c>
      <c r="J1229" s="8"/>
      <c r="K1229" s="8">
        <v>464515704106</v>
      </c>
      <c r="L1229" s="8">
        <v>1804882655519</v>
      </c>
      <c r="M1229" s="8">
        <v>1014514000000</v>
      </c>
      <c r="N1229" s="8">
        <v>1131300000000</v>
      </c>
      <c r="O1229" s="8">
        <v>1050794550000</v>
      </c>
      <c r="P1229" s="8">
        <v>798480720000</v>
      </c>
      <c r="Q1229" s="18">
        <f>(Table1[[#This Row],[A. TÀI SẢN NGẮN HẠN]]-Table1[[#This Row],[I. Nợ ngắn hạn]])/Table1[[#This Row],[TỔNG CỘNG TÀI SẢN]]</f>
        <v>0.24171951677683745</v>
      </c>
      <c r="R1229" s="18">
        <f>Table1[[#This Row],[- LNST chưa phân phối kỳ này]]/Table1[[#This Row],[TỔNG CỘNG TÀI SẢN]]</f>
        <v>9.521936859519177E-2</v>
      </c>
      <c r="S1229" s="21">
        <f>Table1[[#This Row],[5. Lợi nhuận gộp về bán hàng và cung cấp dịch vụ]]/Table1[[#This Row],[TỔNG CỘNG TÀI SẢN]]</f>
        <v>0.26508927549893879</v>
      </c>
      <c r="T122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2.1501368170581494</v>
      </c>
      <c r="U1229" s="23">
        <f>Table1[[#This Row],[1. Doanh thu bán hàng và cung cấp dịch vụ ]]/Table1[[#This Row],[TỔNG CỘNG TÀI SẢN]]</f>
        <v>1.3825283013700931</v>
      </c>
      <c r="V1229" s="23">
        <f>1.2*Table1[[#This Row],[X1]] + 1.4*Table1[[#This Row],[X2]] + 3.3*Table1[[#This Row],[x3]] + 0.6*Table1[[#This Row],[x4]] + 1*Table1[[#This Row],[x5]]</f>
        <v>3.9707755369169542</v>
      </c>
      <c r="W1229" s="23">
        <f>IF(Table1[[#This Row],[Zscore]]&lt;1.81,1,0)</f>
        <v>0</v>
      </c>
    </row>
    <row r="1230" spans="1:23" hidden="1" x14ac:dyDescent="0.45">
      <c r="A1230" s="7">
        <v>1224</v>
      </c>
      <c r="B1230" s="5" t="s">
        <v>2460</v>
      </c>
      <c r="C1230" s="6" t="s">
        <v>2461</v>
      </c>
      <c r="D1230" s="6" t="s">
        <v>13</v>
      </c>
      <c r="E1230" s="6"/>
      <c r="F1230" s="6"/>
      <c r="G1230" s="6"/>
      <c r="H1230" s="6"/>
      <c r="I1230" s="6"/>
      <c r="J1230" s="8"/>
      <c r="K1230" s="6"/>
      <c r="L1230" s="6"/>
      <c r="M1230" s="8"/>
      <c r="N1230" s="8"/>
      <c r="O1230" s="8"/>
      <c r="P1230" s="8"/>
      <c r="Q1230" s="18" t="e">
        <f>(Table1[[#This Row],[A. TÀI SẢN NGẮN HẠN]]-Table1[[#This Row],[I. Nợ ngắn hạn]])/Table1[[#This Row],[TỔNG CỘNG TÀI SẢN]]</f>
        <v>#DIV/0!</v>
      </c>
      <c r="R1230" s="18" t="e">
        <f>Table1[[#This Row],[- LNST chưa phân phối kỳ này]]/Table1[[#This Row],[TỔNG CỘNG TÀI SẢN]]</f>
        <v>#DIV/0!</v>
      </c>
      <c r="S1230" s="21" t="e">
        <f>Table1[[#This Row],[5. Lợi nhuận gộp về bán hàng và cung cấp dịch vụ]]/Table1[[#This Row],[TỔNG CỘNG TÀI SẢN]]</f>
        <v>#DIV/0!</v>
      </c>
      <c r="T123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230" s="23" t="e">
        <f>Table1[[#This Row],[1. Doanh thu bán hàng và cung cấp dịch vụ ]]/Table1[[#This Row],[TỔNG CỘNG TÀI SẢN]]</f>
        <v>#DIV/0!</v>
      </c>
      <c r="V1230" s="23" t="e">
        <f>1.2*Table1[[#This Row],[X1]] + 1.4*Table1[[#This Row],[X2]] + 3.3*Table1[[#This Row],[x3]] + 0.6*Table1[[#This Row],[x4]] + 1*Table1[[#This Row],[x5]]</f>
        <v>#DIV/0!</v>
      </c>
      <c r="W1230" s="23" t="e">
        <f>IF(Table1[[#This Row],[Zscore]]&lt;1.81,1,0)</f>
        <v>#DIV/0!</v>
      </c>
    </row>
    <row r="1231" spans="1:23" ht="26.25" hidden="1" x14ac:dyDescent="0.45">
      <c r="A1231" s="7">
        <v>1225</v>
      </c>
      <c r="B1231" s="5" t="s">
        <v>2462</v>
      </c>
      <c r="C1231" s="6" t="s">
        <v>2463</v>
      </c>
      <c r="D1231" s="6" t="s">
        <v>13</v>
      </c>
      <c r="E1231" s="6"/>
      <c r="F1231" s="6"/>
      <c r="G1231" s="6"/>
      <c r="H1231" s="6"/>
      <c r="I1231" s="6"/>
      <c r="J1231" s="8"/>
      <c r="K1231" s="6"/>
      <c r="L1231" s="6"/>
      <c r="M1231" s="8"/>
      <c r="N1231" s="8"/>
      <c r="O1231" s="8"/>
      <c r="P1231" s="8"/>
      <c r="Q1231" s="18" t="e">
        <f>(Table1[[#This Row],[A. TÀI SẢN NGẮN HẠN]]-Table1[[#This Row],[I. Nợ ngắn hạn]])/Table1[[#This Row],[TỔNG CỘNG TÀI SẢN]]</f>
        <v>#DIV/0!</v>
      </c>
      <c r="R1231" s="18" t="e">
        <f>Table1[[#This Row],[- LNST chưa phân phối kỳ này]]/Table1[[#This Row],[TỔNG CỘNG TÀI SẢN]]</f>
        <v>#DIV/0!</v>
      </c>
      <c r="S1231" s="21" t="e">
        <f>Table1[[#This Row],[5. Lợi nhuận gộp về bán hàng và cung cấp dịch vụ]]/Table1[[#This Row],[TỔNG CỘNG TÀI SẢN]]</f>
        <v>#DIV/0!</v>
      </c>
      <c r="T123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231" s="23" t="e">
        <f>Table1[[#This Row],[1. Doanh thu bán hàng và cung cấp dịch vụ ]]/Table1[[#This Row],[TỔNG CỘNG TÀI SẢN]]</f>
        <v>#DIV/0!</v>
      </c>
      <c r="V1231" s="23" t="e">
        <f>1.2*Table1[[#This Row],[X1]] + 1.4*Table1[[#This Row],[X2]] + 3.3*Table1[[#This Row],[x3]] + 0.6*Table1[[#This Row],[x4]] + 1*Table1[[#This Row],[x5]]</f>
        <v>#DIV/0!</v>
      </c>
      <c r="W1231" s="23" t="e">
        <f>IF(Table1[[#This Row],[Zscore]]&lt;1.81,1,0)</f>
        <v>#DIV/0!</v>
      </c>
    </row>
    <row r="1232" spans="1:23" hidden="1" x14ac:dyDescent="0.45">
      <c r="A1232" s="7">
        <v>1226</v>
      </c>
      <c r="B1232" s="5" t="s">
        <v>2464</v>
      </c>
      <c r="C1232" s="6" t="s">
        <v>2465</v>
      </c>
      <c r="D1232" s="6" t="s">
        <v>13</v>
      </c>
      <c r="E1232" s="6"/>
      <c r="F1232" s="6"/>
      <c r="G1232" s="6"/>
      <c r="H1232" s="6"/>
      <c r="I1232" s="6"/>
      <c r="J1232" s="8"/>
      <c r="K1232" s="6"/>
      <c r="L1232" s="6"/>
      <c r="M1232" s="8"/>
      <c r="N1232" s="8"/>
      <c r="O1232" s="8"/>
      <c r="P1232" s="8"/>
      <c r="Q1232" s="18" t="e">
        <f>(Table1[[#This Row],[A. TÀI SẢN NGẮN HẠN]]-Table1[[#This Row],[I. Nợ ngắn hạn]])/Table1[[#This Row],[TỔNG CỘNG TÀI SẢN]]</f>
        <v>#DIV/0!</v>
      </c>
      <c r="R1232" s="18" t="e">
        <f>Table1[[#This Row],[- LNST chưa phân phối kỳ này]]/Table1[[#This Row],[TỔNG CỘNG TÀI SẢN]]</f>
        <v>#DIV/0!</v>
      </c>
      <c r="S1232" s="21" t="e">
        <f>Table1[[#This Row],[5. Lợi nhuận gộp về bán hàng và cung cấp dịch vụ]]/Table1[[#This Row],[TỔNG CỘNG TÀI SẢN]]</f>
        <v>#DIV/0!</v>
      </c>
      <c r="T123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232" s="23" t="e">
        <f>Table1[[#This Row],[1. Doanh thu bán hàng và cung cấp dịch vụ ]]/Table1[[#This Row],[TỔNG CỘNG TÀI SẢN]]</f>
        <v>#DIV/0!</v>
      </c>
      <c r="V1232" s="23" t="e">
        <f>1.2*Table1[[#This Row],[X1]] + 1.4*Table1[[#This Row],[X2]] + 3.3*Table1[[#This Row],[x3]] + 0.6*Table1[[#This Row],[x4]] + 1*Table1[[#This Row],[x5]]</f>
        <v>#DIV/0!</v>
      </c>
      <c r="W1232" s="23" t="e">
        <f>IF(Table1[[#This Row],[Zscore]]&lt;1.81,1,0)</f>
        <v>#DIV/0!</v>
      </c>
    </row>
    <row r="1233" spans="1:23" hidden="1" x14ac:dyDescent="0.45">
      <c r="A1233" s="7">
        <v>1227</v>
      </c>
      <c r="B1233" s="5" t="s">
        <v>2466</v>
      </c>
      <c r="C1233" s="6" t="s">
        <v>2467</v>
      </c>
      <c r="D1233" s="6" t="s">
        <v>13</v>
      </c>
      <c r="E1233" s="6"/>
      <c r="F1233" s="6"/>
      <c r="G1233" s="6"/>
      <c r="H1233" s="6"/>
      <c r="I1233" s="6"/>
      <c r="J1233" s="8"/>
      <c r="K1233" s="6"/>
      <c r="L1233" s="6"/>
      <c r="M1233" s="8"/>
      <c r="N1233" s="8"/>
      <c r="O1233" s="8"/>
      <c r="P1233" s="8"/>
      <c r="Q1233" s="18" t="e">
        <f>(Table1[[#This Row],[A. TÀI SẢN NGẮN HẠN]]-Table1[[#This Row],[I. Nợ ngắn hạn]])/Table1[[#This Row],[TỔNG CỘNG TÀI SẢN]]</f>
        <v>#DIV/0!</v>
      </c>
      <c r="R1233" s="18" t="e">
        <f>Table1[[#This Row],[- LNST chưa phân phối kỳ này]]/Table1[[#This Row],[TỔNG CỘNG TÀI SẢN]]</f>
        <v>#DIV/0!</v>
      </c>
      <c r="S1233" s="21" t="e">
        <f>Table1[[#This Row],[5. Lợi nhuận gộp về bán hàng và cung cấp dịch vụ]]/Table1[[#This Row],[TỔNG CỘNG TÀI SẢN]]</f>
        <v>#DIV/0!</v>
      </c>
      <c r="T123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233" s="23" t="e">
        <f>Table1[[#This Row],[1. Doanh thu bán hàng và cung cấp dịch vụ ]]/Table1[[#This Row],[TỔNG CỘNG TÀI SẢN]]</f>
        <v>#DIV/0!</v>
      </c>
      <c r="V1233" s="23" t="e">
        <f>1.2*Table1[[#This Row],[X1]] + 1.4*Table1[[#This Row],[X2]] + 3.3*Table1[[#This Row],[x3]] + 0.6*Table1[[#This Row],[x4]] + 1*Table1[[#This Row],[x5]]</f>
        <v>#DIV/0!</v>
      </c>
      <c r="W1233" s="23" t="e">
        <f>IF(Table1[[#This Row],[Zscore]]&lt;1.81,1,0)</f>
        <v>#DIV/0!</v>
      </c>
    </row>
    <row r="1234" spans="1:23" ht="26.25" hidden="1" x14ac:dyDescent="0.45">
      <c r="A1234" s="7">
        <v>1228</v>
      </c>
      <c r="B1234" s="5" t="s">
        <v>2468</v>
      </c>
      <c r="C1234" s="6" t="s">
        <v>2469</v>
      </c>
      <c r="D1234" s="6" t="s">
        <v>13</v>
      </c>
      <c r="E1234" s="6"/>
      <c r="F1234" s="6"/>
      <c r="G1234" s="6"/>
      <c r="H1234" s="6"/>
      <c r="I1234" s="6"/>
      <c r="J1234" s="8"/>
      <c r="K1234" s="6"/>
      <c r="L1234" s="6"/>
      <c r="M1234" s="8"/>
      <c r="N1234" s="8"/>
      <c r="O1234" s="8"/>
      <c r="P1234" s="8"/>
      <c r="Q1234" s="18" t="e">
        <f>(Table1[[#This Row],[A. TÀI SẢN NGẮN HẠN]]-Table1[[#This Row],[I. Nợ ngắn hạn]])/Table1[[#This Row],[TỔNG CỘNG TÀI SẢN]]</f>
        <v>#DIV/0!</v>
      </c>
      <c r="R1234" s="18" t="e">
        <f>Table1[[#This Row],[- LNST chưa phân phối kỳ này]]/Table1[[#This Row],[TỔNG CỘNG TÀI SẢN]]</f>
        <v>#DIV/0!</v>
      </c>
      <c r="S1234" s="21" t="e">
        <f>Table1[[#This Row],[5. Lợi nhuận gộp về bán hàng và cung cấp dịch vụ]]/Table1[[#This Row],[TỔNG CỘNG TÀI SẢN]]</f>
        <v>#DIV/0!</v>
      </c>
      <c r="T123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234" s="23" t="e">
        <f>Table1[[#This Row],[1. Doanh thu bán hàng và cung cấp dịch vụ ]]/Table1[[#This Row],[TỔNG CỘNG TÀI SẢN]]</f>
        <v>#DIV/0!</v>
      </c>
      <c r="V1234" s="23" t="e">
        <f>1.2*Table1[[#This Row],[X1]] + 1.4*Table1[[#This Row],[X2]] + 3.3*Table1[[#This Row],[x3]] + 0.6*Table1[[#This Row],[x4]] + 1*Table1[[#This Row],[x5]]</f>
        <v>#DIV/0!</v>
      </c>
      <c r="W1234" s="23" t="e">
        <f>IF(Table1[[#This Row],[Zscore]]&lt;1.81,1,0)</f>
        <v>#DIV/0!</v>
      </c>
    </row>
    <row r="1235" spans="1:23" hidden="1" x14ac:dyDescent="0.45">
      <c r="A1235" s="7">
        <v>1229</v>
      </c>
      <c r="B1235" s="5" t="s">
        <v>2470</v>
      </c>
      <c r="C1235" s="6" t="s">
        <v>2471</v>
      </c>
      <c r="D1235" s="6" t="s">
        <v>13</v>
      </c>
      <c r="E1235" s="6"/>
      <c r="F1235" s="6"/>
      <c r="G1235" s="6"/>
      <c r="H1235" s="6"/>
      <c r="I1235" s="6"/>
      <c r="J1235" s="8"/>
      <c r="K1235" s="6"/>
      <c r="L1235" s="6"/>
      <c r="M1235" s="8"/>
      <c r="N1235" s="8"/>
      <c r="O1235" s="8"/>
      <c r="P1235" s="8"/>
      <c r="Q1235" s="18" t="e">
        <f>(Table1[[#This Row],[A. TÀI SẢN NGẮN HẠN]]-Table1[[#This Row],[I. Nợ ngắn hạn]])/Table1[[#This Row],[TỔNG CỘNG TÀI SẢN]]</f>
        <v>#DIV/0!</v>
      </c>
      <c r="R1235" s="18" t="e">
        <f>Table1[[#This Row],[- LNST chưa phân phối kỳ này]]/Table1[[#This Row],[TỔNG CỘNG TÀI SẢN]]</f>
        <v>#DIV/0!</v>
      </c>
      <c r="S1235" s="21" t="e">
        <f>Table1[[#This Row],[5. Lợi nhuận gộp về bán hàng và cung cấp dịch vụ]]/Table1[[#This Row],[TỔNG CỘNG TÀI SẢN]]</f>
        <v>#DIV/0!</v>
      </c>
      <c r="T123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235" s="23" t="e">
        <f>Table1[[#This Row],[1. Doanh thu bán hàng và cung cấp dịch vụ ]]/Table1[[#This Row],[TỔNG CỘNG TÀI SẢN]]</f>
        <v>#DIV/0!</v>
      </c>
      <c r="V1235" s="23" t="e">
        <f>1.2*Table1[[#This Row],[X1]] + 1.4*Table1[[#This Row],[X2]] + 3.3*Table1[[#This Row],[x3]] + 0.6*Table1[[#This Row],[x4]] + 1*Table1[[#This Row],[x5]]</f>
        <v>#DIV/0!</v>
      </c>
      <c r="W1235" s="23" t="e">
        <f>IF(Table1[[#This Row],[Zscore]]&lt;1.81,1,0)</f>
        <v>#DIV/0!</v>
      </c>
    </row>
    <row r="1236" spans="1:23" hidden="1" x14ac:dyDescent="0.45">
      <c r="A1236" s="7">
        <v>1230</v>
      </c>
      <c r="B1236" s="5" t="s">
        <v>2472</v>
      </c>
      <c r="C1236" s="6" t="s">
        <v>2473</v>
      </c>
      <c r="D1236" s="6" t="s">
        <v>13</v>
      </c>
      <c r="E1236" s="6"/>
      <c r="F1236" s="6"/>
      <c r="G1236" s="6"/>
      <c r="H1236" s="6"/>
      <c r="I1236" s="6"/>
      <c r="J1236" s="8"/>
      <c r="K1236" s="6"/>
      <c r="L1236" s="6"/>
      <c r="M1236" s="8"/>
      <c r="N1236" s="8"/>
      <c r="O1236" s="8"/>
      <c r="P1236" s="8"/>
      <c r="Q1236" s="18" t="e">
        <f>(Table1[[#This Row],[A. TÀI SẢN NGẮN HẠN]]-Table1[[#This Row],[I. Nợ ngắn hạn]])/Table1[[#This Row],[TỔNG CỘNG TÀI SẢN]]</f>
        <v>#DIV/0!</v>
      </c>
      <c r="R1236" s="18" t="e">
        <f>Table1[[#This Row],[- LNST chưa phân phối kỳ này]]/Table1[[#This Row],[TỔNG CỘNG TÀI SẢN]]</f>
        <v>#DIV/0!</v>
      </c>
      <c r="S1236" s="21" t="e">
        <f>Table1[[#This Row],[5. Lợi nhuận gộp về bán hàng và cung cấp dịch vụ]]/Table1[[#This Row],[TỔNG CỘNG TÀI SẢN]]</f>
        <v>#DIV/0!</v>
      </c>
      <c r="T123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236" s="23" t="e">
        <f>Table1[[#This Row],[1. Doanh thu bán hàng và cung cấp dịch vụ ]]/Table1[[#This Row],[TỔNG CỘNG TÀI SẢN]]</f>
        <v>#DIV/0!</v>
      </c>
      <c r="V1236" s="23" t="e">
        <f>1.2*Table1[[#This Row],[X1]] + 1.4*Table1[[#This Row],[X2]] + 3.3*Table1[[#This Row],[x3]] + 0.6*Table1[[#This Row],[x4]] + 1*Table1[[#This Row],[x5]]</f>
        <v>#DIV/0!</v>
      </c>
      <c r="W1236" s="23" t="e">
        <f>IF(Table1[[#This Row],[Zscore]]&lt;1.81,1,0)</f>
        <v>#DIV/0!</v>
      </c>
    </row>
    <row r="1237" spans="1:23" hidden="1" x14ac:dyDescent="0.45">
      <c r="A1237" s="7">
        <v>1231</v>
      </c>
      <c r="B1237" s="5" t="s">
        <v>2474</v>
      </c>
      <c r="C1237" s="6" t="s">
        <v>2475</v>
      </c>
      <c r="D1237" s="6" t="s">
        <v>13</v>
      </c>
      <c r="E1237" s="6"/>
      <c r="F1237" s="6"/>
      <c r="G1237" s="6"/>
      <c r="H1237" s="6"/>
      <c r="I1237" s="6"/>
      <c r="J1237" s="8"/>
      <c r="K1237" s="6"/>
      <c r="L1237" s="6"/>
      <c r="M1237" s="8"/>
      <c r="N1237" s="8"/>
      <c r="O1237" s="8"/>
      <c r="P1237" s="8"/>
      <c r="Q1237" s="18" t="e">
        <f>(Table1[[#This Row],[A. TÀI SẢN NGẮN HẠN]]-Table1[[#This Row],[I. Nợ ngắn hạn]])/Table1[[#This Row],[TỔNG CỘNG TÀI SẢN]]</f>
        <v>#DIV/0!</v>
      </c>
      <c r="R1237" s="18" t="e">
        <f>Table1[[#This Row],[- LNST chưa phân phối kỳ này]]/Table1[[#This Row],[TỔNG CỘNG TÀI SẢN]]</f>
        <v>#DIV/0!</v>
      </c>
      <c r="S1237" s="21" t="e">
        <f>Table1[[#This Row],[5. Lợi nhuận gộp về bán hàng và cung cấp dịch vụ]]/Table1[[#This Row],[TỔNG CỘNG TÀI SẢN]]</f>
        <v>#DIV/0!</v>
      </c>
      <c r="T123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237" s="23" t="e">
        <f>Table1[[#This Row],[1. Doanh thu bán hàng và cung cấp dịch vụ ]]/Table1[[#This Row],[TỔNG CỘNG TÀI SẢN]]</f>
        <v>#DIV/0!</v>
      </c>
      <c r="V1237" s="23" t="e">
        <f>1.2*Table1[[#This Row],[X1]] + 1.4*Table1[[#This Row],[X2]] + 3.3*Table1[[#This Row],[x3]] + 0.6*Table1[[#This Row],[x4]] + 1*Table1[[#This Row],[x5]]</f>
        <v>#DIV/0!</v>
      </c>
      <c r="W1237" s="23" t="e">
        <f>IF(Table1[[#This Row],[Zscore]]&lt;1.81,1,0)</f>
        <v>#DIV/0!</v>
      </c>
    </row>
    <row r="1238" spans="1:23" hidden="1" x14ac:dyDescent="0.45">
      <c r="A1238" s="7">
        <v>1232</v>
      </c>
      <c r="B1238" s="5" t="s">
        <v>2476</v>
      </c>
      <c r="C1238" s="6" t="s">
        <v>2477</v>
      </c>
      <c r="D1238" s="6" t="s">
        <v>13</v>
      </c>
      <c r="E1238" s="6"/>
      <c r="F1238" s="6"/>
      <c r="G1238" s="6"/>
      <c r="H1238" s="6"/>
      <c r="I1238" s="6"/>
      <c r="J1238" s="8"/>
      <c r="K1238" s="6"/>
      <c r="L1238" s="6"/>
      <c r="M1238" s="8"/>
      <c r="N1238" s="8"/>
      <c r="O1238" s="8"/>
      <c r="P1238" s="8"/>
      <c r="Q1238" s="18" t="e">
        <f>(Table1[[#This Row],[A. TÀI SẢN NGẮN HẠN]]-Table1[[#This Row],[I. Nợ ngắn hạn]])/Table1[[#This Row],[TỔNG CỘNG TÀI SẢN]]</f>
        <v>#DIV/0!</v>
      </c>
      <c r="R1238" s="18" t="e">
        <f>Table1[[#This Row],[- LNST chưa phân phối kỳ này]]/Table1[[#This Row],[TỔNG CỘNG TÀI SẢN]]</f>
        <v>#DIV/0!</v>
      </c>
      <c r="S1238" s="21" t="e">
        <f>Table1[[#This Row],[5. Lợi nhuận gộp về bán hàng và cung cấp dịch vụ]]/Table1[[#This Row],[TỔNG CỘNG TÀI SẢN]]</f>
        <v>#DIV/0!</v>
      </c>
      <c r="T123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238" s="23" t="e">
        <f>Table1[[#This Row],[1. Doanh thu bán hàng và cung cấp dịch vụ ]]/Table1[[#This Row],[TỔNG CỘNG TÀI SẢN]]</f>
        <v>#DIV/0!</v>
      </c>
      <c r="V1238" s="23" t="e">
        <f>1.2*Table1[[#This Row],[X1]] + 1.4*Table1[[#This Row],[X2]] + 3.3*Table1[[#This Row],[x3]] + 0.6*Table1[[#This Row],[x4]] + 1*Table1[[#This Row],[x5]]</f>
        <v>#DIV/0!</v>
      </c>
      <c r="W1238" s="23" t="e">
        <f>IF(Table1[[#This Row],[Zscore]]&lt;1.81,1,0)</f>
        <v>#DIV/0!</v>
      </c>
    </row>
    <row r="1239" spans="1:23" hidden="1" x14ac:dyDescent="0.45">
      <c r="A1239" s="7">
        <v>1233</v>
      </c>
      <c r="B1239" s="5" t="s">
        <v>2478</v>
      </c>
      <c r="C1239" s="6" t="s">
        <v>2479</v>
      </c>
      <c r="D1239" s="6" t="s">
        <v>13</v>
      </c>
      <c r="E1239" s="6"/>
      <c r="F1239" s="6"/>
      <c r="G1239" s="6"/>
      <c r="H1239" s="6"/>
      <c r="I1239" s="6"/>
      <c r="J1239" s="8"/>
      <c r="K1239" s="6"/>
      <c r="L1239" s="6"/>
      <c r="M1239" s="8"/>
      <c r="N1239" s="8"/>
      <c r="O1239" s="8"/>
      <c r="P1239" s="8"/>
      <c r="Q1239" s="18" t="e">
        <f>(Table1[[#This Row],[A. TÀI SẢN NGẮN HẠN]]-Table1[[#This Row],[I. Nợ ngắn hạn]])/Table1[[#This Row],[TỔNG CỘNG TÀI SẢN]]</f>
        <v>#DIV/0!</v>
      </c>
      <c r="R1239" s="18" t="e">
        <f>Table1[[#This Row],[- LNST chưa phân phối kỳ này]]/Table1[[#This Row],[TỔNG CỘNG TÀI SẢN]]</f>
        <v>#DIV/0!</v>
      </c>
      <c r="S1239" s="21" t="e">
        <f>Table1[[#This Row],[5. Lợi nhuận gộp về bán hàng và cung cấp dịch vụ]]/Table1[[#This Row],[TỔNG CỘNG TÀI SẢN]]</f>
        <v>#DIV/0!</v>
      </c>
      <c r="T123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239" s="23" t="e">
        <f>Table1[[#This Row],[1. Doanh thu bán hàng và cung cấp dịch vụ ]]/Table1[[#This Row],[TỔNG CỘNG TÀI SẢN]]</f>
        <v>#DIV/0!</v>
      </c>
      <c r="V1239" s="23" t="e">
        <f>1.2*Table1[[#This Row],[X1]] + 1.4*Table1[[#This Row],[X2]] + 3.3*Table1[[#This Row],[x3]] + 0.6*Table1[[#This Row],[x4]] + 1*Table1[[#This Row],[x5]]</f>
        <v>#DIV/0!</v>
      </c>
      <c r="W1239" s="23" t="e">
        <f>IF(Table1[[#This Row],[Zscore]]&lt;1.81,1,0)</f>
        <v>#DIV/0!</v>
      </c>
    </row>
    <row r="1240" spans="1:23" hidden="1" x14ac:dyDescent="0.45">
      <c r="A1240" s="7">
        <v>1234</v>
      </c>
      <c r="B1240" s="5" t="s">
        <v>2480</v>
      </c>
      <c r="C1240" s="6" t="s">
        <v>2481</v>
      </c>
      <c r="D1240" s="6" t="s">
        <v>13</v>
      </c>
      <c r="E1240" s="6"/>
      <c r="F1240" s="6"/>
      <c r="G1240" s="6"/>
      <c r="H1240" s="6"/>
      <c r="I1240" s="6"/>
      <c r="J1240" s="8"/>
      <c r="K1240" s="6"/>
      <c r="L1240" s="6"/>
      <c r="M1240" s="8"/>
      <c r="N1240" s="8"/>
      <c r="O1240" s="8"/>
      <c r="P1240" s="8"/>
      <c r="Q1240" s="18" t="e">
        <f>(Table1[[#This Row],[A. TÀI SẢN NGẮN HẠN]]-Table1[[#This Row],[I. Nợ ngắn hạn]])/Table1[[#This Row],[TỔNG CỘNG TÀI SẢN]]</f>
        <v>#DIV/0!</v>
      </c>
      <c r="R1240" s="18" t="e">
        <f>Table1[[#This Row],[- LNST chưa phân phối kỳ này]]/Table1[[#This Row],[TỔNG CỘNG TÀI SẢN]]</f>
        <v>#DIV/0!</v>
      </c>
      <c r="S1240" s="21" t="e">
        <f>Table1[[#This Row],[5. Lợi nhuận gộp về bán hàng và cung cấp dịch vụ]]/Table1[[#This Row],[TỔNG CỘNG TÀI SẢN]]</f>
        <v>#DIV/0!</v>
      </c>
      <c r="T124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240" s="23" t="e">
        <f>Table1[[#This Row],[1. Doanh thu bán hàng và cung cấp dịch vụ ]]/Table1[[#This Row],[TỔNG CỘNG TÀI SẢN]]</f>
        <v>#DIV/0!</v>
      </c>
      <c r="V1240" s="23" t="e">
        <f>1.2*Table1[[#This Row],[X1]] + 1.4*Table1[[#This Row],[X2]] + 3.3*Table1[[#This Row],[x3]] + 0.6*Table1[[#This Row],[x4]] + 1*Table1[[#This Row],[x5]]</f>
        <v>#DIV/0!</v>
      </c>
      <c r="W1240" s="23" t="e">
        <f>IF(Table1[[#This Row],[Zscore]]&lt;1.81,1,0)</f>
        <v>#DIV/0!</v>
      </c>
    </row>
    <row r="1241" spans="1:23" ht="26.25" hidden="1" x14ac:dyDescent="0.45">
      <c r="A1241" s="7">
        <v>1235</v>
      </c>
      <c r="B1241" s="5" t="s">
        <v>2482</v>
      </c>
      <c r="C1241" s="6" t="s">
        <v>2483</v>
      </c>
      <c r="D1241" s="6" t="s">
        <v>13</v>
      </c>
      <c r="E1241" s="6"/>
      <c r="F1241" s="6"/>
      <c r="G1241" s="6"/>
      <c r="H1241" s="6"/>
      <c r="I1241" s="6"/>
      <c r="J1241" s="8"/>
      <c r="K1241" s="6"/>
      <c r="L1241" s="6"/>
      <c r="M1241" s="8"/>
      <c r="N1241" s="8"/>
      <c r="O1241" s="8"/>
      <c r="P1241" s="8"/>
      <c r="Q1241" s="18" t="e">
        <f>(Table1[[#This Row],[A. TÀI SẢN NGẮN HẠN]]-Table1[[#This Row],[I. Nợ ngắn hạn]])/Table1[[#This Row],[TỔNG CỘNG TÀI SẢN]]</f>
        <v>#DIV/0!</v>
      </c>
      <c r="R1241" s="18" t="e">
        <f>Table1[[#This Row],[- LNST chưa phân phối kỳ này]]/Table1[[#This Row],[TỔNG CỘNG TÀI SẢN]]</f>
        <v>#DIV/0!</v>
      </c>
      <c r="S1241" s="21" t="e">
        <f>Table1[[#This Row],[5. Lợi nhuận gộp về bán hàng và cung cấp dịch vụ]]/Table1[[#This Row],[TỔNG CỘNG TÀI SẢN]]</f>
        <v>#DIV/0!</v>
      </c>
      <c r="T124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241" s="23" t="e">
        <f>Table1[[#This Row],[1. Doanh thu bán hàng và cung cấp dịch vụ ]]/Table1[[#This Row],[TỔNG CỘNG TÀI SẢN]]</f>
        <v>#DIV/0!</v>
      </c>
      <c r="V1241" s="23" t="e">
        <f>1.2*Table1[[#This Row],[X1]] + 1.4*Table1[[#This Row],[X2]] + 3.3*Table1[[#This Row],[x3]] + 0.6*Table1[[#This Row],[x4]] + 1*Table1[[#This Row],[x5]]</f>
        <v>#DIV/0!</v>
      </c>
      <c r="W1241" s="23" t="e">
        <f>IF(Table1[[#This Row],[Zscore]]&lt;1.81,1,0)</f>
        <v>#DIV/0!</v>
      </c>
    </row>
    <row r="1242" spans="1:23" x14ac:dyDescent="0.45">
      <c r="A1242" s="7">
        <v>1236</v>
      </c>
      <c r="B1242" s="5" t="s">
        <v>2484</v>
      </c>
      <c r="C1242" s="6" t="s">
        <v>2485</v>
      </c>
      <c r="D1242" s="6" t="s">
        <v>36</v>
      </c>
      <c r="E1242" s="8">
        <v>11233207149807</v>
      </c>
      <c r="F1242" s="8">
        <v>2758389356170</v>
      </c>
      <c r="G1242" s="8">
        <v>609405051465</v>
      </c>
      <c r="H1242" s="8">
        <v>450265777426</v>
      </c>
      <c r="I1242" s="8">
        <v>285421726948</v>
      </c>
      <c r="J1242" s="8"/>
      <c r="K1242" s="8">
        <v>6331640019439</v>
      </c>
      <c r="L1242" s="8">
        <v>590053393494</v>
      </c>
      <c r="M1242" s="8">
        <v>3015084427500</v>
      </c>
      <c r="N1242" s="8">
        <v>4041496147500</v>
      </c>
      <c r="O1242" s="8">
        <v>2950933695000</v>
      </c>
      <c r="P1242" s="8">
        <v>4405016965000</v>
      </c>
      <c r="Q1242" s="18">
        <f>(Table1[[#This Row],[A. TÀI SẢN NGẮN HẠN]]-Table1[[#This Row],[I. Nợ ngắn hạn]])/Table1[[#This Row],[TỔNG CỘNG TÀI SẢN]]</f>
        <v>0.19130638971096711</v>
      </c>
      <c r="R1242" s="18">
        <f>Table1[[#This Row],[- LNST chưa phân phối kỳ này]]/Table1[[#This Row],[TỔNG CỘNG TÀI SẢN]]</f>
        <v>4.0083457148187292E-2</v>
      </c>
      <c r="S1242" s="21">
        <f>Table1[[#This Row],[5. Lợi nhuận gộp về bán hàng và cung cấp dịch vụ]]/Table1[[#This Row],[TỔNG CỘNG TÀI SẢN]]</f>
        <v>2.5408747754901314E-2</v>
      </c>
      <c r="T124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0.56906785567213081</v>
      </c>
      <c r="U1242" s="23">
        <f>Table1[[#This Row],[1. Doanh thu bán hàng và cung cấp dịch vụ ]]/Table1[[#This Row],[TỔNG CỘNG TÀI SẢN]]</f>
        <v>5.2527598363049668E-2</v>
      </c>
      <c r="V1242" s="23">
        <f>1.2*Table1[[#This Row],[X1]] + 1.4*Table1[[#This Row],[X2]] + 3.3*Table1[[#This Row],[x3]] + 0.6*Table1[[#This Row],[x4]] + 1*Table1[[#This Row],[x5]]</f>
        <v>0.76350168701812515</v>
      </c>
      <c r="W1242" s="23">
        <f>IF(Table1[[#This Row],[Zscore]]&lt;1.81,1,0)</f>
        <v>1</v>
      </c>
    </row>
    <row r="1243" spans="1:23" ht="26.25" hidden="1" x14ac:dyDescent="0.45">
      <c r="A1243" s="7">
        <v>1237</v>
      </c>
      <c r="B1243" s="5" t="s">
        <v>2486</v>
      </c>
      <c r="C1243" s="6" t="s">
        <v>2487</v>
      </c>
      <c r="D1243" s="6" t="s">
        <v>13</v>
      </c>
      <c r="E1243" s="6"/>
      <c r="F1243" s="6"/>
      <c r="G1243" s="6"/>
      <c r="H1243" s="6"/>
      <c r="I1243" s="6"/>
      <c r="J1243" s="8"/>
      <c r="K1243" s="6"/>
      <c r="L1243" s="6"/>
      <c r="M1243" s="8"/>
      <c r="N1243" s="8"/>
      <c r="O1243" s="8"/>
      <c r="P1243" s="8"/>
      <c r="Q1243" s="18" t="e">
        <f>(Table1[[#This Row],[A. TÀI SẢN NGẮN HẠN]]-Table1[[#This Row],[I. Nợ ngắn hạn]])/Table1[[#This Row],[TỔNG CỘNG TÀI SẢN]]</f>
        <v>#DIV/0!</v>
      </c>
      <c r="R1243" s="18" t="e">
        <f>Table1[[#This Row],[- LNST chưa phân phối kỳ này]]/Table1[[#This Row],[TỔNG CỘNG TÀI SẢN]]</f>
        <v>#DIV/0!</v>
      </c>
      <c r="S1243" s="21" t="e">
        <f>Table1[[#This Row],[5. Lợi nhuận gộp về bán hàng và cung cấp dịch vụ]]/Table1[[#This Row],[TỔNG CỘNG TÀI SẢN]]</f>
        <v>#DIV/0!</v>
      </c>
      <c r="T124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243" s="23" t="e">
        <f>Table1[[#This Row],[1. Doanh thu bán hàng và cung cấp dịch vụ ]]/Table1[[#This Row],[TỔNG CỘNG TÀI SẢN]]</f>
        <v>#DIV/0!</v>
      </c>
      <c r="V1243" s="23" t="e">
        <f>1.2*Table1[[#This Row],[X1]] + 1.4*Table1[[#This Row],[X2]] + 3.3*Table1[[#This Row],[x3]] + 0.6*Table1[[#This Row],[x4]] + 1*Table1[[#This Row],[x5]]</f>
        <v>#DIV/0!</v>
      </c>
      <c r="W1243" s="23" t="e">
        <f>IF(Table1[[#This Row],[Zscore]]&lt;1.81,1,0)</f>
        <v>#DIV/0!</v>
      </c>
    </row>
    <row r="1244" spans="1:23" x14ac:dyDescent="0.45">
      <c r="A1244" s="7">
        <v>1238</v>
      </c>
      <c r="B1244" s="5" t="s">
        <v>2488</v>
      </c>
      <c r="C1244" s="6" t="s">
        <v>2489</v>
      </c>
      <c r="D1244" s="6" t="s">
        <v>18</v>
      </c>
      <c r="E1244" s="8">
        <v>209318586520</v>
      </c>
      <c r="F1244" s="8">
        <v>150173814825</v>
      </c>
      <c r="G1244" s="8">
        <v>18018652035</v>
      </c>
      <c r="H1244" s="8">
        <v>16298040989</v>
      </c>
      <c r="I1244" s="8">
        <v>-9757623274</v>
      </c>
      <c r="J1244" s="8"/>
      <c r="K1244" s="8">
        <v>18018652035</v>
      </c>
      <c r="L1244" s="8">
        <v>5868004520</v>
      </c>
      <c r="M1244" s="8">
        <v>140000000000</v>
      </c>
      <c r="N1244" s="8">
        <v>82250000000</v>
      </c>
      <c r="O1244" s="8">
        <v>140000000000</v>
      </c>
      <c r="P1244" s="8">
        <v>140000000000</v>
      </c>
      <c r="Q1244" s="18">
        <f>(Table1[[#This Row],[A. TÀI SẢN NGẮN HẠN]]-Table1[[#This Row],[I. Nợ ngắn hạn]])/Table1[[#This Row],[TỔNG CỘNG TÀI SẢN]]</f>
        <v>0.63135894899315503</v>
      </c>
      <c r="R1244" s="18">
        <f>Table1[[#This Row],[- LNST chưa phân phối kỳ này]]/Table1[[#This Row],[TỔNG CỘNG TÀI SẢN]]</f>
        <v>7.7862368841492016E-2</v>
      </c>
      <c r="S1244" s="21">
        <f>Table1[[#This Row],[5. Lợi nhuận gộp về bán hàng và cung cấp dịch vụ]]/Table1[[#This Row],[TỔNG CỘNG TÀI SẢN]]</f>
        <v>-4.6616133981335087E-2</v>
      </c>
      <c r="T124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6.96847354375363</v>
      </c>
      <c r="U1244" s="23">
        <f>Table1[[#This Row],[1. Doanh thu bán hàng và cung cấp dịch vụ ]]/Table1[[#This Row],[TỔNG CỘNG TÀI SẢN]]</f>
        <v>2.8033843613975117E-2</v>
      </c>
      <c r="V1244" s="23">
        <f>1.2*Table1[[#This Row],[X1]] + 1.4*Table1[[#This Row],[X2]] + 3.3*Table1[[#This Row],[x3]] + 0.6*Table1[[#This Row],[x4]] + 1*Table1[[#This Row],[x5]]</f>
        <v>4.9219227828976218</v>
      </c>
      <c r="W1244" s="23">
        <f>IF(Table1[[#This Row],[Zscore]]&lt;1.81,1,0)</f>
        <v>0</v>
      </c>
    </row>
    <row r="1245" spans="1:23" ht="26.25" hidden="1" x14ac:dyDescent="0.45">
      <c r="A1245" s="7">
        <v>1239</v>
      </c>
      <c r="B1245" s="5" t="s">
        <v>2490</v>
      </c>
      <c r="C1245" s="6" t="s">
        <v>2491</v>
      </c>
      <c r="D1245" s="6" t="s">
        <v>13</v>
      </c>
      <c r="E1245" s="6"/>
      <c r="F1245" s="6"/>
      <c r="G1245" s="6"/>
      <c r="H1245" s="6"/>
      <c r="I1245" s="6"/>
      <c r="J1245" s="8"/>
      <c r="K1245" s="6"/>
      <c r="L1245" s="6"/>
      <c r="M1245" s="8"/>
      <c r="N1245" s="8"/>
      <c r="O1245" s="8"/>
      <c r="P1245" s="8"/>
      <c r="Q1245" s="18" t="e">
        <f>(Table1[[#This Row],[A. TÀI SẢN NGẮN HẠN]]-Table1[[#This Row],[I. Nợ ngắn hạn]])/Table1[[#This Row],[TỔNG CỘNG TÀI SẢN]]</f>
        <v>#DIV/0!</v>
      </c>
      <c r="R1245" s="18" t="e">
        <f>Table1[[#This Row],[- LNST chưa phân phối kỳ này]]/Table1[[#This Row],[TỔNG CỘNG TÀI SẢN]]</f>
        <v>#DIV/0!</v>
      </c>
      <c r="S1245" s="21" t="e">
        <f>Table1[[#This Row],[5. Lợi nhuận gộp về bán hàng và cung cấp dịch vụ]]/Table1[[#This Row],[TỔNG CỘNG TÀI SẢN]]</f>
        <v>#DIV/0!</v>
      </c>
      <c r="T124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245" s="23" t="e">
        <f>Table1[[#This Row],[1. Doanh thu bán hàng và cung cấp dịch vụ ]]/Table1[[#This Row],[TỔNG CỘNG TÀI SẢN]]</f>
        <v>#DIV/0!</v>
      </c>
      <c r="V1245" s="23" t="e">
        <f>1.2*Table1[[#This Row],[X1]] + 1.4*Table1[[#This Row],[X2]] + 3.3*Table1[[#This Row],[x3]] + 0.6*Table1[[#This Row],[x4]] + 1*Table1[[#This Row],[x5]]</f>
        <v>#DIV/0!</v>
      </c>
      <c r="W1245" s="23" t="e">
        <f>IF(Table1[[#This Row],[Zscore]]&lt;1.81,1,0)</f>
        <v>#DIV/0!</v>
      </c>
    </row>
    <row r="1246" spans="1:23" ht="26.25" hidden="1" x14ac:dyDescent="0.45">
      <c r="A1246" s="7">
        <v>1240</v>
      </c>
      <c r="B1246" s="5" t="s">
        <v>2492</v>
      </c>
      <c r="C1246" s="6" t="s">
        <v>2493</v>
      </c>
      <c r="D1246" s="6" t="s">
        <v>18</v>
      </c>
      <c r="E1246" s="8">
        <v>584201603403</v>
      </c>
      <c r="F1246" s="8">
        <v>208287963732</v>
      </c>
      <c r="G1246" s="8">
        <v>611300031985</v>
      </c>
      <c r="H1246" s="8">
        <v>41173526762</v>
      </c>
      <c r="I1246" s="8">
        <v>45977177877</v>
      </c>
      <c r="J1246" s="8"/>
      <c r="K1246" s="8">
        <v>742525031985</v>
      </c>
      <c r="L1246" s="8">
        <v>365127979780</v>
      </c>
      <c r="M1246" s="8"/>
      <c r="N1246" s="8"/>
      <c r="O1246" s="8"/>
      <c r="P1246" s="8"/>
      <c r="Q1246" s="18">
        <f>(Table1[[#This Row],[A. TÀI SẢN NGẮN HẠN]]-Table1[[#This Row],[I. Nợ ngắn hạn]])/Table1[[#This Row],[TỔNG CỘNG TÀI SẢN]]</f>
        <v>-0.68985101359776657</v>
      </c>
      <c r="R1246" s="18">
        <f>Table1[[#This Row],[- LNST chưa phân phối kỳ này]]/Table1[[#This Row],[TỔNG CỘNG TÀI SẢN]]</f>
        <v>7.047828441784891E-2</v>
      </c>
      <c r="S1246" s="21">
        <f>Table1[[#This Row],[5. Lợi nhuận gộp về bán hàng và cung cấp dịch vụ]]/Table1[[#This Row],[TỔNG CỘNG TÀI SẢN]]</f>
        <v>7.8700875877746518E-2</v>
      </c>
      <c r="T124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246" s="23">
        <f>Table1[[#This Row],[1. Doanh thu bán hàng và cung cấp dịch vụ ]]/Table1[[#This Row],[TỔNG CỘNG TÀI SẢN]]</f>
        <v>0.62500338522371979</v>
      </c>
      <c r="V1246" s="23" t="e">
        <f>1.2*Table1[[#This Row],[X1]] + 1.4*Table1[[#This Row],[X2]] + 3.3*Table1[[#This Row],[x3]] + 0.6*Table1[[#This Row],[x4]] + 1*Table1[[#This Row],[x5]]</f>
        <v>#DIV/0!</v>
      </c>
      <c r="W1246" s="23" t="e">
        <f>IF(Table1[[#This Row],[Zscore]]&lt;1.81,1,0)</f>
        <v>#DIV/0!</v>
      </c>
    </row>
    <row r="1247" spans="1:23" ht="26.25" x14ac:dyDescent="0.45">
      <c r="A1247" s="7">
        <v>1241</v>
      </c>
      <c r="B1247" s="5" t="s">
        <v>2494</v>
      </c>
      <c r="C1247" s="6" t="s">
        <v>2495</v>
      </c>
      <c r="D1247" s="6" t="s">
        <v>18</v>
      </c>
      <c r="E1247" s="8">
        <v>648614901320</v>
      </c>
      <c r="F1247" s="8">
        <v>150128457990</v>
      </c>
      <c r="G1247" s="8">
        <v>60990271913</v>
      </c>
      <c r="H1247" s="8">
        <v>84247403728</v>
      </c>
      <c r="I1247" s="8">
        <v>121155732275</v>
      </c>
      <c r="J1247" s="8"/>
      <c r="K1247" s="8">
        <v>60990271913</v>
      </c>
      <c r="L1247" s="8">
        <v>217995840882</v>
      </c>
      <c r="M1247" s="8">
        <v>1210500000000</v>
      </c>
      <c r="N1247" s="8">
        <v>1170000000000</v>
      </c>
      <c r="O1247" s="8">
        <v>1215000000000</v>
      </c>
      <c r="P1247" s="8">
        <v>1192500000000</v>
      </c>
      <c r="Q1247" s="18">
        <f>(Table1[[#This Row],[A. TÀI SẢN NGẮN HẠN]]-Table1[[#This Row],[I. Nợ ngắn hạn]])/Table1[[#This Row],[TỔNG CỘNG TÀI SẢN]]</f>
        <v>0.13742852021375759</v>
      </c>
      <c r="R1247" s="18">
        <f>Table1[[#This Row],[- LNST chưa phân phối kỳ này]]/Table1[[#This Row],[TỔNG CỘNG TÀI SẢN]]</f>
        <v>0.12988817178968232</v>
      </c>
      <c r="S1247" s="21">
        <f>Table1[[#This Row],[5. Lợi nhuận gộp về bán hàng và cung cấp dịch vụ]]/Table1[[#This Row],[TỔNG CỘNG TÀI SẢN]]</f>
        <v>0.18679147214847402</v>
      </c>
      <c r="T124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19.62608072493051</v>
      </c>
      <c r="U1247" s="23">
        <f>Table1[[#This Row],[1. Doanh thu bán hàng và cung cấp dịch vụ ]]/Table1[[#This Row],[TỔNG CỘNG TÀI SẢN]]</f>
        <v>0.33609440738773561</v>
      </c>
      <c r="V1247" s="23">
        <f>1.2*Table1[[#This Row],[X1]] + 1.4*Table1[[#This Row],[X2]] + 3.3*Table1[[#This Row],[x3]] + 0.6*Table1[[#This Row],[x4]] + 1*Table1[[#This Row],[x5]]</f>
        <v>13.07491236519807</v>
      </c>
      <c r="W1247" s="23">
        <f>IF(Table1[[#This Row],[Zscore]]&lt;1.81,1,0)</f>
        <v>0</v>
      </c>
    </row>
    <row r="1248" spans="1:23" x14ac:dyDescent="0.45">
      <c r="A1248" s="7">
        <v>1242</v>
      </c>
      <c r="B1248" s="5" t="s">
        <v>2496</v>
      </c>
      <c r="C1248" s="6" t="s">
        <v>2497</v>
      </c>
      <c r="D1248" s="6" t="s">
        <v>18</v>
      </c>
      <c r="E1248" s="8">
        <v>542131012142</v>
      </c>
      <c r="F1248" s="8">
        <v>156181137270</v>
      </c>
      <c r="G1248" s="8">
        <v>167243241415</v>
      </c>
      <c r="H1248" s="8">
        <v>42417144339</v>
      </c>
      <c r="I1248" s="8">
        <v>152373176801</v>
      </c>
      <c r="J1248" s="8"/>
      <c r="K1248" s="8">
        <v>267286942597</v>
      </c>
      <c r="L1248" s="8">
        <v>512293480168</v>
      </c>
      <c r="M1248" s="8">
        <v>591334584800</v>
      </c>
      <c r="N1248" s="8">
        <v>562818450000</v>
      </c>
      <c r="O1248" s="8">
        <v>529799767600</v>
      </c>
      <c r="P1248" s="8">
        <v>555314204000</v>
      </c>
      <c r="Q1248" s="18">
        <f>(Table1[[#This Row],[A. TÀI SẢN NGẮN HẠN]]-Table1[[#This Row],[I. Nợ ngắn hạn]])/Table1[[#This Row],[TỔNG CỘNG TÀI SẢN]]</f>
        <v>-2.040485398777097E-2</v>
      </c>
      <c r="R1248" s="18">
        <f>Table1[[#This Row],[- LNST chưa phân phối kỳ này]]/Table1[[#This Row],[TỔNG CỘNG TÀI SẢN]]</f>
        <v>7.8241501388025575E-2</v>
      </c>
      <c r="S1248" s="21">
        <f>Table1[[#This Row],[5. Lợi nhuận gộp về bán hàng và cung cấp dịch vụ]]/Table1[[#This Row],[TỔNG CỘNG TÀI SẢN]]</f>
        <v>0.28106338392072838</v>
      </c>
      <c r="T124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2.0944410757994256</v>
      </c>
      <c r="U1248" s="23">
        <f>Table1[[#This Row],[1. Doanh thu bán hàng và cung cấp dịch vụ ]]/Table1[[#This Row],[TỔNG CỘNG TÀI SẢN]]</f>
        <v>0.94496250665294046</v>
      </c>
      <c r="V1248" s="23">
        <f>1.2*Table1[[#This Row],[X1]] + 1.4*Table1[[#This Row],[X2]] + 3.3*Table1[[#This Row],[x3]] + 0.6*Table1[[#This Row],[x4]] + 1*Table1[[#This Row],[x5]]</f>
        <v>3.2141885962289098</v>
      </c>
      <c r="W1248" s="23">
        <f>IF(Table1[[#This Row],[Zscore]]&lt;1.81,1,0)</f>
        <v>0</v>
      </c>
    </row>
    <row r="1249" spans="1:23" ht="26.25" x14ac:dyDescent="0.45">
      <c r="A1249" s="7">
        <v>1243</v>
      </c>
      <c r="B1249" s="5" t="s">
        <v>2498</v>
      </c>
      <c r="C1249" s="6" t="s">
        <v>2499</v>
      </c>
      <c r="D1249" s="6" t="s">
        <v>18</v>
      </c>
      <c r="E1249" s="8">
        <v>12775637188726</v>
      </c>
      <c r="F1249" s="8">
        <v>5907086558246</v>
      </c>
      <c r="G1249" s="8">
        <v>1357933441334</v>
      </c>
      <c r="H1249" s="8">
        <v>79936464386</v>
      </c>
      <c r="I1249" s="8">
        <v>178011477010</v>
      </c>
      <c r="J1249" s="8"/>
      <c r="K1249" s="8">
        <v>2007144331929</v>
      </c>
      <c r="L1249" s="8">
        <v>321257210023</v>
      </c>
      <c r="M1249" s="8">
        <v>2158466296100</v>
      </c>
      <c r="N1249" s="8">
        <v>2158139622500</v>
      </c>
      <c r="O1249" s="8">
        <v>2158139622500</v>
      </c>
      <c r="P1249" s="8">
        <v>2158139622500</v>
      </c>
      <c r="Q1249" s="18">
        <f>(Table1[[#This Row],[A. TÀI SẢN NGẮN HẠN]]-Table1[[#This Row],[I. Nợ ngắn hạn]])/Table1[[#This Row],[TỔNG CỘNG TÀI SẢN]]</f>
        <v>0.35608033084458984</v>
      </c>
      <c r="R1249" s="18">
        <f>Table1[[#This Row],[- LNST chưa phân phối kỳ này]]/Table1[[#This Row],[TỔNG CỘNG TÀI SẢN]]</f>
        <v>6.2569454035952743E-3</v>
      </c>
      <c r="S1249" s="21">
        <f>Table1[[#This Row],[5. Lợi nhuận gộp về bán hàng và cung cấp dịch vụ]]/Table1[[#This Row],[TỔNG CỘNG TÀI SẢN]]</f>
        <v>1.3933667212081459E-2</v>
      </c>
      <c r="T124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1.0752696039680441</v>
      </c>
      <c r="U1249" s="23">
        <f>Table1[[#This Row],[1. Doanh thu bán hàng và cung cấp dịch vụ ]]/Table1[[#This Row],[TỔNG CỘNG TÀI SẢN]]</f>
        <v>2.5146081191668227E-2</v>
      </c>
      <c r="V1249" s="23">
        <f>1.2*Table1[[#This Row],[X1]] + 1.4*Table1[[#This Row],[X2]] + 3.3*Table1[[#This Row],[x3]] + 0.6*Table1[[#This Row],[x4]] + 1*Table1[[#This Row],[x5]]</f>
        <v>1.1523450659509047</v>
      </c>
      <c r="W1249" s="23">
        <f>IF(Table1[[#This Row],[Zscore]]&lt;1.81,1,0)</f>
        <v>1</v>
      </c>
    </row>
    <row r="1250" spans="1:23" x14ac:dyDescent="0.45">
      <c r="A1250" s="7">
        <v>1244</v>
      </c>
      <c r="B1250" s="5" t="s">
        <v>2500</v>
      </c>
      <c r="C1250" s="6" t="s">
        <v>2501</v>
      </c>
      <c r="D1250" s="6" t="s">
        <v>21</v>
      </c>
      <c r="E1250" s="8">
        <v>4223089289940</v>
      </c>
      <c r="F1250" s="8">
        <v>2416177555011</v>
      </c>
      <c r="G1250" s="8">
        <v>1215132720445</v>
      </c>
      <c r="H1250" s="8">
        <v>53382599498</v>
      </c>
      <c r="I1250" s="8">
        <v>250250577424</v>
      </c>
      <c r="J1250" s="8"/>
      <c r="K1250" s="8">
        <v>1478121075133</v>
      </c>
      <c r="L1250" s="8">
        <v>737574026879</v>
      </c>
      <c r="M1250" s="8">
        <v>1112846568400</v>
      </c>
      <c r="N1250" s="8">
        <v>1328700428650</v>
      </c>
      <c r="O1250" s="8">
        <v>1448619239900</v>
      </c>
      <c r="P1250" s="8">
        <v>1434228982550</v>
      </c>
      <c r="Q1250" s="18">
        <f>(Table1[[#This Row],[A. TÀI SẢN NGẮN HẠN]]-Table1[[#This Row],[I. Nợ ngắn hạn]])/Table1[[#This Row],[TỔNG CỘNG TÀI SẢN]]</f>
        <v>0.28439958336354854</v>
      </c>
      <c r="R1250" s="18">
        <f>Table1[[#This Row],[- LNST chưa phân phối kỳ này]]/Table1[[#This Row],[TỔNG CỘNG TÀI SẢN]]</f>
        <v>1.2640651388822147E-2</v>
      </c>
      <c r="S1250" s="21">
        <f>Table1[[#This Row],[5. Lợi nhuận gộp về bán hàng và cung cấp dịch vụ]]/Table1[[#This Row],[TỔNG CỘNG TÀI SẢN]]</f>
        <v>5.9257704548216043E-2</v>
      </c>
      <c r="T125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0.90053435220469269</v>
      </c>
      <c r="U1250" s="23">
        <f>Table1[[#This Row],[1. Doanh thu bán hàng và cung cấp dịch vụ ]]/Table1[[#This Row],[TỔNG CỘNG TÀI SẢN]]</f>
        <v>0.1746527189552933</v>
      </c>
      <c r="V1250" s="23">
        <f>1.2*Table1[[#This Row],[X1]] + 1.4*Table1[[#This Row],[X2]] + 3.3*Table1[[#This Row],[x3]] + 0.6*Table1[[#This Row],[x4]] + 1*Table1[[#This Row],[x5]]</f>
        <v>1.2695001672678312</v>
      </c>
      <c r="W1250" s="23">
        <f>IF(Table1[[#This Row],[Zscore]]&lt;1.81,1,0)</f>
        <v>1</v>
      </c>
    </row>
    <row r="1251" spans="1:23" hidden="1" x14ac:dyDescent="0.45">
      <c r="A1251" s="7">
        <v>1245</v>
      </c>
      <c r="B1251" s="5" t="s">
        <v>2502</v>
      </c>
      <c r="C1251" s="6" t="s">
        <v>2503</v>
      </c>
      <c r="D1251" s="6" t="s">
        <v>21</v>
      </c>
      <c r="E1251" s="6"/>
      <c r="F1251" s="6"/>
      <c r="G1251" s="6"/>
      <c r="H1251" s="6"/>
      <c r="I1251" s="6"/>
      <c r="J1251" s="8"/>
      <c r="K1251" s="6"/>
      <c r="L1251" s="6"/>
      <c r="M1251" s="8">
        <v>330228940500</v>
      </c>
      <c r="N1251" s="8"/>
      <c r="O1251" s="8">
        <v>342459642000</v>
      </c>
      <c r="P1251" s="8">
        <v>342863771700</v>
      </c>
      <c r="Q1251" s="18" t="e">
        <f>(Table1[[#This Row],[A. TÀI SẢN NGẮN HẠN]]-Table1[[#This Row],[I. Nợ ngắn hạn]])/Table1[[#This Row],[TỔNG CỘNG TÀI SẢN]]</f>
        <v>#DIV/0!</v>
      </c>
      <c r="R1251" s="18" t="e">
        <f>Table1[[#This Row],[- LNST chưa phân phối kỳ này]]/Table1[[#This Row],[TỔNG CỘNG TÀI SẢN]]</f>
        <v>#DIV/0!</v>
      </c>
      <c r="S1251" s="21" t="e">
        <f>Table1[[#This Row],[5. Lợi nhuận gộp về bán hàng và cung cấp dịch vụ]]/Table1[[#This Row],[TỔNG CỘNG TÀI SẢN]]</f>
        <v>#DIV/0!</v>
      </c>
      <c r="T125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251" s="23" t="e">
        <f>Table1[[#This Row],[1. Doanh thu bán hàng và cung cấp dịch vụ ]]/Table1[[#This Row],[TỔNG CỘNG TÀI SẢN]]</f>
        <v>#DIV/0!</v>
      </c>
      <c r="V1251" s="23" t="e">
        <f>1.2*Table1[[#This Row],[X1]] + 1.4*Table1[[#This Row],[X2]] + 3.3*Table1[[#This Row],[x3]] + 0.6*Table1[[#This Row],[x4]] + 1*Table1[[#This Row],[x5]]</f>
        <v>#DIV/0!</v>
      </c>
      <c r="W1251" s="23" t="e">
        <f>IF(Table1[[#This Row],[Zscore]]&lt;1.81,1,0)</f>
        <v>#DIV/0!</v>
      </c>
    </row>
    <row r="1252" spans="1:23" x14ac:dyDescent="0.45">
      <c r="A1252" s="7">
        <v>1246</v>
      </c>
      <c r="B1252" s="5" t="s">
        <v>2504</v>
      </c>
      <c r="C1252" s="6" t="s">
        <v>2505</v>
      </c>
      <c r="D1252" s="6" t="s">
        <v>36</v>
      </c>
      <c r="E1252" s="8">
        <v>571547632135</v>
      </c>
      <c r="F1252" s="8">
        <v>430889203482</v>
      </c>
      <c r="G1252" s="8">
        <v>234100894141</v>
      </c>
      <c r="H1252" s="8">
        <v>5087456687</v>
      </c>
      <c r="I1252" s="8">
        <v>39897205696</v>
      </c>
      <c r="J1252" s="8"/>
      <c r="K1252" s="8">
        <v>234100894141</v>
      </c>
      <c r="L1252" s="8">
        <v>641399151110</v>
      </c>
      <c r="M1252" s="8">
        <v>89161254000</v>
      </c>
      <c r="N1252" s="8">
        <v>89161254000</v>
      </c>
      <c r="O1252" s="8">
        <v>85976923500</v>
      </c>
      <c r="P1252" s="8">
        <v>92345584500</v>
      </c>
      <c r="Q1252" s="18">
        <f>(Table1[[#This Row],[A. TÀI SẢN NGẮN HẠN]]-Table1[[#This Row],[I. Nợ ngắn hạn]])/Table1[[#This Row],[TỔNG CỘNG TÀI SẢN]]</f>
        <v>0.3443078026688744</v>
      </c>
      <c r="R1252" s="18">
        <f>Table1[[#This Row],[- LNST chưa phân phối kỳ này]]/Table1[[#This Row],[TỔNG CỘNG TÀI SẢN]]</f>
        <v>8.9011945828485883E-3</v>
      </c>
      <c r="S1252" s="21">
        <f>Table1[[#This Row],[5. Lợi nhuận gộp về bán hàng và cung cấp dịch vụ]]/Table1[[#This Row],[TỔNG CỘNG TÀI SẢN]]</f>
        <v>6.9805565543094139E-2</v>
      </c>
      <c r="T125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0.38086678108242417</v>
      </c>
      <c r="U1252" s="23">
        <f>Table1[[#This Row],[1. Doanh thu bán hàng và cung cấp dịch vụ ]]/Table1[[#This Row],[TỔNG CỘNG TÀI SẢN]]</f>
        <v>1.122214694012591</v>
      </c>
      <c r="V1252" s="23">
        <f>1.2*Table1[[#This Row],[X1]] + 1.4*Table1[[#This Row],[X2]] + 3.3*Table1[[#This Row],[x3]] + 0.6*Table1[[#This Row],[x4]] + 1*Table1[[#This Row],[x5]]</f>
        <v>2.0067241645728933</v>
      </c>
      <c r="W1252" s="23">
        <f>IF(Table1[[#This Row],[Zscore]]&lt;1.81,1,0)</f>
        <v>0</v>
      </c>
    </row>
    <row r="1253" spans="1:23" ht="26.25" x14ac:dyDescent="0.45">
      <c r="A1253" s="7">
        <v>1247</v>
      </c>
      <c r="B1253" s="5" t="s">
        <v>2506</v>
      </c>
      <c r="C1253" s="6" t="s">
        <v>2507</v>
      </c>
      <c r="D1253" s="6" t="s">
        <v>18</v>
      </c>
      <c r="E1253" s="8">
        <v>2106362051373</v>
      </c>
      <c r="F1253" s="8">
        <v>1774700545619</v>
      </c>
      <c r="G1253" s="8">
        <v>1818560542585</v>
      </c>
      <c r="H1253" s="8">
        <v>4407209870</v>
      </c>
      <c r="I1253" s="8">
        <v>65873701144</v>
      </c>
      <c r="J1253" s="8"/>
      <c r="K1253" s="8">
        <v>1818560542585</v>
      </c>
      <c r="L1253" s="8">
        <v>2048320393048</v>
      </c>
      <c r="M1253" s="8">
        <v>150821566800</v>
      </c>
      <c r="N1253" s="8">
        <v>111131680800</v>
      </c>
      <c r="O1253" s="8">
        <v>140237597200</v>
      </c>
      <c r="P1253" s="8">
        <v>121715650400</v>
      </c>
      <c r="Q1253" s="18">
        <f>(Table1[[#This Row],[A. TÀI SẢN NGẮN HẠN]]-Table1[[#This Row],[I. Nợ ngắn hạn]])/Table1[[#This Row],[TỔNG CỘNG TÀI SẢN]]</f>
        <v>-2.0822629679171503E-2</v>
      </c>
      <c r="R1253" s="18">
        <f>Table1[[#This Row],[- LNST chưa phân phối kỳ này]]/Table1[[#This Row],[TỔNG CỘNG TÀI SẢN]]</f>
        <v>2.0923325442210789E-3</v>
      </c>
      <c r="S1253" s="21">
        <f>Table1[[#This Row],[5. Lợi nhuận gộp về bán hàng và cung cấp dịch vụ]]/Table1[[#This Row],[TỔNG CỘNG TÀI SẢN]]</f>
        <v>3.127368398090026E-2</v>
      </c>
      <c r="T125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7.2022140991700373E-2</v>
      </c>
      <c r="U1253" s="23">
        <f>Table1[[#This Row],[1. Doanh thu bán hàng và cung cấp dịch vụ ]]/Table1[[#This Row],[TỔNG CỘNG TÀI SẢN]]</f>
        <v>0.9724445955114096</v>
      </c>
      <c r="V1253" s="23">
        <f>1.2*Table1[[#This Row],[X1]] + 1.4*Table1[[#This Row],[X2]] + 3.3*Table1[[#This Row],[x3]] + 0.6*Table1[[#This Row],[x4]] + 1*Table1[[#This Row],[x5]]</f>
        <v>1.0968031471903044</v>
      </c>
      <c r="W1253" s="23">
        <f>IF(Table1[[#This Row],[Zscore]]&lt;1.81,1,0)</f>
        <v>1</v>
      </c>
    </row>
    <row r="1254" spans="1:23" ht="26.25" hidden="1" x14ac:dyDescent="0.45">
      <c r="A1254" s="7">
        <v>1248</v>
      </c>
      <c r="B1254" s="5" t="s">
        <v>2508</v>
      </c>
      <c r="C1254" s="6" t="s">
        <v>2509</v>
      </c>
      <c r="D1254" s="6" t="s">
        <v>13</v>
      </c>
      <c r="E1254" s="6"/>
      <c r="F1254" s="6"/>
      <c r="G1254" s="6"/>
      <c r="H1254" s="6"/>
      <c r="I1254" s="6"/>
      <c r="J1254" s="8"/>
      <c r="K1254" s="6"/>
      <c r="L1254" s="6"/>
      <c r="M1254" s="8"/>
      <c r="N1254" s="8"/>
      <c r="O1254" s="8"/>
      <c r="P1254" s="8"/>
      <c r="Q1254" s="18" t="e">
        <f>(Table1[[#This Row],[A. TÀI SẢN NGẮN HẠN]]-Table1[[#This Row],[I. Nợ ngắn hạn]])/Table1[[#This Row],[TỔNG CỘNG TÀI SẢN]]</f>
        <v>#DIV/0!</v>
      </c>
      <c r="R1254" s="18" t="e">
        <f>Table1[[#This Row],[- LNST chưa phân phối kỳ này]]/Table1[[#This Row],[TỔNG CỘNG TÀI SẢN]]</f>
        <v>#DIV/0!</v>
      </c>
      <c r="S1254" s="21" t="e">
        <f>Table1[[#This Row],[5. Lợi nhuận gộp về bán hàng và cung cấp dịch vụ]]/Table1[[#This Row],[TỔNG CỘNG TÀI SẢN]]</f>
        <v>#DIV/0!</v>
      </c>
      <c r="T125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254" s="23" t="e">
        <f>Table1[[#This Row],[1. Doanh thu bán hàng và cung cấp dịch vụ ]]/Table1[[#This Row],[TỔNG CỘNG TÀI SẢN]]</f>
        <v>#DIV/0!</v>
      </c>
      <c r="V1254" s="23" t="e">
        <f>1.2*Table1[[#This Row],[X1]] + 1.4*Table1[[#This Row],[X2]] + 3.3*Table1[[#This Row],[x3]] + 0.6*Table1[[#This Row],[x4]] + 1*Table1[[#This Row],[x5]]</f>
        <v>#DIV/0!</v>
      </c>
      <c r="W1254" s="23" t="e">
        <f>IF(Table1[[#This Row],[Zscore]]&lt;1.81,1,0)</f>
        <v>#DIV/0!</v>
      </c>
    </row>
    <row r="1255" spans="1:23" ht="26.25" x14ac:dyDescent="0.45">
      <c r="A1255" s="7">
        <v>1249</v>
      </c>
      <c r="B1255" s="5" t="s">
        <v>2510</v>
      </c>
      <c r="C1255" s="6" t="s">
        <v>2511</v>
      </c>
      <c r="D1255" s="6" t="s">
        <v>36</v>
      </c>
      <c r="E1255" s="8">
        <v>1540154548215</v>
      </c>
      <c r="F1255" s="8">
        <v>1514930574695</v>
      </c>
      <c r="G1255" s="8">
        <v>365348596430</v>
      </c>
      <c r="H1255" s="8">
        <v>-3226802</v>
      </c>
      <c r="I1255" s="8">
        <v>81335611068</v>
      </c>
      <c r="J1255" s="8"/>
      <c r="K1255" s="8">
        <v>365348596430</v>
      </c>
      <c r="L1255" s="8">
        <v>107003193834</v>
      </c>
      <c r="M1255" s="8">
        <v>1059725693600</v>
      </c>
      <c r="N1255" s="8">
        <v>1017756359200</v>
      </c>
      <c r="O1255" s="8">
        <v>975787024800</v>
      </c>
      <c r="P1255" s="8">
        <v>1059725693600</v>
      </c>
      <c r="Q1255" s="18">
        <f>(Table1[[#This Row],[A. TÀI SẢN NGẮN HẠN]]-Table1[[#This Row],[I. Nợ ngắn hạn]])/Table1[[#This Row],[TỔNG CỘNG TÀI SẢN]]</f>
        <v>0.74640689766967627</v>
      </c>
      <c r="R1255" s="18">
        <f>Table1[[#This Row],[- LNST chưa phân phối kỳ này]]/Table1[[#This Row],[TỔNG CỘNG TÀI SẢN]]</f>
        <v>-2.0951157166271278E-6</v>
      </c>
      <c r="S1255" s="21">
        <f>Table1[[#This Row],[5. Lợi nhuận gộp về bán hàng và cung cấp dịch vụ]]/Table1[[#This Row],[TỔNG CỘNG TÀI SẢN]]</f>
        <v>5.2810032059617595E-2</v>
      </c>
      <c r="T125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2.8144317587299401</v>
      </c>
      <c r="U1255" s="23">
        <f>Table1[[#This Row],[1. Doanh thu bán hàng và cung cấp dịch vụ ]]/Table1[[#This Row],[TỔNG CỘNG TÀI SẢN]]</f>
        <v>6.9475621104397603E-2</v>
      </c>
      <c r="V1255" s="23">
        <f>1.2*Table1[[#This Row],[X1]] + 1.4*Table1[[#This Row],[X2]] + 3.3*Table1[[#This Row],[x3]] + 0.6*Table1[[#This Row],[x4]] + 1*Table1[[#This Row],[x5]]</f>
        <v>2.8280931261807081</v>
      </c>
      <c r="W1255" s="23">
        <f>IF(Table1[[#This Row],[Zscore]]&lt;1.81,1,0)</f>
        <v>0</v>
      </c>
    </row>
    <row r="1256" spans="1:23" ht="26.25" hidden="1" x14ac:dyDescent="0.45">
      <c r="A1256" s="7">
        <v>1250</v>
      </c>
      <c r="B1256" s="5" t="s">
        <v>2512</v>
      </c>
      <c r="C1256" s="6" t="s">
        <v>2513</v>
      </c>
      <c r="D1256" s="6" t="s">
        <v>13</v>
      </c>
      <c r="E1256" s="6"/>
      <c r="F1256" s="6"/>
      <c r="G1256" s="6"/>
      <c r="H1256" s="6"/>
      <c r="I1256" s="6"/>
      <c r="J1256" s="8"/>
      <c r="K1256" s="6"/>
      <c r="L1256" s="6"/>
      <c r="M1256" s="8"/>
      <c r="N1256" s="8"/>
      <c r="O1256" s="8"/>
      <c r="P1256" s="8"/>
      <c r="Q1256" s="18" t="e">
        <f>(Table1[[#This Row],[A. TÀI SẢN NGẮN HẠN]]-Table1[[#This Row],[I. Nợ ngắn hạn]])/Table1[[#This Row],[TỔNG CỘNG TÀI SẢN]]</f>
        <v>#DIV/0!</v>
      </c>
      <c r="R1256" s="18" t="e">
        <f>Table1[[#This Row],[- LNST chưa phân phối kỳ này]]/Table1[[#This Row],[TỔNG CỘNG TÀI SẢN]]</f>
        <v>#DIV/0!</v>
      </c>
      <c r="S1256" s="21" t="e">
        <f>Table1[[#This Row],[5. Lợi nhuận gộp về bán hàng và cung cấp dịch vụ]]/Table1[[#This Row],[TỔNG CỘNG TÀI SẢN]]</f>
        <v>#DIV/0!</v>
      </c>
      <c r="T125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256" s="23" t="e">
        <f>Table1[[#This Row],[1. Doanh thu bán hàng và cung cấp dịch vụ ]]/Table1[[#This Row],[TỔNG CỘNG TÀI SẢN]]</f>
        <v>#DIV/0!</v>
      </c>
      <c r="V1256" s="23" t="e">
        <f>1.2*Table1[[#This Row],[X1]] + 1.4*Table1[[#This Row],[X2]] + 3.3*Table1[[#This Row],[x3]] + 0.6*Table1[[#This Row],[x4]] + 1*Table1[[#This Row],[x5]]</f>
        <v>#DIV/0!</v>
      </c>
      <c r="W1256" s="23" t="e">
        <f>IF(Table1[[#This Row],[Zscore]]&lt;1.81,1,0)</f>
        <v>#DIV/0!</v>
      </c>
    </row>
    <row r="1257" spans="1:23" ht="26.25" x14ac:dyDescent="0.45">
      <c r="A1257" s="7">
        <v>1251</v>
      </c>
      <c r="B1257" s="5" t="s">
        <v>2514</v>
      </c>
      <c r="C1257" s="6" t="s">
        <v>2515</v>
      </c>
      <c r="D1257" s="6" t="s">
        <v>18</v>
      </c>
      <c r="E1257" s="8">
        <v>6567032100</v>
      </c>
      <c r="F1257" s="8">
        <v>5367032100</v>
      </c>
      <c r="G1257" s="8">
        <v>509874303878</v>
      </c>
      <c r="H1257" s="8">
        <v>-188889117289</v>
      </c>
      <c r="I1257" s="8">
        <v>5618742285</v>
      </c>
      <c r="J1257" s="8"/>
      <c r="K1257" s="8">
        <v>509874303878</v>
      </c>
      <c r="L1257" s="8">
        <v>50432232908</v>
      </c>
      <c r="M1257" s="8">
        <v>19556109300</v>
      </c>
      <c r="N1257" s="8">
        <v>12034528800</v>
      </c>
      <c r="O1257" s="8">
        <v>10530212700</v>
      </c>
      <c r="P1257" s="8">
        <v>15043161000</v>
      </c>
      <c r="Q1257" s="18">
        <f>(Table1[[#This Row],[A. TÀI SẢN NGẮN HẠN]]-Table1[[#This Row],[I. Nợ ngắn hạn]])/Table1[[#This Row],[TỔNG CỘNG TÀI SẢN]]</f>
        <v>-76.82424329523225</v>
      </c>
      <c r="R1257" s="18">
        <f>Table1[[#This Row],[- LNST chưa phân phối kỳ này]]/Table1[[#This Row],[TỔNG CỘNG TÀI SẢN]]</f>
        <v>-28.763239529314923</v>
      </c>
      <c r="S1257" s="21">
        <f>Table1[[#This Row],[5. Lợi nhuận gộp về bán hàng và cung cấp dịch vụ]]/Table1[[#This Row],[TỔNG CỘNG TÀI SẢN]]</f>
        <v>0.85559841941384751</v>
      </c>
      <c r="T125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2.8028482395181607E-2</v>
      </c>
      <c r="U1257" s="23">
        <f>Table1[[#This Row],[1. Doanh thu bán hàng và cung cấp dịch vụ ]]/Table1[[#This Row],[TỔNG CỘNG TÀI SẢN]]</f>
        <v>7.6796080999817251</v>
      </c>
      <c r="V1257" s="23">
        <f>1.2*Table1[[#This Row],[X1]] + 1.4*Table1[[#This Row],[X2]] + 3.3*Table1[[#This Row],[x3]] + 0.6*Table1[[#This Row],[x4]] + 1*Table1[[#This Row],[x5]]</f>
        <v>-121.93772732183507</v>
      </c>
      <c r="W1257" s="23">
        <f>IF(Table1[[#This Row],[Zscore]]&lt;1.81,1,0)</f>
        <v>1</v>
      </c>
    </row>
    <row r="1258" spans="1:23" ht="26.25" hidden="1" x14ac:dyDescent="0.45">
      <c r="A1258" s="7">
        <v>1252</v>
      </c>
      <c r="B1258" s="5" t="s">
        <v>2516</v>
      </c>
      <c r="C1258" s="6" t="s">
        <v>2517</v>
      </c>
      <c r="D1258" s="6" t="s">
        <v>13</v>
      </c>
      <c r="E1258" s="6"/>
      <c r="F1258" s="6"/>
      <c r="G1258" s="6"/>
      <c r="H1258" s="6"/>
      <c r="I1258" s="6"/>
      <c r="J1258" s="8"/>
      <c r="K1258" s="6"/>
      <c r="L1258" s="6"/>
      <c r="M1258" s="8"/>
      <c r="N1258" s="8"/>
      <c r="O1258" s="8"/>
      <c r="P1258" s="8"/>
      <c r="Q1258" s="18" t="e">
        <f>(Table1[[#This Row],[A. TÀI SẢN NGẮN HẠN]]-Table1[[#This Row],[I. Nợ ngắn hạn]])/Table1[[#This Row],[TỔNG CỘNG TÀI SẢN]]</f>
        <v>#DIV/0!</v>
      </c>
      <c r="R1258" s="18" t="e">
        <f>Table1[[#This Row],[- LNST chưa phân phối kỳ này]]/Table1[[#This Row],[TỔNG CỘNG TÀI SẢN]]</f>
        <v>#DIV/0!</v>
      </c>
      <c r="S1258" s="21" t="e">
        <f>Table1[[#This Row],[5. Lợi nhuận gộp về bán hàng và cung cấp dịch vụ]]/Table1[[#This Row],[TỔNG CỘNG TÀI SẢN]]</f>
        <v>#DIV/0!</v>
      </c>
      <c r="T125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258" s="23" t="e">
        <f>Table1[[#This Row],[1. Doanh thu bán hàng và cung cấp dịch vụ ]]/Table1[[#This Row],[TỔNG CỘNG TÀI SẢN]]</f>
        <v>#DIV/0!</v>
      </c>
      <c r="V1258" s="23" t="e">
        <f>1.2*Table1[[#This Row],[X1]] + 1.4*Table1[[#This Row],[X2]] + 3.3*Table1[[#This Row],[x3]] + 0.6*Table1[[#This Row],[x4]] + 1*Table1[[#This Row],[x5]]</f>
        <v>#DIV/0!</v>
      </c>
      <c r="W1258" s="23" t="e">
        <f>IF(Table1[[#This Row],[Zscore]]&lt;1.81,1,0)</f>
        <v>#DIV/0!</v>
      </c>
    </row>
    <row r="1259" spans="1:23" ht="26.25" hidden="1" x14ac:dyDescent="0.45">
      <c r="A1259" s="7">
        <v>1253</v>
      </c>
      <c r="B1259" s="5" t="s">
        <v>2518</v>
      </c>
      <c r="C1259" s="6" t="s">
        <v>2519</v>
      </c>
      <c r="D1259" s="6" t="s">
        <v>13</v>
      </c>
      <c r="E1259" s="8">
        <v>342225246321</v>
      </c>
      <c r="F1259" s="8">
        <v>333001737957</v>
      </c>
      <c r="G1259" s="8">
        <v>4473677189</v>
      </c>
      <c r="H1259" s="6"/>
      <c r="I1259" s="8">
        <v>10420844518</v>
      </c>
      <c r="J1259" s="8"/>
      <c r="K1259" s="8">
        <v>4473677189</v>
      </c>
      <c r="L1259" s="8">
        <v>29758882638</v>
      </c>
      <c r="M1259" s="8"/>
      <c r="N1259" s="8"/>
      <c r="O1259" s="8"/>
      <c r="P1259" s="8"/>
      <c r="Q1259" s="18">
        <f>(Table1[[#This Row],[A. TÀI SẢN NGẮN HẠN]]-Table1[[#This Row],[I. Nợ ngắn hạn]])/Table1[[#This Row],[TỔNG CỘNG TÀI SẢN]]</f>
        <v>0.95997611017817097</v>
      </c>
      <c r="R1259" s="18">
        <f>Table1[[#This Row],[- LNST chưa phân phối kỳ này]]/Table1[[#This Row],[TỔNG CỘNG TÀI SẢN]]</f>
        <v>0</v>
      </c>
      <c r="S1259" s="21">
        <f>Table1[[#This Row],[5. Lợi nhuận gộp về bán hàng và cung cấp dịch vụ]]/Table1[[#This Row],[TỔNG CỘNG TÀI SẢN]]</f>
        <v>3.0450250617178223E-2</v>
      </c>
      <c r="T125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259" s="23">
        <f>Table1[[#This Row],[1. Doanh thu bán hàng và cung cấp dịch vụ ]]/Table1[[#This Row],[TỔNG CỘNG TÀI SẢN]]</f>
        <v>8.6957005533387213E-2</v>
      </c>
      <c r="V1259" s="23" t="e">
        <f>1.2*Table1[[#This Row],[X1]] + 1.4*Table1[[#This Row],[X2]] + 3.3*Table1[[#This Row],[x3]] + 0.6*Table1[[#This Row],[x4]] + 1*Table1[[#This Row],[x5]]</f>
        <v>#DIV/0!</v>
      </c>
      <c r="W1259" s="23" t="e">
        <f>IF(Table1[[#This Row],[Zscore]]&lt;1.81,1,0)</f>
        <v>#DIV/0!</v>
      </c>
    </row>
    <row r="1260" spans="1:23" ht="26.25" x14ac:dyDescent="0.45">
      <c r="A1260" s="7">
        <v>1254</v>
      </c>
      <c r="B1260" s="5" t="s">
        <v>2520</v>
      </c>
      <c r="C1260" s="6" t="s">
        <v>2521</v>
      </c>
      <c r="D1260" s="6" t="s">
        <v>21</v>
      </c>
      <c r="E1260" s="8">
        <v>1074035564851</v>
      </c>
      <c r="F1260" s="8">
        <v>739332739630</v>
      </c>
      <c r="G1260" s="8">
        <v>417750747091</v>
      </c>
      <c r="H1260" s="8">
        <v>49596676241</v>
      </c>
      <c r="I1260" s="8">
        <v>151053466430</v>
      </c>
      <c r="J1260" s="8"/>
      <c r="K1260" s="8">
        <v>447752534827</v>
      </c>
      <c r="L1260" s="8">
        <v>766270020800</v>
      </c>
      <c r="M1260" s="8">
        <v>577125877230</v>
      </c>
      <c r="N1260" s="8">
        <v>685126041390</v>
      </c>
      <c r="O1260" s="8">
        <v>598500909720</v>
      </c>
      <c r="P1260" s="8">
        <v>945001436400</v>
      </c>
      <c r="Q1260" s="18">
        <f>(Table1[[#This Row],[A. TÀI SẢN NGẮN HẠN]]-Table1[[#This Row],[I. Nợ ngắn hạn]])/Table1[[#This Row],[TỔNG CỘNG TÀI SẢN]]</f>
        <v>0.29941465912594134</v>
      </c>
      <c r="R1260" s="18">
        <f>Table1[[#This Row],[- LNST chưa phân phối kỳ này]]/Table1[[#This Row],[TỔNG CỘNG TÀI SẢN]]</f>
        <v>4.6177871444955831E-2</v>
      </c>
      <c r="S1260" s="21">
        <f>Table1[[#This Row],[5. Lợi nhuận gộp về bán hàng và cung cấp dịch vụ]]/Table1[[#This Row],[TỔNG CỘNG TÀI SẢN]]</f>
        <v>0.1406410284476525</v>
      </c>
      <c r="T126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1.5665764269900062</v>
      </c>
      <c r="U1260" s="23">
        <f>Table1[[#This Row],[1. Doanh thu bán hàng và cung cấp dịch vụ ]]/Table1[[#This Row],[TỔNG CỘNG TÀI SẢN]]</f>
        <v>0.71344939206580549</v>
      </c>
      <c r="V1260" s="23">
        <f>1.2*Table1[[#This Row],[X1]] + 1.4*Table1[[#This Row],[X2]] + 3.3*Table1[[#This Row],[x3]] + 0.6*Table1[[#This Row],[x4]] + 1*Table1[[#This Row],[x5]]</f>
        <v>2.5414572531111301</v>
      </c>
      <c r="W1260" s="23">
        <f>IF(Table1[[#This Row],[Zscore]]&lt;1.81,1,0)</f>
        <v>0</v>
      </c>
    </row>
    <row r="1261" spans="1:23" hidden="1" x14ac:dyDescent="0.45">
      <c r="A1261" s="7">
        <v>1255</v>
      </c>
      <c r="B1261" s="5" t="s">
        <v>2522</v>
      </c>
      <c r="C1261" s="6" t="s">
        <v>2523</v>
      </c>
      <c r="D1261" s="6" t="s">
        <v>13</v>
      </c>
      <c r="E1261" s="6"/>
      <c r="F1261" s="6"/>
      <c r="G1261" s="6"/>
      <c r="H1261" s="6"/>
      <c r="I1261" s="6"/>
      <c r="J1261" s="8"/>
      <c r="K1261" s="6"/>
      <c r="L1261" s="6"/>
      <c r="M1261" s="8"/>
      <c r="N1261" s="8"/>
      <c r="O1261" s="8"/>
      <c r="P1261" s="8"/>
      <c r="Q1261" s="18" t="e">
        <f>(Table1[[#This Row],[A. TÀI SẢN NGẮN HẠN]]-Table1[[#This Row],[I. Nợ ngắn hạn]])/Table1[[#This Row],[TỔNG CỘNG TÀI SẢN]]</f>
        <v>#DIV/0!</v>
      </c>
      <c r="R1261" s="18" t="e">
        <f>Table1[[#This Row],[- LNST chưa phân phối kỳ này]]/Table1[[#This Row],[TỔNG CỘNG TÀI SẢN]]</f>
        <v>#DIV/0!</v>
      </c>
      <c r="S1261" s="21" t="e">
        <f>Table1[[#This Row],[5. Lợi nhuận gộp về bán hàng và cung cấp dịch vụ]]/Table1[[#This Row],[TỔNG CỘNG TÀI SẢN]]</f>
        <v>#DIV/0!</v>
      </c>
      <c r="T126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261" s="23" t="e">
        <f>Table1[[#This Row],[1. Doanh thu bán hàng và cung cấp dịch vụ ]]/Table1[[#This Row],[TỔNG CỘNG TÀI SẢN]]</f>
        <v>#DIV/0!</v>
      </c>
      <c r="V1261" s="23" t="e">
        <f>1.2*Table1[[#This Row],[X1]] + 1.4*Table1[[#This Row],[X2]] + 3.3*Table1[[#This Row],[x3]] + 0.6*Table1[[#This Row],[x4]] + 1*Table1[[#This Row],[x5]]</f>
        <v>#DIV/0!</v>
      </c>
      <c r="W1261" s="23" t="e">
        <f>IF(Table1[[#This Row],[Zscore]]&lt;1.81,1,0)</f>
        <v>#DIV/0!</v>
      </c>
    </row>
    <row r="1262" spans="1:23" hidden="1" x14ac:dyDescent="0.45">
      <c r="A1262" s="7">
        <v>1256</v>
      </c>
      <c r="B1262" s="5" t="s">
        <v>2524</v>
      </c>
      <c r="C1262" s="6" t="s">
        <v>2525</v>
      </c>
      <c r="D1262" s="6" t="s">
        <v>13</v>
      </c>
      <c r="E1262" s="8">
        <v>26131467856586</v>
      </c>
      <c r="F1262" s="8">
        <v>25992032234478</v>
      </c>
      <c r="G1262" s="8">
        <v>18259857403272</v>
      </c>
      <c r="H1262" s="8">
        <v>-34918782978</v>
      </c>
      <c r="I1262" s="8">
        <v>1386088525841</v>
      </c>
      <c r="J1262" s="8"/>
      <c r="K1262" s="8">
        <v>18259857403272</v>
      </c>
      <c r="L1262" s="8">
        <v>2841614567544</v>
      </c>
      <c r="M1262" s="8"/>
      <c r="N1262" s="8"/>
      <c r="O1262" s="8"/>
      <c r="P1262" s="8"/>
      <c r="Q1262" s="18">
        <f>(Table1[[#This Row],[A. TÀI SẢN NGẮN HẠN]]-Table1[[#This Row],[I. Nợ ngắn hạn]])/Table1[[#This Row],[TỔNG CỘNG TÀI SẢN]]</f>
        <v>0.29589515880399481</v>
      </c>
      <c r="R1262" s="18">
        <f>Table1[[#This Row],[- LNST chưa phân phối kỳ này]]/Table1[[#This Row],[TỔNG CỘNG TÀI SẢN]]</f>
        <v>-1.3362733073258761E-3</v>
      </c>
      <c r="S1262" s="21">
        <f>Table1[[#This Row],[5. Lợi nhuận gộp về bán hàng và cung cấp dịch vụ]]/Table1[[#This Row],[TỔNG CỘNG TÀI SẢN]]</f>
        <v>5.3042888116660449E-2</v>
      </c>
      <c r="T126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262" s="23">
        <f>Table1[[#This Row],[1. Doanh thu bán hàng và cung cấp dịch vụ ]]/Table1[[#This Row],[TỔNG CỘNG TÀI SẢN]]</f>
        <v>0.10874301371584905</v>
      </c>
      <c r="V1262" s="23" t="e">
        <f>1.2*Table1[[#This Row],[X1]] + 1.4*Table1[[#This Row],[X2]] + 3.3*Table1[[#This Row],[x3]] + 0.6*Table1[[#This Row],[x4]] + 1*Table1[[#This Row],[x5]]</f>
        <v>#DIV/0!</v>
      </c>
      <c r="W1262" s="23" t="e">
        <f>IF(Table1[[#This Row],[Zscore]]&lt;1.81,1,0)</f>
        <v>#DIV/0!</v>
      </c>
    </row>
    <row r="1263" spans="1:23" hidden="1" x14ac:dyDescent="0.45">
      <c r="A1263" s="7">
        <v>1257</v>
      </c>
      <c r="B1263" s="5" t="s">
        <v>2526</v>
      </c>
      <c r="C1263" s="6" t="s">
        <v>2527</v>
      </c>
      <c r="D1263" s="6" t="s">
        <v>13</v>
      </c>
      <c r="E1263" s="6"/>
      <c r="F1263" s="6"/>
      <c r="G1263" s="6"/>
      <c r="H1263" s="6"/>
      <c r="I1263" s="6"/>
      <c r="J1263" s="8"/>
      <c r="K1263" s="6"/>
      <c r="L1263" s="6"/>
      <c r="M1263" s="8"/>
      <c r="N1263" s="8"/>
      <c r="O1263" s="8"/>
      <c r="P1263" s="8"/>
      <c r="Q1263" s="18" t="e">
        <f>(Table1[[#This Row],[A. TÀI SẢN NGẮN HẠN]]-Table1[[#This Row],[I. Nợ ngắn hạn]])/Table1[[#This Row],[TỔNG CỘNG TÀI SẢN]]</f>
        <v>#DIV/0!</v>
      </c>
      <c r="R1263" s="18" t="e">
        <f>Table1[[#This Row],[- LNST chưa phân phối kỳ này]]/Table1[[#This Row],[TỔNG CỘNG TÀI SẢN]]</f>
        <v>#DIV/0!</v>
      </c>
      <c r="S1263" s="21" t="e">
        <f>Table1[[#This Row],[5. Lợi nhuận gộp về bán hàng và cung cấp dịch vụ]]/Table1[[#This Row],[TỔNG CỘNG TÀI SẢN]]</f>
        <v>#DIV/0!</v>
      </c>
      <c r="T126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263" s="23" t="e">
        <f>Table1[[#This Row],[1. Doanh thu bán hàng và cung cấp dịch vụ ]]/Table1[[#This Row],[TỔNG CỘNG TÀI SẢN]]</f>
        <v>#DIV/0!</v>
      </c>
      <c r="V1263" s="23" t="e">
        <f>1.2*Table1[[#This Row],[X1]] + 1.4*Table1[[#This Row],[X2]] + 3.3*Table1[[#This Row],[x3]] + 0.6*Table1[[#This Row],[x4]] + 1*Table1[[#This Row],[x5]]</f>
        <v>#DIV/0!</v>
      </c>
      <c r="W1263" s="23" t="e">
        <f>IF(Table1[[#This Row],[Zscore]]&lt;1.81,1,0)</f>
        <v>#DIV/0!</v>
      </c>
    </row>
    <row r="1264" spans="1:23" ht="26.25" hidden="1" x14ac:dyDescent="0.45">
      <c r="A1264" s="7">
        <v>1258</v>
      </c>
      <c r="B1264" s="5" t="s">
        <v>2528</v>
      </c>
      <c r="C1264" s="6" t="s">
        <v>2529</v>
      </c>
      <c r="D1264" s="6" t="s">
        <v>13</v>
      </c>
      <c r="E1264" s="6"/>
      <c r="F1264" s="6"/>
      <c r="G1264" s="6"/>
      <c r="H1264" s="6"/>
      <c r="I1264" s="6"/>
      <c r="J1264" s="8"/>
      <c r="K1264" s="6"/>
      <c r="L1264" s="6"/>
      <c r="M1264" s="8"/>
      <c r="N1264" s="8"/>
      <c r="O1264" s="8"/>
      <c r="P1264" s="8"/>
      <c r="Q1264" s="18" t="e">
        <f>(Table1[[#This Row],[A. TÀI SẢN NGẮN HẠN]]-Table1[[#This Row],[I. Nợ ngắn hạn]])/Table1[[#This Row],[TỔNG CỘNG TÀI SẢN]]</f>
        <v>#DIV/0!</v>
      </c>
      <c r="R1264" s="18" t="e">
        <f>Table1[[#This Row],[- LNST chưa phân phối kỳ này]]/Table1[[#This Row],[TỔNG CỘNG TÀI SẢN]]</f>
        <v>#DIV/0!</v>
      </c>
      <c r="S1264" s="21" t="e">
        <f>Table1[[#This Row],[5. Lợi nhuận gộp về bán hàng và cung cấp dịch vụ]]/Table1[[#This Row],[TỔNG CỘNG TÀI SẢN]]</f>
        <v>#DIV/0!</v>
      </c>
      <c r="T126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264" s="23" t="e">
        <f>Table1[[#This Row],[1. Doanh thu bán hàng và cung cấp dịch vụ ]]/Table1[[#This Row],[TỔNG CỘNG TÀI SẢN]]</f>
        <v>#DIV/0!</v>
      </c>
      <c r="V1264" s="23" t="e">
        <f>1.2*Table1[[#This Row],[X1]] + 1.4*Table1[[#This Row],[X2]] + 3.3*Table1[[#This Row],[x3]] + 0.6*Table1[[#This Row],[x4]] + 1*Table1[[#This Row],[x5]]</f>
        <v>#DIV/0!</v>
      </c>
      <c r="W1264" s="23" t="e">
        <f>IF(Table1[[#This Row],[Zscore]]&lt;1.81,1,0)</f>
        <v>#DIV/0!</v>
      </c>
    </row>
    <row r="1265" spans="1:23" ht="26.25" x14ac:dyDescent="0.45">
      <c r="A1265" s="7">
        <v>1259</v>
      </c>
      <c r="B1265" s="5" t="s">
        <v>2530</v>
      </c>
      <c r="C1265" s="6" t="s">
        <v>2531</v>
      </c>
      <c r="D1265" s="6" t="s">
        <v>21</v>
      </c>
      <c r="E1265" s="8">
        <v>69581173766629</v>
      </c>
      <c r="F1265" s="8">
        <v>55045529492865</v>
      </c>
      <c r="G1265" s="8">
        <v>11947551940878</v>
      </c>
      <c r="H1265" s="8">
        <v>2072612433444</v>
      </c>
      <c r="I1265" s="8">
        <v>3189629138551</v>
      </c>
      <c r="J1265" s="8"/>
      <c r="K1265" s="8">
        <v>42855329949506</v>
      </c>
      <c r="L1265" s="8">
        <v>6687125604053</v>
      </c>
      <c r="M1265" s="8">
        <v>23527085863350</v>
      </c>
      <c r="N1265" s="8">
        <v>33291030730650</v>
      </c>
      <c r="O1265" s="8">
        <v>20533427303250</v>
      </c>
      <c r="P1265" s="8">
        <v>33997346799900</v>
      </c>
      <c r="Q1265" s="18">
        <f>(Table1[[#This Row],[A. TÀI SẢN NGẮN HẠN]]-Table1[[#This Row],[I. Nợ ngắn hạn]])/Table1[[#This Row],[TỔNG CỘNG TÀI SẢN]]</f>
        <v>0.61939135572123261</v>
      </c>
      <c r="R1265" s="18">
        <f>Table1[[#This Row],[- LNST chưa phân phối kỳ này]]/Table1[[#This Row],[TỔNG CỘNG TÀI SẢN]]</f>
        <v>2.9786971406883928E-2</v>
      </c>
      <c r="S1265" s="21">
        <f>Table1[[#This Row],[5. Lợi nhuận gộp về bán hàng và cung cấp dịch vụ]]/Table1[[#This Row],[TỔNG CỘNG TÀI SẢN]]</f>
        <v>4.5840404320410304E-2</v>
      </c>
      <c r="T126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0.64956267299975334</v>
      </c>
      <c r="U1265" s="23">
        <f>Table1[[#This Row],[1. Doanh thu bán hàng và cung cấp dịch vụ ]]/Table1[[#This Row],[TỔNG CỘNG TÀI SẢN]]</f>
        <v>9.6105386587487157E-2</v>
      </c>
      <c r="V1265" s="23">
        <f>1.2*Table1[[#This Row],[X1]] + 1.4*Table1[[#This Row],[X2]] + 3.3*Table1[[#This Row],[x3]] + 0.6*Table1[[#This Row],[x4]] + 1*Table1[[#This Row],[x5]]</f>
        <v>1.4220877114798098</v>
      </c>
      <c r="W1265" s="23">
        <f>IF(Table1[[#This Row],[Zscore]]&lt;1.81,1,0)</f>
        <v>1</v>
      </c>
    </row>
    <row r="1266" spans="1:23" ht="26.25" hidden="1" x14ac:dyDescent="0.45">
      <c r="A1266" s="7">
        <v>1260</v>
      </c>
      <c r="B1266" s="5" t="s">
        <v>2532</v>
      </c>
      <c r="C1266" s="6" t="s">
        <v>2533</v>
      </c>
      <c r="D1266" s="6" t="s">
        <v>13</v>
      </c>
      <c r="E1266" s="6"/>
      <c r="F1266" s="6"/>
      <c r="G1266" s="6"/>
      <c r="H1266" s="6"/>
      <c r="I1266" s="6"/>
      <c r="J1266" s="8"/>
      <c r="K1266" s="6"/>
      <c r="L1266" s="6"/>
      <c r="M1266" s="8"/>
      <c r="N1266" s="8"/>
      <c r="O1266" s="8"/>
      <c r="P1266" s="8"/>
      <c r="Q1266" s="18" t="e">
        <f>(Table1[[#This Row],[A. TÀI SẢN NGẮN HẠN]]-Table1[[#This Row],[I. Nợ ngắn hạn]])/Table1[[#This Row],[TỔNG CỘNG TÀI SẢN]]</f>
        <v>#DIV/0!</v>
      </c>
      <c r="R1266" s="18" t="e">
        <f>Table1[[#This Row],[- LNST chưa phân phối kỳ này]]/Table1[[#This Row],[TỔNG CỘNG TÀI SẢN]]</f>
        <v>#DIV/0!</v>
      </c>
      <c r="S1266" s="21" t="e">
        <f>Table1[[#This Row],[5. Lợi nhuận gộp về bán hàng và cung cấp dịch vụ]]/Table1[[#This Row],[TỔNG CỘNG TÀI SẢN]]</f>
        <v>#DIV/0!</v>
      </c>
      <c r="T126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266" s="23" t="e">
        <f>Table1[[#This Row],[1. Doanh thu bán hàng và cung cấp dịch vụ ]]/Table1[[#This Row],[TỔNG CỘNG TÀI SẢN]]</f>
        <v>#DIV/0!</v>
      </c>
      <c r="V1266" s="23" t="e">
        <f>1.2*Table1[[#This Row],[X1]] + 1.4*Table1[[#This Row],[X2]] + 3.3*Table1[[#This Row],[x3]] + 0.6*Table1[[#This Row],[x4]] + 1*Table1[[#This Row],[x5]]</f>
        <v>#DIV/0!</v>
      </c>
      <c r="W1266" s="23" t="e">
        <f>IF(Table1[[#This Row],[Zscore]]&lt;1.81,1,0)</f>
        <v>#DIV/0!</v>
      </c>
    </row>
    <row r="1267" spans="1:23" hidden="1" x14ac:dyDescent="0.45">
      <c r="A1267" s="7">
        <v>1261</v>
      </c>
      <c r="B1267" s="5" t="s">
        <v>2534</v>
      </c>
      <c r="C1267" s="6" t="s">
        <v>2535</v>
      </c>
      <c r="D1267" s="6" t="s">
        <v>13</v>
      </c>
      <c r="E1267" s="8">
        <v>12595132868542</v>
      </c>
      <c r="F1267" s="8">
        <v>12518917958495</v>
      </c>
      <c r="G1267" s="8">
        <v>8041894321289</v>
      </c>
      <c r="H1267" s="8">
        <v>20421675007</v>
      </c>
      <c r="I1267" s="8">
        <v>714505265078</v>
      </c>
      <c r="J1267" s="8"/>
      <c r="K1267" s="8">
        <v>8041894321289</v>
      </c>
      <c r="L1267" s="8">
        <v>1056098302856</v>
      </c>
      <c r="M1267" s="8"/>
      <c r="N1267" s="8"/>
      <c r="O1267" s="8"/>
      <c r="P1267" s="8"/>
      <c r="Q1267" s="18">
        <f>(Table1[[#This Row],[A. TÀI SẢN NGẮN HẠN]]-Table1[[#This Row],[I. Nợ ngắn hạn]])/Table1[[#This Row],[TỔNG CỘNG TÀI SẢN]]</f>
        <v>0.35545664217548312</v>
      </c>
      <c r="R1267" s="18">
        <f>Table1[[#This Row],[- LNST chưa phân phối kỳ này]]/Table1[[#This Row],[TỔNG CỘNG TÀI SẢN]]</f>
        <v>1.6213941702834923E-3</v>
      </c>
      <c r="S1267" s="21">
        <f>Table1[[#This Row],[5. Lợi nhuận gộp về bán hàng và cung cấp dịch vụ]]/Table1[[#This Row],[TỔNG CỘNG TÀI SẢN]]</f>
        <v>5.6728680239854459E-2</v>
      </c>
      <c r="T126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267" s="23">
        <f>Table1[[#This Row],[1. Doanh thu bán hàng và cung cấp dịch vụ ]]/Table1[[#This Row],[TỔNG CỘNG TÀI SẢN]]</f>
        <v>8.3849715114458559E-2</v>
      </c>
      <c r="V1267" s="23" t="e">
        <f>1.2*Table1[[#This Row],[X1]] + 1.4*Table1[[#This Row],[X2]] + 3.3*Table1[[#This Row],[x3]] + 0.6*Table1[[#This Row],[x4]] + 1*Table1[[#This Row],[x5]]</f>
        <v>#DIV/0!</v>
      </c>
      <c r="W1267" s="23" t="e">
        <f>IF(Table1[[#This Row],[Zscore]]&lt;1.81,1,0)</f>
        <v>#DIV/0!</v>
      </c>
    </row>
    <row r="1268" spans="1:23" hidden="1" x14ac:dyDescent="0.45">
      <c r="A1268" s="7">
        <v>1262</v>
      </c>
      <c r="B1268" s="5" t="s">
        <v>2536</v>
      </c>
      <c r="C1268" s="6" t="s">
        <v>2537</v>
      </c>
      <c r="D1268" s="6" t="s">
        <v>13</v>
      </c>
      <c r="E1268" s="6"/>
      <c r="F1268" s="6"/>
      <c r="G1268" s="6"/>
      <c r="H1268" s="6"/>
      <c r="I1268" s="6"/>
      <c r="J1268" s="8"/>
      <c r="K1268" s="6"/>
      <c r="L1268" s="6"/>
      <c r="M1268" s="8"/>
      <c r="N1268" s="8"/>
      <c r="O1268" s="8"/>
      <c r="P1268" s="8"/>
      <c r="Q1268" s="18" t="e">
        <f>(Table1[[#This Row],[A. TÀI SẢN NGẮN HẠN]]-Table1[[#This Row],[I. Nợ ngắn hạn]])/Table1[[#This Row],[TỔNG CỘNG TÀI SẢN]]</f>
        <v>#DIV/0!</v>
      </c>
      <c r="R1268" s="18" t="e">
        <f>Table1[[#This Row],[- LNST chưa phân phối kỳ này]]/Table1[[#This Row],[TỔNG CỘNG TÀI SẢN]]</f>
        <v>#DIV/0!</v>
      </c>
      <c r="S1268" s="21" t="e">
        <f>Table1[[#This Row],[5. Lợi nhuận gộp về bán hàng và cung cấp dịch vụ]]/Table1[[#This Row],[TỔNG CỘNG TÀI SẢN]]</f>
        <v>#DIV/0!</v>
      </c>
      <c r="T126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268" s="23" t="e">
        <f>Table1[[#This Row],[1. Doanh thu bán hàng và cung cấp dịch vụ ]]/Table1[[#This Row],[TỔNG CỘNG TÀI SẢN]]</f>
        <v>#DIV/0!</v>
      </c>
      <c r="V1268" s="23" t="e">
        <f>1.2*Table1[[#This Row],[X1]] + 1.4*Table1[[#This Row],[X2]] + 3.3*Table1[[#This Row],[x3]] + 0.6*Table1[[#This Row],[x4]] + 1*Table1[[#This Row],[x5]]</f>
        <v>#DIV/0!</v>
      </c>
      <c r="W1268" s="23" t="e">
        <f>IF(Table1[[#This Row],[Zscore]]&lt;1.81,1,0)</f>
        <v>#DIV/0!</v>
      </c>
    </row>
    <row r="1269" spans="1:23" ht="26.25" hidden="1" x14ac:dyDescent="0.45">
      <c r="A1269" s="7">
        <v>1263</v>
      </c>
      <c r="B1269" s="5" t="s">
        <v>2538</v>
      </c>
      <c r="C1269" s="6" t="s">
        <v>2539</v>
      </c>
      <c r="D1269" s="6" t="s">
        <v>18</v>
      </c>
      <c r="E1269" s="6"/>
      <c r="F1269" s="6"/>
      <c r="G1269" s="6"/>
      <c r="H1269" s="6"/>
      <c r="I1269" s="6"/>
      <c r="J1269" s="8"/>
      <c r="K1269" s="6"/>
      <c r="L1269" s="6"/>
      <c r="M1269" s="8"/>
      <c r="N1269" s="8"/>
      <c r="O1269" s="8"/>
      <c r="P1269" s="8"/>
      <c r="Q1269" s="18" t="e">
        <f>(Table1[[#This Row],[A. TÀI SẢN NGẮN HẠN]]-Table1[[#This Row],[I. Nợ ngắn hạn]])/Table1[[#This Row],[TỔNG CỘNG TÀI SẢN]]</f>
        <v>#DIV/0!</v>
      </c>
      <c r="R1269" s="18" t="e">
        <f>Table1[[#This Row],[- LNST chưa phân phối kỳ này]]/Table1[[#This Row],[TỔNG CỘNG TÀI SẢN]]</f>
        <v>#DIV/0!</v>
      </c>
      <c r="S1269" s="21" t="e">
        <f>Table1[[#This Row],[5. Lợi nhuận gộp về bán hàng và cung cấp dịch vụ]]/Table1[[#This Row],[TỔNG CỘNG TÀI SẢN]]</f>
        <v>#DIV/0!</v>
      </c>
      <c r="T126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269" s="23" t="e">
        <f>Table1[[#This Row],[1. Doanh thu bán hàng và cung cấp dịch vụ ]]/Table1[[#This Row],[TỔNG CỘNG TÀI SẢN]]</f>
        <v>#DIV/0!</v>
      </c>
      <c r="V1269" s="23" t="e">
        <f>1.2*Table1[[#This Row],[X1]] + 1.4*Table1[[#This Row],[X2]] + 3.3*Table1[[#This Row],[x3]] + 0.6*Table1[[#This Row],[x4]] + 1*Table1[[#This Row],[x5]]</f>
        <v>#DIV/0!</v>
      </c>
      <c r="W1269" s="23" t="e">
        <f>IF(Table1[[#This Row],[Zscore]]&lt;1.81,1,0)</f>
        <v>#DIV/0!</v>
      </c>
    </row>
    <row r="1270" spans="1:23" ht="26.25" hidden="1" x14ac:dyDescent="0.45">
      <c r="A1270" s="7">
        <v>1264</v>
      </c>
      <c r="B1270" s="5" t="s">
        <v>2540</v>
      </c>
      <c r="C1270" s="6" t="s">
        <v>2541</v>
      </c>
      <c r="D1270" s="6" t="s">
        <v>13</v>
      </c>
      <c r="E1270" s="6"/>
      <c r="F1270" s="6"/>
      <c r="G1270" s="6"/>
      <c r="H1270" s="6"/>
      <c r="I1270" s="6"/>
      <c r="J1270" s="8"/>
      <c r="K1270" s="6"/>
      <c r="L1270" s="6"/>
      <c r="M1270" s="8"/>
      <c r="N1270" s="8"/>
      <c r="O1270" s="8"/>
      <c r="P1270" s="8"/>
      <c r="Q1270" s="18" t="e">
        <f>(Table1[[#This Row],[A. TÀI SẢN NGẮN HẠN]]-Table1[[#This Row],[I. Nợ ngắn hạn]])/Table1[[#This Row],[TỔNG CỘNG TÀI SẢN]]</f>
        <v>#DIV/0!</v>
      </c>
      <c r="R1270" s="18" t="e">
        <f>Table1[[#This Row],[- LNST chưa phân phối kỳ này]]/Table1[[#This Row],[TỔNG CỘNG TÀI SẢN]]</f>
        <v>#DIV/0!</v>
      </c>
      <c r="S1270" s="21" t="e">
        <f>Table1[[#This Row],[5. Lợi nhuận gộp về bán hàng và cung cấp dịch vụ]]/Table1[[#This Row],[TỔNG CỘNG TÀI SẢN]]</f>
        <v>#DIV/0!</v>
      </c>
      <c r="T127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270" s="23" t="e">
        <f>Table1[[#This Row],[1. Doanh thu bán hàng và cung cấp dịch vụ ]]/Table1[[#This Row],[TỔNG CỘNG TÀI SẢN]]</f>
        <v>#DIV/0!</v>
      </c>
      <c r="V1270" s="23" t="e">
        <f>1.2*Table1[[#This Row],[X1]] + 1.4*Table1[[#This Row],[X2]] + 3.3*Table1[[#This Row],[x3]] + 0.6*Table1[[#This Row],[x4]] + 1*Table1[[#This Row],[x5]]</f>
        <v>#DIV/0!</v>
      </c>
      <c r="W1270" s="23" t="e">
        <f>IF(Table1[[#This Row],[Zscore]]&lt;1.81,1,0)</f>
        <v>#DIV/0!</v>
      </c>
    </row>
    <row r="1271" spans="1:23" x14ac:dyDescent="0.45">
      <c r="A1271" s="7">
        <v>1265</v>
      </c>
      <c r="B1271" s="5" t="s">
        <v>2542</v>
      </c>
      <c r="C1271" s="6" t="s">
        <v>2543</v>
      </c>
      <c r="D1271" s="6" t="s">
        <v>21</v>
      </c>
      <c r="E1271" s="8">
        <v>13980821928690</v>
      </c>
      <c r="F1271" s="8">
        <v>6359055496414</v>
      </c>
      <c r="G1271" s="8">
        <v>5141630606696</v>
      </c>
      <c r="H1271" s="8">
        <v>523716360994</v>
      </c>
      <c r="I1271" s="8">
        <v>1670991731106</v>
      </c>
      <c r="J1271" s="8"/>
      <c r="K1271" s="8">
        <v>6243051244484</v>
      </c>
      <c r="L1271" s="8">
        <v>9291536690397</v>
      </c>
      <c r="M1271" s="8">
        <v>16055269906400</v>
      </c>
      <c r="N1271" s="8">
        <v>15069928432000</v>
      </c>
      <c r="O1271" s="8">
        <v>16663863170000</v>
      </c>
      <c r="P1271" s="8">
        <v>14982986537200</v>
      </c>
      <c r="Q1271" s="18">
        <f>(Table1[[#This Row],[A. TÀI SẢN NGẮN HẠN]]-Table1[[#This Row],[I. Nợ ngắn hạn]])/Table1[[#This Row],[TỔNG CỘNG TÀI SẢN]]</f>
        <v>8.7078205839938944E-2</v>
      </c>
      <c r="R1271" s="18">
        <f>Table1[[#This Row],[- LNST chưa phân phối kỳ này]]/Table1[[#This Row],[TỔNG CỘNG TÀI SẢN]]</f>
        <v>3.7459626026656083E-2</v>
      </c>
      <c r="S1271" s="21">
        <f>Table1[[#This Row],[5. Lợi nhuận gộp về bán hàng và cung cấp dịch vụ]]/Table1[[#This Row],[TỔNG CỘNG TÀI SẢN]]</f>
        <v>0.11952027853791365</v>
      </c>
      <c r="T127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2.5136766297193924</v>
      </c>
      <c r="U1271" s="23">
        <f>Table1[[#This Row],[1. Doanh thu bán hàng và cung cấp dịch vụ ]]/Table1[[#This Row],[TỔNG CỘNG TÀI SẢN]]</f>
        <v>0.66459159109450261</v>
      </c>
      <c r="V1271" s="23">
        <f>1.2*Table1[[#This Row],[X1]] + 1.4*Table1[[#This Row],[X2]] + 3.3*Table1[[#This Row],[x3]] + 0.6*Table1[[#This Row],[x4]] + 1*Table1[[#This Row],[x5]]</f>
        <v>2.7241518115464984</v>
      </c>
      <c r="W1271" s="23">
        <f>IF(Table1[[#This Row],[Zscore]]&lt;1.81,1,0)</f>
        <v>0</v>
      </c>
    </row>
    <row r="1272" spans="1:23" ht="26.25" hidden="1" x14ac:dyDescent="0.45">
      <c r="A1272" s="7">
        <v>1266</v>
      </c>
      <c r="B1272" s="5" t="s">
        <v>2544</v>
      </c>
      <c r="C1272" s="6" t="s">
        <v>2545</v>
      </c>
      <c r="D1272" s="6" t="s">
        <v>13</v>
      </c>
      <c r="E1272" s="6"/>
      <c r="F1272" s="6"/>
      <c r="G1272" s="6"/>
      <c r="H1272" s="6"/>
      <c r="I1272" s="6"/>
      <c r="J1272" s="8"/>
      <c r="K1272" s="6"/>
      <c r="L1272" s="6"/>
      <c r="M1272" s="8"/>
      <c r="N1272" s="8"/>
      <c r="O1272" s="8"/>
      <c r="P1272" s="8"/>
      <c r="Q1272" s="18" t="e">
        <f>(Table1[[#This Row],[A. TÀI SẢN NGẮN HẠN]]-Table1[[#This Row],[I. Nợ ngắn hạn]])/Table1[[#This Row],[TỔNG CỘNG TÀI SẢN]]</f>
        <v>#DIV/0!</v>
      </c>
      <c r="R1272" s="18" t="e">
        <f>Table1[[#This Row],[- LNST chưa phân phối kỳ này]]/Table1[[#This Row],[TỔNG CỘNG TÀI SẢN]]</f>
        <v>#DIV/0!</v>
      </c>
      <c r="S1272" s="21" t="e">
        <f>Table1[[#This Row],[5. Lợi nhuận gộp về bán hàng và cung cấp dịch vụ]]/Table1[[#This Row],[TỔNG CỘNG TÀI SẢN]]</f>
        <v>#DIV/0!</v>
      </c>
      <c r="T127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272" s="23" t="e">
        <f>Table1[[#This Row],[1. Doanh thu bán hàng và cung cấp dịch vụ ]]/Table1[[#This Row],[TỔNG CỘNG TÀI SẢN]]</f>
        <v>#DIV/0!</v>
      </c>
      <c r="V1272" s="23" t="e">
        <f>1.2*Table1[[#This Row],[X1]] + 1.4*Table1[[#This Row],[X2]] + 3.3*Table1[[#This Row],[x3]] + 0.6*Table1[[#This Row],[x4]] + 1*Table1[[#This Row],[x5]]</f>
        <v>#DIV/0!</v>
      </c>
      <c r="W1272" s="23" t="e">
        <f>IF(Table1[[#This Row],[Zscore]]&lt;1.81,1,0)</f>
        <v>#DIV/0!</v>
      </c>
    </row>
    <row r="1273" spans="1:23" ht="26.25" x14ac:dyDescent="0.45">
      <c r="A1273" s="7">
        <v>1267</v>
      </c>
      <c r="B1273" s="5" t="s">
        <v>2546</v>
      </c>
      <c r="C1273" s="6" t="s">
        <v>2547</v>
      </c>
      <c r="D1273" s="6" t="s">
        <v>21</v>
      </c>
      <c r="E1273" s="8">
        <v>34064269839000</v>
      </c>
      <c r="F1273" s="8">
        <v>31619491732000</v>
      </c>
      <c r="G1273" s="8">
        <v>3498975432000</v>
      </c>
      <c r="H1273" s="8">
        <v>1052699493000</v>
      </c>
      <c r="I1273" s="8">
        <v>2775751800000</v>
      </c>
      <c r="J1273" s="8"/>
      <c r="K1273" s="8">
        <v>12893458781000</v>
      </c>
      <c r="L1273" s="8">
        <v>4686541340000</v>
      </c>
      <c r="M1273" s="8">
        <v>32963247619000</v>
      </c>
      <c r="N1273" s="8">
        <v>35349769318500</v>
      </c>
      <c r="O1273" s="8">
        <v>29727591411000</v>
      </c>
      <c r="P1273" s="8">
        <v>37930863586200</v>
      </c>
      <c r="Q1273" s="18">
        <f>(Table1[[#This Row],[A. TÀI SẢN NGẮN HẠN]]-Table1[[#This Row],[I. Nợ ngắn hạn]])/Table1[[#This Row],[TỔNG CỘNG TÀI SẢN]]</f>
        <v>0.82551354932624954</v>
      </c>
      <c r="R1273" s="18">
        <f>Table1[[#This Row],[- LNST chưa phân phối kỳ này]]/Table1[[#This Row],[TỔNG CỘNG TÀI SẢN]]</f>
        <v>3.0903333550827208E-2</v>
      </c>
      <c r="S1273" s="21">
        <f>Table1[[#This Row],[5. Lợi nhuận gộp về bán hàng và cung cấp dịch vụ]]/Table1[[#This Row],[TỔNG CỘNG TÀI SẢN]]</f>
        <v>8.1485727218554863E-2</v>
      </c>
      <c r="T127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2.6364429096223128</v>
      </c>
      <c r="U1273" s="23">
        <f>Table1[[#This Row],[1. Doanh thu bán hàng và cung cấp dịch vụ ]]/Table1[[#This Row],[TỔNG CỘNG TÀI SẢN]]</f>
        <v>0.13757938632327307</v>
      </c>
      <c r="V1273" s="23">
        <f>1.2*Table1[[#This Row],[X1]] + 1.4*Table1[[#This Row],[X2]] + 3.3*Table1[[#This Row],[x3]] + 0.6*Table1[[#This Row],[x4]] + 1*Table1[[#This Row],[x5]]</f>
        <v>3.0222289580805493</v>
      </c>
      <c r="W1273" s="23">
        <f>IF(Table1[[#This Row],[Zscore]]&lt;1.81,1,0)</f>
        <v>0</v>
      </c>
    </row>
    <row r="1274" spans="1:23" x14ac:dyDescent="0.45">
      <c r="A1274" s="7">
        <v>1268</v>
      </c>
      <c r="B1274" s="5" t="s">
        <v>2548</v>
      </c>
      <c r="C1274" s="6" t="s">
        <v>2549</v>
      </c>
      <c r="D1274" s="6" t="s">
        <v>36</v>
      </c>
      <c r="E1274" s="8">
        <v>78544596256</v>
      </c>
      <c r="F1274" s="8">
        <v>48544596256</v>
      </c>
      <c r="G1274" s="8">
        <v>564530857</v>
      </c>
      <c r="H1274" s="8">
        <v>683109298</v>
      </c>
      <c r="I1274" s="8">
        <v>310737365</v>
      </c>
      <c r="J1274" s="8"/>
      <c r="K1274" s="8">
        <v>564530857</v>
      </c>
      <c r="L1274" s="8">
        <v>14760820300</v>
      </c>
      <c r="M1274" s="8">
        <v>129148677000</v>
      </c>
      <c r="N1274" s="8">
        <v>186126034500</v>
      </c>
      <c r="O1274" s="8">
        <v>132187469400</v>
      </c>
      <c r="P1274" s="8">
        <v>106357734000</v>
      </c>
      <c r="Q1274" s="18">
        <f>(Table1[[#This Row],[A. TÀI SẢN NGẮN HẠN]]-Table1[[#This Row],[I. Nợ ngắn hạn]])/Table1[[#This Row],[TỔNG CỘNG TÀI SẢN]]</f>
        <v>0.61086398919944562</v>
      </c>
      <c r="R1274" s="18">
        <f>Table1[[#This Row],[- LNST chưa phân phối kỳ này]]/Table1[[#This Row],[TỔNG CỘNG TÀI SẢN]]</f>
        <v>8.6970884129768181E-3</v>
      </c>
      <c r="S1274" s="21">
        <f>Table1[[#This Row],[5. Lợi nhuận gộp về bán hàng và cung cấp dịch vụ]]/Table1[[#This Row],[TỔNG CỘNG TÀI SẢN]]</f>
        <v>3.956190238564793E-3</v>
      </c>
      <c r="T127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245.25670653464385</v>
      </c>
      <c r="U1274" s="23">
        <f>Table1[[#This Row],[1. Doanh thu bán hàng và cung cấp dịch vụ ]]/Table1[[#This Row],[TỔNG CỘNG TÀI SẢN]]</f>
        <v>0.18792916385858213</v>
      </c>
      <c r="V1274" s="23">
        <f>1.2*Table1[[#This Row],[X1]] + 1.4*Table1[[#This Row],[X2]] + 3.3*Table1[[#This Row],[x3]] + 0.6*Table1[[#This Row],[x4]] + 1*Table1[[#This Row],[x5]]</f>
        <v>148.10022122324963</v>
      </c>
      <c r="W1274" s="23">
        <f>IF(Table1[[#This Row],[Zscore]]&lt;1.81,1,0)</f>
        <v>0</v>
      </c>
    </row>
    <row r="1275" spans="1:23" x14ac:dyDescent="0.45">
      <c r="A1275" s="7">
        <v>1269</v>
      </c>
      <c r="B1275" s="5" t="s">
        <v>2550</v>
      </c>
      <c r="C1275" s="6" t="s">
        <v>2551</v>
      </c>
      <c r="D1275" s="6" t="s">
        <v>18</v>
      </c>
      <c r="E1275" s="8">
        <v>657640156663</v>
      </c>
      <c r="F1275" s="8">
        <v>487920895644</v>
      </c>
      <c r="G1275" s="8">
        <v>379695214645</v>
      </c>
      <c r="H1275" s="8">
        <v>14480858181</v>
      </c>
      <c r="I1275" s="8">
        <v>561181181581</v>
      </c>
      <c r="J1275" s="8"/>
      <c r="K1275" s="8">
        <v>383137514645</v>
      </c>
      <c r="L1275" s="8">
        <v>5232309511462</v>
      </c>
      <c r="M1275" s="8">
        <v>162752000000</v>
      </c>
      <c r="N1275" s="8">
        <v>142408000000</v>
      </c>
      <c r="O1275" s="8">
        <v>142408000000</v>
      </c>
      <c r="P1275" s="8">
        <v>150037000000</v>
      </c>
      <c r="Q1275" s="18">
        <f>(Table1[[#This Row],[A. TÀI SẢN NGẮN HẠN]]-Table1[[#This Row],[I. Nợ ngắn hạn]])/Table1[[#This Row],[TỔNG CỘNG TÀI SẢN]]</f>
        <v>0.16456671616307486</v>
      </c>
      <c r="R1275" s="18">
        <f>Table1[[#This Row],[- LNST chưa phân phối kỳ này]]/Table1[[#This Row],[TỔNG CỘNG TÀI SẢN]]</f>
        <v>2.201942511308741E-2</v>
      </c>
      <c r="S1275" s="21">
        <f>Table1[[#This Row],[5. Lợi nhuận gộp về bán hàng và cung cấp dịch vụ]]/Table1[[#This Row],[TỔNG CỘNG TÀI SẢN]]</f>
        <v>0.85332560047511019</v>
      </c>
      <c r="T127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0.38994158569522813</v>
      </c>
      <c r="U1275" s="23">
        <f>Table1[[#This Row],[1. Doanh thu bán hàng và cung cấp dịch vụ ]]/Table1[[#This Row],[TỔNG CỘNG TÀI SẢN]]</f>
        <v>7.9561891992906935</v>
      </c>
      <c r="V1275" s="23">
        <f>1.2*Table1[[#This Row],[X1]] + 1.4*Table1[[#This Row],[X2]] + 3.3*Table1[[#This Row],[x3]] + 0.6*Table1[[#This Row],[x4]] + 1*Table1[[#This Row],[x5]]</f>
        <v>11.234435886829706</v>
      </c>
      <c r="W1275" s="23">
        <f>IF(Table1[[#This Row],[Zscore]]&lt;1.81,1,0)</f>
        <v>0</v>
      </c>
    </row>
    <row r="1276" spans="1:23" ht="26.25" hidden="1" x14ac:dyDescent="0.45">
      <c r="A1276" s="7">
        <v>1270</v>
      </c>
      <c r="B1276" s="5" t="s">
        <v>2552</v>
      </c>
      <c r="C1276" s="6" t="s">
        <v>2553</v>
      </c>
      <c r="D1276" s="6" t="s">
        <v>13</v>
      </c>
      <c r="E1276" s="6"/>
      <c r="F1276" s="6"/>
      <c r="G1276" s="6"/>
      <c r="H1276" s="6"/>
      <c r="I1276" s="6"/>
      <c r="J1276" s="8"/>
      <c r="K1276" s="6"/>
      <c r="L1276" s="6"/>
      <c r="M1276" s="8"/>
      <c r="N1276" s="8"/>
      <c r="O1276" s="8"/>
      <c r="P1276" s="8"/>
      <c r="Q1276" s="18" t="e">
        <f>(Table1[[#This Row],[A. TÀI SẢN NGẮN HẠN]]-Table1[[#This Row],[I. Nợ ngắn hạn]])/Table1[[#This Row],[TỔNG CỘNG TÀI SẢN]]</f>
        <v>#DIV/0!</v>
      </c>
      <c r="R1276" s="18" t="e">
        <f>Table1[[#This Row],[- LNST chưa phân phối kỳ này]]/Table1[[#This Row],[TỔNG CỘNG TÀI SẢN]]</f>
        <v>#DIV/0!</v>
      </c>
      <c r="S1276" s="21" t="e">
        <f>Table1[[#This Row],[5. Lợi nhuận gộp về bán hàng và cung cấp dịch vụ]]/Table1[[#This Row],[TỔNG CỘNG TÀI SẢN]]</f>
        <v>#DIV/0!</v>
      </c>
      <c r="T127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276" s="23" t="e">
        <f>Table1[[#This Row],[1. Doanh thu bán hàng và cung cấp dịch vụ ]]/Table1[[#This Row],[TỔNG CỘNG TÀI SẢN]]</f>
        <v>#DIV/0!</v>
      </c>
      <c r="V1276" s="23" t="e">
        <f>1.2*Table1[[#This Row],[X1]] + 1.4*Table1[[#This Row],[X2]] + 3.3*Table1[[#This Row],[x3]] + 0.6*Table1[[#This Row],[x4]] + 1*Table1[[#This Row],[x5]]</f>
        <v>#DIV/0!</v>
      </c>
      <c r="W1276" s="23" t="e">
        <f>IF(Table1[[#This Row],[Zscore]]&lt;1.81,1,0)</f>
        <v>#DIV/0!</v>
      </c>
    </row>
    <row r="1277" spans="1:23" hidden="1" x14ac:dyDescent="0.45">
      <c r="A1277" s="7">
        <v>1271</v>
      </c>
      <c r="B1277" s="5" t="s">
        <v>2554</v>
      </c>
      <c r="C1277" s="6" t="s">
        <v>2555</v>
      </c>
      <c r="D1277" s="6" t="s">
        <v>13</v>
      </c>
      <c r="E1277" s="6"/>
      <c r="F1277" s="6"/>
      <c r="G1277" s="6"/>
      <c r="H1277" s="6"/>
      <c r="I1277" s="6"/>
      <c r="J1277" s="8"/>
      <c r="K1277" s="6"/>
      <c r="L1277" s="6"/>
      <c r="M1277" s="8"/>
      <c r="N1277" s="8"/>
      <c r="O1277" s="8"/>
      <c r="P1277" s="8"/>
      <c r="Q1277" s="18" t="e">
        <f>(Table1[[#This Row],[A. TÀI SẢN NGẮN HẠN]]-Table1[[#This Row],[I. Nợ ngắn hạn]])/Table1[[#This Row],[TỔNG CỘNG TÀI SẢN]]</f>
        <v>#DIV/0!</v>
      </c>
      <c r="R1277" s="18" t="e">
        <f>Table1[[#This Row],[- LNST chưa phân phối kỳ này]]/Table1[[#This Row],[TỔNG CỘNG TÀI SẢN]]</f>
        <v>#DIV/0!</v>
      </c>
      <c r="S1277" s="21" t="e">
        <f>Table1[[#This Row],[5. Lợi nhuận gộp về bán hàng và cung cấp dịch vụ]]/Table1[[#This Row],[TỔNG CỘNG TÀI SẢN]]</f>
        <v>#DIV/0!</v>
      </c>
      <c r="T127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277" s="23" t="e">
        <f>Table1[[#This Row],[1. Doanh thu bán hàng và cung cấp dịch vụ ]]/Table1[[#This Row],[TỔNG CỘNG TÀI SẢN]]</f>
        <v>#DIV/0!</v>
      </c>
      <c r="V1277" s="23" t="e">
        <f>1.2*Table1[[#This Row],[X1]] + 1.4*Table1[[#This Row],[X2]] + 3.3*Table1[[#This Row],[x3]] + 0.6*Table1[[#This Row],[x4]] + 1*Table1[[#This Row],[x5]]</f>
        <v>#DIV/0!</v>
      </c>
      <c r="W1277" s="23" t="e">
        <f>IF(Table1[[#This Row],[Zscore]]&lt;1.81,1,0)</f>
        <v>#DIV/0!</v>
      </c>
    </row>
    <row r="1278" spans="1:23" hidden="1" x14ac:dyDescent="0.45">
      <c r="A1278" s="7">
        <v>1272</v>
      </c>
      <c r="B1278" s="5" t="s">
        <v>2556</v>
      </c>
      <c r="C1278" s="6" t="s">
        <v>2557</v>
      </c>
      <c r="D1278" s="6" t="s">
        <v>13</v>
      </c>
      <c r="E1278" s="6"/>
      <c r="F1278" s="6"/>
      <c r="G1278" s="6"/>
      <c r="H1278" s="6"/>
      <c r="I1278" s="6"/>
      <c r="J1278" s="8"/>
      <c r="K1278" s="6"/>
      <c r="L1278" s="6"/>
      <c r="M1278" s="8"/>
      <c r="N1278" s="8"/>
      <c r="O1278" s="8"/>
      <c r="P1278" s="8"/>
      <c r="Q1278" s="18" t="e">
        <f>(Table1[[#This Row],[A. TÀI SẢN NGẮN HẠN]]-Table1[[#This Row],[I. Nợ ngắn hạn]])/Table1[[#This Row],[TỔNG CỘNG TÀI SẢN]]</f>
        <v>#DIV/0!</v>
      </c>
      <c r="R1278" s="18" t="e">
        <f>Table1[[#This Row],[- LNST chưa phân phối kỳ này]]/Table1[[#This Row],[TỔNG CỘNG TÀI SẢN]]</f>
        <v>#DIV/0!</v>
      </c>
      <c r="S1278" s="21" t="e">
        <f>Table1[[#This Row],[5. Lợi nhuận gộp về bán hàng và cung cấp dịch vụ]]/Table1[[#This Row],[TỔNG CỘNG TÀI SẢN]]</f>
        <v>#DIV/0!</v>
      </c>
      <c r="T127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278" s="23" t="e">
        <f>Table1[[#This Row],[1. Doanh thu bán hàng và cung cấp dịch vụ ]]/Table1[[#This Row],[TỔNG CỘNG TÀI SẢN]]</f>
        <v>#DIV/0!</v>
      </c>
      <c r="V1278" s="23" t="e">
        <f>1.2*Table1[[#This Row],[X1]] + 1.4*Table1[[#This Row],[X2]] + 3.3*Table1[[#This Row],[x3]] + 0.6*Table1[[#This Row],[x4]] + 1*Table1[[#This Row],[x5]]</f>
        <v>#DIV/0!</v>
      </c>
      <c r="W1278" s="23" t="e">
        <f>IF(Table1[[#This Row],[Zscore]]&lt;1.81,1,0)</f>
        <v>#DIV/0!</v>
      </c>
    </row>
    <row r="1279" spans="1:23" ht="26.25" hidden="1" x14ac:dyDescent="0.45">
      <c r="A1279" s="7">
        <v>1273</v>
      </c>
      <c r="B1279" s="5" t="s">
        <v>2558</v>
      </c>
      <c r="C1279" s="6" t="s">
        <v>2559</v>
      </c>
      <c r="D1279" s="6" t="s">
        <v>13</v>
      </c>
      <c r="E1279" s="6"/>
      <c r="F1279" s="6"/>
      <c r="G1279" s="6"/>
      <c r="H1279" s="6"/>
      <c r="I1279" s="6"/>
      <c r="J1279" s="8"/>
      <c r="K1279" s="6"/>
      <c r="L1279" s="6"/>
      <c r="M1279" s="8"/>
      <c r="N1279" s="8"/>
      <c r="O1279" s="8"/>
      <c r="P1279" s="8"/>
      <c r="Q1279" s="18" t="e">
        <f>(Table1[[#This Row],[A. TÀI SẢN NGẮN HẠN]]-Table1[[#This Row],[I. Nợ ngắn hạn]])/Table1[[#This Row],[TỔNG CỘNG TÀI SẢN]]</f>
        <v>#DIV/0!</v>
      </c>
      <c r="R1279" s="18" t="e">
        <f>Table1[[#This Row],[- LNST chưa phân phối kỳ này]]/Table1[[#This Row],[TỔNG CỘNG TÀI SẢN]]</f>
        <v>#DIV/0!</v>
      </c>
      <c r="S1279" s="21" t="e">
        <f>Table1[[#This Row],[5. Lợi nhuận gộp về bán hàng và cung cấp dịch vụ]]/Table1[[#This Row],[TỔNG CỘNG TÀI SẢN]]</f>
        <v>#DIV/0!</v>
      </c>
      <c r="T127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279" s="23" t="e">
        <f>Table1[[#This Row],[1. Doanh thu bán hàng và cung cấp dịch vụ ]]/Table1[[#This Row],[TỔNG CỘNG TÀI SẢN]]</f>
        <v>#DIV/0!</v>
      </c>
      <c r="V1279" s="23" t="e">
        <f>1.2*Table1[[#This Row],[X1]] + 1.4*Table1[[#This Row],[X2]] + 3.3*Table1[[#This Row],[x3]] + 0.6*Table1[[#This Row],[x4]] + 1*Table1[[#This Row],[x5]]</f>
        <v>#DIV/0!</v>
      </c>
      <c r="W1279" s="23" t="e">
        <f>IF(Table1[[#This Row],[Zscore]]&lt;1.81,1,0)</f>
        <v>#DIV/0!</v>
      </c>
    </row>
    <row r="1280" spans="1:23" hidden="1" x14ac:dyDescent="0.45">
      <c r="A1280" s="7">
        <v>1274</v>
      </c>
      <c r="B1280" s="5" t="s">
        <v>2560</v>
      </c>
      <c r="C1280" s="6" t="s">
        <v>2561</v>
      </c>
      <c r="D1280" s="6" t="s">
        <v>13</v>
      </c>
      <c r="E1280" s="6"/>
      <c r="F1280" s="6"/>
      <c r="G1280" s="6"/>
      <c r="H1280" s="6"/>
      <c r="I1280" s="6"/>
      <c r="J1280" s="8"/>
      <c r="K1280" s="6"/>
      <c r="L1280" s="6"/>
      <c r="M1280" s="8"/>
      <c r="N1280" s="8"/>
      <c r="O1280" s="8"/>
      <c r="P1280" s="8"/>
      <c r="Q1280" s="18" t="e">
        <f>(Table1[[#This Row],[A. TÀI SẢN NGẮN HẠN]]-Table1[[#This Row],[I. Nợ ngắn hạn]])/Table1[[#This Row],[TỔNG CỘNG TÀI SẢN]]</f>
        <v>#DIV/0!</v>
      </c>
      <c r="R1280" s="18" t="e">
        <f>Table1[[#This Row],[- LNST chưa phân phối kỳ này]]/Table1[[#This Row],[TỔNG CỘNG TÀI SẢN]]</f>
        <v>#DIV/0!</v>
      </c>
      <c r="S1280" s="21" t="e">
        <f>Table1[[#This Row],[5. Lợi nhuận gộp về bán hàng và cung cấp dịch vụ]]/Table1[[#This Row],[TỔNG CỘNG TÀI SẢN]]</f>
        <v>#DIV/0!</v>
      </c>
      <c r="T128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280" s="23" t="e">
        <f>Table1[[#This Row],[1. Doanh thu bán hàng và cung cấp dịch vụ ]]/Table1[[#This Row],[TỔNG CỘNG TÀI SẢN]]</f>
        <v>#DIV/0!</v>
      </c>
      <c r="V1280" s="23" t="e">
        <f>1.2*Table1[[#This Row],[X1]] + 1.4*Table1[[#This Row],[X2]] + 3.3*Table1[[#This Row],[x3]] + 0.6*Table1[[#This Row],[x4]] + 1*Table1[[#This Row],[x5]]</f>
        <v>#DIV/0!</v>
      </c>
      <c r="W1280" s="23" t="e">
        <f>IF(Table1[[#This Row],[Zscore]]&lt;1.81,1,0)</f>
        <v>#DIV/0!</v>
      </c>
    </row>
    <row r="1281" spans="1:23" hidden="1" x14ac:dyDescent="0.45">
      <c r="A1281" s="7">
        <v>1275</v>
      </c>
      <c r="B1281" s="5" t="s">
        <v>2562</v>
      </c>
      <c r="C1281" s="6" t="s">
        <v>2563</v>
      </c>
      <c r="D1281" s="6" t="s">
        <v>13</v>
      </c>
      <c r="E1281" s="6"/>
      <c r="F1281" s="6"/>
      <c r="G1281" s="6"/>
      <c r="H1281" s="6"/>
      <c r="I1281" s="6"/>
      <c r="J1281" s="8"/>
      <c r="K1281" s="6"/>
      <c r="L1281" s="6"/>
      <c r="M1281" s="8"/>
      <c r="N1281" s="8"/>
      <c r="O1281" s="8"/>
      <c r="P1281" s="8"/>
      <c r="Q1281" s="18" t="e">
        <f>(Table1[[#This Row],[A. TÀI SẢN NGẮN HẠN]]-Table1[[#This Row],[I. Nợ ngắn hạn]])/Table1[[#This Row],[TỔNG CỘNG TÀI SẢN]]</f>
        <v>#DIV/0!</v>
      </c>
      <c r="R1281" s="18" t="e">
        <f>Table1[[#This Row],[- LNST chưa phân phối kỳ này]]/Table1[[#This Row],[TỔNG CỘNG TÀI SẢN]]</f>
        <v>#DIV/0!</v>
      </c>
      <c r="S1281" s="21" t="e">
        <f>Table1[[#This Row],[5. Lợi nhuận gộp về bán hàng và cung cấp dịch vụ]]/Table1[[#This Row],[TỔNG CỘNG TÀI SẢN]]</f>
        <v>#DIV/0!</v>
      </c>
      <c r="T128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281" s="23" t="e">
        <f>Table1[[#This Row],[1. Doanh thu bán hàng và cung cấp dịch vụ ]]/Table1[[#This Row],[TỔNG CỘNG TÀI SẢN]]</f>
        <v>#DIV/0!</v>
      </c>
      <c r="V1281" s="23" t="e">
        <f>1.2*Table1[[#This Row],[X1]] + 1.4*Table1[[#This Row],[X2]] + 3.3*Table1[[#This Row],[x3]] + 0.6*Table1[[#This Row],[x4]] + 1*Table1[[#This Row],[x5]]</f>
        <v>#DIV/0!</v>
      </c>
      <c r="W1281" s="23" t="e">
        <f>IF(Table1[[#This Row],[Zscore]]&lt;1.81,1,0)</f>
        <v>#DIV/0!</v>
      </c>
    </row>
    <row r="1282" spans="1:23" hidden="1" x14ac:dyDescent="0.45">
      <c r="A1282" s="7">
        <v>1276</v>
      </c>
      <c r="B1282" s="5" t="s">
        <v>2564</v>
      </c>
      <c r="C1282" s="6" t="s">
        <v>2565</v>
      </c>
      <c r="D1282" s="6" t="s">
        <v>13</v>
      </c>
      <c r="E1282" s="6"/>
      <c r="F1282" s="6"/>
      <c r="G1282" s="6"/>
      <c r="H1282" s="6"/>
      <c r="I1282" s="6"/>
      <c r="J1282" s="8"/>
      <c r="K1282" s="6"/>
      <c r="L1282" s="6"/>
      <c r="M1282" s="8"/>
      <c r="N1282" s="8"/>
      <c r="O1282" s="8"/>
      <c r="P1282" s="8"/>
      <c r="Q1282" s="18" t="e">
        <f>(Table1[[#This Row],[A. TÀI SẢN NGẮN HẠN]]-Table1[[#This Row],[I. Nợ ngắn hạn]])/Table1[[#This Row],[TỔNG CỘNG TÀI SẢN]]</f>
        <v>#DIV/0!</v>
      </c>
      <c r="R1282" s="18" t="e">
        <f>Table1[[#This Row],[- LNST chưa phân phối kỳ này]]/Table1[[#This Row],[TỔNG CỘNG TÀI SẢN]]</f>
        <v>#DIV/0!</v>
      </c>
      <c r="S1282" s="21" t="e">
        <f>Table1[[#This Row],[5. Lợi nhuận gộp về bán hàng và cung cấp dịch vụ]]/Table1[[#This Row],[TỔNG CỘNG TÀI SẢN]]</f>
        <v>#DIV/0!</v>
      </c>
      <c r="T128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282" s="23" t="e">
        <f>Table1[[#This Row],[1. Doanh thu bán hàng và cung cấp dịch vụ ]]/Table1[[#This Row],[TỔNG CỘNG TÀI SẢN]]</f>
        <v>#DIV/0!</v>
      </c>
      <c r="V1282" s="23" t="e">
        <f>1.2*Table1[[#This Row],[X1]] + 1.4*Table1[[#This Row],[X2]] + 3.3*Table1[[#This Row],[x3]] + 0.6*Table1[[#This Row],[x4]] + 1*Table1[[#This Row],[x5]]</f>
        <v>#DIV/0!</v>
      </c>
      <c r="W1282" s="23" t="e">
        <f>IF(Table1[[#This Row],[Zscore]]&lt;1.81,1,0)</f>
        <v>#DIV/0!</v>
      </c>
    </row>
    <row r="1283" spans="1:23" ht="26.25" hidden="1" x14ac:dyDescent="0.45">
      <c r="A1283" s="7">
        <v>1277</v>
      </c>
      <c r="B1283" s="5" t="s">
        <v>2566</v>
      </c>
      <c r="C1283" s="6" t="s">
        <v>2567</v>
      </c>
      <c r="D1283" s="6" t="s">
        <v>18</v>
      </c>
      <c r="E1283" s="6"/>
      <c r="F1283" s="6"/>
      <c r="G1283" s="6"/>
      <c r="H1283" s="6"/>
      <c r="I1283" s="6"/>
      <c r="J1283" s="8"/>
      <c r="K1283" s="6"/>
      <c r="L1283" s="6"/>
      <c r="M1283" s="8"/>
      <c r="N1283" s="8"/>
      <c r="O1283" s="8"/>
      <c r="P1283" s="8"/>
      <c r="Q1283" s="18" t="e">
        <f>(Table1[[#This Row],[A. TÀI SẢN NGẮN HẠN]]-Table1[[#This Row],[I. Nợ ngắn hạn]])/Table1[[#This Row],[TỔNG CỘNG TÀI SẢN]]</f>
        <v>#DIV/0!</v>
      </c>
      <c r="R1283" s="18" t="e">
        <f>Table1[[#This Row],[- LNST chưa phân phối kỳ này]]/Table1[[#This Row],[TỔNG CỘNG TÀI SẢN]]</f>
        <v>#DIV/0!</v>
      </c>
      <c r="S1283" s="21" t="e">
        <f>Table1[[#This Row],[5. Lợi nhuận gộp về bán hàng và cung cấp dịch vụ]]/Table1[[#This Row],[TỔNG CỘNG TÀI SẢN]]</f>
        <v>#DIV/0!</v>
      </c>
      <c r="T128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283" s="23" t="e">
        <f>Table1[[#This Row],[1. Doanh thu bán hàng và cung cấp dịch vụ ]]/Table1[[#This Row],[TỔNG CỘNG TÀI SẢN]]</f>
        <v>#DIV/0!</v>
      </c>
      <c r="V1283" s="23" t="e">
        <f>1.2*Table1[[#This Row],[X1]] + 1.4*Table1[[#This Row],[X2]] + 3.3*Table1[[#This Row],[x3]] + 0.6*Table1[[#This Row],[x4]] + 1*Table1[[#This Row],[x5]]</f>
        <v>#DIV/0!</v>
      </c>
      <c r="W1283" s="23" t="e">
        <f>IF(Table1[[#This Row],[Zscore]]&lt;1.81,1,0)</f>
        <v>#DIV/0!</v>
      </c>
    </row>
    <row r="1284" spans="1:23" x14ac:dyDescent="0.45">
      <c r="A1284" s="7">
        <v>1278</v>
      </c>
      <c r="B1284" s="5" t="s">
        <v>2568</v>
      </c>
      <c r="C1284" s="6" t="s">
        <v>2569</v>
      </c>
      <c r="D1284" s="6" t="s">
        <v>21</v>
      </c>
      <c r="E1284" s="8">
        <v>6990150231383</v>
      </c>
      <c r="F1284" s="8">
        <v>1996682120072</v>
      </c>
      <c r="G1284" s="8">
        <v>907817080538</v>
      </c>
      <c r="H1284" s="8">
        <v>66422884534</v>
      </c>
      <c r="I1284" s="8">
        <v>131306639460</v>
      </c>
      <c r="J1284" s="8"/>
      <c r="K1284" s="8">
        <v>1703893080538</v>
      </c>
      <c r="L1284" s="8">
        <v>619084573385</v>
      </c>
      <c r="M1284" s="8">
        <v>2458410571350</v>
      </c>
      <c r="N1284" s="8">
        <v>3096608562450</v>
      </c>
      <c r="O1284" s="8">
        <v>2853913551750</v>
      </c>
      <c r="P1284" s="8">
        <v>3056159394000</v>
      </c>
      <c r="Q1284" s="18">
        <f>(Table1[[#This Row],[A. TÀI SẢN NGẮN HẠN]]-Table1[[#This Row],[I. Nợ ngắn hạn]])/Table1[[#This Row],[TỔNG CỘNG TÀI SẢN]]</f>
        <v>0.15577133587850919</v>
      </c>
      <c r="R1284" s="18">
        <f>Table1[[#This Row],[- LNST chưa phân phối kỳ này]]/Table1[[#This Row],[TỔNG CỘNG TÀI SẢN]]</f>
        <v>9.5023543608244096E-3</v>
      </c>
      <c r="S1284" s="21">
        <f>Table1[[#This Row],[5. Lợi nhuận gộp về bán hàng và cung cấp dịch vụ]]/Table1[[#This Row],[TỔNG CỘNG TÀI SẢN]]</f>
        <v>1.8784523238211004E-2</v>
      </c>
      <c r="T128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1.6821906565771612</v>
      </c>
      <c r="U1284" s="23">
        <f>Table1[[#This Row],[1. Doanh thu bán hàng và cung cấp dịch vụ ]]/Table1[[#This Row],[TỔNG CỘNG TÀI SẢN]]</f>
        <v>8.8565274406486427E-2</v>
      </c>
      <c r="V1284" s="23">
        <f>1.2*Table1[[#This Row],[X1]] + 1.4*Table1[[#This Row],[X2]] + 3.3*Table1[[#This Row],[x3]] + 0.6*Table1[[#This Row],[x4]] + 1*Table1[[#This Row],[x5]]</f>
        <v>1.3600974941982447</v>
      </c>
      <c r="W1284" s="23">
        <f>IF(Table1[[#This Row],[Zscore]]&lt;1.81,1,0)</f>
        <v>1</v>
      </c>
    </row>
    <row r="1285" spans="1:23" ht="26.25" hidden="1" x14ac:dyDescent="0.45">
      <c r="A1285" s="7">
        <v>1279</v>
      </c>
      <c r="B1285" s="5" t="s">
        <v>2570</v>
      </c>
      <c r="C1285" s="6" t="s">
        <v>2571</v>
      </c>
      <c r="D1285" s="6" t="s">
        <v>13</v>
      </c>
      <c r="E1285" s="6"/>
      <c r="F1285" s="6"/>
      <c r="G1285" s="6"/>
      <c r="H1285" s="6"/>
      <c r="I1285" s="6"/>
      <c r="J1285" s="8"/>
      <c r="K1285" s="6"/>
      <c r="L1285" s="6"/>
      <c r="M1285" s="8"/>
      <c r="N1285" s="8"/>
      <c r="O1285" s="8"/>
      <c r="P1285" s="8"/>
      <c r="Q1285" s="18" t="e">
        <f>(Table1[[#This Row],[A. TÀI SẢN NGẮN HẠN]]-Table1[[#This Row],[I. Nợ ngắn hạn]])/Table1[[#This Row],[TỔNG CỘNG TÀI SẢN]]</f>
        <v>#DIV/0!</v>
      </c>
      <c r="R1285" s="18" t="e">
        <f>Table1[[#This Row],[- LNST chưa phân phối kỳ này]]/Table1[[#This Row],[TỔNG CỘNG TÀI SẢN]]</f>
        <v>#DIV/0!</v>
      </c>
      <c r="S1285" s="21" t="e">
        <f>Table1[[#This Row],[5. Lợi nhuận gộp về bán hàng và cung cấp dịch vụ]]/Table1[[#This Row],[TỔNG CỘNG TÀI SẢN]]</f>
        <v>#DIV/0!</v>
      </c>
      <c r="T128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285" s="23" t="e">
        <f>Table1[[#This Row],[1. Doanh thu bán hàng và cung cấp dịch vụ ]]/Table1[[#This Row],[TỔNG CỘNG TÀI SẢN]]</f>
        <v>#DIV/0!</v>
      </c>
      <c r="V1285" s="23" t="e">
        <f>1.2*Table1[[#This Row],[X1]] + 1.4*Table1[[#This Row],[X2]] + 3.3*Table1[[#This Row],[x3]] + 0.6*Table1[[#This Row],[x4]] + 1*Table1[[#This Row],[x5]]</f>
        <v>#DIV/0!</v>
      </c>
      <c r="W1285" s="23" t="e">
        <f>IF(Table1[[#This Row],[Zscore]]&lt;1.81,1,0)</f>
        <v>#DIV/0!</v>
      </c>
    </row>
    <row r="1286" spans="1:23" hidden="1" x14ac:dyDescent="0.45">
      <c r="A1286" s="7">
        <v>1280</v>
      </c>
      <c r="B1286" s="5" t="s">
        <v>2572</v>
      </c>
      <c r="C1286" s="6" t="s">
        <v>2573</v>
      </c>
      <c r="D1286" s="6" t="s">
        <v>13</v>
      </c>
      <c r="E1286" s="6"/>
      <c r="F1286" s="6"/>
      <c r="G1286" s="6"/>
      <c r="H1286" s="6"/>
      <c r="I1286" s="6"/>
      <c r="J1286" s="8"/>
      <c r="K1286" s="6"/>
      <c r="L1286" s="6"/>
      <c r="M1286" s="8"/>
      <c r="N1286" s="8"/>
      <c r="O1286" s="8"/>
      <c r="P1286" s="8"/>
      <c r="Q1286" s="18" t="e">
        <f>(Table1[[#This Row],[A. TÀI SẢN NGẮN HẠN]]-Table1[[#This Row],[I. Nợ ngắn hạn]])/Table1[[#This Row],[TỔNG CỘNG TÀI SẢN]]</f>
        <v>#DIV/0!</v>
      </c>
      <c r="R1286" s="18" t="e">
        <f>Table1[[#This Row],[- LNST chưa phân phối kỳ này]]/Table1[[#This Row],[TỔNG CỘNG TÀI SẢN]]</f>
        <v>#DIV/0!</v>
      </c>
      <c r="S1286" s="21" t="e">
        <f>Table1[[#This Row],[5. Lợi nhuận gộp về bán hàng và cung cấp dịch vụ]]/Table1[[#This Row],[TỔNG CỘNG TÀI SẢN]]</f>
        <v>#DIV/0!</v>
      </c>
      <c r="T128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286" s="23" t="e">
        <f>Table1[[#This Row],[1. Doanh thu bán hàng và cung cấp dịch vụ ]]/Table1[[#This Row],[TỔNG CỘNG TÀI SẢN]]</f>
        <v>#DIV/0!</v>
      </c>
      <c r="V1286" s="23" t="e">
        <f>1.2*Table1[[#This Row],[X1]] + 1.4*Table1[[#This Row],[X2]] + 3.3*Table1[[#This Row],[x3]] + 0.6*Table1[[#This Row],[x4]] + 1*Table1[[#This Row],[x5]]</f>
        <v>#DIV/0!</v>
      </c>
      <c r="W1286" s="23" t="e">
        <f>IF(Table1[[#This Row],[Zscore]]&lt;1.81,1,0)</f>
        <v>#DIV/0!</v>
      </c>
    </row>
    <row r="1287" spans="1:23" hidden="1" x14ac:dyDescent="0.45">
      <c r="A1287" s="7">
        <v>1281</v>
      </c>
      <c r="B1287" s="5" t="s">
        <v>2574</v>
      </c>
      <c r="C1287" s="6" t="s">
        <v>2575</v>
      </c>
      <c r="D1287" s="6" t="s">
        <v>13</v>
      </c>
      <c r="E1287" s="6"/>
      <c r="F1287" s="6"/>
      <c r="G1287" s="6"/>
      <c r="H1287" s="6"/>
      <c r="I1287" s="6"/>
      <c r="J1287" s="8"/>
      <c r="K1287" s="6"/>
      <c r="L1287" s="6"/>
      <c r="M1287" s="8"/>
      <c r="N1287" s="8"/>
      <c r="O1287" s="8"/>
      <c r="P1287" s="8"/>
      <c r="Q1287" s="18" t="e">
        <f>(Table1[[#This Row],[A. TÀI SẢN NGẮN HẠN]]-Table1[[#This Row],[I. Nợ ngắn hạn]])/Table1[[#This Row],[TỔNG CỘNG TÀI SẢN]]</f>
        <v>#DIV/0!</v>
      </c>
      <c r="R1287" s="18" t="e">
        <f>Table1[[#This Row],[- LNST chưa phân phối kỳ này]]/Table1[[#This Row],[TỔNG CỘNG TÀI SẢN]]</f>
        <v>#DIV/0!</v>
      </c>
      <c r="S1287" s="21" t="e">
        <f>Table1[[#This Row],[5. Lợi nhuận gộp về bán hàng và cung cấp dịch vụ]]/Table1[[#This Row],[TỔNG CỘNG TÀI SẢN]]</f>
        <v>#DIV/0!</v>
      </c>
      <c r="T128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287" s="23" t="e">
        <f>Table1[[#This Row],[1. Doanh thu bán hàng và cung cấp dịch vụ ]]/Table1[[#This Row],[TỔNG CỘNG TÀI SẢN]]</f>
        <v>#DIV/0!</v>
      </c>
      <c r="V1287" s="23" t="e">
        <f>1.2*Table1[[#This Row],[X1]] + 1.4*Table1[[#This Row],[X2]] + 3.3*Table1[[#This Row],[x3]] + 0.6*Table1[[#This Row],[x4]] + 1*Table1[[#This Row],[x5]]</f>
        <v>#DIV/0!</v>
      </c>
      <c r="W1287" s="23" t="e">
        <f>IF(Table1[[#This Row],[Zscore]]&lt;1.81,1,0)</f>
        <v>#DIV/0!</v>
      </c>
    </row>
    <row r="1288" spans="1:23" ht="26.25" hidden="1" x14ac:dyDescent="0.45">
      <c r="A1288" s="7">
        <v>1282</v>
      </c>
      <c r="B1288" s="5" t="s">
        <v>2576</v>
      </c>
      <c r="C1288" s="6" t="s">
        <v>2577</v>
      </c>
      <c r="D1288" s="6" t="s">
        <v>13</v>
      </c>
      <c r="E1288" s="6"/>
      <c r="F1288" s="6"/>
      <c r="G1288" s="6"/>
      <c r="H1288" s="6"/>
      <c r="I1288" s="6"/>
      <c r="J1288" s="8"/>
      <c r="K1288" s="6"/>
      <c r="L1288" s="6"/>
      <c r="M1288" s="8"/>
      <c r="N1288" s="8"/>
      <c r="O1288" s="8"/>
      <c r="P1288" s="8"/>
      <c r="Q1288" s="18" t="e">
        <f>(Table1[[#This Row],[A. TÀI SẢN NGẮN HẠN]]-Table1[[#This Row],[I. Nợ ngắn hạn]])/Table1[[#This Row],[TỔNG CỘNG TÀI SẢN]]</f>
        <v>#DIV/0!</v>
      </c>
      <c r="R1288" s="18" t="e">
        <f>Table1[[#This Row],[- LNST chưa phân phối kỳ này]]/Table1[[#This Row],[TỔNG CỘNG TÀI SẢN]]</f>
        <v>#DIV/0!</v>
      </c>
      <c r="S1288" s="21" t="e">
        <f>Table1[[#This Row],[5. Lợi nhuận gộp về bán hàng và cung cấp dịch vụ]]/Table1[[#This Row],[TỔNG CỘNG TÀI SẢN]]</f>
        <v>#DIV/0!</v>
      </c>
      <c r="T128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288" s="23" t="e">
        <f>Table1[[#This Row],[1. Doanh thu bán hàng và cung cấp dịch vụ ]]/Table1[[#This Row],[TỔNG CỘNG TÀI SẢN]]</f>
        <v>#DIV/0!</v>
      </c>
      <c r="V1288" s="23" t="e">
        <f>1.2*Table1[[#This Row],[X1]] + 1.4*Table1[[#This Row],[X2]] + 3.3*Table1[[#This Row],[x3]] + 0.6*Table1[[#This Row],[x4]] + 1*Table1[[#This Row],[x5]]</f>
        <v>#DIV/0!</v>
      </c>
      <c r="W1288" s="23" t="e">
        <f>IF(Table1[[#This Row],[Zscore]]&lt;1.81,1,0)</f>
        <v>#DIV/0!</v>
      </c>
    </row>
    <row r="1289" spans="1:23" hidden="1" x14ac:dyDescent="0.45">
      <c r="A1289" s="7">
        <v>1283</v>
      </c>
      <c r="B1289" s="5" t="s">
        <v>2578</v>
      </c>
      <c r="C1289" s="6" t="s">
        <v>2579</v>
      </c>
      <c r="D1289" s="6" t="s">
        <v>13</v>
      </c>
      <c r="E1289" s="6"/>
      <c r="F1289" s="6"/>
      <c r="G1289" s="6"/>
      <c r="H1289" s="6"/>
      <c r="I1289" s="6"/>
      <c r="J1289" s="8"/>
      <c r="K1289" s="6"/>
      <c r="L1289" s="6"/>
      <c r="M1289" s="8"/>
      <c r="N1289" s="8"/>
      <c r="O1289" s="8"/>
      <c r="P1289" s="8"/>
      <c r="Q1289" s="18" t="e">
        <f>(Table1[[#This Row],[A. TÀI SẢN NGẮN HẠN]]-Table1[[#This Row],[I. Nợ ngắn hạn]])/Table1[[#This Row],[TỔNG CỘNG TÀI SẢN]]</f>
        <v>#DIV/0!</v>
      </c>
      <c r="R1289" s="18" t="e">
        <f>Table1[[#This Row],[- LNST chưa phân phối kỳ này]]/Table1[[#This Row],[TỔNG CỘNG TÀI SẢN]]</f>
        <v>#DIV/0!</v>
      </c>
      <c r="S1289" s="21" t="e">
        <f>Table1[[#This Row],[5. Lợi nhuận gộp về bán hàng và cung cấp dịch vụ]]/Table1[[#This Row],[TỔNG CỘNG TÀI SẢN]]</f>
        <v>#DIV/0!</v>
      </c>
      <c r="T128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289" s="23" t="e">
        <f>Table1[[#This Row],[1. Doanh thu bán hàng và cung cấp dịch vụ ]]/Table1[[#This Row],[TỔNG CỘNG TÀI SẢN]]</f>
        <v>#DIV/0!</v>
      </c>
      <c r="V1289" s="23" t="e">
        <f>1.2*Table1[[#This Row],[X1]] + 1.4*Table1[[#This Row],[X2]] + 3.3*Table1[[#This Row],[x3]] + 0.6*Table1[[#This Row],[x4]] + 1*Table1[[#This Row],[x5]]</f>
        <v>#DIV/0!</v>
      </c>
      <c r="W1289" s="23" t="e">
        <f>IF(Table1[[#This Row],[Zscore]]&lt;1.81,1,0)</f>
        <v>#DIV/0!</v>
      </c>
    </row>
    <row r="1290" spans="1:23" x14ac:dyDescent="0.45">
      <c r="A1290" s="7">
        <v>1284</v>
      </c>
      <c r="B1290" s="5" t="s">
        <v>2580</v>
      </c>
      <c r="C1290" s="6" t="s">
        <v>2581</v>
      </c>
      <c r="D1290" s="6" t="s">
        <v>21</v>
      </c>
      <c r="E1290" s="8">
        <v>2160532005739</v>
      </c>
      <c r="F1290" s="8">
        <v>943992430534</v>
      </c>
      <c r="G1290" s="8">
        <v>794877882491</v>
      </c>
      <c r="H1290" s="8">
        <v>47803156683</v>
      </c>
      <c r="I1290" s="8">
        <v>257120496158</v>
      </c>
      <c r="J1290" s="8"/>
      <c r="K1290" s="8">
        <v>1468807982437</v>
      </c>
      <c r="L1290" s="8">
        <v>7742156728920</v>
      </c>
      <c r="M1290" s="8">
        <v>652068856800</v>
      </c>
      <c r="N1290" s="8">
        <v>742633975800</v>
      </c>
      <c r="O1290" s="8">
        <v>733577463900</v>
      </c>
      <c r="P1290" s="8">
        <v>760746999600</v>
      </c>
      <c r="Q1290" s="18">
        <f>(Table1[[#This Row],[A. TÀI SẢN NGẮN HẠN]]-Table1[[#This Row],[I. Nợ ngắn hạn]])/Table1[[#This Row],[TỔNG CỘNG TÀI SẢN]]</f>
        <v>6.90175140414067E-2</v>
      </c>
      <c r="R1290" s="18">
        <f>Table1[[#This Row],[- LNST chưa phân phối kỳ này]]/Table1[[#This Row],[TỔNG CỘNG TÀI SẢN]]</f>
        <v>2.2125641534594693E-2</v>
      </c>
      <c r="S1290" s="21">
        <f>Table1[[#This Row],[5. Lợi nhuận gộp về bán hàng và cung cấp dịch vụ]]/Table1[[#This Row],[TỔNG CỘNG TÀI SẢN]]</f>
        <v>0.1190079552050205</v>
      </c>
      <c r="T129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0.49172991477528205</v>
      </c>
      <c r="U1290" s="23">
        <f>Table1[[#This Row],[1. Doanh thu bán hàng và cung cấp dịch vụ ]]/Table1[[#This Row],[TỔNG CỘNG TÀI SẢN]]</f>
        <v>3.5834492191527758</v>
      </c>
      <c r="V1290" s="23">
        <f>1.2*Table1[[#This Row],[X1]] + 1.4*Table1[[#This Row],[X2]] + 3.3*Table1[[#This Row],[x3]] + 0.6*Table1[[#This Row],[x4]] + 1*Table1[[#This Row],[x5]]</f>
        <v>4.3850103351926331</v>
      </c>
      <c r="W1290" s="23">
        <f>IF(Table1[[#This Row],[Zscore]]&lt;1.81,1,0)</f>
        <v>0</v>
      </c>
    </row>
    <row r="1291" spans="1:23" x14ac:dyDescent="0.45">
      <c r="A1291" s="7">
        <v>1285</v>
      </c>
      <c r="B1291" s="5" t="s">
        <v>2582</v>
      </c>
      <c r="C1291" s="6" t="s">
        <v>2583</v>
      </c>
      <c r="D1291" s="6" t="s">
        <v>36</v>
      </c>
      <c r="E1291" s="8">
        <v>406965671303</v>
      </c>
      <c r="F1291" s="8">
        <v>235503688157</v>
      </c>
      <c r="G1291" s="8">
        <v>144219190381</v>
      </c>
      <c r="H1291" s="8">
        <v>55549714046</v>
      </c>
      <c r="I1291" s="8">
        <v>94291455817</v>
      </c>
      <c r="J1291" s="8"/>
      <c r="K1291" s="8">
        <v>163519190381</v>
      </c>
      <c r="L1291" s="8">
        <v>725156196699</v>
      </c>
      <c r="M1291" s="8">
        <v>168064469100</v>
      </c>
      <c r="N1291" s="8">
        <v>251672735100</v>
      </c>
      <c r="O1291" s="8">
        <v>345801713400</v>
      </c>
      <c r="P1291" s="8">
        <v>318414675900</v>
      </c>
      <c r="Q1291" s="18">
        <f>(Table1[[#This Row],[A. TÀI SẢN NGẮN HẠN]]-Table1[[#This Row],[I. Nợ ngắn hạn]])/Table1[[#This Row],[TỔNG CỘNG TÀI SẢN]]</f>
        <v>0.22430515449553862</v>
      </c>
      <c r="R1291" s="18">
        <f>Table1[[#This Row],[- LNST chưa phân phối kỳ này]]/Table1[[#This Row],[TỔNG CỘNG TÀI SẢN]]</f>
        <v>0.13649729685588474</v>
      </c>
      <c r="S1291" s="21">
        <f>Table1[[#This Row],[5. Lợi nhuận gộp về bán hàng và cung cấp dịch vụ]]/Table1[[#This Row],[TỔNG CỘNG TÀI SẢN]]</f>
        <v>0.23169388099763519</v>
      </c>
      <c r="T129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1.6572268841571227</v>
      </c>
      <c r="U1291" s="23">
        <f>Table1[[#This Row],[1. Doanh thu bán hàng và cung cấp dịch vụ ]]/Table1[[#This Row],[TỔNG CỘNG TÀI SẢN]]</f>
        <v>1.7818608492879395</v>
      </c>
      <c r="V1291" s="23">
        <f>1.2*Table1[[#This Row],[X1]] + 1.4*Table1[[#This Row],[X2]] + 3.3*Table1[[#This Row],[x3]] + 0.6*Table1[[#This Row],[x4]] + 1*Table1[[#This Row],[x5]]</f>
        <v>4.0010491880672943</v>
      </c>
      <c r="W1291" s="23">
        <f>IF(Table1[[#This Row],[Zscore]]&lt;1.81,1,0)</f>
        <v>0</v>
      </c>
    </row>
    <row r="1292" spans="1:23" x14ac:dyDescent="0.45">
      <c r="A1292" s="7">
        <v>1286</v>
      </c>
      <c r="B1292" s="5" t="s">
        <v>2584</v>
      </c>
      <c r="C1292" s="6" t="s">
        <v>2585</v>
      </c>
      <c r="D1292" s="6" t="s">
        <v>18</v>
      </c>
      <c r="E1292" s="8">
        <v>630779320874</v>
      </c>
      <c r="F1292" s="8">
        <v>198768564586</v>
      </c>
      <c r="G1292" s="8">
        <v>101499950739</v>
      </c>
      <c r="H1292" s="8">
        <v>88837290584</v>
      </c>
      <c r="I1292" s="8">
        <v>110873563331</v>
      </c>
      <c r="J1292" s="8"/>
      <c r="K1292" s="8">
        <v>206219445862</v>
      </c>
      <c r="L1292" s="8">
        <v>456408856886</v>
      </c>
      <c r="M1292" s="8">
        <v>1000999860000</v>
      </c>
      <c r="N1292" s="8">
        <v>829399884000</v>
      </c>
      <c r="O1292" s="8">
        <v>906619873200</v>
      </c>
      <c r="P1292" s="8">
        <v>906619873200</v>
      </c>
      <c r="Q1292" s="18">
        <f>(Table1[[#This Row],[A. TÀI SẢN NGẮN HẠN]]-Table1[[#This Row],[I. Nợ ngắn hạn]])/Table1[[#This Row],[TỔNG CỘNG TÀI SẢN]]</f>
        <v>0.15420387230232249</v>
      </c>
      <c r="R1292" s="18">
        <f>Table1[[#This Row],[- LNST chưa phân phối kỳ này]]/Table1[[#This Row],[TỔNG CỘNG TÀI SẢN]]</f>
        <v>0.14083735411761461</v>
      </c>
      <c r="S1292" s="21">
        <f>Table1[[#This Row],[5. Lợi nhuận gộp về bán hàng và cung cấp dịch vụ]]/Table1[[#This Row],[TỔNG CỘNG TÀI SẢN]]</f>
        <v>0.17577234963469468</v>
      </c>
      <c r="T129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4.4171870833634763</v>
      </c>
      <c r="U1292" s="23">
        <f>Table1[[#This Row],[1. Doanh thu bán hàng và cung cấp dịch vụ ]]/Table1[[#This Row],[TỔNG CỘNG TÀI SẢN]]</f>
        <v>0.723563442526311</v>
      </c>
      <c r="V1292" s="23">
        <f>1.2*Table1[[#This Row],[X1]] + 1.4*Table1[[#This Row],[X2]] + 3.3*Table1[[#This Row],[x3]] + 0.6*Table1[[#This Row],[x4]] + 1*Table1[[#This Row],[x5]]</f>
        <v>4.3361413888663369</v>
      </c>
      <c r="W1292" s="23">
        <f>IF(Table1[[#This Row],[Zscore]]&lt;1.81,1,0)</f>
        <v>0</v>
      </c>
    </row>
    <row r="1293" spans="1:23" hidden="1" x14ac:dyDescent="0.45">
      <c r="A1293" s="7">
        <v>1287</v>
      </c>
      <c r="B1293" s="5" t="s">
        <v>2586</v>
      </c>
      <c r="C1293" s="6" t="s">
        <v>2587</v>
      </c>
      <c r="D1293" s="6" t="s">
        <v>18</v>
      </c>
      <c r="E1293" s="6"/>
      <c r="F1293" s="6"/>
      <c r="G1293" s="6"/>
      <c r="H1293" s="6"/>
      <c r="I1293" s="6"/>
      <c r="J1293" s="8"/>
      <c r="K1293" s="6"/>
      <c r="L1293" s="6"/>
      <c r="M1293" s="8"/>
      <c r="N1293" s="8"/>
      <c r="O1293" s="8"/>
      <c r="P1293" s="8"/>
      <c r="Q1293" s="18" t="e">
        <f>(Table1[[#This Row],[A. TÀI SẢN NGẮN HẠN]]-Table1[[#This Row],[I. Nợ ngắn hạn]])/Table1[[#This Row],[TỔNG CỘNG TÀI SẢN]]</f>
        <v>#DIV/0!</v>
      </c>
      <c r="R1293" s="18" t="e">
        <f>Table1[[#This Row],[- LNST chưa phân phối kỳ này]]/Table1[[#This Row],[TỔNG CỘNG TÀI SẢN]]</f>
        <v>#DIV/0!</v>
      </c>
      <c r="S1293" s="21" t="e">
        <f>Table1[[#This Row],[5. Lợi nhuận gộp về bán hàng và cung cấp dịch vụ]]/Table1[[#This Row],[TỔNG CỘNG TÀI SẢN]]</f>
        <v>#DIV/0!</v>
      </c>
      <c r="T129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293" s="23" t="e">
        <f>Table1[[#This Row],[1. Doanh thu bán hàng và cung cấp dịch vụ ]]/Table1[[#This Row],[TỔNG CỘNG TÀI SẢN]]</f>
        <v>#DIV/0!</v>
      </c>
      <c r="V1293" s="23" t="e">
        <f>1.2*Table1[[#This Row],[X1]] + 1.4*Table1[[#This Row],[X2]] + 3.3*Table1[[#This Row],[x3]] + 0.6*Table1[[#This Row],[x4]] + 1*Table1[[#This Row],[x5]]</f>
        <v>#DIV/0!</v>
      </c>
      <c r="W1293" s="23" t="e">
        <f>IF(Table1[[#This Row],[Zscore]]&lt;1.81,1,0)</f>
        <v>#DIV/0!</v>
      </c>
    </row>
    <row r="1294" spans="1:23" hidden="1" x14ac:dyDescent="0.45">
      <c r="A1294" s="7">
        <v>1288</v>
      </c>
      <c r="B1294" s="5" t="s">
        <v>2588</v>
      </c>
      <c r="C1294" s="6" t="s">
        <v>2589</v>
      </c>
      <c r="D1294" s="6" t="s">
        <v>13</v>
      </c>
      <c r="E1294" s="6"/>
      <c r="F1294" s="6"/>
      <c r="G1294" s="6"/>
      <c r="H1294" s="6"/>
      <c r="I1294" s="6"/>
      <c r="J1294" s="8"/>
      <c r="K1294" s="6"/>
      <c r="L1294" s="6"/>
      <c r="M1294" s="8"/>
      <c r="N1294" s="8"/>
      <c r="O1294" s="8"/>
      <c r="P1294" s="8"/>
      <c r="Q1294" s="18" t="e">
        <f>(Table1[[#This Row],[A. TÀI SẢN NGẮN HẠN]]-Table1[[#This Row],[I. Nợ ngắn hạn]])/Table1[[#This Row],[TỔNG CỘNG TÀI SẢN]]</f>
        <v>#DIV/0!</v>
      </c>
      <c r="R1294" s="18" t="e">
        <f>Table1[[#This Row],[- LNST chưa phân phối kỳ này]]/Table1[[#This Row],[TỔNG CỘNG TÀI SẢN]]</f>
        <v>#DIV/0!</v>
      </c>
      <c r="S1294" s="21" t="e">
        <f>Table1[[#This Row],[5. Lợi nhuận gộp về bán hàng và cung cấp dịch vụ]]/Table1[[#This Row],[TỔNG CỘNG TÀI SẢN]]</f>
        <v>#DIV/0!</v>
      </c>
      <c r="T129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294" s="23" t="e">
        <f>Table1[[#This Row],[1. Doanh thu bán hàng và cung cấp dịch vụ ]]/Table1[[#This Row],[TỔNG CỘNG TÀI SẢN]]</f>
        <v>#DIV/0!</v>
      </c>
      <c r="V1294" s="23" t="e">
        <f>1.2*Table1[[#This Row],[X1]] + 1.4*Table1[[#This Row],[X2]] + 3.3*Table1[[#This Row],[x3]] + 0.6*Table1[[#This Row],[x4]] + 1*Table1[[#This Row],[x5]]</f>
        <v>#DIV/0!</v>
      </c>
      <c r="W1294" s="23" t="e">
        <f>IF(Table1[[#This Row],[Zscore]]&lt;1.81,1,0)</f>
        <v>#DIV/0!</v>
      </c>
    </row>
    <row r="1295" spans="1:23" hidden="1" x14ac:dyDescent="0.45">
      <c r="A1295" s="7">
        <v>1289</v>
      </c>
      <c r="B1295" s="5" t="s">
        <v>2590</v>
      </c>
      <c r="C1295" s="6" t="s">
        <v>2591</v>
      </c>
      <c r="D1295" s="6" t="s">
        <v>13</v>
      </c>
      <c r="E1295" s="6"/>
      <c r="F1295" s="6"/>
      <c r="G1295" s="6"/>
      <c r="H1295" s="6"/>
      <c r="I1295" s="6"/>
      <c r="J1295" s="8"/>
      <c r="K1295" s="6"/>
      <c r="L1295" s="6"/>
      <c r="M1295" s="8"/>
      <c r="N1295" s="8"/>
      <c r="O1295" s="8"/>
      <c r="P1295" s="8"/>
      <c r="Q1295" s="18" t="e">
        <f>(Table1[[#This Row],[A. TÀI SẢN NGẮN HẠN]]-Table1[[#This Row],[I. Nợ ngắn hạn]])/Table1[[#This Row],[TỔNG CỘNG TÀI SẢN]]</f>
        <v>#DIV/0!</v>
      </c>
      <c r="R1295" s="18" t="e">
        <f>Table1[[#This Row],[- LNST chưa phân phối kỳ này]]/Table1[[#This Row],[TỔNG CỘNG TÀI SẢN]]</f>
        <v>#DIV/0!</v>
      </c>
      <c r="S1295" s="21" t="e">
        <f>Table1[[#This Row],[5. Lợi nhuận gộp về bán hàng và cung cấp dịch vụ]]/Table1[[#This Row],[TỔNG CỘNG TÀI SẢN]]</f>
        <v>#DIV/0!</v>
      </c>
      <c r="T129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295" s="23" t="e">
        <f>Table1[[#This Row],[1. Doanh thu bán hàng và cung cấp dịch vụ ]]/Table1[[#This Row],[TỔNG CỘNG TÀI SẢN]]</f>
        <v>#DIV/0!</v>
      </c>
      <c r="V1295" s="23" t="e">
        <f>1.2*Table1[[#This Row],[X1]] + 1.4*Table1[[#This Row],[X2]] + 3.3*Table1[[#This Row],[x3]] + 0.6*Table1[[#This Row],[x4]] + 1*Table1[[#This Row],[x5]]</f>
        <v>#DIV/0!</v>
      </c>
      <c r="W1295" s="23" t="e">
        <f>IF(Table1[[#This Row],[Zscore]]&lt;1.81,1,0)</f>
        <v>#DIV/0!</v>
      </c>
    </row>
    <row r="1296" spans="1:23" ht="26.25" hidden="1" x14ac:dyDescent="0.45">
      <c r="A1296" s="7">
        <v>1290</v>
      </c>
      <c r="B1296" s="5" t="s">
        <v>2592</v>
      </c>
      <c r="C1296" s="6" t="s">
        <v>2593</v>
      </c>
      <c r="D1296" s="6" t="s">
        <v>13</v>
      </c>
      <c r="E1296" s="6"/>
      <c r="F1296" s="6"/>
      <c r="G1296" s="6"/>
      <c r="H1296" s="6"/>
      <c r="I1296" s="6"/>
      <c r="J1296" s="8"/>
      <c r="K1296" s="6"/>
      <c r="L1296" s="6"/>
      <c r="M1296" s="8"/>
      <c r="N1296" s="8"/>
      <c r="O1296" s="8"/>
      <c r="P1296" s="8"/>
      <c r="Q1296" s="18" t="e">
        <f>(Table1[[#This Row],[A. TÀI SẢN NGẮN HẠN]]-Table1[[#This Row],[I. Nợ ngắn hạn]])/Table1[[#This Row],[TỔNG CỘNG TÀI SẢN]]</f>
        <v>#DIV/0!</v>
      </c>
      <c r="R1296" s="18" t="e">
        <f>Table1[[#This Row],[- LNST chưa phân phối kỳ này]]/Table1[[#This Row],[TỔNG CỘNG TÀI SẢN]]</f>
        <v>#DIV/0!</v>
      </c>
      <c r="S1296" s="21" t="e">
        <f>Table1[[#This Row],[5. Lợi nhuận gộp về bán hàng và cung cấp dịch vụ]]/Table1[[#This Row],[TỔNG CỘNG TÀI SẢN]]</f>
        <v>#DIV/0!</v>
      </c>
      <c r="T129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296" s="23" t="e">
        <f>Table1[[#This Row],[1. Doanh thu bán hàng và cung cấp dịch vụ ]]/Table1[[#This Row],[TỔNG CỘNG TÀI SẢN]]</f>
        <v>#DIV/0!</v>
      </c>
      <c r="V1296" s="23" t="e">
        <f>1.2*Table1[[#This Row],[X1]] + 1.4*Table1[[#This Row],[X2]] + 3.3*Table1[[#This Row],[x3]] + 0.6*Table1[[#This Row],[x4]] + 1*Table1[[#This Row],[x5]]</f>
        <v>#DIV/0!</v>
      </c>
      <c r="W1296" s="23" t="e">
        <f>IF(Table1[[#This Row],[Zscore]]&lt;1.81,1,0)</f>
        <v>#DIV/0!</v>
      </c>
    </row>
    <row r="1297" spans="1:23" ht="26.25" hidden="1" x14ac:dyDescent="0.45">
      <c r="A1297" s="7">
        <v>1291</v>
      </c>
      <c r="B1297" s="5" t="s">
        <v>2594</v>
      </c>
      <c r="C1297" s="6" t="s">
        <v>2595</v>
      </c>
      <c r="D1297" s="6" t="s">
        <v>13</v>
      </c>
      <c r="E1297" s="6"/>
      <c r="F1297" s="6"/>
      <c r="G1297" s="6"/>
      <c r="H1297" s="6"/>
      <c r="I1297" s="6"/>
      <c r="J1297" s="8"/>
      <c r="K1297" s="6"/>
      <c r="L1297" s="6"/>
      <c r="M1297" s="8"/>
      <c r="N1297" s="8"/>
      <c r="O1297" s="8"/>
      <c r="P1297" s="8"/>
      <c r="Q1297" s="18" t="e">
        <f>(Table1[[#This Row],[A. TÀI SẢN NGẮN HẠN]]-Table1[[#This Row],[I. Nợ ngắn hạn]])/Table1[[#This Row],[TỔNG CỘNG TÀI SẢN]]</f>
        <v>#DIV/0!</v>
      </c>
      <c r="R1297" s="18" t="e">
        <f>Table1[[#This Row],[- LNST chưa phân phối kỳ này]]/Table1[[#This Row],[TỔNG CỘNG TÀI SẢN]]</f>
        <v>#DIV/0!</v>
      </c>
      <c r="S1297" s="21" t="e">
        <f>Table1[[#This Row],[5. Lợi nhuận gộp về bán hàng và cung cấp dịch vụ]]/Table1[[#This Row],[TỔNG CỘNG TÀI SẢN]]</f>
        <v>#DIV/0!</v>
      </c>
      <c r="T129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297" s="23" t="e">
        <f>Table1[[#This Row],[1. Doanh thu bán hàng và cung cấp dịch vụ ]]/Table1[[#This Row],[TỔNG CỘNG TÀI SẢN]]</f>
        <v>#DIV/0!</v>
      </c>
      <c r="V1297" s="23" t="e">
        <f>1.2*Table1[[#This Row],[X1]] + 1.4*Table1[[#This Row],[X2]] + 3.3*Table1[[#This Row],[x3]] + 0.6*Table1[[#This Row],[x4]] + 1*Table1[[#This Row],[x5]]</f>
        <v>#DIV/0!</v>
      </c>
      <c r="W1297" s="23" t="e">
        <f>IF(Table1[[#This Row],[Zscore]]&lt;1.81,1,0)</f>
        <v>#DIV/0!</v>
      </c>
    </row>
    <row r="1298" spans="1:23" ht="26.25" hidden="1" x14ac:dyDescent="0.45">
      <c r="A1298" s="7">
        <v>1292</v>
      </c>
      <c r="B1298" s="5" t="s">
        <v>2596</v>
      </c>
      <c r="C1298" s="6" t="s">
        <v>2597</v>
      </c>
      <c r="D1298" s="6" t="s">
        <v>13</v>
      </c>
      <c r="E1298" s="6"/>
      <c r="F1298" s="6"/>
      <c r="G1298" s="6"/>
      <c r="H1298" s="6"/>
      <c r="I1298" s="6"/>
      <c r="J1298" s="8"/>
      <c r="K1298" s="6"/>
      <c r="L1298" s="6"/>
      <c r="M1298" s="8"/>
      <c r="N1298" s="8"/>
      <c r="O1298" s="8"/>
      <c r="P1298" s="8"/>
      <c r="Q1298" s="18" t="e">
        <f>(Table1[[#This Row],[A. TÀI SẢN NGẮN HẠN]]-Table1[[#This Row],[I. Nợ ngắn hạn]])/Table1[[#This Row],[TỔNG CỘNG TÀI SẢN]]</f>
        <v>#DIV/0!</v>
      </c>
      <c r="R1298" s="18" t="e">
        <f>Table1[[#This Row],[- LNST chưa phân phối kỳ này]]/Table1[[#This Row],[TỔNG CỘNG TÀI SẢN]]</f>
        <v>#DIV/0!</v>
      </c>
      <c r="S1298" s="21" t="e">
        <f>Table1[[#This Row],[5. Lợi nhuận gộp về bán hàng và cung cấp dịch vụ]]/Table1[[#This Row],[TỔNG CỘNG TÀI SẢN]]</f>
        <v>#DIV/0!</v>
      </c>
      <c r="T129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298" s="23" t="e">
        <f>Table1[[#This Row],[1. Doanh thu bán hàng và cung cấp dịch vụ ]]/Table1[[#This Row],[TỔNG CỘNG TÀI SẢN]]</f>
        <v>#DIV/0!</v>
      </c>
      <c r="V1298" s="23" t="e">
        <f>1.2*Table1[[#This Row],[X1]] + 1.4*Table1[[#This Row],[X2]] + 3.3*Table1[[#This Row],[x3]] + 0.6*Table1[[#This Row],[x4]] + 1*Table1[[#This Row],[x5]]</f>
        <v>#DIV/0!</v>
      </c>
      <c r="W1298" s="23" t="e">
        <f>IF(Table1[[#This Row],[Zscore]]&lt;1.81,1,0)</f>
        <v>#DIV/0!</v>
      </c>
    </row>
    <row r="1299" spans="1:23" hidden="1" x14ac:dyDescent="0.45">
      <c r="A1299" s="7">
        <v>1293</v>
      </c>
      <c r="B1299" s="5" t="s">
        <v>2598</v>
      </c>
      <c r="C1299" s="6" t="s">
        <v>2599</v>
      </c>
      <c r="D1299" s="6" t="s">
        <v>13</v>
      </c>
      <c r="E1299" s="6"/>
      <c r="F1299" s="6"/>
      <c r="G1299" s="6"/>
      <c r="H1299" s="6"/>
      <c r="I1299" s="6"/>
      <c r="J1299" s="8"/>
      <c r="K1299" s="6"/>
      <c r="L1299" s="6"/>
      <c r="M1299" s="8"/>
      <c r="N1299" s="8"/>
      <c r="O1299" s="8"/>
      <c r="P1299" s="8"/>
      <c r="Q1299" s="18" t="e">
        <f>(Table1[[#This Row],[A. TÀI SẢN NGẮN HẠN]]-Table1[[#This Row],[I. Nợ ngắn hạn]])/Table1[[#This Row],[TỔNG CỘNG TÀI SẢN]]</f>
        <v>#DIV/0!</v>
      </c>
      <c r="R1299" s="18" t="e">
        <f>Table1[[#This Row],[- LNST chưa phân phối kỳ này]]/Table1[[#This Row],[TỔNG CỘNG TÀI SẢN]]</f>
        <v>#DIV/0!</v>
      </c>
      <c r="S1299" s="21" t="e">
        <f>Table1[[#This Row],[5. Lợi nhuận gộp về bán hàng và cung cấp dịch vụ]]/Table1[[#This Row],[TỔNG CỘNG TÀI SẢN]]</f>
        <v>#DIV/0!</v>
      </c>
      <c r="T129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299" s="23" t="e">
        <f>Table1[[#This Row],[1. Doanh thu bán hàng và cung cấp dịch vụ ]]/Table1[[#This Row],[TỔNG CỘNG TÀI SẢN]]</f>
        <v>#DIV/0!</v>
      </c>
      <c r="V1299" s="23" t="e">
        <f>1.2*Table1[[#This Row],[X1]] + 1.4*Table1[[#This Row],[X2]] + 3.3*Table1[[#This Row],[x3]] + 0.6*Table1[[#This Row],[x4]] + 1*Table1[[#This Row],[x5]]</f>
        <v>#DIV/0!</v>
      </c>
      <c r="W1299" s="23" t="e">
        <f>IF(Table1[[#This Row],[Zscore]]&lt;1.81,1,0)</f>
        <v>#DIV/0!</v>
      </c>
    </row>
    <row r="1300" spans="1:23" hidden="1" x14ac:dyDescent="0.45">
      <c r="A1300" s="7">
        <v>1294</v>
      </c>
      <c r="B1300" s="5" t="s">
        <v>2600</v>
      </c>
      <c r="C1300" s="6" t="s">
        <v>2601</v>
      </c>
      <c r="D1300" s="6" t="s">
        <v>13</v>
      </c>
      <c r="E1300" s="6"/>
      <c r="F1300" s="6"/>
      <c r="G1300" s="6"/>
      <c r="H1300" s="6"/>
      <c r="I1300" s="6"/>
      <c r="J1300" s="8"/>
      <c r="K1300" s="6"/>
      <c r="L1300" s="6"/>
      <c r="M1300" s="8"/>
      <c r="N1300" s="8"/>
      <c r="O1300" s="8"/>
      <c r="P1300" s="8"/>
      <c r="Q1300" s="18" t="e">
        <f>(Table1[[#This Row],[A. TÀI SẢN NGẮN HẠN]]-Table1[[#This Row],[I. Nợ ngắn hạn]])/Table1[[#This Row],[TỔNG CỘNG TÀI SẢN]]</f>
        <v>#DIV/0!</v>
      </c>
      <c r="R1300" s="18" t="e">
        <f>Table1[[#This Row],[- LNST chưa phân phối kỳ này]]/Table1[[#This Row],[TỔNG CỘNG TÀI SẢN]]</f>
        <v>#DIV/0!</v>
      </c>
      <c r="S1300" s="21" t="e">
        <f>Table1[[#This Row],[5. Lợi nhuận gộp về bán hàng và cung cấp dịch vụ]]/Table1[[#This Row],[TỔNG CỘNG TÀI SẢN]]</f>
        <v>#DIV/0!</v>
      </c>
      <c r="T130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300" s="23" t="e">
        <f>Table1[[#This Row],[1. Doanh thu bán hàng và cung cấp dịch vụ ]]/Table1[[#This Row],[TỔNG CỘNG TÀI SẢN]]</f>
        <v>#DIV/0!</v>
      </c>
      <c r="V1300" s="23" t="e">
        <f>1.2*Table1[[#This Row],[X1]] + 1.4*Table1[[#This Row],[X2]] + 3.3*Table1[[#This Row],[x3]] + 0.6*Table1[[#This Row],[x4]] + 1*Table1[[#This Row],[x5]]</f>
        <v>#DIV/0!</v>
      </c>
      <c r="W1300" s="23" t="e">
        <f>IF(Table1[[#This Row],[Zscore]]&lt;1.81,1,0)</f>
        <v>#DIV/0!</v>
      </c>
    </row>
    <row r="1301" spans="1:23" hidden="1" x14ac:dyDescent="0.45">
      <c r="A1301" s="7">
        <v>1295</v>
      </c>
      <c r="B1301" s="5" t="s">
        <v>2602</v>
      </c>
      <c r="C1301" s="6" t="s">
        <v>2603</v>
      </c>
      <c r="D1301" s="6" t="s">
        <v>13</v>
      </c>
      <c r="E1301" s="6"/>
      <c r="F1301" s="6"/>
      <c r="G1301" s="6"/>
      <c r="H1301" s="6"/>
      <c r="I1301" s="6"/>
      <c r="J1301" s="8"/>
      <c r="K1301" s="6"/>
      <c r="L1301" s="6"/>
      <c r="M1301" s="8"/>
      <c r="N1301" s="8"/>
      <c r="O1301" s="8"/>
      <c r="P1301" s="8"/>
      <c r="Q1301" s="18" t="e">
        <f>(Table1[[#This Row],[A. TÀI SẢN NGẮN HẠN]]-Table1[[#This Row],[I. Nợ ngắn hạn]])/Table1[[#This Row],[TỔNG CỘNG TÀI SẢN]]</f>
        <v>#DIV/0!</v>
      </c>
      <c r="R1301" s="18" t="e">
        <f>Table1[[#This Row],[- LNST chưa phân phối kỳ này]]/Table1[[#This Row],[TỔNG CỘNG TÀI SẢN]]</f>
        <v>#DIV/0!</v>
      </c>
      <c r="S1301" s="21" t="e">
        <f>Table1[[#This Row],[5. Lợi nhuận gộp về bán hàng và cung cấp dịch vụ]]/Table1[[#This Row],[TỔNG CỘNG TÀI SẢN]]</f>
        <v>#DIV/0!</v>
      </c>
      <c r="T130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301" s="23" t="e">
        <f>Table1[[#This Row],[1. Doanh thu bán hàng và cung cấp dịch vụ ]]/Table1[[#This Row],[TỔNG CỘNG TÀI SẢN]]</f>
        <v>#DIV/0!</v>
      </c>
      <c r="V1301" s="23" t="e">
        <f>1.2*Table1[[#This Row],[X1]] + 1.4*Table1[[#This Row],[X2]] + 3.3*Table1[[#This Row],[x3]] + 0.6*Table1[[#This Row],[x4]] + 1*Table1[[#This Row],[x5]]</f>
        <v>#DIV/0!</v>
      </c>
      <c r="W1301" s="23" t="e">
        <f>IF(Table1[[#This Row],[Zscore]]&lt;1.81,1,0)</f>
        <v>#DIV/0!</v>
      </c>
    </row>
    <row r="1302" spans="1:23" hidden="1" x14ac:dyDescent="0.45">
      <c r="A1302" s="7">
        <v>1296</v>
      </c>
      <c r="B1302" s="5" t="s">
        <v>2604</v>
      </c>
      <c r="C1302" s="6" t="s">
        <v>2605</v>
      </c>
      <c r="D1302" s="6" t="s">
        <v>13</v>
      </c>
      <c r="E1302" s="6"/>
      <c r="F1302" s="6"/>
      <c r="G1302" s="6"/>
      <c r="H1302" s="6"/>
      <c r="I1302" s="6"/>
      <c r="J1302" s="8"/>
      <c r="K1302" s="6"/>
      <c r="L1302" s="6"/>
      <c r="M1302" s="8"/>
      <c r="N1302" s="8"/>
      <c r="O1302" s="8"/>
      <c r="P1302" s="8"/>
      <c r="Q1302" s="18" t="e">
        <f>(Table1[[#This Row],[A. TÀI SẢN NGẮN HẠN]]-Table1[[#This Row],[I. Nợ ngắn hạn]])/Table1[[#This Row],[TỔNG CỘNG TÀI SẢN]]</f>
        <v>#DIV/0!</v>
      </c>
      <c r="R1302" s="18" t="e">
        <f>Table1[[#This Row],[- LNST chưa phân phối kỳ này]]/Table1[[#This Row],[TỔNG CỘNG TÀI SẢN]]</f>
        <v>#DIV/0!</v>
      </c>
      <c r="S1302" s="21" t="e">
        <f>Table1[[#This Row],[5. Lợi nhuận gộp về bán hàng và cung cấp dịch vụ]]/Table1[[#This Row],[TỔNG CỘNG TÀI SẢN]]</f>
        <v>#DIV/0!</v>
      </c>
      <c r="T130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302" s="23" t="e">
        <f>Table1[[#This Row],[1. Doanh thu bán hàng và cung cấp dịch vụ ]]/Table1[[#This Row],[TỔNG CỘNG TÀI SẢN]]</f>
        <v>#DIV/0!</v>
      </c>
      <c r="V1302" s="23" t="e">
        <f>1.2*Table1[[#This Row],[X1]] + 1.4*Table1[[#This Row],[X2]] + 3.3*Table1[[#This Row],[x3]] + 0.6*Table1[[#This Row],[x4]] + 1*Table1[[#This Row],[x5]]</f>
        <v>#DIV/0!</v>
      </c>
      <c r="W1302" s="23" t="e">
        <f>IF(Table1[[#This Row],[Zscore]]&lt;1.81,1,0)</f>
        <v>#DIV/0!</v>
      </c>
    </row>
    <row r="1303" spans="1:23" ht="26.25" hidden="1" x14ac:dyDescent="0.45">
      <c r="A1303" s="7">
        <v>1297</v>
      </c>
      <c r="B1303" s="5" t="s">
        <v>2606</v>
      </c>
      <c r="C1303" s="6" t="s">
        <v>2607</v>
      </c>
      <c r="D1303" s="6" t="s">
        <v>13</v>
      </c>
      <c r="E1303" s="6"/>
      <c r="F1303" s="6"/>
      <c r="G1303" s="6"/>
      <c r="H1303" s="6"/>
      <c r="I1303" s="6"/>
      <c r="J1303" s="8"/>
      <c r="K1303" s="6"/>
      <c r="L1303" s="6"/>
      <c r="M1303" s="8"/>
      <c r="N1303" s="8"/>
      <c r="O1303" s="8"/>
      <c r="P1303" s="8"/>
      <c r="Q1303" s="18" t="e">
        <f>(Table1[[#This Row],[A. TÀI SẢN NGẮN HẠN]]-Table1[[#This Row],[I. Nợ ngắn hạn]])/Table1[[#This Row],[TỔNG CỘNG TÀI SẢN]]</f>
        <v>#DIV/0!</v>
      </c>
      <c r="R1303" s="18" t="e">
        <f>Table1[[#This Row],[- LNST chưa phân phối kỳ này]]/Table1[[#This Row],[TỔNG CỘNG TÀI SẢN]]</f>
        <v>#DIV/0!</v>
      </c>
      <c r="S1303" s="21" t="e">
        <f>Table1[[#This Row],[5. Lợi nhuận gộp về bán hàng và cung cấp dịch vụ]]/Table1[[#This Row],[TỔNG CỘNG TÀI SẢN]]</f>
        <v>#DIV/0!</v>
      </c>
      <c r="T130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303" s="23" t="e">
        <f>Table1[[#This Row],[1. Doanh thu bán hàng và cung cấp dịch vụ ]]/Table1[[#This Row],[TỔNG CỘNG TÀI SẢN]]</f>
        <v>#DIV/0!</v>
      </c>
      <c r="V1303" s="23" t="e">
        <f>1.2*Table1[[#This Row],[X1]] + 1.4*Table1[[#This Row],[X2]] + 3.3*Table1[[#This Row],[x3]] + 0.6*Table1[[#This Row],[x4]] + 1*Table1[[#This Row],[x5]]</f>
        <v>#DIV/0!</v>
      </c>
      <c r="W1303" s="23" t="e">
        <f>IF(Table1[[#This Row],[Zscore]]&lt;1.81,1,0)</f>
        <v>#DIV/0!</v>
      </c>
    </row>
    <row r="1304" spans="1:23" ht="26.25" hidden="1" x14ac:dyDescent="0.45">
      <c r="A1304" s="7">
        <v>1298</v>
      </c>
      <c r="B1304" s="5" t="s">
        <v>2608</v>
      </c>
      <c r="C1304" s="6" t="s">
        <v>2609</v>
      </c>
      <c r="D1304" s="6" t="s">
        <v>13</v>
      </c>
      <c r="E1304" s="6"/>
      <c r="F1304" s="6"/>
      <c r="G1304" s="6"/>
      <c r="H1304" s="6"/>
      <c r="I1304" s="6"/>
      <c r="J1304" s="8"/>
      <c r="K1304" s="6"/>
      <c r="L1304" s="6"/>
      <c r="M1304" s="8"/>
      <c r="N1304" s="8"/>
      <c r="O1304" s="8"/>
      <c r="P1304" s="8"/>
      <c r="Q1304" s="18" t="e">
        <f>(Table1[[#This Row],[A. TÀI SẢN NGẮN HẠN]]-Table1[[#This Row],[I. Nợ ngắn hạn]])/Table1[[#This Row],[TỔNG CỘNG TÀI SẢN]]</f>
        <v>#DIV/0!</v>
      </c>
      <c r="R1304" s="18" t="e">
        <f>Table1[[#This Row],[- LNST chưa phân phối kỳ này]]/Table1[[#This Row],[TỔNG CỘNG TÀI SẢN]]</f>
        <v>#DIV/0!</v>
      </c>
      <c r="S1304" s="21" t="e">
        <f>Table1[[#This Row],[5. Lợi nhuận gộp về bán hàng và cung cấp dịch vụ]]/Table1[[#This Row],[TỔNG CỘNG TÀI SẢN]]</f>
        <v>#DIV/0!</v>
      </c>
      <c r="T130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304" s="23" t="e">
        <f>Table1[[#This Row],[1. Doanh thu bán hàng và cung cấp dịch vụ ]]/Table1[[#This Row],[TỔNG CỘNG TÀI SẢN]]</f>
        <v>#DIV/0!</v>
      </c>
      <c r="V1304" s="23" t="e">
        <f>1.2*Table1[[#This Row],[X1]] + 1.4*Table1[[#This Row],[X2]] + 3.3*Table1[[#This Row],[x3]] + 0.6*Table1[[#This Row],[x4]] + 1*Table1[[#This Row],[x5]]</f>
        <v>#DIV/0!</v>
      </c>
      <c r="W1304" s="23" t="e">
        <f>IF(Table1[[#This Row],[Zscore]]&lt;1.81,1,0)</f>
        <v>#DIV/0!</v>
      </c>
    </row>
    <row r="1305" spans="1:23" ht="26.25" hidden="1" x14ac:dyDescent="0.45">
      <c r="A1305" s="7">
        <v>1299</v>
      </c>
      <c r="B1305" s="5" t="s">
        <v>2610</v>
      </c>
      <c r="C1305" s="6" t="s">
        <v>2611</v>
      </c>
      <c r="D1305" s="6" t="s">
        <v>13</v>
      </c>
      <c r="E1305" s="6"/>
      <c r="F1305" s="6"/>
      <c r="G1305" s="6"/>
      <c r="H1305" s="6"/>
      <c r="I1305" s="6"/>
      <c r="J1305" s="8"/>
      <c r="K1305" s="6"/>
      <c r="L1305" s="6"/>
      <c r="M1305" s="8"/>
      <c r="N1305" s="8"/>
      <c r="O1305" s="8"/>
      <c r="P1305" s="8"/>
      <c r="Q1305" s="18" t="e">
        <f>(Table1[[#This Row],[A. TÀI SẢN NGẮN HẠN]]-Table1[[#This Row],[I. Nợ ngắn hạn]])/Table1[[#This Row],[TỔNG CỘNG TÀI SẢN]]</f>
        <v>#DIV/0!</v>
      </c>
      <c r="R1305" s="18" t="e">
        <f>Table1[[#This Row],[- LNST chưa phân phối kỳ này]]/Table1[[#This Row],[TỔNG CỘNG TÀI SẢN]]</f>
        <v>#DIV/0!</v>
      </c>
      <c r="S1305" s="21" t="e">
        <f>Table1[[#This Row],[5. Lợi nhuận gộp về bán hàng và cung cấp dịch vụ]]/Table1[[#This Row],[TỔNG CỘNG TÀI SẢN]]</f>
        <v>#DIV/0!</v>
      </c>
      <c r="T130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305" s="23" t="e">
        <f>Table1[[#This Row],[1. Doanh thu bán hàng và cung cấp dịch vụ ]]/Table1[[#This Row],[TỔNG CỘNG TÀI SẢN]]</f>
        <v>#DIV/0!</v>
      </c>
      <c r="V1305" s="23" t="e">
        <f>1.2*Table1[[#This Row],[X1]] + 1.4*Table1[[#This Row],[X2]] + 3.3*Table1[[#This Row],[x3]] + 0.6*Table1[[#This Row],[x4]] + 1*Table1[[#This Row],[x5]]</f>
        <v>#DIV/0!</v>
      </c>
      <c r="W1305" s="23" t="e">
        <f>IF(Table1[[#This Row],[Zscore]]&lt;1.81,1,0)</f>
        <v>#DIV/0!</v>
      </c>
    </row>
    <row r="1306" spans="1:23" hidden="1" x14ac:dyDescent="0.45">
      <c r="A1306" s="7">
        <v>1300</v>
      </c>
      <c r="B1306" s="5" t="s">
        <v>2612</v>
      </c>
      <c r="C1306" s="6" t="s">
        <v>2613</v>
      </c>
      <c r="D1306" s="6" t="s">
        <v>13</v>
      </c>
      <c r="E1306" s="6"/>
      <c r="F1306" s="6"/>
      <c r="G1306" s="6"/>
      <c r="H1306" s="6"/>
      <c r="I1306" s="6"/>
      <c r="J1306" s="8"/>
      <c r="K1306" s="6"/>
      <c r="L1306" s="6"/>
      <c r="M1306" s="8"/>
      <c r="N1306" s="8"/>
      <c r="O1306" s="8"/>
      <c r="P1306" s="8"/>
      <c r="Q1306" s="18" t="e">
        <f>(Table1[[#This Row],[A. TÀI SẢN NGẮN HẠN]]-Table1[[#This Row],[I. Nợ ngắn hạn]])/Table1[[#This Row],[TỔNG CỘNG TÀI SẢN]]</f>
        <v>#DIV/0!</v>
      </c>
      <c r="R1306" s="18" t="e">
        <f>Table1[[#This Row],[- LNST chưa phân phối kỳ này]]/Table1[[#This Row],[TỔNG CỘNG TÀI SẢN]]</f>
        <v>#DIV/0!</v>
      </c>
      <c r="S1306" s="21" t="e">
        <f>Table1[[#This Row],[5. Lợi nhuận gộp về bán hàng và cung cấp dịch vụ]]/Table1[[#This Row],[TỔNG CỘNG TÀI SẢN]]</f>
        <v>#DIV/0!</v>
      </c>
      <c r="T130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306" s="23" t="e">
        <f>Table1[[#This Row],[1. Doanh thu bán hàng và cung cấp dịch vụ ]]/Table1[[#This Row],[TỔNG CỘNG TÀI SẢN]]</f>
        <v>#DIV/0!</v>
      </c>
      <c r="V1306" s="23" t="e">
        <f>1.2*Table1[[#This Row],[X1]] + 1.4*Table1[[#This Row],[X2]] + 3.3*Table1[[#This Row],[x3]] + 0.6*Table1[[#This Row],[x4]] + 1*Table1[[#This Row],[x5]]</f>
        <v>#DIV/0!</v>
      </c>
      <c r="W1306" s="23" t="e">
        <f>IF(Table1[[#This Row],[Zscore]]&lt;1.81,1,0)</f>
        <v>#DIV/0!</v>
      </c>
    </row>
    <row r="1307" spans="1:23" hidden="1" x14ac:dyDescent="0.45">
      <c r="A1307" s="7">
        <v>1301</v>
      </c>
      <c r="B1307" s="5" t="s">
        <v>2614</v>
      </c>
      <c r="C1307" s="6" t="s">
        <v>2615</v>
      </c>
      <c r="D1307" s="6" t="s">
        <v>18</v>
      </c>
      <c r="E1307" s="6"/>
      <c r="F1307" s="6"/>
      <c r="G1307" s="6"/>
      <c r="H1307" s="6"/>
      <c r="I1307" s="6"/>
      <c r="J1307" s="8"/>
      <c r="K1307" s="6"/>
      <c r="L1307" s="6"/>
      <c r="M1307" s="8"/>
      <c r="N1307" s="8"/>
      <c r="O1307" s="8"/>
      <c r="P1307" s="8"/>
      <c r="Q1307" s="18" t="e">
        <f>(Table1[[#This Row],[A. TÀI SẢN NGẮN HẠN]]-Table1[[#This Row],[I. Nợ ngắn hạn]])/Table1[[#This Row],[TỔNG CỘNG TÀI SẢN]]</f>
        <v>#DIV/0!</v>
      </c>
      <c r="R1307" s="18" t="e">
        <f>Table1[[#This Row],[- LNST chưa phân phối kỳ này]]/Table1[[#This Row],[TỔNG CỘNG TÀI SẢN]]</f>
        <v>#DIV/0!</v>
      </c>
      <c r="S1307" s="21" t="e">
        <f>Table1[[#This Row],[5. Lợi nhuận gộp về bán hàng và cung cấp dịch vụ]]/Table1[[#This Row],[TỔNG CỘNG TÀI SẢN]]</f>
        <v>#DIV/0!</v>
      </c>
      <c r="T130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307" s="23" t="e">
        <f>Table1[[#This Row],[1. Doanh thu bán hàng và cung cấp dịch vụ ]]/Table1[[#This Row],[TỔNG CỘNG TÀI SẢN]]</f>
        <v>#DIV/0!</v>
      </c>
      <c r="V1307" s="23" t="e">
        <f>1.2*Table1[[#This Row],[X1]] + 1.4*Table1[[#This Row],[X2]] + 3.3*Table1[[#This Row],[x3]] + 0.6*Table1[[#This Row],[x4]] + 1*Table1[[#This Row],[x5]]</f>
        <v>#DIV/0!</v>
      </c>
      <c r="W1307" s="23" t="e">
        <f>IF(Table1[[#This Row],[Zscore]]&lt;1.81,1,0)</f>
        <v>#DIV/0!</v>
      </c>
    </row>
    <row r="1308" spans="1:23" hidden="1" x14ac:dyDescent="0.45">
      <c r="A1308" s="7">
        <v>1302</v>
      </c>
      <c r="B1308" s="5" t="s">
        <v>2616</v>
      </c>
      <c r="C1308" s="6" t="s">
        <v>2617</v>
      </c>
      <c r="D1308" s="6" t="s">
        <v>13</v>
      </c>
      <c r="E1308" s="8">
        <v>16437824452396</v>
      </c>
      <c r="F1308" s="8">
        <v>16232121965758</v>
      </c>
      <c r="G1308" s="8">
        <v>9317607310994</v>
      </c>
      <c r="H1308" s="8">
        <v>134422076010</v>
      </c>
      <c r="I1308" s="8">
        <v>988155091100</v>
      </c>
      <c r="J1308" s="8"/>
      <c r="K1308" s="8">
        <v>9327848626372</v>
      </c>
      <c r="L1308" s="8">
        <v>2844853126798</v>
      </c>
      <c r="M1308" s="8"/>
      <c r="N1308" s="8"/>
      <c r="O1308" s="8"/>
      <c r="P1308" s="8"/>
      <c r="Q1308" s="18">
        <f>(Table1[[#This Row],[A. TÀI SẢN NGẮN HẠN]]-Table1[[#This Row],[I. Nợ ngắn hạn]])/Table1[[#This Row],[TỔNG CỘNG TÀI SẢN]]</f>
        <v>0.42064658098694629</v>
      </c>
      <c r="R1308" s="18">
        <f>Table1[[#This Row],[- LNST chưa phân phối kỳ này]]/Table1[[#This Row],[TỔNG CỘNG TÀI SẢN]]</f>
        <v>8.1776074686335052E-3</v>
      </c>
      <c r="S1308" s="21">
        <f>Table1[[#This Row],[5. Lợi nhuận gộp về bán hàng và cung cấp dịch vụ]]/Table1[[#This Row],[TỔNG CỘNG TÀI SẢN]]</f>
        <v>6.0114712501140331E-2</v>
      </c>
      <c r="T130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308" s="23">
        <f>Table1[[#This Row],[1. Doanh thu bán hàng và cung cấp dịch vụ ]]/Table1[[#This Row],[TỔNG CỘNG TÀI SẢN]]</f>
        <v>0.17306749655568504</v>
      </c>
      <c r="V1308" s="23" t="e">
        <f>1.2*Table1[[#This Row],[X1]] + 1.4*Table1[[#This Row],[X2]] + 3.3*Table1[[#This Row],[x3]] + 0.6*Table1[[#This Row],[x4]] + 1*Table1[[#This Row],[x5]]</f>
        <v>#DIV/0!</v>
      </c>
      <c r="W1308" s="23" t="e">
        <f>IF(Table1[[#This Row],[Zscore]]&lt;1.81,1,0)</f>
        <v>#DIV/0!</v>
      </c>
    </row>
    <row r="1309" spans="1:23" hidden="1" x14ac:dyDescent="0.45">
      <c r="A1309" s="7">
        <v>1303</v>
      </c>
      <c r="B1309" s="5" t="s">
        <v>2618</v>
      </c>
      <c r="C1309" s="6" t="s">
        <v>2619</v>
      </c>
      <c r="D1309" s="6" t="s">
        <v>13</v>
      </c>
      <c r="E1309" s="6"/>
      <c r="F1309" s="6"/>
      <c r="G1309" s="6"/>
      <c r="H1309" s="6"/>
      <c r="I1309" s="6"/>
      <c r="J1309" s="8"/>
      <c r="K1309" s="6"/>
      <c r="L1309" s="6"/>
      <c r="M1309" s="8"/>
      <c r="N1309" s="8"/>
      <c r="O1309" s="8"/>
      <c r="P1309" s="8"/>
      <c r="Q1309" s="18" t="e">
        <f>(Table1[[#This Row],[A. TÀI SẢN NGẮN HẠN]]-Table1[[#This Row],[I. Nợ ngắn hạn]])/Table1[[#This Row],[TỔNG CỘNG TÀI SẢN]]</f>
        <v>#DIV/0!</v>
      </c>
      <c r="R1309" s="18" t="e">
        <f>Table1[[#This Row],[- LNST chưa phân phối kỳ này]]/Table1[[#This Row],[TỔNG CỘNG TÀI SẢN]]</f>
        <v>#DIV/0!</v>
      </c>
      <c r="S1309" s="21" t="e">
        <f>Table1[[#This Row],[5. Lợi nhuận gộp về bán hàng và cung cấp dịch vụ]]/Table1[[#This Row],[TỔNG CỘNG TÀI SẢN]]</f>
        <v>#DIV/0!</v>
      </c>
      <c r="T130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309" s="23" t="e">
        <f>Table1[[#This Row],[1. Doanh thu bán hàng và cung cấp dịch vụ ]]/Table1[[#This Row],[TỔNG CỘNG TÀI SẢN]]</f>
        <v>#DIV/0!</v>
      </c>
      <c r="V1309" s="23" t="e">
        <f>1.2*Table1[[#This Row],[X1]] + 1.4*Table1[[#This Row],[X2]] + 3.3*Table1[[#This Row],[x3]] + 0.6*Table1[[#This Row],[x4]] + 1*Table1[[#This Row],[x5]]</f>
        <v>#DIV/0!</v>
      </c>
      <c r="W1309" s="23" t="e">
        <f>IF(Table1[[#This Row],[Zscore]]&lt;1.81,1,0)</f>
        <v>#DIV/0!</v>
      </c>
    </row>
    <row r="1310" spans="1:23" x14ac:dyDescent="0.45">
      <c r="A1310" s="7">
        <v>1304</v>
      </c>
      <c r="B1310" s="5" t="s">
        <v>2620</v>
      </c>
      <c r="C1310" s="6" t="s">
        <v>2621</v>
      </c>
      <c r="D1310" s="6" t="s">
        <v>36</v>
      </c>
      <c r="E1310" s="8">
        <v>115280647706</v>
      </c>
      <c r="F1310" s="8">
        <v>111969133085</v>
      </c>
      <c r="G1310" s="8">
        <v>59313012233</v>
      </c>
      <c r="H1310" s="8">
        <v>8073696735</v>
      </c>
      <c r="I1310" s="8">
        <v>2140037681</v>
      </c>
      <c r="J1310" s="8"/>
      <c r="K1310" s="8">
        <v>60063012233</v>
      </c>
      <c r="L1310" s="8">
        <v>18365172976</v>
      </c>
      <c r="M1310" s="8">
        <v>34838767200</v>
      </c>
      <c r="N1310" s="8">
        <v>34838767200</v>
      </c>
      <c r="O1310" s="8">
        <v>30678914400</v>
      </c>
      <c r="P1310" s="8">
        <v>38998620000</v>
      </c>
      <c r="Q1310" s="18">
        <f>(Table1[[#This Row],[A. TÀI SẢN NGẮN HẠN]]-Table1[[#This Row],[I. Nợ ngắn hạn]])/Table1[[#This Row],[TỔNG CỘNG TÀI SẢN]]</f>
        <v>0.45676461661014256</v>
      </c>
      <c r="R1310" s="18">
        <f>Table1[[#This Row],[- LNST chưa phân phối kỳ này]]/Table1[[#This Row],[TỔNG CỘNG TÀI SẢN]]</f>
        <v>7.0035143761425875E-2</v>
      </c>
      <c r="S1310" s="21">
        <f>Table1[[#This Row],[5. Lợi nhuận gộp về bán hàng và cung cấp dịch vụ]]/Table1[[#This Row],[TỔNG CỘNG TÀI SẢN]]</f>
        <v>1.8563720135037182E-2</v>
      </c>
      <c r="T131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0.58003696292905504</v>
      </c>
      <c r="U1310" s="23">
        <f>Table1[[#This Row],[1. Doanh thu bán hàng và cung cấp dịch vụ ]]/Table1[[#This Row],[TỔNG CỘNG TÀI SẢN]]</f>
        <v>0.15930837778459281</v>
      </c>
      <c r="V1310" s="23">
        <f>1.2*Table1[[#This Row],[X1]] + 1.4*Table1[[#This Row],[X2]] + 3.3*Table1[[#This Row],[x3]] + 0.6*Table1[[#This Row],[x4]] + 1*Table1[[#This Row],[x5]]</f>
        <v>1.2147575731858158</v>
      </c>
      <c r="W1310" s="23">
        <f>IF(Table1[[#This Row],[Zscore]]&lt;1.81,1,0)</f>
        <v>1</v>
      </c>
    </row>
    <row r="1311" spans="1:23" x14ac:dyDescent="0.45">
      <c r="A1311" s="7">
        <v>1305</v>
      </c>
      <c r="B1311" s="5" t="s">
        <v>2622</v>
      </c>
      <c r="C1311" s="6" t="s">
        <v>2623</v>
      </c>
      <c r="D1311" s="6" t="s">
        <v>21</v>
      </c>
      <c r="E1311" s="8">
        <v>103302689000000</v>
      </c>
      <c r="F1311" s="6"/>
      <c r="G1311" s="6"/>
      <c r="H1311" s="6"/>
      <c r="I1311" s="6"/>
      <c r="J1311" s="8"/>
      <c r="K1311" s="8">
        <v>94886186000000</v>
      </c>
      <c r="L1311" s="8">
        <v>8397136000000</v>
      </c>
      <c r="M1311" s="8">
        <v>4229337972600</v>
      </c>
      <c r="N1311" s="8">
        <v>9716624836800</v>
      </c>
      <c r="O1311" s="8">
        <v>6253636489400</v>
      </c>
      <c r="P1311" s="8">
        <v>5675265484600</v>
      </c>
      <c r="Q1311" s="18">
        <f>(Table1[[#This Row],[A. TÀI SẢN NGẮN HẠN]]-Table1[[#This Row],[I. Nợ ngắn hạn]])/Table1[[#This Row],[TỔNG CỘNG TÀI SẢN]]</f>
        <v>0</v>
      </c>
      <c r="R1311" s="18">
        <f>Table1[[#This Row],[- LNST chưa phân phối kỳ này]]/Table1[[#This Row],[TỔNG CỘNG TÀI SẢN]]</f>
        <v>0</v>
      </c>
      <c r="S1311" s="21">
        <f>Table1[[#This Row],[5. Lợi nhuận gộp về bán hàng và cung cấp dịch vụ]]/Table1[[#This Row],[TỔNG CỘNG TÀI SẢN]]</f>
        <v>0</v>
      </c>
      <c r="T131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6.8173424062486818E-2</v>
      </c>
      <c r="U1311" s="23">
        <f>Table1[[#This Row],[1. Doanh thu bán hàng và cung cấp dịch vụ ]]/Table1[[#This Row],[TỔNG CỘNG TÀI SẢN]]</f>
        <v>8.12867126817967E-2</v>
      </c>
      <c r="V1311" s="23">
        <f>1.2*Table1[[#This Row],[X1]] + 1.4*Table1[[#This Row],[X2]] + 3.3*Table1[[#This Row],[x3]] + 0.6*Table1[[#This Row],[x4]] + 1*Table1[[#This Row],[x5]]</f>
        <v>0.12219076711928878</v>
      </c>
      <c r="W1311" s="23">
        <f>IF(Table1[[#This Row],[Zscore]]&lt;1.81,1,0)</f>
        <v>1</v>
      </c>
    </row>
    <row r="1312" spans="1:23" ht="26.25" hidden="1" x14ac:dyDescent="0.45">
      <c r="A1312" s="7">
        <v>1306</v>
      </c>
      <c r="B1312" s="5" t="s">
        <v>2624</v>
      </c>
      <c r="C1312" s="6" t="s">
        <v>2625</v>
      </c>
      <c r="D1312" s="6" t="s">
        <v>13</v>
      </c>
      <c r="E1312" s="6"/>
      <c r="F1312" s="6"/>
      <c r="G1312" s="6"/>
      <c r="H1312" s="6"/>
      <c r="I1312" s="6"/>
      <c r="J1312" s="8"/>
      <c r="K1312" s="6"/>
      <c r="L1312" s="6"/>
      <c r="M1312" s="8"/>
      <c r="N1312" s="8"/>
      <c r="O1312" s="8"/>
      <c r="P1312" s="8"/>
      <c r="Q1312" s="18" t="e">
        <f>(Table1[[#This Row],[A. TÀI SẢN NGẮN HẠN]]-Table1[[#This Row],[I. Nợ ngắn hạn]])/Table1[[#This Row],[TỔNG CỘNG TÀI SẢN]]</f>
        <v>#DIV/0!</v>
      </c>
      <c r="R1312" s="18" t="e">
        <f>Table1[[#This Row],[- LNST chưa phân phối kỳ này]]/Table1[[#This Row],[TỔNG CỘNG TÀI SẢN]]</f>
        <v>#DIV/0!</v>
      </c>
      <c r="S1312" s="21" t="e">
        <f>Table1[[#This Row],[5. Lợi nhuận gộp về bán hàng và cung cấp dịch vụ]]/Table1[[#This Row],[TỔNG CỘNG TÀI SẢN]]</f>
        <v>#DIV/0!</v>
      </c>
      <c r="T131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312" s="23" t="e">
        <f>Table1[[#This Row],[1. Doanh thu bán hàng và cung cấp dịch vụ ]]/Table1[[#This Row],[TỔNG CỘNG TÀI SẢN]]</f>
        <v>#DIV/0!</v>
      </c>
      <c r="V1312" s="23" t="e">
        <f>1.2*Table1[[#This Row],[X1]] + 1.4*Table1[[#This Row],[X2]] + 3.3*Table1[[#This Row],[x3]] + 0.6*Table1[[#This Row],[x4]] + 1*Table1[[#This Row],[x5]]</f>
        <v>#DIV/0!</v>
      </c>
      <c r="W1312" s="23" t="e">
        <f>IF(Table1[[#This Row],[Zscore]]&lt;1.81,1,0)</f>
        <v>#DIV/0!</v>
      </c>
    </row>
    <row r="1313" spans="1:23" hidden="1" x14ac:dyDescent="0.45">
      <c r="A1313" s="7">
        <v>1307</v>
      </c>
      <c r="B1313" s="5" t="s">
        <v>2626</v>
      </c>
      <c r="C1313" s="6" t="s">
        <v>2627</v>
      </c>
      <c r="D1313" s="6" t="s">
        <v>13</v>
      </c>
      <c r="E1313" s="6"/>
      <c r="F1313" s="6"/>
      <c r="G1313" s="6"/>
      <c r="H1313" s="6"/>
      <c r="I1313" s="6"/>
      <c r="J1313" s="8"/>
      <c r="K1313" s="6"/>
      <c r="L1313" s="6"/>
      <c r="M1313" s="8"/>
      <c r="N1313" s="8"/>
      <c r="O1313" s="8"/>
      <c r="P1313" s="8"/>
      <c r="Q1313" s="18" t="e">
        <f>(Table1[[#This Row],[A. TÀI SẢN NGẮN HẠN]]-Table1[[#This Row],[I. Nợ ngắn hạn]])/Table1[[#This Row],[TỔNG CỘNG TÀI SẢN]]</f>
        <v>#DIV/0!</v>
      </c>
      <c r="R1313" s="18" t="e">
        <f>Table1[[#This Row],[- LNST chưa phân phối kỳ này]]/Table1[[#This Row],[TỔNG CỘNG TÀI SẢN]]</f>
        <v>#DIV/0!</v>
      </c>
      <c r="S1313" s="21" t="e">
        <f>Table1[[#This Row],[5. Lợi nhuận gộp về bán hàng và cung cấp dịch vụ]]/Table1[[#This Row],[TỔNG CỘNG TÀI SẢN]]</f>
        <v>#DIV/0!</v>
      </c>
      <c r="T131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313" s="23" t="e">
        <f>Table1[[#This Row],[1. Doanh thu bán hàng và cung cấp dịch vụ ]]/Table1[[#This Row],[TỔNG CỘNG TÀI SẢN]]</f>
        <v>#DIV/0!</v>
      </c>
      <c r="V1313" s="23" t="e">
        <f>1.2*Table1[[#This Row],[X1]] + 1.4*Table1[[#This Row],[X2]] + 3.3*Table1[[#This Row],[x3]] + 0.6*Table1[[#This Row],[x4]] + 1*Table1[[#This Row],[x5]]</f>
        <v>#DIV/0!</v>
      </c>
      <c r="W1313" s="23" t="e">
        <f>IF(Table1[[#This Row],[Zscore]]&lt;1.81,1,0)</f>
        <v>#DIV/0!</v>
      </c>
    </row>
    <row r="1314" spans="1:23" x14ac:dyDescent="0.45">
      <c r="A1314" s="7">
        <v>1308</v>
      </c>
      <c r="B1314" s="5" t="s">
        <v>2628</v>
      </c>
      <c r="C1314" s="6" t="s">
        <v>2629</v>
      </c>
      <c r="D1314" s="6" t="s">
        <v>21</v>
      </c>
      <c r="E1314" s="8">
        <v>812493014970</v>
      </c>
      <c r="F1314" s="8">
        <v>577093715739</v>
      </c>
      <c r="G1314" s="8">
        <v>158564192943</v>
      </c>
      <c r="H1314" s="8">
        <v>6070521295</v>
      </c>
      <c r="I1314" s="8">
        <v>52364019800</v>
      </c>
      <c r="J1314" s="8"/>
      <c r="K1314" s="8">
        <v>160264192943</v>
      </c>
      <c r="L1314" s="8">
        <v>294458845759</v>
      </c>
      <c r="M1314" s="8">
        <v>188834319240</v>
      </c>
      <c r="N1314" s="8">
        <v>168358308720</v>
      </c>
      <c r="O1314" s="8">
        <v>172908533280</v>
      </c>
      <c r="P1314" s="8">
        <v>174046089420</v>
      </c>
      <c r="Q1314" s="18">
        <f>(Table1[[#This Row],[A. TÀI SẢN NGẮN HẠN]]-Table1[[#This Row],[I. Nợ ngắn hạn]])/Table1[[#This Row],[TỔNG CỘNG TÀI SẢN]]</f>
        <v>0.51511768727199891</v>
      </c>
      <c r="R1314" s="18">
        <f>Table1[[#This Row],[- LNST chưa phân phối kỳ này]]/Table1[[#This Row],[TỔNG CỘNG TÀI SẢN]]</f>
        <v>7.471475056587587E-3</v>
      </c>
      <c r="S1314" s="21">
        <f>Table1[[#This Row],[5. Lợi nhuận gộp về bán hàng và cung cấp dịch vụ]]/Table1[[#This Row],[TỔNG CỘNG TÀI SẢN]]</f>
        <v>6.4448578431081593E-2</v>
      </c>
      <c r="T131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1.0984163675763166</v>
      </c>
      <c r="U1314" s="23">
        <f>Table1[[#This Row],[1. Doanh thu bán hàng và cung cấp dịch vụ ]]/Table1[[#This Row],[TỔNG CỘNG TÀI SẢN]]</f>
        <v>0.36241400274668506</v>
      </c>
      <c r="V1314" s="23">
        <f>1.2*Table1[[#This Row],[X1]] + 1.4*Table1[[#This Row],[X2]] + 3.3*Table1[[#This Row],[x3]] + 0.6*Table1[[#This Row],[x4]] + 1*Table1[[#This Row],[x5]]</f>
        <v>1.8627454219206656</v>
      </c>
      <c r="W1314" s="23">
        <f>IF(Table1[[#This Row],[Zscore]]&lt;1.81,1,0)</f>
        <v>0</v>
      </c>
    </row>
    <row r="1315" spans="1:23" x14ac:dyDescent="0.45">
      <c r="A1315" s="7">
        <v>1309</v>
      </c>
      <c r="B1315" s="5" t="s">
        <v>2630</v>
      </c>
      <c r="C1315" s="6" t="s">
        <v>2631</v>
      </c>
      <c r="D1315" s="6" t="s">
        <v>36</v>
      </c>
      <c r="E1315" s="8">
        <v>774787062103</v>
      </c>
      <c r="F1315" s="8">
        <v>697569059318</v>
      </c>
      <c r="G1315" s="8">
        <v>638612570784</v>
      </c>
      <c r="H1315" s="8">
        <v>6248795687</v>
      </c>
      <c r="I1315" s="8">
        <v>90887797375</v>
      </c>
      <c r="J1315" s="8"/>
      <c r="K1315" s="8">
        <v>638612570784</v>
      </c>
      <c r="L1315" s="8">
        <v>5314054159908</v>
      </c>
      <c r="M1315" s="8">
        <v>89603714200</v>
      </c>
      <c r="N1315" s="8">
        <v>88619058000</v>
      </c>
      <c r="O1315" s="8">
        <v>113235463000</v>
      </c>
      <c r="P1315" s="8">
        <v>98465620000</v>
      </c>
      <c r="Q1315" s="18">
        <f>(Table1[[#This Row],[A. TÀI SẢN NGẮN HẠN]]-Table1[[#This Row],[I. Nợ ngắn hạn]])/Table1[[#This Row],[TỔNG CỘNG TÀI SẢN]]</f>
        <v>7.6093795854017932E-2</v>
      </c>
      <c r="R1315" s="18">
        <f>Table1[[#This Row],[- LNST chưa phân phối kỳ này]]/Table1[[#This Row],[TỔNG CỘNG TÀI SẢN]]</f>
        <v>8.0651781536451202E-3</v>
      </c>
      <c r="S1315" s="21">
        <f>Table1[[#This Row],[5. Lợi nhuận gộp về bán hàng và cung cấp dịch vụ]]/Table1[[#This Row],[TỔNG CỘNG TÀI SẢN]]</f>
        <v>0.11730680830976163</v>
      </c>
      <c r="T131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0.15264491846805706</v>
      </c>
      <c r="U1315" s="23">
        <f>Table1[[#This Row],[1. Doanh thu bán hàng và cung cấp dịch vụ ]]/Table1[[#This Row],[TỔNG CỘNG TÀI SẢN]]</f>
        <v>6.8587285718015139</v>
      </c>
      <c r="V1315" s="23">
        <f>1.2*Table1[[#This Row],[X1]] + 1.4*Table1[[#This Row],[X2]] + 3.3*Table1[[#This Row],[x3]] + 0.6*Table1[[#This Row],[x4]] + 1*Table1[[#This Row],[x5]]</f>
        <v>7.4400317947444865</v>
      </c>
      <c r="W1315" s="23">
        <f>IF(Table1[[#This Row],[Zscore]]&lt;1.81,1,0)</f>
        <v>0</v>
      </c>
    </row>
    <row r="1316" spans="1:23" hidden="1" x14ac:dyDescent="0.45">
      <c r="A1316" s="7">
        <v>1310</v>
      </c>
      <c r="B1316" s="5" t="s">
        <v>2632</v>
      </c>
      <c r="C1316" s="6" t="s">
        <v>2633</v>
      </c>
      <c r="D1316" s="6" t="s">
        <v>13</v>
      </c>
      <c r="E1316" s="6"/>
      <c r="F1316" s="6"/>
      <c r="G1316" s="6"/>
      <c r="H1316" s="6"/>
      <c r="I1316" s="6"/>
      <c r="J1316" s="8"/>
      <c r="K1316" s="6"/>
      <c r="L1316" s="6"/>
      <c r="M1316" s="8"/>
      <c r="N1316" s="8"/>
      <c r="O1316" s="8"/>
      <c r="P1316" s="8"/>
      <c r="Q1316" s="18" t="e">
        <f>(Table1[[#This Row],[A. TÀI SẢN NGẮN HẠN]]-Table1[[#This Row],[I. Nợ ngắn hạn]])/Table1[[#This Row],[TỔNG CỘNG TÀI SẢN]]</f>
        <v>#DIV/0!</v>
      </c>
      <c r="R1316" s="18" t="e">
        <f>Table1[[#This Row],[- LNST chưa phân phối kỳ này]]/Table1[[#This Row],[TỔNG CỘNG TÀI SẢN]]</f>
        <v>#DIV/0!</v>
      </c>
      <c r="S1316" s="21" t="e">
        <f>Table1[[#This Row],[5. Lợi nhuận gộp về bán hàng và cung cấp dịch vụ]]/Table1[[#This Row],[TỔNG CỘNG TÀI SẢN]]</f>
        <v>#DIV/0!</v>
      </c>
      <c r="T131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316" s="23" t="e">
        <f>Table1[[#This Row],[1. Doanh thu bán hàng và cung cấp dịch vụ ]]/Table1[[#This Row],[TỔNG CỘNG TÀI SẢN]]</f>
        <v>#DIV/0!</v>
      </c>
      <c r="V1316" s="23" t="e">
        <f>1.2*Table1[[#This Row],[X1]] + 1.4*Table1[[#This Row],[X2]] + 3.3*Table1[[#This Row],[x3]] + 0.6*Table1[[#This Row],[x4]] + 1*Table1[[#This Row],[x5]]</f>
        <v>#DIV/0!</v>
      </c>
      <c r="W1316" s="23" t="e">
        <f>IF(Table1[[#This Row],[Zscore]]&lt;1.81,1,0)</f>
        <v>#DIV/0!</v>
      </c>
    </row>
    <row r="1317" spans="1:23" x14ac:dyDescent="0.45">
      <c r="A1317" s="7">
        <v>1311</v>
      </c>
      <c r="B1317" s="5" t="s">
        <v>2634</v>
      </c>
      <c r="C1317" s="6" t="s">
        <v>2635</v>
      </c>
      <c r="D1317" s="6" t="s">
        <v>21</v>
      </c>
      <c r="E1317" s="8">
        <v>4868254201101</v>
      </c>
      <c r="F1317" s="8">
        <v>3367637219409</v>
      </c>
      <c r="G1317" s="8">
        <v>1496643112854</v>
      </c>
      <c r="H1317" s="8">
        <v>18838681430</v>
      </c>
      <c r="I1317" s="8">
        <v>173603095877</v>
      </c>
      <c r="J1317" s="8"/>
      <c r="K1317" s="8">
        <v>2530659520210</v>
      </c>
      <c r="L1317" s="8">
        <v>1555287684320</v>
      </c>
      <c r="M1317" s="8">
        <v>8356179531000</v>
      </c>
      <c r="N1317" s="8">
        <v>8345355464250</v>
      </c>
      <c r="O1317" s="8">
        <v>8388651731250</v>
      </c>
      <c r="P1317" s="8">
        <v>8486068332000</v>
      </c>
      <c r="Q1317" s="18">
        <f>(Table1[[#This Row],[A. TÀI SẢN NGẮN HẠN]]-Table1[[#This Row],[I. Nợ ngắn hạn]])/Table1[[#This Row],[TỔNG CỘNG TÀI SẢN]]</f>
        <v>0.38432547465000033</v>
      </c>
      <c r="R1317" s="18">
        <f>Table1[[#This Row],[- LNST chưa phân phối kỳ này]]/Table1[[#This Row],[TỔNG CỘNG TÀI SẢN]]</f>
        <v>3.8696996195760405E-3</v>
      </c>
      <c r="S1317" s="21">
        <f>Table1[[#This Row],[5. Lợi nhuận gộp về bán hàng và cung cấp dịch vụ]]/Table1[[#This Row],[TỔNG CỘNG TÀI SẢN]]</f>
        <v>3.5660236443228063E-2</v>
      </c>
      <c r="T131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3.3169471031521622</v>
      </c>
      <c r="U1317" s="23">
        <f>Table1[[#This Row],[1. Doanh thu bán hàng và cung cấp dịch vụ ]]/Table1[[#This Row],[TỔNG CỘNG TÀI SẢN]]</f>
        <v>0.31947544644818621</v>
      </c>
      <c r="V1317" s="23">
        <f>1.2*Table1[[#This Row],[X1]] + 1.4*Table1[[#This Row],[X2]] + 3.3*Table1[[#This Row],[x3]] + 0.6*Table1[[#This Row],[x4]] + 1*Table1[[#This Row],[x5]]</f>
        <v>2.8939306376495426</v>
      </c>
      <c r="W1317" s="23">
        <f>IF(Table1[[#This Row],[Zscore]]&lt;1.81,1,0)</f>
        <v>0</v>
      </c>
    </row>
    <row r="1318" spans="1:23" ht="26.25" hidden="1" x14ac:dyDescent="0.45">
      <c r="A1318" s="7">
        <v>1312</v>
      </c>
      <c r="B1318" s="5" t="s">
        <v>2636</v>
      </c>
      <c r="C1318" s="6" t="s">
        <v>2637</v>
      </c>
      <c r="D1318" s="6" t="s">
        <v>13</v>
      </c>
      <c r="E1318" s="6"/>
      <c r="F1318" s="6"/>
      <c r="G1318" s="6"/>
      <c r="H1318" s="6"/>
      <c r="I1318" s="6"/>
      <c r="J1318" s="8"/>
      <c r="K1318" s="6"/>
      <c r="L1318" s="6"/>
      <c r="M1318" s="8"/>
      <c r="N1318" s="8"/>
      <c r="O1318" s="8"/>
      <c r="P1318" s="8"/>
      <c r="Q1318" s="18" t="e">
        <f>(Table1[[#This Row],[A. TÀI SẢN NGẮN HẠN]]-Table1[[#This Row],[I. Nợ ngắn hạn]])/Table1[[#This Row],[TỔNG CỘNG TÀI SẢN]]</f>
        <v>#DIV/0!</v>
      </c>
      <c r="R1318" s="18" t="e">
        <f>Table1[[#This Row],[- LNST chưa phân phối kỳ này]]/Table1[[#This Row],[TỔNG CỘNG TÀI SẢN]]</f>
        <v>#DIV/0!</v>
      </c>
      <c r="S1318" s="21" t="e">
        <f>Table1[[#This Row],[5. Lợi nhuận gộp về bán hàng và cung cấp dịch vụ]]/Table1[[#This Row],[TỔNG CỘNG TÀI SẢN]]</f>
        <v>#DIV/0!</v>
      </c>
      <c r="T131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318" s="23" t="e">
        <f>Table1[[#This Row],[1. Doanh thu bán hàng và cung cấp dịch vụ ]]/Table1[[#This Row],[TỔNG CỘNG TÀI SẢN]]</f>
        <v>#DIV/0!</v>
      </c>
      <c r="V1318" s="23" t="e">
        <f>1.2*Table1[[#This Row],[X1]] + 1.4*Table1[[#This Row],[X2]] + 3.3*Table1[[#This Row],[x3]] + 0.6*Table1[[#This Row],[x4]] + 1*Table1[[#This Row],[x5]]</f>
        <v>#DIV/0!</v>
      </c>
      <c r="W1318" s="23" t="e">
        <f>IF(Table1[[#This Row],[Zscore]]&lt;1.81,1,0)</f>
        <v>#DIV/0!</v>
      </c>
    </row>
    <row r="1319" spans="1:23" hidden="1" x14ac:dyDescent="0.45">
      <c r="A1319" s="7">
        <v>1313</v>
      </c>
      <c r="B1319" s="5" t="s">
        <v>2638</v>
      </c>
      <c r="C1319" s="6" t="s">
        <v>2639</v>
      </c>
      <c r="D1319" s="6" t="s">
        <v>18</v>
      </c>
      <c r="E1319" s="6"/>
      <c r="F1319" s="6"/>
      <c r="G1319" s="6"/>
      <c r="H1319" s="6"/>
      <c r="I1319" s="6"/>
      <c r="J1319" s="8"/>
      <c r="K1319" s="6"/>
      <c r="L1319" s="6"/>
      <c r="M1319" s="8">
        <v>73649361610</v>
      </c>
      <c r="N1319" s="8"/>
      <c r="O1319" s="8">
        <v>73649361610</v>
      </c>
      <c r="P1319" s="8"/>
      <c r="Q1319" s="18" t="e">
        <f>(Table1[[#This Row],[A. TÀI SẢN NGẮN HẠN]]-Table1[[#This Row],[I. Nợ ngắn hạn]])/Table1[[#This Row],[TỔNG CỘNG TÀI SẢN]]</f>
        <v>#DIV/0!</v>
      </c>
      <c r="R1319" s="18" t="e">
        <f>Table1[[#This Row],[- LNST chưa phân phối kỳ này]]/Table1[[#This Row],[TỔNG CỘNG TÀI SẢN]]</f>
        <v>#DIV/0!</v>
      </c>
      <c r="S1319" s="21" t="e">
        <f>Table1[[#This Row],[5. Lợi nhuận gộp về bán hàng và cung cấp dịch vụ]]/Table1[[#This Row],[TỔNG CỘNG TÀI SẢN]]</f>
        <v>#DIV/0!</v>
      </c>
      <c r="T131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319" s="23" t="e">
        <f>Table1[[#This Row],[1. Doanh thu bán hàng và cung cấp dịch vụ ]]/Table1[[#This Row],[TỔNG CỘNG TÀI SẢN]]</f>
        <v>#DIV/0!</v>
      </c>
      <c r="V1319" s="23" t="e">
        <f>1.2*Table1[[#This Row],[X1]] + 1.4*Table1[[#This Row],[X2]] + 3.3*Table1[[#This Row],[x3]] + 0.6*Table1[[#This Row],[x4]] + 1*Table1[[#This Row],[x5]]</f>
        <v>#DIV/0!</v>
      </c>
      <c r="W1319" s="23" t="e">
        <f>IF(Table1[[#This Row],[Zscore]]&lt;1.81,1,0)</f>
        <v>#DIV/0!</v>
      </c>
    </row>
    <row r="1320" spans="1:23" ht="26.25" hidden="1" x14ac:dyDescent="0.45">
      <c r="A1320" s="7">
        <v>1314</v>
      </c>
      <c r="B1320" s="5" t="s">
        <v>2640</v>
      </c>
      <c r="C1320" s="6" t="s">
        <v>2641</v>
      </c>
      <c r="D1320" s="6" t="s">
        <v>13</v>
      </c>
      <c r="E1320" s="6"/>
      <c r="F1320" s="6"/>
      <c r="G1320" s="6"/>
      <c r="H1320" s="6"/>
      <c r="I1320" s="6"/>
      <c r="J1320" s="8"/>
      <c r="K1320" s="6"/>
      <c r="L1320" s="6"/>
      <c r="M1320" s="8"/>
      <c r="N1320" s="8"/>
      <c r="O1320" s="8"/>
      <c r="P1320" s="8"/>
      <c r="Q1320" s="18" t="e">
        <f>(Table1[[#This Row],[A. TÀI SẢN NGẮN HẠN]]-Table1[[#This Row],[I. Nợ ngắn hạn]])/Table1[[#This Row],[TỔNG CỘNG TÀI SẢN]]</f>
        <v>#DIV/0!</v>
      </c>
      <c r="R1320" s="18" t="e">
        <f>Table1[[#This Row],[- LNST chưa phân phối kỳ này]]/Table1[[#This Row],[TỔNG CỘNG TÀI SẢN]]</f>
        <v>#DIV/0!</v>
      </c>
      <c r="S1320" s="21" t="e">
        <f>Table1[[#This Row],[5. Lợi nhuận gộp về bán hàng và cung cấp dịch vụ]]/Table1[[#This Row],[TỔNG CỘNG TÀI SẢN]]</f>
        <v>#DIV/0!</v>
      </c>
      <c r="T132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320" s="23" t="e">
        <f>Table1[[#This Row],[1. Doanh thu bán hàng và cung cấp dịch vụ ]]/Table1[[#This Row],[TỔNG CỘNG TÀI SẢN]]</f>
        <v>#DIV/0!</v>
      </c>
      <c r="V1320" s="23" t="e">
        <f>1.2*Table1[[#This Row],[X1]] + 1.4*Table1[[#This Row],[X2]] + 3.3*Table1[[#This Row],[x3]] + 0.6*Table1[[#This Row],[x4]] + 1*Table1[[#This Row],[x5]]</f>
        <v>#DIV/0!</v>
      </c>
      <c r="W1320" s="23" t="e">
        <f>IF(Table1[[#This Row],[Zscore]]&lt;1.81,1,0)</f>
        <v>#DIV/0!</v>
      </c>
    </row>
    <row r="1321" spans="1:23" ht="26.25" x14ac:dyDescent="0.45">
      <c r="A1321" s="7">
        <v>1315</v>
      </c>
      <c r="B1321" s="5" t="s">
        <v>2642</v>
      </c>
      <c r="C1321" s="6" t="s">
        <v>2643</v>
      </c>
      <c r="D1321" s="6" t="s">
        <v>21</v>
      </c>
      <c r="E1321" s="8">
        <v>5170405039633</v>
      </c>
      <c r="F1321" s="8">
        <v>2063543186933</v>
      </c>
      <c r="G1321" s="8">
        <v>1197399026961</v>
      </c>
      <c r="H1321" s="8">
        <v>112873549646</v>
      </c>
      <c r="I1321" s="8">
        <v>289471368831</v>
      </c>
      <c r="J1321" s="8"/>
      <c r="K1321" s="8">
        <v>2391730618995</v>
      </c>
      <c r="L1321" s="8">
        <v>710881303837</v>
      </c>
      <c r="M1321" s="8">
        <v>2122930690650</v>
      </c>
      <c r="N1321" s="8">
        <v>1956987321300</v>
      </c>
      <c r="O1321" s="8">
        <v>1928376395550</v>
      </c>
      <c r="P1321" s="8">
        <v>2288874060000</v>
      </c>
      <c r="Q1321" s="18">
        <f>(Table1[[#This Row],[A. TÀI SẢN NGẮN HẠN]]-Table1[[#This Row],[I. Nợ ngắn hạn]])/Table1[[#This Row],[TỔNG CỘNG TÀI SẢN]]</f>
        <v>0.16751959533783056</v>
      </c>
      <c r="R1321" s="18">
        <f>Table1[[#This Row],[- LNST chưa phân phối kỳ này]]/Table1[[#This Row],[TỔNG CỘNG TÀI SẢN]]</f>
        <v>2.1830697746266291E-2</v>
      </c>
      <c r="S1321" s="21">
        <f>Table1[[#This Row],[5. Lợi nhuận gộp về bán hàng và cung cấp dịch vụ]]/Table1[[#This Row],[TỔNG CỘNG TÀI SẢN]]</f>
        <v>5.598620738841515E-2</v>
      </c>
      <c r="T132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0.86727664913476465</v>
      </c>
      <c r="U1321" s="23">
        <f>Table1[[#This Row],[1. Doanh thu bán hàng và cung cấp dịch vụ ]]/Table1[[#This Row],[TỔNG CỘNG TÀI SẢN]]</f>
        <v>0.13749044772853211</v>
      </c>
      <c r="V1321" s="23">
        <f>1.2*Table1[[#This Row],[X1]] + 1.4*Table1[[#This Row],[X2]] + 3.3*Table1[[#This Row],[x3]] + 0.6*Table1[[#This Row],[x4]] + 1*Table1[[#This Row],[x5]]</f>
        <v>1.0741974128413303</v>
      </c>
      <c r="W1321" s="23">
        <f>IF(Table1[[#This Row],[Zscore]]&lt;1.81,1,0)</f>
        <v>1</v>
      </c>
    </row>
    <row r="1322" spans="1:23" hidden="1" x14ac:dyDescent="0.45">
      <c r="A1322" s="7">
        <v>1316</v>
      </c>
      <c r="B1322" s="5" t="s">
        <v>2644</v>
      </c>
      <c r="C1322" s="6" t="s">
        <v>2645</v>
      </c>
      <c r="D1322" s="6" t="s">
        <v>13</v>
      </c>
      <c r="E1322" s="6"/>
      <c r="F1322" s="6"/>
      <c r="G1322" s="6"/>
      <c r="H1322" s="6"/>
      <c r="I1322" s="6"/>
      <c r="J1322" s="8"/>
      <c r="K1322" s="6"/>
      <c r="L1322" s="6"/>
      <c r="M1322" s="8"/>
      <c r="N1322" s="8"/>
      <c r="O1322" s="8"/>
      <c r="P1322" s="8"/>
      <c r="Q1322" s="18" t="e">
        <f>(Table1[[#This Row],[A. TÀI SẢN NGẮN HẠN]]-Table1[[#This Row],[I. Nợ ngắn hạn]])/Table1[[#This Row],[TỔNG CỘNG TÀI SẢN]]</f>
        <v>#DIV/0!</v>
      </c>
      <c r="R1322" s="18" t="e">
        <f>Table1[[#This Row],[- LNST chưa phân phối kỳ này]]/Table1[[#This Row],[TỔNG CỘNG TÀI SẢN]]</f>
        <v>#DIV/0!</v>
      </c>
      <c r="S1322" s="21" t="e">
        <f>Table1[[#This Row],[5. Lợi nhuận gộp về bán hàng và cung cấp dịch vụ]]/Table1[[#This Row],[TỔNG CỘNG TÀI SẢN]]</f>
        <v>#DIV/0!</v>
      </c>
      <c r="T132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322" s="23" t="e">
        <f>Table1[[#This Row],[1. Doanh thu bán hàng và cung cấp dịch vụ ]]/Table1[[#This Row],[TỔNG CỘNG TÀI SẢN]]</f>
        <v>#DIV/0!</v>
      </c>
      <c r="V1322" s="23" t="e">
        <f>1.2*Table1[[#This Row],[X1]] + 1.4*Table1[[#This Row],[X2]] + 3.3*Table1[[#This Row],[x3]] + 0.6*Table1[[#This Row],[x4]] + 1*Table1[[#This Row],[x5]]</f>
        <v>#DIV/0!</v>
      </c>
      <c r="W1322" s="23" t="e">
        <f>IF(Table1[[#This Row],[Zscore]]&lt;1.81,1,0)</f>
        <v>#DIV/0!</v>
      </c>
    </row>
    <row r="1323" spans="1:23" x14ac:dyDescent="0.45">
      <c r="A1323" s="7">
        <v>1317</v>
      </c>
      <c r="B1323" s="5" t="s">
        <v>2646</v>
      </c>
      <c r="C1323" s="6" t="s">
        <v>2647</v>
      </c>
      <c r="D1323" s="6" t="s">
        <v>36</v>
      </c>
      <c r="E1323" s="8">
        <v>141885619499</v>
      </c>
      <c r="F1323" s="8">
        <v>77639153776</v>
      </c>
      <c r="G1323" s="8">
        <v>20619180975</v>
      </c>
      <c r="H1323" s="8">
        <v>725063776</v>
      </c>
      <c r="I1323" s="8">
        <v>2945366007</v>
      </c>
      <c r="J1323" s="8"/>
      <c r="K1323" s="8">
        <v>20944180975</v>
      </c>
      <c r="L1323" s="8">
        <v>33190532546</v>
      </c>
      <c r="M1323" s="8">
        <v>60000000000</v>
      </c>
      <c r="N1323" s="8">
        <v>52800000000</v>
      </c>
      <c r="O1323" s="8">
        <v>69600000000</v>
      </c>
      <c r="P1323" s="8">
        <v>66000000000</v>
      </c>
      <c r="Q1323" s="18">
        <f>(Table1[[#This Row],[A. TÀI SẢN NGẮN HẠN]]-Table1[[#This Row],[I. Nợ ngắn hạn]])/Table1[[#This Row],[TỔNG CỘNG TÀI SẢN]]</f>
        <v>0.40187281136973768</v>
      </c>
      <c r="R1323" s="18">
        <f>Table1[[#This Row],[- LNST chưa phân phối kỳ này]]/Table1[[#This Row],[TỔNG CỘNG TÀI SẢN]]</f>
        <v>5.1101991770569127E-3</v>
      </c>
      <c r="S1323" s="21">
        <f>Table1[[#This Row],[5. Lợi nhuận gộp về bán hàng và cung cấp dịch vụ]]/Table1[[#This Row],[TỔNG CỘNG TÀI SẢN]]</f>
        <v>2.075873522207625E-2</v>
      </c>
      <c r="T132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2.9650240357512954</v>
      </c>
      <c r="U1323" s="23">
        <f>Table1[[#This Row],[1. Doanh thu bán hàng và cung cấp dịch vụ ]]/Table1[[#This Row],[TỔNG CỘNG TÀI SẢN]]</f>
        <v>0.23392457010933321</v>
      </c>
      <c r="V1323" s="23">
        <f>1.2*Table1[[#This Row],[X1]] + 1.4*Table1[[#This Row],[X2]] + 3.3*Table1[[#This Row],[x3]] + 0.6*Table1[[#This Row],[x4]] + 1*Table1[[#This Row],[x5]]</f>
        <v>2.570844470284527</v>
      </c>
      <c r="W1323" s="23">
        <f>IF(Table1[[#This Row],[Zscore]]&lt;1.81,1,0)</f>
        <v>0</v>
      </c>
    </row>
    <row r="1324" spans="1:23" ht="26.25" hidden="1" x14ac:dyDescent="0.45">
      <c r="A1324" s="7">
        <v>1318</v>
      </c>
      <c r="B1324" s="5" t="s">
        <v>2648</v>
      </c>
      <c r="C1324" s="6" t="s">
        <v>2649</v>
      </c>
      <c r="D1324" s="6" t="s">
        <v>13</v>
      </c>
      <c r="E1324" s="6"/>
      <c r="F1324" s="6"/>
      <c r="G1324" s="6"/>
      <c r="H1324" s="6"/>
      <c r="I1324" s="6"/>
      <c r="J1324" s="8"/>
      <c r="K1324" s="6"/>
      <c r="L1324" s="6"/>
      <c r="M1324" s="8"/>
      <c r="N1324" s="8"/>
      <c r="O1324" s="8"/>
      <c r="P1324" s="8"/>
      <c r="Q1324" s="18" t="e">
        <f>(Table1[[#This Row],[A. TÀI SẢN NGẮN HẠN]]-Table1[[#This Row],[I. Nợ ngắn hạn]])/Table1[[#This Row],[TỔNG CỘNG TÀI SẢN]]</f>
        <v>#DIV/0!</v>
      </c>
      <c r="R1324" s="18" t="e">
        <f>Table1[[#This Row],[- LNST chưa phân phối kỳ này]]/Table1[[#This Row],[TỔNG CỘNG TÀI SẢN]]</f>
        <v>#DIV/0!</v>
      </c>
      <c r="S1324" s="21" t="e">
        <f>Table1[[#This Row],[5. Lợi nhuận gộp về bán hàng và cung cấp dịch vụ]]/Table1[[#This Row],[TỔNG CỘNG TÀI SẢN]]</f>
        <v>#DIV/0!</v>
      </c>
      <c r="T132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324" s="23" t="e">
        <f>Table1[[#This Row],[1. Doanh thu bán hàng và cung cấp dịch vụ ]]/Table1[[#This Row],[TỔNG CỘNG TÀI SẢN]]</f>
        <v>#DIV/0!</v>
      </c>
      <c r="V1324" s="23" t="e">
        <f>1.2*Table1[[#This Row],[X1]] + 1.4*Table1[[#This Row],[X2]] + 3.3*Table1[[#This Row],[x3]] + 0.6*Table1[[#This Row],[x4]] + 1*Table1[[#This Row],[x5]]</f>
        <v>#DIV/0!</v>
      </c>
      <c r="W1324" s="23" t="e">
        <f>IF(Table1[[#This Row],[Zscore]]&lt;1.81,1,0)</f>
        <v>#DIV/0!</v>
      </c>
    </row>
    <row r="1325" spans="1:23" x14ac:dyDescent="0.45">
      <c r="A1325" s="7">
        <v>1319</v>
      </c>
      <c r="B1325" s="5" t="s">
        <v>2650</v>
      </c>
      <c r="C1325" s="6" t="s">
        <v>2651</v>
      </c>
      <c r="D1325" s="6" t="s">
        <v>36</v>
      </c>
      <c r="E1325" s="8">
        <v>119581028367654</v>
      </c>
      <c r="F1325" s="8">
        <v>81072405341987</v>
      </c>
      <c r="G1325" s="8">
        <v>51965596200369</v>
      </c>
      <c r="H1325" s="8">
        <v>8661670461834</v>
      </c>
      <c r="I1325" s="8">
        <v>13183298773352</v>
      </c>
      <c r="J1325" s="8"/>
      <c r="K1325" s="8">
        <v>99781773306075</v>
      </c>
      <c r="L1325" s="8">
        <v>20259881161421</v>
      </c>
      <c r="M1325" s="8">
        <v>19980000000000</v>
      </c>
      <c r="N1325" s="8">
        <v>59835855982000</v>
      </c>
      <c r="O1325" s="8">
        <v>19590000000000</v>
      </c>
      <c r="P1325" s="8">
        <v>26490000000000</v>
      </c>
      <c r="Q1325" s="18">
        <f>(Table1[[#This Row],[A. TÀI SẢN NGẮN HẠN]]-Table1[[#This Row],[I. Nợ ngắn hạn]])/Table1[[#This Row],[TỔNG CỘNG TÀI SẢN]]</f>
        <v>0.24340657994785425</v>
      </c>
      <c r="R1325" s="18">
        <f>Table1[[#This Row],[- LNST chưa phân phối kỳ này]]/Table1[[#This Row],[TỔNG CỘNG TÀI SẢN]]</f>
        <v>7.2433483639257057E-2</v>
      </c>
      <c r="S1325" s="21">
        <f>Table1[[#This Row],[5. Lợi nhuận gộp về bán hàng và cung cấp dịch vụ]]/Table1[[#This Row],[TỔNG CỘNG TÀI SẢN]]</f>
        <v>0.11024573841947331</v>
      </c>
      <c r="T132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0.31542798802498107</v>
      </c>
      <c r="U1325" s="23">
        <f>Table1[[#This Row],[1. Doanh thu bán hàng và cung cấp dịch vụ ]]/Table1[[#This Row],[TỔNG CỘNG TÀI SẢN]]</f>
        <v>0.16942387465620076</v>
      </c>
      <c r="V1325" s="23">
        <f>1.2*Table1[[#This Row],[X1]] + 1.4*Table1[[#This Row],[X2]] + 3.3*Table1[[#This Row],[x3]] + 0.6*Table1[[#This Row],[x4]] + 1*Table1[[#This Row],[x5]]</f>
        <v>1.1159863772878362</v>
      </c>
      <c r="W1325" s="23">
        <f>IF(Table1[[#This Row],[Zscore]]&lt;1.81,1,0)</f>
        <v>1</v>
      </c>
    </row>
    <row r="1326" spans="1:23" ht="26.25" hidden="1" x14ac:dyDescent="0.45">
      <c r="A1326" s="7">
        <v>1320</v>
      </c>
      <c r="B1326" s="5" t="s">
        <v>2652</v>
      </c>
      <c r="C1326" s="6" t="s">
        <v>2653</v>
      </c>
      <c r="D1326" s="6" t="s">
        <v>13</v>
      </c>
      <c r="E1326" s="6"/>
      <c r="F1326" s="6"/>
      <c r="G1326" s="6"/>
      <c r="H1326" s="6"/>
      <c r="I1326" s="6"/>
      <c r="J1326" s="8"/>
      <c r="K1326" s="6"/>
      <c r="L1326" s="6"/>
      <c r="M1326" s="8"/>
      <c r="N1326" s="8"/>
      <c r="O1326" s="8"/>
      <c r="P1326" s="8"/>
      <c r="Q1326" s="18" t="e">
        <f>(Table1[[#This Row],[A. TÀI SẢN NGẮN HẠN]]-Table1[[#This Row],[I. Nợ ngắn hạn]])/Table1[[#This Row],[TỔNG CỘNG TÀI SẢN]]</f>
        <v>#DIV/0!</v>
      </c>
      <c r="R1326" s="18" t="e">
        <f>Table1[[#This Row],[- LNST chưa phân phối kỳ này]]/Table1[[#This Row],[TỔNG CỘNG TÀI SẢN]]</f>
        <v>#DIV/0!</v>
      </c>
      <c r="S1326" s="21" t="e">
        <f>Table1[[#This Row],[5. Lợi nhuận gộp về bán hàng và cung cấp dịch vụ]]/Table1[[#This Row],[TỔNG CỘNG TÀI SẢN]]</f>
        <v>#DIV/0!</v>
      </c>
      <c r="T132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326" s="23" t="e">
        <f>Table1[[#This Row],[1. Doanh thu bán hàng và cung cấp dịch vụ ]]/Table1[[#This Row],[TỔNG CỘNG TÀI SẢN]]</f>
        <v>#DIV/0!</v>
      </c>
      <c r="V1326" s="23" t="e">
        <f>1.2*Table1[[#This Row],[X1]] + 1.4*Table1[[#This Row],[X2]] + 3.3*Table1[[#This Row],[x3]] + 0.6*Table1[[#This Row],[x4]] + 1*Table1[[#This Row],[x5]]</f>
        <v>#DIV/0!</v>
      </c>
      <c r="W1326" s="23" t="e">
        <f>IF(Table1[[#This Row],[Zscore]]&lt;1.81,1,0)</f>
        <v>#DIV/0!</v>
      </c>
    </row>
    <row r="1327" spans="1:23" hidden="1" x14ac:dyDescent="0.45">
      <c r="A1327" s="7">
        <v>1321</v>
      </c>
      <c r="B1327" s="5" t="s">
        <v>2654</v>
      </c>
      <c r="C1327" s="6" t="s">
        <v>2655</v>
      </c>
      <c r="D1327" s="6" t="s">
        <v>13</v>
      </c>
      <c r="E1327" s="6"/>
      <c r="F1327" s="6"/>
      <c r="G1327" s="6"/>
      <c r="H1327" s="6"/>
      <c r="I1327" s="6"/>
      <c r="J1327" s="8"/>
      <c r="K1327" s="6"/>
      <c r="L1327" s="6"/>
      <c r="M1327" s="8">
        <v>23003870000</v>
      </c>
      <c r="N1327" s="8"/>
      <c r="O1327" s="8"/>
      <c r="P1327" s="8"/>
      <c r="Q1327" s="18" t="e">
        <f>(Table1[[#This Row],[A. TÀI SẢN NGẮN HẠN]]-Table1[[#This Row],[I. Nợ ngắn hạn]])/Table1[[#This Row],[TỔNG CỘNG TÀI SẢN]]</f>
        <v>#DIV/0!</v>
      </c>
      <c r="R1327" s="18" t="e">
        <f>Table1[[#This Row],[- LNST chưa phân phối kỳ này]]/Table1[[#This Row],[TỔNG CỘNG TÀI SẢN]]</f>
        <v>#DIV/0!</v>
      </c>
      <c r="S1327" s="21" t="e">
        <f>Table1[[#This Row],[5. Lợi nhuận gộp về bán hàng và cung cấp dịch vụ]]/Table1[[#This Row],[TỔNG CỘNG TÀI SẢN]]</f>
        <v>#DIV/0!</v>
      </c>
      <c r="T132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327" s="23" t="e">
        <f>Table1[[#This Row],[1. Doanh thu bán hàng và cung cấp dịch vụ ]]/Table1[[#This Row],[TỔNG CỘNG TÀI SẢN]]</f>
        <v>#DIV/0!</v>
      </c>
      <c r="V1327" s="23" t="e">
        <f>1.2*Table1[[#This Row],[X1]] + 1.4*Table1[[#This Row],[X2]] + 3.3*Table1[[#This Row],[x3]] + 0.6*Table1[[#This Row],[x4]] + 1*Table1[[#This Row],[x5]]</f>
        <v>#DIV/0!</v>
      </c>
      <c r="W1327" s="23" t="e">
        <f>IF(Table1[[#This Row],[Zscore]]&lt;1.81,1,0)</f>
        <v>#DIV/0!</v>
      </c>
    </row>
    <row r="1328" spans="1:23" hidden="1" x14ac:dyDescent="0.45">
      <c r="A1328" s="7">
        <v>1322</v>
      </c>
      <c r="B1328" s="5" t="s">
        <v>2656</v>
      </c>
      <c r="C1328" s="6" t="s">
        <v>2657</v>
      </c>
      <c r="D1328" s="6" t="s">
        <v>13</v>
      </c>
      <c r="E1328" s="6"/>
      <c r="F1328" s="6"/>
      <c r="G1328" s="6"/>
      <c r="H1328" s="6"/>
      <c r="I1328" s="6"/>
      <c r="J1328" s="8"/>
      <c r="K1328" s="6"/>
      <c r="L1328" s="6"/>
      <c r="M1328" s="8"/>
      <c r="N1328" s="8"/>
      <c r="O1328" s="8"/>
      <c r="P1328" s="8"/>
      <c r="Q1328" s="18" t="e">
        <f>(Table1[[#This Row],[A. TÀI SẢN NGẮN HẠN]]-Table1[[#This Row],[I. Nợ ngắn hạn]])/Table1[[#This Row],[TỔNG CỘNG TÀI SẢN]]</f>
        <v>#DIV/0!</v>
      </c>
      <c r="R1328" s="18" t="e">
        <f>Table1[[#This Row],[- LNST chưa phân phối kỳ này]]/Table1[[#This Row],[TỔNG CỘNG TÀI SẢN]]</f>
        <v>#DIV/0!</v>
      </c>
      <c r="S1328" s="21" t="e">
        <f>Table1[[#This Row],[5. Lợi nhuận gộp về bán hàng và cung cấp dịch vụ]]/Table1[[#This Row],[TỔNG CỘNG TÀI SẢN]]</f>
        <v>#DIV/0!</v>
      </c>
      <c r="T132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328" s="23" t="e">
        <f>Table1[[#This Row],[1. Doanh thu bán hàng và cung cấp dịch vụ ]]/Table1[[#This Row],[TỔNG CỘNG TÀI SẢN]]</f>
        <v>#DIV/0!</v>
      </c>
      <c r="V1328" s="23" t="e">
        <f>1.2*Table1[[#This Row],[X1]] + 1.4*Table1[[#This Row],[X2]] + 3.3*Table1[[#This Row],[x3]] + 0.6*Table1[[#This Row],[x4]] + 1*Table1[[#This Row],[x5]]</f>
        <v>#DIV/0!</v>
      </c>
      <c r="W1328" s="23" t="e">
        <f>IF(Table1[[#This Row],[Zscore]]&lt;1.81,1,0)</f>
        <v>#DIV/0!</v>
      </c>
    </row>
    <row r="1329" spans="1:23" x14ac:dyDescent="0.45">
      <c r="A1329" s="7">
        <v>1323</v>
      </c>
      <c r="B1329" s="5" t="s">
        <v>2658</v>
      </c>
      <c r="C1329" s="6" t="s">
        <v>2659</v>
      </c>
      <c r="D1329" s="6" t="s">
        <v>18</v>
      </c>
      <c r="E1329" s="8">
        <v>272620460887</v>
      </c>
      <c r="F1329" s="8">
        <v>266379960614</v>
      </c>
      <c r="G1329" s="8">
        <v>1903957230</v>
      </c>
      <c r="H1329" s="8">
        <v>5920959905</v>
      </c>
      <c r="I1329" s="8">
        <v>264011455</v>
      </c>
      <c r="J1329" s="8"/>
      <c r="K1329" s="8">
        <v>1903957230</v>
      </c>
      <c r="L1329" s="8">
        <v>3086257627</v>
      </c>
      <c r="M1329" s="8">
        <v>93000000000</v>
      </c>
      <c r="N1329" s="8">
        <v>60000000000</v>
      </c>
      <c r="O1329" s="8">
        <v>51000000000</v>
      </c>
      <c r="P1329" s="8">
        <v>63000000000</v>
      </c>
      <c r="Q1329" s="18">
        <f>(Table1[[#This Row],[A. TÀI SẢN NGẮN HẠN]]-Table1[[#This Row],[I. Nợ ngắn hạn]])/Table1[[#This Row],[TỔNG CỘNG TÀI SẢN]]</f>
        <v>0.97012528892181782</v>
      </c>
      <c r="R1329" s="18">
        <f>Table1[[#This Row],[- LNST chưa phân phối kỳ này]]/Table1[[#This Row],[TỔNG CỘNG TÀI SẢN]]</f>
        <v>2.1718692301141006E-2</v>
      </c>
      <c r="S1329" s="21">
        <f>Table1[[#This Row],[5. Lợi nhuận gộp về bán hàng và cung cấp dịch vụ]]/Table1[[#This Row],[TỔNG CỘNG TÀI SẢN]]</f>
        <v>9.6842127748229291E-4</v>
      </c>
      <c r="T132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35.058560637940381</v>
      </c>
      <c r="U1329" s="23">
        <f>Table1[[#This Row],[1. Doanh thu bán hàng và cung cấp dịch vụ ]]/Table1[[#This Row],[TỔNG CỘNG TÀI SẢN]]</f>
        <v>1.1320711647829105E-2</v>
      </c>
      <c r="V1329" s="23">
        <f>1.2*Table1[[#This Row],[X1]] + 1.4*Table1[[#This Row],[X2]] + 3.3*Table1[[#This Row],[x3]] + 0.6*Table1[[#This Row],[x4]] + 1*Table1[[#This Row],[x5]]</f>
        <v>22.24420940055553</v>
      </c>
      <c r="W1329" s="23">
        <f>IF(Table1[[#This Row],[Zscore]]&lt;1.81,1,0)</f>
        <v>0</v>
      </c>
    </row>
    <row r="1330" spans="1:23" hidden="1" x14ac:dyDescent="0.45">
      <c r="A1330" s="7">
        <v>1324</v>
      </c>
      <c r="B1330" s="5" t="s">
        <v>2660</v>
      </c>
      <c r="C1330" s="6" t="s">
        <v>2661</v>
      </c>
      <c r="D1330" s="6" t="s">
        <v>13</v>
      </c>
      <c r="E1330" s="6"/>
      <c r="F1330" s="6"/>
      <c r="G1330" s="6"/>
      <c r="H1330" s="6"/>
      <c r="I1330" s="6"/>
      <c r="J1330" s="8"/>
      <c r="K1330" s="6"/>
      <c r="L1330" s="6"/>
      <c r="M1330" s="8"/>
      <c r="N1330" s="8"/>
      <c r="O1330" s="8"/>
      <c r="P1330" s="8"/>
      <c r="Q1330" s="18" t="e">
        <f>(Table1[[#This Row],[A. TÀI SẢN NGẮN HẠN]]-Table1[[#This Row],[I. Nợ ngắn hạn]])/Table1[[#This Row],[TỔNG CỘNG TÀI SẢN]]</f>
        <v>#DIV/0!</v>
      </c>
      <c r="R1330" s="18" t="e">
        <f>Table1[[#This Row],[- LNST chưa phân phối kỳ này]]/Table1[[#This Row],[TỔNG CỘNG TÀI SẢN]]</f>
        <v>#DIV/0!</v>
      </c>
      <c r="S1330" s="21" t="e">
        <f>Table1[[#This Row],[5. Lợi nhuận gộp về bán hàng và cung cấp dịch vụ]]/Table1[[#This Row],[TỔNG CỘNG TÀI SẢN]]</f>
        <v>#DIV/0!</v>
      </c>
      <c r="T133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330" s="23" t="e">
        <f>Table1[[#This Row],[1. Doanh thu bán hàng và cung cấp dịch vụ ]]/Table1[[#This Row],[TỔNG CỘNG TÀI SẢN]]</f>
        <v>#DIV/0!</v>
      </c>
      <c r="V1330" s="23" t="e">
        <f>1.2*Table1[[#This Row],[X1]] + 1.4*Table1[[#This Row],[X2]] + 3.3*Table1[[#This Row],[x3]] + 0.6*Table1[[#This Row],[x4]] + 1*Table1[[#This Row],[x5]]</f>
        <v>#DIV/0!</v>
      </c>
      <c r="W1330" s="23" t="e">
        <f>IF(Table1[[#This Row],[Zscore]]&lt;1.81,1,0)</f>
        <v>#DIV/0!</v>
      </c>
    </row>
    <row r="1331" spans="1:23" x14ac:dyDescent="0.45">
      <c r="A1331" s="7">
        <v>1325</v>
      </c>
      <c r="B1331" s="5" t="s">
        <v>2662</v>
      </c>
      <c r="C1331" s="6" t="s">
        <v>2663</v>
      </c>
      <c r="D1331" s="6" t="s">
        <v>36</v>
      </c>
      <c r="E1331" s="8">
        <v>359625585105</v>
      </c>
      <c r="F1331" s="8">
        <v>350030274314</v>
      </c>
      <c r="G1331" s="8">
        <v>278016329491</v>
      </c>
      <c r="H1331" s="8">
        <v>11141475855</v>
      </c>
      <c r="I1331" s="8">
        <v>40476808103</v>
      </c>
      <c r="J1331" s="8"/>
      <c r="K1331" s="8">
        <v>278016329491</v>
      </c>
      <c r="L1331" s="8">
        <v>704999769611</v>
      </c>
      <c r="M1331" s="8">
        <v>83888280000</v>
      </c>
      <c r="N1331" s="8">
        <v>79094664000</v>
      </c>
      <c r="O1331" s="8">
        <v>80892270000</v>
      </c>
      <c r="P1331" s="8">
        <v>76697856000</v>
      </c>
      <c r="Q1331" s="18">
        <f>(Table1[[#This Row],[A. TÀI SẢN NGẮN HẠN]]-Table1[[#This Row],[I. Nợ ngắn hạn]])/Table1[[#This Row],[TỔNG CỘNG TÀI SẢN]]</f>
        <v>0.20024700078548099</v>
      </c>
      <c r="R1331" s="18">
        <f>Table1[[#This Row],[- LNST chưa phân phối kỳ này]]/Table1[[#This Row],[TỔNG CỘNG TÀI SẢN]]</f>
        <v>3.0980765319428036E-2</v>
      </c>
      <c r="S1331" s="21">
        <f>Table1[[#This Row],[5. Lợi nhuận gộp về bán hàng và cung cấp dịch vụ]]/Table1[[#This Row],[TỔNG CỘNG TÀI SẢN]]</f>
        <v>0.11255263746371653</v>
      </c>
      <c r="T133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0.28826820225534416</v>
      </c>
      <c r="U1331" s="23">
        <f>Table1[[#This Row],[1. Doanh thu bán hàng và cung cấp dịch vụ ]]/Table1[[#This Row],[TỔNG CỘNG TÀI SẢN]]</f>
        <v>1.9603715608975958</v>
      </c>
      <c r="V1331" s="23">
        <f>1.2*Table1[[#This Row],[X1]] + 1.4*Table1[[#This Row],[X2]] + 3.3*Table1[[#This Row],[x3]] + 0.6*Table1[[#This Row],[x4]] + 1*Table1[[#This Row],[x5]]</f>
        <v>2.7884256582708433</v>
      </c>
      <c r="W1331" s="23">
        <f>IF(Table1[[#This Row],[Zscore]]&lt;1.81,1,0)</f>
        <v>0</v>
      </c>
    </row>
    <row r="1332" spans="1:23" ht="26.25" x14ac:dyDescent="0.45">
      <c r="A1332" s="7">
        <v>1326</v>
      </c>
      <c r="B1332" s="5" t="s">
        <v>2664</v>
      </c>
      <c r="C1332" s="6" t="s">
        <v>2665</v>
      </c>
      <c r="D1332" s="6" t="s">
        <v>36</v>
      </c>
      <c r="E1332" s="8">
        <v>9958734941815</v>
      </c>
      <c r="F1332" s="8">
        <v>5795194192214</v>
      </c>
      <c r="G1332" s="8">
        <v>3522393078744</v>
      </c>
      <c r="H1332" s="8">
        <v>2023083856923</v>
      </c>
      <c r="I1332" s="8">
        <v>3554421146202</v>
      </c>
      <c r="J1332" s="8"/>
      <c r="K1332" s="8">
        <v>4357750419416</v>
      </c>
      <c r="L1332" s="8">
        <v>14399859146707</v>
      </c>
      <c r="M1332" s="8">
        <v>37560000000000</v>
      </c>
      <c r="N1332" s="8">
        <v>19760000000000</v>
      </c>
      <c r="O1332" s="8">
        <v>32840000000000</v>
      </c>
      <c r="P1332" s="8">
        <v>31200000000000</v>
      </c>
      <c r="Q1332" s="18">
        <f>(Table1[[#This Row],[A. TÀI SẢN NGẮN HẠN]]-Table1[[#This Row],[I. Nợ ngắn hạn]])/Table1[[#This Row],[TỔNG CỘNG TÀI SẢN]]</f>
        <v>0.22822187022238161</v>
      </c>
      <c r="R1332" s="18">
        <f>Table1[[#This Row],[- LNST chưa phân phối kỳ này]]/Table1[[#This Row],[TỔNG CỘNG TÀI SẢN]]</f>
        <v>0.20314667161472708</v>
      </c>
      <c r="S1332" s="21">
        <f>Table1[[#This Row],[5. Lợi nhuận gộp về bán hàng và cung cấp dịch vụ]]/Table1[[#This Row],[TỔNG CỘNG TÀI SẢN]]</f>
        <v>0.35691492613962467</v>
      </c>
      <c r="T133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6.9623078606842261</v>
      </c>
      <c r="U1332" s="23">
        <f>Table1[[#This Row],[1. Doanh thu bán hàng và cung cấp dịch vụ ]]/Table1[[#This Row],[TỔNG CỘNG TÀI SẢN]]</f>
        <v>1.4459526466805026</v>
      </c>
      <c r="V1332" s="23">
        <f>1.2*Table1[[#This Row],[X1]] + 1.4*Table1[[#This Row],[X2]] + 3.3*Table1[[#This Row],[x3]] + 0.6*Table1[[#This Row],[x4]] + 1*Table1[[#This Row],[x5]]</f>
        <v>7.3594282038792755</v>
      </c>
      <c r="W1332" s="23">
        <f>IF(Table1[[#This Row],[Zscore]]&lt;1.81,1,0)</f>
        <v>0</v>
      </c>
    </row>
    <row r="1333" spans="1:23" hidden="1" x14ac:dyDescent="0.45">
      <c r="A1333" s="7">
        <v>1327</v>
      </c>
      <c r="B1333" s="5" t="s">
        <v>2666</v>
      </c>
      <c r="C1333" s="6" t="s">
        <v>2667</v>
      </c>
      <c r="D1333" s="6" t="s">
        <v>13</v>
      </c>
      <c r="E1333" s="6"/>
      <c r="F1333" s="6"/>
      <c r="G1333" s="6"/>
      <c r="H1333" s="6"/>
      <c r="I1333" s="6"/>
      <c r="J1333" s="8"/>
      <c r="K1333" s="6"/>
      <c r="L1333" s="6"/>
      <c r="M1333" s="8"/>
      <c r="N1333" s="8"/>
      <c r="O1333" s="8"/>
      <c r="P1333" s="8"/>
      <c r="Q1333" s="18" t="e">
        <f>(Table1[[#This Row],[A. TÀI SẢN NGẮN HẠN]]-Table1[[#This Row],[I. Nợ ngắn hạn]])/Table1[[#This Row],[TỔNG CỘNG TÀI SẢN]]</f>
        <v>#DIV/0!</v>
      </c>
      <c r="R1333" s="18" t="e">
        <f>Table1[[#This Row],[- LNST chưa phân phối kỳ này]]/Table1[[#This Row],[TỔNG CỘNG TÀI SẢN]]</f>
        <v>#DIV/0!</v>
      </c>
      <c r="S1333" s="21" t="e">
        <f>Table1[[#This Row],[5. Lợi nhuận gộp về bán hàng và cung cấp dịch vụ]]/Table1[[#This Row],[TỔNG CỘNG TÀI SẢN]]</f>
        <v>#DIV/0!</v>
      </c>
      <c r="T133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333" s="23" t="e">
        <f>Table1[[#This Row],[1. Doanh thu bán hàng và cung cấp dịch vụ ]]/Table1[[#This Row],[TỔNG CỘNG TÀI SẢN]]</f>
        <v>#DIV/0!</v>
      </c>
      <c r="V1333" s="23" t="e">
        <f>1.2*Table1[[#This Row],[X1]] + 1.4*Table1[[#This Row],[X2]] + 3.3*Table1[[#This Row],[x3]] + 0.6*Table1[[#This Row],[x4]] + 1*Table1[[#This Row],[x5]]</f>
        <v>#DIV/0!</v>
      </c>
      <c r="W1333" s="23" t="e">
        <f>IF(Table1[[#This Row],[Zscore]]&lt;1.81,1,0)</f>
        <v>#DIV/0!</v>
      </c>
    </row>
    <row r="1334" spans="1:23" hidden="1" x14ac:dyDescent="0.45">
      <c r="A1334" s="7">
        <v>1328</v>
      </c>
      <c r="B1334" s="5" t="s">
        <v>2668</v>
      </c>
      <c r="C1334" s="6" t="s">
        <v>2669</v>
      </c>
      <c r="D1334" s="6" t="s">
        <v>13</v>
      </c>
      <c r="E1334" s="6"/>
      <c r="F1334" s="6"/>
      <c r="G1334" s="6"/>
      <c r="H1334" s="6"/>
      <c r="I1334" s="6"/>
      <c r="J1334" s="8"/>
      <c r="K1334" s="6"/>
      <c r="L1334" s="6"/>
      <c r="M1334" s="8"/>
      <c r="N1334" s="8"/>
      <c r="O1334" s="8"/>
      <c r="P1334" s="8"/>
      <c r="Q1334" s="18" t="e">
        <f>(Table1[[#This Row],[A. TÀI SẢN NGẮN HẠN]]-Table1[[#This Row],[I. Nợ ngắn hạn]])/Table1[[#This Row],[TỔNG CỘNG TÀI SẢN]]</f>
        <v>#DIV/0!</v>
      </c>
      <c r="R1334" s="18" t="e">
        <f>Table1[[#This Row],[- LNST chưa phân phối kỳ này]]/Table1[[#This Row],[TỔNG CỘNG TÀI SẢN]]</f>
        <v>#DIV/0!</v>
      </c>
      <c r="S1334" s="21" t="e">
        <f>Table1[[#This Row],[5. Lợi nhuận gộp về bán hàng và cung cấp dịch vụ]]/Table1[[#This Row],[TỔNG CỘNG TÀI SẢN]]</f>
        <v>#DIV/0!</v>
      </c>
      <c r="T133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334" s="23" t="e">
        <f>Table1[[#This Row],[1. Doanh thu bán hàng và cung cấp dịch vụ ]]/Table1[[#This Row],[TỔNG CỘNG TÀI SẢN]]</f>
        <v>#DIV/0!</v>
      </c>
      <c r="V1334" s="23" t="e">
        <f>1.2*Table1[[#This Row],[X1]] + 1.4*Table1[[#This Row],[X2]] + 3.3*Table1[[#This Row],[x3]] + 0.6*Table1[[#This Row],[x4]] + 1*Table1[[#This Row],[x5]]</f>
        <v>#DIV/0!</v>
      </c>
      <c r="W1334" s="23" t="e">
        <f>IF(Table1[[#This Row],[Zscore]]&lt;1.81,1,0)</f>
        <v>#DIV/0!</v>
      </c>
    </row>
    <row r="1335" spans="1:23" x14ac:dyDescent="0.45">
      <c r="A1335" s="7">
        <v>1329</v>
      </c>
      <c r="B1335" s="5" t="s">
        <v>2670</v>
      </c>
      <c r="C1335" s="6" t="s">
        <v>2671</v>
      </c>
      <c r="D1335" s="6" t="s">
        <v>18</v>
      </c>
      <c r="E1335" s="8">
        <v>1389710649009</v>
      </c>
      <c r="F1335" s="8">
        <v>1001423954646</v>
      </c>
      <c r="G1335" s="8">
        <v>978674968748</v>
      </c>
      <c r="H1335" s="8">
        <v>25017256992</v>
      </c>
      <c r="I1335" s="8">
        <v>228728575694</v>
      </c>
      <c r="J1335" s="8"/>
      <c r="K1335" s="8">
        <v>978674968748</v>
      </c>
      <c r="L1335" s="8">
        <v>5392040910472</v>
      </c>
      <c r="M1335" s="8">
        <v>324617113700</v>
      </c>
      <c r="N1335" s="8">
        <v>364738330000</v>
      </c>
      <c r="O1335" s="8">
        <v>335559263600</v>
      </c>
      <c r="P1335" s="8">
        <v>353796180100</v>
      </c>
      <c r="Q1335" s="18">
        <f>(Table1[[#This Row],[A. TÀI SẢN NGẮN HẠN]]-Table1[[#This Row],[I. Nợ ngắn hạn]])/Table1[[#This Row],[TỔNG CỘNG TÀI SẢN]]</f>
        <v>1.6369584498918718E-2</v>
      </c>
      <c r="R1335" s="18">
        <f>Table1[[#This Row],[- LNST chưa phân phối kỳ này]]/Table1[[#This Row],[TỔNG CỘNG TÀI SẢN]]</f>
        <v>1.8001773973481284E-2</v>
      </c>
      <c r="S1335" s="21">
        <f>Table1[[#This Row],[5. Lợi nhuận gộp về bán hàng và cung cấp dịch vụ]]/Table1[[#This Row],[TỔNG CỘNG TÀI SẢN]]</f>
        <v>0.16458719364142882</v>
      </c>
      <c r="T133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0.35218814504977025</v>
      </c>
      <c r="U1335" s="23">
        <f>Table1[[#This Row],[1. Doanh thu bán hàng và cung cấp dịch vụ ]]/Table1[[#This Row],[TỔNG CỘNG TÀI SẢN]]</f>
        <v>3.8799738019688155</v>
      </c>
      <c r="V1335" s="23">
        <f>1.2*Table1[[#This Row],[X1]] + 1.4*Table1[[#This Row],[X2]] + 3.3*Table1[[#This Row],[x3]] + 0.6*Table1[[#This Row],[x4]] + 1*Table1[[#This Row],[x5]]</f>
        <v>4.6792704129769689</v>
      </c>
      <c r="W1335" s="23">
        <f>IF(Table1[[#This Row],[Zscore]]&lt;1.81,1,0)</f>
        <v>0</v>
      </c>
    </row>
    <row r="1336" spans="1:23" x14ac:dyDescent="0.45">
      <c r="A1336" s="7">
        <v>1330</v>
      </c>
      <c r="B1336" s="5" t="s">
        <v>2672</v>
      </c>
      <c r="C1336" s="6" t="s">
        <v>2673</v>
      </c>
      <c r="D1336" s="6" t="s">
        <v>18</v>
      </c>
      <c r="E1336" s="8">
        <v>883912104174</v>
      </c>
      <c r="F1336" s="8">
        <v>388406243013</v>
      </c>
      <c r="G1336" s="8">
        <v>387654533794</v>
      </c>
      <c r="H1336" s="8">
        <v>61498519437</v>
      </c>
      <c r="I1336" s="8">
        <v>97739299253</v>
      </c>
      <c r="J1336" s="8"/>
      <c r="K1336" s="8">
        <v>443033610662</v>
      </c>
      <c r="L1336" s="8">
        <v>952971560197</v>
      </c>
      <c r="M1336" s="8">
        <v>412800000000</v>
      </c>
      <c r="N1336" s="8">
        <v>357120000000</v>
      </c>
      <c r="O1336" s="8">
        <v>353280000000</v>
      </c>
      <c r="P1336" s="8">
        <v>384000000000</v>
      </c>
      <c r="Q1336" s="18">
        <f>(Table1[[#This Row],[A. TÀI SẢN NGẮN HẠN]]-Table1[[#This Row],[I. Nợ ngắn hạn]])/Table1[[#This Row],[TỔNG CỘNG TÀI SẢN]]</f>
        <v>8.5043435365381582E-4</v>
      </c>
      <c r="R1336" s="18">
        <f>Table1[[#This Row],[- LNST chưa phân phối kỳ này]]/Table1[[#This Row],[TỔNG CỘNG TÀI SẢN]]</f>
        <v>6.9575378758354331E-2</v>
      </c>
      <c r="S1336" s="21">
        <f>Table1[[#This Row],[5. Lợi nhuận gộp về bán hàng và cung cấp dịch vụ]]/Table1[[#This Row],[TỔNG CỘNG TÀI SẢN]]</f>
        <v>0.1105758126757814</v>
      </c>
      <c r="T133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0.85049980618167798</v>
      </c>
      <c r="U1336" s="23">
        <f>Table1[[#This Row],[1. Doanh thu bán hàng và cung cấp dịch vụ ]]/Table1[[#This Row],[TỔNG CỘNG TÀI SẢN]]</f>
        <v>1.0781293249599007</v>
      </c>
      <c r="V1336" s="23">
        <f>1.2*Table1[[#This Row],[X1]] + 1.4*Table1[[#This Row],[X2]] + 3.3*Table1[[#This Row],[x3]] + 0.6*Table1[[#This Row],[x4]] + 1*Table1[[#This Row],[x5]]</f>
        <v>2.0517554419850668</v>
      </c>
      <c r="W1336" s="23">
        <f>IF(Table1[[#This Row],[Zscore]]&lt;1.81,1,0)</f>
        <v>0</v>
      </c>
    </row>
    <row r="1337" spans="1:23" x14ac:dyDescent="0.45">
      <c r="A1337" s="7">
        <v>1331</v>
      </c>
      <c r="B1337" s="5" t="s">
        <v>2674</v>
      </c>
      <c r="C1337" s="6" t="s">
        <v>2675</v>
      </c>
      <c r="D1337" s="6" t="s">
        <v>36</v>
      </c>
      <c r="E1337" s="8">
        <v>556788426737</v>
      </c>
      <c r="F1337" s="8">
        <v>361921665711</v>
      </c>
      <c r="G1337" s="8">
        <v>286103846770</v>
      </c>
      <c r="H1337" s="8">
        <v>34095739507</v>
      </c>
      <c r="I1337" s="8">
        <v>68916823219</v>
      </c>
      <c r="J1337" s="8"/>
      <c r="K1337" s="8">
        <v>300931846770</v>
      </c>
      <c r="L1337" s="8">
        <v>341002553346</v>
      </c>
      <c r="M1337" s="8">
        <v>243867000000</v>
      </c>
      <c r="N1337" s="8">
        <v>185055000000</v>
      </c>
      <c r="O1337" s="8">
        <v>243360000000</v>
      </c>
      <c r="P1337" s="8">
        <v>214968000000</v>
      </c>
      <c r="Q1337" s="18">
        <f>(Table1[[#This Row],[A. TÀI SẢN NGẮN HẠN]]-Table1[[#This Row],[I. Nợ ngắn hạn]])/Table1[[#This Row],[TỔNG CỘNG TÀI SẢN]]</f>
        <v>0.13616989021363529</v>
      </c>
      <c r="R1337" s="18">
        <f>Table1[[#This Row],[- LNST chưa phân phối kỳ này]]/Table1[[#This Row],[TỔNG CỘNG TÀI SẢN]]</f>
        <v>6.1236437163061194E-2</v>
      </c>
      <c r="S1337" s="21">
        <f>Table1[[#This Row],[5. Lợi nhuận gộp về bán hàng và cung cấp dịch vụ]]/Table1[[#This Row],[TỔNG CỘNG TÀI SẢN]]</f>
        <v>0.12377560292134625</v>
      </c>
      <c r="T133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0.73708549753303332</v>
      </c>
      <c r="U1337" s="23">
        <f>Table1[[#This Row],[1. Doanh thu bán hàng và cung cấp dịch vụ ]]/Table1[[#This Row],[TỔNG CỘNG TÀI SẢN]]</f>
        <v>0.61244547654197767</v>
      </c>
      <c r="V1337" s="23">
        <f>1.2*Table1[[#This Row],[X1]] + 1.4*Table1[[#This Row],[X2]] + 3.3*Table1[[#This Row],[x3]] + 0.6*Table1[[#This Row],[x4]] + 1*Table1[[#This Row],[x5]]</f>
        <v>1.7122911449868883</v>
      </c>
      <c r="W1337" s="23">
        <f>IF(Table1[[#This Row],[Zscore]]&lt;1.81,1,0)</f>
        <v>1</v>
      </c>
    </row>
    <row r="1338" spans="1:23" hidden="1" x14ac:dyDescent="0.45">
      <c r="A1338" s="7">
        <v>1332</v>
      </c>
      <c r="B1338" s="5" t="s">
        <v>2676</v>
      </c>
      <c r="C1338" s="6" t="s">
        <v>2677</v>
      </c>
      <c r="D1338" s="6" t="s">
        <v>18</v>
      </c>
      <c r="E1338" s="6"/>
      <c r="F1338" s="6"/>
      <c r="G1338" s="6"/>
      <c r="H1338" s="6"/>
      <c r="I1338" s="6"/>
      <c r="J1338" s="8"/>
      <c r="K1338" s="6"/>
      <c r="L1338" s="6"/>
      <c r="M1338" s="8"/>
      <c r="N1338" s="8"/>
      <c r="O1338" s="8"/>
      <c r="P1338" s="8"/>
      <c r="Q1338" s="18" t="e">
        <f>(Table1[[#This Row],[A. TÀI SẢN NGẮN HẠN]]-Table1[[#This Row],[I. Nợ ngắn hạn]])/Table1[[#This Row],[TỔNG CỘNG TÀI SẢN]]</f>
        <v>#DIV/0!</v>
      </c>
      <c r="R1338" s="18" t="e">
        <f>Table1[[#This Row],[- LNST chưa phân phối kỳ này]]/Table1[[#This Row],[TỔNG CỘNG TÀI SẢN]]</f>
        <v>#DIV/0!</v>
      </c>
      <c r="S1338" s="21" t="e">
        <f>Table1[[#This Row],[5. Lợi nhuận gộp về bán hàng và cung cấp dịch vụ]]/Table1[[#This Row],[TỔNG CỘNG TÀI SẢN]]</f>
        <v>#DIV/0!</v>
      </c>
      <c r="T133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338" s="23" t="e">
        <f>Table1[[#This Row],[1. Doanh thu bán hàng và cung cấp dịch vụ ]]/Table1[[#This Row],[TỔNG CỘNG TÀI SẢN]]</f>
        <v>#DIV/0!</v>
      </c>
      <c r="V1338" s="23" t="e">
        <f>1.2*Table1[[#This Row],[X1]] + 1.4*Table1[[#This Row],[X2]] + 3.3*Table1[[#This Row],[x3]] + 0.6*Table1[[#This Row],[x4]] + 1*Table1[[#This Row],[x5]]</f>
        <v>#DIV/0!</v>
      </c>
      <c r="W1338" s="23" t="e">
        <f>IF(Table1[[#This Row],[Zscore]]&lt;1.81,1,0)</f>
        <v>#DIV/0!</v>
      </c>
    </row>
    <row r="1339" spans="1:23" hidden="1" x14ac:dyDescent="0.45">
      <c r="A1339" s="7">
        <v>1333</v>
      </c>
      <c r="B1339" s="5" t="s">
        <v>2678</v>
      </c>
      <c r="C1339" s="6" t="s">
        <v>2679</v>
      </c>
      <c r="D1339" s="6" t="s">
        <v>13</v>
      </c>
      <c r="E1339" s="6"/>
      <c r="F1339" s="6"/>
      <c r="G1339" s="6"/>
      <c r="H1339" s="6"/>
      <c r="I1339" s="6"/>
      <c r="J1339" s="8"/>
      <c r="K1339" s="6"/>
      <c r="L1339" s="6"/>
      <c r="M1339" s="8"/>
      <c r="N1339" s="8"/>
      <c r="O1339" s="8"/>
      <c r="P1339" s="8"/>
      <c r="Q1339" s="18" t="e">
        <f>(Table1[[#This Row],[A. TÀI SẢN NGẮN HẠN]]-Table1[[#This Row],[I. Nợ ngắn hạn]])/Table1[[#This Row],[TỔNG CỘNG TÀI SẢN]]</f>
        <v>#DIV/0!</v>
      </c>
      <c r="R1339" s="18" t="e">
        <f>Table1[[#This Row],[- LNST chưa phân phối kỳ này]]/Table1[[#This Row],[TỔNG CỘNG TÀI SẢN]]</f>
        <v>#DIV/0!</v>
      </c>
      <c r="S1339" s="21" t="e">
        <f>Table1[[#This Row],[5. Lợi nhuận gộp về bán hàng và cung cấp dịch vụ]]/Table1[[#This Row],[TỔNG CỘNG TÀI SẢN]]</f>
        <v>#DIV/0!</v>
      </c>
      <c r="T133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339" s="23" t="e">
        <f>Table1[[#This Row],[1. Doanh thu bán hàng và cung cấp dịch vụ ]]/Table1[[#This Row],[TỔNG CỘNG TÀI SẢN]]</f>
        <v>#DIV/0!</v>
      </c>
      <c r="V1339" s="23" t="e">
        <f>1.2*Table1[[#This Row],[X1]] + 1.4*Table1[[#This Row],[X2]] + 3.3*Table1[[#This Row],[x3]] + 0.6*Table1[[#This Row],[x4]] + 1*Table1[[#This Row],[x5]]</f>
        <v>#DIV/0!</v>
      </c>
      <c r="W1339" s="23" t="e">
        <f>IF(Table1[[#This Row],[Zscore]]&lt;1.81,1,0)</f>
        <v>#DIV/0!</v>
      </c>
    </row>
    <row r="1340" spans="1:23" hidden="1" x14ac:dyDescent="0.45">
      <c r="A1340" s="7">
        <v>1334</v>
      </c>
      <c r="B1340" s="5" t="s">
        <v>2680</v>
      </c>
      <c r="C1340" s="6" t="s">
        <v>2681</v>
      </c>
      <c r="D1340" s="6" t="s">
        <v>13</v>
      </c>
      <c r="E1340" s="6"/>
      <c r="F1340" s="6"/>
      <c r="G1340" s="6"/>
      <c r="H1340" s="6"/>
      <c r="I1340" s="6"/>
      <c r="J1340" s="8"/>
      <c r="K1340" s="6"/>
      <c r="L1340" s="6"/>
      <c r="M1340" s="8"/>
      <c r="N1340" s="8"/>
      <c r="O1340" s="8"/>
      <c r="P1340" s="8"/>
      <c r="Q1340" s="18" t="e">
        <f>(Table1[[#This Row],[A. TÀI SẢN NGẮN HẠN]]-Table1[[#This Row],[I. Nợ ngắn hạn]])/Table1[[#This Row],[TỔNG CỘNG TÀI SẢN]]</f>
        <v>#DIV/0!</v>
      </c>
      <c r="R1340" s="18" t="e">
        <f>Table1[[#This Row],[- LNST chưa phân phối kỳ này]]/Table1[[#This Row],[TỔNG CỘNG TÀI SẢN]]</f>
        <v>#DIV/0!</v>
      </c>
      <c r="S1340" s="21" t="e">
        <f>Table1[[#This Row],[5. Lợi nhuận gộp về bán hàng và cung cấp dịch vụ]]/Table1[[#This Row],[TỔNG CỘNG TÀI SẢN]]</f>
        <v>#DIV/0!</v>
      </c>
      <c r="T134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340" s="23" t="e">
        <f>Table1[[#This Row],[1. Doanh thu bán hàng và cung cấp dịch vụ ]]/Table1[[#This Row],[TỔNG CỘNG TÀI SẢN]]</f>
        <v>#DIV/0!</v>
      </c>
      <c r="V1340" s="23" t="e">
        <f>1.2*Table1[[#This Row],[X1]] + 1.4*Table1[[#This Row],[X2]] + 3.3*Table1[[#This Row],[x3]] + 0.6*Table1[[#This Row],[x4]] + 1*Table1[[#This Row],[x5]]</f>
        <v>#DIV/0!</v>
      </c>
      <c r="W1340" s="23" t="e">
        <f>IF(Table1[[#This Row],[Zscore]]&lt;1.81,1,0)</f>
        <v>#DIV/0!</v>
      </c>
    </row>
    <row r="1341" spans="1:23" ht="26.25" x14ac:dyDescent="0.45">
      <c r="A1341" s="7">
        <v>1335</v>
      </c>
      <c r="B1341" s="5" t="s">
        <v>2682</v>
      </c>
      <c r="C1341" s="6" t="s">
        <v>2683</v>
      </c>
      <c r="D1341" s="6" t="s">
        <v>18</v>
      </c>
      <c r="E1341" s="8">
        <v>471466386331</v>
      </c>
      <c r="F1341" s="8">
        <v>345639273597</v>
      </c>
      <c r="G1341" s="8">
        <v>37186074208</v>
      </c>
      <c r="H1341" s="8">
        <v>-28490849312</v>
      </c>
      <c r="I1341" s="8">
        <v>-10748722853</v>
      </c>
      <c r="J1341" s="8"/>
      <c r="K1341" s="8">
        <v>37392658227</v>
      </c>
      <c r="L1341" s="8">
        <v>113343964396</v>
      </c>
      <c r="M1341" s="8">
        <v>94050000000</v>
      </c>
      <c r="N1341" s="8">
        <v>74250000000</v>
      </c>
      <c r="O1341" s="8">
        <v>79200000000</v>
      </c>
      <c r="P1341" s="8">
        <v>89100000000</v>
      </c>
      <c r="Q1341" s="18">
        <f>(Table1[[#This Row],[A. TÀI SẢN NGẮN HẠN]]-Table1[[#This Row],[I. Nợ ngắn hạn]])/Table1[[#This Row],[TỔNG CỘNG TÀI SẢN]]</f>
        <v>0.65424218636118381</v>
      </c>
      <c r="R1341" s="18">
        <f>Table1[[#This Row],[- LNST chưa phân phối kỳ này]]/Table1[[#This Row],[TỔNG CỘNG TÀI SẢN]]</f>
        <v>-6.0430287583636076E-2</v>
      </c>
      <c r="S1341" s="21">
        <f>Table1[[#This Row],[5. Lợi nhuận gộp về bán hàng và cung cấp dịch vụ]]/Table1[[#This Row],[TỔNG CỘNG TÀI SẢN]]</f>
        <v>-2.279849245806826E-2</v>
      </c>
      <c r="T134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2.2504417709259856</v>
      </c>
      <c r="U1341" s="23">
        <f>Table1[[#This Row],[1. Doanh thu bán hàng và cung cấp dịch vụ ]]/Table1[[#This Row],[TỔNG CỘNG TÀI SẢN]]</f>
        <v>0.24040730724846454</v>
      </c>
      <c r="V1341" s="23">
        <f>1.2*Table1[[#This Row],[X1]] + 1.4*Table1[[#This Row],[X2]] + 3.3*Table1[[#This Row],[x3]] + 0.6*Table1[[#This Row],[x4]] + 1*Table1[[#This Row],[x5]]</f>
        <v>2.2159255657087606</v>
      </c>
      <c r="W1341" s="23">
        <f>IF(Table1[[#This Row],[Zscore]]&lt;1.81,1,0)</f>
        <v>0</v>
      </c>
    </row>
    <row r="1342" spans="1:23" ht="26.25" hidden="1" x14ac:dyDescent="0.45">
      <c r="A1342" s="7">
        <v>1336</v>
      </c>
      <c r="B1342" s="5" t="s">
        <v>2684</v>
      </c>
      <c r="C1342" s="6" t="s">
        <v>2685</v>
      </c>
      <c r="D1342" s="6" t="s">
        <v>13</v>
      </c>
      <c r="E1342" s="6"/>
      <c r="F1342" s="6"/>
      <c r="G1342" s="6"/>
      <c r="H1342" s="6"/>
      <c r="I1342" s="6"/>
      <c r="J1342" s="8"/>
      <c r="K1342" s="6"/>
      <c r="L1342" s="6"/>
      <c r="M1342" s="8"/>
      <c r="N1342" s="8"/>
      <c r="O1342" s="8"/>
      <c r="P1342" s="8"/>
      <c r="Q1342" s="18" t="e">
        <f>(Table1[[#This Row],[A. TÀI SẢN NGẮN HẠN]]-Table1[[#This Row],[I. Nợ ngắn hạn]])/Table1[[#This Row],[TỔNG CỘNG TÀI SẢN]]</f>
        <v>#DIV/0!</v>
      </c>
      <c r="R1342" s="18" t="e">
        <f>Table1[[#This Row],[- LNST chưa phân phối kỳ này]]/Table1[[#This Row],[TỔNG CỘNG TÀI SẢN]]</f>
        <v>#DIV/0!</v>
      </c>
      <c r="S1342" s="21" t="e">
        <f>Table1[[#This Row],[5. Lợi nhuận gộp về bán hàng và cung cấp dịch vụ]]/Table1[[#This Row],[TỔNG CỘNG TÀI SẢN]]</f>
        <v>#DIV/0!</v>
      </c>
      <c r="T134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342" s="23" t="e">
        <f>Table1[[#This Row],[1. Doanh thu bán hàng và cung cấp dịch vụ ]]/Table1[[#This Row],[TỔNG CỘNG TÀI SẢN]]</f>
        <v>#DIV/0!</v>
      </c>
      <c r="V1342" s="23" t="e">
        <f>1.2*Table1[[#This Row],[X1]] + 1.4*Table1[[#This Row],[X2]] + 3.3*Table1[[#This Row],[x3]] + 0.6*Table1[[#This Row],[x4]] + 1*Table1[[#This Row],[x5]]</f>
        <v>#DIV/0!</v>
      </c>
      <c r="W1342" s="23" t="e">
        <f>IF(Table1[[#This Row],[Zscore]]&lt;1.81,1,0)</f>
        <v>#DIV/0!</v>
      </c>
    </row>
    <row r="1343" spans="1:23" x14ac:dyDescent="0.45">
      <c r="A1343" s="7">
        <v>1337</v>
      </c>
      <c r="B1343" s="5" t="s">
        <v>2686</v>
      </c>
      <c r="C1343" s="6" t="s">
        <v>2687</v>
      </c>
      <c r="D1343" s="6" t="s">
        <v>21</v>
      </c>
      <c r="E1343" s="8">
        <v>1298179123910</v>
      </c>
      <c r="F1343" s="8">
        <v>1144410817396</v>
      </c>
      <c r="G1343" s="8">
        <v>824293291660</v>
      </c>
      <c r="H1343" s="8">
        <v>37668974599</v>
      </c>
      <c r="I1343" s="8">
        <v>89017397600</v>
      </c>
      <c r="J1343" s="8"/>
      <c r="K1343" s="8">
        <v>995492035503</v>
      </c>
      <c r="L1343" s="8">
        <v>1438175152462</v>
      </c>
      <c r="M1343" s="8">
        <v>200205500000</v>
      </c>
      <c r="N1343" s="8">
        <v>244750000000</v>
      </c>
      <c r="O1343" s="8">
        <v>215380000000</v>
      </c>
      <c r="P1343" s="8">
        <v>233491500000</v>
      </c>
      <c r="Q1343" s="18">
        <f>(Table1[[#This Row],[A. TÀI SẢN NGẮN HẠN]]-Table1[[#This Row],[I. Nợ ngắn hạn]])/Table1[[#This Row],[TỔNG CỘNG TÀI SẢN]]</f>
        <v>0.24658964224585164</v>
      </c>
      <c r="R1343" s="18">
        <f>Table1[[#This Row],[- LNST chưa phân phối kỳ này]]/Table1[[#This Row],[TỔNG CỘNG TÀI SẢN]]</f>
        <v>2.9016777350065838E-2</v>
      </c>
      <c r="S1343" s="21">
        <f>Table1[[#This Row],[5. Lợi nhuận gộp về bán hàng và cung cấp dịch vụ]]/Table1[[#This Row],[TỔNG CỘNG TÀI SẢN]]</f>
        <v>6.8570966795312133E-2</v>
      </c>
      <c r="T134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0.22446864668996802</v>
      </c>
      <c r="U1343" s="23">
        <f>Table1[[#This Row],[1. Doanh thu bán hàng và cung cấp dịch vụ ]]/Table1[[#This Row],[TỔNG CỘNG TÀI SẢN]]</f>
        <v>1.1078403018301084</v>
      </c>
      <c r="V1343" s="23">
        <f>1.2*Table1[[#This Row],[X1]] + 1.4*Table1[[#This Row],[X2]] + 3.3*Table1[[#This Row],[x3]] + 0.6*Table1[[#This Row],[x4]] + 1*Table1[[#This Row],[x5]]</f>
        <v>1.8053367392537334</v>
      </c>
      <c r="W1343" s="23">
        <f>IF(Table1[[#This Row],[Zscore]]&lt;1.81,1,0)</f>
        <v>1</v>
      </c>
    </row>
    <row r="1344" spans="1:23" hidden="1" x14ac:dyDescent="0.45">
      <c r="A1344" s="7">
        <v>1338</v>
      </c>
      <c r="B1344" s="5" t="s">
        <v>2688</v>
      </c>
      <c r="C1344" s="6" t="s">
        <v>2689</v>
      </c>
      <c r="D1344" s="6" t="s">
        <v>18</v>
      </c>
      <c r="E1344" s="6"/>
      <c r="F1344" s="6"/>
      <c r="G1344" s="6"/>
      <c r="H1344" s="6"/>
      <c r="I1344" s="6"/>
      <c r="J1344" s="8"/>
      <c r="K1344" s="6"/>
      <c r="L1344" s="6"/>
      <c r="M1344" s="8"/>
      <c r="N1344" s="8"/>
      <c r="O1344" s="8"/>
      <c r="P1344" s="8"/>
      <c r="Q1344" s="18" t="e">
        <f>(Table1[[#This Row],[A. TÀI SẢN NGẮN HẠN]]-Table1[[#This Row],[I. Nợ ngắn hạn]])/Table1[[#This Row],[TỔNG CỘNG TÀI SẢN]]</f>
        <v>#DIV/0!</v>
      </c>
      <c r="R1344" s="18" t="e">
        <f>Table1[[#This Row],[- LNST chưa phân phối kỳ này]]/Table1[[#This Row],[TỔNG CỘNG TÀI SẢN]]</f>
        <v>#DIV/0!</v>
      </c>
      <c r="S1344" s="21" t="e">
        <f>Table1[[#This Row],[5. Lợi nhuận gộp về bán hàng và cung cấp dịch vụ]]/Table1[[#This Row],[TỔNG CỘNG TÀI SẢN]]</f>
        <v>#DIV/0!</v>
      </c>
      <c r="T134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344" s="23" t="e">
        <f>Table1[[#This Row],[1. Doanh thu bán hàng và cung cấp dịch vụ ]]/Table1[[#This Row],[TỔNG CỘNG TÀI SẢN]]</f>
        <v>#DIV/0!</v>
      </c>
      <c r="V1344" s="23" t="e">
        <f>1.2*Table1[[#This Row],[X1]] + 1.4*Table1[[#This Row],[X2]] + 3.3*Table1[[#This Row],[x3]] + 0.6*Table1[[#This Row],[x4]] + 1*Table1[[#This Row],[x5]]</f>
        <v>#DIV/0!</v>
      </c>
      <c r="W1344" s="23" t="e">
        <f>IF(Table1[[#This Row],[Zscore]]&lt;1.81,1,0)</f>
        <v>#DIV/0!</v>
      </c>
    </row>
    <row r="1345" spans="1:23" x14ac:dyDescent="0.45">
      <c r="A1345" s="7">
        <v>1339</v>
      </c>
      <c r="B1345" s="5" t="s">
        <v>2690</v>
      </c>
      <c r="C1345" s="6" t="s">
        <v>2691</v>
      </c>
      <c r="D1345" s="6" t="s">
        <v>36</v>
      </c>
      <c r="E1345" s="8">
        <v>639397614635</v>
      </c>
      <c r="F1345" s="8">
        <v>523631388804</v>
      </c>
      <c r="G1345" s="8">
        <v>190598551549</v>
      </c>
      <c r="H1345" s="8">
        <v>22131353956</v>
      </c>
      <c r="I1345" s="8">
        <v>39658109413</v>
      </c>
      <c r="J1345" s="8"/>
      <c r="K1345" s="8">
        <v>192199151549</v>
      </c>
      <c r="L1345" s="8">
        <v>94671293208</v>
      </c>
      <c r="M1345" s="8">
        <v>956638765000</v>
      </c>
      <c r="N1345" s="8">
        <v>888748272000</v>
      </c>
      <c r="O1345" s="8">
        <v>919607587000</v>
      </c>
      <c r="P1345" s="8">
        <v>1095505682500</v>
      </c>
      <c r="Q1345" s="18">
        <f>(Table1[[#This Row],[A. TÀI SẢN NGẮN HẠN]]-Table1[[#This Row],[I. Nợ ngắn hạn]])/Table1[[#This Row],[TỔNG CỘNG TÀI SẢN]]</f>
        <v>0.5208540501751977</v>
      </c>
      <c r="R1345" s="18">
        <f>Table1[[#This Row],[- LNST chưa phân phối kỳ này]]/Table1[[#This Row],[TỔNG CỘNG TÀI SẢN]]</f>
        <v>3.4612819080711899E-2</v>
      </c>
      <c r="S1345" s="21">
        <f>Table1[[#This Row],[5. Lợi nhuận gộp về bán hàng và cung cấp dịch vụ]]/Table1[[#This Row],[TỔNG CỘNG TÀI SẢN]]</f>
        <v>6.2024174794018935E-2</v>
      </c>
      <c r="T134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5.0214845843320344</v>
      </c>
      <c r="U1345" s="23">
        <f>Table1[[#This Row],[1. Doanh thu bán hàng và cung cấp dịch vụ ]]/Table1[[#This Row],[TỔNG CỘNG TÀI SẢN]]</f>
        <v>0.14806325679216537</v>
      </c>
      <c r="V1345" s="23">
        <f>1.2*Table1[[#This Row],[X1]] + 1.4*Table1[[#This Row],[X2]] + 3.3*Table1[[#This Row],[x3]] + 0.6*Table1[[#This Row],[x4]] + 1*Table1[[#This Row],[x5]]</f>
        <v>4.0391165911348823</v>
      </c>
      <c r="W1345" s="23">
        <f>IF(Table1[[#This Row],[Zscore]]&lt;1.81,1,0)</f>
        <v>0</v>
      </c>
    </row>
    <row r="1346" spans="1:23" x14ac:dyDescent="0.45">
      <c r="A1346" s="7">
        <v>1340</v>
      </c>
      <c r="B1346" s="5" t="s">
        <v>2692</v>
      </c>
      <c r="C1346" s="6" t="s">
        <v>2693</v>
      </c>
      <c r="D1346" s="6" t="s">
        <v>36</v>
      </c>
      <c r="E1346" s="8">
        <v>5787039836045</v>
      </c>
      <c r="F1346" s="8">
        <v>5188424706601</v>
      </c>
      <c r="G1346" s="8">
        <v>3481417890413</v>
      </c>
      <c r="H1346" s="8">
        <v>168671057767</v>
      </c>
      <c r="I1346" s="8">
        <v>361002733594</v>
      </c>
      <c r="J1346" s="8"/>
      <c r="K1346" s="8">
        <v>4790138366900</v>
      </c>
      <c r="L1346" s="8">
        <v>4825799087683</v>
      </c>
      <c r="M1346" s="8">
        <v>1623764092800</v>
      </c>
      <c r="N1346" s="8">
        <v>1244122369600</v>
      </c>
      <c r="O1346" s="8">
        <v>1312732059100</v>
      </c>
      <c r="P1346" s="8">
        <v>1299010121200</v>
      </c>
      <c r="Q1346" s="18">
        <f>(Table1[[#This Row],[A. TÀI SẢN NGẮN HẠN]]-Table1[[#This Row],[I. Nợ ngắn hạn]])/Table1[[#This Row],[TỔNG CỘNG TÀI SẢN]]</f>
        <v>0.29497063516925931</v>
      </c>
      <c r="R1346" s="18">
        <f>Table1[[#This Row],[- LNST chưa phân phối kỳ này]]/Table1[[#This Row],[TỔNG CỘNG TÀI SẢN]]</f>
        <v>2.9146344684966571E-2</v>
      </c>
      <c r="S1346" s="21">
        <f>Table1[[#This Row],[5. Lợi nhuận gộp về bán hàng và cung cấp dịch vụ]]/Table1[[#This Row],[TỔNG CỘNG TÀI SẢN]]</f>
        <v>6.2381242193196622E-2</v>
      </c>
      <c r="T134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0.2859848830549655</v>
      </c>
      <c r="U1346" s="23">
        <f>Table1[[#This Row],[1. Doanh thu bán hàng và cung cấp dịch vụ ]]/Table1[[#This Row],[TỔNG CỘNG TÀI SẢN]]</f>
        <v>0.83389767902151946</v>
      </c>
      <c r="V1346" s="23">
        <f>1.2*Table1[[#This Row],[X1]] + 1.4*Table1[[#This Row],[X2]] + 3.3*Table1[[#This Row],[x3]] + 0.6*Table1[[#This Row],[x4]] + 1*Table1[[#This Row],[x5]]</f>
        <v>1.606116352854112</v>
      </c>
      <c r="W1346" s="23">
        <f>IF(Table1[[#This Row],[Zscore]]&lt;1.81,1,0)</f>
        <v>1</v>
      </c>
    </row>
    <row r="1347" spans="1:23" hidden="1" x14ac:dyDescent="0.45">
      <c r="A1347" s="7">
        <v>1341</v>
      </c>
      <c r="B1347" s="5" t="s">
        <v>2694</v>
      </c>
      <c r="C1347" s="6" t="s">
        <v>2695</v>
      </c>
      <c r="D1347" s="6" t="s">
        <v>18</v>
      </c>
      <c r="E1347" s="6"/>
      <c r="F1347" s="6"/>
      <c r="G1347" s="6"/>
      <c r="H1347" s="6"/>
      <c r="I1347" s="6"/>
      <c r="J1347" s="8"/>
      <c r="K1347" s="6"/>
      <c r="L1347" s="6"/>
      <c r="M1347" s="8">
        <v>15019713000</v>
      </c>
      <c r="N1347" s="8"/>
      <c r="O1347" s="8">
        <v>9142434000</v>
      </c>
      <c r="P1347" s="8">
        <v>12407589000</v>
      </c>
      <c r="Q1347" s="18" t="e">
        <f>(Table1[[#This Row],[A. TÀI SẢN NGẮN HẠN]]-Table1[[#This Row],[I. Nợ ngắn hạn]])/Table1[[#This Row],[TỔNG CỘNG TÀI SẢN]]</f>
        <v>#DIV/0!</v>
      </c>
      <c r="R1347" s="18" t="e">
        <f>Table1[[#This Row],[- LNST chưa phân phối kỳ này]]/Table1[[#This Row],[TỔNG CỘNG TÀI SẢN]]</f>
        <v>#DIV/0!</v>
      </c>
      <c r="S1347" s="21" t="e">
        <f>Table1[[#This Row],[5. Lợi nhuận gộp về bán hàng và cung cấp dịch vụ]]/Table1[[#This Row],[TỔNG CỘNG TÀI SẢN]]</f>
        <v>#DIV/0!</v>
      </c>
      <c r="T134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347" s="23" t="e">
        <f>Table1[[#This Row],[1. Doanh thu bán hàng và cung cấp dịch vụ ]]/Table1[[#This Row],[TỔNG CỘNG TÀI SẢN]]</f>
        <v>#DIV/0!</v>
      </c>
      <c r="V1347" s="23" t="e">
        <f>1.2*Table1[[#This Row],[X1]] + 1.4*Table1[[#This Row],[X2]] + 3.3*Table1[[#This Row],[x3]] + 0.6*Table1[[#This Row],[x4]] + 1*Table1[[#This Row],[x5]]</f>
        <v>#DIV/0!</v>
      </c>
      <c r="W1347" s="23" t="e">
        <f>IF(Table1[[#This Row],[Zscore]]&lt;1.81,1,0)</f>
        <v>#DIV/0!</v>
      </c>
    </row>
    <row r="1348" spans="1:23" x14ac:dyDescent="0.45">
      <c r="A1348" s="7">
        <v>1342</v>
      </c>
      <c r="B1348" s="5" t="s">
        <v>2696</v>
      </c>
      <c r="C1348" s="6" t="s">
        <v>2697</v>
      </c>
      <c r="D1348" s="6" t="s">
        <v>36</v>
      </c>
      <c r="E1348" s="8">
        <v>1039880191833</v>
      </c>
      <c r="F1348" s="8">
        <v>861167529546</v>
      </c>
      <c r="G1348" s="8">
        <v>315676938511</v>
      </c>
      <c r="H1348" s="8">
        <v>350330306803</v>
      </c>
      <c r="I1348" s="8">
        <v>55324192764</v>
      </c>
      <c r="J1348" s="8"/>
      <c r="K1348" s="8">
        <v>418798291839</v>
      </c>
      <c r="L1348" s="8">
        <v>263032356441</v>
      </c>
      <c r="M1348" s="8">
        <v>149400000000</v>
      </c>
      <c r="N1348" s="8">
        <v>939600000000</v>
      </c>
      <c r="O1348" s="8">
        <v>284040000000</v>
      </c>
      <c r="P1348" s="8">
        <v>918000000000</v>
      </c>
      <c r="Q1348" s="18">
        <f>(Table1[[#This Row],[A. TÀI SẢN NGẮN HẠN]]-Table1[[#This Row],[I. Nợ ngắn hạn]])/Table1[[#This Row],[TỔNG CỘNG TÀI SẢN]]</f>
        <v>0.52457061430650209</v>
      </c>
      <c r="R1348" s="18">
        <f>Table1[[#This Row],[- LNST chưa phân phối kỳ này]]/Table1[[#This Row],[TỔNG CỘNG TÀI SẢN]]</f>
        <v>0.33689487457730272</v>
      </c>
      <c r="S1348" s="21">
        <f>Table1[[#This Row],[5. Lợi nhuận gộp về bán hàng và cung cấp dịch vụ]]/Table1[[#This Row],[TỔNG CỘNG TÀI SẢN]]</f>
        <v>5.3202468129025397E-2</v>
      </c>
      <c r="T134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1.3676273546506919</v>
      </c>
      <c r="U1348" s="23">
        <f>Table1[[#This Row],[1. Doanh thu bán hàng và cung cấp dịch vụ ]]/Table1[[#This Row],[TỔNG CỘNG TÀI SẢN]]</f>
        <v>0.252944866636369</v>
      </c>
      <c r="V1348" s="23">
        <f>1.2*Table1[[#This Row],[X1]] + 1.4*Table1[[#This Row],[X2]] + 3.3*Table1[[#This Row],[x3]] + 0.6*Table1[[#This Row],[x4]] + 1*Table1[[#This Row],[x5]]</f>
        <v>2.350226985828594</v>
      </c>
      <c r="W1348" s="23">
        <f>IF(Table1[[#This Row],[Zscore]]&lt;1.81,1,0)</f>
        <v>0</v>
      </c>
    </row>
    <row r="1349" spans="1:23" hidden="1" x14ac:dyDescent="0.45">
      <c r="A1349" s="7">
        <v>1343</v>
      </c>
      <c r="B1349" s="5" t="s">
        <v>2698</v>
      </c>
      <c r="C1349" s="6" t="s">
        <v>2699</v>
      </c>
      <c r="D1349" s="6" t="s">
        <v>18</v>
      </c>
      <c r="E1349" s="6"/>
      <c r="F1349" s="6"/>
      <c r="G1349" s="6"/>
      <c r="H1349" s="6"/>
      <c r="I1349" s="6"/>
      <c r="J1349" s="8"/>
      <c r="K1349" s="6"/>
      <c r="L1349" s="6"/>
      <c r="M1349" s="8"/>
      <c r="N1349" s="8"/>
      <c r="O1349" s="8"/>
      <c r="P1349" s="8"/>
      <c r="Q1349" s="18" t="e">
        <f>(Table1[[#This Row],[A. TÀI SẢN NGẮN HẠN]]-Table1[[#This Row],[I. Nợ ngắn hạn]])/Table1[[#This Row],[TỔNG CỘNG TÀI SẢN]]</f>
        <v>#DIV/0!</v>
      </c>
      <c r="R1349" s="18" t="e">
        <f>Table1[[#This Row],[- LNST chưa phân phối kỳ này]]/Table1[[#This Row],[TỔNG CỘNG TÀI SẢN]]</f>
        <v>#DIV/0!</v>
      </c>
      <c r="S1349" s="21" t="e">
        <f>Table1[[#This Row],[5. Lợi nhuận gộp về bán hàng và cung cấp dịch vụ]]/Table1[[#This Row],[TỔNG CỘNG TÀI SẢN]]</f>
        <v>#DIV/0!</v>
      </c>
      <c r="T134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349" s="23" t="e">
        <f>Table1[[#This Row],[1. Doanh thu bán hàng và cung cấp dịch vụ ]]/Table1[[#This Row],[TỔNG CỘNG TÀI SẢN]]</f>
        <v>#DIV/0!</v>
      </c>
      <c r="V1349" s="23" t="e">
        <f>1.2*Table1[[#This Row],[X1]] + 1.4*Table1[[#This Row],[X2]] + 3.3*Table1[[#This Row],[x3]] + 0.6*Table1[[#This Row],[x4]] + 1*Table1[[#This Row],[x5]]</f>
        <v>#DIV/0!</v>
      </c>
      <c r="W1349" s="23" t="e">
        <f>IF(Table1[[#This Row],[Zscore]]&lt;1.81,1,0)</f>
        <v>#DIV/0!</v>
      </c>
    </row>
    <row r="1350" spans="1:23" hidden="1" x14ac:dyDescent="0.45">
      <c r="A1350" s="7">
        <v>1344</v>
      </c>
      <c r="B1350" s="5" t="s">
        <v>2700</v>
      </c>
      <c r="C1350" s="6" t="s">
        <v>2701</v>
      </c>
      <c r="D1350" s="6" t="s">
        <v>13</v>
      </c>
      <c r="E1350" s="6"/>
      <c r="F1350" s="6"/>
      <c r="G1350" s="6"/>
      <c r="H1350" s="6"/>
      <c r="I1350" s="6"/>
      <c r="J1350" s="8"/>
      <c r="K1350" s="6"/>
      <c r="L1350" s="6"/>
      <c r="M1350" s="8"/>
      <c r="N1350" s="8"/>
      <c r="O1350" s="8"/>
      <c r="P1350" s="8"/>
      <c r="Q1350" s="18" t="e">
        <f>(Table1[[#This Row],[A. TÀI SẢN NGẮN HẠN]]-Table1[[#This Row],[I. Nợ ngắn hạn]])/Table1[[#This Row],[TỔNG CỘNG TÀI SẢN]]</f>
        <v>#DIV/0!</v>
      </c>
      <c r="R1350" s="18" t="e">
        <f>Table1[[#This Row],[- LNST chưa phân phối kỳ này]]/Table1[[#This Row],[TỔNG CỘNG TÀI SẢN]]</f>
        <v>#DIV/0!</v>
      </c>
      <c r="S1350" s="21" t="e">
        <f>Table1[[#This Row],[5. Lợi nhuận gộp về bán hàng và cung cấp dịch vụ]]/Table1[[#This Row],[TỔNG CỘNG TÀI SẢN]]</f>
        <v>#DIV/0!</v>
      </c>
      <c r="T135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350" s="23" t="e">
        <f>Table1[[#This Row],[1. Doanh thu bán hàng và cung cấp dịch vụ ]]/Table1[[#This Row],[TỔNG CỘNG TÀI SẢN]]</f>
        <v>#DIV/0!</v>
      </c>
      <c r="V1350" s="23" t="e">
        <f>1.2*Table1[[#This Row],[X1]] + 1.4*Table1[[#This Row],[X2]] + 3.3*Table1[[#This Row],[x3]] + 0.6*Table1[[#This Row],[x4]] + 1*Table1[[#This Row],[x5]]</f>
        <v>#DIV/0!</v>
      </c>
      <c r="W1350" s="23" t="e">
        <f>IF(Table1[[#This Row],[Zscore]]&lt;1.81,1,0)</f>
        <v>#DIV/0!</v>
      </c>
    </row>
    <row r="1351" spans="1:23" hidden="1" x14ac:dyDescent="0.45">
      <c r="A1351" s="7">
        <v>1345</v>
      </c>
      <c r="B1351" s="5" t="s">
        <v>2702</v>
      </c>
      <c r="C1351" s="6" t="s">
        <v>2703</v>
      </c>
      <c r="D1351" s="6" t="s">
        <v>18</v>
      </c>
      <c r="E1351" s="6"/>
      <c r="F1351" s="6"/>
      <c r="G1351" s="6"/>
      <c r="H1351" s="6"/>
      <c r="I1351" s="6"/>
      <c r="J1351" s="8"/>
      <c r="K1351" s="6"/>
      <c r="L1351" s="6"/>
      <c r="M1351" s="8"/>
      <c r="N1351" s="8"/>
      <c r="O1351" s="8"/>
      <c r="P1351" s="8"/>
      <c r="Q1351" s="18" t="e">
        <f>(Table1[[#This Row],[A. TÀI SẢN NGẮN HẠN]]-Table1[[#This Row],[I. Nợ ngắn hạn]])/Table1[[#This Row],[TỔNG CỘNG TÀI SẢN]]</f>
        <v>#DIV/0!</v>
      </c>
      <c r="R1351" s="18" t="e">
        <f>Table1[[#This Row],[- LNST chưa phân phối kỳ này]]/Table1[[#This Row],[TỔNG CỘNG TÀI SẢN]]</f>
        <v>#DIV/0!</v>
      </c>
      <c r="S1351" s="21" t="e">
        <f>Table1[[#This Row],[5. Lợi nhuận gộp về bán hàng và cung cấp dịch vụ]]/Table1[[#This Row],[TỔNG CỘNG TÀI SẢN]]</f>
        <v>#DIV/0!</v>
      </c>
      <c r="T135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351" s="23" t="e">
        <f>Table1[[#This Row],[1. Doanh thu bán hàng và cung cấp dịch vụ ]]/Table1[[#This Row],[TỔNG CỘNG TÀI SẢN]]</f>
        <v>#DIV/0!</v>
      </c>
      <c r="V1351" s="23" t="e">
        <f>1.2*Table1[[#This Row],[X1]] + 1.4*Table1[[#This Row],[X2]] + 3.3*Table1[[#This Row],[x3]] + 0.6*Table1[[#This Row],[x4]] + 1*Table1[[#This Row],[x5]]</f>
        <v>#DIV/0!</v>
      </c>
      <c r="W1351" s="23" t="e">
        <f>IF(Table1[[#This Row],[Zscore]]&lt;1.81,1,0)</f>
        <v>#DIV/0!</v>
      </c>
    </row>
    <row r="1352" spans="1:23" hidden="1" x14ac:dyDescent="0.45">
      <c r="A1352" s="7">
        <v>1346</v>
      </c>
      <c r="B1352" s="5" t="s">
        <v>2704</v>
      </c>
      <c r="C1352" s="6" t="s">
        <v>2705</v>
      </c>
      <c r="D1352" s="6" t="s">
        <v>18</v>
      </c>
      <c r="E1352" s="6"/>
      <c r="F1352" s="6"/>
      <c r="G1352" s="6"/>
      <c r="H1352" s="6"/>
      <c r="I1352" s="6"/>
      <c r="J1352" s="8"/>
      <c r="K1352" s="6"/>
      <c r="L1352" s="6"/>
      <c r="M1352" s="8"/>
      <c r="N1352" s="8"/>
      <c r="O1352" s="8"/>
      <c r="P1352" s="8"/>
      <c r="Q1352" s="18" t="e">
        <f>(Table1[[#This Row],[A. TÀI SẢN NGẮN HẠN]]-Table1[[#This Row],[I. Nợ ngắn hạn]])/Table1[[#This Row],[TỔNG CỘNG TÀI SẢN]]</f>
        <v>#DIV/0!</v>
      </c>
      <c r="R1352" s="18" t="e">
        <f>Table1[[#This Row],[- LNST chưa phân phối kỳ này]]/Table1[[#This Row],[TỔNG CỘNG TÀI SẢN]]</f>
        <v>#DIV/0!</v>
      </c>
      <c r="S1352" s="21" t="e">
        <f>Table1[[#This Row],[5. Lợi nhuận gộp về bán hàng và cung cấp dịch vụ]]/Table1[[#This Row],[TỔNG CỘNG TÀI SẢN]]</f>
        <v>#DIV/0!</v>
      </c>
      <c r="T135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352" s="23" t="e">
        <f>Table1[[#This Row],[1. Doanh thu bán hàng và cung cấp dịch vụ ]]/Table1[[#This Row],[TỔNG CỘNG TÀI SẢN]]</f>
        <v>#DIV/0!</v>
      </c>
      <c r="V1352" s="23" t="e">
        <f>1.2*Table1[[#This Row],[X1]] + 1.4*Table1[[#This Row],[X2]] + 3.3*Table1[[#This Row],[x3]] + 0.6*Table1[[#This Row],[x4]] + 1*Table1[[#This Row],[x5]]</f>
        <v>#DIV/0!</v>
      </c>
      <c r="W1352" s="23" t="e">
        <f>IF(Table1[[#This Row],[Zscore]]&lt;1.81,1,0)</f>
        <v>#DIV/0!</v>
      </c>
    </row>
    <row r="1353" spans="1:23" hidden="1" x14ac:dyDescent="0.45">
      <c r="A1353" s="7">
        <v>1347</v>
      </c>
      <c r="B1353" s="5" t="s">
        <v>2706</v>
      </c>
      <c r="C1353" s="6" t="s">
        <v>2707</v>
      </c>
      <c r="D1353" s="6" t="s">
        <v>18</v>
      </c>
      <c r="E1353" s="6"/>
      <c r="F1353" s="6"/>
      <c r="G1353" s="6"/>
      <c r="H1353" s="6"/>
      <c r="I1353" s="6"/>
      <c r="J1353" s="8"/>
      <c r="K1353" s="6"/>
      <c r="L1353" s="6"/>
      <c r="M1353" s="8"/>
      <c r="N1353" s="8"/>
      <c r="O1353" s="8"/>
      <c r="P1353" s="8"/>
      <c r="Q1353" s="18" t="e">
        <f>(Table1[[#This Row],[A. TÀI SẢN NGẮN HẠN]]-Table1[[#This Row],[I. Nợ ngắn hạn]])/Table1[[#This Row],[TỔNG CỘNG TÀI SẢN]]</f>
        <v>#DIV/0!</v>
      </c>
      <c r="R1353" s="18" t="e">
        <f>Table1[[#This Row],[- LNST chưa phân phối kỳ này]]/Table1[[#This Row],[TỔNG CỘNG TÀI SẢN]]</f>
        <v>#DIV/0!</v>
      </c>
      <c r="S1353" s="21" t="e">
        <f>Table1[[#This Row],[5. Lợi nhuận gộp về bán hàng và cung cấp dịch vụ]]/Table1[[#This Row],[TỔNG CỘNG TÀI SẢN]]</f>
        <v>#DIV/0!</v>
      </c>
      <c r="T135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353" s="23" t="e">
        <f>Table1[[#This Row],[1. Doanh thu bán hàng và cung cấp dịch vụ ]]/Table1[[#This Row],[TỔNG CỘNG TÀI SẢN]]</f>
        <v>#DIV/0!</v>
      </c>
      <c r="V1353" s="23" t="e">
        <f>1.2*Table1[[#This Row],[X1]] + 1.4*Table1[[#This Row],[X2]] + 3.3*Table1[[#This Row],[x3]] + 0.6*Table1[[#This Row],[x4]] + 1*Table1[[#This Row],[x5]]</f>
        <v>#DIV/0!</v>
      </c>
      <c r="W1353" s="23" t="e">
        <f>IF(Table1[[#This Row],[Zscore]]&lt;1.81,1,0)</f>
        <v>#DIV/0!</v>
      </c>
    </row>
    <row r="1354" spans="1:23" hidden="1" x14ac:dyDescent="0.45">
      <c r="A1354" s="7">
        <v>1348</v>
      </c>
      <c r="B1354" s="5" t="s">
        <v>2708</v>
      </c>
      <c r="C1354" s="6" t="s">
        <v>2709</v>
      </c>
      <c r="D1354" s="6" t="s">
        <v>18</v>
      </c>
      <c r="E1354" s="6"/>
      <c r="F1354" s="6"/>
      <c r="G1354" s="6"/>
      <c r="H1354" s="6"/>
      <c r="I1354" s="6"/>
      <c r="J1354" s="8"/>
      <c r="K1354" s="6"/>
      <c r="L1354" s="6"/>
      <c r="M1354" s="8"/>
      <c r="N1354" s="8"/>
      <c r="O1354" s="8"/>
      <c r="P1354" s="8"/>
      <c r="Q1354" s="18" t="e">
        <f>(Table1[[#This Row],[A. TÀI SẢN NGẮN HẠN]]-Table1[[#This Row],[I. Nợ ngắn hạn]])/Table1[[#This Row],[TỔNG CỘNG TÀI SẢN]]</f>
        <v>#DIV/0!</v>
      </c>
      <c r="R1354" s="18" t="e">
        <f>Table1[[#This Row],[- LNST chưa phân phối kỳ này]]/Table1[[#This Row],[TỔNG CỘNG TÀI SẢN]]</f>
        <v>#DIV/0!</v>
      </c>
      <c r="S1354" s="21" t="e">
        <f>Table1[[#This Row],[5. Lợi nhuận gộp về bán hàng và cung cấp dịch vụ]]/Table1[[#This Row],[TỔNG CỘNG TÀI SẢN]]</f>
        <v>#DIV/0!</v>
      </c>
      <c r="T135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354" s="23" t="e">
        <f>Table1[[#This Row],[1. Doanh thu bán hàng và cung cấp dịch vụ ]]/Table1[[#This Row],[TỔNG CỘNG TÀI SẢN]]</f>
        <v>#DIV/0!</v>
      </c>
      <c r="V1354" s="23" t="e">
        <f>1.2*Table1[[#This Row],[X1]] + 1.4*Table1[[#This Row],[X2]] + 3.3*Table1[[#This Row],[x3]] + 0.6*Table1[[#This Row],[x4]] + 1*Table1[[#This Row],[x5]]</f>
        <v>#DIV/0!</v>
      </c>
      <c r="W1354" s="23" t="e">
        <f>IF(Table1[[#This Row],[Zscore]]&lt;1.81,1,0)</f>
        <v>#DIV/0!</v>
      </c>
    </row>
    <row r="1355" spans="1:23" hidden="1" x14ac:dyDescent="0.45">
      <c r="A1355" s="7">
        <v>1349</v>
      </c>
      <c r="B1355" s="5" t="s">
        <v>2710</v>
      </c>
      <c r="C1355" s="6" t="s">
        <v>2711</v>
      </c>
      <c r="D1355" s="6" t="s">
        <v>13</v>
      </c>
      <c r="E1355" s="6"/>
      <c r="F1355" s="6"/>
      <c r="G1355" s="6"/>
      <c r="H1355" s="6"/>
      <c r="I1355" s="6"/>
      <c r="J1355" s="8"/>
      <c r="K1355" s="6"/>
      <c r="L1355" s="6"/>
      <c r="M1355" s="8"/>
      <c r="N1355" s="8"/>
      <c r="O1355" s="8"/>
      <c r="P1355" s="8"/>
      <c r="Q1355" s="18" t="e">
        <f>(Table1[[#This Row],[A. TÀI SẢN NGẮN HẠN]]-Table1[[#This Row],[I. Nợ ngắn hạn]])/Table1[[#This Row],[TỔNG CỘNG TÀI SẢN]]</f>
        <v>#DIV/0!</v>
      </c>
      <c r="R1355" s="18" t="e">
        <f>Table1[[#This Row],[- LNST chưa phân phối kỳ này]]/Table1[[#This Row],[TỔNG CỘNG TÀI SẢN]]</f>
        <v>#DIV/0!</v>
      </c>
      <c r="S1355" s="21" t="e">
        <f>Table1[[#This Row],[5. Lợi nhuận gộp về bán hàng và cung cấp dịch vụ]]/Table1[[#This Row],[TỔNG CỘNG TÀI SẢN]]</f>
        <v>#DIV/0!</v>
      </c>
      <c r="T135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355" s="23" t="e">
        <f>Table1[[#This Row],[1. Doanh thu bán hàng và cung cấp dịch vụ ]]/Table1[[#This Row],[TỔNG CỘNG TÀI SẢN]]</f>
        <v>#DIV/0!</v>
      </c>
      <c r="V1355" s="23" t="e">
        <f>1.2*Table1[[#This Row],[X1]] + 1.4*Table1[[#This Row],[X2]] + 3.3*Table1[[#This Row],[x3]] + 0.6*Table1[[#This Row],[x4]] + 1*Table1[[#This Row],[x5]]</f>
        <v>#DIV/0!</v>
      </c>
      <c r="W1355" s="23" t="e">
        <f>IF(Table1[[#This Row],[Zscore]]&lt;1.81,1,0)</f>
        <v>#DIV/0!</v>
      </c>
    </row>
    <row r="1356" spans="1:23" ht="26.25" x14ac:dyDescent="0.45">
      <c r="A1356" s="7">
        <v>1350</v>
      </c>
      <c r="B1356" s="5" t="s">
        <v>2712</v>
      </c>
      <c r="C1356" s="6" t="s">
        <v>2713</v>
      </c>
      <c r="D1356" s="6" t="s">
        <v>21</v>
      </c>
      <c r="E1356" s="8">
        <v>584418692762</v>
      </c>
      <c r="F1356" s="8">
        <v>443247695336</v>
      </c>
      <c r="G1356" s="8">
        <v>324097723088</v>
      </c>
      <c r="H1356" s="8">
        <v>40125028403</v>
      </c>
      <c r="I1356" s="8">
        <v>94874109320</v>
      </c>
      <c r="J1356" s="8"/>
      <c r="K1356" s="8">
        <v>326666800108</v>
      </c>
      <c r="L1356" s="8">
        <v>619437880232</v>
      </c>
      <c r="M1356" s="8">
        <v>293900766700</v>
      </c>
      <c r="N1356" s="8">
        <v>289332361000</v>
      </c>
      <c r="O1356" s="8">
        <v>270297337250</v>
      </c>
      <c r="P1356" s="8">
        <v>302276177150</v>
      </c>
      <c r="Q1356" s="18">
        <f>(Table1[[#This Row],[A. TÀI SẢN NGẮN HẠN]]-Table1[[#This Row],[I. Nợ ngắn hạn]])/Table1[[#This Row],[TỔNG CỘNG TÀI SẢN]]</f>
        <v>0.20387775703218805</v>
      </c>
      <c r="R1356" s="18">
        <f>Table1[[#This Row],[- LNST chưa phân phối kỳ này]]/Table1[[#This Row],[TỔNG CỘNG TÀI SẢN]]</f>
        <v>6.865801676083727E-2</v>
      </c>
      <c r="S1356" s="21">
        <f>Table1[[#This Row],[5. Lợi nhuận gộp về bán hàng và cung cấp dịch vụ]]/Table1[[#This Row],[TỔNG CỘNG TÀI SẢN]]</f>
        <v>0.16233927917606281</v>
      </c>
      <c r="T135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0.88454553823488979</v>
      </c>
      <c r="U1356" s="23">
        <f>Table1[[#This Row],[1. Doanh thu bán hàng và cung cấp dịch vụ ]]/Table1[[#This Row],[TỔNG CỘNG TÀI SẢN]]</f>
        <v>1.0599214020764756</v>
      </c>
      <c r="V1356" s="23">
        <f>1.2*Table1[[#This Row],[X1]] + 1.4*Table1[[#This Row],[X2]] + 3.3*Table1[[#This Row],[x3]] + 0.6*Table1[[#This Row],[x4]] + 1*Table1[[#This Row],[x5]]</f>
        <v>2.4671428782022145</v>
      </c>
      <c r="W1356" s="23">
        <f>IF(Table1[[#This Row],[Zscore]]&lt;1.81,1,0)</f>
        <v>0</v>
      </c>
    </row>
    <row r="1357" spans="1:23" ht="26.25" x14ac:dyDescent="0.45">
      <c r="A1357" s="7">
        <v>1351</v>
      </c>
      <c r="B1357" s="5" t="s">
        <v>2714</v>
      </c>
      <c r="C1357" s="6" t="s">
        <v>2715</v>
      </c>
      <c r="D1357" s="6" t="s">
        <v>18</v>
      </c>
      <c r="E1357" s="8">
        <v>1341950853173</v>
      </c>
      <c r="F1357" s="8">
        <v>1000074593645</v>
      </c>
      <c r="G1357" s="8">
        <v>282608760265</v>
      </c>
      <c r="H1357" s="8">
        <v>49671749785</v>
      </c>
      <c r="I1357" s="8">
        <v>102043391215</v>
      </c>
      <c r="J1357" s="8"/>
      <c r="K1357" s="8">
        <v>952521849492</v>
      </c>
      <c r="L1357" s="8">
        <v>269677824899</v>
      </c>
      <c r="M1357" s="8">
        <v>615600000000</v>
      </c>
      <c r="N1357" s="8">
        <v>410399535000</v>
      </c>
      <c r="O1357" s="8">
        <v>485640000000</v>
      </c>
      <c r="P1357" s="8">
        <v>273600000000</v>
      </c>
      <c r="Q1357" s="18">
        <f>(Table1[[#This Row],[A. TÀI SẢN NGẮN HẠN]]-Table1[[#This Row],[I. Nợ ngắn hạn]])/Table1[[#This Row],[TỔNG CỘNG TÀI SẢN]]</f>
        <v>0.53464389674448576</v>
      </c>
      <c r="R1357" s="18">
        <f>Table1[[#This Row],[- LNST chưa phân phối kỳ này]]/Table1[[#This Row],[TỔNG CỘNG TÀI SẢN]]</f>
        <v>3.7014581918222066E-2</v>
      </c>
      <c r="S1357" s="21">
        <f>Table1[[#This Row],[5. Lợi nhuận gộp về bán hàng và cung cấp dịch vụ]]/Table1[[#This Row],[TỔNG CỘNG TÀI SẢN]]</f>
        <v>7.6041079279260973E-2</v>
      </c>
      <c r="T135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0.46855605883269397</v>
      </c>
      <c r="U1357" s="23">
        <f>Table1[[#This Row],[1. Doanh thu bán hàng và cung cấp dịch vụ ]]/Table1[[#This Row],[TỔNG CỘNG TÀI SẢN]]</f>
        <v>0.20095953906311501</v>
      </c>
      <c r="V1357" s="23">
        <f>1.2*Table1[[#This Row],[X1]] + 1.4*Table1[[#This Row],[X2]] + 3.3*Table1[[#This Row],[x3]] + 0.6*Table1[[#This Row],[x4]] + 1*Table1[[#This Row],[x5]]</f>
        <v>1.4264218267631863</v>
      </c>
      <c r="W1357" s="23">
        <f>IF(Table1[[#This Row],[Zscore]]&lt;1.81,1,0)</f>
        <v>1</v>
      </c>
    </row>
    <row r="1358" spans="1:23" hidden="1" x14ac:dyDescent="0.45">
      <c r="A1358" s="7">
        <v>1352</v>
      </c>
      <c r="B1358" s="5" t="s">
        <v>2716</v>
      </c>
      <c r="C1358" s="6" t="s">
        <v>2717</v>
      </c>
      <c r="D1358" s="6" t="s">
        <v>13</v>
      </c>
      <c r="E1358" s="6"/>
      <c r="F1358" s="6"/>
      <c r="G1358" s="6"/>
      <c r="H1358" s="6"/>
      <c r="I1358" s="6"/>
      <c r="J1358" s="8"/>
      <c r="K1358" s="6"/>
      <c r="L1358" s="6"/>
      <c r="M1358" s="8"/>
      <c r="N1358" s="8"/>
      <c r="O1358" s="8"/>
      <c r="P1358" s="8"/>
      <c r="Q1358" s="18" t="e">
        <f>(Table1[[#This Row],[A. TÀI SẢN NGẮN HẠN]]-Table1[[#This Row],[I. Nợ ngắn hạn]])/Table1[[#This Row],[TỔNG CỘNG TÀI SẢN]]</f>
        <v>#DIV/0!</v>
      </c>
      <c r="R1358" s="18" t="e">
        <f>Table1[[#This Row],[- LNST chưa phân phối kỳ này]]/Table1[[#This Row],[TỔNG CỘNG TÀI SẢN]]</f>
        <v>#DIV/0!</v>
      </c>
      <c r="S1358" s="21" t="e">
        <f>Table1[[#This Row],[5. Lợi nhuận gộp về bán hàng và cung cấp dịch vụ]]/Table1[[#This Row],[TỔNG CỘNG TÀI SẢN]]</f>
        <v>#DIV/0!</v>
      </c>
      <c r="T135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358" s="23" t="e">
        <f>Table1[[#This Row],[1. Doanh thu bán hàng và cung cấp dịch vụ ]]/Table1[[#This Row],[TỔNG CỘNG TÀI SẢN]]</f>
        <v>#DIV/0!</v>
      </c>
      <c r="V1358" s="23" t="e">
        <f>1.2*Table1[[#This Row],[X1]] + 1.4*Table1[[#This Row],[X2]] + 3.3*Table1[[#This Row],[x3]] + 0.6*Table1[[#This Row],[x4]] + 1*Table1[[#This Row],[x5]]</f>
        <v>#DIV/0!</v>
      </c>
      <c r="W1358" s="23" t="e">
        <f>IF(Table1[[#This Row],[Zscore]]&lt;1.81,1,0)</f>
        <v>#DIV/0!</v>
      </c>
    </row>
    <row r="1359" spans="1:23" hidden="1" x14ac:dyDescent="0.45">
      <c r="A1359" s="7">
        <v>1353</v>
      </c>
      <c r="B1359" s="5" t="s">
        <v>2718</v>
      </c>
      <c r="C1359" s="6" t="s">
        <v>2719</v>
      </c>
      <c r="D1359" s="6" t="s">
        <v>13</v>
      </c>
      <c r="E1359" s="6"/>
      <c r="F1359" s="6"/>
      <c r="G1359" s="6"/>
      <c r="H1359" s="6"/>
      <c r="I1359" s="6"/>
      <c r="J1359" s="8"/>
      <c r="K1359" s="6"/>
      <c r="L1359" s="6"/>
      <c r="M1359" s="8"/>
      <c r="N1359" s="8"/>
      <c r="O1359" s="8"/>
      <c r="P1359" s="8"/>
      <c r="Q1359" s="18" t="e">
        <f>(Table1[[#This Row],[A. TÀI SẢN NGẮN HẠN]]-Table1[[#This Row],[I. Nợ ngắn hạn]])/Table1[[#This Row],[TỔNG CỘNG TÀI SẢN]]</f>
        <v>#DIV/0!</v>
      </c>
      <c r="R1359" s="18" t="e">
        <f>Table1[[#This Row],[- LNST chưa phân phối kỳ này]]/Table1[[#This Row],[TỔNG CỘNG TÀI SẢN]]</f>
        <v>#DIV/0!</v>
      </c>
      <c r="S1359" s="21" t="e">
        <f>Table1[[#This Row],[5. Lợi nhuận gộp về bán hàng và cung cấp dịch vụ]]/Table1[[#This Row],[TỔNG CỘNG TÀI SẢN]]</f>
        <v>#DIV/0!</v>
      </c>
      <c r="T135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359" s="23" t="e">
        <f>Table1[[#This Row],[1. Doanh thu bán hàng và cung cấp dịch vụ ]]/Table1[[#This Row],[TỔNG CỘNG TÀI SẢN]]</f>
        <v>#DIV/0!</v>
      </c>
      <c r="V1359" s="23" t="e">
        <f>1.2*Table1[[#This Row],[X1]] + 1.4*Table1[[#This Row],[X2]] + 3.3*Table1[[#This Row],[x3]] + 0.6*Table1[[#This Row],[x4]] + 1*Table1[[#This Row],[x5]]</f>
        <v>#DIV/0!</v>
      </c>
      <c r="W1359" s="23" t="e">
        <f>IF(Table1[[#This Row],[Zscore]]&lt;1.81,1,0)</f>
        <v>#DIV/0!</v>
      </c>
    </row>
    <row r="1360" spans="1:23" hidden="1" x14ac:dyDescent="0.45">
      <c r="A1360" s="7">
        <v>1354</v>
      </c>
      <c r="B1360" s="5" t="s">
        <v>2720</v>
      </c>
      <c r="C1360" s="6" t="s">
        <v>2721</v>
      </c>
      <c r="D1360" s="6" t="s">
        <v>13</v>
      </c>
      <c r="E1360" s="6"/>
      <c r="F1360" s="6"/>
      <c r="G1360" s="6"/>
      <c r="H1360" s="6"/>
      <c r="I1360" s="6"/>
      <c r="J1360" s="8"/>
      <c r="K1360" s="6"/>
      <c r="L1360" s="6"/>
      <c r="M1360" s="8"/>
      <c r="N1360" s="8"/>
      <c r="O1360" s="8"/>
      <c r="P1360" s="8"/>
      <c r="Q1360" s="18" t="e">
        <f>(Table1[[#This Row],[A. TÀI SẢN NGẮN HẠN]]-Table1[[#This Row],[I. Nợ ngắn hạn]])/Table1[[#This Row],[TỔNG CỘNG TÀI SẢN]]</f>
        <v>#DIV/0!</v>
      </c>
      <c r="R1360" s="18" t="e">
        <f>Table1[[#This Row],[- LNST chưa phân phối kỳ này]]/Table1[[#This Row],[TỔNG CỘNG TÀI SẢN]]</f>
        <v>#DIV/0!</v>
      </c>
      <c r="S1360" s="21" t="e">
        <f>Table1[[#This Row],[5. Lợi nhuận gộp về bán hàng và cung cấp dịch vụ]]/Table1[[#This Row],[TỔNG CỘNG TÀI SẢN]]</f>
        <v>#DIV/0!</v>
      </c>
      <c r="T136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360" s="23" t="e">
        <f>Table1[[#This Row],[1. Doanh thu bán hàng và cung cấp dịch vụ ]]/Table1[[#This Row],[TỔNG CỘNG TÀI SẢN]]</f>
        <v>#DIV/0!</v>
      </c>
      <c r="V1360" s="23" t="e">
        <f>1.2*Table1[[#This Row],[X1]] + 1.4*Table1[[#This Row],[X2]] + 3.3*Table1[[#This Row],[x3]] + 0.6*Table1[[#This Row],[x4]] + 1*Table1[[#This Row],[x5]]</f>
        <v>#DIV/0!</v>
      </c>
      <c r="W1360" s="23" t="e">
        <f>IF(Table1[[#This Row],[Zscore]]&lt;1.81,1,0)</f>
        <v>#DIV/0!</v>
      </c>
    </row>
    <row r="1361" spans="1:23" ht="26.25" hidden="1" x14ac:dyDescent="0.45">
      <c r="A1361" s="7">
        <v>1355</v>
      </c>
      <c r="B1361" s="5" t="s">
        <v>2722</v>
      </c>
      <c r="C1361" s="6" t="s">
        <v>2723</v>
      </c>
      <c r="D1361" s="6" t="s">
        <v>13</v>
      </c>
      <c r="E1361" s="6"/>
      <c r="F1361" s="6"/>
      <c r="G1361" s="6"/>
      <c r="H1361" s="6"/>
      <c r="I1361" s="6"/>
      <c r="J1361" s="8"/>
      <c r="K1361" s="6"/>
      <c r="L1361" s="6"/>
      <c r="M1361" s="8"/>
      <c r="N1361" s="8"/>
      <c r="O1361" s="8"/>
      <c r="P1361" s="8"/>
      <c r="Q1361" s="18" t="e">
        <f>(Table1[[#This Row],[A. TÀI SẢN NGẮN HẠN]]-Table1[[#This Row],[I. Nợ ngắn hạn]])/Table1[[#This Row],[TỔNG CỘNG TÀI SẢN]]</f>
        <v>#DIV/0!</v>
      </c>
      <c r="R1361" s="18" t="e">
        <f>Table1[[#This Row],[- LNST chưa phân phối kỳ này]]/Table1[[#This Row],[TỔNG CỘNG TÀI SẢN]]</f>
        <v>#DIV/0!</v>
      </c>
      <c r="S1361" s="21" t="e">
        <f>Table1[[#This Row],[5. Lợi nhuận gộp về bán hàng và cung cấp dịch vụ]]/Table1[[#This Row],[TỔNG CỘNG TÀI SẢN]]</f>
        <v>#DIV/0!</v>
      </c>
      <c r="T136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361" s="23" t="e">
        <f>Table1[[#This Row],[1. Doanh thu bán hàng và cung cấp dịch vụ ]]/Table1[[#This Row],[TỔNG CỘNG TÀI SẢN]]</f>
        <v>#DIV/0!</v>
      </c>
      <c r="V1361" s="23" t="e">
        <f>1.2*Table1[[#This Row],[X1]] + 1.4*Table1[[#This Row],[X2]] + 3.3*Table1[[#This Row],[x3]] + 0.6*Table1[[#This Row],[x4]] + 1*Table1[[#This Row],[x5]]</f>
        <v>#DIV/0!</v>
      </c>
      <c r="W1361" s="23" t="e">
        <f>IF(Table1[[#This Row],[Zscore]]&lt;1.81,1,0)</f>
        <v>#DIV/0!</v>
      </c>
    </row>
    <row r="1362" spans="1:23" ht="26.25" hidden="1" x14ac:dyDescent="0.45">
      <c r="A1362" s="7">
        <v>1356</v>
      </c>
      <c r="B1362" s="5" t="s">
        <v>2724</v>
      </c>
      <c r="C1362" s="6" t="s">
        <v>2725</v>
      </c>
      <c r="D1362" s="6" t="s">
        <v>13</v>
      </c>
      <c r="E1362" s="6"/>
      <c r="F1362" s="6"/>
      <c r="G1362" s="6"/>
      <c r="H1362" s="6"/>
      <c r="I1362" s="6"/>
      <c r="J1362" s="8"/>
      <c r="K1362" s="6"/>
      <c r="L1362" s="6"/>
      <c r="M1362" s="8"/>
      <c r="N1362" s="8"/>
      <c r="O1362" s="8"/>
      <c r="P1362" s="8"/>
      <c r="Q1362" s="18" t="e">
        <f>(Table1[[#This Row],[A. TÀI SẢN NGẮN HẠN]]-Table1[[#This Row],[I. Nợ ngắn hạn]])/Table1[[#This Row],[TỔNG CỘNG TÀI SẢN]]</f>
        <v>#DIV/0!</v>
      </c>
      <c r="R1362" s="18" t="e">
        <f>Table1[[#This Row],[- LNST chưa phân phối kỳ này]]/Table1[[#This Row],[TỔNG CỘNG TÀI SẢN]]</f>
        <v>#DIV/0!</v>
      </c>
      <c r="S1362" s="21" t="e">
        <f>Table1[[#This Row],[5. Lợi nhuận gộp về bán hàng và cung cấp dịch vụ]]/Table1[[#This Row],[TỔNG CỘNG TÀI SẢN]]</f>
        <v>#DIV/0!</v>
      </c>
      <c r="T136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362" s="23" t="e">
        <f>Table1[[#This Row],[1. Doanh thu bán hàng và cung cấp dịch vụ ]]/Table1[[#This Row],[TỔNG CỘNG TÀI SẢN]]</f>
        <v>#DIV/0!</v>
      </c>
      <c r="V1362" s="23" t="e">
        <f>1.2*Table1[[#This Row],[X1]] + 1.4*Table1[[#This Row],[X2]] + 3.3*Table1[[#This Row],[x3]] + 0.6*Table1[[#This Row],[x4]] + 1*Table1[[#This Row],[x5]]</f>
        <v>#DIV/0!</v>
      </c>
      <c r="W1362" s="23" t="e">
        <f>IF(Table1[[#This Row],[Zscore]]&lt;1.81,1,0)</f>
        <v>#DIV/0!</v>
      </c>
    </row>
    <row r="1363" spans="1:23" ht="26.25" x14ac:dyDescent="0.45">
      <c r="A1363" s="7">
        <v>1357</v>
      </c>
      <c r="B1363" s="5" t="s">
        <v>2726</v>
      </c>
      <c r="C1363" s="6" t="s">
        <v>2727</v>
      </c>
      <c r="D1363" s="6" t="s">
        <v>36</v>
      </c>
      <c r="E1363" s="8">
        <v>2514197894492</v>
      </c>
      <c r="F1363" s="8">
        <v>2092968472768</v>
      </c>
      <c r="G1363" s="8">
        <v>1041251952451</v>
      </c>
      <c r="H1363" s="8">
        <v>164226967082</v>
      </c>
      <c r="I1363" s="8">
        <v>604685115736</v>
      </c>
      <c r="J1363" s="8"/>
      <c r="K1363" s="8">
        <v>1041251952451</v>
      </c>
      <c r="L1363" s="8">
        <v>3890566267244</v>
      </c>
      <c r="M1363" s="8">
        <v>2042700840000</v>
      </c>
      <c r="N1363" s="8">
        <v>1771845480000</v>
      </c>
      <c r="O1363" s="8">
        <v>2392555680000</v>
      </c>
      <c r="P1363" s="8">
        <v>2053986480000</v>
      </c>
      <c r="Q1363" s="18">
        <f>(Table1[[#This Row],[A. TÀI SẢN NGẮN HẠN]]-Table1[[#This Row],[I. Nợ ngắn hạn]])/Table1[[#This Row],[TỔNG CỘNG TÀI SẢN]]</f>
        <v>0.41831095420971304</v>
      </c>
      <c r="R1363" s="18">
        <f>Table1[[#This Row],[- LNST chưa phân phối kỳ này]]/Table1[[#This Row],[TỔNG CỘNG TÀI SẢN]]</f>
        <v>6.5319825238013926E-2</v>
      </c>
      <c r="S1363" s="21">
        <f>Table1[[#This Row],[5. Lợi nhuận gộp về bán hàng và cung cấp dịch vụ]]/Table1[[#This Row],[TỔNG CỘNG TÀI SẢN]]</f>
        <v>0.24050816248821102</v>
      </c>
      <c r="T136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1.9834508978720875</v>
      </c>
      <c r="U1363" s="23">
        <f>Table1[[#This Row],[1. Doanh thu bán hàng và cung cấp dịch vụ ]]/Table1[[#This Row],[TỔNG CỘNG TÀI SẢN]]</f>
        <v>1.547438360268812</v>
      </c>
      <c r="V1363" s="23">
        <f>1.2*Table1[[#This Row],[X1]] + 1.4*Table1[[#This Row],[X2]] + 3.3*Table1[[#This Row],[x3]] + 0.6*Table1[[#This Row],[x4]] + 1*Table1[[#This Row],[x5]]</f>
        <v>4.1246067355880358</v>
      </c>
      <c r="W1363" s="23">
        <f>IF(Table1[[#This Row],[Zscore]]&lt;1.81,1,0)</f>
        <v>0</v>
      </c>
    </row>
    <row r="1364" spans="1:23" hidden="1" x14ac:dyDescent="0.45">
      <c r="A1364" s="7">
        <v>1358</v>
      </c>
      <c r="B1364" s="5" t="s">
        <v>2728</v>
      </c>
      <c r="C1364" s="6" t="s">
        <v>2729</v>
      </c>
      <c r="D1364" s="6" t="s">
        <v>13</v>
      </c>
      <c r="E1364" s="6"/>
      <c r="F1364" s="6"/>
      <c r="G1364" s="6"/>
      <c r="H1364" s="6"/>
      <c r="I1364" s="6"/>
      <c r="J1364" s="8"/>
      <c r="K1364" s="6"/>
      <c r="L1364" s="6"/>
      <c r="M1364" s="8"/>
      <c r="N1364" s="8"/>
      <c r="O1364" s="8"/>
      <c r="P1364" s="8"/>
      <c r="Q1364" s="18" t="e">
        <f>(Table1[[#This Row],[A. TÀI SẢN NGẮN HẠN]]-Table1[[#This Row],[I. Nợ ngắn hạn]])/Table1[[#This Row],[TỔNG CỘNG TÀI SẢN]]</f>
        <v>#DIV/0!</v>
      </c>
      <c r="R1364" s="18" t="e">
        <f>Table1[[#This Row],[- LNST chưa phân phối kỳ này]]/Table1[[#This Row],[TỔNG CỘNG TÀI SẢN]]</f>
        <v>#DIV/0!</v>
      </c>
      <c r="S1364" s="21" t="e">
        <f>Table1[[#This Row],[5. Lợi nhuận gộp về bán hàng và cung cấp dịch vụ]]/Table1[[#This Row],[TỔNG CỘNG TÀI SẢN]]</f>
        <v>#DIV/0!</v>
      </c>
      <c r="T136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364" s="23" t="e">
        <f>Table1[[#This Row],[1. Doanh thu bán hàng và cung cấp dịch vụ ]]/Table1[[#This Row],[TỔNG CỘNG TÀI SẢN]]</f>
        <v>#DIV/0!</v>
      </c>
      <c r="V1364" s="23" t="e">
        <f>1.2*Table1[[#This Row],[X1]] + 1.4*Table1[[#This Row],[X2]] + 3.3*Table1[[#This Row],[x3]] + 0.6*Table1[[#This Row],[x4]] + 1*Table1[[#This Row],[x5]]</f>
        <v>#DIV/0!</v>
      </c>
      <c r="W1364" s="23" t="e">
        <f>IF(Table1[[#This Row],[Zscore]]&lt;1.81,1,0)</f>
        <v>#DIV/0!</v>
      </c>
    </row>
    <row r="1365" spans="1:23" x14ac:dyDescent="0.45">
      <c r="A1365" s="7">
        <v>1359</v>
      </c>
      <c r="B1365" s="5" t="s">
        <v>2730</v>
      </c>
      <c r="C1365" s="6" t="s">
        <v>2731</v>
      </c>
      <c r="D1365" s="6" t="s">
        <v>18</v>
      </c>
      <c r="E1365" s="8">
        <v>411390020628</v>
      </c>
      <c r="F1365" s="8">
        <v>64625217430</v>
      </c>
      <c r="G1365" s="8">
        <v>130422618701</v>
      </c>
      <c r="H1365" s="6"/>
      <c r="I1365" s="8">
        <v>111290940492</v>
      </c>
      <c r="J1365" s="8"/>
      <c r="K1365" s="8">
        <v>204348467519</v>
      </c>
      <c r="L1365" s="8">
        <v>358177884663</v>
      </c>
      <c r="M1365" s="8">
        <v>378200000000</v>
      </c>
      <c r="N1365" s="8">
        <v>402600000000</v>
      </c>
      <c r="O1365" s="8">
        <v>344040000000</v>
      </c>
      <c r="P1365" s="8">
        <v>414800000000</v>
      </c>
      <c r="Q1365" s="18">
        <f>(Table1[[#This Row],[A. TÀI SẢN NGẮN HẠN]]-Table1[[#This Row],[I. Nợ ngắn hạn]])/Table1[[#This Row],[TỔNG CỘNG TÀI SẢN]]</f>
        <v>-0.15993922548378342</v>
      </c>
      <c r="R1365" s="18">
        <f>Table1[[#This Row],[- LNST chưa phân phối kỳ này]]/Table1[[#This Row],[TỔNG CỘNG TÀI SẢN]]</f>
        <v>0</v>
      </c>
      <c r="S1365" s="21">
        <f>Table1[[#This Row],[5. Lợi nhuận gộp về bán hàng và cung cấp dịch vụ]]/Table1[[#This Row],[TỔNG CỘNG TÀI SẢN]]</f>
        <v>0.27052416177259436</v>
      </c>
      <c r="T136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1.8835962151965326</v>
      </c>
      <c r="U1365" s="23">
        <f>Table1[[#This Row],[1. Doanh thu bán hàng và cung cấp dịch vụ ]]/Table1[[#This Row],[TỔNG CỘNG TÀI SẢN]]</f>
        <v>0.87065282749501316</v>
      </c>
      <c r="V1365" s="23">
        <f>1.2*Table1[[#This Row],[X1]] + 1.4*Table1[[#This Row],[X2]] + 3.3*Table1[[#This Row],[x3]] + 0.6*Table1[[#This Row],[x4]] + 1*Table1[[#This Row],[x5]]</f>
        <v>2.7016132198819536</v>
      </c>
      <c r="W1365" s="23">
        <f>IF(Table1[[#This Row],[Zscore]]&lt;1.81,1,0)</f>
        <v>0</v>
      </c>
    </row>
    <row r="1366" spans="1:23" ht="26.25" hidden="1" x14ac:dyDescent="0.45">
      <c r="A1366" s="7">
        <v>1360</v>
      </c>
      <c r="B1366" s="5" t="s">
        <v>2732</v>
      </c>
      <c r="C1366" s="6" t="s">
        <v>2733</v>
      </c>
      <c r="D1366" s="6" t="s">
        <v>13</v>
      </c>
      <c r="E1366" s="6"/>
      <c r="F1366" s="6"/>
      <c r="G1366" s="6"/>
      <c r="H1366" s="6"/>
      <c r="I1366" s="6"/>
      <c r="J1366" s="8"/>
      <c r="K1366" s="6"/>
      <c r="L1366" s="6"/>
      <c r="M1366" s="8"/>
      <c r="N1366" s="8"/>
      <c r="O1366" s="8"/>
      <c r="P1366" s="8"/>
      <c r="Q1366" s="18" t="e">
        <f>(Table1[[#This Row],[A. TÀI SẢN NGẮN HẠN]]-Table1[[#This Row],[I. Nợ ngắn hạn]])/Table1[[#This Row],[TỔNG CỘNG TÀI SẢN]]</f>
        <v>#DIV/0!</v>
      </c>
      <c r="R1366" s="18" t="e">
        <f>Table1[[#This Row],[- LNST chưa phân phối kỳ này]]/Table1[[#This Row],[TỔNG CỘNG TÀI SẢN]]</f>
        <v>#DIV/0!</v>
      </c>
      <c r="S1366" s="21" t="e">
        <f>Table1[[#This Row],[5. Lợi nhuận gộp về bán hàng và cung cấp dịch vụ]]/Table1[[#This Row],[TỔNG CỘNG TÀI SẢN]]</f>
        <v>#DIV/0!</v>
      </c>
      <c r="T136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366" s="23" t="e">
        <f>Table1[[#This Row],[1. Doanh thu bán hàng và cung cấp dịch vụ ]]/Table1[[#This Row],[TỔNG CỘNG TÀI SẢN]]</f>
        <v>#DIV/0!</v>
      </c>
      <c r="V1366" s="23" t="e">
        <f>1.2*Table1[[#This Row],[X1]] + 1.4*Table1[[#This Row],[X2]] + 3.3*Table1[[#This Row],[x3]] + 0.6*Table1[[#This Row],[x4]] + 1*Table1[[#This Row],[x5]]</f>
        <v>#DIV/0!</v>
      </c>
      <c r="W1366" s="23" t="e">
        <f>IF(Table1[[#This Row],[Zscore]]&lt;1.81,1,0)</f>
        <v>#DIV/0!</v>
      </c>
    </row>
    <row r="1367" spans="1:23" x14ac:dyDescent="0.45">
      <c r="A1367" s="7">
        <v>1361</v>
      </c>
      <c r="B1367" s="5" t="s">
        <v>2734</v>
      </c>
      <c r="C1367" s="6" t="s">
        <v>2735</v>
      </c>
      <c r="D1367" s="6" t="s">
        <v>36</v>
      </c>
      <c r="E1367" s="8">
        <v>72536050215</v>
      </c>
      <c r="F1367" s="8">
        <v>52378038592</v>
      </c>
      <c r="G1367" s="8">
        <v>12637357684</v>
      </c>
      <c r="H1367" s="8">
        <v>6035325573</v>
      </c>
      <c r="I1367" s="8">
        <v>97517297059</v>
      </c>
      <c r="J1367" s="8"/>
      <c r="K1367" s="8">
        <v>12667357684</v>
      </c>
      <c r="L1367" s="8">
        <v>131177352905</v>
      </c>
      <c r="M1367" s="8">
        <v>42398600800</v>
      </c>
      <c r="N1367" s="8">
        <v>69997690000</v>
      </c>
      <c r="O1367" s="8">
        <v>57998086000</v>
      </c>
      <c r="P1367" s="8">
        <v>60198013400</v>
      </c>
      <c r="Q1367" s="18">
        <f>(Table1[[#This Row],[A. TÀI SẢN NGẮN HẠN]]-Table1[[#This Row],[I. Nợ ngắn hạn]])/Table1[[#This Row],[TỔNG CỘNG TÀI SẢN]]</f>
        <v>0.54787489517566645</v>
      </c>
      <c r="R1367" s="18">
        <f>Table1[[#This Row],[- LNST chưa phân phối kỳ này]]/Table1[[#This Row],[TỔNG CỘNG TÀI SẢN]]</f>
        <v>8.3204497006812927E-2</v>
      </c>
      <c r="S1367" s="21">
        <f>Table1[[#This Row],[5. Lợi nhuận gộp về bán hàng và cung cấp dịch vụ]]/Table1[[#This Row],[TỔNG CỘNG TÀI SẢN]]</f>
        <v>1.344397672191338</v>
      </c>
      <c r="T136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4.5509173253088671</v>
      </c>
      <c r="U1367" s="23">
        <f>Table1[[#This Row],[1. Doanh thu bán hàng và cung cấp dịch vụ ]]/Table1[[#This Row],[TỔNG CỘNG TÀI SẢN]]</f>
        <v>1.808443560356328</v>
      </c>
      <c r="V1367" s="23">
        <f>1.2*Table1[[#This Row],[X1]] + 1.4*Table1[[#This Row],[X2]] + 3.3*Table1[[#This Row],[x3]] + 0.6*Table1[[#This Row],[x4]] + 1*Table1[[#This Row],[x5]]</f>
        <v>9.7494424437934022</v>
      </c>
      <c r="W1367" s="23">
        <f>IF(Table1[[#This Row],[Zscore]]&lt;1.81,1,0)</f>
        <v>0</v>
      </c>
    </row>
    <row r="1368" spans="1:23" ht="26.25" x14ac:dyDescent="0.45">
      <c r="A1368" s="7">
        <v>1362</v>
      </c>
      <c r="B1368" s="5" t="s">
        <v>2736</v>
      </c>
      <c r="C1368" s="6" t="s">
        <v>2737</v>
      </c>
      <c r="D1368" s="6" t="s">
        <v>21</v>
      </c>
      <c r="E1368" s="8">
        <v>990001020931</v>
      </c>
      <c r="F1368" s="8">
        <v>371018912621</v>
      </c>
      <c r="G1368" s="8">
        <v>331191408505</v>
      </c>
      <c r="H1368" s="8">
        <v>43294969980</v>
      </c>
      <c r="I1368" s="8">
        <v>287308951044</v>
      </c>
      <c r="J1368" s="8"/>
      <c r="K1368" s="8">
        <v>347177908505</v>
      </c>
      <c r="L1368" s="8">
        <v>1197775160228</v>
      </c>
      <c r="M1368" s="8">
        <v>1240000000000</v>
      </c>
      <c r="N1368" s="8">
        <v>1492000000000</v>
      </c>
      <c r="O1368" s="8">
        <v>1236000000000</v>
      </c>
      <c r="P1368" s="8">
        <v>1572000000000</v>
      </c>
      <c r="Q1368" s="18">
        <f>(Table1[[#This Row],[A. TÀI SẢN NGẮN HẠN]]-Table1[[#This Row],[I. Nợ ngắn hạn]])/Table1[[#This Row],[TỔNG CỘNG TÀI SẢN]]</f>
        <v>4.0229760650697201E-2</v>
      </c>
      <c r="R1368" s="18">
        <f>Table1[[#This Row],[- LNST chưa phân phối kỳ này]]/Table1[[#This Row],[TỔNG CỘNG TÀI SẢN]]</f>
        <v>4.3732247810497483E-2</v>
      </c>
      <c r="S1368" s="21">
        <f>Table1[[#This Row],[5. Lợi nhuận gộp về bán hàng và cung cấp dịch vụ]]/Table1[[#This Row],[TỔNG CỘNG TÀI SẢN]]</f>
        <v>0.2902107623826628</v>
      </c>
      <c r="T136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3.9893091296160437</v>
      </c>
      <c r="U1368" s="23">
        <f>Table1[[#This Row],[1. Doanh thu bán hàng và cung cấp dịch vụ ]]/Table1[[#This Row],[TỔNG CỘNG TÀI SẢN]]</f>
        <v>1.2098726515469738</v>
      </c>
      <c r="V1368" s="23">
        <f>1.2*Table1[[#This Row],[X1]] + 1.4*Table1[[#This Row],[X2]] + 3.3*Table1[[#This Row],[x3]] + 0.6*Table1[[#This Row],[x4]] + 1*Table1[[#This Row],[x5]]</f>
        <v>4.6706545048949195</v>
      </c>
      <c r="W1368" s="23">
        <f>IF(Table1[[#This Row],[Zscore]]&lt;1.81,1,0)</f>
        <v>0</v>
      </c>
    </row>
    <row r="1369" spans="1:23" hidden="1" x14ac:dyDescent="0.45">
      <c r="A1369" s="7">
        <v>1363</v>
      </c>
      <c r="B1369" s="5" t="s">
        <v>2738</v>
      </c>
      <c r="C1369" s="6" t="s">
        <v>2739</v>
      </c>
      <c r="D1369" s="6" t="s">
        <v>18</v>
      </c>
      <c r="E1369" s="6"/>
      <c r="F1369" s="6"/>
      <c r="G1369" s="6"/>
      <c r="H1369" s="6"/>
      <c r="I1369" s="6"/>
      <c r="J1369" s="8"/>
      <c r="K1369" s="6"/>
      <c r="L1369" s="6"/>
      <c r="M1369" s="8"/>
      <c r="N1369" s="8"/>
      <c r="O1369" s="8"/>
      <c r="P1369" s="8"/>
      <c r="Q1369" s="18" t="e">
        <f>(Table1[[#This Row],[A. TÀI SẢN NGẮN HẠN]]-Table1[[#This Row],[I. Nợ ngắn hạn]])/Table1[[#This Row],[TỔNG CỘNG TÀI SẢN]]</f>
        <v>#DIV/0!</v>
      </c>
      <c r="R1369" s="18" t="e">
        <f>Table1[[#This Row],[- LNST chưa phân phối kỳ này]]/Table1[[#This Row],[TỔNG CỘNG TÀI SẢN]]</f>
        <v>#DIV/0!</v>
      </c>
      <c r="S1369" s="21" t="e">
        <f>Table1[[#This Row],[5. Lợi nhuận gộp về bán hàng và cung cấp dịch vụ]]/Table1[[#This Row],[TỔNG CỘNG TÀI SẢN]]</f>
        <v>#DIV/0!</v>
      </c>
      <c r="T136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369" s="23" t="e">
        <f>Table1[[#This Row],[1. Doanh thu bán hàng và cung cấp dịch vụ ]]/Table1[[#This Row],[TỔNG CỘNG TÀI SẢN]]</f>
        <v>#DIV/0!</v>
      </c>
      <c r="V1369" s="23" t="e">
        <f>1.2*Table1[[#This Row],[X1]] + 1.4*Table1[[#This Row],[X2]] + 3.3*Table1[[#This Row],[x3]] + 0.6*Table1[[#This Row],[x4]] + 1*Table1[[#This Row],[x5]]</f>
        <v>#DIV/0!</v>
      </c>
      <c r="W1369" s="23" t="e">
        <f>IF(Table1[[#This Row],[Zscore]]&lt;1.81,1,0)</f>
        <v>#DIV/0!</v>
      </c>
    </row>
    <row r="1370" spans="1:23" ht="26.25" x14ac:dyDescent="0.45">
      <c r="A1370" s="7">
        <v>1364</v>
      </c>
      <c r="B1370" s="5" t="s">
        <v>2740</v>
      </c>
      <c r="C1370" s="6" t="s">
        <v>2741</v>
      </c>
      <c r="D1370" s="6" t="s">
        <v>36</v>
      </c>
      <c r="E1370" s="8">
        <v>105878502492</v>
      </c>
      <c r="F1370" s="8">
        <v>86045900701</v>
      </c>
      <c r="G1370" s="8">
        <v>75194011642</v>
      </c>
      <c r="H1370" s="6"/>
      <c r="I1370" s="8">
        <v>8752195499</v>
      </c>
      <c r="J1370" s="8"/>
      <c r="K1370" s="8">
        <v>75194011642</v>
      </c>
      <c r="L1370" s="8">
        <v>54060951862</v>
      </c>
      <c r="M1370" s="8">
        <v>29398922000</v>
      </c>
      <c r="N1370" s="8">
        <v>29398922000</v>
      </c>
      <c r="O1370" s="8">
        <v>29398922000</v>
      </c>
      <c r="P1370" s="8">
        <v>29398922000</v>
      </c>
      <c r="Q1370" s="18">
        <f>(Table1[[#This Row],[A. TÀI SẢN NGẮN HẠN]]-Table1[[#This Row],[I. Nợ ngắn hạn]])/Table1[[#This Row],[TỔNG CỘNG TÀI SẢN]]</f>
        <v>0.10249379055790811</v>
      </c>
      <c r="R1370" s="18">
        <f>Table1[[#This Row],[- LNST chưa phân phối kỳ này]]/Table1[[#This Row],[TỔNG CỘNG TÀI SẢN]]</f>
        <v>0</v>
      </c>
      <c r="S1370" s="21">
        <f>Table1[[#This Row],[5. Lợi nhuận gộp về bán hàng và cung cấp dịch vụ]]/Table1[[#This Row],[TỔNG CỘNG TÀI SẢN]]</f>
        <v>8.2662630212977387E-2</v>
      </c>
      <c r="T137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0.39097424592757174</v>
      </c>
      <c r="U1370" s="23">
        <f>Table1[[#This Row],[1. Doanh thu bán hàng và cung cấp dịch vụ ]]/Table1[[#This Row],[TỔNG CỘNG TÀI SẢN]]</f>
        <v>0.51059422441382518</v>
      </c>
      <c r="V1370" s="23">
        <f>1.2*Table1[[#This Row],[X1]] + 1.4*Table1[[#This Row],[X2]] + 3.3*Table1[[#This Row],[x3]] + 0.6*Table1[[#This Row],[x4]] + 1*Table1[[#This Row],[x5]]</f>
        <v>1.1409580003426834</v>
      </c>
      <c r="W1370" s="23">
        <f>IF(Table1[[#This Row],[Zscore]]&lt;1.81,1,0)</f>
        <v>1</v>
      </c>
    </row>
    <row r="1371" spans="1:23" x14ac:dyDescent="0.45">
      <c r="A1371" s="7">
        <v>1365</v>
      </c>
      <c r="B1371" s="5" t="s">
        <v>2742</v>
      </c>
      <c r="C1371" s="6" t="s">
        <v>2743</v>
      </c>
      <c r="D1371" s="6" t="s">
        <v>21</v>
      </c>
      <c r="E1371" s="8">
        <v>7511873557425</v>
      </c>
      <c r="F1371" s="8">
        <v>5757446788713</v>
      </c>
      <c r="G1371" s="8">
        <v>4673048971604</v>
      </c>
      <c r="H1371" s="8">
        <v>150869667805</v>
      </c>
      <c r="I1371" s="8">
        <v>300227204129</v>
      </c>
      <c r="J1371" s="8"/>
      <c r="K1371" s="8">
        <v>4776701389887</v>
      </c>
      <c r="L1371" s="8">
        <v>3002045749324</v>
      </c>
      <c r="M1371" s="8">
        <v>1969526486400</v>
      </c>
      <c r="N1371" s="8">
        <v>2107341715800</v>
      </c>
      <c r="O1371" s="8">
        <v>1820846545760</v>
      </c>
      <c r="P1371" s="8">
        <v>2403980858400</v>
      </c>
      <c r="Q1371" s="18">
        <f>(Table1[[#This Row],[A. TÀI SẢN NGẮN HẠN]]-Table1[[#This Row],[I. Nợ ngắn hạn]])/Table1[[#This Row],[TỔNG CỘNG TÀI SẢN]]</f>
        <v>0.14435783680585826</v>
      </c>
      <c r="R1371" s="18">
        <f>Table1[[#This Row],[- LNST chưa phân phối kỳ này]]/Table1[[#This Row],[TỔNG CỘNG TÀI SẢN]]</f>
        <v>2.0084159650940226E-2</v>
      </c>
      <c r="S1371" s="21">
        <f>Table1[[#This Row],[5. Lợi nhuận gộp về bán hàng và cung cấp dịch vụ]]/Table1[[#This Row],[TỔNG CỘNG TÀI SẢN]]</f>
        <v>3.9967020455535338E-2</v>
      </c>
      <c r="T137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0.43448893539461908</v>
      </c>
      <c r="U1371" s="23">
        <f>Table1[[#This Row],[1. Doanh thu bán hàng và cung cấp dịch vụ ]]/Table1[[#This Row],[TỔNG CỘNG TÀI SẢN]]</f>
        <v>0.39964007998466272</v>
      </c>
      <c r="V1371" s="23">
        <f>1.2*Table1[[#This Row],[X1]] + 1.4*Table1[[#This Row],[X2]] + 3.3*Table1[[#This Row],[x3]] + 0.6*Table1[[#This Row],[x4]] + 1*Table1[[#This Row],[x5]]</f>
        <v>0.99357183640304703</v>
      </c>
      <c r="W1371" s="23">
        <f>IF(Table1[[#This Row],[Zscore]]&lt;1.81,1,0)</f>
        <v>1</v>
      </c>
    </row>
    <row r="1372" spans="1:23" ht="26.25" x14ac:dyDescent="0.45">
      <c r="A1372" s="7">
        <v>1366</v>
      </c>
      <c r="B1372" s="5" t="s">
        <v>2744</v>
      </c>
      <c r="C1372" s="6" t="s">
        <v>2745</v>
      </c>
      <c r="D1372" s="6" t="s">
        <v>18</v>
      </c>
      <c r="E1372" s="8">
        <v>194351339238</v>
      </c>
      <c r="F1372" s="8">
        <v>139143887398</v>
      </c>
      <c r="G1372" s="8">
        <v>73261033630</v>
      </c>
      <c r="H1372" s="8">
        <v>-2797978741</v>
      </c>
      <c r="I1372" s="8">
        <v>640632500</v>
      </c>
      <c r="J1372" s="8"/>
      <c r="K1372" s="8">
        <v>73261033630</v>
      </c>
      <c r="L1372" s="8">
        <v>45157152800</v>
      </c>
      <c r="M1372" s="8">
        <v>32022651700</v>
      </c>
      <c r="N1372" s="8">
        <v>24632809000</v>
      </c>
      <c r="O1372" s="8">
        <v>29559370800</v>
      </c>
      <c r="P1372" s="8">
        <v>29559370800</v>
      </c>
      <c r="Q1372" s="18">
        <f>(Table1[[#This Row],[A. TÀI SẢN NGẮN HẠN]]-Table1[[#This Row],[I. Nợ ngắn hạn]])/Table1[[#This Row],[TỔNG CỘNG TÀI SẢN]]</f>
        <v>0.33898842182569555</v>
      </c>
      <c r="R1372" s="18">
        <f>Table1[[#This Row],[- LNST chưa phân phối kỳ này]]/Table1[[#This Row],[TỔNG CỘNG TÀI SẢN]]</f>
        <v>-1.4396498382620524E-2</v>
      </c>
      <c r="S1372" s="21">
        <f>Table1[[#This Row],[5. Lợi nhuận gộp về bán hàng và cung cấp dịch vụ]]/Table1[[#This Row],[TỔNG CỘNG TÀI SẢN]]</f>
        <v>3.2962597660080449E-3</v>
      </c>
      <c r="T137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0.39507428630037472</v>
      </c>
      <c r="U1372" s="23">
        <f>Table1[[#This Row],[1. Doanh thu bán hàng và cung cấp dịch vụ ]]/Table1[[#This Row],[TỔNG CỘNG TÀI SẢN]]</f>
        <v>0.23234804029161418</v>
      </c>
      <c r="V1372" s="23">
        <f>1.2*Table1[[#This Row],[X1]] + 1.4*Table1[[#This Row],[X2]] + 3.3*Table1[[#This Row],[x3]] + 0.6*Table1[[#This Row],[x4]] + 1*Table1[[#This Row],[x5]]</f>
        <v>0.86690127775483139</v>
      </c>
      <c r="W1372" s="23">
        <f>IF(Table1[[#This Row],[Zscore]]&lt;1.81,1,0)</f>
        <v>1</v>
      </c>
    </row>
    <row r="1373" spans="1:23" hidden="1" x14ac:dyDescent="0.45">
      <c r="A1373" s="7">
        <v>1367</v>
      </c>
      <c r="B1373" s="5" t="s">
        <v>2746</v>
      </c>
      <c r="C1373" s="6" t="s">
        <v>2747</v>
      </c>
      <c r="D1373" s="6" t="s">
        <v>13</v>
      </c>
      <c r="E1373" s="6"/>
      <c r="F1373" s="6"/>
      <c r="G1373" s="6"/>
      <c r="H1373" s="6"/>
      <c r="I1373" s="6"/>
      <c r="J1373" s="8"/>
      <c r="K1373" s="6"/>
      <c r="L1373" s="6"/>
      <c r="M1373" s="8"/>
      <c r="N1373" s="8"/>
      <c r="O1373" s="8"/>
      <c r="P1373" s="8"/>
      <c r="Q1373" s="18" t="e">
        <f>(Table1[[#This Row],[A. TÀI SẢN NGẮN HẠN]]-Table1[[#This Row],[I. Nợ ngắn hạn]])/Table1[[#This Row],[TỔNG CỘNG TÀI SẢN]]</f>
        <v>#DIV/0!</v>
      </c>
      <c r="R1373" s="18" t="e">
        <f>Table1[[#This Row],[- LNST chưa phân phối kỳ này]]/Table1[[#This Row],[TỔNG CỘNG TÀI SẢN]]</f>
        <v>#DIV/0!</v>
      </c>
      <c r="S1373" s="21" t="e">
        <f>Table1[[#This Row],[5. Lợi nhuận gộp về bán hàng và cung cấp dịch vụ]]/Table1[[#This Row],[TỔNG CỘNG TÀI SẢN]]</f>
        <v>#DIV/0!</v>
      </c>
      <c r="T137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373" s="23" t="e">
        <f>Table1[[#This Row],[1. Doanh thu bán hàng và cung cấp dịch vụ ]]/Table1[[#This Row],[TỔNG CỘNG TÀI SẢN]]</f>
        <v>#DIV/0!</v>
      </c>
      <c r="V1373" s="23" t="e">
        <f>1.2*Table1[[#This Row],[X1]] + 1.4*Table1[[#This Row],[X2]] + 3.3*Table1[[#This Row],[x3]] + 0.6*Table1[[#This Row],[x4]] + 1*Table1[[#This Row],[x5]]</f>
        <v>#DIV/0!</v>
      </c>
      <c r="W1373" s="23" t="e">
        <f>IF(Table1[[#This Row],[Zscore]]&lt;1.81,1,0)</f>
        <v>#DIV/0!</v>
      </c>
    </row>
    <row r="1374" spans="1:23" hidden="1" x14ac:dyDescent="0.45">
      <c r="A1374" s="7">
        <v>1368</v>
      </c>
      <c r="B1374" s="5" t="s">
        <v>2748</v>
      </c>
      <c r="C1374" s="6" t="s">
        <v>2749</v>
      </c>
      <c r="D1374" s="6" t="s">
        <v>18</v>
      </c>
      <c r="E1374" s="6"/>
      <c r="F1374" s="6"/>
      <c r="G1374" s="6"/>
      <c r="H1374" s="6"/>
      <c r="I1374" s="6"/>
      <c r="J1374" s="8"/>
      <c r="K1374" s="6"/>
      <c r="L1374" s="6"/>
      <c r="M1374" s="8"/>
      <c r="N1374" s="8"/>
      <c r="O1374" s="8"/>
      <c r="P1374" s="8"/>
      <c r="Q1374" s="18" t="e">
        <f>(Table1[[#This Row],[A. TÀI SẢN NGẮN HẠN]]-Table1[[#This Row],[I. Nợ ngắn hạn]])/Table1[[#This Row],[TỔNG CỘNG TÀI SẢN]]</f>
        <v>#DIV/0!</v>
      </c>
      <c r="R1374" s="18" t="e">
        <f>Table1[[#This Row],[- LNST chưa phân phối kỳ này]]/Table1[[#This Row],[TỔNG CỘNG TÀI SẢN]]</f>
        <v>#DIV/0!</v>
      </c>
      <c r="S1374" s="21" t="e">
        <f>Table1[[#This Row],[5. Lợi nhuận gộp về bán hàng và cung cấp dịch vụ]]/Table1[[#This Row],[TỔNG CỘNG TÀI SẢN]]</f>
        <v>#DIV/0!</v>
      </c>
      <c r="T137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374" s="23" t="e">
        <f>Table1[[#This Row],[1. Doanh thu bán hàng và cung cấp dịch vụ ]]/Table1[[#This Row],[TỔNG CỘNG TÀI SẢN]]</f>
        <v>#DIV/0!</v>
      </c>
      <c r="V1374" s="23" t="e">
        <f>1.2*Table1[[#This Row],[X1]] + 1.4*Table1[[#This Row],[X2]] + 3.3*Table1[[#This Row],[x3]] + 0.6*Table1[[#This Row],[x4]] + 1*Table1[[#This Row],[x5]]</f>
        <v>#DIV/0!</v>
      </c>
      <c r="W1374" s="23" t="e">
        <f>IF(Table1[[#This Row],[Zscore]]&lt;1.81,1,0)</f>
        <v>#DIV/0!</v>
      </c>
    </row>
    <row r="1375" spans="1:23" hidden="1" x14ac:dyDescent="0.45">
      <c r="A1375" s="7">
        <v>1369</v>
      </c>
      <c r="B1375" s="5" t="s">
        <v>2750</v>
      </c>
      <c r="C1375" s="6" t="s">
        <v>2751</v>
      </c>
      <c r="D1375" s="6" t="s">
        <v>13</v>
      </c>
      <c r="E1375" s="6"/>
      <c r="F1375" s="6"/>
      <c r="G1375" s="6"/>
      <c r="H1375" s="6"/>
      <c r="I1375" s="6"/>
      <c r="J1375" s="8"/>
      <c r="K1375" s="6"/>
      <c r="L1375" s="6"/>
      <c r="M1375" s="8"/>
      <c r="N1375" s="8"/>
      <c r="O1375" s="8"/>
      <c r="P1375" s="8"/>
      <c r="Q1375" s="18" t="e">
        <f>(Table1[[#This Row],[A. TÀI SẢN NGẮN HẠN]]-Table1[[#This Row],[I. Nợ ngắn hạn]])/Table1[[#This Row],[TỔNG CỘNG TÀI SẢN]]</f>
        <v>#DIV/0!</v>
      </c>
      <c r="R1375" s="18" t="e">
        <f>Table1[[#This Row],[- LNST chưa phân phối kỳ này]]/Table1[[#This Row],[TỔNG CỘNG TÀI SẢN]]</f>
        <v>#DIV/0!</v>
      </c>
      <c r="S1375" s="21" t="e">
        <f>Table1[[#This Row],[5. Lợi nhuận gộp về bán hàng và cung cấp dịch vụ]]/Table1[[#This Row],[TỔNG CỘNG TÀI SẢN]]</f>
        <v>#DIV/0!</v>
      </c>
      <c r="T137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375" s="23" t="e">
        <f>Table1[[#This Row],[1. Doanh thu bán hàng và cung cấp dịch vụ ]]/Table1[[#This Row],[TỔNG CỘNG TÀI SẢN]]</f>
        <v>#DIV/0!</v>
      </c>
      <c r="V1375" s="23" t="e">
        <f>1.2*Table1[[#This Row],[X1]] + 1.4*Table1[[#This Row],[X2]] + 3.3*Table1[[#This Row],[x3]] + 0.6*Table1[[#This Row],[x4]] + 1*Table1[[#This Row],[x5]]</f>
        <v>#DIV/0!</v>
      </c>
      <c r="W1375" s="23" t="e">
        <f>IF(Table1[[#This Row],[Zscore]]&lt;1.81,1,0)</f>
        <v>#DIV/0!</v>
      </c>
    </row>
    <row r="1376" spans="1:23" x14ac:dyDescent="0.45">
      <c r="A1376" s="7">
        <v>1370</v>
      </c>
      <c r="B1376" s="5" t="s">
        <v>2752</v>
      </c>
      <c r="C1376" s="6" t="s">
        <v>2753</v>
      </c>
      <c r="D1376" s="6" t="s">
        <v>21</v>
      </c>
      <c r="E1376" s="8">
        <v>8084769611742</v>
      </c>
      <c r="F1376" s="8">
        <v>5518415941673</v>
      </c>
      <c r="G1376" s="8">
        <v>5488973581806</v>
      </c>
      <c r="H1376" s="8">
        <v>173817100098</v>
      </c>
      <c r="I1376" s="8">
        <v>229886725203</v>
      </c>
      <c r="J1376" s="8"/>
      <c r="K1376" s="8">
        <v>6736829579252</v>
      </c>
      <c r="L1376" s="8">
        <v>417533725421</v>
      </c>
      <c r="M1376" s="8">
        <v>517538836900</v>
      </c>
      <c r="N1376" s="8">
        <v>1104260467680</v>
      </c>
      <c r="O1376" s="8">
        <v>777072180960</v>
      </c>
      <c r="P1376" s="8">
        <v>1249961501610</v>
      </c>
      <c r="Q1376" s="18">
        <f>(Table1[[#This Row],[A. TÀI SẢN NGẮN HẠN]]-Table1[[#This Row],[I. Nợ ngắn hạn]])/Table1[[#This Row],[TỔNG CỘNG TÀI SẢN]]</f>
        <v>3.6417067252280237E-3</v>
      </c>
      <c r="R1376" s="18">
        <f>Table1[[#This Row],[- LNST chưa phân phối kỳ này]]/Table1[[#This Row],[TỔNG CỘNG TÀI SẢN]]</f>
        <v>2.1499326319151371E-2</v>
      </c>
      <c r="S1376" s="21">
        <f>Table1[[#This Row],[5. Lợi nhuận gộp về bán hàng và cung cấp dịch vụ]]/Table1[[#This Row],[TỔNG CỘNG TÀI SẢN]]</f>
        <v>2.8434542509303124E-2</v>
      </c>
      <c r="T137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0.13540616339723169</v>
      </c>
      <c r="U1376" s="23">
        <f>Table1[[#This Row],[1. Doanh thu bán hàng và cung cấp dịch vụ ]]/Table1[[#This Row],[TỔNG CỘNG TÀI SẢN]]</f>
        <v>5.1644480359043322E-2</v>
      </c>
      <c r="V1376" s="23">
        <f>1.2*Table1[[#This Row],[X1]] + 1.4*Table1[[#This Row],[X2]] + 3.3*Table1[[#This Row],[x3]] + 0.6*Table1[[#This Row],[x4]] + 1*Table1[[#This Row],[x5]]</f>
        <v>0.26119127359516819</v>
      </c>
      <c r="W1376" s="23">
        <f>IF(Table1[[#This Row],[Zscore]]&lt;1.81,1,0)</f>
        <v>1</v>
      </c>
    </row>
    <row r="1377" spans="1:23" x14ac:dyDescent="0.45">
      <c r="A1377" s="7">
        <v>1371</v>
      </c>
      <c r="B1377" s="5" t="s">
        <v>2754</v>
      </c>
      <c r="C1377" s="6" t="s">
        <v>2755</v>
      </c>
      <c r="D1377" s="6" t="s">
        <v>36</v>
      </c>
      <c r="E1377" s="8">
        <v>307902837846</v>
      </c>
      <c r="F1377" s="8">
        <v>259942702181</v>
      </c>
      <c r="G1377" s="8">
        <v>115784815272</v>
      </c>
      <c r="H1377" s="8">
        <v>27400396339</v>
      </c>
      <c r="I1377" s="8">
        <v>81232135161</v>
      </c>
      <c r="J1377" s="8"/>
      <c r="K1377" s="8">
        <v>117564545272</v>
      </c>
      <c r="L1377" s="8">
        <v>245581027117</v>
      </c>
      <c r="M1377" s="8">
        <v>162600128000</v>
      </c>
      <c r="N1377" s="8">
        <v>207882298500</v>
      </c>
      <c r="O1377" s="8">
        <v>137193858000</v>
      </c>
      <c r="P1377" s="8">
        <v>142718044500</v>
      </c>
      <c r="Q1377" s="18">
        <f>(Table1[[#This Row],[A. TÀI SẢN NGẮN HẠN]]-Table1[[#This Row],[I. Nợ ngắn hạn]])/Table1[[#This Row],[TỔNG CỘNG TÀI SẢN]]</f>
        <v>0.468192784183112</v>
      </c>
      <c r="R1377" s="18">
        <f>Table1[[#This Row],[- LNST chưa phân phối kỳ này]]/Table1[[#This Row],[TỔNG CỘNG TÀI SẢN]]</f>
        <v>8.8990398824139852E-2</v>
      </c>
      <c r="S1377" s="21">
        <f>Table1[[#This Row],[5. Lợi nhuận gộp về bán hàng và cung cấp dịch vụ]]/Table1[[#This Row],[TỔNG CỘNG TÀI SẢN]]</f>
        <v>0.26382392487603146</v>
      </c>
      <c r="T137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1.3830579778436451</v>
      </c>
      <c r="U1377" s="23">
        <f>Table1[[#This Row],[1. Doanh thu bán hàng và cung cấp dịch vụ ]]/Table1[[#This Row],[TỔNG CỘNG TÀI SẢN]]</f>
        <v>0.79759260692436118</v>
      </c>
      <c r="V1377" s="23">
        <f>1.2*Table1[[#This Row],[X1]] + 1.4*Table1[[#This Row],[X2]] + 3.3*Table1[[#This Row],[x3]] + 0.6*Table1[[#This Row],[x4]] + 1*Table1[[#This Row],[x5]]</f>
        <v>3.1844642450949823</v>
      </c>
      <c r="W1377" s="23">
        <f>IF(Table1[[#This Row],[Zscore]]&lt;1.81,1,0)</f>
        <v>0</v>
      </c>
    </row>
    <row r="1378" spans="1:23" x14ac:dyDescent="0.45">
      <c r="A1378" s="7">
        <v>1372</v>
      </c>
      <c r="B1378" s="5" t="s">
        <v>2756</v>
      </c>
      <c r="C1378" s="6" t="s">
        <v>2757</v>
      </c>
      <c r="D1378" s="6" t="s">
        <v>18</v>
      </c>
      <c r="E1378" s="8">
        <v>1179680760187</v>
      </c>
      <c r="F1378" s="8">
        <v>98515942483</v>
      </c>
      <c r="G1378" s="8">
        <v>69276098246</v>
      </c>
      <c r="H1378" s="8">
        <v>79255431775</v>
      </c>
      <c r="I1378" s="8">
        <v>86734697788</v>
      </c>
      <c r="J1378" s="8"/>
      <c r="K1378" s="8">
        <v>208485730510</v>
      </c>
      <c r="L1378" s="8">
        <v>319621707076</v>
      </c>
      <c r="M1378" s="8">
        <v>1221400000000</v>
      </c>
      <c r="N1378" s="8">
        <v>1891200000000</v>
      </c>
      <c r="O1378" s="8">
        <v>1709960000000</v>
      </c>
      <c r="P1378" s="8">
        <v>1654800000000</v>
      </c>
      <c r="Q1378" s="18">
        <f>(Table1[[#This Row],[A. TÀI SẢN NGẮN HẠN]]-Table1[[#This Row],[I. Nợ ngắn hạn]])/Table1[[#This Row],[TỔNG CỘNG TÀI SẢN]]</f>
        <v>2.4786234737239399E-2</v>
      </c>
      <c r="R1378" s="18">
        <f>Table1[[#This Row],[- LNST chưa phân phối kỳ này]]/Table1[[#This Row],[TỔNG CỘNG TÀI SẢN]]</f>
        <v>6.7183796201301632E-2</v>
      </c>
      <c r="S1378" s="21">
        <f>Table1[[#This Row],[5. Lợi nhuận gộp về bán hàng và cung cấp dịch vụ]]/Table1[[#This Row],[TỔNG CỘNG TÀI SẢN]]</f>
        <v>7.352387248754573E-2</v>
      </c>
      <c r="T137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7.7671502794879697</v>
      </c>
      <c r="U1378" s="23">
        <f>Table1[[#This Row],[1. Doanh thu bán hàng và cung cấp dịch vụ ]]/Table1[[#This Row],[TỔNG CỘNG TÀI SẢN]]</f>
        <v>0.27093915393291179</v>
      </c>
      <c r="V1378" s="23">
        <f>1.2*Table1[[#This Row],[X1]] + 1.4*Table1[[#This Row],[X2]] + 3.3*Table1[[#This Row],[x3]] + 0.6*Table1[[#This Row],[x4]] + 1*Table1[[#This Row],[x5]]</f>
        <v>5.2976588972011038</v>
      </c>
      <c r="W1378" s="23">
        <f>IF(Table1[[#This Row],[Zscore]]&lt;1.81,1,0)</f>
        <v>0</v>
      </c>
    </row>
    <row r="1379" spans="1:23" ht="26.25" x14ac:dyDescent="0.45">
      <c r="A1379" s="7">
        <v>1373</v>
      </c>
      <c r="B1379" s="5" t="s">
        <v>2758</v>
      </c>
      <c r="C1379" s="6" t="s">
        <v>2759</v>
      </c>
      <c r="D1379" s="6" t="s">
        <v>18</v>
      </c>
      <c r="E1379" s="8">
        <v>763655550560</v>
      </c>
      <c r="F1379" s="8">
        <v>602421760371</v>
      </c>
      <c r="G1379" s="8">
        <v>472307666533</v>
      </c>
      <c r="H1379" s="8">
        <v>-19660381942</v>
      </c>
      <c r="I1379" s="8">
        <v>7837738046</v>
      </c>
      <c r="J1379" s="8"/>
      <c r="K1379" s="8">
        <v>472689911584</v>
      </c>
      <c r="L1379" s="8">
        <v>96921551005</v>
      </c>
      <c r="M1379" s="8">
        <v>150597000000</v>
      </c>
      <c r="N1379" s="8">
        <v>86130000000</v>
      </c>
      <c r="O1379" s="8">
        <v>122670000000</v>
      </c>
      <c r="P1379" s="8">
        <v>117450000000</v>
      </c>
      <c r="Q1379" s="18">
        <f>(Table1[[#This Row],[A. TÀI SẢN NGẮN HẠN]]-Table1[[#This Row],[I. Nợ ngắn hạn]])/Table1[[#This Row],[TỔNG CỘNG TÀI SẢN]]</f>
        <v>0.17038322283205484</v>
      </c>
      <c r="R1379" s="18">
        <f>Table1[[#This Row],[- LNST chưa phân phối kỳ này]]/Table1[[#This Row],[TỔNG CỘNG TÀI SẢN]]</f>
        <v>-2.5745091393079969E-2</v>
      </c>
      <c r="S1379" s="21">
        <f>Table1[[#This Row],[5. Lợi nhuận gộp về bán hàng và cung cấp dịch vụ]]/Table1[[#This Row],[TỔNG CỘNG TÀI SẢN]]</f>
        <v>1.0263446707422567E-2</v>
      </c>
      <c r="T137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0.25219863398505243</v>
      </c>
      <c r="U1379" s="23">
        <f>Table1[[#This Row],[1. Doanh thu bán hàng và cung cấp dịch vụ ]]/Table1[[#This Row],[TỔNG CỘNG TÀI SẢN]]</f>
        <v>0.12691788979196966</v>
      </c>
      <c r="V1379" s="23">
        <f>1.2*Table1[[#This Row],[X1]] + 1.4*Table1[[#This Row],[X2]] + 3.3*Table1[[#This Row],[x3]] + 0.6*Table1[[#This Row],[x4]] + 1*Table1[[#This Row],[x5]]</f>
        <v>0.48052318376564945</v>
      </c>
      <c r="W1379" s="23">
        <f>IF(Table1[[#This Row],[Zscore]]&lt;1.81,1,0)</f>
        <v>1</v>
      </c>
    </row>
    <row r="1380" spans="1:23" hidden="1" x14ac:dyDescent="0.45">
      <c r="A1380" s="7">
        <v>1374</v>
      </c>
      <c r="B1380" s="5" t="s">
        <v>2760</v>
      </c>
      <c r="C1380" s="6" t="s">
        <v>2761</v>
      </c>
      <c r="D1380" s="6" t="s">
        <v>18</v>
      </c>
      <c r="E1380" s="6"/>
      <c r="F1380" s="6"/>
      <c r="G1380" s="6"/>
      <c r="H1380" s="6"/>
      <c r="I1380" s="6"/>
      <c r="J1380" s="8"/>
      <c r="K1380" s="6"/>
      <c r="L1380" s="6"/>
      <c r="M1380" s="8"/>
      <c r="N1380" s="8"/>
      <c r="O1380" s="8"/>
      <c r="P1380" s="8"/>
      <c r="Q1380" s="18" t="e">
        <f>(Table1[[#This Row],[A. TÀI SẢN NGẮN HẠN]]-Table1[[#This Row],[I. Nợ ngắn hạn]])/Table1[[#This Row],[TỔNG CỘNG TÀI SẢN]]</f>
        <v>#DIV/0!</v>
      </c>
      <c r="R1380" s="18" t="e">
        <f>Table1[[#This Row],[- LNST chưa phân phối kỳ này]]/Table1[[#This Row],[TỔNG CỘNG TÀI SẢN]]</f>
        <v>#DIV/0!</v>
      </c>
      <c r="S1380" s="21" t="e">
        <f>Table1[[#This Row],[5. Lợi nhuận gộp về bán hàng và cung cấp dịch vụ]]/Table1[[#This Row],[TỔNG CỘNG TÀI SẢN]]</f>
        <v>#DIV/0!</v>
      </c>
      <c r="T138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380" s="23" t="e">
        <f>Table1[[#This Row],[1. Doanh thu bán hàng và cung cấp dịch vụ ]]/Table1[[#This Row],[TỔNG CỘNG TÀI SẢN]]</f>
        <v>#DIV/0!</v>
      </c>
      <c r="V1380" s="23" t="e">
        <f>1.2*Table1[[#This Row],[X1]] + 1.4*Table1[[#This Row],[X2]] + 3.3*Table1[[#This Row],[x3]] + 0.6*Table1[[#This Row],[x4]] + 1*Table1[[#This Row],[x5]]</f>
        <v>#DIV/0!</v>
      </c>
      <c r="W1380" s="23" t="e">
        <f>IF(Table1[[#This Row],[Zscore]]&lt;1.81,1,0)</f>
        <v>#DIV/0!</v>
      </c>
    </row>
    <row r="1381" spans="1:23" x14ac:dyDescent="0.45">
      <c r="A1381" s="7">
        <v>1375</v>
      </c>
      <c r="B1381" s="5" t="s">
        <v>2762</v>
      </c>
      <c r="C1381" s="6" t="s">
        <v>2763</v>
      </c>
      <c r="D1381" s="6" t="s">
        <v>21</v>
      </c>
      <c r="E1381" s="8">
        <v>23494955641108</v>
      </c>
      <c r="F1381" s="8">
        <v>1875355234980</v>
      </c>
      <c r="G1381" s="8">
        <v>2185072040046</v>
      </c>
      <c r="H1381" s="8">
        <v>510545830496</v>
      </c>
      <c r="I1381" s="8">
        <v>1646262527095</v>
      </c>
      <c r="J1381" s="8"/>
      <c r="K1381" s="8">
        <v>17323740085508</v>
      </c>
      <c r="L1381" s="8">
        <v>2706415504232</v>
      </c>
      <c r="M1381" s="8">
        <v>13403406167500</v>
      </c>
      <c r="N1381" s="8">
        <v>11051989046800</v>
      </c>
      <c r="O1381" s="8">
        <v>12188421148000</v>
      </c>
      <c r="P1381" s="8">
        <v>12014851859500</v>
      </c>
      <c r="Q1381" s="18">
        <f>(Table1[[#This Row],[A. TÀI SẢN NGẮN HẠN]]-Table1[[#This Row],[I. Nợ ngắn hạn]])/Table1[[#This Row],[TỔNG CỘNG TÀI SẢN]]</f>
        <v>-1.3182268134360863E-2</v>
      </c>
      <c r="R1381" s="18">
        <f>Table1[[#This Row],[- LNST chưa phân phối kỳ này]]/Table1[[#This Row],[TỔNG CỘNG TÀI SẢN]]</f>
        <v>2.1730018915325059E-2</v>
      </c>
      <c r="S1381" s="21">
        <f>Table1[[#This Row],[5. Lợi nhuận gộp về bán hàng và cung cấp dịch vụ]]/Table1[[#This Row],[TỔNG CỘNG TÀI SẢN]]</f>
        <v>7.0068765067792388E-2</v>
      </c>
      <c r="T138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0.70219634994560032</v>
      </c>
      <c r="U1381" s="23">
        <f>Table1[[#This Row],[1. Doanh thu bán hàng và cung cấp dịch vụ ]]/Table1[[#This Row],[TỔNG CỘNG TÀI SẢN]]</f>
        <v>0.1151913434344483</v>
      </c>
      <c r="V1381" s="23">
        <f>1.2*Table1[[#This Row],[X1]] + 1.4*Table1[[#This Row],[X2]] + 3.3*Table1[[#This Row],[x3]] + 0.6*Table1[[#This Row],[x4]] + 1*Table1[[#This Row],[x5]]</f>
        <v>0.78233938284574533</v>
      </c>
      <c r="W1381" s="23">
        <f>IF(Table1[[#This Row],[Zscore]]&lt;1.81,1,0)</f>
        <v>1</v>
      </c>
    </row>
    <row r="1382" spans="1:23" ht="26.25" x14ac:dyDescent="0.45">
      <c r="A1382" s="7">
        <v>1376</v>
      </c>
      <c r="B1382" s="5" t="s">
        <v>2764</v>
      </c>
      <c r="C1382" s="6" t="s">
        <v>2765</v>
      </c>
      <c r="D1382" s="6" t="s">
        <v>21</v>
      </c>
      <c r="E1382" s="8">
        <v>1418272930519</v>
      </c>
      <c r="F1382" s="8">
        <v>594914900180</v>
      </c>
      <c r="G1382" s="8">
        <v>504685109984</v>
      </c>
      <c r="H1382" s="8">
        <v>18926329984</v>
      </c>
      <c r="I1382" s="8">
        <v>833434569</v>
      </c>
      <c r="J1382" s="8"/>
      <c r="K1382" s="8">
        <v>722286902979</v>
      </c>
      <c r="L1382" s="8">
        <v>49592079625</v>
      </c>
      <c r="M1382" s="8">
        <v>163245807000</v>
      </c>
      <c r="N1382" s="8">
        <v>314647281000</v>
      </c>
      <c r="O1382" s="8">
        <v>208563255000</v>
      </c>
      <c r="P1382" s="8">
        <v>267784920000</v>
      </c>
      <c r="Q1382" s="18">
        <f>(Table1[[#This Row],[A. TÀI SẢN NGẮN HẠN]]-Table1[[#This Row],[I. Nợ ngắn hạn]])/Table1[[#This Row],[TỔNG CỘNG TÀI SẢN]]</f>
        <v>6.3619482720424961E-2</v>
      </c>
      <c r="R1382" s="18">
        <f>Table1[[#This Row],[- LNST chưa phân phối kỳ này]]/Table1[[#This Row],[TỔNG CỘNG TÀI SẢN]]</f>
        <v>1.3344631753688012E-2</v>
      </c>
      <c r="S1382" s="21">
        <f>Table1[[#This Row],[5. Lợi nhuận gộp về bán hàng và cung cấp dịch vụ]]/Table1[[#This Row],[TỔNG CỘNG TÀI SẢN]]</f>
        <v>5.8764046825247841E-4</v>
      </c>
      <c r="T138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0.33028470371826191</v>
      </c>
      <c r="U1382" s="23">
        <f>Table1[[#This Row],[1. Doanh thu bán hàng và cung cấp dịch vụ ]]/Table1[[#This Row],[TỔNG CỘNG TÀI SẢN]]</f>
        <v>3.4966527639255139E-2</v>
      </c>
      <c r="V1382" s="23">
        <f>1.2*Table1[[#This Row],[X1]] + 1.4*Table1[[#This Row],[X2]] + 3.3*Table1[[#This Row],[x3]] + 0.6*Table1[[#This Row],[x4]] + 1*Table1[[#This Row],[x5]]</f>
        <v>0.33010242713511861</v>
      </c>
      <c r="W1382" s="23">
        <f>IF(Table1[[#This Row],[Zscore]]&lt;1.81,1,0)</f>
        <v>1</v>
      </c>
    </row>
    <row r="1383" spans="1:23" ht="26.25" hidden="1" x14ac:dyDescent="0.45">
      <c r="A1383" s="7">
        <v>1377</v>
      </c>
      <c r="B1383" s="5" t="s">
        <v>2766</v>
      </c>
      <c r="C1383" s="6" t="s">
        <v>2767</v>
      </c>
      <c r="D1383" s="6" t="s">
        <v>13</v>
      </c>
      <c r="E1383" s="6"/>
      <c r="F1383" s="6"/>
      <c r="G1383" s="6"/>
      <c r="H1383" s="6"/>
      <c r="I1383" s="6"/>
      <c r="J1383" s="8"/>
      <c r="K1383" s="6"/>
      <c r="L1383" s="6"/>
      <c r="M1383" s="8"/>
      <c r="N1383" s="8"/>
      <c r="O1383" s="8"/>
      <c r="P1383" s="8"/>
      <c r="Q1383" s="18" t="e">
        <f>(Table1[[#This Row],[A. TÀI SẢN NGẮN HẠN]]-Table1[[#This Row],[I. Nợ ngắn hạn]])/Table1[[#This Row],[TỔNG CỘNG TÀI SẢN]]</f>
        <v>#DIV/0!</v>
      </c>
      <c r="R1383" s="18" t="e">
        <f>Table1[[#This Row],[- LNST chưa phân phối kỳ này]]/Table1[[#This Row],[TỔNG CỘNG TÀI SẢN]]</f>
        <v>#DIV/0!</v>
      </c>
      <c r="S1383" s="21" t="e">
        <f>Table1[[#This Row],[5. Lợi nhuận gộp về bán hàng và cung cấp dịch vụ]]/Table1[[#This Row],[TỔNG CỘNG TÀI SẢN]]</f>
        <v>#DIV/0!</v>
      </c>
      <c r="T138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383" s="23" t="e">
        <f>Table1[[#This Row],[1. Doanh thu bán hàng và cung cấp dịch vụ ]]/Table1[[#This Row],[TỔNG CỘNG TÀI SẢN]]</f>
        <v>#DIV/0!</v>
      </c>
      <c r="V1383" s="23" t="e">
        <f>1.2*Table1[[#This Row],[X1]] + 1.4*Table1[[#This Row],[X2]] + 3.3*Table1[[#This Row],[x3]] + 0.6*Table1[[#This Row],[x4]] + 1*Table1[[#This Row],[x5]]</f>
        <v>#DIV/0!</v>
      </c>
      <c r="W1383" s="23" t="e">
        <f>IF(Table1[[#This Row],[Zscore]]&lt;1.81,1,0)</f>
        <v>#DIV/0!</v>
      </c>
    </row>
    <row r="1384" spans="1:23" ht="26.25" x14ac:dyDescent="0.45">
      <c r="A1384" s="7">
        <v>1378</v>
      </c>
      <c r="B1384" s="5" t="s">
        <v>2768</v>
      </c>
      <c r="C1384" s="6" t="s">
        <v>2769</v>
      </c>
      <c r="D1384" s="6" t="s">
        <v>36</v>
      </c>
      <c r="E1384" s="8">
        <v>1363329336458</v>
      </c>
      <c r="F1384" s="8">
        <v>690210565551</v>
      </c>
      <c r="G1384" s="8">
        <v>518700387002</v>
      </c>
      <c r="H1384" s="8">
        <v>122578971233</v>
      </c>
      <c r="I1384" s="8">
        <v>318597667139</v>
      </c>
      <c r="J1384" s="8"/>
      <c r="K1384" s="8">
        <v>535146887002</v>
      </c>
      <c r="L1384" s="8">
        <v>1528203448886</v>
      </c>
      <c r="M1384" s="8">
        <v>1080000000000</v>
      </c>
      <c r="N1384" s="8">
        <v>1687680000000</v>
      </c>
      <c r="O1384" s="8">
        <v>1036800000000</v>
      </c>
      <c r="P1384" s="8">
        <v>1350720000000</v>
      </c>
      <c r="Q1384" s="18">
        <f>(Table1[[#This Row],[A. TÀI SẢN NGẮN HẠN]]-Table1[[#This Row],[I. Nợ ngắn hạn]])/Table1[[#This Row],[TỔNG CỘNG TÀI SẢN]]</f>
        <v>0.12580245576948582</v>
      </c>
      <c r="R1384" s="18">
        <f>Table1[[#This Row],[- LNST chưa phân phối kỳ này]]/Table1[[#This Row],[TỔNG CỘNG TÀI SẢN]]</f>
        <v>8.9911489436196312E-2</v>
      </c>
      <c r="S1384" s="21">
        <f>Table1[[#This Row],[5. Lợi nhuận gộp về bán hàng và cung cấp dịch vụ]]/Table1[[#This Row],[TỔNG CỘNG TÀI SẢN]]</f>
        <v>0.2336909055054395</v>
      </c>
      <c r="T138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2.408310748512648</v>
      </c>
      <c r="U1384" s="23">
        <f>Table1[[#This Row],[1. Doanh thu bán hàng và cung cấp dịch vụ ]]/Table1[[#This Row],[TỔNG CỘNG TÀI SẢN]]</f>
        <v>1.1209349113372353</v>
      </c>
      <c r="V1384" s="23">
        <f>1.2*Table1[[#This Row],[X1]] + 1.4*Table1[[#This Row],[X2]] + 3.3*Table1[[#This Row],[x3]] + 0.6*Table1[[#This Row],[x4]] + 1*Table1[[#This Row],[x5]]</f>
        <v>3.6139403807468318</v>
      </c>
      <c r="W1384" s="23">
        <f>IF(Table1[[#This Row],[Zscore]]&lt;1.81,1,0)</f>
        <v>0</v>
      </c>
    </row>
    <row r="1385" spans="1:23" hidden="1" x14ac:dyDescent="0.45">
      <c r="A1385" s="7">
        <v>1379</v>
      </c>
      <c r="B1385" s="5" t="s">
        <v>2770</v>
      </c>
      <c r="C1385" s="6" t="s">
        <v>2771</v>
      </c>
      <c r="D1385" s="6" t="s">
        <v>13</v>
      </c>
      <c r="E1385" s="6"/>
      <c r="F1385" s="6"/>
      <c r="G1385" s="6"/>
      <c r="H1385" s="6"/>
      <c r="I1385" s="6"/>
      <c r="J1385" s="8"/>
      <c r="K1385" s="6"/>
      <c r="L1385" s="6"/>
      <c r="M1385" s="8"/>
      <c r="N1385" s="8"/>
      <c r="O1385" s="8"/>
      <c r="P1385" s="8"/>
      <c r="Q1385" s="18" t="e">
        <f>(Table1[[#This Row],[A. TÀI SẢN NGẮN HẠN]]-Table1[[#This Row],[I. Nợ ngắn hạn]])/Table1[[#This Row],[TỔNG CỘNG TÀI SẢN]]</f>
        <v>#DIV/0!</v>
      </c>
      <c r="R1385" s="18" t="e">
        <f>Table1[[#This Row],[- LNST chưa phân phối kỳ này]]/Table1[[#This Row],[TỔNG CỘNG TÀI SẢN]]</f>
        <v>#DIV/0!</v>
      </c>
      <c r="S1385" s="21" t="e">
        <f>Table1[[#This Row],[5. Lợi nhuận gộp về bán hàng và cung cấp dịch vụ]]/Table1[[#This Row],[TỔNG CỘNG TÀI SẢN]]</f>
        <v>#DIV/0!</v>
      </c>
      <c r="T138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385" s="23" t="e">
        <f>Table1[[#This Row],[1. Doanh thu bán hàng và cung cấp dịch vụ ]]/Table1[[#This Row],[TỔNG CỘNG TÀI SẢN]]</f>
        <v>#DIV/0!</v>
      </c>
      <c r="V1385" s="23" t="e">
        <f>1.2*Table1[[#This Row],[X1]] + 1.4*Table1[[#This Row],[X2]] + 3.3*Table1[[#This Row],[x3]] + 0.6*Table1[[#This Row],[x4]] + 1*Table1[[#This Row],[x5]]</f>
        <v>#DIV/0!</v>
      </c>
      <c r="W1385" s="23" t="e">
        <f>IF(Table1[[#This Row],[Zscore]]&lt;1.81,1,0)</f>
        <v>#DIV/0!</v>
      </c>
    </row>
    <row r="1386" spans="1:23" x14ac:dyDescent="0.45">
      <c r="A1386" s="7">
        <v>1380</v>
      </c>
      <c r="B1386" s="5" t="s">
        <v>2772</v>
      </c>
      <c r="C1386" s="6" t="s">
        <v>2773</v>
      </c>
      <c r="D1386" s="6" t="s">
        <v>21</v>
      </c>
      <c r="E1386" s="8">
        <v>3276325195014</v>
      </c>
      <c r="F1386" s="8">
        <v>2223098558168</v>
      </c>
      <c r="G1386" s="8">
        <v>733258201342</v>
      </c>
      <c r="H1386" s="8">
        <v>292457204850</v>
      </c>
      <c r="I1386" s="8">
        <v>368311771189</v>
      </c>
      <c r="J1386" s="8"/>
      <c r="K1386" s="8">
        <v>1439661544026</v>
      </c>
      <c r="L1386" s="8">
        <v>690685976646</v>
      </c>
      <c r="M1386" s="8">
        <v>1730415546000</v>
      </c>
      <c r="N1386" s="8">
        <v>1442846488500</v>
      </c>
      <c r="O1386" s="8">
        <v>1612887322500</v>
      </c>
      <c r="P1386" s="8">
        <v>1532868106500</v>
      </c>
      <c r="Q1386" s="18">
        <f>(Table1[[#This Row],[A. TÀI SẢN NGẮN HẠN]]-Table1[[#This Row],[I. Nợ ngắn hạn]])/Table1[[#This Row],[TỔNG CỘNG TÀI SẢN]]</f>
        <v>0.45472908461384698</v>
      </c>
      <c r="R1386" s="18">
        <f>Table1[[#This Row],[- LNST chưa phân phối kỳ này]]/Table1[[#This Row],[TỔNG CỘNG TÀI SẢN]]</f>
        <v>8.9263790204668708E-2</v>
      </c>
      <c r="S1386" s="21">
        <f>Table1[[#This Row],[5. Lợi nhuận gộp về bán hàng và cung cấp dịch vụ]]/Table1[[#This Row],[TỔNG CỘNG TÀI SẢN]]</f>
        <v>0.11241612149780088</v>
      </c>
      <c r="T138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1.097309553367128</v>
      </c>
      <c r="U1386" s="23">
        <f>Table1[[#This Row],[1. Doanh thu bán hàng và cung cấp dịch vụ ]]/Table1[[#This Row],[TỔNG CỘNG TÀI SẢN]]</f>
        <v>0.21081117884668607</v>
      </c>
      <c r="V1386" s="23">
        <f>1.2*Table1[[#This Row],[X1]] + 1.4*Table1[[#This Row],[X2]] + 3.3*Table1[[#This Row],[x3]] + 0.6*Table1[[#This Row],[x4]] + 1*Table1[[#This Row],[x5]]</f>
        <v>1.9108143196328582</v>
      </c>
      <c r="W1386" s="23">
        <f>IF(Table1[[#This Row],[Zscore]]&lt;1.81,1,0)</f>
        <v>0</v>
      </c>
    </row>
    <row r="1387" spans="1:23" hidden="1" x14ac:dyDescent="0.45">
      <c r="A1387" s="7">
        <v>1381</v>
      </c>
      <c r="B1387" s="5" t="s">
        <v>2774</v>
      </c>
      <c r="C1387" s="6" t="s">
        <v>2775</v>
      </c>
      <c r="D1387" s="6" t="s">
        <v>13</v>
      </c>
      <c r="E1387" s="6"/>
      <c r="F1387" s="6"/>
      <c r="G1387" s="6"/>
      <c r="H1387" s="6"/>
      <c r="I1387" s="6"/>
      <c r="J1387" s="8"/>
      <c r="K1387" s="6"/>
      <c r="L1387" s="6"/>
      <c r="M1387" s="8"/>
      <c r="N1387" s="8"/>
      <c r="O1387" s="8"/>
      <c r="P1387" s="8"/>
      <c r="Q1387" s="18" t="e">
        <f>(Table1[[#This Row],[A. TÀI SẢN NGẮN HẠN]]-Table1[[#This Row],[I. Nợ ngắn hạn]])/Table1[[#This Row],[TỔNG CỘNG TÀI SẢN]]</f>
        <v>#DIV/0!</v>
      </c>
      <c r="R1387" s="18" t="e">
        <f>Table1[[#This Row],[- LNST chưa phân phối kỳ này]]/Table1[[#This Row],[TỔNG CỘNG TÀI SẢN]]</f>
        <v>#DIV/0!</v>
      </c>
      <c r="S1387" s="21" t="e">
        <f>Table1[[#This Row],[5. Lợi nhuận gộp về bán hàng và cung cấp dịch vụ]]/Table1[[#This Row],[TỔNG CỘNG TÀI SẢN]]</f>
        <v>#DIV/0!</v>
      </c>
      <c r="T138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387" s="23" t="e">
        <f>Table1[[#This Row],[1. Doanh thu bán hàng và cung cấp dịch vụ ]]/Table1[[#This Row],[TỔNG CỘNG TÀI SẢN]]</f>
        <v>#DIV/0!</v>
      </c>
      <c r="V1387" s="23" t="e">
        <f>1.2*Table1[[#This Row],[X1]] + 1.4*Table1[[#This Row],[X2]] + 3.3*Table1[[#This Row],[x3]] + 0.6*Table1[[#This Row],[x4]] + 1*Table1[[#This Row],[x5]]</f>
        <v>#DIV/0!</v>
      </c>
      <c r="W1387" s="23" t="e">
        <f>IF(Table1[[#This Row],[Zscore]]&lt;1.81,1,0)</f>
        <v>#DIV/0!</v>
      </c>
    </row>
    <row r="1388" spans="1:23" x14ac:dyDescent="0.45">
      <c r="A1388" s="7">
        <v>1382</v>
      </c>
      <c r="B1388" s="5" t="s">
        <v>2776</v>
      </c>
      <c r="C1388" s="6" t="s">
        <v>2777</v>
      </c>
      <c r="D1388" s="6" t="s">
        <v>18</v>
      </c>
      <c r="E1388" s="8">
        <v>5409024640577</v>
      </c>
      <c r="F1388" s="8">
        <v>2432404222093</v>
      </c>
      <c r="G1388" s="8">
        <v>3791331625023</v>
      </c>
      <c r="H1388" s="8">
        <v>82816133895</v>
      </c>
      <c r="I1388" s="8">
        <v>243211910886</v>
      </c>
      <c r="J1388" s="8"/>
      <c r="K1388" s="8">
        <v>4833747794145</v>
      </c>
      <c r="L1388" s="8">
        <v>2277601100494</v>
      </c>
      <c r="M1388" s="8">
        <v>3600000000000</v>
      </c>
      <c r="N1388" s="8">
        <v>2277000000000</v>
      </c>
      <c r="O1388" s="8">
        <v>2925000000000</v>
      </c>
      <c r="P1388" s="8">
        <v>2511000000000</v>
      </c>
      <c r="Q1388" s="18">
        <f>(Table1[[#This Row],[A. TÀI SẢN NGẮN HẠN]]-Table1[[#This Row],[I. Nợ ngắn hạn]])/Table1[[#This Row],[TỔNG CỘNG TÀI SẢN]]</f>
        <v>-0.25123335411262582</v>
      </c>
      <c r="R1388" s="18">
        <f>Table1[[#This Row],[- LNST chưa phân phối kỳ này]]/Table1[[#This Row],[TỔNG CỘNG TÀI SẢN]]</f>
        <v>1.5310733338823487E-2</v>
      </c>
      <c r="S1388" s="21">
        <f>Table1[[#This Row],[5. Lợi nhuận gộp về bán hàng và cung cấp dịch vụ]]/Table1[[#This Row],[TỔNG CỘNG TÀI SẢN]]</f>
        <v>4.496409741998434E-2</v>
      </c>
      <c r="T138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0.58510499936008031</v>
      </c>
      <c r="U1388" s="23">
        <f>Table1[[#This Row],[1. Doanh thu bán hàng và cung cấp dịch vụ ]]/Table1[[#This Row],[TỔNG CỘNG TÀI SẢN]]</f>
        <v>0.42107426973211942</v>
      </c>
      <c r="V1388" s="23">
        <f>1.2*Table1[[#This Row],[X1]] + 1.4*Table1[[#This Row],[X2]] + 3.3*Table1[[#This Row],[x3]] + 0.6*Table1[[#This Row],[x4]] + 1*Table1[[#This Row],[x5]]</f>
        <v>0.64047379257331782</v>
      </c>
      <c r="W1388" s="23">
        <f>IF(Table1[[#This Row],[Zscore]]&lt;1.81,1,0)</f>
        <v>1</v>
      </c>
    </row>
    <row r="1389" spans="1:23" hidden="1" x14ac:dyDescent="0.45">
      <c r="A1389" s="7">
        <v>1383</v>
      </c>
      <c r="B1389" s="5" t="s">
        <v>2778</v>
      </c>
      <c r="C1389" s="6" t="s">
        <v>2779</v>
      </c>
      <c r="D1389" s="6" t="s">
        <v>13</v>
      </c>
      <c r="E1389" s="6"/>
      <c r="F1389" s="6"/>
      <c r="G1389" s="6"/>
      <c r="H1389" s="6"/>
      <c r="I1389" s="6"/>
      <c r="J1389" s="8"/>
      <c r="K1389" s="6"/>
      <c r="L1389" s="6"/>
      <c r="M1389" s="8"/>
      <c r="N1389" s="8"/>
      <c r="O1389" s="8"/>
      <c r="P1389" s="8"/>
      <c r="Q1389" s="18" t="e">
        <f>(Table1[[#This Row],[A. TÀI SẢN NGẮN HẠN]]-Table1[[#This Row],[I. Nợ ngắn hạn]])/Table1[[#This Row],[TỔNG CỘNG TÀI SẢN]]</f>
        <v>#DIV/0!</v>
      </c>
      <c r="R1389" s="18" t="e">
        <f>Table1[[#This Row],[- LNST chưa phân phối kỳ này]]/Table1[[#This Row],[TỔNG CỘNG TÀI SẢN]]</f>
        <v>#DIV/0!</v>
      </c>
      <c r="S1389" s="21" t="e">
        <f>Table1[[#This Row],[5. Lợi nhuận gộp về bán hàng và cung cấp dịch vụ]]/Table1[[#This Row],[TỔNG CỘNG TÀI SẢN]]</f>
        <v>#DIV/0!</v>
      </c>
      <c r="T138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389" s="23" t="e">
        <f>Table1[[#This Row],[1. Doanh thu bán hàng và cung cấp dịch vụ ]]/Table1[[#This Row],[TỔNG CỘNG TÀI SẢN]]</f>
        <v>#DIV/0!</v>
      </c>
      <c r="V1389" s="23" t="e">
        <f>1.2*Table1[[#This Row],[X1]] + 1.4*Table1[[#This Row],[X2]] + 3.3*Table1[[#This Row],[x3]] + 0.6*Table1[[#This Row],[x4]] + 1*Table1[[#This Row],[x5]]</f>
        <v>#DIV/0!</v>
      </c>
      <c r="W1389" s="23" t="e">
        <f>IF(Table1[[#This Row],[Zscore]]&lt;1.81,1,0)</f>
        <v>#DIV/0!</v>
      </c>
    </row>
    <row r="1390" spans="1:23" hidden="1" x14ac:dyDescent="0.45">
      <c r="A1390" s="7">
        <v>1384</v>
      </c>
      <c r="B1390" s="5" t="s">
        <v>2780</v>
      </c>
      <c r="C1390" s="6" t="s">
        <v>2781</v>
      </c>
      <c r="D1390" s="6" t="s">
        <v>13</v>
      </c>
      <c r="E1390" s="6"/>
      <c r="F1390" s="6"/>
      <c r="G1390" s="6"/>
      <c r="H1390" s="6"/>
      <c r="I1390" s="6"/>
      <c r="J1390" s="8"/>
      <c r="K1390" s="6"/>
      <c r="L1390" s="6"/>
      <c r="M1390" s="8"/>
      <c r="N1390" s="8"/>
      <c r="O1390" s="8"/>
      <c r="P1390" s="8"/>
      <c r="Q1390" s="18" t="e">
        <f>(Table1[[#This Row],[A. TÀI SẢN NGẮN HẠN]]-Table1[[#This Row],[I. Nợ ngắn hạn]])/Table1[[#This Row],[TỔNG CỘNG TÀI SẢN]]</f>
        <v>#DIV/0!</v>
      </c>
      <c r="R1390" s="18" t="e">
        <f>Table1[[#This Row],[- LNST chưa phân phối kỳ này]]/Table1[[#This Row],[TỔNG CỘNG TÀI SẢN]]</f>
        <v>#DIV/0!</v>
      </c>
      <c r="S1390" s="21" t="e">
        <f>Table1[[#This Row],[5. Lợi nhuận gộp về bán hàng và cung cấp dịch vụ]]/Table1[[#This Row],[TỔNG CỘNG TÀI SẢN]]</f>
        <v>#DIV/0!</v>
      </c>
      <c r="T139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390" s="23" t="e">
        <f>Table1[[#This Row],[1. Doanh thu bán hàng và cung cấp dịch vụ ]]/Table1[[#This Row],[TỔNG CỘNG TÀI SẢN]]</f>
        <v>#DIV/0!</v>
      </c>
      <c r="V1390" s="23" t="e">
        <f>1.2*Table1[[#This Row],[X1]] + 1.4*Table1[[#This Row],[X2]] + 3.3*Table1[[#This Row],[x3]] + 0.6*Table1[[#This Row],[x4]] + 1*Table1[[#This Row],[x5]]</f>
        <v>#DIV/0!</v>
      </c>
      <c r="W1390" s="23" t="e">
        <f>IF(Table1[[#This Row],[Zscore]]&lt;1.81,1,0)</f>
        <v>#DIV/0!</v>
      </c>
    </row>
    <row r="1391" spans="1:23" hidden="1" x14ac:dyDescent="0.45">
      <c r="A1391" s="7">
        <v>1385</v>
      </c>
      <c r="B1391" s="5" t="s">
        <v>2782</v>
      </c>
      <c r="C1391" s="6" t="s">
        <v>2783</v>
      </c>
      <c r="D1391" s="6" t="s">
        <v>13</v>
      </c>
      <c r="E1391" s="6"/>
      <c r="F1391" s="6"/>
      <c r="G1391" s="6"/>
      <c r="H1391" s="6"/>
      <c r="I1391" s="6"/>
      <c r="J1391" s="8"/>
      <c r="K1391" s="6"/>
      <c r="L1391" s="6"/>
      <c r="M1391" s="8"/>
      <c r="N1391" s="8"/>
      <c r="O1391" s="8"/>
      <c r="P1391" s="8"/>
      <c r="Q1391" s="18" t="e">
        <f>(Table1[[#This Row],[A. TÀI SẢN NGẮN HẠN]]-Table1[[#This Row],[I. Nợ ngắn hạn]])/Table1[[#This Row],[TỔNG CỘNG TÀI SẢN]]</f>
        <v>#DIV/0!</v>
      </c>
      <c r="R1391" s="18" t="e">
        <f>Table1[[#This Row],[- LNST chưa phân phối kỳ này]]/Table1[[#This Row],[TỔNG CỘNG TÀI SẢN]]</f>
        <v>#DIV/0!</v>
      </c>
      <c r="S1391" s="21" t="e">
        <f>Table1[[#This Row],[5. Lợi nhuận gộp về bán hàng và cung cấp dịch vụ]]/Table1[[#This Row],[TỔNG CỘNG TÀI SẢN]]</f>
        <v>#DIV/0!</v>
      </c>
      <c r="T139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391" s="23" t="e">
        <f>Table1[[#This Row],[1. Doanh thu bán hàng và cung cấp dịch vụ ]]/Table1[[#This Row],[TỔNG CỘNG TÀI SẢN]]</f>
        <v>#DIV/0!</v>
      </c>
      <c r="V1391" s="23" t="e">
        <f>1.2*Table1[[#This Row],[X1]] + 1.4*Table1[[#This Row],[X2]] + 3.3*Table1[[#This Row],[x3]] + 0.6*Table1[[#This Row],[x4]] + 1*Table1[[#This Row],[x5]]</f>
        <v>#DIV/0!</v>
      </c>
      <c r="W1391" s="23" t="e">
        <f>IF(Table1[[#This Row],[Zscore]]&lt;1.81,1,0)</f>
        <v>#DIV/0!</v>
      </c>
    </row>
    <row r="1392" spans="1:23" hidden="1" x14ac:dyDescent="0.45">
      <c r="A1392" s="7">
        <v>1386</v>
      </c>
      <c r="B1392" s="5" t="s">
        <v>2784</v>
      </c>
      <c r="C1392" s="6" t="s">
        <v>2785</v>
      </c>
      <c r="D1392" s="6" t="s">
        <v>13</v>
      </c>
      <c r="E1392" s="6"/>
      <c r="F1392" s="6"/>
      <c r="G1392" s="6"/>
      <c r="H1392" s="6"/>
      <c r="I1392" s="6"/>
      <c r="J1392" s="8"/>
      <c r="K1392" s="6"/>
      <c r="L1392" s="6"/>
      <c r="M1392" s="8"/>
      <c r="N1392" s="8"/>
      <c r="O1392" s="8"/>
      <c r="P1392" s="8"/>
      <c r="Q1392" s="18" t="e">
        <f>(Table1[[#This Row],[A. TÀI SẢN NGẮN HẠN]]-Table1[[#This Row],[I. Nợ ngắn hạn]])/Table1[[#This Row],[TỔNG CỘNG TÀI SẢN]]</f>
        <v>#DIV/0!</v>
      </c>
      <c r="R1392" s="18" t="e">
        <f>Table1[[#This Row],[- LNST chưa phân phối kỳ này]]/Table1[[#This Row],[TỔNG CỘNG TÀI SẢN]]</f>
        <v>#DIV/0!</v>
      </c>
      <c r="S1392" s="21" t="e">
        <f>Table1[[#This Row],[5. Lợi nhuận gộp về bán hàng và cung cấp dịch vụ]]/Table1[[#This Row],[TỔNG CỘNG TÀI SẢN]]</f>
        <v>#DIV/0!</v>
      </c>
      <c r="T139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392" s="23" t="e">
        <f>Table1[[#This Row],[1. Doanh thu bán hàng và cung cấp dịch vụ ]]/Table1[[#This Row],[TỔNG CỘNG TÀI SẢN]]</f>
        <v>#DIV/0!</v>
      </c>
      <c r="V1392" s="23" t="e">
        <f>1.2*Table1[[#This Row],[X1]] + 1.4*Table1[[#This Row],[X2]] + 3.3*Table1[[#This Row],[x3]] + 0.6*Table1[[#This Row],[x4]] + 1*Table1[[#This Row],[x5]]</f>
        <v>#DIV/0!</v>
      </c>
      <c r="W1392" s="23" t="e">
        <f>IF(Table1[[#This Row],[Zscore]]&lt;1.81,1,0)</f>
        <v>#DIV/0!</v>
      </c>
    </row>
    <row r="1393" spans="1:23" ht="26.25" hidden="1" x14ac:dyDescent="0.45">
      <c r="A1393" s="7">
        <v>1387</v>
      </c>
      <c r="B1393" s="5" t="s">
        <v>2786</v>
      </c>
      <c r="C1393" s="6" t="s">
        <v>2787</v>
      </c>
      <c r="D1393" s="6" t="s">
        <v>13</v>
      </c>
      <c r="E1393" s="6"/>
      <c r="F1393" s="6"/>
      <c r="G1393" s="6"/>
      <c r="H1393" s="6"/>
      <c r="I1393" s="6"/>
      <c r="J1393" s="8"/>
      <c r="K1393" s="6"/>
      <c r="L1393" s="6"/>
      <c r="M1393" s="8"/>
      <c r="N1393" s="8"/>
      <c r="O1393" s="8"/>
      <c r="P1393" s="8"/>
      <c r="Q1393" s="18" t="e">
        <f>(Table1[[#This Row],[A. TÀI SẢN NGẮN HẠN]]-Table1[[#This Row],[I. Nợ ngắn hạn]])/Table1[[#This Row],[TỔNG CỘNG TÀI SẢN]]</f>
        <v>#DIV/0!</v>
      </c>
      <c r="R1393" s="18" t="e">
        <f>Table1[[#This Row],[- LNST chưa phân phối kỳ này]]/Table1[[#This Row],[TỔNG CỘNG TÀI SẢN]]</f>
        <v>#DIV/0!</v>
      </c>
      <c r="S1393" s="21" t="e">
        <f>Table1[[#This Row],[5. Lợi nhuận gộp về bán hàng và cung cấp dịch vụ]]/Table1[[#This Row],[TỔNG CỘNG TÀI SẢN]]</f>
        <v>#DIV/0!</v>
      </c>
      <c r="T139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393" s="23" t="e">
        <f>Table1[[#This Row],[1. Doanh thu bán hàng và cung cấp dịch vụ ]]/Table1[[#This Row],[TỔNG CỘNG TÀI SẢN]]</f>
        <v>#DIV/0!</v>
      </c>
      <c r="V1393" s="23" t="e">
        <f>1.2*Table1[[#This Row],[X1]] + 1.4*Table1[[#This Row],[X2]] + 3.3*Table1[[#This Row],[x3]] + 0.6*Table1[[#This Row],[x4]] + 1*Table1[[#This Row],[x5]]</f>
        <v>#DIV/0!</v>
      </c>
      <c r="W1393" s="23" t="e">
        <f>IF(Table1[[#This Row],[Zscore]]&lt;1.81,1,0)</f>
        <v>#DIV/0!</v>
      </c>
    </row>
    <row r="1394" spans="1:23" x14ac:dyDescent="0.45">
      <c r="A1394" s="7">
        <v>1388</v>
      </c>
      <c r="B1394" s="5" t="s">
        <v>2788</v>
      </c>
      <c r="C1394" s="6" t="s">
        <v>2789</v>
      </c>
      <c r="D1394" s="6" t="s">
        <v>36</v>
      </c>
      <c r="E1394" s="8">
        <v>7687966650177</v>
      </c>
      <c r="F1394" s="8">
        <v>4748189999735</v>
      </c>
      <c r="G1394" s="8">
        <v>4151945849844</v>
      </c>
      <c r="H1394" s="8">
        <v>22726453904</v>
      </c>
      <c r="I1394" s="8">
        <v>204963770380</v>
      </c>
      <c r="J1394" s="8"/>
      <c r="K1394" s="8">
        <v>6353610269758</v>
      </c>
      <c r="L1394" s="8">
        <v>4661809579422</v>
      </c>
      <c r="M1394" s="8">
        <v>282661983000</v>
      </c>
      <c r="N1394" s="8">
        <v>386304710100</v>
      </c>
      <c r="O1394" s="8">
        <v>301506115200</v>
      </c>
      <c r="P1394" s="8">
        <v>471103305000</v>
      </c>
      <c r="Q1394" s="18">
        <f>(Table1[[#This Row],[A. TÀI SẢN NGẮN HẠN]]-Table1[[#This Row],[I. Nợ ngắn hạn]])/Table1[[#This Row],[TỔNG CỘNG TÀI SẢN]]</f>
        <v>7.7555506809758687E-2</v>
      </c>
      <c r="R1394" s="18">
        <f>Table1[[#This Row],[- LNST chưa phân phối kỳ này]]/Table1[[#This Row],[TỔNG CỘNG TÀI SẢN]]</f>
        <v>2.9561072437114134E-3</v>
      </c>
      <c r="S1394" s="21">
        <f>Table1[[#This Row],[5. Lợi nhuận gộp về bán hàng và cung cấp dịch vụ]]/Table1[[#This Row],[TỔNG CỘNG TÀI SẢN]]</f>
        <v>2.666033552256384E-2</v>
      </c>
      <c r="T139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5.6722715593748071E-2</v>
      </c>
      <c r="U1394" s="23">
        <f>Table1[[#This Row],[1. Doanh thu bán hàng và cung cấp dịch vụ ]]/Table1[[#This Row],[TỔNG CỘNG TÀI SẢN]]</f>
        <v>0.6063774456298755</v>
      </c>
      <c r="V1394" s="23">
        <f>1.2*Table1[[#This Row],[X1]] + 1.4*Table1[[#This Row],[X2]] + 3.3*Table1[[#This Row],[x3]] + 0.6*Table1[[#This Row],[x4]] + 1*Table1[[#This Row],[x5]]</f>
        <v>0.82559534052349137</v>
      </c>
      <c r="W1394" s="23">
        <f>IF(Table1[[#This Row],[Zscore]]&lt;1.81,1,0)</f>
        <v>1</v>
      </c>
    </row>
    <row r="1395" spans="1:23" hidden="1" x14ac:dyDescent="0.45">
      <c r="A1395" s="7">
        <v>1389</v>
      </c>
      <c r="B1395" s="5" t="s">
        <v>2790</v>
      </c>
      <c r="C1395" s="6" t="s">
        <v>2791</v>
      </c>
      <c r="D1395" s="6" t="s">
        <v>13</v>
      </c>
      <c r="E1395" s="6"/>
      <c r="F1395" s="6"/>
      <c r="G1395" s="6"/>
      <c r="H1395" s="6"/>
      <c r="I1395" s="6"/>
      <c r="J1395" s="8"/>
      <c r="K1395" s="6"/>
      <c r="L1395" s="6"/>
      <c r="M1395" s="8"/>
      <c r="N1395" s="8"/>
      <c r="O1395" s="8"/>
      <c r="P1395" s="8"/>
      <c r="Q1395" s="18" t="e">
        <f>(Table1[[#This Row],[A. TÀI SẢN NGẮN HẠN]]-Table1[[#This Row],[I. Nợ ngắn hạn]])/Table1[[#This Row],[TỔNG CỘNG TÀI SẢN]]</f>
        <v>#DIV/0!</v>
      </c>
      <c r="R1395" s="18" t="e">
        <f>Table1[[#This Row],[- LNST chưa phân phối kỳ này]]/Table1[[#This Row],[TỔNG CỘNG TÀI SẢN]]</f>
        <v>#DIV/0!</v>
      </c>
      <c r="S1395" s="21" t="e">
        <f>Table1[[#This Row],[5. Lợi nhuận gộp về bán hàng và cung cấp dịch vụ]]/Table1[[#This Row],[TỔNG CỘNG TÀI SẢN]]</f>
        <v>#DIV/0!</v>
      </c>
      <c r="T139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395" s="23" t="e">
        <f>Table1[[#This Row],[1. Doanh thu bán hàng và cung cấp dịch vụ ]]/Table1[[#This Row],[TỔNG CỘNG TÀI SẢN]]</f>
        <v>#DIV/0!</v>
      </c>
      <c r="V1395" s="23" t="e">
        <f>1.2*Table1[[#This Row],[X1]] + 1.4*Table1[[#This Row],[X2]] + 3.3*Table1[[#This Row],[x3]] + 0.6*Table1[[#This Row],[x4]] + 1*Table1[[#This Row],[x5]]</f>
        <v>#DIV/0!</v>
      </c>
      <c r="W1395" s="23" t="e">
        <f>IF(Table1[[#This Row],[Zscore]]&lt;1.81,1,0)</f>
        <v>#DIV/0!</v>
      </c>
    </row>
    <row r="1396" spans="1:23" hidden="1" x14ac:dyDescent="0.45">
      <c r="A1396" s="7">
        <v>1390</v>
      </c>
      <c r="B1396" s="5" t="s">
        <v>2792</v>
      </c>
      <c r="C1396" s="6" t="s">
        <v>2793</v>
      </c>
      <c r="D1396" s="6" t="s">
        <v>13</v>
      </c>
      <c r="E1396" s="6"/>
      <c r="F1396" s="6"/>
      <c r="G1396" s="6"/>
      <c r="H1396" s="6"/>
      <c r="I1396" s="6"/>
      <c r="J1396" s="8"/>
      <c r="K1396" s="6"/>
      <c r="L1396" s="6"/>
      <c r="M1396" s="8"/>
      <c r="N1396" s="8"/>
      <c r="O1396" s="8"/>
      <c r="P1396" s="8"/>
      <c r="Q1396" s="18" t="e">
        <f>(Table1[[#This Row],[A. TÀI SẢN NGẮN HẠN]]-Table1[[#This Row],[I. Nợ ngắn hạn]])/Table1[[#This Row],[TỔNG CỘNG TÀI SẢN]]</f>
        <v>#DIV/0!</v>
      </c>
      <c r="R1396" s="18" t="e">
        <f>Table1[[#This Row],[- LNST chưa phân phối kỳ này]]/Table1[[#This Row],[TỔNG CỘNG TÀI SẢN]]</f>
        <v>#DIV/0!</v>
      </c>
      <c r="S1396" s="21" t="e">
        <f>Table1[[#This Row],[5. Lợi nhuận gộp về bán hàng và cung cấp dịch vụ]]/Table1[[#This Row],[TỔNG CỘNG TÀI SẢN]]</f>
        <v>#DIV/0!</v>
      </c>
      <c r="T139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396" s="23" t="e">
        <f>Table1[[#This Row],[1. Doanh thu bán hàng và cung cấp dịch vụ ]]/Table1[[#This Row],[TỔNG CỘNG TÀI SẢN]]</f>
        <v>#DIV/0!</v>
      </c>
      <c r="V1396" s="23" t="e">
        <f>1.2*Table1[[#This Row],[X1]] + 1.4*Table1[[#This Row],[X2]] + 3.3*Table1[[#This Row],[x3]] + 0.6*Table1[[#This Row],[x4]] + 1*Table1[[#This Row],[x5]]</f>
        <v>#DIV/0!</v>
      </c>
      <c r="W1396" s="23" t="e">
        <f>IF(Table1[[#This Row],[Zscore]]&lt;1.81,1,0)</f>
        <v>#DIV/0!</v>
      </c>
    </row>
    <row r="1397" spans="1:23" hidden="1" x14ac:dyDescent="0.45">
      <c r="A1397" s="7">
        <v>1391</v>
      </c>
      <c r="B1397" s="5" t="s">
        <v>2794</v>
      </c>
      <c r="C1397" s="6" t="s">
        <v>2795</v>
      </c>
      <c r="D1397" s="6" t="s">
        <v>13</v>
      </c>
      <c r="E1397" s="6"/>
      <c r="F1397" s="6"/>
      <c r="G1397" s="6"/>
      <c r="H1397" s="6"/>
      <c r="I1397" s="6"/>
      <c r="J1397" s="8"/>
      <c r="K1397" s="6"/>
      <c r="L1397" s="6"/>
      <c r="M1397" s="8"/>
      <c r="N1397" s="8"/>
      <c r="O1397" s="8"/>
      <c r="P1397" s="8"/>
      <c r="Q1397" s="18" t="e">
        <f>(Table1[[#This Row],[A. TÀI SẢN NGẮN HẠN]]-Table1[[#This Row],[I. Nợ ngắn hạn]])/Table1[[#This Row],[TỔNG CỘNG TÀI SẢN]]</f>
        <v>#DIV/0!</v>
      </c>
      <c r="R1397" s="18" t="e">
        <f>Table1[[#This Row],[- LNST chưa phân phối kỳ này]]/Table1[[#This Row],[TỔNG CỘNG TÀI SẢN]]</f>
        <v>#DIV/0!</v>
      </c>
      <c r="S1397" s="21" t="e">
        <f>Table1[[#This Row],[5. Lợi nhuận gộp về bán hàng và cung cấp dịch vụ]]/Table1[[#This Row],[TỔNG CỘNG TÀI SẢN]]</f>
        <v>#DIV/0!</v>
      </c>
      <c r="T139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397" s="23" t="e">
        <f>Table1[[#This Row],[1. Doanh thu bán hàng và cung cấp dịch vụ ]]/Table1[[#This Row],[TỔNG CỘNG TÀI SẢN]]</f>
        <v>#DIV/0!</v>
      </c>
      <c r="V1397" s="23" t="e">
        <f>1.2*Table1[[#This Row],[X1]] + 1.4*Table1[[#This Row],[X2]] + 3.3*Table1[[#This Row],[x3]] + 0.6*Table1[[#This Row],[x4]] + 1*Table1[[#This Row],[x5]]</f>
        <v>#DIV/0!</v>
      </c>
      <c r="W1397" s="23" t="e">
        <f>IF(Table1[[#This Row],[Zscore]]&lt;1.81,1,0)</f>
        <v>#DIV/0!</v>
      </c>
    </row>
    <row r="1398" spans="1:23" x14ac:dyDescent="0.45">
      <c r="A1398" s="7">
        <v>1392</v>
      </c>
      <c r="B1398" s="5" t="s">
        <v>2796</v>
      </c>
      <c r="C1398" s="6" t="s">
        <v>2797</v>
      </c>
      <c r="D1398" s="6" t="s">
        <v>21</v>
      </c>
      <c r="E1398" s="8">
        <v>1613291781669</v>
      </c>
      <c r="F1398" s="8">
        <v>1112998173533</v>
      </c>
      <c r="G1398" s="8">
        <v>566731355402</v>
      </c>
      <c r="H1398" s="8">
        <v>199810434119</v>
      </c>
      <c r="I1398" s="8">
        <v>666688812265</v>
      </c>
      <c r="J1398" s="8"/>
      <c r="K1398" s="8">
        <v>574785472947</v>
      </c>
      <c r="L1398" s="8">
        <v>3175678864829</v>
      </c>
      <c r="M1398" s="8">
        <v>2021760000000</v>
      </c>
      <c r="N1398" s="8">
        <v>2222640000000</v>
      </c>
      <c r="O1398" s="8">
        <v>1982880000000</v>
      </c>
      <c r="P1398" s="8">
        <v>2245320000000</v>
      </c>
      <c r="Q1398" s="18">
        <f>(Table1[[#This Row],[A. TÀI SẢN NGẮN HẠN]]-Table1[[#This Row],[I. Nợ ngắn hạn]])/Table1[[#This Row],[TỔNG CỘNG TÀI SẢN]]</f>
        <v>0.33860385600295451</v>
      </c>
      <c r="R1398" s="18">
        <f>Table1[[#This Row],[- LNST chưa phân phối kỳ này]]/Table1[[#This Row],[TỔNG CỘNG TÀI SẢN]]</f>
        <v>0.12385263248058573</v>
      </c>
      <c r="S1398" s="21">
        <f>Table1[[#This Row],[5. Lợi nhuận gộp về bán hàng và cung cấp dịch vụ]]/Table1[[#This Row],[TỔNG CỘNG TÀI SẢN]]</f>
        <v>0.41324751036374208</v>
      </c>
      <c r="T139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3.6851140115632517</v>
      </c>
      <c r="U1398" s="23">
        <f>Table1[[#This Row],[1. Doanh thu bán hàng và cung cấp dịch vụ ]]/Table1[[#This Row],[TỔNG CỘNG TÀI SẢN]]</f>
        <v>1.9684466882634599</v>
      </c>
      <c r="V1398" s="23">
        <f>1.2*Table1[[#This Row],[X1]] + 1.4*Table1[[#This Row],[X2]] + 3.3*Table1[[#This Row],[x3]] + 0.6*Table1[[#This Row],[x4]] + 1*Table1[[#This Row],[x5]]</f>
        <v>6.1229501920781244</v>
      </c>
      <c r="W1398" s="23">
        <f>IF(Table1[[#This Row],[Zscore]]&lt;1.81,1,0)</f>
        <v>0</v>
      </c>
    </row>
    <row r="1399" spans="1:23" hidden="1" x14ac:dyDescent="0.45">
      <c r="A1399" s="7">
        <v>1393</v>
      </c>
      <c r="B1399" s="5" t="s">
        <v>2798</v>
      </c>
      <c r="C1399" s="6" t="s">
        <v>2799</v>
      </c>
      <c r="D1399" s="6" t="s">
        <v>18</v>
      </c>
      <c r="E1399" s="8">
        <v>99239977068</v>
      </c>
      <c r="F1399" s="8">
        <v>41031168750</v>
      </c>
      <c r="G1399" s="8">
        <v>14127134123</v>
      </c>
      <c r="H1399" s="8">
        <v>12406128168</v>
      </c>
      <c r="I1399" s="8">
        <v>23756520101</v>
      </c>
      <c r="J1399" s="8"/>
      <c r="K1399" s="8">
        <v>14127134123</v>
      </c>
      <c r="L1399" s="8">
        <v>47325475755</v>
      </c>
      <c r="M1399" s="8"/>
      <c r="N1399" s="8"/>
      <c r="O1399" s="8"/>
      <c r="P1399" s="8"/>
      <c r="Q1399" s="18">
        <f>(Table1[[#This Row],[A. TÀI SẢN NGẮN HẠN]]-Table1[[#This Row],[I. Nợ ngắn hạn]])/Table1[[#This Row],[TỔNG CỘNG TÀI SẢN]]</f>
        <v>0.27110077432368962</v>
      </c>
      <c r="R1399" s="18">
        <f>Table1[[#This Row],[- LNST chưa phân phối kỳ này]]/Table1[[#This Row],[TỔNG CỘNG TÀI SẢN]]</f>
        <v>0.12501139696454408</v>
      </c>
      <c r="S1399" s="21">
        <f>Table1[[#This Row],[5. Lợi nhuận gộp về bán hàng và cung cấp dịch vụ]]/Table1[[#This Row],[TỔNG CỘNG TÀI SẢN]]</f>
        <v>0.23938457870382063</v>
      </c>
      <c r="T139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399" s="23">
        <f>Table1[[#This Row],[1. Doanh thu bán hàng và cung cấp dịch vụ ]]/Table1[[#This Row],[TỔNG CỘNG TÀI SẢN]]</f>
        <v>0.47687914843604023</v>
      </c>
      <c r="V1399" s="23" t="e">
        <f>1.2*Table1[[#This Row],[X1]] + 1.4*Table1[[#This Row],[X2]] + 3.3*Table1[[#This Row],[x3]] + 0.6*Table1[[#This Row],[x4]] + 1*Table1[[#This Row],[x5]]</f>
        <v>#DIV/0!</v>
      </c>
      <c r="W1399" s="23" t="e">
        <f>IF(Table1[[#This Row],[Zscore]]&lt;1.81,1,0)</f>
        <v>#DIV/0!</v>
      </c>
    </row>
    <row r="1400" spans="1:23" ht="26.25" x14ac:dyDescent="0.45">
      <c r="A1400" s="7">
        <v>1394</v>
      </c>
      <c r="B1400" s="5" t="s">
        <v>2800</v>
      </c>
      <c r="C1400" s="6" t="s">
        <v>2801</v>
      </c>
      <c r="D1400" s="6" t="s">
        <v>18</v>
      </c>
      <c r="E1400" s="8">
        <v>7385232069062</v>
      </c>
      <c r="F1400" s="8">
        <v>6561707118693</v>
      </c>
      <c r="G1400" s="8">
        <v>5429857493352</v>
      </c>
      <c r="H1400" s="8">
        <v>338259432366</v>
      </c>
      <c r="I1400" s="8">
        <v>243383984534</v>
      </c>
      <c r="J1400" s="8"/>
      <c r="K1400" s="8">
        <v>6122973715532</v>
      </c>
      <c r="L1400" s="8">
        <v>5425681472156</v>
      </c>
      <c r="M1400" s="8">
        <v>1514795976000</v>
      </c>
      <c r="N1400" s="8">
        <v>1267645053600</v>
      </c>
      <c r="O1400" s="8">
        <v>1387234209600</v>
      </c>
      <c r="P1400" s="8">
        <v>1331425936800</v>
      </c>
      <c r="Q1400" s="18">
        <f>(Table1[[#This Row],[A. TÀI SẢN NGẮN HẠN]]-Table1[[#This Row],[I. Nợ ngắn hạn]])/Table1[[#This Row],[TỔNG CỘNG TÀI SẢN]]</f>
        <v>0.15325850491313761</v>
      </c>
      <c r="R1400" s="18">
        <f>Table1[[#This Row],[- LNST chưa phân phối kỳ này]]/Table1[[#This Row],[TỔNG CỘNG TÀI SẢN]]</f>
        <v>4.5802139892533185E-2</v>
      </c>
      <c r="S1400" s="21">
        <f>Table1[[#This Row],[5. Lợi nhuận gộp về bán hàng và cung cấp dịch vụ]]/Table1[[#This Row],[TỔNG CỘNG TÀI SẢN]]</f>
        <v>3.2955495813540799E-2</v>
      </c>
      <c r="T140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0.22460904748151578</v>
      </c>
      <c r="U1400" s="23">
        <f>Table1[[#This Row],[1. Doanh thu bán hàng và cung cấp dịch vụ ]]/Table1[[#This Row],[TỔNG CỘNG TÀI SẢN]]</f>
        <v>0.73466634784370655</v>
      </c>
      <c r="V1400" s="23">
        <f>1.2*Table1[[#This Row],[X1]] + 1.4*Table1[[#This Row],[X2]] + 3.3*Table1[[#This Row],[x3]] + 0.6*Table1[[#This Row],[x4]] + 1*Table1[[#This Row],[x5]]</f>
        <v>1.2262181142626121</v>
      </c>
      <c r="W1400" s="23">
        <f>IF(Table1[[#This Row],[Zscore]]&lt;1.81,1,0)</f>
        <v>1</v>
      </c>
    </row>
    <row r="1401" spans="1:23" hidden="1" x14ac:dyDescent="0.45">
      <c r="A1401" s="7">
        <v>1395</v>
      </c>
      <c r="B1401" s="5" t="s">
        <v>2802</v>
      </c>
      <c r="C1401" s="6" t="s">
        <v>2803</v>
      </c>
      <c r="D1401" s="6" t="s">
        <v>18</v>
      </c>
      <c r="E1401" s="6"/>
      <c r="F1401" s="6"/>
      <c r="G1401" s="6"/>
      <c r="H1401" s="6"/>
      <c r="I1401" s="6"/>
      <c r="J1401" s="8"/>
      <c r="K1401" s="6"/>
      <c r="L1401" s="6"/>
      <c r="M1401" s="8"/>
      <c r="N1401" s="8"/>
      <c r="O1401" s="8"/>
      <c r="P1401" s="8"/>
      <c r="Q1401" s="18" t="e">
        <f>(Table1[[#This Row],[A. TÀI SẢN NGẮN HẠN]]-Table1[[#This Row],[I. Nợ ngắn hạn]])/Table1[[#This Row],[TỔNG CỘNG TÀI SẢN]]</f>
        <v>#DIV/0!</v>
      </c>
      <c r="R1401" s="18" t="e">
        <f>Table1[[#This Row],[- LNST chưa phân phối kỳ này]]/Table1[[#This Row],[TỔNG CỘNG TÀI SẢN]]</f>
        <v>#DIV/0!</v>
      </c>
      <c r="S1401" s="21" t="e">
        <f>Table1[[#This Row],[5. Lợi nhuận gộp về bán hàng và cung cấp dịch vụ]]/Table1[[#This Row],[TỔNG CỘNG TÀI SẢN]]</f>
        <v>#DIV/0!</v>
      </c>
      <c r="T140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401" s="23" t="e">
        <f>Table1[[#This Row],[1. Doanh thu bán hàng và cung cấp dịch vụ ]]/Table1[[#This Row],[TỔNG CỘNG TÀI SẢN]]</f>
        <v>#DIV/0!</v>
      </c>
      <c r="V1401" s="23" t="e">
        <f>1.2*Table1[[#This Row],[X1]] + 1.4*Table1[[#This Row],[X2]] + 3.3*Table1[[#This Row],[x3]] + 0.6*Table1[[#This Row],[x4]] + 1*Table1[[#This Row],[x5]]</f>
        <v>#DIV/0!</v>
      </c>
      <c r="W1401" s="23" t="e">
        <f>IF(Table1[[#This Row],[Zscore]]&lt;1.81,1,0)</f>
        <v>#DIV/0!</v>
      </c>
    </row>
    <row r="1402" spans="1:23" hidden="1" x14ac:dyDescent="0.45">
      <c r="A1402" s="7">
        <v>1396</v>
      </c>
      <c r="B1402" s="5" t="s">
        <v>2804</v>
      </c>
      <c r="C1402" s="6" t="s">
        <v>2805</v>
      </c>
      <c r="D1402" s="6" t="s">
        <v>18</v>
      </c>
      <c r="E1402" s="6"/>
      <c r="F1402" s="6"/>
      <c r="G1402" s="6"/>
      <c r="H1402" s="6"/>
      <c r="I1402" s="6"/>
      <c r="J1402" s="8"/>
      <c r="K1402" s="6"/>
      <c r="L1402" s="6"/>
      <c r="M1402" s="8"/>
      <c r="N1402" s="8"/>
      <c r="O1402" s="8"/>
      <c r="P1402" s="8"/>
      <c r="Q1402" s="18" t="e">
        <f>(Table1[[#This Row],[A. TÀI SẢN NGẮN HẠN]]-Table1[[#This Row],[I. Nợ ngắn hạn]])/Table1[[#This Row],[TỔNG CỘNG TÀI SẢN]]</f>
        <v>#DIV/0!</v>
      </c>
      <c r="R1402" s="18" t="e">
        <f>Table1[[#This Row],[- LNST chưa phân phối kỳ này]]/Table1[[#This Row],[TỔNG CỘNG TÀI SẢN]]</f>
        <v>#DIV/0!</v>
      </c>
      <c r="S1402" s="21" t="e">
        <f>Table1[[#This Row],[5. Lợi nhuận gộp về bán hàng và cung cấp dịch vụ]]/Table1[[#This Row],[TỔNG CỘNG TÀI SẢN]]</f>
        <v>#DIV/0!</v>
      </c>
      <c r="T140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402" s="23" t="e">
        <f>Table1[[#This Row],[1. Doanh thu bán hàng và cung cấp dịch vụ ]]/Table1[[#This Row],[TỔNG CỘNG TÀI SẢN]]</f>
        <v>#DIV/0!</v>
      </c>
      <c r="V1402" s="23" t="e">
        <f>1.2*Table1[[#This Row],[X1]] + 1.4*Table1[[#This Row],[X2]] + 3.3*Table1[[#This Row],[x3]] + 0.6*Table1[[#This Row],[x4]] + 1*Table1[[#This Row],[x5]]</f>
        <v>#DIV/0!</v>
      </c>
      <c r="W1402" s="23" t="e">
        <f>IF(Table1[[#This Row],[Zscore]]&lt;1.81,1,0)</f>
        <v>#DIV/0!</v>
      </c>
    </row>
    <row r="1403" spans="1:23" x14ac:dyDescent="0.45">
      <c r="A1403" s="7">
        <v>1397</v>
      </c>
      <c r="B1403" s="5" t="s">
        <v>2806</v>
      </c>
      <c r="C1403" s="6" t="s">
        <v>2807</v>
      </c>
      <c r="D1403" s="6" t="s">
        <v>21</v>
      </c>
      <c r="E1403" s="8">
        <v>1379874732593</v>
      </c>
      <c r="F1403" s="8">
        <v>1265846810280</v>
      </c>
      <c r="G1403" s="8">
        <v>1021062080431</v>
      </c>
      <c r="H1403" s="8">
        <v>16187778590</v>
      </c>
      <c r="I1403" s="8">
        <v>140391515507</v>
      </c>
      <c r="J1403" s="8"/>
      <c r="K1403" s="8">
        <v>1073864914549</v>
      </c>
      <c r="L1403" s="8">
        <v>1520503812223</v>
      </c>
      <c r="M1403" s="8">
        <v>131441548000</v>
      </c>
      <c r="N1403" s="8">
        <v>150218912000</v>
      </c>
      <c r="O1403" s="8">
        <v>129094377500</v>
      </c>
      <c r="P1403" s="8">
        <v>135197020800</v>
      </c>
      <c r="Q1403" s="18">
        <f>(Table1[[#This Row],[A. TÀI SẢN NGẮN HẠN]]-Table1[[#This Row],[I. Nợ ngắn hạn]])/Table1[[#This Row],[TỔNG CỘNG TÀI SẢN]]</f>
        <v>0.17739634190489978</v>
      </c>
      <c r="R1403" s="18">
        <f>Table1[[#This Row],[- LNST chưa phân phối kỳ này]]/Table1[[#This Row],[TỔNG CỘNG TÀI SẢN]]</f>
        <v>1.1731339235106246E-2</v>
      </c>
      <c r="S1403" s="21">
        <f>Table1[[#This Row],[5. Lợi nhuận gộp về bán hàng và cung cấp dịch vụ]]/Table1[[#This Row],[TỔNG CỘNG TÀI SẢN]]</f>
        <v>0.10174221774695623</v>
      </c>
      <c r="T140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0.12709975223682765</v>
      </c>
      <c r="U1403" s="23">
        <f>Table1[[#This Row],[1. Doanh thu bán hàng và cung cấp dịch vụ ]]/Table1[[#This Row],[TỔNG CỘNG TÀI SẢN]]</f>
        <v>1.101914381290058</v>
      </c>
      <c r="V1403" s="23">
        <f>1.2*Table1[[#This Row],[X1]] + 1.4*Table1[[#This Row],[X2]] + 3.3*Table1[[#This Row],[x3]] + 0.6*Table1[[#This Row],[x4]] + 1*Table1[[#This Row],[x5]]</f>
        <v>1.7432230364121386</v>
      </c>
      <c r="W1403" s="23">
        <f>IF(Table1[[#This Row],[Zscore]]&lt;1.81,1,0)</f>
        <v>1</v>
      </c>
    </row>
    <row r="1404" spans="1:23" hidden="1" x14ac:dyDescent="0.45">
      <c r="A1404" s="7">
        <v>1398</v>
      </c>
      <c r="B1404" s="5" t="s">
        <v>2808</v>
      </c>
      <c r="C1404" s="6" t="s">
        <v>2809</v>
      </c>
      <c r="D1404" s="6" t="s">
        <v>18</v>
      </c>
      <c r="E1404" s="6"/>
      <c r="F1404" s="6"/>
      <c r="G1404" s="6"/>
      <c r="H1404" s="6"/>
      <c r="I1404" s="6"/>
      <c r="J1404" s="8"/>
      <c r="K1404" s="6"/>
      <c r="L1404" s="6"/>
      <c r="M1404" s="8"/>
      <c r="N1404" s="8"/>
      <c r="O1404" s="8"/>
      <c r="P1404" s="8"/>
      <c r="Q1404" s="18" t="e">
        <f>(Table1[[#This Row],[A. TÀI SẢN NGẮN HẠN]]-Table1[[#This Row],[I. Nợ ngắn hạn]])/Table1[[#This Row],[TỔNG CỘNG TÀI SẢN]]</f>
        <v>#DIV/0!</v>
      </c>
      <c r="R1404" s="18" t="e">
        <f>Table1[[#This Row],[- LNST chưa phân phối kỳ này]]/Table1[[#This Row],[TỔNG CỘNG TÀI SẢN]]</f>
        <v>#DIV/0!</v>
      </c>
      <c r="S1404" s="21" t="e">
        <f>Table1[[#This Row],[5. Lợi nhuận gộp về bán hàng và cung cấp dịch vụ]]/Table1[[#This Row],[TỔNG CỘNG TÀI SẢN]]</f>
        <v>#DIV/0!</v>
      </c>
      <c r="T140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404" s="23" t="e">
        <f>Table1[[#This Row],[1. Doanh thu bán hàng và cung cấp dịch vụ ]]/Table1[[#This Row],[TỔNG CỘNG TÀI SẢN]]</f>
        <v>#DIV/0!</v>
      </c>
      <c r="V1404" s="23" t="e">
        <f>1.2*Table1[[#This Row],[X1]] + 1.4*Table1[[#This Row],[X2]] + 3.3*Table1[[#This Row],[x3]] + 0.6*Table1[[#This Row],[x4]] + 1*Table1[[#This Row],[x5]]</f>
        <v>#DIV/0!</v>
      </c>
      <c r="W1404" s="23" t="e">
        <f>IF(Table1[[#This Row],[Zscore]]&lt;1.81,1,0)</f>
        <v>#DIV/0!</v>
      </c>
    </row>
    <row r="1405" spans="1:23" hidden="1" x14ac:dyDescent="0.45">
      <c r="A1405" s="7">
        <v>1399</v>
      </c>
      <c r="B1405" s="5" t="s">
        <v>2810</v>
      </c>
      <c r="C1405" s="6" t="s">
        <v>2811</v>
      </c>
      <c r="D1405" s="6" t="s">
        <v>18</v>
      </c>
      <c r="E1405" s="6"/>
      <c r="F1405" s="6"/>
      <c r="G1405" s="6"/>
      <c r="H1405" s="6"/>
      <c r="I1405" s="6"/>
      <c r="J1405" s="8"/>
      <c r="K1405" s="6"/>
      <c r="L1405" s="6"/>
      <c r="M1405" s="8">
        <v>28192994500</v>
      </c>
      <c r="N1405" s="8"/>
      <c r="O1405" s="8">
        <v>23066995500</v>
      </c>
      <c r="P1405" s="8">
        <v>25629995000</v>
      </c>
      <c r="Q1405" s="18" t="e">
        <f>(Table1[[#This Row],[A. TÀI SẢN NGẮN HẠN]]-Table1[[#This Row],[I. Nợ ngắn hạn]])/Table1[[#This Row],[TỔNG CỘNG TÀI SẢN]]</f>
        <v>#DIV/0!</v>
      </c>
      <c r="R1405" s="18" t="e">
        <f>Table1[[#This Row],[- LNST chưa phân phối kỳ này]]/Table1[[#This Row],[TỔNG CỘNG TÀI SẢN]]</f>
        <v>#DIV/0!</v>
      </c>
      <c r="S1405" s="21" t="e">
        <f>Table1[[#This Row],[5. Lợi nhuận gộp về bán hàng và cung cấp dịch vụ]]/Table1[[#This Row],[TỔNG CỘNG TÀI SẢN]]</f>
        <v>#DIV/0!</v>
      </c>
      <c r="T140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405" s="23" t="e">
        <f>Table1[[#This Row],[1. Doanh thu bán hàng và cung cấp dịch vụ ]]/Table1[[#This Row],[TỔNG CỘNG TÀI SẢN]]</f>
        <v>#DIV/0!</v>
      </c>
      <c r="V1405" s="23" t="e">
        <f>1.2*Table1[[#This Row],[X1]] + 1.4*Table1[[#This Row],[X2]] + 3.3*Table1[[#This Row],[x3]] + 0.6*Table1[[#This Row],[x4]] + 1*Table1[[#This Row],[x5]]</f>
        <v>#DIV/0!</v>
      </c>
      <c r="W1405" s="23" t="e">
        <f>IF(Table1[[#This Row],[Zscore]]&lt;1.81,1,0)</f>
        <v>#DIV/0!</v>
      </c>
    </row>
    <row r="1406" spans="1:23" ht="26.25" hidden="1" x14ac:dyDescent="0.45">
      <c r="A1406" s="7">
        <v>1400</v>
      </c>
      <c r="B1406" s="5" t="s">
        <v>2812</v>
      </c>
      <c r="C1406" s="6" t="s">
        <v>2813</v>
      </c>
      <c r="D1406" s="6" t="s">
        <v>18</v>
      </c>
      <c r="E1406" s="6"/>
      <c r="F1406" s="6"/>
      <c r="G1406" s="6"/>
      <c r="H1406" s="6"/>
      <c r="I1406" s="6"/>
      <c r="J1406" s="8"/>
      <c r="K1406" s="6"/>
      <c r="L1406" s="6"/>
      <c r="M1406" s="8"/>
      <c r="N1406" s="8"/>
      <c r="O1406" s="8"/>
      <c r="P1406" s="8"/>
      <c r="Q1406" s="18" t="e">
        <f>(Table1[[#This Row],[A. TÀI SẢN NGẮN HẠN]]-Table1[[#This Row],[I. Nợ ngắn hạn]])/Table1[[#This Row],[TỔNG CỘNG TÀI SẢN]]</f>
        <v>#DIV/0!</v>
      </c>
      <c r="R1406" s="18" t="e">
        <f>Table1[[#This Row],[- LNST chưa phân phối kỳ này]]/Table1[[#This Row],[TỔNG CỘNG TÀI SẢN]]</f>
        <v>#DIV/0!</v>
      </c>
      <c r="S1406" s="21" t="e">
        <f>Table1[[#This Row],[5. Lợi nhuận gộp về bán hàng và cung cấp dịch vụ]]/Table1[[#This Row],[TỔNG CỘNG TÀI SẢN]]</f>
        <v>#DIV/0!</v>
      </c>
      <c r="T140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406" s="23" t="e">
        <f>Table1[[#This Row],[1. Doanh thu bán hàng và cung cấp dịch vụ ]]/Table1[[#This Row],[TỔNG CỘNG TÀI SẢN]]</f>
        <v>#DIV/0!</v>
      </c>
      <c r="V1406" s="23" t="e">
        <f>1.2*Table1[[#This Row],[X1]] + 1.4*Table1[[#This Row],[X2]] + 3.3*Table1[[#This Row],[x3]] + 0.6*Table1[[#This Row],[x4]] + 1*Table1[[#This Row],[x5]]</f>
        <v>#DIV/0!</v>
      </c>
      <c r="W1406" s="23" t="e">
        <f>IF(Table1[[#This Row],[Zscore]]&lt;1.81,1,0)</f>
        <v>#DIV/0!</v>
      </c>
    </row>
    <row r="1407" spans="1:23" hidden="1" x14ac:dyDescent="0.45">
      <c r="A1407" s="7">
        <v>1401</v>
      </c>
      <c r="B1407" s="5" t="s">
        <v>2814</v>
      </c>
      <c r="C1407" s="6" t="s">
        <v>2815</v>
      </c>
      <c r="D1407" s="6" t="s">
        <v>13</v>
      </c>
      <c r="E1407" s="6"/>
      <c r="F1407" s="6"/>
      <c r="G1407" s="6"/>
      <c r="H1407" s="6"/>
      <c r="I1407" s="6"/>
      <c r="J1407" s="8"/>
      <c r="K1407" s="6"/>
      <c r="L1407" s="6"/>
      <c r="M1407" s="8"/>
      <c r="N1407" s="8"/>
      <c r="O1407" s="8"/>
      <c r="P1407" s="8"/>
      <c r="Q1407" s="18" t="e">
        <f>(Table1[[#This Row],[A. TÀI SẢN NGẮN HẠN]]-Table1[[#This Row],[I. Nợ ngắn hạn]])/Table1[[#This Row],[TỔNG CỘNG TÀI SẢN]]</f>
        <v>#DIV/0!</v>
      </c>
      <c r="R1407" s="18" t="e">
        <f>Table1[[#This Row],[- LNST chưa phân phối kỳ này]]/Table1[[#This Row],[TỔNG CỘNG TÀI SẢN]]</f>
        <v>#DIV/0!</v>
      </c>
      <c r="S1407" s="21" t="e">
        <f>Table1[[#This Row],[5. Lợi nhuận gộp về bán hàng và cung cấp dịch vụ]]/Table1[[#This Row],[TỔNG CỘNG TÀI SẢN]]</f>
        <v>#DIV/0!</v>
      </c>
      <c r="T140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407" s="23" t="e">
        <f>Table1[[#This Row],[1. Doanh thu bán hàng và cung cấp dịch vụ ]]/Table1[[#This Row],[TỔNG CỘNG TÀI SẢN]]</f>
        <v>#DIV/0!</v>
      </c>
      <c r="V1407" s="23" t="e">
        <f>1.2*Table1[[#This Row],[X1]] + 1.4*Table1[[#This Row],[X2]] + 3.3*Table1[[#This Row],[x3]] + 0.6*Table1[[#This Row],[x4]] + 1*Table1[[#This Row],[x5]]</f>
        <v>#DIV/0!</v>
      </c>
      <c r="W1407" s="23" t="e">
        <f>IF(Table1[[#This Row],[Zscore]]&lt;1.81,1,0)</f>
        <v>#DIV/0!</v>
      </c>
    </row>
    <row r="1408" spans="1:23" hidden="1" x14ac:dyDescent="0.45">
      <c r="A1408" s="7">
        <v>1402</v>
      </c>
      <c r="B1408" s="5" t="s">
        <v>2816</v>
      </c>
      <c r="C1408" s="6" t="s">
        <v>2817</v>
      </c>
      <c r="D1408" s="6" t="s">
        <v>18</v>
      </c>
      <c r="E1408" s="6"/>
      <c r="F1408" s="6"/>
      <c r="G1408" s="6"/>
      <c r="H1408" s="6"/>
      <c r="I1408" s="6"/>
      <c r="J1408" s="8"/>
      <c r="K1408" s="6"/>
      <c r="L1408" s="6"/>
      <c r="M1408" s="8"/>
      <c r="N1408" s="8"/>
      <c r="O1408" s="8"/>
      <c r="P1408" s="8"/>
      <c r="Q1408" s="18" t="e">
        <f>(Table1[[#This Row],[A. TÀI SẢN NGẮN HẠN]]-Table1[[#This Row],[I. Nợ ngắn hạn]])/Table1[[#This Row],[TỔNG CỘNG TÀI SẢN]]</f>
        <v>#DIV/0!</v>
      </c>
      <c r="R1408" s="18" t="e">
        <f>Table1[[#This Row],[- LNST chưa phân phối kỳ này]]/Table1[[#This Row],[TỔNG CỘNG TÀI SẢN]]</f>
        <v>#DIV/0!</v>
      </c>
      <c r="S1408" s="21" t="e">
        <f>Table1[[#This Row],[5. Lợi nhuận gộp về bán hàng và cung cấp dịch vụ]]/Table1[[#This Row],[TỔNG CỘNG TÀI SẢN]]</f>
        <v>#DIV/0!</v>
      </c>
      <c r="T140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408" s="23" t="e">
        <f>Table1[[#This Row],[1. Doanh thu bán hàng và cung cấp dịch vụ ]]/Table1[[#This Row],[TỔNG CỘNG TÀI SẢN]]</f>
        <v>#DIV/0!</v>
      </c>
      <c r="V1408" s="23" t="e">
        <f>1.2*Table1[[#This Row],[X1]] + 1.4*Table1[[#This Row],[X2]] + 3.3*Table1[[#This Row],[x3]] + 0.6*Table1[[#This Row],[x4]] + 1*Table1[[#This Row],[x5]]</f>
        <v>#DIV/0!</v>
      </c>
      <c r="W1408" s="23" t="e">
        <f>IF(Table1[[#This Row],[Zscore]]&lt;1.81,1,0)</f>
        <v>#DIV/0!</v>
      </c>
    </row>
    <row r="1409" spans="1:23" x14ac:dyDescent="0.45">
      <c r="A1409" s="7">
        <v>1403</v>
      </c>
      <c r="B1409" s="5" t="s">
        <v>2818</v>
      </c>
      <c r="C1409" s="6" t="s">
        <v>2819</v>
      </c>
      <c r="D1409" s="6" t="s">
        <v>18</v>
      </c>
      <c r="E1409" s="8">
        <v>281490248110</v>
      </c>
      <c r="F1409" s="8">
        <v>243119032787</v>
      </c>
      <c r="G1409" s="8">
        <v>404065335602</v>
      </c>
      <c r="H1409" s="8">
        <v>-5341024306</v>
      </c>
      <c r="I1409" s="8">
        <v>4045509566</v>
      </c>
      <c r="J1409" s="8"/>
      <c r="K1409" s="8">
        <v>404065335602</v>
      </c>
      <c r="L1409" s="8">
        <v>30026769821</v>
      </c>
      <c r="M1409" s="8">
        <v>6179749200</v>
      </c>
      <c r="N1409" s="8">
        <v>3089874600</v>
      </c>
      <c r="O1409" s="8">
        <v>6179749200</v>
      </c>
      <c r="P1409" s="8">
        <v>5664770100</v>
      </c>
      <c r="Q1409" s="18">
        <f>(Table1[[#This Row],[A. TÀI SẢN NGẮN HẠN]]-Table1[[#This Row],[I. Nợ ngắn hạn]])/Table1[[#This Row],[TỔNG CỘNG TÀI SẢN]]</f>
        <v>-0.57176511049898193</v>
      </c>
      <c r="R1409" s="18">
        <f>Table1[[#This Row],[- LNST chưa phân phối kỳ này]]/Table1[[#This Row],[TỔNG CỘNG TÀI SẢN]]</f>
        <v>-1.897410067262028E-2</v>
      </c>
      <c r="S1409" s="21">
        <f>Table1[[#This Row],[5. Lợi nhuận gộp về bán hàng và cung cấp dịch vụ]]/Table1[[#This Row],[TỔNG CỘNG TÀI SẢN]]</f>
        <v>1.437175743444976E-2</v>
      </c>
      <c r="T140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1.3063569947507946E-2</v>
      </c>
      <c r="U1409" s="23">
        <f>Table1[[#This Row],[1. Doanh thu bán hàng và cung cấp dịch vụ ]]/Table1[[#This Row],[TỔNG CỘNG TÀI SẢN]]</f>
        <v>0.10667072846255839</v>
      </c>
      <c r="V1409" s="23">
        <f>1.2*Table1[[#This Row],[X1]] + 1.4*Table1[[#This Row],[X2]] + 3.3*Table1[[#This Row],[x3]] + 0.6*Table1[[#This Row],[x4]] + 1*Table1[[#This Row],[x5]]</f>
        <v>-0.55074620357569926</v>
      </c>
      <c r="W1409" s="23">
        <f>IF(Table1[[#This Row],[Zscore]]&lt;1.81,1,0)</f>
        <v>1</v>
      </c>
    </row>
    <row r="1410" spans="1:23" hidden="1" x14ac:dyDescent="0.45">
      <c r="A1410" s="7">
        <v>1404</v>
      </c>
      <c r="B1410" s="5" t="s">
        <v>2820</v>
      </c>
      <c r="C1410" s="6" t="s">
        <v>2821</v>
      </c>
      <c r="D1410" s="6" t="s">
        <v>13</v>
      </c>
      <c r="E1410" s="6"/>
      <c r="F1410" s="6"/>
      <c r="G1410" s="6"/>
      <c r="H1410" s="6"/>
      <c r="I1410" s="6"/>
      <c r="J1410" s="8"/>
      <c r="K1410" s="6"/>
      <c r="L1410" s="6"/>
      <c r="M1410" s="8"/>
      <c r="N1410" s="8"/>
      <c r="O1410" s="8"/>
      <c r="P1410" s="8"/>
      <c r="Q1410" s="18" t="e">
        <f>(Table1[[#This Row],[A. TÀI SẢN NGẮN HẠN]]-Table1[[#This Row],[I. Nợ ngắn hạn]])/Table1[[#This Row],[TỔNG CỘNG TÀI SẢN]]</f>
        <v>#DIV/0!</v>
      </c>
      <c r="R1410" s="18" t="e">
        <f>Table1[[#This Row],[- LNST chưa phân phối kỳ này]]/Table1[[#This Row],[TỔNG CỘNG TÀI SẢN]]</f>
        <v>#DIV/0!</v>
      </c>
      <c r="S1410" s="21" t="e">
        <f>Table1[[#This Row],[5. Lợi nhuận gộp về bán hàng và cung cấp dịch vụ]]/Table1[[#This Row],[TỔNG CỘNG TÀI SẢN]]</f>
        <v>#DIV/0!</v>
      </c>
      <c r="T141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410" s="23" t="e">
        <f>Table1[[#This Row],[1. Doanh thu bán hàng và cung cấp dịch vụ ]]/Table1[[#This Row],[TỔNG CỘNG TÀI SẢN]]</f>
        <v>#DIV/0!</v>
      </c>
      <c r="V1410" s="23" t="e">
        <f>1.2*Table1[[#This Row],[X1]] + 1.4*Table1[[#This Row],[X2]] + 3.3*Table1[[#This Row],[x3]] + 0.6*Table1[[#This Row],[x4]] + 1*Table1[[#This Row],[x5]]</f>
        <v>#DIV/0!</v>
      </c>
      <c r="W1410" s="23" t="e">
        <f>IF(Table1[[#This Row],[Zscore]]&lt;1.81,1,0)</f>
        <v>#DIV/0!</v>
      </c>
    </row>
    <row r="1411" spans="1:23" hidden="1" x14ac:dyDescent="0.45">
      <c r="A1411" s="7">
        <v>1405</v>
      </c>
      <c r="B1411" s="5" t="s">
        <v>2822</v>
      </c>
      <c r="C1411" s="6" t="s">
        <v>2823</v>
      </c>
      <c r="D1411" s="6" t="s">
        <v>13</v>
      </c>
      <c r="E1411" s="6"/>
      <c r="F1411" s="6"/>
      <c r="G1411" s="6"/>
      <c r="H1411" s="6"/>
      <c r="I1411" s="6"/>
      <c r="J1411" s="8"/>
      <c r="K1411" s="6"/>
      <c r="L1411" s="6"/>
      <c r="M1411" s="8"/>
      <c r="N1411" s="8"/>
      <c r="O1411" s="8"/>
      <c r="P1411" s="8"/>
      <c r="Q1411" s="18" t="e">
        <f>(Table1[[#This Row],[A. TÀI SẢN NGẮN HẠN]]-Table1[[#This Row],[I. Nợ ngắn hạn]])/Table1[[#This Row],[TỔNG CỘNG TÀI SẢN]]</f>
        <v>#DIV/0!</v>
      </c>
      <c r="R1411" s="18" t="e">
        <f>Table1[[#This Row],[- LNST chưa phân phối kỳ này]]/Table1[[#This Row],[TỔNG CỘNG TÀI SẢN]]</f>
        <v>#DIV/0!</v>
      </c>
      <c r="S1411" s="21" t="e">
        <f>Table1[[#This Row],[5. Lợi nhuận gộp về bán hàng và cung cấp dịch vụ]]/Table1[[#This Row],[TỔNG CỘNG TÀI SẢN]]</f>
        <v>#DIV/0!</v>
      </c>
      <c r="T141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411" s="23" t="e">
        <f>Table1[[#This Row],[1. Doanh thu bán hàng và cung cấp dịch vụ ]]/Table1[[#This Row],[TỔNG CỘNG TÀI SẢN]]</f>
        <v>#DIV/0!</v>
      </c>
      <c r="V1411" s="23" t="e">
        <f>1.2*Table1[[#This Row],[X1]] + 1.4*Table1[[#This Row],[X2]] + 3.3*Table1[[#This Row],[x3]] + 0.6*Table1[[#This Row],[x4]] + 1*Table1[[#This Row],[x5]]</f>
        <v>#DIV/0!</v>
      </c>
      <c r="W1411" s="23" t="e">
        <f>IF(Table1[[#This Row],[Zscore]]&lt;1.81,1,0)</f>
        <v>#DIV/0!</v>
      </c>
    </row>
    <row r="1412" spans="1:23" ht="26.25" x14ac:dyDescent="0.45">
      <c r="A1412" s="7">
        <v>1406</v>
      </c>
      <c r="B1412" s="5" t="s">
        <v>2824</v>
      </c>
      <c r="C1412" s="6" t="s">
        <v>2825</v>
      </c>
      <c r="D1412" s="6" t="s">
        <v>21</v>
      </c>
      <c r="E1412" s="8">
        <v>605584514000000</v>
      </c>
      <c r="F1412" s="6"/>
      <c r="G1412" s="6"/>
      <c r="H1412" s="6"/>
      <c r="I1412" s="6"/>
      <c r="J1412" s="8"/>
      <c r="K1412" s="8">
        <v>558392040000000</v>
      </c>
      <c r="L1412" s="8">
        <v>39291632000000</v>
      </c>
      <c r="M1412" s="8">
        <v>99327129825000</v>
      </c>
      <c r="N1412" s="8">
        <v>124868391780000</v>
      </c>
      <c r="O1412" s="8">
        <v>96339847725000</v>
      </c>
      <c r="P1412" s="8">
        <v>147870463950000</v>
      </c>
      <c r="Q1412" s="18">
        <f>(Table1[[#This Row],[A. TÀI SẢN NGẮN HẠN]]-Table1[[#This Row],[I. Nợ ngắn hạn]])/Table1[[#This Row],[TỔNG CỘNG TÀI SẢN]]</f>
        <v>0</v>
      </c>
      <c r="R1412" s="18">
        <f>Table1[[#This Row],[- LNST chưa phân phối kỳ này]]/Table1[[#This Row],[TỔNG CỘNG TÀI SẢN]]</f>
        <v>0</v>
      </c>
      <c r="S1412" s="21">
        <f>Table1[[#This Row],[5. Lợi nhuận gộp về bán hàng và cung cấp dịch vụ]]/Table1[[#This Row],[TỔNG CỘNG TÀI SẢN]]</f>
        <v>0</v>
      </c>
      <c r="T141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0.20971190477571994</v>
      </c>
      <c r="U1412" s="23">
        <f>Table1[[#This Row],[1. Doanh thu bán hàng và cung cấp dịch vụ ]]/Table1[[#This Row],[TỔNG CỘNG TÀI SẢN]]</f>
        <v>6.4882161104932085E-2</v>
      </c>
      <c r="V1412" s="23">
        <f>1.2*Table1[[#This Row],[X1]] + 1.4*Table1[[#This Row],[X2]] + 3.3*Table1[[#This Row],[x3]] + 0.6*Table1[[#This Row],[x4]] + 1*Table1[[#This Row],[x5]]</f>
        <v>0.19070930397036404</v>
      </c>
      <c r="W1412" s="23">
        <f>IF(Table1[[#This Row],[Zscore]]&lt;1.81,1,0)</f>
        <v>1</v>
      </c>
    </row>
    <row r="1413" spans="1:23" hidden="1" x14ac:dyDescent="0.45">
      <c r="A1413" s="7">
        <v>1407</v>
      </c>
      <c r="B1413" s="5" t="s">
        <v>2826</v>
      </c>
      <c r="C1413" s="6" t="s">
        <v>2827</v>
      </c>
      <c r="D1413" s="6" t="s">
        <v>13</v>
      </c>
      <c r="E1413" s="6"/>
      <c r="F1413" s="6"/>
      <c r="G1413" s="6"/>
      <c r="H1413" s="6"/>
      <c r="I1413" s="6"/>
      <c r="J1413" s="8"/>
      <c r="K1413" s="6"/>
      <c r="L1413" s="6"/>
      <c r="M1413" s="8"/>
      <c r="N1413" s="8"/>
      <c r="O1413" s="8"/>
      <c r="P1413" s="8"/>
      <c r="Q1413" s="18" t="e">
        <f>(Table1[[#This Row],[A. TÀI SẢN NGẮN HẠN]]-Table1[[#This Row],[I. Nợ ngắn hạn]])/Table1[[#This Row],[TỔNG CỘNG TÀI SẢN]]</f>
        <v>#DIV/0!</v>
      </c>
      <c r="R1413" s="18" t="e">
        <f>Table1[[#This Row],[- LNST chưa phân phối kỳ này]]/Table1[[#This Row],[TỔNG CỘNG TÀI SẢN]]</f>
        <v>#DIV/0!</v>
      </c>
      <c r="S1413" s="21" t="e">
        <f>Table1[[#This Row],[5. Lợi nhuận gộp về bán hàng và cung cấp dịch vụ]]/Table1[[#This Row],[TỔNG CỘNG TÀI SẢN]]</f>
        <v>#DIV/0!</v>
      </c>
      <c r="T141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413" s="23" t="e">
        <f>Table1[[#This Row],[1. Doanh thu bán hàng và cung cấp dịch vụ ]]/Table1[[#This Row],[TỔNG CỘNG TÀI SẢN]]</f>
        <v>#DIV/0!</v>
      </c>
      <c r="V1413" s="23" t="e">
        <f>1.2*Table1[[#This Row],[X1]] + 1.4*Table1[[#This Row],[X2]] + 3.3*Table1[[#This Row],[x3]] + 0.6*Table1[[#This Row],[x4]] + 1*Table1[[#This Row],[x5]]</f>
        <v>#DIV/0!</v>
      </c>
      <c r="W1413" s="23" t="e">
        <f>IF(Table1[[#This Row],[Zscore]]&lt;1.81,1,0)</f>
        <v>#DIV/0!</v>
      </c>
    </row>
    <row r="1414" spans="1:23" hidden="1" x14ac:dyDescent="0.45">
      <c r="A1414" s="7">
        <v>1408</v>
      </c>
      <c r="B1414" s="5" t="s">
        <v>2828</v>
      </c>
      <c r="C1414" s="6" t="s">
        <v>2829</v>
      </c>
      <c r="D1414" s="6" t="s">
        <v>13</v>
      </c>
      <c r="E1414" s="8">
        <v>29932218693343</v>
      </c>
      <c r="F1414" s="8">
        <v>29863002637350</v>
      </c>
      <c r="G1414" s="8">
        <v>16704606864511</v>
      </c>
      <c r="H1414" s="8">
        <v>129940444526</v>
      </c>
      <c r="I1414" s="8">
        <v>1199675189046</v>
      </c>
      <c r="J1414" s="8"/>
      <c r="K1414" s="8">
        <v>16736733214341</v>
      </c>
      <c r="L1414" s="8">
        <v>1686725697670</v>
      </c>
      <c r="M1414" s="8"/>
      <c r="N1414" s="8"/>
      <c r="O1414" s="8"/>
      <c r="P1414" s="8"/>
      <c r="Q1414" s="18">
        <f>(Table1[[#This Row],[A. TÀI SẢN NGẮN HẠN]]-Table1[[#This Row],[I. Nợ ngắn hạn]])/Table1[[#This Row],[TỔNG CỘNG TÀI SẢN]]</f>
        <v>0.43960642903379094</v>
      </c>
      <c r="R1414" s="18">
        <f>Table1[[#This Row],[- LNST chưa phân phối kỳ này]]/Table1[[#This Row],[TỔNG CỘNG TÀI SẢN]]</f>
        <v>4.3411564594407794E-3</v>
      </c>
      <c r="S1414" s="21">
        <f>Table1[[#This Row],[5. Lợi nhuận gộp về bán hàng và cung cấp dịch vụ]]/Table1[[#This Row],[TỔNG CỘNG TÀI SẢN]]</f>
        <v>4.0079728179749363E-2</v>
      </c>
      <c r="T141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414" s="23">
        <f>Table1[[#This Row],[1. Doanh thu bán hàng và cung cấp dịch vụ ]]/Table1[[#This Row],[TỔNG CỘNG TÀI SẢN]]</f>
        <v>5.6351509219900627E-2</v>
      </c>
      <c r="V1414" s="23" t="e">
        <f>1.2*Table1[[#This Row],[X1]] + 1.4*Table1[[#This Row],[X2]] + 3.3*Table1[[#This Row],[x3]] + 0.6*Table1[[#This Row],[x4]] + 1*Table1[[#This Row],[x5]]</f>
        <v>#DIV/0!</v>
      </c>
      <c r="W1414" s="23" t="e">
        <f>IF(Table1[[#This Row],[Zscore]]&lt;1.81,1,0)</f>
        <v>#DIV/0!</v>
      </c>
    </row>
    <row r="1415" spans="1:23" ht="26.25" x14ac:dyDescent="0.45">
      <c r="A1415" s="7">
        <v>1409</v>
      </c>
      <c r="B1415" s="5" t="s">
        <v>2830</v>
      </c>
      <c r="C1415" s="6" t="s">
        <v>2831</v>
      </c>
      <c r="D1415" s="6" t="s">
        <v>18</v>
      </c>
      <c r="E1415" s="8">
        <v>175264357920</v>
      </c>
      <c r="F1415" s="8">
        <v>148859965305</v>
      </c>
      <c r="G1415" s="8">
        <v>20820873229</v>
      </c>
      <c r="H1415" s="8">
        <v>9111849803</v>
      </c>
      <c r="I1415" s="8">
        <v>18624068672</v>
      </c>
      <c r="J1415" s="8"/>
      <c r="K1415" s="8">
        <v>21608373229</v>
      </c>
      <c r="L1415" s="8">
        <v>316772760525</v>
      </c>
      <c r="M1415" s="8">
        <v>94800000000</v>
      </c>
      <c r="N1415" s="8">
        <v>69600000000</v>
      </c>
      <c r="O1415" s="8">
        <v>81600000000</v>
      </c>
      <c r="P1415" s="8">
        <v>73200000000</v>
      </c>
      <c r="Q1415" s="18">
        <f>(Table1[[#This Row],[A. TÀI SẢN NGẮN HẠN]]-Table1[[#This Row],[I. Nợ ngắn hạn]])/Table1[[#This Row],[TỔNG CỘNG TÀI SẢN]]</f>
        <v>0.7305483761532614</v>
      </c>
      <c r="R1415" s="18">
        <f>Table1[[#This Row],[- LNST chưa phân phối kỳ này]]/Table1[[#This Row],[TỔNG CỘNG TÀI SẢN]]</f>
        <v>5.198917744108094E-2</v>
      </c>
      <c r="S1415" s="21">
        <f>Table1[[#This Row],[5. Lợi nhuận gộp về bán hàng và cung cấp dịch vụ]]/Table1[[#This Row],[TỔNG CỘNG TÀI SẢN]]</f>
        <v>0.10626272730534875</v>
      </c>
      <c r="T141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3.6930128498938841</v>
      </c>
      <c r="U1415" s="23">
        <f>Table1[[#This Row],[1. Doanh thu bán hàng và cung cấp dịch vụ ]]/Table1[[#This Row],[TỔNG CỘNG TÀI SẢN]]</f>
        <v>1.8073997718896844</v>
      </c>
      <c r="V1415" s="23">
        <f>1.2*Table1[[#This Row],[X1]] + 1.4*Table1[[#This Row],[X2]] + 3.3*Table1[[#This Row],[x3]] + 0.6*Table1[[#This Row],[x4]] + 1*Table1[[#This Row],[x5]]</f>
        <v>5.3233173817350927</v>
      </c>
      <c r="W1415" s="23">
        <f>IF(Table1[[#This Row],[Zscore]]&lt;1.81,1,0)</f>
        <v>0</v>
      </c>
    </row>
    <row r="1416" spans="1:23" hidden="1" x14ac:dyDescent="0.45">
      <c r="A1416" s="7">
        <v>1410</v>
      </c>
      <c r="B1416" s="5" t="s">
        <v>2832</v>
      </c>
      <c r="C1416" s="6" t="s">
        <v>2833</v>
      </c>
      <c r="D1416" s="6" t="s">
        <v>18</v>
      </c>
      <c r="E1416" s="6"/>
      <c r="F1416" s="6"/>
      <c r="G1416" s="6"/>
      <c r="H1416" s="6"/>
      <c r="I1416" s="6"/>
      <c r="J1416" s="8"/>
      <c r="K1416" s="6"/>
      <c r="L1416" s="6"/>
      <c r="M1416" s="8"/>
      <c r="N1416" s="8"/>
      <c r="O1416" s="8"/>
      <c r="P1416" s="8"/>
      <c r="Q1416" s="18" t="e">
        <f>(Table1[[#This Row],[A. TÀI SẢN NGẮN HẠN]]-Table1[[#This Row],[I. Nợ ngắn hạn]])/Table1[[#This Row],[TỔNG CỘNG TÀI SẢN]]</f>
        <v>#DIV/0!</v>
      </c>
      <c r="R1416" s="18" t="e">
        <f>Table1[[#This Row],[- LNST chưa phân phối kỳ này]]/Table1[[#This Row],[TỔNG CỘNG TÀI SẢN]]</f>
        <v>#DIV/0!</v>
      </c>
      <c r="S1416" s="21" t="e">
        <f>Table1[[#This Row],[5. Lợi nhuận gộp về bán hàng và cung cấp dịch vụ]]/Table1[[#This Row],[TỔNG CỘNG TÀI SẢN]]</f>
        <v>#DIV/0!</v>
      </c>
      <c r="T141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416" s="23" t="e">
        <f>Table1[[#This Row],[1. Doanh thu bán hàng và cung cấp dịch vụ ]]/Table1[[#This Row],[TỔNG CỘNG TÀI SẢN]]</f>
        <v>#DIV/0!</v>
      </c>
      <c r="V1416" s="23" t="e">
        <f>1.2*Table1[[#This Row],[X1]] + 1.4*Table1[[#This Row],[X2]] + 3.3*Table1[[#This Row],[x3]] + 0.6*Table1[[#This Row],[x4]] + 1*Table1[[#This Row],[x5]]</f>
        <v>#DIV/0!</v>
      </c>
      <c r="W1416" s="23" t="e">
        <f>IF(Table1[[#This Row],[Zscore]]&lt;1.81,1,0)</f>
        <v>#DIV/0!</v>
      </c>
    </row>
    <row r="1417" spans="1:23" x14ac:dyDescent="0.45">
      <c r="A1417" s="7">
        <v>1411</v>
      </c>
      <c r="B1417" s="5" t="s">
        <v>2834</v>
      </c>
      <c r="C1417" s="6" t="s">
        <v>2835</v>
      </c>
      <c r="D1417" s="6" t="s">
        <v>18</v>
      </c>
      <c r="E1417" s="8">
        <v>2113450877423</v>
      </c>
      <c r="F1417" s="8">
        <v>715163959611</v>
      </c>
      <c r="G1417" s="8">
        <v>58288372765</v>
      </c>
      <c r="H1417" s="8">
        <v>16694938135</v>
      </c>
      <c r="I1417" s="8">
        <v>3648787009</v>
      </c>
      <c r="J1417" s="8"/>
      <c r="K1417" s="8">
        <v>1055528372765</v>
      </c>
      <c r="L1417" s="8">
        <v>8020000000</v>
      </c>
      <c r="M1417" s="8">
        <v>1674000000000</v>
      </c>
      <c r="N1417" s="8">
        <v>2961000000000</v>
      </c>
      <c r="O1417" s="8">
        <v>1629000000000</v>
      </c>
      <c r="P1417" s="8">
        <v>3006000000000</v>
      </c>
      <c r="Q1417" s="18">
        <f>(Table1[[#This Row],[A. TÀI SẢN NGẮN HẠN]]-Table1[[#This Row],[I. Nợ ngắn hạn]])/Table1[[#This Row],[TỔNG CỘNG TÀI SẢN]]</f>
        <v>0.31080712301529806</v>
      </c>
      <c r="R1417" s="18">
        <f>Table1[[#This Row],[- LNST chưa phân phối kỳ này]]/Table1[[#This Row],[TỔNG CỘNG TÀI SẢN]]</f>
        <v>7.8993736326423095E-3</v>
      </c>
      <c r="S1417" s="21">
        <f>Table1[[#This Row],[5. Lợi nhuận gộp về bán hàng và cung cấp dịch vụ]]/Table1[[#This Row],[TỔNG CỘNG TÀI SẢN]]</f>
        <v>1.7264593409661291E-3</v>
      </c>
      <c r="T141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2.1955828566968916</v>
      </c>
      <c r="U1417" s="23">
        <f>Table1[[#This Row],[1. Doanh thu bán hàng và cung cấp dịch vụ ]]/Table1[[#This Row],[TỔNG CỘNG TÀI SẢN]]</f>
        <v>3.7947416169800212E-3</v>
      </c>
      <c r="V1417" s="23">
        <f>1.2*Table1[[#This Row],[X1]] + 1.4*Table1[[#This Row],[X2]] + 3.3*Table1[[#This Row],[x3]] + 0.6*Table1[[#This Row],[x4]] + 1*Table1[[#This Row],[x5]]</f>
        <v>1.7108694421643602</v>
      </c>
      <c r="W1417" s="23">
        <f>IF(Table1[[#This Row],[Zscore]]&lt;1.81,1,0)</f>
        <v>1</v>
      </c>
    </row>
    <row r="1418" spans="1:23" hidden="1" x14ac:dyDescent="0.45">
      <c r="A1418" s="7">
        <v>1412</v>
      </c>
      <c r="B1418" s="5" t="s">
        <v>2836</v>
      </c>
      <c r="C1418" s="6" t="s">
        <v>2837</v>
      </c>
      <c r="D1418" s="6" t="s">
        <v>21</v>
      </c>
      <c r="E1418" s="6"/>
      <c r="F1418" s="6"/>
      <c r="G1418" s="6"/>
      <c r="H1418" s="6"/>
      <c r="I1418" s="6"/>
      <c r="J1418" s="8"/>
      <c r="K1418" s="6"/>
      <c r="L1418" s="6"/>
      <c r="M1418" s="8">
        <v>913148284950</v>
      </c>
      <c r="N1418" s="8"/>
      <c r="O1418" s="8">
        <v>793110012750</v>
      </c>
      <c r="P1418" s="8"/>
      <c r="Q1418" s="18" t="e">
        <f>(Table1[[#This Row],[A. TÀI SẢN NGẮN HẠN]]-Table1[[#This Row],[I. Nợ ngắn hạn]])/Table1[[#This Row],[TỔNG CỘNG TÀI SẢN]]</f>
        <v>#DIV/0!</v>
      </c>
      <c r="R1418" s="18" t="e">
        <f>Table1[[#This Row],[- LNST chưa phân phối kỳ này]]/Table1[[#This Row],[TỔNG CỘNG TÀI SẢN]]</f>
        <v>#DIV/0!</v>
      </c>
      <c r="S1418" s="21" t="e">
        <f>Table1[[#This Row],[5. Lợi nhuận gộp về bán hàng và cung cấp dịch vụ]]/Table1[[#This Row],[TỔNG CỘNG TÀI SẢN]]</f>
        <v>#DIV/0!</v>
      </c>
      <c r="T141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418" s="23" t="e">
        <f>Table1[[#This Row],[1. Doanh thu bán hàng và cung cấp dịch vụ ]]/Table1[[#This Row],[TỔNG CỘNG TÀI SẢN]]</f>
        <v>#DIV/0!</v>
      </c>
      <c r="V1418" s="23" t="e">
        <f>1.2*Table1[[#This Row],[X1]] + 1.4*Table1[[#This Row],[X2]] + 3.3*Table1[[#This Row],[x3]] + 0.6*Table1[[#This Row],[x4]] + 1*Table1[[#This Row],[x5]]</f>
        <v>#DIV/0!</v>
      </c>
      <c r="W1418" s="23" t="e">
        <f>IF(Table1[[#This Row],[Zscore]]&lt;1.81,1,0)</f>
        <v>#DIV/0!</v>
      </c>
    </row>
    <row r="1419" spans="1:23" hidden="1" x14ac:dyDescent="0.45">
      <c r="A1419" s="7">
        <v>1413</v>
      </c>
      <c r="B1419" s="5" t="s">
        <v>2838</v>
      </c>
      <c r="C1419" s="6" t="s">
        <v>2839</v>
      </c>
      <c r="D1419" s="6" t="s">
        <v>18</v>
      </c>
      <c r="E1419" s="6"/>
      <c r="F1419" s="6"/>
      <c r="G1419" s="6"/>
      <c r="H1419" s="6"/>
      <c r="I1419" s="6"/>
      <c r="J1419" s="8"/>
      <c r="K1419" s="6"/>
      <c r="L1419" s="6"/>
      <c r="M1419" s="8"/>
      <c r="N1419" s="8"/>
      <c r="O1419" s="8"/>
      <c r="P1419" s="8"/>
      <c r="Q1419" s="18" t="e">
        <f>(Table1[[#This Row],[A. TÀI SẢN NGẮN HẠN]]-Table1[[#This Row],[I. Nợ ngắn hạn]])/Table1[[#This Row],[TỔNG CỘNG TÀI SẢN]]</f>
        <v>#DIV/0!</v>
      </c>
      <c r="R1419" s="18" t="e">
        <f>Table1[[#This Row],[- LNST chưa phân phối kỳ này]]/Table1[[#This Row],[TỔNG CỘNG TÀI SẢN]]</f>
        <v>#DIV/0!</v>
      </c>
      <c r="S1419" s="21" t="e">
        <f>Table1[[#This Row],[5. Lợi nhuận gộp về bán hàng và cung cấp dịch vụ]]/Table1[[#This Row],[TỔNG CỘNG TÀI SẢN]]</f>
        <v>#DIV/0!</v>
      </c>
      <c r="T141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419" s="23" t="e">
        <f>Table1[[#This Row],[1. Doanh thu bán hàng và cung cấp dịch vụ ]]/Table1[[#This Row],[TỔNG CỘNG TÀI SẢN]]</f>
        <v>#DIV/0!</v>
      </c>
      <c r="V1419" s="23" t="e">
        <f>1.2*Table1[[#This Row],[X1]] + 1.4*Table1[[#This Row],[X2]] + 3.3*Table1[[#This Row],[x3]] + 0.6*Table1[[#This Row],[x4]] + 1*Table1[[#This Row],[x5]]</f>
        <v>#DIV/0!</v>
      </c>
      <c r="W1419" s="23" t="e">
        <f>IF(Table1[[#This Row],[Zscore]]&lt;1.81,1,0)</f>
        <v>#DIV/0!</v>
      </c>
    </row>
    <row r="1420" spans="1:23" hidden="1" x14ac:dyDescent="0.45">
      <c r="A1420" s="7">
        <v>1414</v>
      </c>
      <c r="B1420" s="5" t="s">
        <v>2840</v>
      </c>
      <c r="C1420" s="6" t="s">
        <v>2841</v>
      </c>
      <c r="D1420" s="6" t="s">
        <v>18</v>
      </c>
      <c r="E1420" s="6"/>
      <c r="F1420" s="6"/>
      <c r="G1420" s="6"/>
      <c r="H1420" s="6"/>
      <c r="I1420" s="6"/>
      <c r="J1420" s="8"/>
      <c r="K1420" s="6"/>
      <c r="L1420" s="6"/>
      <c r="M1420" s="8"/>
      <c r="N1420" s="8"/>
      <c r="O1420" s="8"/>
      <c r="P1420" s="8"/>
      <c r="Q1420" s="18" t="e">
        <f>(Table1[[#This Row],[A. TÀI SẢN NGẮN HẠN]]-Table1[[#This Row],[I. Nợ ngắn hạn]])/Table1[[#This Row],[TỔNG CỘNG TÀI SẢN]]</f>
        <v>#DIV/0!</v>
      </c>
      <c r="R1420" s="18" t="e">
        <f>Table1[[#This Row],[- LNST chưa phân phối kỳ này]]/Table1[[#This Row],[TỔNG CỘNG TÀI SẢN]]</f>
        <v>#DIV/0!</v>
      </c>
      <c r="S1420" s="21" t="e">
        <f>Table1[[#This Row],[5. Lợi nhuận gộp về bán hàng và cung cấp dịch vụ]]/Table1[[#This Row],[TỔNG CỘNG TÀI SẢN]]</f>
        <v>#DIV/0!</v>
      </c>
      <c r="T142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420" s="23" t="e">
        <f>Table1[[#This Row],[1. Doanh thu bán hàng và cung cấp dịch vụ ]]/Table1[[#This Row],[TỔNG CỘNG TÀI SẢN]]</f>
        <v>#DIV/0!</v>
      </c>
      <c r="V1420" s="23" t="e">
        <f>1.2*Table1[[#This Row],[X1]] + 1.4*Table1[[#This Row],[X2]] + 3.3*Table1[[#This Row],[x3]] + 0.6*Table1[[#This Row],[x4]] + 1*Table1[[#This Row],[x5]]</f>
        <v>#DIV/0!</v>
      </c>
      <c r="W1420" s="23" t="e">
        <f>IF(Table1[[#This Row],[Zscore]]&lt;1.81,1,0)</f>
        <v>#DIV/0!</v>
      </c>
    </row>
    <row r="1421" spans="1:23" hidden="1" x14ac:dyDescent="0.45">
      <c r="A1421" s="7">
        <v>1415</v>
      </c>
      <c r="B1421" s="5" t="s">
        <v>2842</v>
      </c>
      <c r="C1421" s="6" t="s">
        <v>2843</v>
      </c>
      <c r="D1421" s="6" t="s">
        <v>13</v>
      </c>
      <c r="E1421" s="6"/>
      <c r="F1421" s="6"/>
      <c r="G1421" s="6"/>
      <c r="H1421" s="6"/>
      <c r="I1421" s="6"/>
      <c r="J1421" s="8"/>
      <c r="K1421" s="6"/>
      <c r="L1421" s="6"/>
      <c r="M1421" s="8"/>
      <c r="N1421" s="8"/>
      <c r="O1421" s="8"/>
      <c r="P1421" s="8"/>
      <c r="Q1421" s="18" t="e">
        <f>(Table1[[#This Row],[A. TÀI SẢN NGẮN HẠN]]-Table1[[#This Row],[I. Nợ ngắn hạn]])/Table1[[#This Row],[TỔNG CỘNG TÀI SẢN]]</f>
        <v>#DIV/0!</v>
      </c>
      <c r="R1421" s="18" t="e">
        <f>Table1[[#This Row],[- LNST chưa phân phối kỳ này]]/Table1[[#This Row],[TỔNG CỘNG TÀI SẢN]]</f>
        <v>#DIV/0!</v>
      </c>
      <c r="S1421" s="21" t="e">
        <f>Table1[[#This Row],[5. Lợi nhuận gộp về bán hàng và cung cấp dịch vụ]]/Table1[[#This Row],[TỔNG CỘNG TÀI SẢN]]</f>
        <v>#DIV/0!</v>
      </c>
      <c r="T142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421" s="23" t="e">
        <f>Table1[[#This Row],[1. Doanh thu bán hàng và cung cấp dịch vụ ]]/Table1[[#This Row],[TỔNG CỘNG TÀI SẢN]]</f>
        <v>#DIV/0!</v>
      </c>
      <c r="V1421" s="23" t="e">
        <f>1.2*Table1[[#This Row],[X1]] + 1.4*Table1[[#This Row],[X2]] + 3.3*Table1[[#This Row],[x3]] + 0.6*Table1[[#This Row],[x4]] + 1*Table1[[#This Row],[x5]]</f>
        <v>#DIV/0!</v>
      </c>
      <c r="W1421" s="23" t="e">
        <f>IF(Table1[[#This Row],[Zscore]]&lt;1.81,1,0)</f>
        <v>#DIV/0!</v>
      </c>
    </row>
    <row r="1422" spans="1:23" hidden="1" x14ac:dyDescent="0.45">
      <c r="A1422" s="7">
        <v>1416</v>
      </c>
      <c r="B1422" s="5" t="s">
        <v>2844</v>
      </c>
      <c r="C1422" s="6" t="s">
        <v>2845</v>
      </c>
      <c r="D1422" s="6" t="s">
        <v>13</v>
      </c>
      <c r="E1422" s="6"/>
      <c r="F1422" s="6"/>
      <c r="G1422" s="6"/>
      <c r="H1422" s="6"/>
      <c r="I1422" s="6"/>
      <c r="J1422" s="8"/>
      <c r="K1422" s="6"/>
      <c r="L1422" s="6"/>
      <c r="M1422" s="8"/>
      <c r="N1422" s="8"/>
      <c r="O1422" s="8"/>
      <c r="P1422" s="8"/>
      <c r="Q1422" s="18" t="e">
        <f>(Table1[[#This Row],[A. TÀI SẢN NGẮN HẠN]]-Table1[[#This Row],[I. Nợ ngắn hạn]])/Table1[[#This Row],[TỔNG CỘNG TÀI SẢN]]</f>
        <v>#DIV/0!</v>
      </c>
      <c r="R1422" s="18" t="e">
        <f>Table1[[#This Row],[- LNST chưa phân phối kỳ này]]/Table1[[#This Row],[TỔNG CỘNG TÀI SẢN]]</f>
        <v>#DIV/0!</v>
      </c>
      <c r="S1422" s="21" t="e">
        <f>Table1[[#This Row],[5. Lợi nhuận gộp về bán hàng và cung cấp dịch vụ]]/Table1[[#This Row],[TỔNG CỘNG TÀI SẢN]]</f>
        <v>#DIV/0!</v>
      </c>
      <c r="T142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422" s="23" t="e">
        <f>Table1[[#This Row],[1. Doanh thu bán hàng và cung cấp dịch vụ ]]/Table1[[#This Row],[TỔNG CỘNG TÀI SẢN]]</f>
        <v>#DIV/0!</v>
      </c>
      <c r="V1422" s="23" t="e">
        <f>1.2*Table1[[#This Row],[X1]] + 1.4*Table1[[#This Row],[X2]] + 3.3*Table1[[#This Row],[x3]] + 0.6*Table1[[#This Row],[x4]] + 1*Table1[[#This Row],[x5]]</f>
        <v>#DIV/0!</v>
      </c>
      <c r="W1422" s="23" t="e">
        <f>IF(Table1[[#This Row],[Zscore]]&lt;1.81,1,0)</f>
        <v>#DIV/0!</v>
      </c>
    </row>
    <row r="1423" spans="1:23" ht="26.25" hidden="1" x14ac:dyDescent="0.45">
      <c r="A1423" s="7">
        <v>1417</v>
      </c>
      <c r="B1423" s="5" t="s">
        <v>2846</v>
      </c>
      <c r="C1423" s="6" t="s">
        <v>2847</v>
      </c>
      <c r="D1423" s="6" t="s">
        <v>13</v>
      </c>
      <c r="E1423" s="6"/>
      <c r="F1423" s="6"/>
      <c r="G1423" s="6"/>
      <c r="H1423" s="6"/>
      <c r="I1423" s="6"/>
      <c r="J1423" s="8"/>
      <c r="K1423" s="6"/>
      <c r="L1423" s="6"/>
      <c r="M1423" s="8"/>
      <c r="N1423" s="8"/>
      <c r="O1423" s="8"/>
      <c r="P1423" s="8"/>
      <c r="Q1423" s="18" t="e">
        <f>(Table1[[#This Row],[A. TÀI SẢN NGẮN HẠN]]-Table1[[#This Row],[I. Nợ ngắn hạn]])/Table1[[#This Row],[TỔNG CỘNG TÀI SẢN]]</f>
        <v>#DIV/0!</v>
      </c>
      <c r="R1423" s="18" t="e">
        <f>Table1[[#This Row],[- LNST chưa phân phối kỳ này]]/Table1[[#This Row],[TỔNG CỘNG TÀI SẢN]]</f>
        <v>#DIV/0!</v>
      </c>
      <c r="S1423" s="21" t="e">
        <f>Table1[[#This Row],[5. Lợi nhuận gộp về bán hàng và cung cấp dịch vụ]]/Table1[[#This Row],[TỔNG CỘNG TÀI SẢN]]</f>
        <v>#DIV/0!</v>
      </c>
      <c r="T142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423" s="23" t="e">
        <f>Table1[[#This Row],[1. Doanh thu bán hàng và cung cấp dịch vụ ]]/Table1[[#This Row],[TỔNG CỘNG TÀI SẢN]]</f>
        <v>#DIV/0!</v>
      </c>
      <c r="V1423" s="23" t="e">
        <f>1.2*Table1[[#This Row],[X1]] + 1.4*Table1[[#This Row],[X2]] + 3.3*Table1[[#This Row],[x3]] + 0.6*Table1[[#This Row],[x4]] + 1*Table1[[#This Row],[x5]]</f>
        <v>#DIV/0!</v>
      </c>
      <c r="W1423" s="23" t="e">
        <f>IF(Table1[[#This Row],[Zscore]]&lt;1.81,1,0)</f>
        <v>#DIV/0!</v>
      </c>
    </row>
    <row r="1424" spans="1:23" hidden="1" x14ac:dyDescent="0.45">
      <c r="A1424" s="7">
        <v>1418</v>
      </c>
      <c r="B1424" s="5" t="s">
        <v>2848</v>
      </c>
      <c r="C1424" s="6" t="s">
        <v>2849</v>
      </c>
      <c r="D1424" s="6" t="s">
        <v>18</v>
      </c>
      <c r="E1424" s="6"/>
      <c r="F1424" s="6"/>
      <c r="G1424" s="6"/>
      <c r="H1424" s="6"/>
      <c r="I1424" s="6"/>
      <c r="J1424" s="8"/>
      <c r="K1424" s="6"/>
      <c r="L1424" s="6"/>
      <c r="M1424" s="8"/>
      <c r="N1424" s="8"/>
      <c r="O1424" s="8"/>
      <c r="P1424" s="8"/>
      <c r="Q1424" s="18" t="e">
        <f>(Table1[[#This Row],[A. TÀI SẢN NGẮN HẠN]]-Table1[[#This Row],[I. Nợ ngắn hạn]])/Table1[[#This Row],[TỔNG CỘNG TÀI SẢN]]</f>
        <v>#DIV/0!</v>
      </c>
      <c r="R1424" s="18" t="e">
        <f>Table1[[#This Row],[- LNST chưa phân phối kỳ này]]/Table1[[#This Row],[TỔNG CỘNG TÀI SẢN]]</f>
        <v>#DIV/0!</v>
      </c>
      <c r="S1424" s="21" t="e">
        <f>Table1[[#This Row],[5. Lợi nhuận gộp về bán hàng và cung cấp dịch vụ]]/Table1[[#This Row],[TỔNG CỘNG TÀI SẢN]]</f>
        <v>#DIV/0!</v>
      </c>
      <c r="T142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424" s="23" t="e">
        <f>Table1[[#This Row],[1. Doanh thu bán hàng và cung cấp dịch vụ ]]/Table1[[#This Row],[TỔNG CỘNG TÀI SẢN]]</f>
        <v>#DIV/0!</v>
      </c>
      <c r="V1424" s="23" t="e">
        <f>1.2*Table1[[#This Row],[X1]] + 1.4*Table1[[#This Row],[X2]] + 3.3*Table1[[#This Row],[x3]] + 0.6*Table1[[#This Row],[x4]] + 1*Table1[[#This Row],[x5]]</f>
        <v>#DIV/0!</v>
      </c>
      <c r="W1424" s="23" t="e">
        <f>IF(Table1[[#This Row],[Zscore]]&lt;1.81,1,0)</f>
        <v>#DIV/0!</v>
      </c>
    </row>
    <row r="1425" spans="1:23" hidden="1" x14ac:dyDescent="0.45">
      <c r="A1425" s="7">
        <v>1419</v>
      </c>
      <c r="B1425" s="5" t="s">
        <v>2850</v>
      </c>
      <c r="C1425" s="6" t="s">
        <v>2851</v>
      </c>
      <c r="D1425" s="6" t="s">
        <v>13</v>
      </c>
      <c r="E1425" s="6"/>
      <c r="F1425" s="6"/>
      <c r="G1425" s="6"/>
      <c r="H1425" s="6"/>
      <c r="I1425" s="6"/>
      <c r="J1425" s="8"/>
      <c r="K1425" s="6"/>
      <c r="L1425" s="6"/>
      <c r="M1425" s="8"/>
      <c r="N1425" s="8"/>
      <c r="O1425" s="8"/>
      <c r="P1425" s="8"/>
      <c r="Q1425" s="18" t="e">
        <f>(Table1[[#This Row],[A. TÀI SẢN NGẮN HẠN]]-Table1[[#This Row],[I. Nợ ngắn hạn]])/Table1[[#This Row],[TỔNG CỘNG TÀI SẢN]]</f>
        <v>#DIV/0!</v>
      </c>
      <c r="R1425" s="18" t="e">
        <f>Table1[[#This Row],[- LNST chưa phân phối kỳ này]]/Table1[[#This Row],[TỔNG CỘNG TÀI SẢN]]</f>
        <v>#DIV/0!</v>
      </c>
      <c r="S1425" s="21" t="e">
        <f>Table1[[#This Row],[5. Lợi nhuận gộp về bán hàng và cung cấp dịch vụ]]/Table1[[#This Row],[TỔNG CỘNG TÀI SẢN]]</f>
        <v>#DIV/0!</v>
      </c>
      <c r="T142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425" s="23" t="e">
        <f>Table1[[#This Row],[1. Doanh thu bán hàng và cung cấp dịch vụ ]]/Table1[[#This Row],[TỔNG CỘNG TÀI SẢN]]</f>
        <v>#DIV/0!</v>
      </c>
      <c r="V1425" s="23" t="e">
        <f>1.2*Table1[[#This Row],[X1]] + 1.4*Table1[[#This Row],[X2]] + 3.3*Table1[[#This Row],[x3]] + 0.6*Table1[[#This Row],[x4]] + 1*Table1[[#This Row],[x5]]</f>
        <v>#DIV/0!</v>
      </c>
      <c r="W1425" s="23" t="e">
        <f>IF(Table1[[#This Row],[Zscore]]&lt;1.81,1,0)</f>
        <v>#DIV/0!</v>
      </c>
    </row>
    <row r="1426" spans="1:23" hidden="1" x14ac:dyDescent="0.45">
      <c r="A1426" s="7">
        <v>1420</v>
      </c>
      <c r="B1426" s="5" t="s">
        <v>2852</v>
      </c>
      <c r="C1426" s="6" t="s">
        <v>2853</v>
      </c>
      <c r="D1426" s="6" t="s">
        <v>13</v>
      </c>
      <c r="E1426" s="6"/>
      <c r="F1426" s="6"/>
      <c r="G1426" s="6"/>
      <c r="H1426" s="6"/>
      <c r="I1426" s="6"/>
      <c r="J1426" s="8"/>
      <c r="K1426" s="6"/>
      <c r="L1426" s="6"/>
      <c r="M1426" s="8"/>
      <c r="N1426" s="8"/>
      <c r="O1426" s="8"/>
      <c r="P1426" s="8"/>
      <c r="Q1426" s="18" t="e">
        <f>(Table1[[#This Row],[A. TÀI SẢN NGẮN HẠN]]-Table1[[#This Row],[I. Nợ ngắn hạn]])/Table1[[#This Row],[TỔNG CỘNG TÀI SẢN]]</f>
        <v>#DIV/0!</v>
      </c>
      <c r="R1426" s="18" t="e">
        <f>Table1[[#This Row],[- LNST chưa phân phối kỳ này]]/Table1[[#This Row],[TỔNG CỘNG TÀI SẢN]]</f>
        <v>#DIV/0!</v>
      </c>
      <c r="S1426" s="21" t="e">
        <f>Table1[[#This Row],[5. Lợi nhuận gộp về bán hàng và cung cấp dịch vụ]]/Table1[[#This Row],[TỔNG CỘNG TÀI SẢN]]</f>
        <v>#DIV/0!</v>
      </c>
      <c r="T142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426" s="23" t="e">
        <f>Table1[[#This Row],[1. Doanh thu bán hàng và cung cấp dịch vụ ]]/Table1[[#This Row],[TỔNG CỘNG TÀI SẢN]]</f>
        <v>#DIV/0!</v>
      </c>
      <c r="V1426" s="23" t="e">
        <f>1.2*Table1[[#This Row],[X1]] + 1.4*Table1[[#This Row],[X2]] + 3.3*Table1[[#This Row],[x3]] + 0.6*Table1[[#This Row],[x4]] + 1*Table1[[#This Row],[x5]]</f>
        <v>#DIV/0!</v>
      </c>
      <c r="W1426" s="23" t="e">
        <f>IF(Table1[[#This Row],[Zscore]]&lt;1.81,1,0)</f>
        <v>#DIV/0!</v>
      </c>
    </row>
    <row r="1427" spans="1:23" hidden="1" x14ac:dyDescent="0.45">
      <c r="A1427" s="7">
        <v>1421</v>
      </c>
      <c r="B1427" s="5" t="s">
        <v>2854</v>
      </c>
      <c r="C1427" s="6" t="s">
        <v>2855</v>
      </c>
      <c r="D1427" s="6" t="s">
        <v>13</v>
      </c>
      <c r="E1427" s="6"/>
      <c r="F1427" s="6"/>
      <c r="G1427" s="6"/>
      <c r="H1427" s="6"/>
      <c r="I1427" s="6"/>
      <c r="J1427" s="8"/>
      <c r="K1427" s="6"/>
      <c r="L1427" s="6"/>
      <c r="M1427" s="8"/>
      <c r="N1427" s="8"/>
      <c r="O1427" s="8"/>
      <c r="P1427" s="8"/>
      <c r="Q1427" s="18" t="e">
        <f>(Table1[[#This Row],[A. TÀI SẢN NGẮN HẠN]]-Table1[[#This Row],[I. Nợ ngắn hạn]])/Table1[[#This Row],[TỔNG CỘNG TÀI SẢN]]</f>
        <v>#DIV/0!</v>
      </c>
      <c r="R1427" s="18" t="e">
        <f>Table1[[#This Row],[- LNST chưa phân phối kỳ này]]/Table1[[#This Row],[TỔNG CỘNG TÀI SẢN]]</f>
        <v>#DIV/0!</v>
      </c>
      <c r="S1427" s="21" t="e">
        <f>Table1[[#This Row],[5. Lợi nhuận gộp về bán hàng và cung cấp dịch vụ]]/Table1[[#This Row],[TỔNG CỘNG TÀI SẢN]]</f>
        <v>#DIV/0!</v>
      </c>
      <c r="T142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427" s="23" t="e">
        <f>Table1[[#This Row],[1. Doanh thu bán hàng và cung cấp dịch vụ ]]/Table1[[#This Row],[TỔNG CỘNG TÀI SẢN]]</f>
        <v>#DIV/0!</v>
      </c>
      <c r="V1427" s="23" t="e">
        <f>1.2*Table1[[#This Row],[X1]] + 1.4*Table1[[#This Row],[X2]] + 3.3*Table1[[#This Row],[x3]] + 0.6*Table1[[#This Row],[x4]] + 1*Table1[[#This Row],[x5]]</f>
        <v>#DIV/0!</v>
      </c>
      <c r="W1427" s="23" t="e">
        <f>IF(Table1[[#This Row],[Zscore]]&lt;1.81,1,0)</f>
        <v>#DIV/0!</v>
      </c>
    </row>
    <row r="1428" spans="1:23" hidden="1" x14ac:dyDescent="0.45">
      <c r="A1428" s="7">
        <v>1422</v>
      </c>
      <c r="B1428" s="5" t="s">
        <v>2856</v>
      </c>
      <c r="C1428" s="6" t="s">
        <v>2857</v>
      </c>
      <c r="D1428" s="6" t="s">
        <v>13</v>
      </c>
      <c r="E1428" s="6"/>
      <c r="F1428" s="6"/>
      <c r="G1428" s="6"/>
      <c r="H1428" s="6"/>
      <c r="I1428" s="6"/>
      <c r="J1428" s="8"/>
      <c r="K1428" s="6"/>
      <c r="L1428" s="6"/>
      <c r="M1428" s="8"/>
      <c r="N1428" s="8"/>
      <c r="O1428" s="8"/>
      <c r="P1428" s="8"/>
      <c r="Q1428" s="18" t="e">
        <f>(Table1[[#This Row],[A. TÀI SẢN NGẮN HẠN]]-Table1[[#This Row],[I. Nợ ngắn hạn]])/Table1[[#This Row],[TỔNG CỘNG TÀI SẢN]]</f>
        <v>#DIV/0!</v>
      </c>
      <c r="R1428" s="18" t="e">
        <f>Table1[[#This Row],[- LNST chưa phân phối kỳ này]]/Table1[[#This Row],[TỔNG CỘNG TÀI SẢN]]</f>
        <v>#DIV/0!</v>
      </c>
      <c r="S1428" s="21" t="e">
        <f>Table1[[#This Row],[5. Lợi nhuận gộp về bán hàng và cung cấp dịch vụ]]/Table1[[#This Row],[TỔNG CỘNG TÀI SẢN]]</f>
        <v>#DIV/0!</v>
      </c>
      <c r="T142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428" s="23" t="e">
        <f>Table1[[#This Row],[1. Doanh thu bán hàng và cung cấp dịch vụ ]]/Table1[[#This Row],[TỔNG CỘNG TÀI SẢN]]</f>
        <v>#DIV/0!</v>
      </c>
      <c r="V1428" s="23" t="e">
        <f>1.2*Table1[[#This Row],[X1]] + 1.4*Table1[[#This Row],[X2]] + 3.3*Table1[[#This Row],[x3]] + 0.6*Table1[[#This Row],[x4]] + 1*Table1[[#This Row],[x5]]</f>
        <v>#DIV/0!</v>
      </c>
      <c r="W1428" s="23" t="e">
        <f>IF(Table1[[#This Row],[Zscore]]&lt;1.81,1,0)</f>
        <v>#DIV/0!</v>
      </c>
    </row>
    <row r="1429" spans="1:23" x14ac:dyDescent="0.45">
      <c r="A1429" s="7">
        <v>1423</v>
      </c>
      <c r="B1429" s="5" t="s">
        <v>2858</v>
      </c>
      <c r="C1429" s="6" t="s">
        <v>2859</v>
      </c>
      <c r="D1429" s="6" t="s">
        <v>18</v>
      </c>
      <c r="E1429" s="8">
        <v>2753347662862</v>
      </c>
      <c r="F1429" s="8">
        <v>2099271178451</v>
      </c>
      <c r="G1429" s="8">
        <v>1871950926167</v>
      </c>
      <c r="H1429" s="8">
        <v>178075957992</v>
      </c>
      <c r="I1429" s="8">
        <v>539136353040</v>
      </c>
      <c r="J1429" s="8"/>
      <c r="K1429" s="8">
        <v>2069289355071</v>
      </c>
      <c r="L1429" s="8">
        <v>5011092502199</v>
      </c>
      <c r="M1429" s="8">
        <v>765193219600</v>
      </c>
      <c r="N1429" s="8">
        <v>704866783200</v>
      </c>
      <c r="O1429" s="8">
        <v>650890498000</v>
      </c>
      <c r="P1429" s="8">
        <v>663590800400</v>
      </c>
      <c r="Q1429" s="18">
        <f>(Table1[[#This Row],[A. TÀI SẢN NGẮN HẠN]]-Table1[[#This Row],[I. Nợ ngắn hạn]])/Table1[[#This Row],[TỔNG CỘNG TÀI SẢN]]</f>
        <v>8.2561405284979253E-2</v>
      </c>
      <c r="R1429" s="18">
        <f>Table1[[#This Row],[- LNST chưa phân phối kỳ này]]/Table1[[#This Row],[TỔNG CỘNG TÀI SẢN]]</f>
        <v>6.4676161457538864E-2</v>
      </c>
      <c r="S1429" s="21">
        <f>Table1[[#This Row],[5. Lợi nhuận gộp về bán hàng và cung cấp dịch vụ]]/Table1[[#This Row],[TỔNG CỘNG TÀI SẢN]]</f>
        <v>0.19581121567466286</v>
      </c>
      <c r="T142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0.33641275136029231</v>
      </c>
      <c r="U1429" s="23">
        <f>Table1[[#This Row],[1. Doanh thu bán hàng và cung cấp dịch vụ ]]/Table1[[#This Row],[TỔNG CỘNG TÀI SẢN]]</f>
        <v>1.8199999113043939</v>
      </c>
      <c r="V1429" s="23">
        <f>1.2*Table1[[#This Row],[X1]] + 1.4*Table1[[#This Row],[X2]] + 3.3*Table1[[#This Row],[x3]] + 0.6*Table1[[#This Row],[x4]] + 1*Table1[[#This Row],[x5]]</f>
        <v>2.8576448862294859</v>
      </c>
      <c r="W1429" s="23">
        <f>IF(Table1[[#This Row],[Zscore]]&lt;1.81,1,0)</f>
        <v>0</v>
      </c>
    </row>
    <row r="1430" spans="1:23" hidden="1" x14ac:dyDescent="0.45">
      <c r="A1430" s="7">
        <v>1424</v>
      </c>
      <c r="B1430" s="5" t="s">
        <v>2860</v>
      </c>
      <c r="C1430" s="6" t="s">
        <v>2861</v>
      </c>
      <c r="D1430" s="6" t="s">
        <v>18</v>
      </c>
      <c r="E1430" s="8">
        <v>313547649655</v>
      </c>
      <c r="F1430" s="8">
        <v>124181491259</v>
      </c>
      <c r="G1430" s="8">
        <v>31260895405</v>
      </c>
      <c r="H1430" s="8">
        <v>59601559557</v>
      </c>
      <c r="I1430" s="8">
        <v>78479261234</v>
      </c>
      <c r="J1430" s="8"/>
      <c r="K1430" s="8">
        <v>48568242909</v>
      </c>
      <c r="L1430" s="8">
        <v>130278138274</v>
      </c>
      <c r="M1430" s="8"/>
      <c r="N1430" s="8"/>
      <c r="O1430" s="8"/>
      <c r="P1430" s="8"/>
      <c r="Q1430" s="18">
        <f>(Table1[[#This Row],[A. TÀI SẢN NGẮN HẠN]]-Table1[[#This Row],[I. Nợ ngắn hạn]])/Table1[[#This Row],[TỔNG CỘNG TÀI SẢN]]</f>
        <v>0.29635239159420129</v>
      </c>
      <c r="R1430" s="18">
        <f>Table1[[#This Row],[- LNST chưa phân phối kỳ này]]/Table1[[#This Row],[TỔNG CỘNG TÀI SẢN]]</f>
        <v>0.19008772549429176</v>
      </c>
      <c r="S1430" s="21">
        <f>Table1[[#This Row],[5. Lợi nhuận gộp về bán hàng và cung cấp dịch vụ]]/Table1[[#This Row],[TỔNG CỘNG TÀI SẢN]]</f>
        <v>0.25029452882313619</v>
      </c>
      <c r="T143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430" s="23">
        <f>Table1[[#This Row],[1. Doanh thu bán hàng và cung cấp dịch vụ ]]/Table1[[#This Row],[TỔNG CỘNG TÀI SẢN]]</f>
        <v>0.41549709722699724</v>
      </c>
      <c r="V1430" s="23" t="e">
        <f>1.2*Table1[[#This Row],[X1]] + 1.4*Table1[[#This Row],[X2]] + 3.3*Table1[[#This Row],[x3]] + 0.6*Table1[[#This Row],[x4]] + 1*Table1[[#This Row],[x5]]</f>
        <v>#DIV/0!</v>
      </c>
      <c r="W1430" s="23" t="e">
        <f>IF(Table1[[#This Row],[Zscore]]&lt;1.81,1,0)</f>
        <v>#DIV/0!</v>
      </c>
    </row>
    <row r="1431" spans="1:23" x14ac:dyDescent="0.45">
      <c r="A1431" s="7">
        <v>1425</v>
      </c>
      <c r="B1431" s="5" t="s">
        <v>2862</v>
      </c>
      <c r="C1431" s="6" t="s">
        <v>2863</v>
      </c>
      <c r="D1431" s="6" t="s">
        <v>36</v>
      </c>
      <c r="E1431" s="8">
        <v>1174156071817</v>
      </c>
      <c r="F1431" s="8">
        <v>886031203938</v>
      </c>
      <c r="G1431" s="8">
        <v>211172811126</v>
      </c>
      <c r="H1431" s="8">
        <v>53241089467</v>
      </c>
      <c r="I1431" s="8">
        <v>26671647252</v>
      </c>
      <c r="J1431" s="8"/>
      <c r="K1431" s="8">
        <v>249158811126</v>
      </c>
      <c r="L1431" s="8">
        <v>253624545446</v>
      </c>
      <c r="M1431" s="8">
        <v>327018492000</v>
      </c>
      <c r="N1431" s="8">
        <v>290680422400</v>
      </c>
      <c r="O1431" s="8">
        <v>456459100800</v>
      </c>
      <c r="P1431" s="8">
        <v>376976172800</v>
      </c>
      <c r="Q1431" s="18">
        <f>(Table1[[#This Row],[A. TÀI SẢN NGẮN HẠN]]-Table1[[#This Row],[I. Nợ ngắn hạn]])/Table1[[#This Row],[TỔNG CỘNG TÀI SẢN]]</f>
        <v>0.57476038238056415</v>
      </c>
      <c r="R1431" s="18">
        <f>Table1[[#This Row],[- LNST chưa phân phối kỳ này]]/Table1[[#This Row],[TỔNG CỘNG TÀI SẢN]]</f>
        <v>4.5344133326849563E-2</v>
      </c>
      <c r="S1431" s="21">
        <f>Table1[[#This Row],[5. Lợi nhuận gộp về bán hàng và cung cấp dịch vụ]]/Table1[[#This Row],[TỔNG CỘNG TÀI SẢN]]</f>
        <v>2.271558942818034E-2</v>
      </c>
      <c r="T143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1.4560333843322915</v>
      </c>
      <c r="U1431" s="23">
        <f>Table1[[#This Row],[1. Doanh thu bán hàng và cung cấp dịch vụ ]]/Table1[[#This Row],[TỔNG CỘNG TÀI SẢN]]</f>
        <v>0.2160058202939899</v>
      </c>
      <c r="V1431" s="23">
        <f>1.2*Table1[[#This Row],[X1]] + 1.4*Table1[[#This Row],[X2]] + 3.3*Table1[[#This Row],[x3]] + 0.6*Table1[[#This Row],[x4]] + 1*Table1[[#This Row],[x5]]</f>
        <v>1.9177815415206261</v>
      </c>
      <c r="W1431" s="23">
        <f>IF(Table1[[#This Row],[Zscore]]&lt;1.81,1,0)</f>
        <v>0</v>
      </c>
    </row>
    <row r="1432" spans="1:23" hidden="1" x14ac:dyDescent="0.45">
      <c r="A1432" s="7">
        <v>1426</v>
      </c>
      <c r="B1432" s="5" t="s">
        <v>2864</v>
      </c>
      <c r="C1432" s="6" t="s">
        <v>2865</v>
      </c>
      <c r="D1432" s="6" t="s">
        <v>13</v>
      </c>
      <c r="E1432" s="6"/>
      <c r="F1432" s="6"/>
      <c r="G1432" s="6"/>
      <c r="H1432" s="6"/>
      <c r="I1432" s="6"/>
      <c r="J1432" s="8"/>
      <c r="K1432" s="6"/>
      <c r="L1432" s="6"/>
      <c r="M1432" s="8"/>
      <c r="N1432" s="8"/>
      <c r="O1432" s="8"/>
      <c r="P1432" s="8"/>
      <c r="Q1432" s="18" t="e">
        <f>(Table1[[#This Row],[A. TÀI SẢN NGẮN HẠN]]-Table1[[#This Row],[I. Nợ ngắn hạn]])/Table1[[#This Row],[TỔNG CỘNG TÀI SẢN]]</f>
        <v>#DIV/0!</v>
      </c>
      <c r="R1432" s="18" t="e">
        <f>Table1[[#This Row],[- LNST chưa phân phối kỳ này]]/Table1[[#This Row],[TỔNG CỘNG TÀI SẢN]]</f>
        <v>#DIV/0!</v>
      </c>
      <c r="S1432" s="21" t="e">
        <f>Table1[[#This Row],[5. Lợi nhuận gộp về bán hàng và cung cấp dịch vụ]]/Table1[[#This Row],[TỔNG CỘNG TÀI SẢN]]</f>
        <v>#DIV/0!</v>
      </c>
      <c r="T143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432" s="23" t="e">
        <f>Table1[[#This Row],[1. Doanh thu bán hàng và cung cấp dịch vụ ]]/Table1[[#This Row],[TỔNG CỘNG TÀI SẢN]]</f>
        <v>#DIV/0!</v>
      </c>
      <c r="V1432" s="23" t="e">
        <f>1.2*Table1[[#This Row],[X1]] + 1.4*Table1[[#This Row],[X2]] + 3.3*Table1[[#This Row],[x3]] + 0.6*Table1[[#This Row],[x4]] + 1*Table1[[#This Row],[x5]]</f>
        <v>#DIV/0!</v>
      </c>
      <c r="W1432" s="23" t="e">
        <f>IF(Table1[[#This Row],[Zscore]]&lt;1.81,1,0)</f>
        <v>#DIV/0!</v>
      </c>
    </row>
    <row r="1433" spans="1:23" ht="26.25" x14ac:dyDescent="0.45">
      <c r="A1433" s="7">
        <v>1427</v>
      </c>
      <c r="B1433" s="5" t="s">
        <v>2866</v>
      </c>
      <c r="C1433" s="6" t="s">
        <v>2867</v>
      </c>
      <c r="D1433" s="6" t="s">
        <v>36</v>
      </c>
      <c r="E1433" s="8">
        <v>111033339508</v>
      </c>
      <c r="F1433" s="8">
        <v>54022963260</v>
      </c>
      <c r="G1433" s="8">
        <v>63486026350</v>
      </c>
      <c r="H1433" s="8">
        <v>7347553563</v>
      </c>
      <c r="I1433" s="8">
        <v>37470026356</v>
      </c>
      <c r="J1433" s="8"/>
      <c r="K1433" s="8">
        <v>69279512485</v>
      </c>
      <c r="L1433" s="8">
        <v>227826185763</v>
      </c>
      <c r="M1433" s="8">
        <v>166012868700</v>
      </c>
      <c r="N1433" s="8">
        <v>162171954000</v>
      </c>
      <c r="O1433" s="8">
        <v>162171954000</v>
      </c>
      <c r="P1433" s="8">
        <v>159184575900</v>
      </c>
      <c r="Q1433" s="18">
        <f>(Table1[[#This Row],[A. TÀI SẢN NGẮN HẠN]]-Table1[[#This Row],[I. Nợ ngắn hạn]])/Table1[[#This Row],[TỔNG CỘNG TÀI SẢN]]</f>
        <v>-8.5227222129243288E-2</v>
      </c>
      <c r="R1433" s="18">
        <f>Table1[[#This Row],[- LNST chưa phân phối kỳ này]]/Table1[[#This Row],[TỔNG CỘNG TÀI SẢN]]</f>
        <v>6.6174300399841665E-2</v>
      </c>
      <c r="S1433" s="21">
        <f>Table1[[#This Row],[5. Lợi nhuận gộp về bán hàng và cung cấp dịch vụ]]/Table1[[#This Row],[TỔNG CỘNG TÀI SẢN]]</f>
        <v>0.33746644496178796</v>
      </c>
      <c r="T143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2.3439157165714573</v>
      </c>
      <c r="U1433" s="23">
        <f>Table1[[#This Row],[1. Doanh thu bán hàng và cung cấp dịch vụ ]]/Table1[[#This Row],[TỔNG CỘNG TÀI SẢN]]</f>
        <v>2.0518718681480803</v>
      </c>
      <c r="V1433" s="23">
        <f>1.2*Table1[[#This Row],[X1]] + 1.4*Table1[[#This Row],[X2]] + 3.3*Table1[[#This Row],[x3]] + 0.6*Table1[[#This Row],[x4]] + 1*Table1[[#This Row],[x5]]</f>
        <v>4.5622319204695412</v>
      </c>
      <c r="W1433" s="23">
        <f>IF(Table1[[#This Row],[Zscore]]&lt;1.81,1,0)</f>
        <v>0</v>
      </c>
    </row>
    <row r="1434" spans="1:23" ht="26.25" hidden="1" x14ac:dyDescent="0.45">
      <c r="A1434" s="7">
        <v>1428</v>
      </c>
      <c r="B1434" s="5" t="s">
        <v>2868</v>
      </c>
      <c r="C1434" s="6" t="s">
        <v>2869</v>
      </c>
      <c r="D1434" s="6" t="s">
        <v>13</v>
      </c>
      <c r="E1434" s="6"/>
      <c r="F1434" s="6"/>
      <c r="G1434" s="6"/>
      <c r="H1434" s="6"/>
      <c r="I1434" s="6"/>
      <c r="J1434" s="8"/>
      <c r="K1434" s="6"/>
      <c r="L1434" s="6"/>
      <c r="M1434" s="8"/>
      <c r="N1434" s="8"/>
      <c r="O1434" s="8"/>
      <c r="P1434" s="8"/>
      <c r="Q1434" s="18" t="e">
        <f>(Table1[[#This Row],[A. TÀI SẢN NGẮN HẠN]]-Table1[[#This Row],[I. Nợ ngắn hạn]])/Table1[[#This Row],[TỔNG CỘNG TÀI SẢN]]</f>
        <v>#DIV/0!</v>
      </c>
      <c r="R1434" s="18" t="e">
        <f>Table1[[#This Row],[- LNST chưa phân phối kỳ này]]/Table1[[#This Row],[TỔNG CỘNG TÀI SẢN]]</f>
        <v>#DIV/0!</v>
      </c>
      <c r="S1434" s="21" t="e">
        <f>Table1[[#This Row],[5. Lợi nhuận gộp về bán hàng và cung cấp dịch vụ]]/Table1[[#This Row],[TỔNG CỘNG TÀI SẢN]]</f>
        <v>#DIV/0!</v>
      </c>
      <c r="T143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434" s="23" t="e">
        <f>Table1[[#This Row],[1. Doanh thu bán hàng và cung cấp dịch vụ ]]/Table1[[#This Row],[TỔNG CỘNG TÀI SẢN]]</f>
        <v>#DIV/0!</v>
      </c>
      <c r="V1434" s="23" t="e">
        <f>1.2*Table1[[#This Row],[X1]] + 1.4*Table1[[#This Row],[X2]] + 3.3*Table1[[#This Row],[x3]] + 0.6*Table1[[#This Row],[x4]] + 1*Table1[[#This Row],[x5]]</f>
        <v>#DIV/0!</v>
      </c>
      <c r="W1434" s="23" t="e">
        <f>IF(Table1[[#This Row],[Zscore]]&lt;1.81,1,0)</f>
        <v>#DIV/0!</v>
      </c>
    </row>
    <row r="1435" spans="1:23" hidden="1" x14ac:dyDescent="0.45">
      <c r="A1435" s="7">
        <v>1429</v>
      </c>
      <c r="B1435" s="5" t="s">
        <v>2870</v>
      </c>
      <c r="C1435" s="6" t="s">
        <v>2871</v>
      </c>
      <c r="D1435" s="6" t="s">
        <v>13</v>
      </c>
      <c r="E1435" s="6"/>
      <c r="F1435" s="6"/>
      <c r="G1435" s="6"/>
      <c r="H1435" s="6"/>
      <c r="I1435" s="6"/>
      <c r="J1435" s="8"/>
      <c r="K1435" s="6"/>
      <c r="L1435" s="6"/>
      <c r="M1435" s="8"/>
      <c r="N1435" s="8"/>
      <c r="O1435" s="8"/>
      <c r="P1435" s="8"/>
      <c r="Q1435" s="18" t="e">
        <f>(Table1[[#This Row],[A. TÀI SẢN NGẮN HẠN]]-Table1[[#This Row],[I. Nợ ngắn hạn]])/Table1[[#This Row],[TỔNG CỘNG TÀI SẢN]]</f>
        <v>#DIV/0!</v>
      </c>
      <c r="R1435" s="18" t="e">
        <f>Table1[[#This Row],[- LNST chưa phân phối kỳ này]]/Table1[[#This Row],[TỔNG CỘNG TÀI SẢN]]</f>
        <v>#DIV/0!</v>
      </c>
      <c r="S1435" s="21" t="e">
        <f>Table1[[#This Row],[5. Lợi nhuận gộp về bán hàng và cung cấp dịch vụ]]/Table1[[#This Row],[TỔNG CỘNG TÀI SẢN]]</f>
        <v>#DIV/0!</v>
      </c>
      <c r="T143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435" s="23" t="e">
        <f>Table1[[#This Row],[1. Doanh thu bán hàng và cung cấp dịch vụ ]]/Table1[[#This Row],[TỔNG CỘNG TÀI SẢN]]</f>
        <v>#DIV/0!</v>
      </c>
      <c r="V1435" s="23" t="e">
        <f>1.2*Table1[[#This Row],[X1]] + 1.4*Table1[[#This Row],[X2]] + 3.3*Table1[[#This Row],[x3]] + 0.6*Table1[[#This Row],[x4]] + 1*Table1[[#This Row],[x5]]</f>
        <v>#DIV/0!</v>
      </c>
      <c r="W1435" s="23" t="e">
        <f>IF(Table1[[#This Row],[Zscore]]&lt;1.81,1,0)</f>
        <v>#DIV/0!</v>
      </c>
    </row>
    <row r="1436" spans="1:23" ht="26.25" hidden="1" x14ac:dyDescent="0.45">
      <c r="A1436" s="7">
        <v>1430</v>
      </c>
      <c r="B1436" s="5" t="s">
        <v>2872</v>
      </c>
      <c r="C1436" s="6" t="s">
        <v>2873</v>
      </c>
      <c r="D1436" s="6" t="s">
        <v>13</v>
      </c>
      <c r="E1436" s="6"/>
      <c r="F1436" s="6"/>
      <c r="G1436" s="6"/>
      <c r="H1436" s="6"/>
      <c r="I1436" s="6"/>
      <c r="J1436" s="8"/>
      <c r="K1436" s="6"/>
      <c r="L1436" s="6"/>
      <c r="M1436" s="8"/>
      <c r="N1436" s="8"/>
      <c r="O1436" s="8"/>
      <c r="P1436" s="8"/>
      <c r="Q1436" s="18" t="e">
        <f>(Table1[[#This Row],[A. TÀI SẢN NGẮN HẠN]]-Table1[[#This Row],[I. Nợ ngắn hạn]])/Table1[[#This Row],[TỔNG CỘNG TÀI SẢN]]</f>
        <v>#DIV/0!</v>
      </c>
      <c r="R1436" s="18" t="e">
        <f>Table1[[#This Row],[- LNST chưa phân phối kỳ này]]/Table1[[#This Row],[TỔNG CỘNG TÀI SẢN]]</f>
        <v>#DIV/0!</v>
      </c>
      <c r="S1436" s="21" t="e">
        <f>Table1[[#This Row],[5. Lợi nhuận gộp về bán hàng và cung cấp dịch vụ]]/Table1[[#This Row],[TỔNG CỘNG TÀI SẢN]]</f>
        <v>#DIV/0!</v>
      </c>
      <c r="T143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436" s="23" t="e">
        <f>Table1[[#This Row],[1. Doanh thu bán hàng và cung cấp dịch vụ ]]/Table1[[#This Row],[TỔNG CỘNG TÀI SẢN]]</f>
        <v>#DIV/0!</v>
      </c>
      <c r="V1436" s="23" t="e">
        <f>1.2*Table1[[#This Row],[X1]] + 1.4*Table1[[#This Row],[X2]] + 3.3*Table1[[#This Row],[x3]] + 0.6*Table1[[#This Row],[x4]] + 1*Table1[[#This Row],[x5]]</f>
        <v>#DIV/0!</v>
      </c>
      <c r="W1436" s="23" t="e">
        <f>IF(Table1[[#This Row],[Zscore]]&lt;1.81,1,0)</f>
        <v>#DIV/0!</v>
      </c>
    </row>
    <row r="1437" spans="1:23" hidden="1" x14ac:dyDescent="0.45">
      <c r="A1437" s="7">
        <v>1431</v>
      </c>
      <c r="B1437" s="5" t="s">
        <v>2874</v>
      </c>
      <c r="C1437" s="6" t="s">
        <v>2875</v>
      </c>
      <c r="D1437" s="6" t="s">
        <v>13</v>
      </c>
      <c r="E1437" s="6"/>
      <c r="F1437" s="6"/>
      <c r="G1437" s="6"/>
      <c r="H1437" s="6"/>
      <c r="I1437" s="6"/>
      <c r="J1437" s="8"/>
      <c r="K1437" s="6"/>
      <c r="L1437" s="6"/>
      <c r="M1437" s="8"/>
      <c r="N1437" s="8"/>
      <c r="O1437" s="8"/>
      <c r="P1437" s="8"/>
      <c r="Q1437" s="18" t="e">
        <f>(Table1[[#This Row],[A. TÀI SẢN NGẮN HẠN]]-Table1[[#This Row],[I. Nợ ngắn hạn]])/Table1[[#This Row],[TỔNG CỘNG TÀI SẢN]]</f>
        <v>#DIV/0!</v>
      </c>
      <c r="R1437" s="18" t="e">
        <f>Table1[[#This Row],[- LNST chưa phân phối kỳ này]]/Table1[[#This Row],[TỔNG CỘNG TÀI SẢN]]</f>
        <v>#DIV/0!</v>
      </c>
      <c r="S1437" s="21" t="e">
        <f>Table1[[#This Row],[5. Lợi nhuận gộp về bán hàng và cung cấp dịch vụ]]/Table1[[#This Row],[TỔNG CỘNG TÀI SẢN]]</f>
        <v>#DIV/0!</v>
      </c>
      <c r="T143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437" s="23" t="e">
        <f>Table1[[#This Row],[1. Doanh thu bán hàng và cung cấp dịch vụ ]]/Table1[[#This Row],[TỔNG CỘNG TÀI SẢN]]</f>
        <v>#DIV/0!</v>
      </c>
      <c r="V1437" s="23" t="e">
        <f>1.2*Table1[[#This Row],[X1]] + 1.4*Table1[[#This Row],[X2]] + 3.3*Table1[[#This Row],[x3]] + 0.6*Table1[[#This Row],[x4]] + 1*Table1[[#This Row],[x5]]</f>
        <v>#DIV/0!</v>
      </c>
      <c r="W1437" s="23" t="e">
        <f>IF(Table1[[#This Row],[Zscore]]&lt;1.81,1,0)</f>
        <v>#DIV/0!</v>
      </c>
    </row>
    <row r="1438" spans="1:23" hidden="1" x14ac:dyDescent="0.45">
      <c r="A1438" s="7">
        <v>1432</v>
      </c>
      <c r="B1438" s="5" t="s">
        <v>2876</v>
      </c>
      <c r="C1438" s="6" t="s">
        <v>2877</v>
      </c>
      <c r="D1438" s="6" t="s">
        <v>13</v>
      </c>
      <c r="E1438" s="6"/>
      <c r="F1438" s="6"/>
      <c r="G1438" s="6"/>
      <c r="H1438" s="6"/>
      <c r="I1438" s="6"/>
      <c r="J1438" s="8"/>
      <c r="K1438" s="6"/>
      <c r="L1438" s="6"/>
      <c r="M1438" s="8"/>
      <c r="N1438" s="8"/>
      <c r="O1438" s="8"/>
      <c r="P1438" s="8"/>
      <c r="Q1438" s="18" t="e">
        <f>(Table1[[#This Row],[A. TÀI SẢN NGẮN HẠN]]-Table1[[#This Row],[I. Nợ ngắn hạn]])/Table1[[#This Row],[TỔNG CỘNG TÀI SẢN]]</f>
        <v>#DIV/0!</v>
      </c>
      <c r="R1438" s="18" t="e">
        <f>Table1[[#This Row],[- LNST chưa phân phối kỳ này]]/Table1[[#This Row],[TỔNG CỘNG TÀI SẢN]]</f>
        <v>#DIV/0!</v>
      </c>
      <c r="S1438" s="21" t="e">
        <f>Table1[[#This Row],[5. Lợi nhuận gộp về bán hàng và cung cấp dịch vụ]]/Table1[[#This Row],[TỔNG CỘNG TÀI SẢN]]</f>
        <v>#DIV/0!</v>
      </c>
      <c r="T143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438" s="23" t="e">
        <f>Table1[[#This Row],[1. Doanh thu bán hàng và cung cấp dịch vụ ]]/Table1[[#This Row],[TỔNG CỘNG TÀI SẢN]]</f>
        <v>#DIV/0!</v>
      </c>
      <c r="V1438" s="23" t="e">
        <f>1.2*Table1[[#This Row],[X1]] + 1.4*Table1[[#This Row],[X2]] + 3.3*Table1[[#This Row],[x3]] + 0.6*Table1[[#This Row],[x4]] + 1*Table1[[#This Row],[x5]]</f>
        <v>#DIV/0!</v>
      </c>
      <c r="W1438" s="23" t="e">
        <f>IF(Table1[[#This Row],[Zscore]]&lt;1.81,1,0)</f>
        <v>#DIV/0!</v>
      </c>
    </row>
    <row r="1439" spans="1:23" hidden="1" x14ac:dyDescent="0.45">
      <c r="A1439" s="7">
        <v>1433</v>
      </c>
      <c r="B1439" s="5" t="s">
        <v>2878</v>
      </c>
      <c r="C1439" s="6" t="s">
        <v>2879</v>
      </c>
      <c r="D1439" s="6" t="s">
        <v>13</v>
      </c>
      <c r="E1439" s="6"/>
      <c r="F1439" s="6"/>
      <c r="G1439" s="6"/>
      <c r="H1439" s="6"/>
      <c r="I1439" s="6"/>
      <c r="J1439" s="8"/>
      <c r="K1439" s="6"/>
      <c r="L1439" s="6"/>
      <c r="M1439" s="8"/>
      <c r="N1439" s="8"/>
      <c r="O1439" s="8"/>
      <c r="P1439" s="8"/>
      <c r="Q1439" s="18" t="e">
        <f>(Table1[[#This Row],[A. TÀI SẢN NGẮN HẠN]]-Table1[[#This Row],[I. Nợ ngắn hạn]])/Table1[[#This Row],[TỔNG CỘNG TÀI SẢN]]</f>
        <v>#DIV/0!</v>
      </c>
      <c r="R1439" s="18" t="e">
        <f>Table1[[#This Row],[- LNST chưa phân phối kỳ này]]/Table1[[#This Row],[TỔNG CỘNG TÀI SẢN]]</f>
        <v>#DIV/0!</v>
      </c>
      <c r="S1439" s="21" t="e">
        <f>Table1[[#This Row],[5. Lợi nhuận gộp về bán hàng và cung cấp dịch vụ]]/Table1[[#This Row],[TỔNG CỘNG TÀI SẢN]]</f>
        <v>#DIV/0!</v>
      </c>
      <c r="T143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439" s="23" t="e">
        <f>Table1[[#This Row],[1. Doanh thu bán hàng và cung cấp dịch vụ ]]/Table1[[#This Row],[TỔNG CỘNG TÀI SẢN]]</f>
        <v>#DIV/0!</v>
      </c>
      <c r="V1439" s="23" t="e">
        <f>1.2*Table1[[#This Row],[X1]] + 1.4*Table1[[#This Row],[X2]] + 3.3*Table1[[#This Row],[x3]] + 0.6*Table1[[#This Row],[x4]] + 1*Table1[[#This Row],[x5]]</f>
        <v>#DIV/0!</v>
      </c>
      <c r="W1439" s="23" t="e">
        <f>IF(Table1[[#This Row],[Zscore]]&lt;1.81,1,0)</f>
        <v>#DIV/0!</v>
      </c>
    </row>
    <row r="1440" spans="1:23" hidden="1" x14ac:dyDescent="0.45">
      <c r="A1440" s="7">
        <v>1434</v>
      </c>
      <c r="B1440" s="5" t="s">
        <v>2880</v>
      </c>
      <c r="C1440" s="6" t="s">
        <v>2881</v>
      </c>
      <c r="D1440" s="6" t="s">
        <v>13</v>
      </c>
      <c r="E1440" s="6"/>
      <c r="F1440" s="6"/>
      <c r="G1440" s="6"/>
      <c r="H1440" s="6"/>
      <c r="I1440" s="6"/>
      <c r="J1440" s="8"/>
      <c r="K1440" s="6"/>
      <c r="L1440" s="6"/>
      <c r="M1440" s="8"/>
      <c r="N1440" s="8"/>
      <c r="O1440" s="8"/>
      <c r="P1440" s="8"/>
      <c r="Q1440" s="18" t="e">
        <f>(Table1[[#This Row],[A. TÀI SẢN NGẮN HẠN]]-Table1[[#This Row],[I. Nợ ngắn hạn]])/Table1[[#This Row],[TỔNG CỘNG TÀI SẢN]]</f>
        <v>#DIV/0!</v>
      </c>
      <c r="R1440" s="18" t="e">
        <f>Table1[[#This Row],[- LNST chưa phân phối kỳ này]]/Table1[[#This Row],[TỔNG CỘNG TÀI SẢN]]</f>
        <v>#DIV/0!</v>
      </c>
      <c r="S1440" s="21" t="e">
        <f>Table1[[#This Row],[5. Lợi nhuận gộp về bán hàng và cung cấp dịch vụ]]/Table1[[#This Row],[TỔNG CỘNG TÀI SẢN]]</f>
        <v>#DIV/0!</v>
      </c>
      <c r="T144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440" s="23" t="e">
        <f>Table1[[#This Row],[1. Doanh thu bán hàng và cung cấp dịch vụ ]]/Table1[[#This Row],[TỔNG CỘNG TÀI SẢN]]</f>
        <v>#DIV/0!</v>
      </c>
      <c r="V1440" s="23" t="e">
        <f>1.2*Table1[[#This Row],[X1]] + 1.4*Table1[[#This Row],[X2]] + 3.3*Table1[[#This Row],[x3]] + 0.6*Table1[[#This Row],[x4]] + 1*Table1[[#This Row],[x5]]</f>
        <v>#DIV/0!</v>
      </c>
      <c r="W1440" s="23" t="e">
        <f>IF(Table1[[#This Row],[Zscore]]&lt;1.81,1,0)</f>
        <v>#DIV/0!</v>
      </c>
    </row>
    <row r="1441" spans="1:23" hidden="1" x14ac:dyDescent="0.45">
      <c r="A1441" s="7">
        <v>1435</v>
      </c>
      <c r="B1441" s="5" t="s">
        <v>2882</v>
      </c>
      <c r="C1441" s="6" t="s">
        <v>2883</v>
      </c>
      <c r="D1441" s="6" t="s">
        <v>13</v>
      </c>
      <c r="E1441" s="6"/>
      <c r="F1441" s="6"/>
      <c r="G1441" s="6"/>
      <c r="H1441" s="6"/>
      <c r="I1441" s="6"/>
      <c r="J1441" s="8"/>
      <c r="K1441" s="6"/>
      <c r="L1441" s="6"/>
      <c r="M1441" s="8"/>
      <c r="N1441" s="8"/>
      <c r="O1441" s="8"/>
      <c r="P1441" s="8"/>
      <c r="Q1441" s="18" t="e">
        <f>(Table1[[#This Row],[A. TÀI SẢN NGẮN HẠN]]-Table1[[#This Row],[I. Nợ ngắn hạn]])/Table1[[#This Row],[TỔNG CỘNG TÀI SẢN]]</f>
        <v>#DIV/0!</v>
      </c>
      <c r="R1441" s="18" t="e">
        <f>Table1[[#This Row],[- LNST chưa phân phối kỳ này]]/Table1[[#This Row],[TỔNG CỘNG TÀI SẢN]]</f>
        <v>#DIV/0!</v>
      </c>
      <c r="S1441" s="21" t="e">
        <f>Table1[[#This Row],[5. Lợi nhuận gộp về bán hàng và cung cấp dịch vụ]]/Table1[[#This Row],[TỔNG CỘNG TÀI SẢN]]</f>
        <v>#DIV/0!</v>
      </c>
      <c r="T144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441" s="23" t="e">
        <f>Table1[[#This Row],[1. Doanh thu bán hàng và cung cấp dịch vụ ]]/Table1[[#This Row],[TỔNG CỘNG TÀI SẢN]]</f>
        <v>#DIV/0!</v>
      </c>
      <c r="V1441" s="23" t="e">
        <f>1.2*Table1[[#This Row],[X1]] + 1.4*Table1[[#This Row],[X2]] + 3.3*Table1[[#This Row],[x3]] + 0.6*Table1[[#This Row],[x4]] + 1*Table1[[#This Row],[x5]]</f>
        <v>#DIV/0!</v>
      </c>
      <c r="W1441" s="23" t="e">
        <f>IF(Table1[[#This Row],[Zscore]]&lt;1.81,1,0)</f>
        <v>#DIV/0!</v>
      </c>
    </row>
    <row r="1442" spans="1:23" hidden="1" x14ac:dyDescent="0.45">
      <c r="A1442" s="7">
        <v>1436</v>
      </c>
      <c r="B1442" s="5" t="s">
        <v>2884</v>
      </c>
      <c r="C1442" s="6" t="s">
        <v>2885</v>
      </c>
      <c r="D1442" s="6" t="s">
        <v>13</v>
      </c>
      <c r="E1442" s="6"/>
      <c r="F1442" s="6"/>
      <c r="G1442" s="6"/>
      <c r="H1442" s="6"/>
      <c r="I1442" s="6"/>
      <c r="J1442" s="8"/>
      <c r="K1442" s="6"/>
      <c r="L1442" s="6"/>
      <c r="M1442" s="8"/>
      <c r="N1442" s="8"/>
      <c r="O1442" s="8"/>
      <c r="P1442" s="8"/>
      <c r="Q1442" s="18" t="e">
        <f>(Table1[[#This Row],[A. TÀI SẢN NGẮN HẠN]]-Table1[[#This Row],[I. Nợ ngắn hạn]])/Table1[[#This Row],[TỔNG CỘNG TÀI SẢN]]</f>
        <v>#DIV/0!</v>
      </c>
      <c r="R1442" s="18" t="e">
        <f>Table1[[#This Row],[- LNST chưa phân phối kỳ này]]/Table1[[#This Row],[TỔNG CỘNG TÀI SẢN]]</f>
        <v>#DIV/0!</v>
      </c>
      <c r="S1442" s="21" t="e">
        <f>Table1[[#This Row],[5. Lợi nhuận gộp về bán hàng và cung cấp dịch vụ]]/Table1[[#This Row],[TỔNG CỘNG TÀI SẢN]]</f>
        <v>#DIV/0!</v>
      </c>
      <c r="T144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442" s="23" t="e">
        <f>Table1[[#This Row],[1. Doanh thu bán hàng và cung cấp dịch vụ ]]/Table1[[#This Row],[TỔNG CỘNG TÀI SẢN]]</f>
        <v>#DIV/0!</v>
      </c>
      <c r="V1442" s="23" t="e">
        <f>1.2*Table1[[#This Row],[X1]] + 1.4*Table1[[#This Row],[X2]] + 3.3*Table1[[#This Row],[x3]] + 0.6*Table1[[#This Row],[x4]] + 1*Table1[[#This Row],[x5]]</f>
        <v>#DIV/0!</v>
      </c>
      <c r="W1442" s="23" t="e">
        <f>IF(Table1[[#This Row],[Zscore]]&lt;1.81,1,0)</f>
        <v>#DIV/0!</v>
      </c>
    </row>
    <row r="1443" spans="1:23" ht="26.25" hidden="1" x14ac:dyDescent="0.45">
      <c r="A1443" s="7">
        <v>1437</v>
      </c>
      <c r="B1443" s="5" t="s">
        <v>2886</v>
      </c>
      <c r="C1443" s="6" t="s">
        <v>2887</v>
      </c>
      <c r="D1443" s="6" t="s">
        <v>13</v>
      </c>
      <c r="E1443" s="6"/>
      <c r="F1443" s="6"/>
      <c r="G1443" s="6"/>
      <c r="H1443" s="6"/>
      <c r="I1443" s="6"/>
      <c r="J1443" s="8"/>
      <c r="K1443" s="6"/>
      <c r="L1443" s="6"/>
      <c r="M1443" s="8"/>
      <c r="N1443" s="8"/>
      <c r="O1443" s="8"/>
      <c r="P1443" s="8"/>
      <c r="Q1443" s="18" t="e">
        <f>(Table1[[#This Row],[A. TÀI SẢN NGẮN HẠN]]-Table1[[#This Row],[I. Nợ ngắn hạn]])/Table1[[#This Row],[TỔNG CỘNG TÀI SẢN]]</f>
        <v>#DIV/0!</v>
      </c>
      <c r="R1443" s="18" t="e">
        <f>Table1[[#This Row],[- LNST chưa phân phối kỳ này]]/Table1[[#This Row],[TỔNG CỘNG TÀI SẢN]]</f>
        <v>#DIV/0!</v>
      </c>
      <c r="S1443" s="21" t="e">
        <f>Table1[[#This Row],[5. Lợi nhuận gộp về bán hàng và cung cấp dịch vụ]]/Table1[[#This Row],[TỔNG CỘNG TÀI SẢN]]</f>
        <v>#DIV/0!</v>
      </c>
      <c r="T144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443" s="23" t="e">
        <f>Table1[[#This Row],[1. Doanh thu bán hàng và cung cấp dịch vụ ]]/Table1[[#This Row],[TỔNG CỘNG TÀI SẢN]]</f>
        <v>#DIV/0!</v>
      </c>
      <c r="V1443" s="23" t="e">
        <f>1.2*Table1[[#This Row],[X1]] + 1.4*Table1[[#This Row],[X2]] + 3.3*Table1[[#This Row],[x3]] + 0.6*Table1[[#This Row],[x4]] + 1*Table1[[#This Row],[x5]]</f>
        <v>#DIV/0!</v>
      </c>
      <c r="W1443" s="23" t="e">
        <f>IF(Table1[[#This Row],[Zscore]]&lt;1.81,1,0)</f>
        <v>#DIV/0!</v>
      </c>
    </row>
    <row r="1444" spans="1:23" x14ac:dyDescent="0.45">
      <c r="A1444" s="7">
        <v>1438</v>
      </c>
      <c r="B1444" s="5" t="s">
        <v>2888</v>
      </c>
      <c r="C1444" s="6" t="s">
        <v>2889</v>
      </c>
      <c r="D1444" s="6" t="s">
        <v>21</v>
      </c>
      <c r="E1444" s="8">
        <v>1615763927000000</v>
      </c>
      <c r="F1444" s="6"/>
      <c r="G1444" s="6"/>
      <c r="H1444" s="6"/>
      <c r="I1444" s="6"/>
      <c r="J1444" s="8"/>
      <c r="K1444" s="8">
        <v>1473741402000000</v>
      </c>
      <c r="L1444" s="8">
        <v>89088116000000</v>
      </c>
      <c r="M1444" s="8">
        <v>147064771081900</v>
      </c>
      <c r="N1444" s="8">
        <v>203791497697700</v>
      </c>
      <c r="O1444" s="8">
        <v>157438634602200</v>
      </c>
      <c r="P1444" s="8">
        <v>211040997615800</v>
      </c>
      <c r="Q1444" s="18">
        <f>(Table1[[#This Row],[A. TÀI SẢN NGẮN HẠN]]-Table1[[#This Row],[I. Nợ ngắn hạn]])/Table1[[#This Row],[TỔNG CỘNG TÀI SẢN]]</f>
        <v>0</v>
      </c>
      <c r="R1444" s="18">
        <f>Table1[[#This Row],[- LNST chưa phân phối kỳ này]]/Table1[[#This Row],[TỔNG CỘNG TÀI SẢN]]</f>
        <v>0</v>
      </c>
      <c r="S1444" s="21">
        <f>Table1[[#This Row],[5. Lợi nhuận gộp về bán hàng và cung cấp dịch vụ]]/Table1[[#This Row],[TỔNG CỘNG TÀI SẢN]]</f>
        <v>0</v>
      </c>
      <c r="T144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0.12202546186552747</v>
      </c>
      <c r="U1444" s="23">
        <f>Table1[[#This Row],[1. Doanh thu bán hàng và cung cấp dịch vụ ]]/Table1[[#This Row],[TỔNG CỘNG TÀI SẢN]]</f>
        <v>5.5136839306352457E-2</v>
      </c>
      <c r="V1444" s="23">
        <f>1.2*Table1[[#This Row],[X1]] + 1.4*Table1[[#This Row],[X2]] + 3.3*Table1[[#This Row],[x3]] + 0.6*Table1[[#This Row],[x4]] + 1*Table1[[#This Row],[x5]]</f>
        <v>0.12835211642566893</v>
      </c>
      <c r="W1444" s="23">
        <f>IF(Table1[[#This Row],[Zscore]]&lt;1.81,1,0)</f>
        <v>1</v>
      </c>
    </row>
    <row r="1445" spans="1:23" hidden="1" x14ac:dyDescent="0.45">
      <c r="A1445" s="7">
        <v>1439</v>
      </c>
      <c r="B1445" s="5" t="s">
        <v>2890</v>
      </c>
      <c r="C1445" s="6" t="s">
        <v>2891</v>
      </c>
      <c r="D1445" s="6" t="s">
        <v>13</v>
      </c>
      <c r="E1445" s="6"/>
      <c r="F1445" s="6"/>
      <c r="G1445" s="6"/>
      <c r="H1445" s="6"/>
      <c r="I1445" s="6"/>
      <c r="J1445" s="8"/>
      <c r="K1445" s="6"/>
      <c r="L1445" s="6"/>
      <c r="M1445" s="8"/>
      <c r="N1445" s="8"/>
      <c r="O1445" s="8"/>
      <c r="P1445" s="8"/>
      <c r="Q1445" s="18" t="e">
        <f>(Table1[[#This Row],[A. TÀI SẢN NGẮN HẠN]]-Table1[[#This Row],[I. Nợ ngắn hạn]])/Table1[[#This Row],[TỔNG CỘNG TÀI SẢN]]</f>
        <v>#DIV/0!</v>
      </c>
      <c r="R1445" s="18" t="e">
        <f>Table1[[#This Row],[- LNST chưa phân phối kỳ này]]/Table1[[#This Row],[TỔNG CỘNG TÀI SẢN]]</f>
        <v>#DIV/0!</v>
      </c>
      <c r="S1445" s="21" t="e">
        <f>Table1[[#This Row],[5. Lợi nhuận gộp về bán hàng và cung cấp dịch vụ]]/Table1[[#This Row],[TỔNG CỘNG TÀI SẢN]]</f>
        <v>#DIV/0!</v>
      </c>
      <c r="T144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445" s="23" t="e">
        <f>Table1[[#This Row],[1. Doanh thu bán hàng và cung cấp dịch vụ ]]/Table1[[#This Row],[TỔNG CỘNG TÀI SẢN]]</f>
        <v>#DIV/0!</v>
      </c>
      <c r="V1445" s="23" t="e">
        <f>1.2*Table1[[#This Row],[X1]] + 1.4*Table1[[#This Row],[X2]] + 3.3*Table1[[#This Row],[x3]] + 0.6*Table1[[#This Row],[x4]] + 1*Table1[[#This Row],[x5]]</f>
        <v>#DIV/0!</v>
      </c>
      <c r="W1445" s="23" t="e">
        <f>IF(Table1[[#This Row],[Zscore]]&lt;1.81,1,0)</f>
        <v>#DIV/0!</v>
      </c>
    </row>
    <row r="1446" spans="1:23" x14ac:dyDescent="0.45">
      <c r="A1446" s="7">
        <v>1440</v>
      </c>
      <c r="B1446" s="5" t="s">
        <v>2892</v>
      </c>
      <c r="C1446" s="6" t="s">
        <v>2893</v>
      </c>
      <c r="D1446" s="6" t="s">
        <v>36</v>
      </c>
      <c r="E1446" s="8">
        <v>1450749692330</v>
      </c>
      <c r="F1446" s="8">
        <v>971669348849</v>
      </c>
      <c r="G1446" s="8">
        <v>138710739574</v>
      </c>
      <c r="H1446" s="8">
        <v>20231835230</v>
      </c>
      <c r="I1446" s="8">
        <v>34075165268</v>
      </c>
      <c r="J1446" s="8"/>
      <c r="K1446" s="8">
        <v>140434237888</v>
      </c>
      <c r="L1446" s="8">
        <v>525685947496</v>
      </c>
      <c r="M1446" s="8">
        <v>408743036000</v>
      </c>
      <c r="N1446" s="8">
        <v>372677474000</v>
      </c>
      <c r="O1446" s="8">
        <v>372677474000</v>
      </c>
      <c r="P1446" s="8">
        <v>432786744000</v>
      </c>
      <c r="Q1446" s="18">
        <f>(Table1[[#This Row],[A. TÀI SẢN NGẮN HẠN]]-Table1[[#This Row],[I. Nợ ngắn hạn]])/Table1[[#This Row],[TỔNG CỘNG TÀI SẢN]]</f>
        <v>0.57415735717800731</v>
      </c>
      <c r="R1446" s="18">
        <f>Table1[[#This Row],[- LNST chưa phân phối kỳ này]]/Table1[[#This Row],[TỔNG CỘNG TÀI SẢN]]</f>
        <v>1.3945779438702711E-2</v>
      </c>
      <c r="S1446" s="21">
        <f>Table1[[#This Row],[5. Lợi nhuận gộp về bán hàng và cung cấp dịch vụ]]/Table1[[#This Row],[TỔNG CỘNG TÀI SẢN]]</f>
        <v>2.3487970011748221E-2</v>
      </c>
      <c r="T144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2.8249605506913178</v>
      </c>
      <c r="U1446" s="23">
        <f>Table1[[#This Row],[1. Doanh thu bán hàng và cung cấp dịch vụ ]]/Table1[[#This Row],[TỔNG CỘNG TÀI SẢN]]</f>
        <v>0.36235468480555982</v>
      </c>
      <c r="V1446" s="23">
        <f>1.2*Table1[[#This Row],[X1]] + 1.4*Table1[[#This Row],[X2]] + 3.3*Table1[[#This Row],[x3]] + 0.6*Table1[[#This Row],[x4]] + 1*Table1[[#This Row],[x5]]</f>
        <v>2.843354236086912</v>
      </c>
      <c r="W1446" s="23">
        <f>IF(Table1[[#This Row],[Zscore]]&lt;1.81,1,0)</f>
        <v>0</v>
      </c>
    </row>
    <row r="1447" spans="1:23" ht="26.25" hidden="1" x14ac:dyDescent="0.45">
      <c r="A1447" s="7">
        <v>1441</v>
      </c>
      <c r="B1447" s="5" t="s">
        <v>2894</v>
      </c>
      <c r="C1447" s="6" t="s">
        <v>2895</v>
      </c>
      <c r="D1447" s="6" t="s">
        <v>18</v>
      </c>
      <c r="E1447" s="6"/>
      <c r="F1447" s="6"/>
      <c r="G1447" s="6"/>
      <c r="H1447" s="6"/>
      <c r="I1447" s="6"/>
      <c r="J1447" s="8"/>
      <c r="K1447" s="6"/>
      <c r="L1447" s="6"/>
      <c r="M1447" s="8"/>
      <c r="N1447" s="8"/>
      <c r="O1447" s="8"/>
      <c r="P1447" s="8"/>
      <c r="Q1447" s="18" t="e">
        <f>(Table1[[#This Row],[A. TÀI SẢN NGẮN HẠN]]-Table1[[#This Row],[I. Nợ ngắn hạn]])/Table1[[#This Row],[TỔNG CỘNG TÀI SẢN]]</f>
        <v>#DIV/0!</v>
      </c>
      <c r="R1447" s="18" t="e">
        <f>Table1[[#This Row],[- LNST chưa phân phối kỳ này]]/Table1[[#This Row],[TỔNG CỘNG TÀI SẢN]]</f>
        <v>#DIV/0!</v>
      </c>
      <c r="S1447" s="21" t="e">
        <f>Table1[[#This Row],[5. Lợi nhuận gộp về bán hàng và cung cấp dịch vụ]]/Table1[[#This Row],[TỔNG CỘNG TÀI SẢN]]</f>
        <v>#DIV/0!</v>
      </c>
      <c r="T144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447" s="23" t="e">
        <f>Table1[[#This Row],[1. Doanh thu bán hàng và cung cấp dịch vụ ]]/Table1[[#This Row],[TỔNG CỘNG TÀI SẢN]]</f>
        <v>#DIV/0!</v>
      </c>
      <c r="V1447" s="23" t="e">
        <f>1.2*Table1[[#This Row],[X1]] + 1.4*Table1[[#This Row],[X2]] + 3.3*Table1[[#This Row],[x3]] + 0.6*Table1[[#This Row],[x4]] + 1*Table1[[#This Row],[x5]]</f>
        <v>#DIV/0!</v>
      </c>
      <c r="W1447" s="23" t="e">
        <f>IF(Table1[[#This Row],[Zscore]]&lt;1.81,1,0)</f>
        <v>#DIV/0!</v>
      </c>
    </row>
    <row r="1448" spans="1:23" x14ac:dyDescent="0.45">
      <c r="A1448" s="7">
        <v>1442</v>
      </c>
      <c r="B1448" s="5" t="s">
        <v>2896</v>
      </c>
      <c r="C1448" s="6" t="s">
        <v>2897</v>
      </c>
      <c r="D1448" s="6" t="s">
        <v>36</v>
      </c>
      <c r="E1448" s="8">
        <v>30776329985842</v>
      </c>
      <c r="F1448" s="8">
        <v>30570217920387</v>
      </c>
      <c r="G1448" s="8">
        <v>21219949764436</v>
      </c>
      <c r="H1448" s="8">
        <v>3596586124</v>
      </c>
      <c r="I1448" s="8">
        <v>2530522194862</v>
      </c>
      <c r="J1448" s="8"/>
      <c r="K1448" s="8">
        <v>22781531321125</v>
      </c>
      <c r="L1448" s="8">
        <v>3639425145457</v>
      </c>
      <c r="M1448" s="8">
        <v>17126209906000</v>
      </c>
      <c r="N1448" s="8">
        <v>17126115396000</v>
      </c>
      <c r="O1448" s="8">
        <v>15465139380000</v>
      </c>
      <c r="P1448" s="8">
        <v>19589176548000</v>
      </c>
      <c r="Q1448" s="18">
        <f>(Table1[[#This Row],[A. TÀI SẢN NGẮN HẠN]]-Table1[[#This Row],[I. Nợ ngắn hạn]])/Table1[[#This Row],[TỔNG CỘNG TÀI SẢN]]</f>
        <v>0.30381361781123328</v>
      </c>
      <c r="R1448" s="18">
        <f>Table1[[#This Row],[- LNST chưa phân phối kỳ này]]/Table1[[#This Row],[TỔNG CỘNG TÀI SẢN]]</f>
        <v>1.1686208607896177E-4</v>
      </c>
      <c r="S1448" s="21">
        <f>Table1[[#This Row],[5. Lợi nhuận gộp về bán hàng và cung cấp dịch vụ]]/Table1[[#This Row],[TỔNG CỘNG TÀI SẢN]]</f>
        <v>8.2223000469065458E-2</v>
      </c>
      <c r="T144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0.76055731562843742</v>
      </c>
      <c r="U1448" s="23">
        <f>Table1[[#This Row],[1. Doanh thu bán hàng và cung cấp dịch vụ ]]/Table1[[#This Row],[TỔNG CỘNG TÀI SẢN]]</f>
        <v>0.11825403311997372</v>
      </c>
      <c r="V1448" s="23">
        <f>1.2*Table1[[#This Row],[X1]] + 1.4*Table1[[#This Row],[X2]] + 3.3*Table1[[#This Row],[x3]] + 0.6*Table1[[#This Row],[x4]] + 1*Table1[[#This Row],[x5]]</f>
        <v>1.2106642723389427</v>
      </c>
      <c r="W1448" s="23">
        <f>IF(Table1[[#This Row],[Zscore]]&lt;1.81,1,0)</f>
        <v>1</v>
      </c>
    </row>
    <row r="1449" spans="1:23" ht="26.25" hidden="1" x14ac:dyDescent="0.45">
      <c r="A1449" s="7">
        <v>1443</v>
      </c>
      <c r="B1449" s="5" t="s">
        <v>2898</v>
      </c>
      <c r="C1449" s="6" t="s">
        <v>2899</v>
      </c>
      <c r="D1449" s="6" t="s">
        <v>18</v>
      </c>
      <c r="E1449" s="6"/>
      <c r="F1449" s="6"/>
      <c r="G1449" s="6"/>
      <c r="H1449" s="6"/>
      <c r="I1449" s="6"/>
      <c r="J1449" s="8"/>
      <c r="K1449" s="6"/>
      <c r="L1449" s="6"/>
      <c r="M1449" s="8"/>
      <c r="N1449" s="8"/>
      <c r="O1449" s="8"/>
      <c r="P1449" s="8"/>
      <c r="Q1449" s="18" t="e">
        <f>(Table1[[#This Row],[A. TÀI SẢN NGẮN HẠN]]-Table1[[#This Row],[I. Nợ ngắn hạn]])/Table1[[#This Row],[TỔNG CỘNG TÀI SẢN]]</f>
        <v>#DIV/0!</v>
      </c>
      <c r="R1449" s="18" t="e">
        <f>Table1[[#This Row],[- LNST chưa phân phối kỳ này]]/Table1[[#This Row],[TỔNG CỘNG TÀI SẢN]]</f>
        <v>#DIV/0!</v>
      </c>
      <c r="S1449" s="21" t="e">
        <f>Table1[[#This Row],[5. Lợi nhuận gộp về bán hàng và cung cấp dịch vụ]]/Table1[[#This Row],[TỔNG CỘNG TÀI SẢN]]</f>
        <v>#DIV/0!</v>
      </c>
      <c r="T144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449" s="23" t="e">
        <f>Table1[[#This Row],[1. Doanh thu bán hàng và cung cấp dịch vụ ]]/Table1[[#This Row],[TỔNG CỘNG TÀI SẢN]]</f>
        <v>#DIV/0!</v>
      </c>
      <c r="V1449" s="23" t="e">
        <f>1.2*Table1[[#This Row],[X1]] + 1.4*Table1[[#This Row],[X2]] + 3.3*Table1[[#This Row],[x3]] + 0.6*Table1[[#This Row],[x4]] + 1*Table1[[#This Row],[x5]]</f>
        <v>#DIV/0!</v>
      </c>
      <c r="W1449" s="23" t="e">
        <f>IF(Table1[[#This Row],[Zscore]]&lt;1.81,1,0)</f>
        <v>#DIV/0!</v>
      </c>
    </row>
    <row r="1450" spans="1:23" hidden="1" x14ac:dyDescent="0.45">
      <c r="A1450" s="7">
        <v>1444</v>
      </c>
      <c r="B1450" s="5" t="s">
        <v>2900</v>
      </c>
      <c r="C1450" s="6" t="s">
        <v>2901</v>
      </c>
      <c r="D1450" s="6" t="s">
        <v>13</v>
      </c>
      <c r="E1450" s="6"/>
      <c r="F1450" s="6"/>
      <c r="G1450" s="6"/>
      <c r="H1450" s="6"/>
      <c r="I1450" s="6"/>
      <c r="J1450" s="8"/>
      <c r="K1450" s="6"/>
      <c r="L1450" s="6"/>
      <c r="M1450" s="8"/>
      <c r="N1450" s="8"/>
      <c r="O1450" s="8"/>
      <c r="P1450" s="8"/>
      <c r="Q1450" s="18" t="e">
        <f>(Table1[[#This Row],[A. TÀI SẢN NGẮN HẠN]]-Table1[[#This Row],[I. Nợ ngắn hạn]])/Table1[[#This Row],[TỔNG CỘNG TÀI SẢN]]</f>
        <v>#DIV/0!</v>
      </c>
      <c r="R1450" s="18" t="e">
        <f>Table1[[#This Row],[- LNST chưa phân phối kỳ này]]/Table1[[#This Row],[TỔNG CỘNG TÀI SẢN]]</f>
        <v>#DIV/0!</v>
      </c>
      <c r="S1450" s="21" t="e">
        <f>Table1[[#This Row],[5. Lợi nhuận gộp về bán hàng và cung cấp dịch vụ]]/Table1[[#This Row],[TỔNG CỘNG TÀI SẢN]]</f>
        <v>#DIV/0!</v>
      </c>
      <c r="T145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450" s="23" t="e">
        <f>Table1[[#This Row],[1. Doanh thu bán hàng và cung cấp dịch vụ ]]/Table1[[#This Row],[TỔNG CỘNG TÀI SẢN]]</f>
        <v>#DIV/0!</v>
      </c>
      <c r="V1450" s="23" t="e">
        <f>1.2*Table1[[#This Row],[X1]] + 1.4*Table1[[#This Row],[X2]] + 3.3*Table1[[#This Row],[x3]] + 0.6*Table1[[#This Row],[x4]] + 1*Table1[[#This Row],[x5]]</f>
        <v>#DIV/0!</v>
      </c>
      <c r="W1450" s="23" t="e">
        <f>IF(Table1[[#This Row],[Zscore]]&lt;1.81,1,0)</f>
        <v>#DIV/0!</v>
      </c>
    </row>
    <row r="1451" spans="1:23" hidden="1" x14ac:dyDescent="0.45">
      <c r="A1451" s="7">
        <v>1445</v>
      </c>
      <c r="B1451" s="5" t="s">
        <v>2902</v>
      </c>
      <c r="C1451" s="6" t="s">
        <v>2903</v>
      </c>
      <c r="D1451" s="6" t="s">
        <v>13</v>
      </c>
      <c r="E1451" s="6"/>
      <c r="F1451" s="6"/>
      <c r="G1451" s="6"/>
      <c r="H1451" s="6"/>
      <c r="I1451" s="6"/>
      <c r="J1451" s="8"/>
      <c r="K1451" s="6"/>
      <c r="L1451" s="6"/>
      <c r="M1451" s="8"/>
      <c r="N1451" s="8"/>
      <c r="O1451" s="8"/>
      <c r="P1451" s="8"/>
      <c r="Q1451" s="18" t="e">
        <f>(Table1[[#This Row],[A. TÀI SẢN NGẮN HẠN]]-Table1[[#This Row],[I. Nợ ngắn hạn]])/Table1[[#This Row],[TỔNG CỘNG TÀI SẢN]]</f>
        <v>#DIV/0!</v>
      </c>
      <c r="R1451" s="18" t="e">
        <f>Table1[[#This Row],[- LNST chưa phân phối kỳ này]]/Table1[[#This Row],[TỔNG CỘNG TÀI SẢN]]</f>
        <v>#DIV/0!</v>
      </c>
      <c r="S1451" s="21" t="e">
        <f>Table1[[#This Row],[5. Lợi nhuận gộp về bán hàng và cung cấp dịch vụ]]/Table1[[#This Row],[TỔNG CỘNG TÀI SẢN]]</f>
        <v>#DIV/0!</v>
      </c>
      <c r="T145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451" s="23" t="e">
        <f>Table1[[#This Row],[1. Doanh thu bán hàng và cung cấp dịch vụ ]]/Table1[[#This Row],[TỔNG CỘNG TÀI SẢN]]</f>
        <v>#DIV/0!</v>
      </c>
      <c r="V1451" s="23" t="e">
        <f>1.2*Table1[[#This Row],[X1]] + 1.4*Table1[[#This Row],[X2]] + 3.3*Table1[[#This Row],[x3]] + 0.6*Table1[[#This Row],[x4]] + 1*Table1[[#This Row],[x5]]</f>
        <v>#DIV/0!</v>
      </c>
      <c r="W1451" s="23" t="e">
        <f>IF(Table1[[#This Row],[Zscore]]&lt;1.81,1,0)</f>
        <v>#DIV/0!</v>
      </c>
    </row>
    <row r="1452" spans="1:23" x14ac:dyDescent="0.45">
      <c r="A1452" s="7">
        <v>1446</v>
      </c>
      <c r="B1452" s="5" t="s">
        <v>2904</v>
      </c>
      <c r="C1452" s="6" t="s">
        <v>2905</v>
      </c>
      <c r="D1452" s="6" t="s">
        <v>36</v>
      </c>
      <c r="E1452" s="8">
        <v>85894930926</v>
      </c>
      <c r="F1452" s="8">
        <v>13104929641</v>
      </c>
      <c r="G1452" s="8">
        <v>12675217738</v>
      </c>
      <c r="H1452" s="8">
        <v>1899828255</v>
      </c>
      <c r="I1452" s="8">
        <v>8894671497</v>
      </c>
      <c r="J1452" s="8"/>
      <c r="K1452" s="8">
        <v>13563618406</v>
      </c>
      <c r="L1452" s="8">
        <v>35923733617</v>
      </c>
      <c r="M1452" s="8">
        <v>62326550000</v>
      </c>
      <c r="N1452" s="8">
        <v>68309898800</v>
      </c>
      <c r="O1452" s="8">
        <v>62326550000</v>
      </c>
      <c r="P1452" s="8">
        <v>68309898800</v>
      </c>
      <c r="Q1452" s="18">
        <f>(Table1[[#This Row],[A. TÀI SẢN NGẮN HẠN]]-Table1[[#This Row],[I. Nợ ngắn hạn]])/Table1[[#This Row],[TỔNG CỘNG TÀI SẢN]]</f>
        <v>5.0027620764979061E-3</v>
      </c>
      <c r="R1452" s="18">
        <f>Table1[[#This Row],[- LNST chưa phân phối kỳ này]]/Table1[[#This Row],[TỔNG CỘNG TÀI SẢN]]</f>
        <v>2.2118048580034782E-2</v>
      </c>
      <c r="S1452" s="21">
        <f>Table1[[#This Row],[5. Lợi nhuận gộp về bán hàng và cung cấp dịch vụ]]/Table1[[#This Row],[TỔNG CỘNG TÀI SẢN]]</f>
        <v>0.10355292682711296</v>
      </c>
      <c r="T145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4.8156931612810521</v>
      </c>
      <c r="U1452" s="23">
        <f>Table1[[#This Row],[1. Doanh thu bán hàng và cung cấp dịch vụ ]]/Table1[[#This Row],[TỔNG CỘNG TÀI SẢN]]</f>
        <v>0.41822879685355274</v>
      </c>
      <c r="V1452" s="23">
        <f>1.2*Table1[[#This Row],[X1]] + 1.4*Table1[[#This Row],[X2]] + 3.3*Table1[[#This Row],[x3]] + 0.6*Table1[[#This Row],[x4]] + 1*Table1[[#This Row],[x5]]</f>
        <v>3.6863379346555023</v>
      </c>
      <c r="W1452" s="23">
        <f>IF(Table1[[#This Row],[Zscore]]&lt;1.81,1,0)</f>
        <v>0</v>
      </c>
    </row>
    <row r="1453" spans="1:23" hidden="1" x14ac:dyDescent="0.45">
      <c r="A1453" s="7">
        <v>1447</v>
      </c>
      <c r="B1453" s="5" t="s">
        <v>2906</v>
      </c>
      <c r="C1453" s="6" t="s">
        <v>2907</v>
      </c>
      <c r="D1453" s="6" t="s">
        <v>13</v>
      </c>
      <c r="E1453" s="6"/>
      <c r="F1453" s="6"/>
      <c r="G1453" s="6"/>
      <c r="H1453" s="6"/>
      <c r="I1453" s="6"/>
      <c r="J1453" s="8"/>
      <c r="K1453" s="6"/>
      <c r="L1453" s="6"/>
      <c r="M1453" s="8"/>
      <c r="N1453" s="8"/>
      <c r="O1453" s="8"/>
      <c r="P1453" s="8"/>
      <c r="Q1453" s="18" t="e">
        <f>(Table1[[#This Row],[A. TÀI SẢN NGẮN HẠN]]-Table1[[#This Row],[I. Nợ ngắn hạn]])/Table1[[#This Row],[TỔNG CỘNG TÀI SẢN]]</f>
        <v>#DIV/0!</v>
      </c>
      <c r="R1453" s="18" t="e">
        <f>Table1[[#This Row],[- LNST chưa phân phối kỳ này]]/Table1[[#This Row],[TỔNG CỘNG TÀI SẢN]]</f>
        <v>#DIV/0!</v>
      </c>
      <c r="S1453" s="21" t="e">
        <f>Table1[[#This Row],[5. Lợi nhuận gộp về bán hàng và cung cấp dịch vụ]]/Table1[[#This Row],[TỔNG CỘNG TÀI SẢN]]</f>
        <v>#DIV/0!</v>
      </c>
      <c r="T145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453" s="23" t="e">
        <f>Table1[[#This Row],[1. Doanh thu bán hàng và cung cấp dịch vụ ]]/Table1[[#This Row],[TỔNG CỘNG TÀI SẢN]]</f>
        <v>#DIV/0!</v>
      </c>
      <c r="V1453" s="23" t="e">
        <f>1.2*Table1[[#This Row],[X1]] + 1.4*Table1[[#This Row],[X2]] + 3.3*Table1[[#This Row],[x3]] + 0.6*Table1[[#This Row],[x4]] + 1*Table1[[#This Row],[x5]]</f>
        <v>#DIV/0!</v>
      </c>
      <c r="W1453" s="23" t="e">
        <f>IF(Table1[[#This Row],[Zscore]]&lt;1.81,1,0)</f>
        <v>#DIV/0!</v>
      </c>
    </row>
    <row r="1454" spans="1:23" ht="26.25" hidden="1" x14ac:dyDescent="0.45">
      <c r="A1454" s="7">
        <v>1448</v>
      </c>
      <c r="B1454" s="5" t="s">
        <v>2908</v>
      </c>
      <c r="C1454" s="6" t="s">
        <v>2909</v>
      </c>
      <c r="D1454" s="6" t="s">
        <v>13</v>
      </c>
      <c r="E1454" s="6"/>
      <c r="F1454" s="6"/>
      <c r="G1454" s="6"/>
      <c r="H1454" s="6"/>
      <c r="I1454" s="6"/>
      <c r="J1454" s="8"/>
      <c r="K1454" s="6"/>
      <c r="L1454" s="6"/>
      <c r="M1454" s="8"/>
      <c r="N1454" s="8"/>
      <c r="O1454" s="8"/>
      <c r="P1454" s="8"/>
      <c r="Q1454" s="18" t="e">
        <f>(Table1[[#This Row],[A. TÀI SẢN NGẮN HẠN]]-Table1[[#This Row],[I. Nợ ngắn hạn]])/Table1[[#This Row],[TỔNG CỘNG TÀI SẢN]]</f>
        <v>#DIV/0!</v>
      </c>
      <c r="R1454" s="18" t="e">
        <f>Table1[[#This Row],[- LNST chưa phân phối kỳ này]]/Table1[[#This Row],[TỔNG CỘNG TÀI SẢN]]</f>
        <v>#DIV/0!</v>
      </c>
      <c r="S1454" s="21" t="e">
        <f>Table1[[#This Row],[5. Lợi nhuận gộp về bán hàng và cung cấp dịch vụ]]/Table1[[#This Row],[TỔNG CỘNG TÀI SẢN]]</f>
        <v>#DIV/0!</v>
      </c>
      <c r="T145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454" s="23" t="e">
        <f>Table1[[#This Row],[1. Doanh thu bán hàng và cung cấp dịch vụ ]]/Table1[[#This Row],[TỔNG CỘNG TÀI SẢN]]</f>
        <v>#DIV/0!</v>
      </c>
      <c r="V1454" s="23" t="e">
        <f>1.2*Table1[[#This Row],[X1]] + 1.4*Table1[[#This Row],[X2]] + 3.3*Table1[[#This Row],[x3]] + 0.6*Table1[[#This Row],[x4]] + 1*Table1[[#This Row],[x5]]</f>
        <v>#DIV/0!</v>
      </c>
      <c r="W1454" s="23" t="e">
        <f>IF(Table1[[#This Row],[Zscore]]&lt;1.81,1,0)</f>
        <v>#DIV/0!</v>
      </c>
    </row>
    <row r="1455" spans="1:23" ht="26.25" x14ac:dyDescent="0.45">
      <c r="A1455" s="7">
        <v>1449</v>
      </c>
      <c r="B1455" s="5" t="s">
        <v>2910</v>
      </c>
      <c r="C1455" s="6" t="s">
        <v>2911</v>
      </c>
      <c r="D1455" s="6" t="s">
        <v>36</v>
      </c>
      <c r="E1455" s="8">
        <v>169059774106</v>
      </c>
      <c r="F1455" s="8">
        <v>151983799621</v>
      </c>
      <c r="G1455" s="8">
        <v>49043053421</v>
      </c>
      <c r="H1455" s="8">
        <v>10275724796</v>
      </c>
      <c r="I1455" s="8">
        <v>62740779865</v>
      </c>
      <c r="J1455" s="8"/>
      <c r="K1455" s="8">
        <v>49043053421</v>
      </c>
      <c r="L1455" s="8">
        <v>530711806032</v>
      </c>
      <c r="M1455" s="8">
        <v>93767190600</v>
      </c>
      <c r="N1455" s="8">
        <v>79756001200</v>
      </c>
      <c r="O1455" s="8">
        <v>80833785000</v>
      </c>
      <c r="P1455" s="8">
        <v>81911568800</v>
      </c>
      <c r="Q1455" s="18">
        <f>(Table1[[#This Row],[A. TÀI SẢN NGẮN HẠN]]-Table1[[#This Row],[I. Nợ ngắn hạn]])/Table1[[#This Row],[TỔNG CỘNG TÀI SẢN]]</f>
        <v>0.60890147726955113</v>
      </c>
      <c r="R1455" s="18">
        <f>Table1[[#This Row],[- LNST chưa phân phối kỳ này]]/Table1[[#This Row],[TỔNG CỘNG TÀI SẢN]]</f>
        <v>6.0781607276708824E-2</v>
      </c>
      <c r="S1455" s="21">
        <f>Table1[[#This Row],[5. Lợi nhuận gộp về bán hàng và cung cấp dịch vụ]]/Table1[[#This Row],[TỔNG CỘNG TÀI SẢN]]</f>
        <v>0.37111595704405537</v>
      </c>
      <c r="T145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1.7141497222520581</v>
      </c>
      <c r="U1455" s="23">
        <f>Table1[[#This Row],[1. Doanh thu bán hàng và cung cấp dịch vụ ]]/Table1[[#This Row],[TỔNG CỘNG TÀI SẢN]]</f>
        <v>3.1391962330391214</v>
      </c>
      <c r="V1455" s="23">
        <f>1.2*Table1[[#This Row],[X1]] + 1.4*Table1[[#This Row],[X2]] + 3.3*Table1[[#This Row],[x3]] + 0.6*Table1[[#This Row],[x4]] + 1*Table1[[#This Row],[x5]]</f>
        <v>6.2081447475465925</v>
      </c>
      <c r="W1455" s="23">
        <f>IF(Table1[[#This Row],[Zscore]]&lt;1.81,1,0)</f>
        <v>0</v>
      </c>
    </row>
    <row r="1456" spans="1:23" ht="26.25" x14ac:dyDescent="0.45">
      <c r="A1456" s="7">
        <v>1450</v>
      </c>
      <c r="B1456" s="5" t="s">
        <v>2912</v>
      </c>
      <c r="C1456" s="6" t="s">
        <v>2913</v>
      </c>
      <c r="D1456" s="6" t="s">
        <v>18</v>
      </c>
      <c r="E1456" s="8">
        <v>1340626246761</v>
      </c>
      <c r="F1456" s="8">
        <v>46001487979</v>
      </c>
      <c r="G1456" s="8">
        <v>190626236660</v>
      </c>
      <c r="H1456" s="8">
        <v>-7564429366</v>
      </c>
      <c r="I1456" s="8">
        <v>11044978146</v>
      </c>
      <c r="J1456" s="8"/>
      <c r="K1456" s="8">
        <v>1118826179223</v>
      </c>
      <c r="L1456" s="8">
        <v>45858259669</v>
      </c>
      <c r="M1456" s="8">
        <v>98895000000</v>
      </c>
      <c r="N1456" s="8">
        <v>124920000000</v>
      </c>
      <c r="O1456" s="8">
        <v>88485000000</v>
      </c>
      <c r="P1456" s="8">
        <v>150945000000</v>
      </c>
      <c r="Q1456" s="18">
        <f>(Table1[[#This Row],[A. TÀI SẢN NGẮN HẠN]]-Table1[[#This Row],[I. Nợ ngắn hạn]])/Table1[[#This Row],[TỔNG CỘNG TÀI SẢN]]</f>
        <v>-0.10787850008935634</v>
      </c>
      <c r="R1456" s="18">
        <f>Table1[[#This Row],[- LNST chưa phân phối kỳ này]]/Table1[[#This Row],[TỔNG CỘNG TÀI SẢN]]</f>
        <v>-5.6424595477493648E-3</v>
      </c>
      <c r="S1456" s="21">
        <f>Table1[[#This Row],[5. Lợi nhuận gộp về bán hàng và cung cấp dịch vụ]]/Table1[[#This Row],[TỔNG CỘNG TÀI SẢN]]</f>
        <v>8.2386706755033737E-3</v>
      </c>
      <c r="T145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0.10351138733670708</v>
      </c>
      <c r="U1456" s="23">
        <f>Table1[[#This Row],[1. Doanh thu bán hàng và cung cấp dịch vụ ]]/Table1[[#This Row],[TỔNG CỘNG TÀI SẢN]]</f>
        <v>3.420659544731066E-2</v>
      </c>
      <c r="V1456" s="23">
        <f>1.2*Table1[[#This Row],[X1]] + 1.4*Table1[[#This Row],[X2]] + 3.3*Table1[[#This Row],[x3]] + 0.6*Table1[[#This Row],[x4]] + 1*Table1[[#This Row],[x5]]</f>
        <v>-1.3852602395580685E-2</v>
      </c>
      <c r="W1456" s="23">
        <f>IF(Table1[[#This Row],[Zscore]]&lt;1.81,1,0)</f>
        <v>1</v>
      </c>
    </row>
    <row r="1457" spans="1:23" x14ac:dyDescent="0.45">
      <c r="A1457" s="7">
        <v>1451</v>
      </c>
      <c r="B1457" s="5" t="s">
        <v>2914</v>
      </c>
      <c r="C1457" s="6" t="s">
        <v>2915</v>
      </c>
      <c r="D1457" s="6" t="s">
        <v>21</v>
      </c>
      <c r="E1457" s="8">
        <v>33966203646418</v>
      </c>
      <c r="F1457" s="8">
        <v>17764791621979</v>
      </c>
      <c r="G1457" s="8">
        <v>12641720377113</v>
      </c>
      <c r="H1457" s="8">
        <v>4961668835373</v>
      </c>
      <c r="I1457" s="8">
        <v>13906342626057</v>
      </c>
      <c r="J1457" s="8"/>
      <c r="K1457" s="8">
        <v>15304062330107</v>
      </c>
      <c r="L1457" s="8">
        <v>30814063570655</v>
      </c>
      <c r="M1457" s="8">
        <v>104347841904000</v>
      </c>
      <c r="N1457" s="8">
        <v>234588589476000</v>
      </c>
      <c r="O1457" s="8">
        <v>133218643287800</v>
      </c>
      <c r="P1457" s="8">
        <v>136526332253600</v>
      </c>
      <c r="Q1457" s="18">
        <f>(Table1[[#This Row],[A. TÀI SẢN NGẮN HẠN]]-Table1[[#This Row],[I. Nợ ngắn hạn]])/Table1[[#This Row],[TỔNG CỘNG TÀI SẢN]]</f>
        <v>0.15082849111417454</v>
      </c>
      <c r="R1457" s="18">
        <f>Table1[[#This Row],[- LNST chưa phân phối kỳ này]]/Table1[[#This Row],[TỔNG CỘNG TÀI SẢN]]</f>
        <v>0.14607663803182333</v>
      </c>
      <c r="S1457" s="21">
        <f>Table1[[#This Row],[5. Lợi nhuận gộp về bán hàng và cung cấp dịch vụ]]/Table1[[#This Row],[TỔNG CỘNG TÀI SẢN]]</f>
        <v>0.40941704203447332</v>
      </c>
      <c r="T145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9.9431346036138422</v>
      </c>
      <c r="U1457" s="23">
        <f>Table1[[#This Row],[1. Doanh thu bán hàng và cung cấp dịch vụ ]]/Table1[[#This Row],[TỔNG CỘNG TÀI SẢN]]</f>
        <v>0.90719775137144543</v>
      </c>
      <c r="V1457" s="23">
        <f>1.2*Table1[[#This Row],[X1]] + 1.4*Table1[[#This Row],[X2]] + 3.3*Table1[[#This Row],[x3]] + 0.6*Table1[[#This Row],[x4]] + 1*Table1[[#This Row],[x5]]</f>
        <v>8.6096562348350734</v>
      </c>
      <c r="W1457" s="23">
        <f>IF(Table1[[#This Row],[Zscore]]&lt;1.81,1,0)</f>
        <v>0</v>
      </c>
    </row>
    <row r="1458" spans="1:23" ht="26.25" hidden="1" x14ac:dyDescent="0.45">
      <c r="A1458" s="7">
        <v>1452</v>
      </c>
      <c r="B1458" s="5" t="s">
        <v>2916</v>
      </c>
      <c r="C1458" s="6" t="s">
        <v>2917</v>
      </c>
      <c r="D1458" s="6" t="s">
        <v>13</v>
      </c>
      <c r="E1458" s="6"/>
      <c r="F1458" s="6"/>
      <c r="G1458" s="6"/>
      <c r="H1458" s="6"/>
      <c r="I1458" s="6"/>
      <c r="J1458" s="8"/>
      <c r="K1458" s="6"/>
      <c r="L1458" s="6"/>
      <c r="M1458" s="8"/>
      <c r="N1458" s="8"/>
      <c r="O1458" s="8"/>
      <c r="P1458" s="8"/>
      <c r="Q1458" s="18" t="e">
        <f>(Table1[[#This Row],[A. TÀI SẢN NGẮN HẠN]]-Table1[[#This Row],[I. Nợ ngắn hạn]])/Table1[[#This Row],[TỔNG CỘNG TÀI SẢN]]</f>
        <v>#DIV/0!</v>
      </c>
      <c r="R1458" s="18" t="e">
        <f>Table1[[#This Row],[- LNST chưa phân phối kỳ này]]/Table1[[#This Row],[TỔNG CỘNG TÀI SẢN]]</f>
        <v>#DIV/0!</v>
      </c>
      <c r="S1458" s="21" t="e">
        <f>Table1[[#This Row],[5. Lợi nhuận gộp về bán hàng và cung cấp dịch vụ]]/Table1[[#This Row],[TỔNG CỘNG TÀI SẢN]]</f>
        <v>#DIV/0!</v>
      </c>
      <c r="T145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458" s="23" t="e">
        <f>Table1[[#This Row],[1. Doanh thu bán hàng và cung cấp dịch vụ ]]/Table1[[#This Row],[TỔNG CỘNG TÀI SẢN]]</f>
        <v>#DIV/0!</v>
      </c>
      <c r="V1458" s="23" t="e">
        <f>1.2*Table1[[#This Row],[X1]] + 1.4*Table1[[#This Row],[X2]] + 3.3*Table1[[#This Row],[x3]] + 0.6*Table1[[#This Row],[x4]] + 1*Table1[[#This Row],[x5]]</f>
        <v>#DIV/0!</v>
      </c>
      <c r="W1458" s="23" t="e">
        <f>IF(Table1[[#This Row],[Zscore]]&lt;1.81,1,0)</f>
        <v>#DIV/0!</v>
      </c>
    </row>
    <row r="1459" spans="1:23" hidden="1" x14ac:dyDescent="0.45">
      <c r="A1459" s="7">
        <v>1453</v>
      </c>
      <c r="B1459" s="5" t="s">
        <v>2918</v>
      </c>
      <c r="C1459" s="6" t="s">
        <v>2919</v>
      </c>
      <c r="D1459" s="6" t="s">
        <v>13</v>
      </c>
      <c r="E1459" s="6"/>
      <c r="F1459" s="6"/>
      <c r="G1459" s="6"/>
      <c r="H1459" s="6"/>
      <c r="I1459" s="6"/>
      <c r="J1459" s="8"/>
      <c r="K1459" s="6"/>
      <c r="L1459" s="6"/>
      <c r="M1459" s="8"/>
      <c r="N1459" s="8"/>
      <c r="O1459" s="8"/>
      <c r="P1459" s="8"/>
      <c r="Q1459" s="18" t="e">
        <f>(Table1[[#This Row],[A. TÀI SẢN NGẮN HẠN]]-Table1[[#This Row],[I. Nợ ngắn hạn]])/Table1[[#This Row],[TỔNG CỘNG TÀI SẢN]]</f>
        <v>#DIV/0!</v>
      </c>
      <c r="R1459" s="18" t="e">
        <f>Table1[[#This Row],[- LNST chưa phân phối kỳ này]]/Table1[[#This Row],[TỔNG CỘNG TÀI SẢN]]</f>
        <v>#DIV/0!</v>
      </c>
      <c r="S1459" s="21" t="e">
        <f>Table1[[#This Row],[5. Lợi nhuận gộp về bán hàng và cung cấp dịch vụ]]/Table1[[#This Row],[TỔNG CỘNG TÀI SẢN]]</f>
        <v>#DIV/0!</v>
      </c>
      <c r="T145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459" s="23" t="e">
        <f>Table1[[#This Row],[1. Doanh thu bán hàng và cung cấp dịch vụ ]]/Table1[[#This Row],[TỔNG CỘNG TÀI SẢN]]</f>
        <v>#DIV/0!</v>
      </c>
      <c r="V1459" s="23" t="e">
        <f>1.2*Table1[[#This Row],[X1]] + 1.4*Table1[[#This Row],[X2]] + 3.3*Table1[[#This Row],[x3]] + 0.6*Table1[[#This Row],[x4]] + 1*Table1[[#This Row],[x5]]</f>
        <v>#DIV/0!</v>
      </c>
      <c r="W1459" s="23" t="e">
        <f>IF(Table1[[#This Row],[Zscore]]&lt;1.81,1,0)</f>
        <v>#DIV/0!</v>
      </c>
    </row>
    <row r="1460" spans="1:23" ht="26.25" hidden="1" x14ac:dyDescent="0.45">
      <c r="A1460" s="7">
        <v>1454</v>
      </c>
      <c r="B1460" s="5" t="s">
        <v>2920</v>
      </c>
      <c r="C1460" s="6" t="s">
        <v>2921</v>
      </c>
      <c r="D1460" s="6" t="s">
        <v>13</v>
      </c>
      <c r="E1460" s="6"/>
      <c r="F1460" s="6"/>
      <c r="G1460" s="6"/>
      <c r="H1460" s="6"/>
      <c r="I1460" s="6"/>
      <c r="J1460" s="8"/>
      <c r="K1460" s="6"/>
      <c r="L1460" s="6"/>
      <c r="M1460" s="8"/>
      <c r="N1460" s="8"/>
      <c r="O1460" s="8"/>
      <c r="P1460" s="8"/>
      <c r="Q1460" s="18" t="e">
        <f>(Table1[[#This Row],[A. TÀI SẢN NGẮN HẠN]]-Table1[[#This Row],[I. Nợ ngắn hạn]])/Table1[[#This Row],[TỔNG CỘNG TÀI SẢN]]</f>
        <v>#DIV/0!</v>
      </c>
      <c r="R1460" s="18" t="e">
        <f>Table1[[#This Row],[- LNST chưa phân phối kỳ này]]/Table1[[#This Row],[TỔNG CỘNG TÀI SẢN]]</f>
        <v>#DIV/0!</v>
      </c>
      <c r="S1460" s="21" t="e">
        <f>Table1[[#This Row],[5. Lợi nhuận gộp về bán hàng và cung cấp dịch vụ]]/Table1[[#This Row],[TỔNG CỘNG TÀI SẢN]]</f>
        <v>#DIV/0!</v>
      </c>
      <c r="T146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460" s="23" t="e">
        <f>Table1[[#This Row],[1. Doanh thu bán hàng và cung cấp dịch vụ ]]/Table1[[#This Row],[TỔNG CỘNG TÀI SẢN]]</f>
        <v>#DIV/0!</v>
      </c>
      <c r="V1460" s="23" t="e">
        <f>1.2*Table1[[#This Row],[X1]] + 1.4*Table1[[#This Row],[X2]] + 3.3*Table1[[#This Row],[x3]] + 0.6*Table1[[#This Row],[x4]] + 1*Table1[[#This Row],[x5]]</f>
        <v>#DIV/0!</v>
      </c>
      <c r="W1460" s="23" t="e">
        <f>IF(Table1[[#This Row],[Zscore]]&lt;1.81,1,0)</f>
        <v>#DIV/0!</v>
      </c>
    </row>
    <row r="1461" spans="1:23" x14ac:dyDescent="0.45">
      <c r="A1461" s="7">
        <v>1455</v>
      </c>
      <c r="B1461" s="5" t="s">
        <v>2922</v>
      </c>
      <c r="C1461" s="6" t="s">
        <v>2923</v>
      </c>
      <c r="D1461" s="6" t="s">
        <v>21</v>
      </c>
      <c r="E1461" s="8">
        <v>2679850827162</v>
      </c>
      <c r="F1461" s="8">
        <v>1914727355025</v>
      </c>
      <c r="G1461" s="8">
        <v>397449864751</v>
      </c>
      <c r="H1461" s="8">
        <v>84142322930</v>
      </c>
      <c r="I1461" s="8">
        <v>796979552472</v>
      </c>
      <c r="J1461" s="8"/>
      <c r="K1461" s="8">
        <v>400524881262</v>
      </c>
      <c r="L1461" s="8">
        <v>2839479707154</v>
      </c>
      <c r="M1461" s="8">
        <v>3481500000000</v>
      </c>
      <c r="N1461" s="8">
        <v>2898500000000</v>
      </c>
      <c r="O1461" s="8">
        <v>3113000000000</v>
      </c>
      <c r="P1461" s="8">
        <v>3135000000000</v>
      </c>
      <c r="Q1461" s="18">
        <f>(Table1[[#This Row],[A. TÀI SẢN NGẮN HẠN]]-Table1[[#This Row],[I. Nợ ngắn hạn]])/Table1[[#This Row],[TỔNG CỘNG TÀI SẢN]]</f>
        <v>0.56617983168892216</v>
      </c>
      <c r="R1461" s="18">
        <f>Table1[[#This Row],[- LNST chưa phân phối kỳ này]]/Table1[[#This Row],[TỔNG CỘNG TÀI SẢN]]</f>
        <v>3.1398136820588597E-2</v>
      </c>
      <c r="S1461" s="21">
        <f>Table1[[#This Row],[5. Lợi nhuận gộp về bán hàng và cung cấp dịch vụ]]/Table1[[#This Row],[TỔNG CỘNG TÀI SẢN]]</f>
        <v>0.29739698359106526</v>
      </c>
      <c r="T146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7.8821570087049722</v>
      </c>
      <c r="U1461" s="23">
        <f>Table1[[#This Row],[1. Doanh thu bán hàng và cung cấp dịch vụ ]]/Table1[[#This Row],[TỔNG CỘNG TÀI SẢN]]</f>
        <v>1.0595663304740919</v>
      </c>
      <c r="V1461" s="23">
        <f>1.2*Table1[[#This Row],[X1]] + 1.4*Table1[[#This Row],[X2]] + 3.3*Table1[[#This Row],[x3]] + 0.6*Table1[[#This Row],[x4]] + 1*Table1[[#This Row],[x5]]</f>
        <v>7.4936437711231205</v>
      </c>
      <c r="W1461" s="23">
        <f>IF(Table1[[#This Row],[Zscore]]&lt;1.81,1,0)</f>
        <v>0</v>
      </c>
    </row>
    <row r="1462" spans="1:23" ht="26.25" x14ac:dyDescent="0.45">
      <c r="A1462" s="7">
        <v>1456</v>
      </c>
      <c r="B1462" s="5" t="s">
        <v>2924</v>
      </c>
      <c r="C1462" s="6" t="s">
        <v>2925</v>
      </c>
      <c r="D1462" s="6" t="s">
        <v>36</v>
      </c>
      <c r="E1462" s="8">
        <v>122167040655</v>
      </c>
      <c r="F1462" s="8">
        <v>69971545998</v>
      </c>
      <c r="G1462" s="8">
        <v>63548484448</v>
      </c>
      <c r="H1462" s="8">
        <v>82218375</v>
      </c>
      <c r="I1462" s="8">
        <v>3752593029</v>
      </c>
      <c r="J1462" s="8"/>
      <c r="K1462" s="8">
        <v>69101540565</v>
      </c>
      <c r="L1462" s="8">
        <v>32683169405</v>
      </c>
      <c r="M1462" s="8">
        <v>41039290000</v>
      </c>
      <c r="N1462" s="8">
        <v>27496324300</v>
      </c>
      <c r="O1462" s="8">
        <v>33652217800</v>
      </c>
      <c r="P1462" s="8">
        <v>29958681700</v>
      </c>
      <c r="Q1462" s="18">
        <f>(Table1[[#This Row],[A. TÀI SẢN NGẮN HẠN]]-Table1[[#This Row],[I. Nợ ngắn hạn]])/Table1[[#This Row],[TỔNG CỘNG TÀI SẢN]]</f>
        <v>5.2576059103688531E-2</v>
      </c>
      <c r="R1462" s="18">
        <f>Table1[[#This Row],[- LNST chưa phân phối kỳ này]]/Table1[[#This Row],[TỔNG CỘNG TÀI SẢN]]</f>
        <v>6.7299964506944943E-4</v>
      </c>
      <c r="S1462" s="21">
        <f>Table1[[#This Row],[5. Lợi nhuận gộp về bán hàng và cung cấp dịch vụ]]/Table1[[#This Row],[TỔNG CỘNG TÀI SẢN]]</f>
        <v>3.0716902111080281E-2</v>
      </c>
      <c r="T146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0.47808816098570578</v>
      </c>
      <c r="U1462" s="23">
        <f>Table1[[#This Row],[1. Doanh thu bán hàng và cung cấp dịch vụ ]]/Table1[[#This Row],[TỔNG CỘNG TÀI SẢN]]</f>
        <v>0.26752853494501305</v>
      </c>
      <c r="V1462" s="23">
        <f>1.2*Table1[[#This Row],[X1]] + 1.4*Table1[[#This Row],[X2]] + 3.3*Table1[[#This Row],[x3]] + 0.6*Table1[[#This Row],[x4]] + 1*Table1[[#This Row],[x5]]</f>
        <v>0.71978067893052489</v>
      </c>
      <c r="W1462" s="23">
        <f>IF(Table1[[#This Row],[Zscore]]&lt;1.81,1,0)</f>
        <v>1</v>
      </c>
    </row>
    <row r="1463" spans="1:23" x14ac:dyDescent="0.45">
      <c r="A1463" s="7">
        <v>1457</v>
      </c>
      <c r="B1463" s="5" t="s">
        <v>2926</v>
      </c>
      <c r="C1463" s="6" t="s">
        <v>2927</v>
      </c>
      <c r="D1463" s="6" t="s">
        <v>21</v>
      </c>
      <c r="E1463" s="8">
        <v>326890856343</v>
      </c>
      <c r="F1463" s="8">
        <v>308040632374</v>
      </c>
      <c r="G1463" s="8">
        <v>49758814224</v>
      </c>
      <c r="H1463" s="8">
        <v>10655102391</v>
      </c>
      <c r="I1463" s="8">
        <v>41011830445</v>
      </c>
      <c r="J1463" s="8"/>
      <c r="K1463" s="8">
        <v>49758814224</v>
      </c>
      <c r="L1463" s="8">
        <v>418159915152</v>
      </c>
      <c r="M1463" s="8">
        <v>558126027900</v>
      </c>
      <c r="N1463" s="8">
        <v>562268616700</v>
      </c>
      <c r="O1463" s="8">
        <v>568963426500</v>
      </c>
      <c r="P1463" s="8">
        <v>560281801800</v>
      </c>
      <c r="Q1463" s="18">
        <f>(Table1[[#This Row],[A. TÀI SẢN NGẮN HẠN]]-Table1[[#This Row],[I. Nợ ngắn hạn]])/Table1[[#This Row],[TỔNG CỘNG TÀI SẢN]]</f>
        <v>0.79011637413005542</v>
      </c>
      <c r="R1463" s="18">
        <f>Table1[[#This Row],[- LNST chưa phân phối kỳ này]]/Table1[[#This Row],[TỔNG CỘNG TÀI SẢN]]</f>
        <v>3.2595290398149943E-2</v>
      </c>
      <c r="S1463" s="21">
        <f>Table1[[#This Row],[5. Lợi nhuận gộp về bán hàng và cung cấp dịch vụ]]/Table1[[#This Row],[TỔNG CỘNG TÀI SẢN]]</f>
        <v>0.12546031695045978</v>
      </c>
      <c r="T146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11.302720472662202</v>
      </c>
      <c r="U1463" s="23">
        <f>Table1[[#This Row],[1. Doanh thu bán hàng và cung cấp dịch vụ ]]/Table1[[#This Row],[TỔNG CỘNG TÀI SẢN]]</f>
        <v>1.2792034620669634</v>
      </c>
      <c r="V1463" s="23">
        <f>1.2*Table1[[#This Row],[X1]] + 1.4*Table1[[#This Row],[X2]] + 3.3*Table1[[#This Row],[x3]] + 0.6*Table1[[#This Row],[x4]] + 1*Table1[[#This Row],[x5]]</f>
        <v>9.4686278471142771</v>
      </c>
      <c r="W1463" s="23">
        <f>IF(Table1[[#This Row],[Zscore]]&lt;1.81,1,0)</f>
        <v>0</v>
      </c>
    </row>
    <row r="1464" spans="1:23" hidden="1" x14ac:dyDescent="0.45">
      <c r="A1464" s="7">
        <v>1458</v>
      </c>
      <c r="B1464" s="5" t="s">
        <v>2928</v>
      </c>
      <c r="C1464" s="6" t="s">
        <v>2929</v>
      </c>
      <c r="D1464" s="6" t="s">
        <v>13</v>
      </c>
      <c r="E1464" s="6"/>
      <c r="F1464" s="6"/>
      <c r="G1464" s="6"/>
      <c r="H1464" s="6"/>
      <c r="I1464" s="6"/>
      <c r="J1464" s="8"/>
      <c r="K1464" s="6"/>
      <c r="L1464" s="6"/>
      <c r="M1464" s="8"/>
      <c r="N1464" s="8"/>
      <c r="O1464" s="8"/>
      <c r="P1464" s="8"/>
      <c r="Q1464" s="18" t="e">
        <f>(Table1[[#This Row],[A. TÀI SẢN NGẮN HẠN]]-Table1[[#This Row],[I. Nợ ngắn hạn]])/Table1[[#This Row],[TỔNG CỘNG TÀI SẢN]]</f>
        <v>#DIV/0!</v>
      </c>
      <c r="R1464" s="18" t="e">
        <f>Table1[[#This Row],[- LNST chưa phân phối kỳ này]]/Table1[[#This Row],[TỔNG CỘNG TÀI SẢN]]</f>
        <v>#DIV/0!</v>
      </c>
      <c r="S1464" s="21" t="e">
        <f>Table1[[#This Row],[5. Lợi nhuận gộp về bán hàng và cung cấp dịch vụ]]/Table1[[#This Row],[TỔNG CỘNG TÀI SẢN]]</f>
        <v>#DIV/0!</v>
      </c>
      <c r="T146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464" s="23" t="e">
        <f>Table1[[#This Row],[1. Doanh thu bán hàng và cung cấp dịch vụ ]]/Table1[[#This Row],[TỔNG CỘNG TÀI SẢN]]</f>
        <v>#DIV/0!</v>
      </c>
      <c r="V1464" s="23" t="e">
        <f>1.2*Table1[[#This Row],[X1]] + 1.4*Table1[[#This Row],[X2]] + 3.3*Table1[[#This Row],[x3]] + 0.6*Table1[[#This Row],[x4]] + 1*Table1[[#This Row],[x5]]</f>
        <v>#DIV/0!</v>
      </c>
      <c r="W1464" s="23" t="e">
        <f>IF(Table1[[#This Row],[Zscore]]&lt;1.81,1,0)</f>
        <v>#DIV/0!</v>
      </c>
    </row>
    <row r="1465" spans="1:23" ht="26.25" hidden="1" x14ac:dyDescent="0.45">
      <c r="A1465" s="7">
        <v>1459</v>
      </c>
      <c r="B1465" s="5" t="s">
        <v>2930</v>
      </c>
      <c r="C1465" s="6" t="s">
        <v>2931</v>
      </c>
      <c r="D1465" s="6" t="s">
        <v>13</v>
      </c>
      <c r="E1465" s="6"/>
      <c r="F1465" s="6"/>
      <c r="G1465" s="6"/>
      <c r="H1465" s="6"/>
      <c r="I1465" s="6"/>
      <c r="J1465" s="8"/>
      <c r="K1465" s="6"/>
      <c r="L1465" s="6"/>
      <c r="M1465" s="8"/>
      <c r="N1465" s="8"/>
      <c r="O1465" s="8"/>
      <c r="P1465" s="8"/>
      <c r="Q1465" s="18" t="e">
        <f>(Table1[[#This Row],[A. TÀI SẢN NGẮN HẠN]]-Table1[[#This Row],[I. Nợ ngắn hạn]])/Table1[[#This Row],[TỔNG CỘNG TÀI SẢN]]</f>
        <v>#DIV/0!</v>
      </c>
      <c r="R1465" s="18" t="e">
        <f>Table1[[#This Row],[- LNST chưa phân phối kỳ này]]/Table1[[#This Row],[TỔNG CỘNG TÀI SẢN]]</f>
        <v>#DIV/0!</v>
      </c>
      <c r="S1465" s="21" t="e">
        <f>Table1[[#This Row],[5. Lợi nhuận gộp về bán hàng và cung cấp dịch vụ]]/Table1[[#This Row],[TỔNG CỘNG TÀI SẢN]]</f>
        <v>#DIV/0!</v>
      </c>
      <c r="T146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465" s="23" t="e">
        <f>Table1[[#This Row],[1. Doanh thu bán hàng và cung cấp dịch vụ ]]/Table1[[#This Row],[TỔNG CỘNG TÀI SẢN]]</f>
        <v>#DIV/0!</v>
      </c>
      <c r="V1465" s="23" t="e">
        <f>1.2*Table1[[#This Row],[X1]] + 1.4*Table1[[#This Row],[X2]] + 3.3*Table1[[#This Row],[x3]] + 0.6*Table1[[#This Row],[x4]] + 1*Table1[[#This Row],[x5]]</f>
        <v>#DIV/0!</v>
      </c>
      <c r="W1465" s="23" t="e">
        <f>IF(Table1[[#This Row],[Zscore]]&lt;1.81,1,0)</f>
        <v>#DIV/0!</v>
      </c>
    </row>
    <row r="1466" spans="1:23" ht="26.25" hidden="1" x14ac:dyDescent="0.45">
      <c r="A1466" s="7">
        <v>1460</v>
      </c>
      <c r="B1466" s="5" t="s">
        <v>2932</v>
      </c>
      <c r="C1466" s="6" t="s">
        <v>2933</v>
      </c>
      <c r="D1466" s="6" t="s">
        <v>13</v>
      </c>
      <c r="E1466" s="6"/>
      <c r="F1466" s="6"/>
      <c r="G1466" s="6"/>
      <c r="H1466" s="6"/>
      <c r="I1466" s="6"/>
      <c r="J1466" s="8"/>
      <c r="K1466" s="6"/>
      <c r="L1466" s="6"/>
      <c r="M1466" s="8"/>
      <c r="N1466" s="8"/>
      <c r="O1466" s="8"/>
      <c r="P1466" s="8"/>
      <c r="Q1466" s="18" t="e">
        <f>(Table1[[#This Row],[A. TÀI SẢN NGẮN HẠN]]-Table1[[#This Row],[I. Nợ ngắn hạn]])/Table1[[#This Row],[TỔNG CỘNG TÀI SẢN]]</f>
        <v>#DIV/0!</v>
      </c>
      <c r="R1466" s="18" t="e">
        <f>Table1[[#This Row],[- LNST chưa phân phối kỳ này]]/Table1[[#This Row],[TỔNG CỘNG TÀI SẢN]]</f>
        <v>#DIV/0!</v>
      </c>
      <c r="S1466" s="21" t="e">
        <f>Table1[[#This Row],[5. Lợi nhuận gộp về bán hàng và cung cấp dịch vụ]]/Table1[[#This Row],[TỔNG CỘNG TÀI SẢN]]</f>
        <v>#DIV/0!</v>
      </c>
      <c r="T146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466" s="23" t="e">
        <f>Table1[[#This Row],[1. Doanh thu bán hàng và cung cấp dịch vụ ]]/Table1[[#This Row],[TỔNG CỘNG TÀI SẢN]]</f>
        <v>#DIV/0!</v>
      </c>
      <c r="V1466" s="23" t="e">
        <f>1.2*Table1[[#This Row],[X1]] + 1.4*Table1[[#This Row],[X2]] + 3.3*Table1[[#This Row],[x3]] + 0.6*Table1[[#This Row],[x4]] + 1*Table1[[#This Row],[x5]]</f>
        <v>#DIV/0!</v>
      </c>
      <c r="W1466" s="23" t="e">
        <f>IF(Table1[[#This Row],[Zscore]]&lt;1.81,1,0)</f>
        <v>#DIV/0!</v>
      </c>
    </row>
    <row r="1467" spans="1:23" hidden="1" x14ac:dyDescent="0.45">
      <c r="A1467" s="7">
        <v>1461</v>
      </c>
      <c r="B1467" s="5" t="s">
        <v>2934</v>
      </c>
      <c r="C1467" s="6" t="s">
        <v>2935</v>
      </c>
      <c r="D1467" s="6" t="s">
        <v>18</v>
      </c>
      <c r="E1467" s="6"/>
      <c r="F1467" s="6"/>
      <c r="G1467" s="6"/>
      <c r="H1467" s="6"/>
      <c r="I1467" s="6"/>
      <c r="J1467" s="8"/>
      <c r="K1467" s="6"/>
      <c r="L1467" s="6"/>
      <c r="M1467" s="8"/>
      <c r="N1467" s="8"/>
      <c r="O1467" s="8"/>
      <c r="P1467" s="8"/>
      <c r="Q1467" s="18" t="e">
        <f>(Table1[[#This Row],[A. TÀI SẢN NGẮN HẠN]]-Table1[[#This Row],[I. Nợ ngắn hạn]])/Table1[[#This Row],[TỔNG CỘNG TÀI SẢN]]</f>
        <v>#DIV/0!</v>
      </c>
      <c r="R1467" s="18" t="e">
        <f>Table1[[#This Row],[- LNST chưa phân phối kỳ này]]/Table1[[#This Row],[TỔNG CỘNG TÀI SẢN]]</f>
        <v>#DIV/0!</v>
      </c>
      <c r="S1467" s="21" t="e">
        <f>Table1[[#This Row],[5. Lợi nhuận gộp về bán hàng và cung cấp dịch vụ]]/Table1[[#This Row],[TỔNG CỘNG TÀI SẢN]]</f>
        <v>#DIV/0!</v>
      </c>
      <c r="T146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467" s="23" t="e">
        <f>Table1[[#This Row],[1. Doanh thu bán hàng và cung cấp dịch vụ ]]/Table1[[#This Row],[TỔNG CỘNG TÀI SẢN]]</f>
        <v>#DIV/0!</v>
      </c>
      <c r="V1467" s="23" t="e">
        <f>1.2*Table1[[#This Row],[X1]] + 1.4*Table1[[#This Row],[X2]] + 3.3*Table1[[#This Row],[x3]] + 0.6*Table1[[#This Row],[x4]] + 1*Table1[[#This Row],[x5]]</f>
        <v>#DIV/0!</v>
      </c>
      <c r="W1467" s="23" t="e">
        <f>IF(Table1[[#This Row],[Zscore]]&lt;1.81,1,0)</f>
        <v>#DIV/0!</v>
      </c>
    </row>
    <row r="1468" spans="1:23" ht="26.25" x14ac:dyDescent="0.45">
      <c r="A1468" s="7">
        <v>1462</v>
      </c>
      <c r="B1468" s="5" t="s">
        <v>2936</v>
      </c>
      <c r="C1468" s="6" t="s">
        <v>2937</v>
      </c>
      <c r="D1468" s="6" t="s">
        <v>36</v>
      </c>
      <c r="E1468" s="8">
        <v>1148700053442</v>
      </c>
      <c r="F1468" s="8">
        <v>387979735369</v>
      </c>
      <c r="G1468" s="8">
        <v>615133526587</v>
      </c>
      <c r="H1468" s="8">
        <v>32379476440</v>
      </c>
      <c r="I1468" s="8">
        <v>242186809373</v>
      </c>
      <c r="J1468" s="8"/>
      <c r="K1468" s="8">
        <v>831309112386</v>
      </c>
      <c r="L1468" s="8">
        <v>2653445307571</v>
      </c>
      <c r="M1468" s="8">
        <v>289147671000</v>
      </c>
      <c r="N1468" s="8">
        <v>214183460000</v>
      </c>
      <c r="O1468" s="8">
        <v>233459971400</v>
      </c>
      <c r="P1468" s="8">
        <v>212041625400</v>
      </c>
      <c r="Q1468" s="18">
        <f>(Table1[[#This Row],[A. TÀI SẢN NGẮN HẠN]]-Table1[[#This Row],[I. Nợ ngắn hạn]])/Table1[[#This Row],[TỔNG CỘNG TÀI SẢN]]</f>
        <v>-0.19774856851216244</v>
      </c>
      <c r="R1468" s="18">
        <f>Table1[[#This Row],[- LNST chưa phân phối kỳ này]]/Table1[[#This Row],[TỔNG CỘNG TÀI SẢN]]</f>
        <v>2.8187929775903765E-2</v>
      </c>
      <c r="S1468" s="21">
        <f>Table1[[#This Row],[5. Lợi nhuận gộp về bán hàng và cung cấp dịch vụ]]/Table1[[#This Row],[TỔNG CỘNG TÀI SẢN]]</f>
        <v>0.21083555158485806</v>
      </c>
      <c r="T146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0.28534293491523477</v>
      </c>
      <c r="U1468" s="23">
        <f>Table1[[#This Row],[1. Doanh thu bán hàng và cung cấp dịch vụ ]]/Table1[[#This Row],[TỔNG CỘNG TÀI SẢN]]</f>
        <v>2.3099548917231574</v>
      </c>
      <c r="V1468" s="23">
        <f>1.2*Table1[[#This Row],[X1]] + 1.4*Table1[[#This Row],[X2]] + 3.3*Table1[[#This Row],[x3]] + 0.6*Table1[[#This Row],[x4]] + 1*Table1[[#This Row],[x5]]</f>
        <v>2.9790827923740002</v>
      </c>
      <c r="W1468" s="23">
        <f>IF(Table1[[#This Row],[Zscore]]&lt;1.81,1,0)</f>
        <v>0</v>
      </c>
    </row>
    <row r="1469" spans="1:23" x14ac:dyDescent="0.45">
      <c r="A1469" s="7">
        <v>1463</v>
      </c>
      <c r="B1469" s="5" t="s">
        <v>2938</v>
      </c>
      <c r="C1469" s="6" t="s">
        <v>2939</v>
      </c>
      <c r="D1469" s="6" t="s">
        <v>18</v>
      </c>
      <c r="E1469" s="8">
        <v>1057005255806</v>
      </c>
      <c r="F1469" s="8">
        <v>381834722374</v>
      </c>
      <c r="G1469" s="8">
        <v>403837869558</v>
      </c>
      <c r="H1469" s="8">
        <v>8150256379</v>
      </c>
      <c r="I1469" s="8">
        <v>84641738038</v>
      </c>
      <c r="J1469" s="8"/>
      <c r="K1469" s="8">
        <v>403837869558</v>
      </c>
      <c r="L1469" s="8">
        <v>987008197183</v>
      </c>
      <c r="M1469" s="8">
        <v>374772446000</v>
      </c>
      <c r="N1469" s="8">
        <v>319658851000</v>
      </c>
      <c r="O1469" s="8">
        <v>369261086500</v>
      </c>
      <c r="P1469" s="8">
        <v>336192929500</v>
      </c>
      <c r="Q1469" s="18">
        <f>(Table1[[#This Row],[A. TÀI SẢN NGẮN HẠN]]-Table1[[#This Row],[I. Nợ ngắn hạn]])/Table1[[#This Row],[TỔNG CỘNG TÀI SẢN]]</f>
        <v>-2.0816497423394458E-2</v>
      </c>
      <c r="R1469" s="18">
        <f>Table1[[#This Row],[- LNST chưa phân phối kỳ này]]/Table1[[#This Row],[TỔNG CỘNG TÀI SẢN]]</f>
        <v>7.7107056320029092E-3</v>
      </c>
      <c r="S1469" s="21">
        <f>Table1[[#This Row],[5. Lợi nhuận gộp về bán hàng và cung cấp dịch vụ]]/Table1[[#This Row],[TỔNG CỘNG TÀI SẢN]]</f>
        <v>8.0076932042743715E-2</v>
      </c>
      <c r="T146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0.86661344720603628</v>
      </c>
      <c r="U1469" s="23">
        <f>Table1[[#This Row],[1. Doanh thu bán hàng và cung cấp dịch vụ ]]/Table1[[#This Row],[TỔNG CỘNG TÀI SẢN]]</f>
        <v>0.93377794647801915</v>
      </c>
      <c r="V1469" s="23">
        <f>1.2*Table1[[#This Row],[X1]] + 1.4*Table1[[#This Row],[X2]] + 3.3*Table1[[#This Row],[x3]] + 0.6*Table1[[#This Row],[x4]] + 1*Table1[[#This Row],[x5]]</f>
        <v>1.703815081519426</v>
      </c>
      <c r="W1469" s="23">
        <f>IF(Table1[[#This Row],[Zscore]]&lt;1.81,1,0)</f>
        <v>1</v>
      </c>
    </row>
    <row r="1470" spans="1:23" x14ac:dyDescent="0.45">
      <c r="A1470" s="7">
        <v>1464</v>
      </c>
      <c r="B1470" s="5" t="s">
        <v>2940</v>
      </c>
      <c r="C1470" s="6" t="s">
        <v>2941</v>
      </c>
      <c r="D1470" s="6" t="s">
        <v>21</v>
      </c>
      <c r="E1470" s="8">
        <v>369381234369</v>
      </c>
      <c r="F1470" s="8">
        <v>197713729172</v>
      </c>
      <c r="G1470" s="8">
        <v>195646049294</v>
      </c>
      <c r="H1470" s="8">
        <v>43077051910</v>
      </c>
      <c r="I1470" s="8">
        <v>82789243775</v>
      </c>
      <c r="J1470" s="8"/>
      <c r="K1470" s="8">
        <v>196071005240</v>
      </c>
      <c r="L1470" s="8">
        <v>240786606783</v>
      </c>
      <c r="M1470" s="8">
        <v>144546934000</v>
      </c>
      <c r="N1470" s="8">
        <v>276704130800</v>
      </c>
      <c r="O1470" s="8">
        <v>125962328200</v>
      </c>
      <c r="P1470" s="8">
        <v>175521277000</v>
      </c>
      <c r="Q1470" s="18">
        <f>(Table1[[#This Row],[A. TÀI SẢN NGẮN HẠN]]-Table1[[#This Row],[I. Nợ ngắn hạn]])/Table1[[#This Row],[TỔNG CỘNG TÀI SẢN]]</f>
        <v>5.5976852249469021E-3</v>
      </c>
      <c r="R1470" s="18">
        <f>Table1[[#This Row],[- LNST chưa phân phối kỳ này]]/Table1[[#This Row],[TỔNG CỘNG TÀI SẢN]]</f>
        <v>0.11661949200962225</v>
      </c>
      <c r="S1470" s="21">
        <f>Table1[[#This Row],[5. Lợi nhuận gộp về bán hàng và cung cấp dịch vụ]]/Table1[[#This Row],[TỔNG CỘNG TÀI SẢN]]</f>
        <v>0.224129533587232</v>
      </c>
      <c r="T147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0.92152160529209715</v>
      </c>
      <c r="U1470" s="23">
        <f>Table1[[#This Row],[1. Doanh thu bán hàng và cung cấp dịch vụ ]]/Table1[[#This Row],[TỔNG CỘNG TÀI SẢN]]</f>
        <v>0.65186475212885853</v>
      </c>
      <c r="V1470" s="23">
        <f>1.2*Table1[[#This Row],[X1]] + 1.4*Table1[[#This Row],[X2]] + 3.3*Table1[[#This Row],[x3]] + 0.6*Table1[[#This Row],[x4]] + 1*Table1[[#This Row],[x5]]</f>
        <v>2.1143896872253896</v>
      </c>
      <c r="W1470" s="23">
        <f>IF(Table1[[#This Row],[Zscore]]&lt;1.81,1,0)</f>
        <v>0</v>
      </c>
    </row>
    <row r="1471" spans="1:23" hidden="1" x14ac:dyDescent="0.45">
      <c r="A1471" s="7">
        <v>1465</v>
      </c>
      <c r="B1471" s="5" t="s">
        <v>2942</v>
      </c>
      <c r="C1471" s="6" t="s">
        <v>2943</v>
      </c>
      <c r="D1471" s="6" t="s">
        <v>13</v>
      </c>
      <c r="E1471" s="6"/>
      <c r="F1471" s="6"/>
      <c r="G1471" s="6"/>
      <c r="H1471" s="6"/>
      <c r="I1471" s="6"/>
      <c r="J1471" s="8"/>
      <c r="K1471" s="6"/>
      <c r="L1471" s="6"/>
      <c r="M1471" s="8"/>
      <c r="N1471" s="8"/>
      <c r="O1471" s="8"/>
      <c r="P1471" s="8"/>
      <c r="Q1471" s="18" t="e">
        <f>(Table1[[#This Row],[A. TÀI SẢN NGẮN HẠN]]-Table1[[#This Row],[I. Nợ ngắn hạn]])/Table1[[#This Row],[TỔNG CỘNG TÀI SẢN]]</f>
        <v>#DIV/0!</v>
      </c>
      <c r="R1471" s="18" t="e">
        <f>Table1[[#This Row],[- LNST chưa phân phối kỳ này]]/Table1[[#This Row],[TỔNG CỘNG TÀI SẢN]]</f>
        <v>#DIV/0!</v>
      </c>
      <c r="S1471" s="21" t="e">
        <f>Table1[[#This Row],[5. Lợi nhuận gộp về bán hàng và cung cấp dịch vụ]]/Table1[[#This Row],[TỔNG CỘNG TÀI SẢN]]</f>
        <v>#DIV/0!</v>
      </c>
      <c r="T147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471" s="23" t="e">
        <f>Table1[[#This Row],[1. Doanh thu bán hàng và cung cấp dịch vụ ]]/Table1[[#This Row],[TỔNG CỘNG TÀI SẢN]]</f>
        <v>#DIV/0!</v>
      </c>
      <c r="V1471" s="23" t="e">
        <f>1.2*Table1[[#This Row],[X1]] + 1.4*Table1[[#This Row],[X2]] + 3.3*Table1[[#This Row],[x3]] + 0.6*Table1[[#This Row],[x4]] + 1*Table1[[#This Row],[x5]]</f>
        <v>#DIV/0!</v>
      </c>
      <c r="W1471" s="23" t="e">
        <f>IF(Table1[[#This Row],[Zscore]]&lt;1.81,1,0)</f>
        <v>#DIV/0!</v>
      </c>
    </row>
    <row r="1472" spans="1:23" ht="26.25" hidden="1" x14ac:dyDescent="0.45">
      <c r="A1472" s="7">
        <v>1466</v>
      </c>
      <c r="B1472" s="5" t="s">
        <v>2944</v>
      </c>
      <c r="C1472" s="6" t="s">
        <v>2945</v>
      </c>
      <c r="D1472" s="6" t="s">
        <v>13</v>
      </c>
      <c r="E1472" s="6"/>
      <c r="F1472" s="6"/>
      <c r="G1472" s="6"/>
      <c r="H1472" s="6"/>
      <c r="I1472" s="6"/>
      <c r="J1472" s="8"/>
      <c r="K1472" s="6"/>
      <c r="L1472" s="6"/>
      <c r="M1472" s="8"/>
      <c r="N1472" s="8"/>
      <c r="O1472" s="8"/>
      <c r="P1472" s="8"/>
      <c r="Q1472" s="18" t="e">
        <f>(Table1[[#This Row],[A. TÀI SẢN NGẮN HẠN]]-Table1[[#This Row],[I. Nợ ngắn hạn]])/Table1[[#This Row],[TỔNG CỘNG TÀI SẢN]]</f>
        <v>#DIV/0!</v>
      </c>
      <c r="R1472" s="18" t="e">
        <f>Table1[[#This Row],[- LNST chưa phân phối kỳ này]]/Table1[[#This Row],[TỔNG CỘNG TÀI SẢN]]</f>
        <v>#DIV/0!</v>
      </c>
      <c r="S1472" s="21" t="e">
        <f>Table1[[#This Row],[5. Lợi nhuận gộp về bán hàng và cung cấp dịch vụ]]/Table1[[#This Row],[TỔNG CỘNG TÀI SẢN]]</f>
        <v>#DIV/0!</v>
      </c>
      <c r="T147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472" s="23" t="e">
        <f>Table1[[#This Row],[1. Doanh thu bán hàng và cung cấp dịch vụ ]]/Table1[[#This Row],[TỔNG CỘNG TÀI SẢN]]</f>
        <v>#DIV/0!</v>
      </c>
      <c r="V1472" s="23" t="e">
        <f>1.2*Table1[[#This Row],[X1]] + 1.4*Table1[[#This Row],[X2]] + 3.3*Table1[[#This Row],[x3]] + 0.6*Table1[[#This Row],[x4]] + 1*Table1[[#This Row],[x5]]</f>
        <v>#DIV/0!</v>
      </c>
      <c r="W1472" s="23" t="e">
        <f>IF(Table1[[#This Row],[Zscore]]&lt;1.81,1,0)</f>
        <v>#DIV/0!</v>
      </c>
    </row>
    <row r="1473" spans="1:23" hidden="1" x14ac:dyDescent="0.45">
      <c r="A1473" s="7">
        <v>1467</v>
      </c>
      <c r="B1473" s="5" t="s">
        <v>2946</v>
      </c>
      <c r="C1473" s="6" t="s">
        <v>2947</v>
      </c>
      <c r="D1473" s="6" t="s">
        <v>13</v>
      </c>
      <c r="E1473" s="6"/>
      <c r="F1473" s="6"/>
      <c r="G1473" s="6"/>
      <c r="H1473" s="6"/>
      <c r="I1473" s="6"/>
      <c r="J1473" s="8"/>
      <c r="K1473" s="6"/>
      <c r="L1473" s="6"/>
      <c r="M1473" s="8"/>
      <c r="N1473" s="8"/>
      <c r="O1473" s="8"/>
      <c r="P1473" s="8"/>
      <c r="Q1473" s="18" t="e">
        <f>(Table1[[#This Row],[A. TÀI SẢN NGẮN HẠN]]-Table1[[#This Row],[I. Nợ ngắn hạn]])/Table1[[#This Row],[TỔNG CỘNG TÀI SẢN]]</f>
        <v>#DIV/0!</v>
      </c>
      <c r="R1473" s="18" t="e">
        <f>Table1[[#This Row],[- LNST chưa phân phối kỳ này]]/Table1[[#This Row],[TỔNG CỘNG TÀI SẢN]]</f>
        <v>#DIV/0!</v>
      </c>
      <c r="S1473" s="21" t="e">
        <f>Table1[[#This Row],[5. Lợi nhuận gộp về bán hàng và cung cấp dịch vụ]]/Table1[[#This Row],[TỔNG CỘNG TÀI SẢN]]</f>
        <v>#DIV/0!</v>
      </c>
      <c r="T147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473" s="23" t="e">
        <f>Table1[[#This Row],[1. Doanh thu bán hàng và cung cấp dịch vụ ]]/Table1[[#This Row],[TỔNG CỘNG TÀI SẢN]]</f>
        <v>#DIV/0!</v>
      </c>
      <c r="V1473" s="23" t="e">
        <f>1.2*Table1[[#This Row],[X1]] + 1.4*Table1[[#This Row],[X2]] + 3.3*Table1[[#This Row],[x3]] + 0.6*Table1[[#This Row],[x4]] + 1*Table1[[#This Row],[x5]]</f>
        <v>#DIV/0!</v>
      </c>
      <c r="W1473" s="23" t="e">
        <f>IF(Table1[[#This Row],[Zscore]]&lt;1.81,1,0)</f>
        <v>#DIV/0!</v>
      </c>
    </row>
    <row r="1474" spans="1:23" hidden="1" x14ac:dyDescent="0.45">
      <c r="A1474" s="7">
        <v>1468</v>
      </c>
      <c r="B1474" s="5" t="s">
        <v>2948</v>
      </c>
      <c r="C1474" s="6" t="s">
        <v>2949</v>
      </c>
      <c r="D1474" s="6" t="s">
        <v>18</v>
      </c>
      <c r="E1474" s="6"/>
      <c r="F1474" s="6"/>
      <c r="G1474" s="6"/>
      <c r="H1474" s="6"/>
      <c r="I1474" s="6"/>
      <c r="J1474" s="8"/>
      <c r="K1474" s="6"/>
      <c r="L1474" s="6"/>
      <c r="M1474" s="8"/>
      <c r="N1474" s="8"/>
      <c r="O1474" s="8"/>
      <c r="P1474" s="8"/>
      <c r="Q1474" s="18" t="e">
        <f>(Table1[[#This Row],[A. TÀI SẢN NGẮN HẠN]]-Table1[[#This Row],[I. Nợ ngắn hạn]])/Table1[[#This Row],[TỔNG CỘNG TÀI SẢN]]</f>
        <v>#DIV/0!</v>
      </c>
      <c r="R1474" s="18" t="e">
        <f>Table1[[#This Row],[- LNST chưa phân phối kỳ này]]/Table1[[#This Row],[TỔNG CỘNG TÀI SẢN]]</f>
        <v>#DIV/0!</v>
      </c>
      <c r="S1474" s="21" t="e">
        <f>Table1[[#This Row],[5. Lợi nhuận gộp về bán hàng và cung cấp dịch vụ]]/Table1[[#This Row],[TỔNG CỘNG TÀI SẢN]]</f>
        <v>#DIV/0!</v>
      </c>
      <c r="T147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474" s="23" t="e">
        <f>Table1[[#This Row],[1. Doanh thu bán hàng và cung cấp dịch vụ ]]/Table1[[#This Row],[TỔNG CỘNG TÀI SẢN]]</f>
        <v>#DIV/0!</v>
      </c>
      <c r="V1474" s="23" t="e">
        <f>1.2*Table1[[#This Row],[X1]] + 1.4*Table1[[#This Row],[X2]] + 3.3*Table1[[#This Row],[x3]] + 0.6*Table1[[#This Row],[x4]] + 1*Table1[[#This Row],[x5]]</f>
        <v>#DIV/0!</v>
      </c>
      <c r="W1474" s="23" t="e">
        <f>IF(Table1[[#This Row],[Zscore]]&lt;1.81,1,0)</f>
        <v>#DIV/0!</v>
      </c>
    </row>
    <row r="1475" spans="1:23" ht="26.25" hidden="1" x14ac:dyDescent="0.45">
      <c r="A1475" s="7">
        <v>1469</v>
      </c>
      <c r="B1475" s="5" t="s">
        <v>2950</v>
      </c>
      <c r="C1475" s="6" t="s">
        <v>2951</v>
      </c>
      <c r="D1475" s="6" t="s">
        <v>13</v>
      </c>
      <c r="E1475" s="6"/>
      <c r="F1475" s="6"/>
      <c r="G1475" s="6"/>
      <c r="H1475" s="6"/>
      <c r="I1475" s="6"/>
      <c r="J1475" s="8"/>
      <c r="K1475" s="6"/>
      <c r="L1475" s="6"/>
      <c r="M1475" s="8"/>
      <c r="N1475" s="8"/>
      <c r="O1475" s="8"/>
      <c r="P1475" s="8"/>
      <c r="Q1475" s="18" t="e">
        <f>(Table1[[#This Row],[A. TÀI SẢN NGẮN HẠN]]-Table1[[#This Row],[I. Nợ ngắn hạn]])/Table1[[#This Row],[TỔNG CỘNG TÀI SẢN]]</f>
        <v>#DIV/0!</v>
      </c>
      <c r="R1475" s="18" t="e">
        <f>Table1[[#This Row],[- LNST chưa phân phối kỳ này]]/Table1[[#This Row],[TỔNG CỘNG TÀI SẢN]]</f>
        <v>#DIV/0!</v>
      </c>
      <c r="S1475" s="21" t="e">
        <f>Table1[[#This Row],[5. Lợi nhuận gộp về bán hàng và cung cấp dịch vụ]]/Table1[[#This Row],[TỔNG CỘNG TÀI SẢN]]</f>
        <v>#DIV/0!</v>
      </c>
      <c r="T147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475" s="23" t="e">
        <f>Table1[[#This Row],[1. Doanh thu bán hàng và cung cấp dịch vụ ]]/Table1[[#This Row],[TỔNG CỘNG TÀI SẢN]]</f>
        <v>#DIV/0!</v>
      </c>
      <c r="V1475" s="23" t="e">
        <f>1.2*Table1[[#This Row],[X1]] + 1.4*Table1[[#This Row],[X2]] + 3.3*Table1[[#This Row],[x3]] + 0.6*Table1[[#This Row],[x4]] + 1*Table1[[#This Row],[x5]]</f>
        <v>#DIV/0!</v>
      </c>
      <c r="W1475" s="23" t="e">
        <f>IF(Table1[[#This Row],[Zscore]]&lt;1.81,1,0)</f>
        <v>#DIV/0!</v>
      </c>
    </row>
    <row r="1476" spans="1:23" ht="26.25" x14ac:dyDescent="0.45">
      <c r="A1476" s="7">
        <v>1470</v>
      </c>
      <c r="B1476" s="5" t="s">
        <v>2952</v>
      </c>
      <c r="C1476" s="6" t="s">
        <v>2953</v>
      </c>
      <c r="D1476" s="6" t="s">
        <v>36</v>
      </c>
      <c r="E1476" s="8">
        <v>457317351883</v>
      </c>
      <c r="F1476" s="8">
        <v>204962685617</v>
      </c>
      <c r="G1476" s="8">
        <v>126005906360</v>
      </c>
      <c r="H1476" s="8">
        <v>15833436484</v>
      </c>
      <c r="I1476" s="8">
        <v>85786990843</v>
      </c>
      <c r="J1476" s="8"/>
      <c r="K1476" s="8">
        <v>126005906360</v>
      </c>
      <c r="L1476" s="8">
        <v>368976706693</v>
      </c>
      <c r="M1476" s="8">
        <v>328865000000</v>
      </c>
      <c r="N1476" s="8">
        <v>291635000000</v>
      </c>
      <c r="O1476" s="8">
        <v>290394000000</v>
      </c>
      <c r="P1476" s="8">
        <v>282948000000</v>
      </c>
      <c r="Q1476" s="18">
        <f>(Table1[[#This Row],[A. TÀI SẢN NGẮN HẠN]]-Table1[[#This Row],[I. Nợ ngắn hạn]])/Table1[[#This Row],[TỔNG CỘNG TÀI SẢN]]</f>
        <v>0.17265205208570414</v>
      </c>
      <c r="R1476" s="18">
        <f>Table1[[#This Row],[- LNST chưa phân phối kỳ này]]/Table1[[#This Row],[TỔNG CỘNG TÀI SẢN]]</f>
        <v>3.4622426677680104E-2</v>
      </c>
      <c r="S1476" s="21">
        <f>Table1[[#This Row],[5. Lợi nhuận gộp về bán hàng và cung cấp dịch vụ]]/Table1[[#This Row],[TỔNG CỘNG TÀI SẢN]]</f>
        <v>0.18758743898470689</v>
      </c>
      <c r="T147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2.3686230957086702</v>
      </c>
      <c r="U1476" s="23">
        <f>Table1[[#This Row],[1. Doanh thu bán hàng và cung cấp dịch vụ ]]/Table1[[#This Row],[TỔNG CỘNG TÀI SẢN]]</f>
        <v>0.80682857357968552</v>
      </c>
      <c r="V1476" s="23">
        <f>1.2*Table1[[#This Row],[X1]] + 1.4*Table1[[#This Row],[X2]] + 3.3*Table1[[#This Row],[x3]] + 0.6*Table1[[#This Row],[x4]] + 1*Table1[[#This Row],[x5]]</f>
        <v>3.1026948395060172</v>
      </c>
      <c r="W1476" s="23">
        <f>IF(Table1[[#This Row],[Zscore]]&lt;1.81,1,0)</f>
        <v>0</v>
      </c>
    </row>
    <row r="1477" spans="1:23" hidden="1" x14ac:dyDescent="0.45">
      <c r="A1477" s="7">
        <v>1471</v>
      </c>
      <c r="B1477" s="5" t="s">
        <v>2954</v>
      </c>
      <c r="C1477" s="6" t="s">
        <v>2955</v>
      </c>
      <c r="D1477" s="6" t="s">
        <v>13</v>
      </c>
      <c r="E1477" s="6"/>
      <c r="F1477" s="6"/>
      <c r="G1477" s="6"/>
      <c r="H1477" s="6"/>
      <c r="I1477" s="6"/>
      <c r="J1477" s="8"/>
      <c r="K1477" s="6"/>
      <c r="L1477" s="6"/>
      <c r="M1477" s="8"/>
      <c r="N1477" s="8"/>
      <c r="O1477" s="8"/>
      <c r="P1477" s="8"/>
      <c r="Q1477" s="18" t="e">
        <f>(Table1[[#This Row],[A. TÀI SẢN NGẮN HẠN]]-Table1[[#This Row],[I. Nợ ngắn hạn]])/Table1[[#This Row],[TỔNG CỘNG TÀI SẢN]]</f>
        <v>#DIV/0!</v>
      </c>
      <c r="R1477" s="18" t="e">
        <f>Table1[[#This Row],[- LNST chưa phân phối kỳ này]]/Table1[[#This Row],[TỔNG CỘNG TÀI SẢN]]</f>
        <v>#DIV/0!</v>
      </c>
      <c r="S1477" s="21" t="e">
        <f>Table1[[#This Row],[5. Lợi nhuận gộp về bán hàng và cung cấp dịch vụ]]/Table1[[#This Row],[TỔNG CỘNG TÀI SẢN]]</f>
        <v>#DIV/0!</v>
      </c>
      <c r="T147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477" s="23" t="e">
        <f>Table1[[#This Row],[1. Doanh thu bán hàng và cung cấp dịch vụ ]]/Table1[[#This Row],[TỔNG CỘNG TÀI SẢN]]</f>
        <v>#DIV/0!</v>
      </c>
      <c r="V1477" s="23" t="e">
        <f>1.2*Table1[[#This Row],[X1]] + 1.4*Table1[[#This Row],[X2]] + 3.3*Table1[[#This Row],[x3]] + 0.6*Table1[[#This Row],[x4]] + 1*Table1[[#This Row],[x5]]</f>
        <v>#DIV/0!</v>
      </c>
      <c r="W1477" s="23" t="e">
        <f>IF(Table1[[#This Row],[Zscore]]&lt;1.81,1,0)</f>
        <v>#DIV/0!</v>
      </c>
    </row>
    <row r="1478" spans="1:23" hidden="1" x14ac:dyDescent="0.45">
      <c r="A1478" s="7">
        <v>1472</v>
      </c>
      <c r="B1478" s="5" t="s">
        <v>2956</v>
      </c>
      <c r="C1478" s="6" t="s">
        <v>2957</v>
      </c>
      <c r="D1478" s="6" t="s">
        <v>13</v>
      </c>
      <c r="E1478" s="6"/>
      <c r="F1478" s="6"/>
      <c r="G1478" s="6"/>
      <c r="H1478" s="6"/>
      <c r="I1478" s="6"/>
      <c r="J1478" s="8"/>
      <c r="K1478" s="6"/>
      <c r="L1478" s="6"/>
      <c r="M1478" s="8"/>
      <c r="N1478" s="8"/>
      <c r="O1478" s="8"/>
      <c r="P1478" s="8"/>
      <c r="Q1478" s="18" t="e">
        <f>(Table1[[#This Row],[A. TÀI SẢN NGẮN HẠN]]-Table1[[#This Row],[I. Nợ ngắn hạn]])/Table1[[#This Row],[TỔNG CỘNG TÀI SẢN]]</f>
        <v>#DIV/0!</v>
      </c>
      <c r="R1478" s="18" t="e">
        <f>Table1[[#This Row],[- LNST chưa phân phối kỳ này]]/Table1[[#This Row],[TỔNG CỘNG TÀI SẢN]]</f>
        <v>#DIV/0!</v>
      </c>
      <c r="S1478" s="21" t="e">
        <f>Table1[[#This Row],[5. Lợi nhuận gộp về bán hàng và cung cấp dịch vụ]]/Table1[[#This Row],[TỔNG CỘNG TÀI SẢN]]</f>
        <v>#DIV/0!</v>
      </c>
      <c r="T147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478" s="23" t="e">
        <f>Table1[[#This Row],[1. Doanh thu bán hàng và cung cấp dịch vụ ]]/Table1[[#This Row],[TỔNG CỘNG TÀI SẢN]]</f>
        <v>#DIV/0!</v>
      </c>
      <c r="V1478" s="23" t="e">
        <f>1.2*Table1[[#This Row],[X1]] + 1.4*Table1[[#This Row],[X2]] + 3.3*Table1[[#This Row],[x3]] + 0.6*Table1[[#This Row],[x4]] + 1*Table1[[#This Row],[x5]]</f>
        <v>#DIV/0!</v>
      </c>
      <c r="W1478" s="23" t="e">
        <f>IF(Table1[[#This Row],[Zscore]]&lt;1.81,1,0)</f>
        <v>#DIV/0!</v>
      </c>
    </row>
    <row r="1479" spans="1:23" hidden="1" x14ac:dyDescent="0.45">
      <c r="A1479" s="7">
        <v>1473</v>
      </c>
      <c r="B1479" s="5" t="s">
        <v>2958</v>
      </c>
      <c r="C1479" s="6" t="s">
        <v>2959</v>
      </c>
      <c r="D1479" s="6" t="s">
        <v>13</v>
      </c>
      <c r="E1479" s="6"/>
      <c r="F1479" s="6"/>
      <c r="G1479" s="6"/>
      <c r="H1479" s="6"/>
      <c r="I1479" s="6"/>
      <c r="J1479" s="8"/>
      <c r="K1479" s="6"/>
      <c r="L1479" s="6"/>
      <c r="M1479" s="8"/>
      <c r="N1479" s="8"/>
      <c r="O1479" s="8"/>
      <c r="P1479" s="8"/>
      <c r="Q1479" s="18" t="e">
        <f>(Table1[[#This Row],[A. TÀI SẢN NGẮN HẠN]]-Table1[[#This Row],[I. Nợ ngắn hạn]])/Table1[[#This Row],[TỔNG CỘNG TÀI SẢN]]</f>
        <v>#DIV/0!</v>
      </c>
      <c r="R1479" s="18" t="e">
        <f>Table1[[#This Row],[- LNST chưa phân phối kỳ này]]/Table1[[#This Row],[TỔNG CỘNG TÀI SẢN]]</f>
        <v>#DIV/0!</v>
      </c>
      <c r="S1479" s="21" t="e">
        <f>Table1[[#This Row],[5. Lợi nhuận gộp về bán hàng và cung cấp dịch vụ]]/Table1[[#This Row],[TỔNG CỘNG TÀI SẢN]]</f>
        <v>#DIV/0!</v>
      </c>
      <c r="T147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479" s="23" t="e">
        <f>Table1[[#This Row],[1. Doanh thu bán hàng và cung cấp dịch vụ ]]/Table1[[#This Row],[TỔNG CỘNG TÀI SẢN]]</f>
        <v>#DIV/0!</v>
      </c>
      <c r="V1479" s="23" t="e">
        <f>1.2*Table1[[#This Row],[X1]] + 1.4*Table1[[#This Row],[X2]] + 3.3*Table1[[#This Row],[x3]] + 0.6*Table1[[#This Row],[x4]] + 1*Table1[[#This Row],[x5]]</f>
        <v>#DIV/0!</v>
      </c>
      <c r="W1479" s="23" t="e">
        <f>IF(Table1[[#This Row],[Zscore]]&lt;1.81,1,0)</f>
        <v>#DIV/0!</v>
      </c>
    </row>
    <row r="1480" spans="1:23" hidden="1" x14ac:dyDescent="0.45">
      <c r="A1480" s="7">
        <v>1474</v>
      </c>
      <c r="B1480" s="5" t="s">
        <v>2960</v>
      </c>
      <c r="C1480" s="6" t="s">
        <v>2961</v>
      </c>
      <c r="D1480" s="6" t="s">
        <v>18</v>
      </c>
      <c r="E1480" s="8">
        <v>244425385873</v>
      </c>
      <c r="F1480" s="8">
        <v>130155028649</v>
      </c>
      <c r="G1480" s="8">
        <v>58369692619</v>
      </c>
      <c r="H1480" s="8">
        <v>4920126312</v>
      </c>
      <c r="I1480" s="8">
        <v>9876979301</v>
      </c>
      <c r="J1480" s="8"/>
      <c r="K1480" s="8">
        <v>58369692619</v>
      </c>
      <c r="L1480" s="8">
        <v>244946961090</v>
      </c>
      <c r="M1480" s="8"/>
      <c r="N1480" s="8"/>
      <c r="O1480" s="8"/>
      <c r="P1480" s="8"/>
      <c r="Q1480" s="18">
        <f>(Table1[[#This Row],[A. TÀI SẢN NGẮN HẠN]]-Table1[[#This Row],[I. Nợ ngắn hạn]])/Table1[[#This Row],[TỔNG CỘNG TÀI SẢN]]</f>
        <v>0.2936901818671922</v>
      </c>
      <c r="R1480" s="18">
        <f>Table1[[#This Row],[- LNST chưa phân phối kỳ này]]/Table1[[#This Row],[TỔNG CỘNG TÀI SẢN]]</f>
        <v>2.012935888155426E-2</v>
      </c>
      <c r="S1480" s="21">
        <f>Table1[[#This Row],[5. Lợi nhuận gộp về bán hàng và cung cấp dịch vụ]]/Table1[[#This Row],[TỔNG CỘNG TÀI SẢN]]</f>
        <v>4.0408974975013195E-2</v>
      </c>
      <c r="T148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480" s="23">
        <f>Table1[[#This Row],[1. Doanh thu bán hàng và cung cấp dịch vụ ]]/Table1[[#This Row],[TỔNG CỘNG TÀI SẢN]]</f>
        <v>1.0021338831690378</v>
      </c>
      <c r="V1480" s="23" t="e">
        <f>1.2*Table1[[#This Row],[X1]] + 1.4*Table1[[#This Row],[X2]] + 3.3*Table1[[#This Row],[x3]] + 0.6*Table1[[#This Row],[x4]] + 1*Table1[[#This Row],[x5]]</f>
        <v>#DIV/0!</v>
      </c>
      <c r="W1480" s="23" t="e">
        <f>IF(Table1[[#This Row],[Zscore]]&lt;1.81,1,0)</f>
        <v>#DIV/0!</v>
      </c>
    </row>
    <row r="1481" spans="1:23" hidden="1" x14ac:dyDescent="0.45">
      <c r="A1481" s="7">
        <v>1475</v>
      </c>
      <c r="B1481" s="5" t="s">
        <v>2962</v>
      </c>
      <c r="C1481" s="6" t="s">
        <v>2963</v>
      </c>
      <c r="D1481" s="6" t="s">
        <v>13</v>
      </c>
      <c r="E1481" s="6"/>
      <c r="F1481" s="6"/>
      <c r="G1481" s="6"/>
      <c r="H1481" s="6"/>
      <c r="I1481" s="6"/>
      <c r="J1481" s="8"/>
      <c r="K1481" s="6"/>
      <c r="L1481" s="6"/>
      <c r="M1481" s="8"/>
      <c r="N1481" s="8"/>
      <c r="O1481" s="8"/>
      <c r="P1481" s="8"/>
      <c r="Q1481" s="18" t="e">
        <f>(Table1[[#This Row],[A. TÀI SẢN NGẮN HẠN]]-Table1[[#This Row],[I. Nợ ngắn hạn]])/Table1[[#This Row],[TỔNG CỘNG TÀI SẢN]]</f>
        <v>#DIV/0!</v>
      </c>
      <c r="R1481" s="18" t="e">
        <f>Table1[[#This Row],[- LNST chưa phân phối kỳ này]]/Table1[[#This Row],[TỔNG CỘNG TÀI SẢN]]</f>
        <v>#DIV/0!</v>
      </c>
      <c r="S1481" s="21" t="e">
        <f>Table1[[#This Row],[5. Lợi nhuận gộp về bán hàng và cung cấp dịch vụ]]/Table1[[#This Row],[TỔNG CỘNG TÀI SẢN]]</f>
        <v>#DIV/0!</v>
      </c>
      <c r="T148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481" s="23" t="e">
        <f>Table1[[#This Row],[1. Doanh thu bán hàng và cung cấp dịch vụ ]]/Table1[[#This Row],[TỔNG CỘNG TÀI SẢN]]</f>
        <v>#DIV/0!</v>
      </c>
      <c r="V1481" s="23" t="e">
        <f>1.2*Table1[[#This Row],[X1]] + 1.4*Table1[[#This Row],[X2]] + 3.3*Table1[[#This Row],[x3]] + 0.6*Table1[[#This Row],[x4]] + 1*Table1[[#This Row],[x5]]</f>
        <v>#DIV/0!</v>
      </c>
      <c r="W1481" s="23" t="e">
        <f>IF(Table1[[#This Row],[Zscore]]&lt;1.81,1,0)</f>
        <v>#DIV/0!</v>
      </c>
    </row>
    <row r="1482" spans="1:23" ht="26.25" hidden="1" x14ac:dyDescent="0.45">
      <c r="A1482" s="7">
        <v>1476</v>
      </c>
      <c r="B1482" s="5" t="s">
        <v>2964</v>
      </c>
      <c r="C1482" s="6" t="s">
        <v>2965</v>
      </c>
      <c r="D1482" s="6" t="s">
        <v>13</v>
      </c>
      <c r="E1482" s="6"/>
      <c r="F1482" s="6"/>
      <c r="G1482" s="6"/>
      <c r="H1482" s="6"/>
      <c r="I1482" s="6"/>
      <c r="J1482" s="8"/>
      <c r="K1482" s="6"/>
      <c r="L1482" s="6"/>
      <c r="M1482" s="8"/>
      <c r="N1482" s="8"/>
      <c r="O1482" s="8"/>
      <c r="P1482" s="8"/>
      <c r="Q1482" s="18" t="e">
        <f>(Table1[[#This Row],[A. TÀI SẢN NGẮN HẠN]]-Table1[[#This Row],[I. Nợ ngắn hạn]])/Table1[[#This Row],[TỔNG CỘNG TÀI SẢN]]</f>
        <v>#DIV/0!</v>
      </c>
      <c r="R1482" s="18" t="e">
        <f>Table1[[#This Row],[- LNST chưa phân phối kỳ này]]/Table1[[#This Row],[TỔNG CỘNG TÀI SẢN]]</f>
        <v>#DIV/0!</v>
      </c>
      <c r="S1482" s="21" t="e">
        <f>Table1[[#This Row],[5. Lợi nhuận gộp về bán hàng và cung cấp dịch vụ]]/Table1[[#This Row],[TỔNG CỘNG TÀI SẢN]]</f>
        <v>#DIV/0!</v>
      </c>
      <c r="T148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482" s="23" t="e">
        <f>Table1[[#This Row],[1. Doanh thu bán hàng và cung cấp dịch vụ ]]/Table1[[#This Row],[TỔNG CỘNG TÀI SẢN]]</f>
        <v>#DIV/0!</v>
      </c>
      <c r="V1482" s="23" t="e">
        <f>1.2*Table1[[#This Row],[X1]] + 1.4*Table1[[#This Row],[X2]] + 3.3*Table1[[#This Row],[x3]] + 0.6*Table1[[#This Row],[x4]] + 1*Table1[[#This Row],[x5]]</f>
        <v>#DIV/0!</v>
      </c>
      <c r="W1482" s="23" t="e">
        <f>IF(Table1[[#This Row],[Zscore]]&lt;1.81,1,0)</f>
        <v>#DIV/0!</v>
      </c>
    </row>
    <row r="1483" spans="1:23" x14ac:dyDescent="0.45">
      <c r="A1483" s="7">
        <v>1477</v>
      </c>
      <c r="B1483" s="5" t="s">
        <v>2966</v>
      </c>
      <c r="C1483" s="6" t="s">
        <v>2967</v>
      </c>
      <c r="D1483" s="6" t="s">
        <v>36</v>
      </c>
      <c r="E1483" s="8">
        <v>717558810903</v>
      </c>
      <c r="F1483" s="8">
        <v>658209348399</v>
      </c>
      <c r="G1483" s="8">
        <v>445605244956</v>
      </c>
      <c r="H1483" s="8">
        <v>9614721043</v>
      </c>
      <c r="I1483" s="8">
        <v>40776007983</v>
      </c>
      <c r="J1483" s="8"/>
      <c r="K1483" s="8">
        <v>448644210795</v>
      </c>
      <c r="L1483" s="8">
        <v>838350501950</v>
      </c>
      <c r="M1483" s="8">
        <v>96000000000</v>
      </c>
      <c r="N1483" s="8">
        <v>94500000000</v>
      </c>
      <c r="O1483" s="8">
        <v>93000000000</v>
      </c>
      <c r="P1483" s="8">
        <v>97500000000</v>
      </c>
      <c r="Q1483" s="18">
        <f>(Table1[[#This Row],[A. TÀI SẢN NGẮN HẠN]]-Table1[[#This Row],[I. Nợ ngắn hạn]])/Table1[[#This Row],[TỔNG CỘNG TÀI SẢN]]</f>
        <v>0.29628805362371885</v>
      </c>
      <c r="R1483" s="18">
        <f>Table1[[#This Row],[- LNST chưa phân phối kỳ này]]/Table1[[#This Row],[TỔNG CỘNG TÀI SẢN]]</f>
        <v>1.339920978867295E-2</v>
      </c>
      <c r="S1483" s="21">
        <f>Table1[[#This Row],[5. Lợi nhuận gộp về bán hàng và cung cấp dịch vụ]]/Table1[[#This Row],[TỔNG CỘNG TÀI SẢN]]</f>
        <v>5.682601532226482E-2</v>
      </c>
      <c r="T148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0.21230631691695404</v>
      </c>
      <c r="U1483" s="23">
        <f>Table1[[#This Row],[1. Doanh thu bán hàng và cung cấp dịch vụ ]]/Table1[[#This Row],[TỔNG CỘNG TÀI SẢN]]</f>
        <v>1.1683369909359649</v>
      </c>
      <c r="V1483" s="23">
        <f>1.2*Table1[[#This Row],[X1]] + 1.4*Table1[[#This Row],[X2]] + 3.3*Table1[[#This Row],[x3]] + 0.6*Table1[[#This Row],[x4]] + 1*Table1[[#This Row],[x5]]</f>
        <v>1.8575511897022161</v>
      </c>
      <c r="W1483" s="23">
        <f>IF(Table1[[#This Row],[Zscore]]&lt;1.81,1,0)</f>
        <v>0</v>
      </c>
    </row>
    <row r="1484" spans="1:23" x14ac:dyDescent="0.45">
      <c r="A1484" s="7">
        <v>1478</v>
      </c>
      <c r="B1484" s="5" t="s">
        <v>2968</v>
      </c>
      <c r="C1484" s="6" t="s">
        <v>2969</v>
      </c>
      <c r="D1484" s="6" t="s">
        <v>18</v>
      </c>
      <c r="E1484" s="8">
        <v>168472951944</v>
      </c>
      <c r="F1484" s="8">
        <v>36350545086</v>
      </c>
      <c r="G1484" s="8">
        <v>4909480062</v>
      </c>
      <c r="H1484" s="8">
        <v>740636197</v>
      </c>
      <c r="I1484" s="8">
        <v>809144666</v>
      </c>
      <c r="J1484" s="8"/>
      <c r="K1484" s="8">
        <v>5268110462</v>
      </c>
      <c r="L1484" s="8">
        <v>2030730606</v>
      </c>
      <c r="M1484" s="8">
        <v>186000000000</v>
      </c>
      <c r="N1484" s="8">
        <v>186000000000</v>
      </c>
      <c r="O1484" s="8">
        <v>186000000000</v>
      </c>
      <c r="P1484" s="8">
        <v>186000000000</v>
      </c>
      <c r="Q1484" s="18">
        <f>(Table1[[#This Row],[A. TÀI SẢN NGẮN HẠN]]-Table1[[#This Row],[I. Nợ ngắn hạn]])/Table1[[#This Row],[TỔNG CỘNG TÀI SẢN]]</f>
        <v>0.18662381504688619</v>
      </c>
      <c r="R1484" s="18">
        <f>Table1[[#This Row],[- LNST chưa phân phối kỳ này]]/Table1[[#This Row],[TỔNG CỘNG TÀI SẢN]]</f>
        <v>4.3961727295321901E-3</v>
      </c>
      <c r="S1484" s="21">
        <f>Table1[[#This Row],[5. Lợi nhuận gộp về bán hàng và cung cấp dịch vụ]]/Table1[[#This Row],[TỔNG CỘNG TÀI SẢN]]</f>
        <v>4.8028164560739561E-3</v>
      </c>
      <c r="T148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35.306776754522808</v>
      </c>
      <c r="U1484" s="23">
        <f>Table1[[#This Row],[1. Doanh thu bán hàng và cung cấp dịch vụ ]]/Table1[[#This Row],[TỔNG CỘNG TÀI SẢN]]</f>
        <v>1.2053748584372226E-2</v>
      </c>
      <c r="V1484" s="23">
        <f>1.2*Table1[[#This Row],[X1]] + 1.4*Table1[[#This Row],[X2]] + 3.3*Table1[[#This Row],[x3]] + 0.6*Table1[[#This Row],[x4]] + 1*Table1[[#This Row],[x5]]</f>
        <v>21.442072315480708</v>
      </c>
      <c r="W1484" s="23">
        <f>IF(Table1[[#This Row],[Zscore]]&lt;1.81,1,0)</f>
        <v>0</v>
      </c>
    </row>
    <row r="1485" spans="1:23" hidden="1" x14ac:dyDescent="0.45">
      <c r="A1485" s="7">
        <v>1479</v>
      </c>
      <c r="B1485" s="5" t="s">
        <v>2970</v>
      </c>
      <c r="C1485" s="6" t="s">
        <v>2971</v>
      </c>
      <c r="D1485" s="6" t="s">
        <v>18</v>
      </c>
      <c r="E1485" s="8">
        <v>238297329134</v>
      </c>
      <c r="F1485" s="8">
        <v>227780075745</v>
      </c>
      <c r="G1485" s="8">
        <v>74119845957</v>
      </c>
      <c r="H1485" s="8">
        <v>16016906860</v>
      </c>
      <c r="I1485" s="8">
        <v>30025200795</v>
      </c>
      <c r="J1485" s="8"/>
      <c r="K1485" s="8">
        <v>74119845957</v>
      </c>
      <c r="L1485" s="8">
        <v>403524838432</v>
      </c>
      <c r="M1485" s="8"/>
      <c r="N1485" s="8"/>
      <c r="O1485" s="8"/>
      <c r="P1485" s="8"/>
      <c r="Q1485" s="18">
        <f>(Table1[[#This Row],[A. TÀI SẢN NGẮN HẠN]]-Table1[[#This Row],[I. Nợ ngắn hạn]])/Table1[[#This Row],[TỔNG CỘNG TÀI SẢN]]</f>
        <v>0.64482564847209578</v>
      </c>
      <c r="R1485" s="18">
        <f>Table1[[#This Row],[- LNST chưa phân phối kỳ này]]/Table1[[#This Row],[TỔNG CỘNG TÀI SẢN]]</f>
        <v>6.7213958789245729E-2</v>
      </c>
      <c r="S1485" s="21">
        <f>Table1[[#This Row],[5. Lợi nhuận gộp về bán hàng và cung cấp dịch vụ]]/Table1[[#This Row],[TỔNG CỘNG TÀI SẢN]]</f>
        <v>0.12599889769690262</v>
      </c>
      <c r="T148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485" s="23">
        <f>Table1[[#This Row],[1. Doanh thu bán hàng và cung cấp dịch vụ ]]/Table1[[#This Row],[TỔNG CỘNG TÀI SẢN]]</f>
        <v>1.6933670213529284</v>
      </c>
      <c r="V1485" s="23" t="e">
        <f>1.2*Table1[[#This Row],[X1]] + 1.4*Table1[[#This Row],[X2]] + 3.3*Table1[[#This Row],[x3]] + 0.6*Table1[[#This Row],[x4]] + 1*Table1[[#This Row],[x5]]</f>
        <v>#DIV/0!</v>
      </c>
      <c r="W1485" s="23" t="e">
        <f>IF(Table1[[#This Row],[Zscore]]&lt;1.81,1,0)</f>
        <v>#DIV/0!</v>
      </c>
    </row>
    <row r="1486" spans="1:23" hidden="1" x14ac:dyDescent="0.45">
      <c r="A1486" s="7">
        <v>1480</v>
      </c>
      <c r="B1486" s="5" t="s">
        <v>2972</v>
      </c>
      <c r="C1486" s="6" t="s">
        <v>2973</v>
      </c>
      <c r="D1486" s="6" t="s">
        <v>18</v>
      </c>
      <c r="E1486" s="8">
        <v>311841207827</v>
      </c>
      <c r="F1486" s="8">
        <v>231065417047</v>
      </c>
      <c r="G1486" s="8">
        <v>189610500779</v>
      </c>
      <c r="H1486" s="8">
        <v>7306133932</v>
      </c>
      <c r="I1486" s="8">
        <v>67205245610</v>
      </c>
      <c r="J1486" s="8"/>
      <c r="K1486" s="8">
        <v>196135500779</v>
      </c>
      <c r="L1486" s="8">
        <v>430037646744</v>
      </c>
      <c r="M1486" s="8"/>
      <c r="N1486" s="8"/>
      <c r="O1486" s="8"/>
      <c r="P1486" s="8"/>
      <c r="Q1486" s="18">
        <f>(Table1[[#This Row],[A. TÀI SẢN NGẮN HẠN]]-Table1[[#This Row],[I. Nợ ngắn hạn]])/Table1[[#This Row],[TỔNG CỘNG TÀI SẢN]]</f>
        <v>0.13293597904160864</v>
      </c>
      <c r="R1486" s="18">
        <f>Table1[[#This Row],[- LNST chưa phân phối kỳ này]]/Table1[[#This Row],[TỔNG CỘNG TÀI SẢN]]</f>
        <v>2.3429020118640703E-2</v>
      </c>
      <c r="S1486" s="21">
        <f>Table1[[#This Row],[5. Lợi nhuận gộp về bán hàng và cung cấp dịch vụ]]/Table1[[#This Row],[TỔNG CỘNG TÀI SẢN]]</f>
        <v>0.21551111246106841</v>
      </c>
      <c r="T148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486" s="23">
        <f>Table1[[#This Row],[1. Doanh thu bán hàng và cung cấp dịch vụ ]]/Table1[[#This Row],[TỔNG CỘNG TÀI SẢN]]</f>
        <v>1.3790276459632358</v>
      </c>
      <c r="V1486" s="23" t="e">
        <f>1.2*Table1[[#This Row],[X1]] + 1.4*Table1[[#This Row],[X2]] + 3.3*Table1[[#This Row],[x3]] + 0.6*Table1[[#This Row],[x4]] + 1*Table1[[#This Row],[x5]]</f>
        <v>#DIV/0!</v>
      </c>
      <c r="W1486" s="23" t="e">
        <f>IF(Table1[[#This Row],[Zscore]]&lt;1.81,1,0)</f>
        <v>#DIV/0!</v>
      </c>
    </row>
    <row r="1487" spans="1:23" hidden="1" x14ac:dyDescent="0.45">
      <c r="A1487" s="7">
        <v>1481</v>
      </c>
      <c r="B1487" s="5" t="s">
        <v>2974</v>
      </c>
      <c r="C1487" s="6" t="s">
        <v>2975</v>
      </c>
      <c r="D1487" s="6" t="s">
        <v>18</v>
      </c>
      <c r="E1487" s="6"/>
      <c r="F1487" s="6"/>
      <c r="G1487" s="6"/>
      <c r="H1487" s="6"/>
      <c r="I1487" s="6"/>
      <c r="J1487" s="8"/>
      <c r="K1487" s="6"/>
      <c r="L1487" s="6"/>
      <c r="M1487" s="8"/>
      <c r="N1487" s="8"/>
      <c r="O1487" s="8"/>
      <c r="P1487" s="8"/>
      <c r="Q1487" s="18" t="e">
        <f>(Table1[[#This Row],[A. TÀI SẢN NGẮN HẠN]]-Table1[[#This Row],[I. Nợ ngắn hạn]])/Table1[[#This Row],[TỔNG CỘNG TÀI SẢN]]</f>
        <v>#DIV/0!</v>
      </c>
      <c r="R1487" s="18" t="e">
        <f>Table1[[#This Row],[- LNST chưa phân phối kỳ này]]/Table1[[#This Row],[TỔNG CỘNG TÀI SẢN]]</f>
        <v>#DIV/0!</v>
      </c>
      <c r="S1487" s="21" t="e">
        <f>Table1[[#This Row],[5. Lợi nhuận gộp về bán hàng và cung cấp dịch vụ]]/Table1[[#This Row],[TỔNG CỘNG TÀI SẢN]]</f>
        <v>#DIV/0!</v>
      </c>
      <c r="T148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487" s="23" t="e">
        <f>Table1[[#This Row],[1. Doanh thu bán hàng và cung cấp dịch vụ ]]/Table1[[#This Row],[TỔNG CỘNG TÀI SẢN]]</f>
        <v>#DIV/0!</v>
      </c>
      <c r="V1487" s="23" t="e">
        <f>1.2*Table1[[#This Row],[X1]] + 1.4*Table1[[#This Row],[X2]] + 3.3*Table1[[#This Row],[x3]] + 0.6*Table1[[#This Row],[x4]] + 1*Table1[[#This Row],[x5]]</f>
        <v>#DIV/0!</v>
      </c>
      <c r="W1487" s="23" t="e">
        <f>IF(Table1[[#This Row],[Zscore]]&lt;1.81,1,0)</f>
        <v>#DIV/0!</v>
      </c>
    </row>
    <row r="1488" spans="1:23" x14ac:dyDescent="0.45">
      <c r="A1488" s="7">
        <v>1482</v>
      </c>
      <c r="B1488" s="5" t="s">
        <v>2976</v>
      </c>
      <c r="C1488" s="6" t="s">
        <v>2977</v>
      </c>
      <c r="D1488" s="6" t="s">
        <v>18</v>
      </c>
      <c r="E1488" s="8">
        <v>158400801046</v>
      </c>
      <c r="F1488" s="8">
        <v>42559265281</v>
      </c>
      <c r="G1488" s="8">
        <v>5301303705</v>
      </c>
      <c r="H1488" s="8">
        <v>-15425007153</v>
      </c>
      <c r="I1488" s="8">
        <v>2804478452</v>
      </c>
      <c r="J1488" s="8"/>
      <c r="K1488" s="8">
        <v>12741303705</v>
      </c>
      <c r="L1488" s="8">
        <v>9903141434</v>
      </c>
      <c r="M1488" s="8">
        <v>90000000000</v>
      </c>
      <c r="N1488" s="8">
        <v>90000000000</v>
      </c>
      <c r="O1488" s="8">
        <v>102000000000</v>
      </c>
      <c r="P1488" s="8">
        <v>120000000000</v>
      </c>
      <c r="Q1488" s="18">
        <f>(Table1[[#This Row],[A. TÀI SẢN NGẮN HẠN]]-Table1[[#This Row],[I. Nợ ngắn hạn]])/Table1[[#This Row],[TỔNG CỘNG TÀI SẢN]]</f>
        <v>0.23521321439012288</v>
      </c>
      <c r="R1488" s="18">
        <f>Table1[[#This Row],[- LNST chưa phân phối kỳ này]]/Table1[[#This Row],[TỔNG CỘNG TÀI SẢN]]</f>
        <v>-9.7379603203651341E-2</v>
      </c>
      <c r="S1488" s="21">
        <f>Table1[[#This Row],[5. Lợi nhuận gộp về bán hàng và cung cấp dịch vụ]]/Table1[[#This Row],[TỔNG CỘNG TÀI SẢN]]</f>
        <v>1.7704951196462523E-2</v>
      </c>
      <c r="T148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7.8877328668149822</v>
      </c>
      <c r="U1488" s="23">
        <f>Table1[[#This Row],[1. Doanh thu bán hàng và cung cấp dịch vụ ]]/Table1[[#This Row],[TỔNG CỘNG TÀI SẢN]]</f>
        <v>6.251951611737179E-2</v>
      </c>
      <c r="V1488" s="23">
        <f>1.2*Table1[[#This Row],[X1]] + 1.4*Table1[[#This Row],[X2]] + 3.3*Table1[[#This Row],[x3]] + 0.6*Table1[[#This Row],[x4]] + 1*Table1[[#This Row],[x5]]</f>
        <v>4.9995099879377234</v>
      </c>
      <c r="W1488" s="23">
        <f>IF(Table1[[#This Row],[Zscore]]&lt;1.81,1,0)</f>
        <v>0</v>
      </c>
    </row>
    <row r="1489" spans="1:23" ht="26.25" x14ac:dyDescent="0.45">
      <c r="A1489" s="7">
        <v>1483</v>
      </c>
      <c r="B1489" s="5" t="s">
        <v>2978</v>
      </c>
      <c r="C1489" s="6" t="s">
        <v>2979</v>
      </c>
      <c r="D1489" s="6" t="s">
        <v>18</v>
      </c>
      <c r="E1489" s="8">
        <v>1200808483343</v>
      </c>
      <c r="F1489" s="8">
        <v>848309773483</v>
      </c>
      <c r="G1489" s="8">
        <v>46277128899</v>
      </c>
      <c r="H1489" s="8">
        <v>42755648125</v>
      </c>
      <c r="I1489" s="8">
        <v>31541521742</v>
      </c>
      <c r="J1489" s="8"/>
      <c r="K1489" s="8">
        <v>609500230190</v>
      </c>
      <c r="L1489" s="8">
        <v>97803954062</v>
      </c>
      <c r="M1489" s="8">
        <v>1123200000000</v>
      </c>
      <c r="N1489" s="8">
        <v>739200000000</v>
      </c>
      <c r="O1489" s="8">
        <v>736800000000</v>
      </c>
      <c r="P1489" s="8">
        <v>679200000000</v>
      </c>
      <c r="Q1489" s="18">
        <f>(Table1[[#This Row],[A. TÀI SẢN NGẮN HẠN]]-Table1[[#This Row],[I. Nợ ngắn hạn]])/Table1[[#This Row],[TỔNG CỘNG TÀI SẢN]]</f>
        <v>0.66791054169701991</v>
      </c>
      <c r="R1489" s="18">
        <f>Table1[[#This Row],[- LNST chưa phân phối kỳ này]]/Table1[[#This Row],[TỔNG CỘNG TÀI SẢN]]</f>
        <v>3.560571791262674E-2</v>
      </c>
      <c r="S1489" s="21">
        <f>Table1[[#This Row],[5. Lợi nhuận gộp về bán hàng và cung cấp dịch vụ]]/Table1[[#This Row],[TỔNG CỘNG TÀI SẢN]]</f>
        <v>2.6266904489373476E-2</v>
      </c>
      <c r="T148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1.3447082698303583</v>
      </c>
      <c r="U1489" s="23">
        <f>Table1[[#This Row],[1. Doanh thu bán hàng và cung cấp dịch vụ ]]/Table1[[#This Row],[TỔNG CỘNG TÀI SẢN]]</f>
        <v>8.1448420309055386E-2</v>
      </c>
      <c r="V1489" s="23">
        <f>1.2*Table1[[#This Row],[X1]] + 1.4*Table1[[#This Row],[X2]] + 3.3*Table1[[#This Row],[x3]] + 0.6*Table1[[#This Row],[x4]] + 1*Table1[[#This Row],[x5]]</f>
        <v>1.826294822136304</v>
      </c>
      <c r="W1489" s="23">
        <f>IF(Table1[[#This Row],[Zscore]]&lt;1.81,1,0)</f>
        <v>0</v>
      </c>
    </row>
    <row r="1490" spans="1:23" hidden="1" x14ac:dyDescent="0.45">
      <c r="A1490" s="7">
        <v>1484</v>
      </c>
      <c r="B1490" s="5" t="s">
        <v>2980</v>
      </c>
      <c r="C1490" s="6" t="s">
        <v>2981</v>
      </c>
      <c r="D1490" s="6" t="s">
        <v>13</v>
      </c>
      <c r="E1490" s="6"/>
      <c r="F1490" s="6"/>
      <c r="G1490" s="6"/>
      <c r="H1490" s="6"/>
      <c r="I1490" s="6"/>
      <c r="J1490" s="8"/>
      <c r="K1490" s="6"/>
      <c r="L1490" s="6"/>
      <c r="M1490" s="8"/>
      <c r="N1490" s="8"/>
      <c r="O1490" s="8"/>
      <c r="P1490" s="8"/>
      <c r="Q1490" s="18" t="e">
        <f>(Table1[[#This Row],[A. TÀI SẢN NGẮN HẠN]]-Table1[[#This Row],[I. Nợ ngắn hạn]])/Table1[[#This Row],[TỔNG CỘNG TÀI SẢN]]</f>
        <v>#DIV/0!</v>
      </c>
      <c r="R1490" s="18" t="e">
        <f>Table1[[#This Row],[- LNST chưa phân phối kỳ này]]/Table1[[#This Row],[TỔNG CỘNG TÀI SẢN]]</f>
        <v>#DIV/0!</v>
      </c>
      <c r="S1490" s="21" t="e">
        <f>Table1[[#This Row],[5. Lợi nhuận gộp về bán hàng và cung cấp dịch vụ]]/Table1[[#This Row],[TỔNG CỘNG TÀI SẢN]]</f>
        <v>#DIV/0!</v>
      </c>
      <c r="T149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490" s="23" t="e">
        <f>Table1[[#This Row],[1. Doanh thu bán hàng và cung cấp dịch vụ ]]/Table1[[#This Row],[TỔNG CỘNG TÀI SẢN]]</f>
        <v>#DIV/0!</v>
      </c>
      <c r="V1490" s="23" t="e">
        <f>1.2*Table1[[#This Row],[X1]] + 1.4*Table1[[#This Row],[X2]] + 3.3*Table1[[#This Row],[x3]] + 0.6*Table1[[#This Row],[x4]] + 1*Table1[[#This Row],[x5]]</f>
        <v>#DIV/0!</v>
      </c>
      <c r="W1490" s="23" t="e">
        <f>IF(Table1[[#This Row],[Zscore]]&lt;1.81,1,0)</f>
        <v>#DIV/0!</v>
      </c>
    </row>
    <row r="1491" spans="1:23" x14ac:dyDescent="0.45">
      <c r="A1491" s="7">
        <v>1485</v>
      </c>
      <c r="B1491" s="5" t="s">
        <v>2982</v>
      </c>
      <c r="C1491" s="6" t="s">
        <v>2983</v>
      </c>
      <c r="D1491" s="6" t="s">
        <v>21</v>
      </c>
      <c r="E1491" s="8">
        <v>768783435376</v>
      </c>
      <c r="F1491" s="8">
        <v>306965263607</v>
      </c>
      <c r="G1491" s="8">
        <v>106670663056</v>
      </c>
      <c r="H1491" s="8">
        <v>103047585518</v>
      </c>
      <c r="I1491" s="8">
        <v>-2759311492</v>
      </c>
      <c r="J1491" s="8"/>
      <c r="K1491" s="8">
        <v>108814432784</v>
      </c>
      <c r="L1491" s="8">
        <v>44186608141</v>
      </c>
      <c r="M1491" s="8">
        <v>321723865200</v>
      </c>
      <c r="N1491" s="8">
        <v>530409615600</v>
      </c>
      <c r="O1491" s="8">
        <v>344331488160</v>
      </c>
      <c r="P1491" s="8">
        <v>573885813600</v>
      </c>
      <c r="Q1491" s="18">
        <f>(Table1[[#This Row],[A. TÀI SẢN NGẮN HẠN]]-Table1[[#This Row],[I. Nợ ngắn hạn]])/Table1[[#This Row],[TỔNG CỘNG TÀI SẢN]]</f>
        <v>0.2605344903835487</v>
      </c>
      <c r="R1491" s="18">
        <f>Table1[[#This Row],[- LNST chưa phân phối kỳ này]]/Table1[[#This Row],[TỔNG CỘNG TÀI SẢN]]</f>
        <v>0.134039809881701</v>
      </c>
      <c r="S1491" s="21">
        <f>Table1[[#This Row],[5. Lợi nhuận gộp về bán hàng và cung cấp dịch vụ]]/Table1[[#This Row],[TỔNG CỘNG TÀI SẢN]]</f>
        <v>-3.5891921769236139E-3</v>
      </c>
      <c r="T149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4.0673620614146859</v>
      </c>
      <c r="U1491" s="23">
        <f>Table1[[#This Row],[1. Doanh thu bán hàng và cung cấp dịch vụ ]]/Table1[[#This Row],[TỔNG CỘNG TÀI SẢN]]</f>
        <v>5.7476014840758136E-2</v>
      </c>
      <c r="V1491" s="23">
        <f>1.2*Table1[[#This Row],[X1]] + 1.4*Table1[[#This Row],[X2]] + 3.3*Table1[[#This Row],[x3]] + 0.6*Table1[[#This Row],[x4]] + 1*Table1[[#This Row],[x5]]</f>
        <v>2.9863460398003614</v>
      </c>
      <c r="W1491" s="23">
        <f>IF(Table1[[#This Row],[Zscore]]&lt;1.81,1,0)</f>
        <v>0</v>
      </c>
    </row>
    <row r="1492" spans="1:23" hidden="1" x14ac:dyDescent="0.45">
      <c r="A1492" s="7">
        <v>1486</v>
      </c>
      <c r="B1492" s="5" t="s">
        <v>2984</v>
      </c>
      <c r="C1492" s="6" t="s">
        <v>2985</v>
      </c>
      <c r="D1492" s="6" t="s">
        <v>18</v>
      </c>
      <c r="E1492" s="6"/>
      <c r="F1492" s="6"/>
      <c r="G1492" s="6"/>
      <c r="H1492" s="6"/>
      <c r="I1492" s="6"/>
      <c r="J1492" s="8"/>
      <c r="K1492" s="6"/>
      <c r="L1492" s="6"/>
      <c r="M1492" s="8"/>
      <c r="N1492" s="8"/>
      <c r="O1492" s="8"/>
      <c r="P1492" s="8"/>
      <c r="Q1492" s="18" t="e">
        <f>(Table1[[#This Row],[A. TÀI SẢN NGẮN HẠN]]-Table1[[#This Row],[I. Nợ ngắn hạn]])/Table1[[#This Row],[TỔNG CỘNG TÀI SẢN]]</f>
        <v>#DIV/0!</v>
      </c>
      <c r="R1492" s="18" t="e">
        <f>Table1[[#This Row],[- LNST chưa phân phối kỳ này]]/Table1[[#This Row],[TỔNG CỘNG TÀI SẢN]]</f>
        <v>#DIV/0!</v>
      </c>
      <c r="S1492" s="21" t="e">
        <f>Table1[[#This Row],[5. Lợi nhuận gộp về bán hàng và cung cấp dịch vụ]]/Table1[[#This Row],[TỔNG CỘNG TÀI SẢN]]</f>
        <v>#DIV/0!</v>
      </c>
      <c r="T149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492" s="23" t="e">
        <f>Table1[[#This Row],[1. Doanh thu bán hàng và cung cấp dịch vụ ]]/Table1[[#This Row],[TỔNG CỘNG TÀI SẢN]]</f>
        <v>#DIV/0!</v>
      </c>
      <c r="V1492" s="23" t="e">
        <f>1.2*Table1[[#This Row],[X1]] + 1.4*Table1[[#This Row],[X2]] + 3.3*Table1[[#This Row],[x3]] + 0.6*Table1[[#This Row],[x4]] + 1*Table1[[#This Row],[x5]]</f>
        <v>#DIV/0!</v>
      </c>
      <c r="W1492" s="23" t="e">
        <f>IF(Table1[[#This Row],[Zscore]]&lt;1.81,1,0)</f>
        <v>#DIV/0!</v>
      </c>
    </row>
    <row r="1493" spans="1:23" ht="26.25" hidden="1" x14ac:dyDescent="0.45">
      <c r="A1493" s="7">
        <v>1487</v>
      </c>
      <c r="B1493" s="5" t="s">
        <v>2986</v>
      </c>
      <c r="C1493" s="6" t="s">
        <v>2987</v>
      </c>
      <c r="D1493" s="6" t="s">
        <v>13</v>
      </c>
      <c r="E1493" s="6"/>
      <c r="F1493" s="6"/>
      <c r="G1493" s="6"/>
      <c r="H1493" s="6"/>
      <c r="I1493" s="6"/>
      <c r="J1493" s="8"/>
      <c r="K1493" s="6"/>
      <c r="L1493" s="6"/>
      <c r="M1493" s="8"/>
      <c r="N1493" s="8"/>
      <c r="O1493" s="8"/>
      <c r="P1493" s="8"/>
      <c r="Q1493" s="18" t="e">
        <f>(Table1[[#This Row],[A. TÀI SẢN NGẮN HẠN]]-Table1[[#This Row],[I. Nợ ngắn hạn]])/Table1[[#This Row],[TỔNG CỘNG TÀI SẢN]]</f>
        <v>#DIV/0!</v>
      </c>
      <c r="R1493" s="18" t="e">
        <f>Table1[[#This Row],[- LNST chưa phân phối kỳ này]]/Table1[[#This Row],[TỔNG CỘNG TÀI SẢN]]</f>
        <v>#DIV/0!</v>
      </c>
      <c r="S1493" s="21" t="e">
        <f>Table1[[#This Row],[5. Lợi nhuận gộp về bán hàng và cung cấp dịch vụ]]/Table1[[#This Row],[TỔNG CỘNG TÀI SẢN]]</f>
        <v>#DIV/0!</v>
      </c>
      <c r="T149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493" s="23" t="e">
        <f>Table1[[#This Row],[1. Doanh thu bán hàng và cung cấp dịch vụ ]]/Table1[[#This Row],[TỔNG CỘNG TÀI SẢN]]</f>
        <v>#DIV/0!</v>
      </c>
      <c r="V1493" s="23" t="e">
        <f>1.2*Table1[[#This Row],[X1]] + 1.4*Table1[[#This Row],[X2]] + 3.3*Table1[[#This Row],[x3]] + 0.6*Table1[[#This Row],[x4]] + 1*Table1[[#This Row],[x5]]</f>
        <v>#DIV/0!</v>
      </c>
      <c r="W1493" s="23" t="e">
        <f>IF(Table1[[#This Row],[Zscore]]&lt;1.81,1,0)</f>
        <v>#DIV/0!</v>
      </c>
    </row>
    <row r="1494" spans="1:23" ht="26.25" hidden="1" x14ac:dyDescent="0.45">
      <c r="A1494" s="7">
        <v>1488</v>
      </c>
      <c r="B1494" s="5" t="s">
        <v>2988</v>
      </c>
      <c r="C1494" s="6" t="s">
        <v>2989</v>
      </c>
      <c r="D1494" s="6" t="s">
        <v>13</v>
      </c>
      <c r="E1494" s="6"/>
      <c r="F1494" s="6"/>
      <c r="G1494" s="6"/>
      <c r="H1494" s="6"/>
      <c r="I1494" s="6"/>
      <c r="J1494" s="8"/>
      <c r="K1494" s="6"/>
      <c r="L1494" s="6"/>
      <c r="M1494" s="8"/>
      <c r="N1494" s="8"/>
      <c r="O1494" s="8"/>
      <c r="P1494" s="8"/>
      <c r="Q1494" s="18" t="e">
        <f>(Table1[[#This Row],[A. TÀI SẢN NGẮN HẠN]]-Table1[[#This Row],[I. Nợ ngắn hạn]])/Table1[[#This Row],[TỔNG CỘNG TÀI SẢN]]</f>
        <v>#DIV/0!</v>
      </c>
      <c r="R1494" s="18" t="e">
        <f>Table1[[#This Row],[- LNST chưa phân phối kỳ này]]/Table1[[#This Row],[TỔNG CỘNG TÀI SẢN]]</f>
        <v>#DIV/0!</v>
      </c>
      <c r="S1494" s="21" t="e">
        <f>Table1[[#This Row],[5. Lợi nhuận gộp về bán hàng và cung cấp dịch vụ]]/Table1[[#This Row],[TỔNG CỘNG TÀI SẢN]]</f>
        <v>#DIV/0!</v>
      </c>
      <c r="T149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494" s="23" t="e">
        <f>Table1[[#This Row],[1. Doanh thu bán hàng và cung cấp dịch vụ ]]/Table1[[#This Row],[TỔNG CỘNG TÀI SẢN]]</f>
        <v>#DIV/0!</v>
      </c>
      <c r="V1494" s="23" t="e">
        <f>1.2*Table1[[#This Row],[X1]] + 1.4*Table1[[#This Row],[X2]] + 3.3*Table1[[#This Row],[x3]] + 0.6*Table1[[#This Row],[x4]] + 1*Table1[[#This Row],[x5]]</f>
        <v>#DIV/0!</v>
      </c>
      <c r="W1494" s="23" t="e">
        <f>IF(Table1[[#This Row],[Zscore]]&lt;1.81,1,0)</f>
        <v>#DIV/0!</v>
      </c>
    </row>
    <row r="1495" spans="1:23" hidden="1" x14ac:dyDescent="0.45">
      <c r="A1495" s="7">
        <v>1489</v>
      </c>
      <c r="B1495" s="5" t="s">
        <v>2990</v>
      </c>
      <c r="C1495" s="6" t="s">
        <v>2991</v>
      </c>
      <c r="D1495" s="6" t="s">
        <v>13</v>
      </c>
      <c r="E1495" s="6"/>
      <c r="F1495" s="6"/>
      <c r="G1495" s="6"/>
      <c r="H1495" s="6"/>
      <c r="I1495" s="6"/>
      <c r="J1495" s="8"/>
      <c r="K1495" s="6"/>
      <c r="L1495" s="6"/>
      <c r="M1495" s="8"/>
      <c r="N1495" s="8"/>
      <c r="O1495" s="8"/>
      <c r="P1495" s="8"/>
      <c r="Q1495" s="18" t="e">
        <f>(Table1[[#This Row],[A. TÀI SẢN NGẮN HẠN]]-Table1[[#This Row],[I. Nợ ngắn hạn]])/Table1[[#This Row],[TỔNG CỘNG TÀI SẢN]]</f>
        <v>#DIV/0!</v>
      </c>
      <c r="R1495" s="18" t="e">
        <f>Table1[[#This Row],[- LNST chưa phân phối kỳ này]]/Table1[[#This Row],[TỔNG CỘNG TÀI SẢN]]</f>
        <v>#DIV/0!</v>
      </c>
      <c r="S1495" s="21" t="e">
        <f>Table1[[#This Row],[5. Lợi nhuận gộp về bán hàng và cung cấp dịch vụ]]/Table1[[#This Row],[TỔNG CỘNG TÀI SẢN]]</f>
        <v>#DIV/0!</v>
      </c>
      <c r="T149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495" s="23" t="e">
        <f>Table1[[#This Row],[1. Doanh thu bán hàng và cung cấp dịch vụ ]]/Table1[[#This Row],[TỔNG CỘNG TÀI SẢN]]</f>
        <v>#DIV/0!</v>
      </c>
      <c r="V1495" s="23" t="e">
        <f>1.2*Table1[[#This Row],[X1]] + 1.4*Table1[[#This Row],[X2]] + 3.3*Table1[[#This Row],[x3]] + 0.6*Table1[[#This Row],[x4]] + 1*Table1[[#This Row],[x5]]</f>
        <v>#DIV/0!</v>
      </c>
      <c r="W1495" s="23" t="e">
        <f>IF(Table1[[#This Row],[Zscore]]&lt;1.81,1,0)</f>
        <v>#DIV/0!</v>
      </c>
    </row>
    <row r="1496" spans="1:23" hidden="1" x14ac:dyDescent="0.45">
      <c r="A1496" s="7">
        <v>1490</v>
      </c>
      <c r="B1496" s="5" t="s">
        <v>2992</v>
      </c>
      <c r="C1496" s="6" t="s">
        <v>2993</v>
      </c>
      <c r="D1496" s="6" t="s">
        <v>13</v>
      </c>
      <c r="E1496" s="6"/>
      <c r="F1496" s="6"/>
      <c r="G1496" s="6"/>
      <c r="H1496" s="6"/>
      <c r="I1496" s="6"/>
      <c r="J1496" s="8"/>
      <c r="K1496" s="6"/>
      <c r="L1496" s="6"/>
      <c r="M1496" s="8"/>
      <c r="N1496" s="8"/>
      <c r="O1496" s="8"/>
      <c r="P1496" s="8"/>
      <c r="Q1496" s="18" t="e">
        <f>(Table1[[#This Row],[A. TÀI SẢN NGẮN HẠN]]-Table1[[#This Row],[I. Nợ ngắn hạn]])/Table1[[#This Row],[TỔNG CỘNG TÀI SẢN]]</f>
        <v>#DIV/0!</v>
      </c>
      <c r="R1496" s="18" t="e">
        <f>Table1[[#This Row],[- LNST chưa phân phối kỳ này]]/Table1[[#This Row],[TỔNG CỘNG TÀI SẢN]]</f>
        <v>#DIV/0!</v>
      </c>
      <c r="S1496" s="21" t="e">
        <f>Table1[[#This Row],[5. Lợi nhuận gộp về bán hàng và cung cấp dịch vụ]]/Table1[[#This Row],[TỔNG CỘNG TÀI SẢN]]</f>
        <v>#DIV/0!</v>
      </c>
      <c r="T149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496" s="23" t="e">
        <f>Table1[[#This Row],[1. Doanh thu bán hàng và cung cấp dịch vụ ]]/Table1[[#This Row],[TỔNG CỘNG TÀI SẢN]]</f>
        <v>#DIV/0!</v>
      </c>
      <c r="V1496" s="23" t="e">
        <f>1.2*Table1[[#This Row],[X1]] + 1.4*Table1[[#This Row],[X2]] + 3.3*Table1[[#This Row],[x3]] + 0.6*Table1[[#This Row],[x4]] + 1*Table1[[#This Row],[x5]]</f>
        <v>#DIV/0!</v>
      </c>
      <c r="W1496" s="23" t="e">
        <f>IF(Table1[[#This Row],[Zscore]]&lt;1.81,1,0)</f>
        <v>#DIV/0!</v>
      </c>
    </row>
    <row r="1497" spans="1:23" hidden="1" x14ac:dyDescent="0.45">
      <c r="A1497" s="7">
        <v>1491</v>
      </c>
      <c r="B1497" s="5" t="s">
        <v>2994</v>
      </c>
      <c r="C1497" s="6" t="s">
        <v>2995</v>
      </c>
      <c r="D1497" s="6" t="s">
        <v>13</v>
      </c>
      <c r="E1497" s="6"/>
      <c r="F1497" s="6"/>
      <c r="G1497" s="6"/>
      <c r="H1497" s="6"/>
      <c r="I1497" s="6"/>
      <c r="J1497" s="8"/>
      <c r="K1497" s="6"/>
      <c r="L1497" s="6"/>
      <c r="M1497" s="8"/>
      <c r="N1497" s="8"/>
      <c r="O1497" s="8"/>
      <c r="P1497" s="8"/>
      <c r="Q1497" s="18" t="e">
        <f>(Table1[[#This Row],[A. TÀI SẢN NGẮN HẠN]]-Table1[[#This Row],[I. Nợ ngắn hạn]])/Table1[[#This Row],[TỔNG CỘNG TÀI SẢN]]</f>
        <v>#DIV/0!</v>
      </c>
      <c r="R1497" s="18" t="e">
        <f>Table1[[#This Row],[- LNST chưa phân phối kỳ này]]/Table1[[#This Row],[TỔNG CỘNG TÀI SẢN]]</f>
        <v>#DIV/0!</v>
      </c>
      <c r="S1497" s="21" t="e">
        <f>Table1[[#This Row],[5. Lợi nhuận gộp về bán hàng và cung cấp dịch vụ]]/Table1[[#This Row],[TỔNG CỘNG TÀI SẢN]]</f>
        <v>#DIV/0!</v>
      </c>
      <c r="T149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497" s="23" t="e">
        <f>Table1[[#This Row],[1. Doanh thu bán hàng và cung cấp dịch vụ ]]/Table1[[#This Row],[TỔNG CỘNG TÀI SẢN]]</f>
        <v>#DIV/0!</v>
      </c>
      <c r="V1497" s="23" t="e">
        <f>1.2*Table1[[#This Row],[X1]] + 1.4*Table1[[#This Row],[X2]] + 3.3*Table1[[#This Row],[x3]] + 0.6*Table1[[#This Row],[x4]] + 1*Table1[[#This Row],[x5]]</f>
        <v>#DIV/0!</v>
      </c>
      <c r="W1497" s="23" t="e">
        <f>IF(Table1[[#This Row],[Zscore]]&lt;1.81,1,0)</f>
        <v>#DIV/0!</v>
      </c>
    </row>
    <row r="1498" spans="1:23" ht="26.25" x14ac:dyDescent="0.45">
      <c r="A1498" s="7">
        <v>1492</v>
      </c>
      <c r="B1498" s="5" t="s">
        <v>2996</v>
      </c>
      <c r="C1498" s="6" t="s">
        <v>2997</v>
      </c>
      <c r="D1498" s="6" t="s">
        <v>36</v>
      </c>
      <c r="E1498" s="8">
        <v>150884413592</v>
      </c>
      <c r="F1498" s="8">
        <v>42221634227</v>
      </c>
      <c r="G1498" s="8">
        <v>46626562205</v>
      </c>
      <c r="H1498" s="8">
        <v>1461470296</v>
      </c>
      <c r="I1498" s="8">
        <v>24958159121</v>
      </c>
      <c r="J1498" s="8"/>
      <c r="K1498" s="8">
        <v>57671060418</v>
      </c>
      <c r="L1498" s="8">
        <v>189417399256</v>
      </c>
      <c r="M1498" s="8">
        <v>135108214500</v>
      </c>
      <c r="N1498" s="8">
        <v>107697807000</v>
      </c>
      <c r="O1498" s="8">
        <v>142828683900</v>
      </c>
      <c r="P1498" s="8">
        <v>92094170700</v>
      </c>
      <c r="Q1498" s="18">
        <f>(Table1[[#This Row],[A. TÀI SẢN NGẮN HẠN]]-Table1[[#This Row],[I. Nợ ngắn hạn]])/Table1[[#This Row],[TỔNG CỘNG TÀI SẢN]]</f>
        <v>-2.9194055722091845E-2</v>
      </c>
      <c r="R1498" s="18">
        <f>Table1[[#This Row],[- LNST chưa phân phối kỳ này]]/Table1[[#This Row],[TỔNG CỘNG TÀI SẢN]]</f>
        <v>9.6860256219167776E-3</v>
      </c>
      <c r="S1498" s="21">
        <f>Table1[[#This Row],[5. Lợi nhuận gộp về bán hàng và cung cấp dịch vụ]]/Table1[[#This Row],[TỔNG CỘNG TÀI SẢN]]</f>
        <v>0.1654124407341919</v>
      </c>
      <c r="T149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2.0709211545505659</v>
      </c>
      <c r="U1498" s="23">
        <f>Table1[[#This Row],[1. Doanh thu bán hàng và cung cấp dịch vụ ]]/Table1[[#This Row],[TỔNG CỘNG TÀI SẢN]]</f>
        <v>1.2553808226222449</v>
      </c>
      <c r="V1498" s="23">
        <f>1.2*Table1[[#This Row],[X1]] + 1.4*Table1[[#This Row],[X2]] + 3.3*Table1[[#This Row],[x3]] + 0.6*Table1[[#This Row],[x4]] + 1*Table1[[#This Row],[x5]]</f>
        <v>3.0223221387795909</v>
      </c>
      <c r="W1498" s="23">
        <f>IF(Table1[[#This Row],[Zscore]]&lt;1.81,1,0)</f>
        <v>0</v>
      </c>
    </row>
    <row r="1499" spans="1:23" ht="26.25" x14ac:dyDescent="0.45">
      <c r="A1499" s="7">
        <v>1493</v>
      </c>
      <c r="B1499" s="5" t="s">
        <v>2998</v>
      </c>
      <c r="C1499" s="6" t="s">
        <v>2999</v>
      </c>
      <c r="D1499" s="6" t="s">
        <v>18</v>
      </c>
      <c r="E1499" s="8">
        <v>2609318536517</v>
      </c>
      <c r="F1499" s="8">
        <v>1766620532856</v>
      </c>
      <c r="G1499" s="8">
        <v>1075946079966</v>
      </c>
      <c r="H1499" s="8">
        <v>14442522751</v>
      </c>
      <c r="I1499" s="8">
        <v>193171867705</v>
      </c>
      <c r="J1499" s="8"/>
      <c r="K1499" s="8">
        <v>1149540921221</v>
      </c>
      <c r="L1499" s="8">
        <v>1657941643897</v>
      </c>
      <c r="M1499" s="8">
        <v>1050737100000</v>
      </c>
      <c r="N1499" s="8">
        <v>567966000000</v>
      </c>
      <c r="O1499" s="8">
        <v>965542200000</v>
      </c>
      <c r="P1499" s="8">
        <v>965542200000</v>
      </c>
      <c r="Q1499" s="18">
        <f>(Table1[[#This Row],[A. TÀI SẢN NGẮN HẠN]]-Table1[[#This Row],[I. Nợ ngắn hạn]])/Table1[[#This Row],[TỔNG CỘNG TÀI SẢN]]</f>
        <v>0.26469533835142023</v>
      </c>
      <c r="R1499" s="18">
        <f>Table1[[#This Row],[- LNST chưa phân phối kỳ này]]/Table1[[#This Row],[TỔNG CỘNG TÀI SẢN]]</f>
        <v>5.5349787880932047E-3</v>
      </c>
      <c r="S1499" s="21">
        <f>Table1[[#This Row],[5. Lợi nhuận gộp về bán hàng và cung cấp dịch vụ]]/Table1[[#This Row],[TỔNG CỘNG TÀI SẢN]]</f>
        <v>7.4031539270345989E-2</v>
      </c>
      <c r="T149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0.77200111680877492</v>
      </c>
      <c r="U1499" s="23">
        <f>Table1[[#This Row],[1. Doanh thu bán hàng và cung cấp dịch vụ ]]/Table1[[#This Row],[TỔNG CỘNG TÀI SẢN]]</f>
        <v>0.6353925826587935</v>
      </c>
      <c r="V1499" s="23">
        <f>1.2*Table1[[#This Row],[X1]] + 1.4*Table1[[#This Row],[X2]] + 3.3*Table1[[#This Row],[x3]] + 0.6*Table1[[#This Row],[x4]] + 1*Table1[[#This Row],[x5]]</f>
        <v>1.6682807086612348</v>
      </c>
      <c r="W1499" s="23">
        <f>IF(Table1[[#This Row],[Zscore]]&lt;1.81,1,0)</f>
        <v>1</v>
      </c>
    </row>
    <row r="1500" spans="1:23" ht="26.25" hidden="1" x14ac:dyDescent="0.45">
      <c r="A1500" s="7">
        <v>1494</v>
      </c>
      <c r="B1500" s="5" t="s">
        <v>3000</v>
      </c>
      <c r="C1500" s="6" t="s">
        <v>3001</v>
      </c>
      <c r="D1500" s="6" t="s">
        <v>13</v>
      </c>
      <c r="E1500" s="6"/>
      <c r="F1500" s="6"/>
      <c r="G1500" s="6"/>
      <c r="H1500" s="6"/>
      <c r="I1500" s="6"/>
      <c r="J1500" s="8"/>
      <c r="K1500" s="6"/>
      <c r="L1500" s="6"/>
      <c r="M1500" s="8"/>
      <c r="N1500" s="8"/>
      <c r="O1500" s="8"/>
      <c r="P1500" s="8"/>
      <c r="Q1500" s="18" t="e">
        <f>(Table1[[#This Row],[A. TÀI SẢN NGẮN HẠN]]-Table1[[#This Row],[I. Nợ ngắn hạn]])/Table1[[#This Row],[TỔNG CỘNG TÀI SẢN]]</f>
        <v>#DIV/0!</v>
      </c>
      <c r="R1500" s="18" t="e">
        <f>Table1[[#This Row],[- LNST chưa phân phối kỳ này]]/Table1[[#This Row],[TỔNG CỘNG TÀI SẢN]]</f>
        <v>#DIV/0!</v>
      </c>
      <c r="S1500" s="21" t="e">
        <f>Table1[[#This Row],[5. Lợi nhuận gộp về bán hàng và cung cấp dịch vụ]]/Table1[[#This Row],[TỔNG CỘNG TÀI SẢN]]</f>
        <v>#DIV/0!</v>
      </c>
      <c r="T150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500" s="23" t="e">
        <f>Table1[[#This Row],[1. Doanh thu bán hàng và cung cấp dịch vụ ]]/Table1[[#This Row],[TỔNG CỘNG TÀI SẢN]]</f>
        <v>#DIV/0!</v>
      </c>
      <c r="V1500" s="23" t="e">
        <f>1.2*Table1[[#This Row],[X1]] + 1.4*Table1[[#This Row],[X2]] + 3.3*Table1[[#This Row],[x3]] + 0.6*Table1[[#This Row],[x4]] + 1*Table1[[#This Row],[x5]]</f>
        <v>#DIV/0!</v>
      </c>
      <c r="W1500" s="23" t="e">
        <f>IF(Table1[[#This Row],[Zscore]]&lt;1.81,1,0)</f>
        <v>#DIV/0!</v>
      </c>
    </row>
    <row r="1501" spans="1:23" ht="26.25" x14ac:dyDescent="0.45">
      <c r="A1501" s="7">
        <v>1495</v>
      </c>
      <c r="B1501" s="5" t="s">
        <v>3002</v>
      </c>
      <c r="C1501" s="6" t="s">
        <v>3003</v>
      </c>
      <c r="D1501" s="6" t="s">
        <v>21</v>
      </c>
      <c r="E1501" s="8">
        <v>11274247401543</v>
      </c>
      <c r="F1501" s="8">
        <v>10718788667740</v>
      </c>
      <c r="G1501" s="8">
        <v>7857674446527</v>
      </c>
      <c r="H1501" s="6"/>
      <c r="I1501" s="8">
        <v>609500900392</v>
      </c>
      <c r="J1501" s="8"/>
      <c r="K1501" s="8">
        <v>8646523449523</v>
      </c>
      <c r="L1501" s="8">
        <v>5428120086969</v>
      </c>
      <c r="M1501" s="8">
        <v>3504940725000</v>
      </c>
      <c r="N1501" s="8">
        <v>3754186468250</v>
      </c>
      <c r="O1501" s="8">
        <v>3504940725000</v>
      </c>
      <c r="P1501" s="8">
        <v>3414295706250</v>
      </c>
      <c r="Q1501" s="18">
        <f>(Table1[[#This Row],[A. TÀI SẢN NGẮN HẠN]]-Table1[[#This Row],[I. Nợ ngắn hạn]])/Table1[[#This Row],[TỔNG CỘNG TÀI SẢN]]</f>
        <v>0.25377429812489533</v>
      </c>
      <c r="R1501" s="18">
        <f>Table1[[#This Row],[- LNST chưa phân phối kỳ này]]/Table1[[#This Row],[TỔNG CỘNG TÀI SẢN]]</f>
        <v>0</v>
      </c>
      <c r="S1501" s="21">
        <f>Table1[[#This Row],[5. Lợi nhuận gộp về bán hàng và cung cấp dịch vụ]]/Table1[[#This Row],[TỔNG CỘNG TÀI SẢN]]</f>
        <v>5.4061338081740462E-2</v>
      </c>
      <c r="T150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0.40994405749521717</v>
      </c>
      <c r="U1501" s="23">
        <f>Table1[[#This Row],[1. Doanh thu bán hàng và cung cấp dịch vụ ]]/Table1[[#This Row],[TỔNG CỘNG TÀI SẢN]]</f>
        <v>0.48146185671126079</v>
      </c>
      <c r="V1501" s="23">
        <f>1.2*Table1[[#This Row],[X1]] + 1.4*Table1[[#This Row],[X2]] + 3.3*Table1[[#This Row],[x3]] + 0.6*Table1[[#This Row],[x4]] + 1*Table1[[#This Row],[x5]]</f>
        <v>1.2103598646280089</v>
      </c>
      <c r="W1501" s="23">
        <f>IF(Table1[[#This Row],[Zscore]]&lt;1.81,1,0)</f>
        <v>1</v>
      </c>
    </row>
    <row r="1502" spans="1:23" ht="26.25" hidden="1" x14ac:dyDescent="0.45">
      <c r="A1502" s="7">
        <v>1496</v>
      </c>
      <c r="B1502" s="5" t="s">
        <v>3004</v>
      </c>
      <c r="C1502" s="6" t="s">
        <v>3005</v>
      </c>
      <c r="D1502" s="6" t="s">
        <v>13</v>
      </c>
      <c r="E1502" s="6"/>
      <c r="F1502" s="6"/>
      <c r="G1502" s="6"/>
      <c r="H1502" s="6"/>
      <c r="I1502" s="6"/>
      <c r="J1502" s="8"/>
      <c r="K1502" s="6"/>
      <c r="L1502" s="6"/>
      <c r="M1502" s="8"/>
      <c r="N1502" s="8"/>
      <c r="O1502" s="8"/>
      <c r="P1502" s="8"/>
      <c r="Q1502" s="18" t="e">
        <f>(Table1[[#This Row],[A. TÀI SẢN NGẮN HẠN]]-Table1[[#This Row],[I. Nợ ngắn hạn]])/Table1[[#This Row],[TỔNG CỘNG TÀI SẢN]]</f>
        <v>#DIV/0!</v>
      </c>
      <c r="R1502" s="18" t="e">
        <f>Table1[[#This Row],[- LNST chưa phân phối kỳ này]]/Table1[[#This Row],[TỔNG CỘNG TÀI SẢN]]</f>
        <v>#DIV/0!</v>
      </c>
      <c r="S1502" s="21" t="e">
        <f>Table1[[#This Row],[5. Lợi nhuận gộp về bán hàng và cung cấp dịch vụ]]/Table1[[#This Row],[TỔNG CỘNG TÀI SẢN]]</f>
        <v>#DIV/0!</v>
      </c>
      <c r="T150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502" s="23" t="e">
        <f>Table1[[#This Row],[1. Doanh thu bán hàng và cung cấp dịch vụ ]]/Table1[[#This Row],[TỔNG CỘNG TÀI SẢN]]</f>
        <v>#DIV/0!</v>
      </c>
      <c r="V1502" s="23" t="e">
        <f>1.2*Table1[[#This Row],[X1]] + 1.4*Table1[[#This Row],[X2]] + 3.3*Table1[[#This Row],[x3]] + 0.6*Table1[[#This Row],[x4]] + 1*Table1[[#This Row],[x5]]</f>
        <v>#DIV/0!</v>
      </c>
      <c r="W1502" s="23" t="e">
        <f>IF(Table1[[#This Row],[Zscore]]&lt;1.81,1,0)</f>
        <v>#DIV/0!</v>
      </c>
    </row>
    <row r="1503" spans="1:23" hidden="1" x14ac:dyDescent="0.45">
      <c r="A1503" s="7">
        <v>1497</v>
      </c>
      <c r="B1503" s="5" t="s">
        <v>3006</v>
      </c>
      <c r="C1503" s="6" t="s">
        <v>3007</v>
      </c>
      <c r="D1503" s="6" t="s">
        <v>13</v>
      </c>
      <c r="E1503" s="6"/>
      <c r="F1503" s="6"/>
      <c r="G1503" s="6"/>
      <c r="H1503" s="6"/>
      <c r="I1503" s="6"/>
      <c r="J1503" s="8"/>
      <c r="K1503" s="6"/>
      <c r="L1503" s="6"/>
      <c r="M1503" s="8"/>
      <c r="N1503" s="8"/>
      <c r="O1503" s="8"/>
      <c r="P1503" s="8"/>
      <c r="Q1503" s="18" t="e">
        <f>(Table1[[#This Row],[A. TÀI SẢN NGẮN HẠN]]-Table1[[#This Row],[I. Nợ ngắn hạn]])/Table1[[#This Row],[TỔNG CỘNG TÀI SẢN]]</f>
        <v>#DIV/0!</v>
      </c>
      <c r="R1503" s="18" t="e">
        <f>Table1[[#This Row],[- LNST chưa phân phối kỳ này]]/Table1[[#This Row],[TỔNG CỘNG TÀI SẢN]]</f>
        <v>#DIV/0!</v>
      </c>
      <c r="S1503" s="21" t="e">
        <f>Table1[[#This Row],[5. Lợi nhuận gộp về bán hàng và cung cấp dịch vụ]]/Table1[[#This Row],[TỔNG CỘNG TÀI SẢN]]</f>
        <v>#DIV/0!</v>
      </c>
      <c r="T150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503" s="23" t="e">
        <f>Table1[[#This Row],[1. Doanh thu bán hàng và cung cấp dịch vụ ]]/Table1[[#This Row],[TỔNG CỘNG TÀI SẢN]]</f>
        <v>#DIV/0!</v>
      </c>
      <c r="V1503" s="23" t="e">
        <f>1.2*Table1[[#This Row],[X1]] + 1.4*Table1[[#This Row],[X2]] + 3.3*Table1[[#This Row],[x3]] + 0.6*Table1[[#This Row],[x4]] + 1*Table1[[#This Row],[x5]]</f>
        <v>#DIV/0!</v>
      </c>
      <c r="W1503" s="23" t="e">
        <f>IF(Table1[[#This Row],[Zscore]]&lt;1.81,1,0)</f>
        <v>#DIV/0!</v>
      </c>
    </row>
    <row r="1504" spans="1:23" ht="26.25" hidden="1" x14ac:dyDescent="0.45">
      <c r="A1504" s="7">
        <v>1498</v>
      </c>
      <c r="B1504" s="5" t="s">
        <v>3008</v>
      </c>
      <c r="C1504" s="6" t="s">
        <v>3009</v>
      </c>
      <c r="D1504" s="6" t="s">
        <v>13</v>
      </c>
      <c r="E1504" s="6"/>
      <c r="F1504" s="6"/>
      <c r="G1504" s="6"/>
      <c r="H1504" s="6"/>
      <c r="I1504" s="6"/>
      <c r="J1504" s="8"/>
      <c r="K1504" s="6"/>
      <c r="L1504" s="6"/>
      <c r="M1504" s="8"/>
      <c r="N1504" s="8"/>
      <c r="O1504" s="8"/>
      <c r="P1504" s="8"/>
      <c r="Q1504" s="18" t="e">
        <f>(Table1[[#This Row],[A. TÀI SẢN NGẮN HẠN]]-Table1[[#This Row],[I. Nợ ngắn hạn]])/Table1[[#This Row],[TỔNG CỘNG TÀI SẢN]]</f>
        <v>#DIV/0!</v>
      </c>
      <c r="R1504" s="18" t="e">
        <f>Table1[[#This Row],[- LNST chưa phân phối kỳ này]]/Table1[[#This Row],[TỔNG CỘNG TÀI SẢN]]</f>
        <v>#DIV/0!</v>
      </c>
      <c r="S1504" s="21" t="e">
        <f>Table1[[#This Row],[5. Lợi nhuận gộp về bán hàng và cung cấp dịch vụ]]/Table1[[#This Row],[TỔNG CỘNG TÀI SẢN]]</f>
        <v>#DIV/0!</v>
      </c>
      <c r="T150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504" s="23" t="e">
        <f>Table1[[#This Row],[1. Doanh thu bán hàng và cung cấp dịch vụ ]]/Table1[[#This Row],[TỔNG CỘNG TÀI SẢN]]</f>
        <v>#DIV/0!</v>
      </c>
      <c r="V1504" s="23" t="e">
        <f>1.2*Table1[[#This Row],[X1]] + 1.4*Table1[[#This Row],[X2]] + 3.3*Table1[[#This Row],[x3]] + 0.6*Table1[[#This Row],[x4]] + 1*Table1[[#This Row],[x5]]</f>
        <v>#DIV/0!</v>
      </c>
      <c r="W1504" s="23" t="e">
        <f>IF(Table1[[#This Row],[Zscore]]&lt;1.81,1,0)</f>
        <v>#DIV/0!</v>
      </c>
    </row>
    <row r="1505" spans="1:23" ht="26.25" hidden="1" x14ac:dyDescent="0.45">
      <c r="A1505" s="7">
        <v>1499</v>
      </c>
      <c r="B1505" s="5" t="s">
        <v>3010</v>
      </c>
      <c r="C1505" s="6" t="s">
        <v>3011</v>
      </c>
      <c r="D1505" s="6" t="s">
        <v>13</v>
      </c>
      <c r="E1505" s="6"/>
      <c r="F1505" s="6"/>
      <c r="G1505" s="6"/>
      <c r="H1505" s="6"/>
      <c r="I1505" s="6"/>
      <c r="J1505" s="8"/>
      <c r="K1505" s="6"/>
      <c r="L1505" s="6"/>
      <c r="M1505" s="8"/>
      <c r="N1505" s="8"/>
      <c r="O1505" s="8"/>
      <c r="P1505" s="8"/>
      <c r="Q1505" s="18" t="e">
        <f>(Table1[[#This Row],[A. TÀI SẢN NGẮN HẠN]]-Table1[[#This Row],[I. Nợ ngắn hạn]])/Table1[[#This Row],[TỔNG CỘNG TÀI SẢN]]</f>
        <v>#DIV/0!</v>
      </c>
      <c r="R1505" s="18" t="e">
        <f>Table1[[#This Row],[- LNST chưa phân phối kỳ này]]/Table1[[#This Row],[TỔNG CỘNG TÀI SẢN]]</f>
        <v>#DIV/0!</v>
      </c>
      <c r="S1505" s="21" t="e">
        <f>Table1[[#This Row],[5. Lợi nhuận gộp về bán hàng và cung cấp dịch vụ]]/Table1[[#This Row],[TỔNG CỘNG TÀI SẢN]]</f>
        <v>#DIV/0!</v>
      </c>
      <c r="T150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505" s="23" t="e">
        <f>Table1[[#This Row],[1. Doanh thu bán hàng và cung cấp dịch vụ ]]/Table1[[#This Row],[TỔNG CỘNG TÀI SẢN]]</f>
        <v>#DIV/0!</v>
      </c>
      <c r="V1505" s="23" t="e">
        <f>1.2*Table1[[#This Row],[X1]] + 1.4*Table1[[#This Row],[X2]] + 3.3*Table1[[#This Row],[x3]] + 0.6*Table1[[#This Row],[x4]] + 1*Table1[[#This Row],[x5]]</f>
        <v>#DIV/0!</v>
      </c>
      <c r="W1505" s="23" t="e">
        <f>IF(Table1[[#This Row],[Zscore]]&lt;1.81,1,0)</f>
        <v>#DIV/0!</v>
      </c>
    </row>
    <row r="1506" spans="1:23" hidden="1" x14ac:dyDescent="0.45">
      <c r="A1506" s="7">
        <v>1500</v>
      </c>
      <c r="B1506" s="5" t="s">
        <v>3012</v>
      </c>
      <c r="C1506" s="6" t="s">
        <v>3013</v>
      </c>
      <c r="D1506" s="6" t="s">
        <v>13</v>
      </c>
      <c r="E1506" s="6"/>
      <c r="F1506" s="6"/>
      <c r="G1506" s="6"/>
      <c r="H1506" s="6"/>
      <c r="I1506" s="6"/>
      <c r="J1506" s="8"/>
      <c r="K1506" s="6"/>
      <c r="L1506" s="6"/>
      <c r="M1506" s="8"/>
      <c r="N1506" s="8"/>
      <c r="O1506" s="8"/>
      <c r="P1506" s="8"/>
      <c r="Q1506" s="18" t="e">
        <f>(Table1[[#This Row],[A. TÀI SẢN NGẮN HẠN]]-Table1[[#This Row],[I. Nợ ngắn hạn]])/Table1[[#This Row],[TỔNG CỘNG TÀI SẢN]]</f>
        <v>#DIV/0!</v>
      </c>
      <c r="R1506" s="18" t="e">
        <f>Table1[[#This Row],[- LNST chưa phân phối kỳ này]]/Table1[[#This Row],[TỔNG CỘNG TÀI SẢN]]</f>
        <v>#DIV/0!</v>
      </c>
      <c r="S1506" s="21" t="e">
        <f>Table1[[#This Row],[5. Lợi nhuận gộp về bán hàng và cung cấp dịch vụ]]/Table1[[#This Row],[TỔNG CỘNG TÀI SẢN]]</f>
        <v>#DIV/0!</v>
      </c>
      <c r="T150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506" s="23" t="e">
        <f>Table1[[#This Row],[1. Doanh thu bán hàng và cung cấp dịch vụ ]]/Table1[[#This Row],[TỔNG CỘNG TÀI SẢN]]</f>
        <v>#DIV/0!</v>
      </c>
      <c r="V1506" s="23" t="e">
        <f>1.2*Table1[[#This Row],[X1]] + 1.4*Table1[[#This Row],[X2]] + 3.3*Table1[[#This Row],[x3]] + 0.6*Table1[[#This Row],[x4]] + 1*Table1[[#This Row],[x5]]</f>
        <v>#DIV/0!</v>
      </c>
      <c r="W1506" s="23" t="e">
        <f>IF(Table1[[#This Row],[Zscore]]&lt;1.81,1,0)</f>
        <v>#DIV/0!</v>
      </c>
    </row>
    <row r="1507" spans="1:23" ht="26.25" hidden="1" x14ac:dyDescent="0.45">
      <c r="A1507" s="7">
        <v>1501</v>
      </c>
      <c r="B1507" s="5" t="s">
        <v>3014</v>
      </c>
      <c r="C1507" s="6" t="s">
        <v>3015</v>
      </c>
      <c r="D1507" s="6" t="s">
        <v>13</v>
      </c>
      <c r="E1507" s="6"/>
      <c r="F1507" s="6"/>
      <c r="G1507" s="6"/>
      <c r="H1507" s="6"/>
      <c r="I1507" s="6"/>
      <c r="J1507" s="8"/>
      <c r="K1507" s="6"/>
      <c r="L1507" s="6"/>
      <c r="M1507" s="8"/>
      <c r="N1507" s="8"/>
      <c r="O1507" s="8"/>
      <c r="P1507" s="8"/>
      <c r="Q1507" s="18" t="e">
        <f>(Table1[[#This Row],[A. TÀI SẢN NGẮN HẠN]]-Table1[[#This Row],[I. Nợ ngắn hạn]])/Table1[[#This Row],[TỔNG CỘNG TÀI SẢN]]</f>
        <v>#DIV/0!</v>
      </c>
      <c r="R1507" s="18" t="e">
        <f>Table1[[#This Row],[- LNST chưa phân phối kỳ này]]/Table1[[#This Row],[TỔNG CỘNG TÀI SẢN]]</f>
        <v>#DIV/0!</v>
      </c>
      <c r="S1507" s="21" t="e">
        <f>Table1[[#This Row],[5. Lợi nhuận gộp về bán hàng và cung cấp dịch vụ]]/Table1[[#This Row],[TỔNG CỘNG TÀI SẢN]]</f>
        <v>#DIV/0!</v>
      </c>
      <c r="T150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507" s="23" t="e">
        <f>Table1[[#This Row],[1. Doanh thu bán hàng và cung cấp dịch vụ ]]/Table1[[#This Row],[TỔNG CỘNG TÀI SẢN]]</f>
        <v>#DIV/0!</v>
      </c>
      <c r="V1507" s="23" t="e">
        <f>1.2*Table1[[#This Row],[X1]] + 1.4*Table1[[#This Row],[X2]] + 3.3*Table1[[#This Row],[x3]] + 0.6*Table1[[#This Row],[x4]] + 1*Table1[[#This Row],[x5]]</f>
        <v>#DIV/0!</v>
      </c>
      <c r="W1507" s="23" t="e">
        <f>IF(Table1[[#This Row],[Zscore]]&lt;1.81,1,0)</f>
        <v>#DIV/0!</v>
      </c>
    </row>
    <row r="1508" spans="1:23" ht="26.25" hidden="1" x14ac:dyDescent="0.45">
      <c r="A1508" s="7">
        <v>1502</v>
      </c>
      <c r="B1508" s="5" t="s">
        <v>3016</v>
      </c>
      <c r="C1508" s="6" t="s">
        <v>3017</v>
      </c>
      <c r="D1508" s="6" t="s">
        <v>13</v>
      </c>
      <c r="E1508" s="6"/>
      <c r="F1508" s="6"/>
      <c r="G1508" s="6"/>
      <c r="H1508" s="6"/>
      <c r="I1508" s="6"/>
      <c r="J1508" s="8"/>
      <c r="K1508" s="6"/>
      <c r="L1508" s="6"/>
      <c r="M1508" s="8"/>
      <c r="N1508" s="8"/>
      <c r="O1508" s="8"/>
      <c r="P1508" s="8"/>
      <c r="Q1508" s="18" t="e">
        <f>(Table1[[#This Row],[A. TÀI SẢN NGẮN HẠN]]-Table1[[#This Row],[I. Nợ ngắn hạn]])/Table1[[#This Row],[TỔNG CỘNG TÀI SẢN]]</f>
        <v>#DIV/0!</v>
      </c>
      <c r="R1508" s="18" t="e">
        <f>Table1[[#This Row],[- LNST chưa phân phối kỳ này]]/Table1[[#This Row],[TỔNG CỘNG TÀI SẢN]]</f>
        <v>#DIV/0!</v>
      </c>
      <c r="S1508" s="21" t="e">
        <f>Table1[[#This Row],[5. Lợi nhuận gộp về bán hàng và cung cấp dịch vụ]]/Table1[[#This Row],[TỔNG CỘNG TÀI SẢN]]</f>
        <v>#DIV/0!</v>
      </c>
      <c r="T150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508" s="23" t="e">
        <f>Table1[[#This Row],[1. Doanh thu bán hàng và cung cấp dịch vụ ]]/Table1[[#This Row],[TỔNG CỘNG TÀI SẢN]]</f>
        <v>#DIV/0!</v>
      </c>
      <c r="V1508" s="23" t="e">
        <f>1.2*Table1[[#This Row],[X1]] + 1.4*Table1[[#This Row],[X2]] + 3.3*Table1[[#This Row],[x3]] + 0.6*Table1[[#This Row],[x4]] + 1*Table1[[#This Row],[x5]]</f>
        <v>#DIV/0!</v>
      </c>
      <c r="W1508" s="23" t="e">
        <f>IF(Table1[[#This Row],[Zscore]]&lt;1.81,1,0)</f>
        <v>#DIV/0!</v>
      </c>
    </row>
    <row r="1509" spans="1:23" hidden="1" x14ac:dyDescent="0.45">
      <c r="A1509" s="7">
        <v>1503</v>
      </c>
      <c r="B1509" s="5" t="s">
        <v>3018</v>
      </c>
      <c r="C1509" s="6" t="s">
        <v>3019</v>
      </c>
      <c r="D1509" s="6" t="s">
        <v>13</v>
      </c>
      <c r="E1509" s="6"/>
      <c r="F1509" s="6"/>
      <c r="G1509" s="6"/>
      <c r="H1509" s="6"/>
      <c r="I1509" s="6"/>
      <c r="J1509" s="8"/>
      <c r="K1509" s="6"/>
      <c r="L1509" s="6"/>
      <c r="M1509" s="8"/>
      <c r="N1509" s="8"/>
      <c r="O1509" s="8"/>
      <c r="P1509" s="8"/>
      <c r="Q1509" s="18" t="e">
        <f>(Table1[[#This Row],[A. TÀI SẢN NGẮN HẠN]]-Table1[[#This Row],[I. Nợ ngắn hạn]])/Table1[[#This Row],[TỔNG CỘNG TÀI SẢN]]</f>
        <v>#DIV/0!</v>
      </c>
      <c r="R1509" s="18" t="e">
        <f>Table1[[#This Row],[- LNST chưa phân phối kỳ này]]/Table1[[#This Row],[TỔNG CỘNG TÀI SẢN]]</f>
        <v>#DIV/0!</v>
      </c>
      <c r="S1509" s="21" t="e">
        <f>Table1[[#This Row],[5. Lợi nhuận gộp về bán hàng và cung cấp dịch vụ]]/Table1[[#This Row],[TỔNG CỘNG TÀI SẢN]]</f>
        <v>#DIV/0!</v>
      </c>
      <c r="T150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509" s="23" t="e">
        <f>Table1[[#This Row],[1. Doanh thu bán hàng và cung cấp dịch vụ ]]/Table1[[#This Row],[TỔNG CỘNG TÀI SẢN]]</f>
        <v>#DIV/0!</v>
      </c>
      <c r="V1509" s="23" t="e">
        <f>1.2*Table1[[#This Row],[X1]] + 1.4*Table1[[#This Row],[X2]] + 3.3*Table1[[#This Row],[x3]] + 0.6*Table1[[#This Row],[x4]] + 1*Table1[[#This Row],[x5]]</f>
        <v>#DIV/0!</v>
      </c>
      <c r="W1509" s="23" t="e">
        <f>IF(Table1[[#This Row],[Zscore]]&lt;1.81,1,0)</f>
        <v>#DIV/0!</v>
      </c>
    </row>
    <row r="1510" spans="1:23" x14ac:dyDescent="0.45">
      <c r="A1510" s="7">
        <v>1504</v>
      </c>
      <c r="B1510" s="5" t="s">
        <v>3020</v>
      </c>
      <c r="C1510" s="6" t="s">
        <v>3021</v>
      </c>
      <c r="D1510" s="6" t="s">
        <v>18</v>
      </c>
      <c r="E1510" s="8">
        <v>1626909994265</v>
      </c>
      <c r="F1510" s="8">
        <v>998648539375</v>
      </c>
      <c r="G1510" s="8">
        <v>196468585782</v>
      </c>
      <c r="H1510" s="8">
        <v>13899020335</v>
      </c>
      <c r="I1510" s="8">
        <v>298472482344</v>
      </c>
      <c r="J1510" s="8"/>
      <c r="K1510" s="8">
        <v>347829437310</v>
      </c>
      <c r="L1510" s="8">
        <v>989573352555</v>
      </c>
      <c r="M1510" s="8">
        <v>747939341600</v>
      </c>
      <c r="N1510" s="8">
        <v>634232347100</v>
      </c>
      <c r="O1510" s="8">
        <v>737832053200</v>
      </c>
      <c r="P1510" s="8">
        <v>702456543800</v>
      </c>
      <c r="Q1510" s="18">
        <f>(Table1[[#This Row],[A. TÀI SẢN NGẮN HẠN]]-Table1[[#This Row],[I. Nợ ngắn hạn]])/Table1[[#This Row],[TỔNG CỘNG TÀI SẢN]]</f>
        <v>0.4930696574615403</v>
      </c>
      <c r="R1510" s="18">
        <f>Table1[[#This Row],[- LNST chưa phân phối kỳ này]]/Table1[[#This Row],[TỔNG CỘNG TÀI SẢN]]</f>
        <v>8.5432017653067852E-3</v>
      </c>
      <c r="S1510" s="21">
        <f>Table1[[#This Row],[5. Lợi nhuận gộp về bán hàng và cung cấp dịch vụ]]/Table1[[#This Row],[TỔNG CỘNG TÀI SẢN]]</f>
        <v>0.1834597386432818</v>
      </c>
      <c r="T151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2.0286237901024076</v>
      </c>
      <c r="U1510" s="23">
        <f>Table1[[#This Row],[1. Doanh thu bán hàng và cung cấp dịch vụ ]]/Table1[[#This Row],[TỔNG CỘNG TÀI SẢN]]</f>
        <v>0.60825328754714925</v>
      </c>
      <c r="V1510" s="23">
        <f>1.2*Table1[[#This Row],[X1]] + 1.4*Table1[[#This Row],[X2]] + 3.3*Table1[[#This Row],[x3]] + 0.6*Table1[[#This Row],[x4]] + 1*Table1[[#This Row],[x5]]</f>
        <v>3.0344887705567012</v>
      </c>
      <c r="W1510" s="23">
        <f>IF(Table1[[#This Row],[Zscore]]&lt;1.81,1,0)</f>
        <v>0</v>
      </c>
    </row>
    <row r="1511" spans="1:23" hidden="1" x14ac:dyDescent="0.45">
      <c r="A1511" s="7">
        <v>1505</v>
      </c>
      <c r="B1511" s="5" t="s">
        <v>3022</v>
      </c>
      <c r="C1511" s="6" t="s">
        <v>3023</v>
      </c>
      <c r="D1511" s="6" t="s">
        <v>13</v>
      </c>
      <c r="E1511" s="6"/>
      <c r="F1511" s="6"/>
      <c r="G1511" s="6"/>
      <c r="H1511" s="6"/>
      <c r="I1511" s="6"/>
      <c r="J1511" s="8"/>
      <c r="K1511" s="6"/>
      <c r="L1511" s="6"/>
      <c r="M1511" s="8"/>
      <c r="N1511" s="8"/>
      <c r="O1511" s="8"/>
      <c r="P1511" s="8"/>
      <c r="Q1511" s="18" t="e">
        <f>(Table1[[#This Row],[A. TÀI SẢN NGẮN HẠN]]-Table1[[#This Row],[I. Nợ ngắn hạn]])/Table1[[#This Row],[TỔNG CỘNG TÀI SẢN]]</f>
        <v>#DIV/0!</v>
      </c>
      <c r="R1511" s="18" t="e">
        <f>Table1[[#This Row],[- LNST chưa phân phối kỳ này]]/Table1[[#This Row],[TỔNG CỘNG TÀI SẢN]]</f>
        <v>#DIV/0!</v>
      </c>
      <c r="S1511" s="21" t="e">
        <f>Table1[[#This Row],[5. Lợi nhuận gộp về bán hàng và cung cấp dịch vụ]]/Table1[[#This Row],[TỔNG CỘNG TÀI SẢN]]</f>
        <v>#DIV/0!</v>
      </c>
      <c r="T151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511" s="23" t="e">
        <f>Table1[[#This Row],[1. Doanh thu bán hàng và cung cấp dịch vụ ]]/Table1[[#This Row],[TỔNG CỘNG TÀI SẢN]]</f>
        <v>#DIV/0!</v>
      </c>
      <c r="V1511" s="23" t="e">
        <f>1.2*Table1[[#This Row],[X1]] + 1.4*Table1[[#This Row],[X2]] + 3.3*Table1[[#This Row],[x3]] + 0.6*Table1[[#This Row],[x4]] + 1*Table1[[#This Row],[x5]]</f>
        <v>#DIV/0!</v>
      </c>
      <c r="W1511" s="23" t="e">
        <f>IF(Table1[[#This Row],[Zscore]]&lt;1.81,1,0)</f>
        <v>#DIV/0!</v>
      </c>
    </row>
    <row r="1512" spans="1:23" x14ac:dyDescent="0.45">
      <c r="A1512" s="7">
        <v>1506</v>
      </c>
      <c r="B1512" s="5" t="s">
        <v>3024</v>
      </c>
      <c r="C1512" s="6" t="s">
        <v>3025</v>
      </c>
      <c r="D1512" s="6" t="s">
        <v>36</v>
      </c>
      <c r="E1512" s="8">
        <v>116127896156</v>
      </c>
      <c r="F1512" s="8">
        <v>87573509444</v>
      </c>
      <c r="G1512" s="8">
        <v>12081023620</v>
      </c>
      <c r="H1512" s="8">
        <v>16900946467</v>
      </c>
      <c r="I1512" s="8">
        <v>51665480651</v>
      </c>
      <c r="J1512" s="8"/>
      <c r="K1512" s="8">
        <v>12081023620</v>
      </c>
      <c r="L1512" s="8">
        <v>165095442300</v>
      </c>
      <c r="M1512" s="8">
        <v>46500000000</v>
      </c>
      <c r="N1512" s="8">
        <v>75500000000</v>
      </c>
      <c r="O1512" s="8">
        <v>47500000000</v>
      </c>
      <c r="P1512" s="8">
        <v>47500000000</v>
      </c>
      <c r="Q1512" s="18">
        <f>(Table1[[#This Row],[A. TÀI SẢN NGẮN HẠN]]-Table1[[#This Row],[I. Nợ ngắn hạn]])/Table1[[#This Row],[TỔNG CỘNG TÀI SẢN]]</f>
        <v>0.65008054328812981</v>
      </c>
      <c r="R1512" s="18">
        <f>Table1[[#This Row],[- LNST chưa phân phối kỳ này]]/Table1[[#This Row],[TỔNG CỘNG TÀI SẢN]]</f>
        <v>0.14553735171690507</v>
      </c>
      <c r="S1512" s="21">
        <f>Table1[[#This Row],[5. Lợi nhuận gộp về bán hàng và cung cấp dịch vụ]]/Table1[[#This Row],[TỔNG CỘNG TÀI SẢN]]</f>
        <v>0.44490154701154111</v>
      </c>
      <c r="T151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4.4905135281905855</v>
      </c>
      <c r="U1512" s="23">
        <f>Table1[[#This Row],[1. Doanh thu bán hàng và cung cấp dịch vụ ]]/Table1[[#This Row],[TỔNG CỘNG TÀI SẢN]]</f>
        <v>1.421669105915943</v>
      </c>
      <c r="V1512" s="23">
        <f>1.2*Table1[[#This Row],[X1]] + 1.4*Table1[[#This Row],[X2]] + 3.3*Table1[[#This Row],[x3]] + 0.6*Table1[[#This Row],[x4]] + 1*Table1[[#This Row],[x5]]</f>
        <v>6.5680012723178027</v>
      </c>
      <c r="W1512" s="23">
        <f>IF(Table1[[#This Row],[Zscore]]&lt;1.81,1,0)</f>
        <v>0</v>
      </c>
    </row>
    <row r="1513" spans="1:23" ht="26.25" hidden="1" x14ac:dyDescent="0.45">
      <c r="A1513" s="7">
        <v>1507</v>
      </c>
      <c r="B1513" s="5" t="s">
        <v>3026</v>
      </c>
      <c r="C1513" s="6" t="s">
        <v>3027</v>
      </c>
      <c r="D1513" s="6" t="s">
        <v>18</v>
      </c>
      <c r="E1513" s="8">
        <v>137193818349</v>
      </c>
      <c r="F1513" s="8">
        <v>116545787139</v>
      </c>
      <c r="G1513" s="8">
        <v>55081035662</v>
      </c>
      <c r="H1513" s="8">
        <v>23743804748</v>
      </c>
      <c r="I1513" s="8">
        <v>38897008619</v>
      </c>
      <c r="J1513" s="8"/>
      <c r="K1513" s="8">
        <v>55168035662</v>
      </c>
      <c r="L1513" s="8">
        <v>187299673990</v>
      </c>
      <c r="M1513" s="8"/>
      <c r="N1513" s="8"/>
      <c r="O1513" s="8"/>
      <c r="P1513" s="8"/>
      <c r="Q1513" s="18">
        <f>(Table1[[#This Row],[A. TÀI SẢN NGẮN HẠN]]-Table1[[#This Row],[I. Nợ ngắn hạn]])/Table1[[#This Row],[TỔNG CỘNG TÀI SẢN]]</f>
        <v>0.44801400104371403</v>
      </c>
      <c r="R1513" s="18">
        <f>Table1[[#This Row],[- LNST chưa phân phối kỳ này]]/Table1[[#This Row],[TỔNG CỘNG TÀI SẢN]]</f>
        <v>0.17306759906338789</v>
      </c>
      <c r="S1513" s="21">
        <f>Table1[[#This Row],[5. Lợi nhuận gộp về bán hàng và cung cấp dịch vụ]]/Table1[[#This Row],[TỔNG CỘNG TÀI SẢN]]</f>
        <v>0.28351866787504948</v>
      </c>
      <c r="T151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513" s="23">
        <f>Table1[[#This Row],[1. Doanh thu bán hàng và cung cấp dịch vụ ]]/Table1[[#This Row],[TỔNG CỘNG TÀI SẢN]]</f>
        <v>1.3652194846967405</v>
      </c>
      <c r="V1513" s="23" t="e">
        <f>1.2*Table1[[#This Row],[X1]] + 1.4*Table1[[#This Row],[X2]] + 3.3*Table1[[#This Row],[x3]] + 0.6*Table1[[#This Row],[x4]] + 1*Table1[[#This Row],[x5]]</f>
        <v>#DIV/0!</v>
      </c>
      <c r="W1513" s="23" t="e">
        <f>IF(Table1[[#This Row],[Zscore]]&lt;1.81,1,0)</f>
        <v>#DIV/0!</v>
      </c>
    </row>
    <row r="1514" spans="1:23" hidden="1" x14ac:dyDescent="0.45">
      <c r="A1514" s="7">
        <v>1508</v>
      </c>
      <c r="B1514" s="5" t="s">
        <v>3028</v>
      </c>
      <c r="C1514" s="6" t="s">
        <v>3029</v>
      </c>
      <c r="D1514" s="6" t="s">
        <v>13</v>
      </c>
      <c r="E1514" s="6"/>
      <c r="F1514" s="6"/>
      <c r="G1514" s="6"/>
      <c r="H1514" s="6"/>
      <c r="I1514" s="6"/>
      <c r="J1514" s="8"/>
      <c r="K1514" s="6"/>
      <c r="L1514" s="6"/>
      <c r="M1514" s="8"/>
      <c r="N1514" s="8"/>
      <c r="O1514" s="8"/>
      <c r="P1514" s="8"/>
      <c r="Q1514" s="18" t="e">
        <f>(Table1[[#This Row],[A. TÀI SẢN NGẮN HẠN]]-Table1[[#This Row],[I. Nợ ngắn hạn]])/Table1[[#This Row],[TỔNG CỘNG TÀI SẢN]]</f>
        <v>#DIV/0!</v>
      </c>
      <c r="R1514" s="18" t="e">
        <f>Table1[[#This Row],[- LNST chưa phân phối kỳ này]]/Table1[[#This Row],[TỔNG CỘNG TÀI SẢN]]</f>
        <v>#DIV/0!</v>
      </c>
      <c r="S1514" s="21" t="e">
        <f>Table1[[#This Row],[5. Lợi nhuận gộp về bán hàng và cung cấp dịch vụ]]/Table1[[#This Row],[TỔNG CỘNG TÀI SẢN]]</f>
        <v>#DIV/0!</v>
      </c>
      <c r="T151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514" s="23" t="e">
        <f>Table1[[#This Row],[1. Doanh thu bán hàng và cung cấp dịch vụ ]]/Table1[[#This Row],[TỔNG CỘNG TÀI SẢN]]</f>
        <v>#DIV/0!</v>
      </c>
      <c r="V1514" s="23" t="e">
        <f>1.2*Table1[[#This Row],[X1]] + 1.4*Table1[[#This Row],[X2]] + 3.3*Table1[[#This Row],[x3]] + 0.6*Table1[[#This Row],[x4]] + 1*Table1[[#This Row],[x5]]</f>
        <v>#DIV/0!</v>
      </c>
      <c r="W1514" s="23" t="e">
        <f>IF(Table1[[#This Row],[Zscore]]&lt;1.81,1,0)</f>
        <v>#DIV/0!</v>
      </c>
    </row>
    <row r="1515" spans="1:23" hidden="1" x14ac:dyDescent="0.45">
      <c r="A1515" s="7">
        <v>1509</v>
      </c>
      <c r="B1515" s="5" t="s">
        <v>3030</v>
      </c>
      <c r="C1515" s="6" t="s">
        <v>3031</v>
      </c>
      <c r="D1515" s="6" t="s">
        <v>18</v>
      </c>
      <c r="E1515" s="6"/>
      <c r="F1515" s="6"/>
      <c r="G1515" s="6"/>
      <c r="H1515" s="6"/>
      <c r="I1515" s="6"/>
      <c r="J1515" s="8"/>
      <c r="K1515" s="6"/>
      <c r="L1515" s="6"/>
      <c r="M1515" s="8"/>
      <c r="N1515" s="8"/>
      <c r="O1515" s="8"/>
      <c r="P1515" s="8"/>
      <c r="Q1515" s="18" t="e">
        <f>(Table1[[#This Row],[A. TÀI SẢN NGẮN HẠN]]-Table1[[#This Row],[I. Nợ ngắn hạn]])/Table1[[#This Row],[TỔNG CỘNG TÀI SẢN]]</f>
        <v>#DIV/0!</v>
      </c>
      <c r="R1515" s="18" t="e">
        <f>Table1[[#This Row],[- LNST chưa phân phối kỳ này]]/Table1[[#This Row],[TỔNG CỘNG TÀI SẢN]]</f>
        <v>#DIV/0!</v>
      </c>
      <c r="S1515" s="21" t="e">
        <f>Table1[[#This Row],[5. Lợi nhuận gộp về bán hàng và cung cấp dịch vụ]]/Table1[[#This Row],[TỔNG CỘNG TÀI SẢN]]</f>
        <v>#DIV/0!</v>
      </c>
      <c r="T151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515" s="23" t="e">
        <f>Table1[[#This Row],[1. Doanh thu bán hàng và cung cấp dịch vụ ]]/Table1[[#This Row],[TỔNG CỘNG TÀI SẢN]]</f>
        <v>#DIV/0!</v>
      </c>
      <c r="V1515" s="23" t="e">
        <f>1.2*Table1[[#This Row],[X1]] + 1.4*Table1[[#This Row],[X2]] + 3.3*Table1[[#This Row],[x3]] + 0.6*Table1[[#This Row],[x4]] + 1*Table1[[#This Row],[x5]]</f>
        <v>#DIV/0!</v>
      </c>
      <c r="W1515" s="23" t="e">
        <f>IF(Table1[[#This Row],[Zscore]]&lt;1.81,1,0)</f>
        <v>#DIV/0!</v>
      </c>
    </row>
    <row r="1516" spans="1:23" x14ac:dyDescent="0.45">
      <c r="A1516" s="7">
        <v>1510</v>
      </c>
      <c r="B1516" s="5" t="s">
        <v>3032</v>
      </c>
      <c r="C1516" s="6" t="s">
        <v>3033</v>
      </c>
      <c r="D1516" s="6" t="s">
        <v>18</v>
      </c>
      <c r="E1516" s="8">
        <v>11367658352618</v>
      </c>
      <c r="F1516" s="8">
        <v>2202622399271</v>
      </c>
      <c r="G1516" s="8">
        <v>5242484260684</v>
      </c>
      <c r="H1516" s="8">
        <v>563021992217</v>
      </c>
      <c r="I1516" s="8">
        <v>2581456337206</v>
      </c>
      <c r="J1516" s="8"/>
      <c r="K1516" s="8">
        <v>6166967344173</v>
      </c>
      <c r="L1516" s="8">
        <v>9571422893228</v>
      </c>
      <c r="M1516" s="8">
        <v>10003198827200</v>
      </c>
      <c r="N1516" s="8">
        <v>12149311830600</v>
      </c>
      <c r="O1516" s="8">
        <v>11516840755000</v>
      </c>
      <c r="P1516" s="8">
        <v>12668524830500</v>
      </c>
      <c r="Q1516" s="18">
        <f>(Table1[[#This Row],[A. TÀI SẢN NGẮN HẠN]]-Table1[[#This Row],[I. Nợ ngắn hạn]])/Table1[[#This Row],[TỔNG CỘNG TÀI SẢN]]</f>
        <v>-0.26741319690637189</v>
      </c>
      <c r="R1516" s="18">
        <f>Table1[[#This Row],[- LNST chưa phân phối kỳ này]]/Table1[[#This Row],[TỔNG CỘNG TÀI SẢN]]</f>
        <v>4.9528405477398486E-2</v>
      </c>
      <c r="S1516" s="21">
        <f>Table1[[#This Row],[5. Lợi nhuận gộp về bán hàng và cung cấp dịch vụ]]/Table1[[#This Row],[TỔNG CỘNG TÀI SẢN]]</f>
        <v>0.22708778335262725</v>
      </c>
      <c r="T151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1.878470958950488</v>
      </c>
      <c r="U1516" s="23">
        <f>Table1[[#This Row],[1. Doanh thu bán hàng và cung cấp dịch vụ ]]/Table1[[#This Row],[TỔNG CỘNG TÀI SẢN]]</f>
        <v>0.84198720583678321</v>
      </c>
      <c r="V1516" s="23">
        <f>1.2*Table1[[#This Row],[X1]] + 1.4*Table1[[#This Row],[X2]] + 3.3*Table1[[#This Row],[x3]] + 0.6*Table1[[#This Row],[x4]] + 1*Table1[[#This Row],[x5]]</f>
        <v>2.4669033976514574</v>
      </c>
      <c r="W1516" s="23">
        <f>IF(Table1[[#This Row],[Zscore]]&lt;1.81,1,0)</f>
        <v>0</v>
      </c>
    </row>
    <row r="1517" spans="1:23" x14ac:dyDescent="0.45">
      <c r="A1517" s="7">
        <v>1511</v>
      </c>
      <c r="B1517" s="5" t="s">
        <v>3034</v>
      </c>
      <c r="C1517" s="6" t="s">
        <v>3035</v>
      </c>
      <c r="D1517" s="6" t="s">
        <v>18</v>
      </c>
      <c r="E1517" s="8">
        <v>3495677646572</v>
      </c>
      <c r="F1517" s="8">
        <v>2713147659033</v>
      </c>
      <c r="G1517" s="8">
        <v>2495612169419</v>
      </c>
      <c r="H1517" s="8">
        <v>133605374060</v>
      </c>
      <c r="I1517" s="8">
        <v>969041135959</v>
      </c>
      <c r="J1517" s="8"/>
      <c r="K1517" s="8">
        <v>2835166948485</v>
      </c>
      <c r="L1517" s="8">
        <v>5291899108716</v>
      </c>
      <c r="M1517" s="8">
        <v>640000000000</v>
      </c>
      <c r="N1517" s="8">
        <v>500000000000</v>
      </c>
      <c r="O1517" s="8">
        <v>540000000000</v>
      </c>
      <c r="P1517" s="8">
        <v>550000000000</v>
      </c>
      <c r="Q1517" s="18">
        <f>(Table1[[#This Row],[A. TÀI SẢN NGẮN HẠN]]-Table1[[#This Row],[I. Nợ ngắn hạn]])/Table1[[#This Row],[TỔNG CỘNG TÀI SẢN]]</f>
        <v>6.2229848289164738E-2</v>
      </c>
      <c r="R1517" s="18">
        <f>Table1[[#This Row],[- LNST chưa phân phối kỳ này]]/Table1[[#This Row],[TỔNG CỘNG TÀI SẢN]]</f>
        <v>3.8220164319504327E-2</v>
      </c>
      <c r="S1517" s="21">
        <f>Table1[[#This Row],[5. Lợi nhuận gộp về bán hàng và cung cấp dịch vụ]]/Table1[[#This Row],[TỔNG CỘNG TÀI SẢN]]</f>
        <v>0.277211240261035</v>
      </c>
      <c r="T151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0.19663745032648103</v>
      </c>
      <c r="U1517" s="23">
        <f>Table1[[#This Row],[1. Doanh thu bán hàng và cung cấp dịch vụ ]]/Table1[[#This Row],[TỔNG CỘNG TÀI SẢN]]</f>
        <v>1.5138407037918515</v>
      </c>
      <c r="V1517" s="23">
        <f>1.2*Table1[[#This Row],[X1]] + 1.4*Table1[[#This Row],[X2]] + 3.3*Table1[[#This Row],[x3]] + 0.6*Table1[[#This Row],[x4]] + 1*Table1[[#This Row],[x5]]</f>
        <v>2.6748043148434597</v>
      </c>
      <c r="W1517" s="23">
        <f>IF(Table1[[#This Row],[Zscore]]&lt;1.81,1,0)</f>
        <v>0</v>
      </c>
    </row>
    <row r="1518" spans="1:23" hidden="1" x14ac:dyDescent="0.45">
      <c r="A1518" s="7">
        <v>1512</v>
      </c>
      <c r="B1518" s="5" t="s">
        <v>3036</v>
      </c>
      <c r="C1518" s="6" t="s">
        <v>3037</v>
      </c>
      <c r="D1518" s="6" t="s">
        <v>18</v>
      </c>
      <c r="E1518" s="6"/>
      <c r="F1518" s="6"/>
      <c r="G1518" s="6"/>
      <c r="H1518" s="6"/>
      <c r="I1518" s="6"/>
      <c r="J1518" s="8"/>
      <c r="K1518" s="6"/>
      <c r="L1518" s="6"/>
      <c r="M1518" s="8"/>
      <c r="N1518" s="8"/>
      <c r="O1518" s="8"/>
      <c r="P1518" s="8"/>
      <c r="Q1518" s="18" t="e">
        <f>(Table1[[#This Row],[A. TÀI SẢN NGẮN HẠN]]-Table1[[#This Row],[I. Nợ ngắn hạn]])/Table1[[#This Row],[TỔNG CỘNG TÀI SẢN]]</f>
        <v>#DIV/0!</v>
      </c>
      <c r="R1518" s="18" t="e">
        <f>Table1[[#This Row],[- LNST chưa phân phối kỳ này]]/Table1[[#This Row],[TỔNG CỘNG TÀI SẢN]]</f>
        <v>#DIV/0!</v>
      </c>
      <c r="S1518" s="21" t="e">
        <f>Table1[[#This Row],[5. Lợi nhuận gộp về bán hàng và cung cấp dịch vụ]]/Table1[[#This Row],[TỔNG CỘNG TÀI SẢN]]</f>
        <v>#DIV/0!</v>
      </c>
      <c r="T151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518" s="23" t="e">
        <f>Table1[[#This Row],[1. Doanh thu bán hàng và cung cấp dịch vụ ]]/Table1[[#This Row],[TỔNG CỘNG TÀI SẢN]]</f>
        <v>#DIV/0!</v>
      </c>
      <c r="V1518" s="23" t="e">
        <f>1.2*Table1[[#This Row],[X1]] + 1.4*Table1[[#This Row],[X2]] + 3.3*Table1[[#This Row],[x3]] + 0.6*Table1[[#This Row],[x4]] + 1*Table1[[#This Row],[x5]]</f>
        <v>#DIV/0!</v>
      </c>
      <c r="W1518" s="23" t="e">
        <f>IF(Table1[[#This Row],[Zscore]]&lt;1.81,1,0)</f>
        <v>#DIV/0!</v>
      </c>
    </row>
    <row r="1519" spans="1:23" hidden="1" x14ac:dyDescent="0.45">
      <c r="A1519" s="7">
        <v>1513</v>
      </c>
      <c r="B1519" s="5" t="s">
        <v>3038</v>
      </c>
      <c r="C1519" s="6" t="s">
        <v>3039</v>
      </c>
      <c r="D1519" s="6" t="s">
        <v>13</v>
      </c>
      <c r="E1519" s="6"/>
      <c r="F1519" s="6"/>
      <c r="G1519" s="6"/>
      <c r="H1519" s="6"/>
      <c r="I1519" s="6"/>
      <c r="J1519" s="8"/>
      <c r="K1519" s="6"/>
      <c r="L1519" s="6"/>
      <c r="M1519" s="8"/>
      <c r="N1519" s="8"/>
      <c r="O1519" s="8"/>
      <c r="P1519" s="8"/>
      <c r="Q1519" s="18" t="e">
        <f>(Table1[[#This Row],[A. TÀI SẢN NGẮN HẠN]]-Table1[[#This Row],[I. Nợ ngắn hạn]])/Table1[[#This Row],[TỔNG CỘNG TÀI SẢN]]</f>
        <v>#DIV/0!</v>
      </c>
      <c r="R1519" s="18" t="e">
        <f>Table1[[#This Row],[- LNST chưa phân phối kỳ này]]/Table1[[#This Row],[TỔNG CỘNG TÀI SẢN]]</f>
        <v>#DIV/0!</v>
      </c>
      <c r="S1519" s="21" t="e">
        <f>Table1[[#This Row],[5. Lợi nhuận gộp về bán hàng và cung cấp dịch vụ]]/Table1[[#This Row],[TỔNG CỘNG TÀI SẢN]]</f>
        <v>#DIV/0!</v>
      </c>
      <c r="T151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519" s="23" t="e">
        <f>Table1[[#This Row],[1. Doanh thu bán hàng và cung cấp dịch vụ ]]/Table1[[#This Row],[TỔNG CỘNG TÀI SẢN]]</f>
        <v>#DIV/0!</v>
      </c>
      <c r="V1519" s="23" t="e">
        <f>1.2*Table1[[#This Row],[X1]] + 1.4*Table1[[#This Row],[X2]] + 3.3*Table1[[#This Row],[x3]] + 0.6*Table1[[#This Row],[x4]] + 1*Table1[[#This Row],[x5]]</f>
        <v>#DIV/0!</v>
      </c>
      <c r="W1519" s="23" t="e">
        <f>IF(Table1[[#This Row],[Zscore]]&lt;1.81,1,0)</f>
        <v>#DIV/0!</v>
      </c>
    </row>
    <row r="1520" spans="1:23" ht="26.25" hidden="1" x14ac:dyDescent="0.45">
      <c r="A1520" s="7">
        <v>1514</v>
      </c>
      <c r="B1520" s="5" t="s">
        <v>3040</v>
      </c>
      <c r="C1520" s="6" t="s">
        <v>3041</v>
      </c>
      <c r="D1520" s="6" t="s">
        <v>13</v>
      </c>
      <c r="E1520" s="6"/>
      <c r="F1520" s="6"/>
      <c r="G1520" s="6"/>
      <c r="H1520" s="6"/>
      <c r="I1520" s="6"/>
      <c r="J1520" s="8"/>
      <c r="K1520" s="6"/>
      <c r="L1520" s="6"/>
      <c r="M1520" s="8"/>
      <c r="N1520" s="8"/>
      <c r="O1520" s="8"/>
      <c r="P1520" s="8"/>
      <c r="Q1520" s="18" t="e">
        <f>(Table1[[#This Row],[A. TÀI SẢN NGẮN HẠN]]-Table1[[#This Row],[I. Nợ ngắn hạn]])/Table1[[#This Row],[TỔNG CỘNG TÀI SẢN]]</f>
        <v>#DIV/0!</v>
      </c>
      <c r="R1520" s="18" t="e">
        <f>Table1[[#This Row],[- LNST chưa phân phối kỳ này]]/Table1[[#This Row],[TỔNG CỘNG TÀI SẢN]]</f>
        <v>#DIV/0!</v>
      </c>
      <c r="S1520" s="21" t="e">
        <f>Table1[[#This Row],[5. Lợi nhuận gộp về bán hàng và cung cấp dịch vụ]]/Table1[[#This Row],[TỔNG CỘNG TÀI SẢN]]</f>
        <v>#DIV/0!</v>
      </c>
      <c r="T152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520" s="23" t="e">
        <f>Table1[[#This Row],[1. Doanh thu bán hàng và cung cấp dịch vụ ]]/Table1[[#This Row],[TỔNG CỘNG TÀI SẢN]]</f>
        <v>#DIV/0!</v>
      </c>
      <c r="V1520" s="23" t="e">
        <f>1.2*Table1[[#This Row],[X1]] + 1.4*Table1[[#This Row],[X2]] + 3.3*Table1[[#This Row],[x3]] + 0.6*Table1[[#This Row],[x4]] + 1*Table1[[#This Row],[x5]]</f>
        <v>#DIV/0!</v>
      </c>
      <c r="W1520" s="23" t="e">
        <f>IF(Table1[[#This Row],[Zscore]]&lt;1.81,1,0)</f>
        <v>#DIV/0!</v>
      </c>
    </row>
    <row r="1521" spans="1:23" ht="26.25" hidden="1" x14ac:dyDescent="0.45">
      <c r="A1521" s="7">
        <v>1515</v>
      </c>
      <c r="B1521" s="5" t="s">
        <v>3042</v>
      </c>
      <c r="C1521" s="6" t="s">
        <v>3043</v>
      </c>
      <c r="D1521" s="6" t="s">
        <v>13</v>
      </c>
      <c r="E1521" s="6"/>
      <c r="F1521" s="6"/>
      <c r="G1521" s="6"/>
      <c r="H1521" s="6"/>
      <c r="I1521" s="6"/>
      <c r="J1521" s="8"/>
      <c r="K1521" s="6"/>
      <c r="L1521" s="6"/>
      <c r="M1521" s="8"/>
      <c r="N1521" s="8"/>
      <c r="O1521" s="8"/>
      <c r="P1521" s="8"/>
      <c r="Q1521" s="18" t="e">
        <f>(Table1[[#This Row],[A. TÀI SẢN NGẮN HẠN]]-Table1[[#This Row],[I. Nợ ngắn hạn]])/Table1[[#This Row],[TỔNG CỘNG TÀI SẢN]]</f>
        <v>#DIV/0!</v>
      </c>
      <c r="R1521" s="18" t="e">
        <f>Table1[[#This Row],[- LNST chưa phân phối kỳ này]]/Table1[[#This Row],[TỔNG CỘNG TÀI SẢN]]</f>
        <v>#DIV/0!</v>
      </c>
      <c r="S1521" s="21" t="e">
        <f>Table1[[#This Row],[5. Lợi nhuận gộp về bán hàng và cung cấp dịch vụ]]/Table1[[#This Row],[TỔNG CỘNG TÀI SẢN]]</f>
        <v>#DIV/0!</v>
      </c>
      <c r="T152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521" s="23" t="e">
        <f>Table1[[#This Row],[1. Doanh thu bán hàng và cung cấp dịch vụ ]]/Table1[[#This Row],[TỔNG CỘNG TÀI SẢN]]</f>
        <v>#DIV/0!</v>
      </c>
      <c r="V1521" s="23" t="e">
        <f>1.2*Table1[[#This Row],[X1]] + 1.4*Table1[[#This Row],[X2]] + 3.3*Table1[[#This Row],[x3]] + 0.6*Table1[[#This Row],[x4]] + 1*Table1[[#This Row],[x5]]</f>
        <v>#DIV/0!</v>
      </c>
      <c r="W1521" s="23" t="e">
        <f>IF(Table1[[#This Row],[Zscore]]&lt;1.81,1,0)</f>
        <v>#DIV/0!</v>
      </c>
    </row>
    <row r="1522" spans="1:23" hidden="1" x14ac:dyDescent="0.45">
      <c r="A1522" s="7">
        <v>1516</v>
      </c>
      <c r="B1522" s="5" t="s">
        <v>3044</v>
      </c>
      <c r="C1522" s="6" t="s">
        <v>3045</v>
      </c>
      <c r="D1522" s="6" t="s">
        <v>13</v>
      </c>
      <c r="E1522" s="6"/>
      <c r="F1522" s="6"/>
      <c r="G1522" s="6"/>
      <c r="H1522" s="6"/>
      <c r="I1522" s="6"/>
      <c r="J1522" s="8"/>
      <c r="K1522" s="6"/>
      <c r="L1522" s="6"/>
      <c r="M1522" s="8"/>
      <c r="N1522" s="8"/>
      <c r="O1522" s="8"/>
      <c r="P1522" s="8"/>
      <c r="Q1522" s="18" t="e">
        <f>(Table1[[#This Row],[A. TÀI SẢN NGẮN HẠN]]-Table1[[#This Row],[I. Nợ ngắn hạn]])/Table1[[#This Row],[TỔNG CỘNG TÀI SẢN]]</f>
        <v>#DIV/0!</v>
      </c>
      <c r="R1522" s="18" t="e">
        <f>Table1[[#This Row],[- LNST chưa phân phối kỳ này]]/Table1[[#This Row],[TỔNG CỘNG TÀI SẢN]]</f>
        <v>#DIV/0!</v>
      </c>
      <c r="S1522" s="21" t="e">
        <f>Table1[[#This Row],[5. Lợi nhuận gộp về bán hàng và cung cấp dịch vụ]]/Table1[[#This Row],[TỔNG CỘNG TÀI SẢN]]</f>
        <v>#DIV/0!</v>
      </c>
      <c r="T152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522" s="23" t="e">
        <f>Table1[[#This Row],[1. Doanh thu bán hàng và cung cấp dịch vụ ]]/Table1[[#This Row],[TỔNG CỘNG TÀI SẢN]]</f>
        <v>#DIV/0!</v>
      </c>
      <c r="V1522" s="23" t="e">
        <f>1.2*Table1[[#This Row],[X1]] + 1.4*Table1[[#This Row],[X2]] + 3.3*Table1[[#This Row],[x3]] + 0.6*Table1[[#This Row],[x4]] + 1*Table1[[#This Row],[x5]]</f>
        <v>#DIV/0!</v>
      </c>
      <c r="W1522" s="23" t="e">
        <f>IF(Table1[[#This Row],[Zscore]]&lt;1.81,1,0)</f>
        <v>#DIV/0!</v>
      </c>
    </row>
    <row r="1523" spans="1:23" hidden="1" x14ac:dyDescent="0.45">
      <c r="A1523" s="7">
        <v>1517</v>
      </c>
      <c r="B1523" s="5" t="s">
        <v>3046</v>
      </c>
      <c r="C1523" s="6" t="s">
        <v>3047</v>
      </c>
      <c r="D1523" s="6" t="s">
        <v>13</v>
      </c>
      <c r="E1523" s="6"/>
      <c r="F1523" s="6"/>
      <c r="G1523" s="6"/>
      <c r="H1523" s="6"/>
      <c r="I1523" s="6"/>
      <c r="J1523" s="8"/>
      <c r="K1523" s="6"/>
      <c r="L1523" s="6"/>
      <c r="M1523" s="8"/>
      <c r="N1523" s="8"/>
      <c r="O1523" s="8"/>
      <c r="P1523" s="8"/>
      <c r="Q1523" s="18" t="e">
        <f>(Table1[[#This Row],[A. TÀI SẢN NGẮN HẠN]]-Table1[[#This Row],[I. Nợ ngắn hạn]])/Table1[[#This Row],[TỔNG CỘNG TÀI SẢN]]</f>
        <v>#DIV/0!</v>
      </c>
      <c r="R1523" s="18" t="e">
        <f>Table1[[#This Row],[- LNST chưa phân phối kỳ này]]/Table1[[#This Row],[TỔNG CỘNG TÀI SẢN]]</f>
        <v>#DIV/0!</v>
      </c>
      <c r="S1523" s="21" t="e">
        <f>Table1[[#This Row],[5. Lợi nhuận gộp về bán hàng và cung cấp dịch vụ]]/Table1[[#This Row],[TỔNG CỘNG TÀI SẢN]]</f>
        <v>#DIV/0!</v>
      </c>
      <c r="T152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523" s="23" t="e">
        <f>Table1[[#This Row],[1. Doanh thu bán hàng và cung cấp dịch vụ ]]/Table1[[#This Row],[TỔNG CỘNG TÀI SẢN]]</f>
        <v>#DIV/0!</v>
      </c>
      <c r="V1523" s="23" t="e">
        <f>1.2*Table1[[#This Row],[X1]] + 1.4*Table1[[#This Row],[X2]] + 3.3*Table1[[#This Row],[x3]] + 0.6*Table1[[#This Row],[x4]] + 1*Table1[[#This Row],[x5]]</f>
        <v>#DIV/0!</v>
      </c>
      <c r="W1523" s="23" t="e">
        <f>IF(Table1[[#This Row],[Zscore]]&lt;1.81,1,0)</f>
        <v>#DIV/0!</v>
      </c>
    </row>
    <row r="1524" spans="1:23" ht="26.25" x14ac:dyDescent="0.45">
      <c r="A1524" s="7">
        <v>1518</v>
      </c>
      <c r="B1524" s="5" t="s">
        <v>3048</v>
      </c>
      <c r="C1524" s="6" t="s">
        <v>3049</v>
      </c>
      <c r="D1524" s="6" t="s">
        <v>18</v>
      </c>
      <c r="E1524" s="8">
        <v>11014820026987</v>
      </c>
      <c r="F1524" s="8">
        <v>7385031803661</v>
      </c>
      <c r="G1524" s="8">
        <v>5165826844642</v>
      </c>
      <c r="H1524" s="8">
        <v>533473091696</v>
      </c>
      <c r="I1524" s="8">
        <v>1917588580328</v>
      </c>
      <c r="J1524" s="8"/>
      <c r="K1524" s="8">
        <v>5641188257566</v>
      </c>
      <c r="L1524" s="8">
        <v>14873130454967</v>
      </c>
      <c r="M1524" s="8">
        <v>5412667050000</v>
      </c>
      <c r="N1524" s="8">
        <v>6738362400000</v>
      </c>
      <c r="O1524" s="8">
        <v>5693323860000</v>
      </c>
      <c r="P1524" s="8">
        <v>7096607910000</v>
      </c>
      <c r="Q1524" s="18">
        <f>(Table1[[#This Row],[A. TÀI SẢN NGẮN HẠN]]-Table1[[#This Row],[I. Nợ ngắn hạn]])/Table1[[#This Row],[TỔNG CỘNG TÀI SẢN]]</f>
        <v>0.20147446382072595</v>
      </c>
      <c r="R1524" s="18">
        <f>Table1[[#This Row],[- LNST chưa phân phối kỳ này]]/Table1[[#This Row],[TỔNG CỘNG TÀI SẢN]]</f>
        <v>4.8432302151915095E-2</v>
      </c>
      <c r="S1524" s="21">
        <f>Table1[[#This Row],[5. Lợi nhuận gộp về bán hàng và cung cấp dịch vụ]]/Table1[[#This Row],[TỔNG CỘNG TÀI SẢN]]</f>
        <v>0.17409168516868978</v>
      </c>
      <c r="T152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1.1053061908787132</v>
      </c>
      <c r="U1524" s="23">
        <f>Table1[[#This Row],[1. Doanh thu bán hàng và cung cấp dịch vụ ]]/Table1[[#This Row],[TỔNG CỘNG TÀI SẢN]]</f>
        <v>1.3502835650992842</v>
      </c>
      <c r="V1524" s="23">
        <f>1.2*Table1[[#This Row],[X1]] + 1.4*Table1[[#This Row],[X2]] + 3.3*Table1[[#This Row],[x3]] + 0.6*Table1[[#This Row],[x4]] + 1*Table1[[#This Row],[x5]]</f>
        <v>2.8975444202807408</v>
      </c>
      <c r="W1524" s="23">
        <f>IF(Table1[[#This Row],[Zscore]]&lt;1.81,1,0)</f>
        <v>0</v>
      </c>
    </row>
    <row r="1525" spans="1:23" x14ac:dyDescent="0.45">
      <c r="A1525" s="7">
        <v>1519</v>
      </c>
      <c r="B1525" s="5" t="s">
        <v>3050</v>
      </c>
      <c r="C1525" s="6" t="s">
        <v>3051</v>
      </c>
      <c r="D1525" s="6" t="s">
        <v>18</v>
      </c>
      <c r="E1525" s="8">
        <v>176981211631</v>
      </c>
      <c r="F1525" s="8">
        <v>165282974176</v>
      </c>
      <c r="G1525" s="8">
        <v>10853342137</v>
      </c>
      <c r="H1525" s="8">
        <v>-719347648</v>
      </c>
      <c r="I1525" s="6"/>
      <c r="J1525" s="8"/>
      <c r="K1525" s="8">
        <v>10853342137</v>
      </c>
      <c r="L1525" s="6"/>
      <c r="M1525" s="8">
        <v>10264298400</v>
      </c>
      <c r="N1525" s="8">
        <v>10264298400</v>
      </c>
      <c r="O1525" s="8">
        <v>11975014800</v>
      </c>
      <c r="P1525" s="8">
        <v>10264298400</v>
      </c>
      <c r="Q1525" s="18">
        <f>(Table1[[#This Row],[A. TÀI SẢN NGẮN HẠN]]-Table1[[#This Row],[I. Nợ ngắn hạn]])/Table1[[#This Row],[TỔNG CỘNG TÀI SẢN]]</f>
        <v>0.87257641992518786</v>
      </c>
      <c r="R1525" s="18">
        <f>Table1[[#This Row],[- LNST chưa phân phối kỳ này]]/Table1[[#This Row],[TỔNG CỘNG TÀI SẢN]]</f>
        <v>-4.064542452674672E-3</v>
      </c>
      <c r="S1525" s="21">
        <f>Table1[[#This Row],[5. Lợi nhuận gộp về bán hàng và cung cấp dịch vụ]]/Table1[[#This Row],[TỔNG CỘNG TÀI SẢN]]</f>
        <v>0</v>
      </c>
      <c r="T152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0.98513226295060818</v>
      </c>
      <c r="U1525" s="23">
        <f>Table1[[#This Row],[1. Doanh thu bán hàng và cung cấp dịch vụ ]]/Table1[[#This Row],[TỔNG CỘNG TÀI SẢN]]</f>
        <v>0</v>
      </c>
      <c r="V1525" s="23">
        <f>1.2*Table1[[#This Row],[X1]] + 1.4*Table1[[#This Row],[X2]] + 3.3*Table1[[#This Row],[x3]] + 0.6*Table1[[#This Row],[x4]] + 1*Table1[[#This Row],[x5]]</f>
        <v>1.6324807022468457</v>
      </c>
      <c r="W1525" s="23">
        <f>IF(Table1[[#This Row],[Zscore]]&lt;1.81,1,0)</f>
        <v>1</v>
      </c>
    </row>
    <row r="1526" spans="1:23" hidden="1" x14ac:dyDescent="0.45">
      <c r="A1526" s="7">
        <v>1520</v>
      </c>
      <c r="B1526" s="5" t="s">
        <v>3052</v>
      </c>
      <c r="C1526" s="6" t="s">
        <v>3053</v>
      </c>
      <c r="D1526" s="6" t="s">
        <v>18</v>
      </c>
      <c r="E1526" s="6"/>
      <c r="F1526" s="6"/>
      <c r="G1526" s="6"/>
      <c r="H1526" s="6"/>
      <c r="I1526" s="6"/>
      <c r="J1526" s="8"/>
      <c r="K1526" s="6"/>
      <c r="L1526" s="6"/>
      <c r="M1526" s="8"/>
      <c r="N1526" s="8"/>
      <c r="O1526" s="8"/>
      <c r="P1526" s="8"/>
      <c r="Q1526" s="18" t="e">
        <f>(Table1[[#This Row],[A. TÀI SẢN NGẮN HẠN]]-Table1[[#This Row],[I. Nợ ngắn hạn]])/Table1[[#This Row],[TỔNG CỘNG TÀI SẢN]]</f>
        <v>#DIV/0!</v>
      </c>
      <c r="R1526" s="18" t="e">
        <f>Table1[[#This Row],[- LNST chưa phân phối kỳ này]]/Table1[[#This Row],[TỔNG CỘNG TÀI SẢN]]</f>
        <v>#DIV/0!</v>
      </c>
      <c r="S1526" s="21" t="e">
        <f>Table1[[#This Row],[5. Lợi nhuận gộp về bán hàng và cung cấp dịch vụ]]/Table1[[#This Row],[TỔNG CỘNG TÀI SẢN]]</f>
        <v>#DIV/0!</v>
      </c>
      <c r="T152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526" s="23" t="e">
        <f>Table1[[#This Row],[1. Doanh thu bán hàng và cung cấp dịch vụ ]]/Table1[[#This Row],[TỔNG CỘNG TÀI SẢN]]</f>
        <v>#DIV/0!</v>
      </c>
      <c r="V1526" s="23" t="e">
        <f>1.2*Table1[[#This Row],[X1]] + 1.4*Table1[[#This Row],[X2]] + 3.3*Table1[[#This Row],[x3]] + 0.6*Table1[[#This Row],[x4]] + 1*Table1[[#This Row],[x5]]</f>
        <v>#DIV/0!</v>
      </c>
      <c r="W1526" s="23" t="e">
        <f>IF(Table1[[#This Row],[Zscore]]&lt;1.81,1,0)</f>
        <v>#DIV/0!</v>
      </c>
    </row>
    <row r="1527" spans="1:23" ht="26.25" hidden="1" x14ac:dyDescent="0.45">
      <c r="A1527" s="7">
        <v>1521</v>
      </c>
      <c r="B1527" s="5" t="s">
        <v>3054</v>
      </c>
      <c r="C1527" s="6" t="s">
        <v>3055</v>
      </c>
      <c r="D1527" s="6" t="s">
        <v>18</v>
      </c>
      <c r="E1527" s="6"/>
      <c r="F1527" s="6"/>
      <c r="G1527" s="6"/>
      <c r="H1527" s="6"/>
      <c r="I1527" s="6"/>
      <c r="J1527" s="8"/>
      <c r="K1527" s="6"/>
      <c r="L1527" s="6"/>
      <c r="M1527" s="8"/>
      <c r="N1527" s="8"/>
      <c r="O1527" s="8"/>
      <c r="P1527" s="8"/>
      <c r="Q1527" s="18" t="e">
        <f>(Table1[[#This Row],[A. TÀI SẢN NGẮN HẠN]]-Table1[[#This Row],[I. Nợ ngắn hạn]])/Table1[[#This Row],[TỔNG CỘNG TÀI SẢN]]</f>
        <v>#DIV/0!</v>
      </c>
      <c r="R1527" s="18" t="e">
        <f>Table1[[#This Row],[- LNST chưa phân phối kỳ này]]/Table1[[#This Row],[TỔNG CỘNG TÀI SẢN]]</f>
        <v>#DIV/0!</v>
      </c>
      <c r="S1527" s="21" t="e">
        <f>Table1[[#This Row],[5. Lợi nhuận gộp về bán hàng và cung cấp dịch vụ]]/Table1[[#This Row],[TỔNG CỘNG TÀI SẢN]]</f>
        <v>#DIV/0!</v>
      </c>
      <c r="T152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527" s="23" t="e">
        <f>Table1[[#This Row],[1. Doanh thu bán hàng và cung cấp dịch vụ ]]/Table1[[#This Row],[TỔNG CỘNG TÀI SẢN]]</f>
        <v>#DIV/0!</v>
      </c>
      <c r="V1527" s="23" t="e">
        <f>1.2*Table1[[#This Row],[X1]] + 1.4*Table1[[#This Row],[X2]] + 3.3*Table1[[#This Row],[x3]] + 0.6*Table1[[#This Row],[x4]] + 1*Table1[[#This Row],[x5]]</f>
        <v>#DIV/0!</v>
      </c>
      <c r="W1527" s="23" t="e">
        <f>IF(Table1[[#This Row],[Zscore]]&lt;1.81,1,0)</f>
        <v>#DIV/0!</v>
      </c>
    </row>
    <row r="1528" spans="1:23" ht="26.25" hidden="1" x14ac:dyDescent="0.45">
      <c r="A1528" s="7">
        <v>1522</v>
      </c>
      <c r="B1528" s="5" t="s">
        <v>3056</v>
      </c>
      <c r="C1528" s="6" t="s">
        <v>3057</v>
      </c>
      <c r="D1528" s="6" t="s">
        <v>18</v>
      </c>
      <c r="E1528" s="6"/>
      <c r="F1528" s="6"/>
      <c r="G1528" s="6"/>
      <c r="H1528" s="6"/>
      <c r="I1528" s="6"/>
      <c r="J1528" s="8"/>
      <c r="K1528" s="6"/>
      <c r="L1528" s="6"/>
      <c r="M1528" s="8"/>
      <c r="N1528" s="8"/>
      <c r="O1528" s="8"/>
      <c r="P1528" s="8"/>
      <c r="Q1528" s="18" t="e">
        <f>(Table1[[#This Row],[A. TÀI SẢN NGẮN HẠN]]-Table1[[#This Row],[I. Nợ ngắn hạn]])/Table1[[#This Row],[TỔNG CỘNG TÀI SẢN]]</f>
        <v>#DIV/0!</v>
      </c>
      <c r="R1528" s="18" t="e">
        <f>Table1[[#This Row],[- LNST chưa phân phối kỳ này]]/Table1[[#This Row],[TỔNG CỘNG TÀI SẢN]]</f>
        <v>#DIV/0!</v>
      </c>
      <c r="S1528" s="21" t="e">
        <f>Table1[[#This Row],[5. Lợi nhuận gộp về bán hàng và cung cấp dịch vụ]]/Table1[[#This Row],[TỔNG CỘNG TÀI SẢN]]</f>
        <v>#DIV/0!</v>
      </c>
      <c r="T152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528" s="23" t="e">
        <f>Table1[[#This Row],[1. Doanh thu bán hàng và cung cấp dịch vụ ]]/Table1[[#This Row],[TỔNG CỘNG TÀI SẢN]]</f>
        <v>#DIV/0!</v>
      </c>
      <c r="V1528" s="23" t="e">
        <f>1.2*Table1[[#This Row],[X1]] + 1.4*Table1[[#This Row],[X2]] + 3.3*Table1[[#This Row],[x3]] + 0.6*Table1[[#This Row],[x4]] + 1*Table1[[#This Row],[x5]]</f>
        <v>#DIV/0!</v>
      </c>
      <c r="W1528" s="23" t="e">
        <f>IF(Table1[[#This Row],[Zscore]]&lt;1.81,1,0)</f>
        <v>#DIV/0!</v>
      </c>
    </row>
    <row r="1529" spans="1:23" hidden="1" x14ac:dyDescent="0.45">
      <c r="A1529" s="7">
        <v>1523</v>
      </c>
      <c r="B1529" s="5" t="s">
        <v>3058</v>
      </c>
      <c r="C1529" s="6" t="s">
        <v>3059</v>
      </c>
      <c r="D1529" s="6" t="s">
        <v>18</v>
      </c>
      <c r="E1529" s="6"/>
      <c r="F1529" s="6"/>
      <c r="G1529" s="6"/>
      <c r="H1529" s="6"/>
      <c r="I1529" s="6"/>
      <c r="J1529" s="8"/>
      <c r="K1529" s="6"/>
      <c r="L1529" s="6"/>
      <c r="M1529" s="8"/>
      <c r="N1529" s="8"/>
      <c r="O1529" s="8"/>
      <c r="P1529" s="8"/>
      <c r="Q1529" s="18" t="e">
        <f>(Table1[[#This Row],[A. TÀI SẢN NGẮN HẠN]]-Table1[[#This Row],[I. Nợ ngắn hạn]])/Table1[[#This Row],[TỔNG CỘNG TÀI SẢN]]</f>
        <v>#DIV/0!</v>
      </c>
      <c r="R1529" s="18" t="e">
        <f>Table1[[#This Row],[- LNST chưa phân phối kỳ này]]/Table1[[#This Row],[TỔNG CỘNG TÀI SẢN]]</f>
        <v>#DIV/0!</v>
      </c>
      <c r="S1529" s="21" t="e">
        <f>Table1[[#This Row],[5. Lợi nhuận gộp về bán hàng và cung cấp dịch vụ]]/Table1[[#This Row],[TỔNG CỘNG TÀI SẢN]]</f>
        <v>#DIV/0!</v>
      </c>
      <c r="T152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529" s="23" t="e">
        <f>Table1[[#This Row],[1. Doanh thu bán hàng và cung cấp dịch vụ ]]/Table1[[#This Row],[TỔNG CỘNG TÀI SẢN]]</f>
        <v>#DIV/0!</v>
      </c>
      <c r="V1529" s="23" t="e">
        <f>1.2*Table1[[#This Row],[X1]] + 1.4*Table1[[#This Row],[X2]] + 3.3*Table1[[#This Row],[x3]] + 0.6*Table1[[#This Row],[x4]] + 1*Table1[[#This Row],[x5]]</f>
        <v>#DIV/0!</v>
      </c>
      <c r="W1529" s="23" t="e">
        <f>IF(Table1[[#This Row],[Zscore]]&lt;1.81,1,0)</f>
        <v>#DIV/0!</v>
      </c>
    </row>
    <row r="1530" spans="1:23" ht="26.25" x14ac:dyDescent="0.45">
      <c r="A1530" s="7">
        <v>1524</v>
      </c>
      <c r="B1530" s="5" t="s">
        <v>3060</v>
      </c>
      <c r="C1530" s="6" t="s">
        <v>3061</v>
      </c>
      <c r="D1530" s="6" t="s">
        <v>21</v>
      </c>
      <c r="E1530" s="8">
        <v>407673941000000</v>
      </c>
      <c r="F1530" s="6"/>
      <c r="G1530" s="6"/>
      <c r="H1530" s="6"/>
      <c r="I1530" s="6"/>
      <c r="J1530" s="8"/>
      <c r="K1530" s="8">
        <v>365227883000000</v>
      </c>
      <c r="L1530" s="8">
        <v>21601251000000</v>
      </c>
      <c r="M1530" s="8">
        <v>31720000000000</v>
      </c>
      <c r="N1530" s="8">
        <v>38688000000000</v>
      </c>
      <c r="O1530" s="8">
        <v>31200000000000</v>
      </c>
      <c r="P1530" s="8">
        <v>34190000000000</v>
      </c>
      <c r="Q1530" s="18">
        <f>(Table1[[#This Row],[A. TÀI SẢN NGẮN HẠN]]-Table1[[#This Row],[I. Nợ ngắn hạn]])/Table1[[#This Row],[TỔNG CỘNG TÀI SẢN]]</f>
        <v>0</v>
      </c>
      <c r="R1530" s="18">
        <f>Table1[[#This Row],[- LNST chưa phân phối kỳ này]]/Table1[[#This Row],[TỔNG CỘNG TÀI SẢN]]</f>
        <v>0</v>
      </c>
      <c r="S1530" s="21">
        <f>Table1[[#This Row],[5. Lợi nhuận gộp về bán hàng và cung cấp dịch vụ]]/Table1[[#This Row],[TỔNG CỘNG TÀI SẢN]]</f>
        <v>0</v>
      </c>
      <c r="T153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9.2954293963366422E-2</v>
      </c>
      <c r="U1530" s="23">
        <f>Table1[[#This Row],[1. Doanh thu bán hàng và cung cấp dịch vụ ]]/Table1[[#This Row],[TỔNG CỘNG TÀI SẢN]]</f>
        <v>5.2986587631805485E-2</v>
      </c>
      <c r="V1530" s="23">
        <f>1.2*Table1[[#This Row],[X1]] + 1.4*Table1[[#This Row],[X2]] + 3.3*Table1[[#This Row],[x3]] + 0.6*Table1[[#This Row],[x4]] + 1*Table1[[#This Row],[x5]]</f>
        <v>0.10875916400982533</v>
      </c>
      <c r="W1530" s="23">
        <f>IF(Table1[[#This Row],[Zscore]]&lt;1.81,1,0)</f>
        <v>1</v>
      </c>
    </row>
    <row r="1531" spans="1:23" hidden="1" x14ac:dyDescent="0.45">
      <c r="A1531" s="7">
        <v>1525</v>
      </c>
      <c r="B1531" s="5" t="s">
        <v>3062</v>
      </c>
      <c r="C1531" s="6" t="s">
        <v>3063</v>
      </c>
      <c r="D1531" s="6" t="s">
        <v>13</v>
      </c>
      <c r="E1531" s="6"/>
      <c r="F1531" s="6"/>
      <c r="G1531" s="6"/>
      <c r="H1531" s="6"/>
      <c r="I1531" s="6"/>
      <c r="J1531" s="8"/>
      <c r="K1531" s="6"/>
      <c r="L1531" s="6"/>
      <c r="M1531" s="8"/>
      <c r="N1531" s="8"/>
      <c r="O1531" s="8"/>
      <c r="P1531" s="8"/>
      <c r="Q1531" s="18" t="e">
        <f>(Table1[[#This Row],[A. TÀI SẢN NGẮN HẠN]]-Table1[[#This Row],[I. Nợ ngắn hạn]])/Table1[[#This Row],[TỔNG CỘNG TÀI SẢN]]</f>
        <v>#DIV/0!</v>
      </c>
      <c r="R1531" s="18" t="e">
        <f>Table1[[#This Row],[- LNST chưa phân phối kỳ này]]/Table1[[#This Row],[TỔNG CỘNG TÀI SẢN]]</f>
        <v>#DIV/0!</v>
      </c>
      <c r="S1531" s="21" t="e">
        <f>Table1[[#This Row],[5. Lợi nhuận gộp về bán hàng và cung cấp dịch vụ]]/Table1[[#This Row],[TỔNG CỘNG TÀI SẢN]]</f>
        <v>#DIV/0!</v>
      </c>
      <c r="T153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531" s="23" t="e">
        <f>Table1[[#This Row],[1. Doanh thu bán hàng và cung cấp dịch vụ ]]/Table1[[#This Row],[TỔNG CỘNG TÀI SẢN]]</f>
        <v>#DIV/0!</v>
      </c>
      <c r="V1531" s="23" t="e">
        <f>1.2*Table1[[#This Row],[X1]] + 1.4*Table1[[#This Row],[X2]] + 3.3*Table1[[#This Row],[x3]] + 0.6*Table1[[#This Row],[x4]] + 1*Table1[[#This Row],[x5]]</f>
        <v>#DIV/0!</v>
      </c>
      <c r="W1531" s="23" t="e">
        <f>IF(Table1[[#This Row],[Zscore]]&lt;1.81,1,0)</f>
        <v>#DIV/0!</v>
      </c>
    </row>
    <row r="1532" spans="1:23" x14ac:dyDescent="0.45">
      <c r="A1532" s="7">
        <v>1526</v>
      </c>
      <c r="B1532" s="5" t="s">
        <v>3064</v>
      </c>
      <c r="C1532" s="6" t="s">
        <v>3065</v>
      </c>
      <c r="D1532" s="6" t="s">
        <v>21</v>
      </c>
      <c r="E1532" s="8">
        <v>4681843190240</v>
      </c>
      <c r="F1532" s="8">
        <v>3279088294520</v>
      </c>
      <c r="G1532" s="8">
        <v>1825616190768</v>
      </c>
      <c r="H1532" s="8">
        <v>161594664244</v>
      </c>
      <c r="I1532" s="8">
        <v>1169945834066</v>
      </c>
      <c r="J1532" s="8"/>
      <c r="K1532" s="8">
        <v>2473529227496</v>
      </c>
      <c r="L1532" s="8">
        <v>5538068232450</v>
      </c>
      <c r="M1532" s="8">
        <v>4470840360000</v>
      </c>
      <c r="N1532" s="8">
        <v>3651307099000</v>
      </c>
      <c r="O1532" s="8">
        <v>4191407995000</v>
      </c>
      <c r="P1532" s="8">
        <v>3881975190000</v>
      </c>
      <c r="Q1532" s="18">
        <f>(Table1[[#This Row],[A. TÀI SẢN NGẮN HẠN]]-Table1[[#This Row],[I. Nợ ngắn hạn]])/Table1[[#This Row],[TỔNG CỘNG TÀI SẢN]]</f>
        <v>0.31044869396351832</v>
      </c>
      <c r="R1532" s="18">
        <f>Table1[[#This Row],[- LNST chưa phân phối kỳ này]]/Table1[[#This Row],[TỔNG CỘNG TÀI SẢN]]</f>
        <v>3.4515180811879424E-2</v>
      </c>
      <c r="S1532" s="21">
        <f>Table1[[#This Row],[5. Lợi nhuận gộp về bán hàng và cung cấp dịch vụ]]/Table1[[#This Row],[TỔNG CỘNG TÀI SẢN]]</f>
        <v>0.24989000838492978</v>
      </c>
      <c r="T153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1.6368849076017427</v>
      </c>
      <c r="U1532" s="23">
        <f>Table1[[#This Row],[1. Doanh thu bán hàng và cung cấp dịch vụ ]]/Table1[[#This Row],[TỔNG CỘNG TÀI SẢN]]</f>
        <v>1.182882041840899</v>
      </c>
      <c r="V1532" s="23">
        <f>1.2*Table1[[#This Row],[X1]] + 1.4*Table1[[#This Row],[X2]] + 3.3*Table1[[#This Row],[x3]] + 0.6*Table1[[#This Row],[x4]] + 1*Table1[[#This Row],[x5]]</f>
        <v>3.4105096999650657</v>
      </c>
      <c r="W1532" s="23">
        <f>IF(Table1[[#This Row],[Zscore]]&lt;1.81,1,0)</f>
        <v>0</v>
      </c>
    </row>
    <row r="1533" spans="1:23" x14ac:dyDescent="0.45">
      <c r="A1533" s="7">
        <v>1527</v>
      </c>
      <c r="B1533" s="5" t="s">
        <v>3066</v>
      </c>
      <c r="C1533" s="6" t="s">
        <v>3067</v>
      </c>
      <c r="D1533" s="6" t="s">
        <v>21</v>
      </c>
      <c r="E1533" s="8">
        <v>128963171000000</v>
      </c>
      <c r="F1533" s="8">
        <v>36234495000000</v>
      </c>
      <c r="G1533" s="8">
        <v>40257475000000</v>
      </c>
      <c r="H1533" s="8">
        <v>5028739000000</v>
      </c>
      <c r="I1533" s="8">
        <v>25580610000000</v>
      </c>
      <c r="J1533" s="8"/>
      <c r="K1533" s="8">
        <v>83884527000000</v>
      </c>
      <c r="L1533" s="8">
        <v>81927677000000</v>
      </c>
      <c r="M1533" s="8">
        <v>96081888015600</v>
      </c>
      <c r="N1533" s="8">
        <v>117077878379000</v>
      </c>
      <c r="O1533" s="8">
        <v>116192877081600</v>
      </c>
      <c r="P1533" s="8">
        <v>123159846087000</v>
      </c>
      <c r="Q1533" s="18">
        <f>(Table1[[#This Row],[A. TÀI SẢN NGẮN HẠN]]-Table1[[#This Row],[I. Nợ ngắn hạn]])/Table1[[#This Row],[TỔNG CỘNG TÀI SẢN]]</f>
        <v>-3.1194797466634873E-2</v>
      </c>
      <c r="R1533" s="18">
        <f>Table1[[#This Row],[- LNST chưa phân phối kỳ này]]/Table1[[#This Row],[TỔNG CỘNG TÀI SẢN]]</f>
        <v>3.8993605391418301E-2</v>
      </c>
      <c r="S1533" s="21">
        <f>Table1[[#This Row],[5. Lợi nhuận gộp về bán hàng và cung cấp dịch vụ]]/Table1[[#This Row],[TỔNG CỘNG TÀI SẢN]]</f>
        <v>0.19835593217539602</v>
      </c>
      <c r="T153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1.3486172770670806</v>
      </c>
      <c r="U1533" s="23">
        <f>Table1[[#This Row],[1. Doanh thu bán hàng và cung cấp dịch vụ ]]/Table1[[#This Row],[TỔNG CỘNG TÀI SẢN]]</f>
        <v>0.6352796411930659</v>
      </c>
      <c r="V1533" s="23">
        <f>1.2*Table1[[#This Row],[X1]] + 1.4*Table1[[#This Row],[X2]] + 3.3*Table1[[#This Row],[x3]] + 0.6*Table1[[#This Row],[x4]] + 1*Table1[[#This Row],[x5]]</f>
        <v>2.1161818742001448</v>
      </c>
      <c r="W1533" s="23">
        <f>IF(Table1[[#This Row],[Zscore]]&lt;1.81,1,0)</f>
        <v>0</v>
      </c>
    </row>
    <row r="1534" spans="1:23" x14ac:dyDescent="0.45">
      <c r="A1534" s="7">
        <v>1528</v>
      </c>
      <c r="B1534" s="5" t="s">
        <v>3068</v>
      </c>
      <c r="C1534" s="6" t="s">
        <v>3069</v>
      </c>
      <c r="D1534" s="6" t="s">
        <v>18</v>
      </c>
      <c r="E1534" s="8">
        <v>26460335304000</v>
      </c>
      <c r="F1534" s="8">
        <v>7244781522000</v>
      </c>
      <c r="G1534" s="8">
        <v>4699752121000</v>
      </c>
      <c r="H1534" s="8">
        <v>11292963000</v>
      </c>
      <c r="I1534" s="8">
        <v>1375329882000</v>
      </c>
      <c r="J1534" s="8"/>
      <c r="K1534" s="8">
        <v>14278657825000</v>
      </c>
      <c r="L1534" s="8">
        <v>7442723808000</v>
      </c>
      <c r="M1534" s="8">
        <v>20224459728000</v>
      </c>
      <c r="N1534" s="8">
        <v>27055806192000</v>
      </c>
      <c r="O1534" s="8">
        <v>20664121896000</v>
      </c>
      <c r="P1534" s="8">
        <v>25610321286000</v>
      </c>
      <c r="Q1534" s="18">
        <f>(Table1[[#This Row],[A. TÀI SẢN NGẮN HẠN]]-Table1[[#This Row],[I. Nợ ngắn hạn]])/Table1[[#This Row],[TỔNG CỘNG TÀI SẢN]]</f>
        <v>9.6182809921356846E-2</v>
      </c>
      <c r="R1534" s="18">
        <f>Table1[[#This Row],[- LNST chưa phân phối kỳ này]]/Table1[[#This Row],[TỔNG CỘNG TÀI SẢN]]</f>
        <v>4.2678835586383693E-4</v>
      </c>
      <c r="S1534" s="21">
        <f>Table1[[#This Row],[5. Lợi nhuận gộp về bán hàng và cung cấp dịch vụ]]/Table1[[#This Row],[TỔNG CỘNG TÀI SẢN]]</f>
        <v>5.1977039073729796E-2</v>
      </c>
      <c r="T153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1.6380165112262575</v>
      </c>
      <c r="U1534" s="23">
        <f>Table1[[#This Row],[1. Doanh thu bán hàng và cung cấp dịch vụ ]]/Table1[[#This Row],[TỔNG CỘNG TÀI SẢN]]</f>
        <v>0.28127851451961328</v>
      </c>
      <c r="V1534" s="23">
        <f>1.2*Table1[[#This Row],[X1]] + 1.4*Table1[[#This Row],[X2]] + 3.3*Table1[[#This Row],[x3]] + 0.6*Table1[[#This Row],[x4]] + 1*Table1[[#This Row],[x5]]</f>
        <v>1.5516295258025135</v>
      </c>
      <c r="W1534" s="23">
        <f>IF(Table1[[#This Row],[Zscore]]&lt;1.81,1,0)</f>
        <v>1</v>
      </c>
    </row>
    <row r="1535" spans="1:23" x14ac:dyDescent="0.45">
      <c r="A1535" s="7">
        <v>1529</v>
      </c>
      <c r="B1535" s="5" t="s">
        <v>3070</v>
      </c>
      <c r="C1535" s="6" t="s">
        <v>3071</v>
      </c>
      <c r="D1535" s="6" t="s">
        <v>36</v>
      </c>
      <c r="E1535" s="8">
        <v>3187110579904</v>
      </c>
      <c r="F1535" s="8">
        <v>2504319970637</v>
      </c>
      <c r="G1535" s="8">
        <v>661672519562</v>
      </c>
      <c r="H1535" s="8">
        <v>21448016568</v>
      </c>
      <c r="I1535" s="8">
        <v>18102518143</v>
      </c>
      <c r="J1535" s="8"/>
      <c r="K1535" s="8">
        <v>2017325928448</v>
      </c>
      <c r="L1535" s="8">
        <v>1508970503527</v>
      </c>
      <c r="M1535" s="8">
        <v>494027956500</v>
      </c>
      <c r="N1535" s="8">
        <v>749787852000</v>
      </c>
      <c r="O1535" s="8">
        <v>440824945800</v>
      </c>
      <c r="P1535" s="8">
        <v>425624085600</v>
      </c>
      <c r="Q1535" s="18">
        <f>(Table1[[#This Row],[A. TÀI SẢN NGẮN HẠN]]-Table1[[#This Row],[I. Nợ ngắn hạn]])/Table1[[#This Row],[TỔNG CỘNG TÀI SẢN]]</f>
        <v>0.57815610876309886</v>
      </c>
      <c r="R1535" s="18">
        <f>Table1[[#This Row],[- LNST chưa phân phối kỳ này]]/Table1[[#This Row],[TỔNG CỘNG TÀI SẢN]]</f>
        <v>6.7296116749880836E-3</v>
      </c>
      <c r="S1535" s="21">
        <f>Table1[[#This Row],[5. Lợi nhuận gộp về bán hàng và cung cấp dịch vụ]]/Table1[[#This Row],[TỔNG CỘNG TÀI SẢN]]</f>
        <v>5.6799152991877907E-3</v>
      </c>
      <c r="T153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0.26151758748318638</v>
      </c>
      <c r="U1535" s="23">
        <f>Table1[[#This Row],[1. Doanh thu bán hàng và cung cấp dịch vụ ]]/Table1[[#This Row],[TỔNG CỘNG TÀI SẢN]]</f>
        <v>0.47346035404032083</v>
      </c>
      <c r="V1535" s="23">
        <f>1.2*Table1[[#This Row],[X1]] + 1.4*Table1[[#This Row],[X2]] + 3.3*Table1[[#This Row],[x3]] + 0.6*Table1[[#This Row],[x4]] + 1*Table1[[#This Row],[x5]]</f>
        <v>1.3523234138782545</v>
      </c>
      <c r="W1535" s="23">
        <f>IF(Table1[[#This Row],[Zscore]]&lt;1.81,1,0)</f>
        <v>1</v>
      </c>
    </row>
    <row r="1536" spans="1:23" ht="26.25" x14ac:dyDescent="0.45">
      <c r="A1536" s="7">
        <v>1530</v>
      </c>
      <c r="B1536" s="5" t="s">
        <v>3072</v>
      </c>
      <c r="C1536" s="6" t="s">
        <v>3073</v>
      </c>
      <c r="D1536" s="6" t="s">
        <v>18</v>
      </c>
      <c r="E1536" s="8">
        <v>1802718622079</v>
      </c>
      <c r="F1536" s="8">
        <v>788240551345</v>
      </c>
      <c r="G1536" s="8">
        <v>350474423218</v>
      </c>
      <c r="H1536" s="8">
        <v>284503077931</v>
      </c>
      <c r="I1536" s="8">
        <v>223448120379</v>
      </c>
      <c r="J1536" s="8"/>
      <c r="K1536" s="8">
        <v>391781850500</v>
      </c>
      <c r="L1536" s="8">
        <v>1422460005579</v>
      </c>
      <c r="M1536" s="8">
        <v>2026090074400</v>
      </c>
      <c r="N1536" s="8">
        <v>1442488042100</v>
      </c>
      <c r="O1536" s="8">
        <v>1827885610600</v>
      </c>
      <c r="P1536" s="8">
        <v>1662715224100</v>
      </c>
      <c r="Q1536" s="18">
        <f>(Table1[[#This Row],[A. TÀI SẢN NGẮN HẠN]]-Table1[[#This Row],[I. Nợ ngắn hạn]])/Table1[[#This Row],[TỔNG CỘNG TÀI SẢN]]</f>
        <v>0.24283663726851762</v>
      </c>
      <c r="R1536" s="18">
        <f>Table1[[#This Row],[- LNST chưa phân phối kỳ này]]/Table1[[#This Row],[TỔNG CỘNG TÀI SẢN]]</f>
        <v>0.15781890442940813</v>
      </c>
      <c r="S1536" s="21">
        <f>Table1[[#This Row],[5. Lợi nhuận gộp về bán hàng và cung cấp dịch vụ]]/Table1[[#This Row],[TỔNG CỘNG TÀI SẢN]]</f>
        <v>0.12395063635683012</v>
      </c>
      <c r="T153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4.4407231615748364</v>
      </c>
      <c r="U1536" s="23">
        <f>Table1[[#This Row],[1. Doanh thu bán hàng và cung cấp dịch vụ ]]/Table1[[#This Row],[TỔNG CỘNG TÀI SẢN]]</f>
        <v>0.78906379961756667</v>
      </c>
      <c r="V1536" s="23">
        <f>1.2*Table1[[#This Row],[X1]] + 1.4*Table1[[#This Row],[X2]] + 3.3*Table1[[#This Row],[x3]] + 0.6*Table1[[#This Row],[x4]] + 1*Table1[[#This Row],[x5]]</f>
        <v>4.3748852274634</v>
      </c>
      <c r="W1536" s="23">
        <f>IF(Table1[[#This Row],[Zscore]]&lt;1.81,1,0)</f>
        <v>0</v>
      </c>
    </row>
    <row r="1537" spans="1:23" ht="26.25" hidden="1" x14ac:dyDescent="0.45">
      <c r="A1537" s="7">
        <v>1531</v>
      </c>
      <c r="B1537" s="5" t="s">
        <v>3074</v>
      </c>
      <c r="C1537" s="6" t="s">
        <v>3075</v>
      </c>
      <c r="D1537" s="6" t="s">
        <v>18</v>
      </c>
      <c r="E1537" s="8">
        <v>61047730690</v>
      </c>
      <c r="F1537" s="8">
        <v>26058677033</v>
      </c>
      <c r="G1537" s="8">
        <v>12736882628</v>
      </c>
      <c r="H1537" s="8">
        <v>521633726</v>
      </c>
      <c r="I1537" s="8">
        <v>11275053307</v>
      </c>
      <c r="J1537" s="8"/>
      <c r="K1537" s="8">
        <v>12736882628</v>
      </c>
      <c r="L1537" s="8">
        <v>98783731937</v>
      </c>
      <c r="M1537" s="8"/>
      <c r="N1537" s="8"/>
      <c r="O1537" s="8"/>
      <c r="P1537" s="8"/>
      <c r="Q1537" s="18">
        <f>(Table1[[#This Row],[A. TÀI SẢN NGẮN HẠN]]-Table1[[#This Row],[I. Nợ ngắn hạn]])/Table1[[#This Row],[TỔNG CỘNG TÀI SẢN]]</f>
        <v>0.2182193220686284</v>
      </c>
      <c r="R1537" s="18">
        <f>Table1[[#This Row],[- LNST chưa phân phối kỳ này]]/Table1[[#This Row],[TỔNG CỘNG TÀI SẢN]]</f>
        <v>8.5446865936565745E-3</v>
      </c>
      <c r="S1537" s="21">
        <f>Table1[[#This Row],[5. Lợi nhuận gộp về bán hàng và cung cấp dịch vụ]]/Table1[[#This Row],[TỔNG CỘNG TÀI SẢN]]</f>
        <v>0.18469242311814424</v>
      </c>
      <c r="T153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537" s="23">
        <f>Table1[[#This Row],[1. Doanh thu bán hàng và cung cấp dịch vụ ]]/Table1[[#This Row],[TỔNG CỘNG TÀI SẢN]]</f>
        <v>1.6181392956049945</v>
      </c>
      <c r="V1537" s="23" t="e">
        <f>1.2*Table1[[#This Row],[X1]] + 1.4*Table1[[#This Row],[X2]] + 3.3*Table1[[#This Row],[x3]] + 0.6*Table1[[#This Row],[x4]] + 1*Table1[[#This Row],[x5]]</f>
        <v>#DIV/0!</v>
      </c>
      <c r="W1537" s="23" t="e">
        <f>IF(Table1[[#This Row],[Zscore]]&lt;1.81,1,0)</f>
        <v>#DIV/0!</v>
      </c>
    </row>
    <row r="1538" spans="1:23" hidden="1" x14ac:dyDescent="0.45">
      <c r="A1538" s="7">
        <v>1532</v>
      </c>
      <c r="B1538" s="5" t="s">
        <v>3076</v>
      </c>
      <c r="C1538" s="6" t="s">
        <v>3077</v>
      </c>
      <c r="D1538" s="6" t="s">
        <v>13</v>
      </c>
      <c r="E1538" s="6"/>
      <c r="F1538" s="6"/>
      <c r="G1538" s="6"/>
      <c r="H1538" s="6"/>
      <c r="I1538" s="6"/>
      <c r="J1538" s="8"/>
      <c r="K1538" s="6"/>
      <c r="L1538" s="6"/>
      <c r="M1538" s="8"/>
      <c r="N1538" s="8"/>
      <c r="O1538" s="8"/>
      <c r="P1538" s="8"/>
      <c r="Q1538" s="18" t="e">
        <f>(Table1[[#This Row],[A. TÀI SẢN NGẮN HẠN]]-Table1[[#This Row],[I. Nợ ngắn hạn]])/Table1[[#This Row],[TỔNG CỘNG TÀI SẢN]]</f>
        <v>#DIV/0!</v>
      </c>
      <c r="R1538" s="18" t="e">
        <f>Table1[[#This Row],[- LNST chưa phân phối kỳ này]]/Table1[[#This Row],[TỔNG CỘNG TÀI SẢN]]</f>
        <v>#DIV/0!</v>
      </c>
      <c r="S1538" s="21" t="e">
        <f>Table1[[#This Row],[5. Lợi nhuận gộp về bán hàng và cung cấp dịch vụ]]/Table1[[#This Row],[TỔNG CỘNG TÀI SẢN]]</f>
        <v>#DIV/0!</v>
      </c>
      <c r="T153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538" s="23" t="e">
        <f>Table1[[#This Row],[1. Doanh thu bán hàng và cung cấp dịch vụ ]]/Table1[[#This Row],[TỔNG CỘNG TÀI SẢN]]</f>
        <v>#DIV/0!</v>
      </c>
      <c r="V1538" s="23" t="e">
        <f>1.2*Table1[[#This Row],[X1]] + 1.4*Table1[[#This Row],[X2]] + 3.3*Table1[[#This Row],[x3]] + 0.6*Table1[[#This Row],[x4]] + 1*Table1[[#This Row],[x5]]</f>
        <v>#DIV/0!</v>
      </c>
      <c r="W1538" s="23" t="e">
        <f>IF(Table1[[#This Row],[Zscore]]&lt;1.81,1,0)</f>
        <v>#DIV/0!</v>
      </c>
    </row>
    <row r="1539" spans="1:23" hidden="1" x14ac:dyDescent="0.45">
      <c r="A1539" s="7">
        <v>1533</v>
      </c>
      <c r="B1539" s="5" t="s">
        <v>3078</v>
      </c>
      <c r="C1539" s="6" t="s">
        <v>3079</v>
      </c>
      <c r="D1539" s="6" t="s">
        <v>18</v>
      </c>
      <c r="E1539" s="6"/>
      <c r="F1539" s="6"/>
      <c r="G1539" s="6"/>
      <c r="H1539" s="6"/>
      <c r="I1539" s="6"/>
      <c r="J1539" s="8"/>
      <c r="K1539" s="6"/>
      <c r="L1539" s="6"/>
      <c r="M1539" s="8"/>
      <c r="N1539" s="8"/>
      <c r="O1539" s="8"/>
      <c r="P1539" s="8"/>
      <c r="Q1539" s="18" t="e">
        <f>(Table1[[#This Row],[A. TÀI SẢN NGẮN HẠN]]-Table1[[#This Row],[I. Nợ ngắn hạn]])/Table1[[#This Row],[TỔNG CỘNG TÀI SẢN]]</f>
        <v>#DIV/0!</v>
      </c>
      <c r="R1539" s="18" t="e">
        <f>Table1[[#This Row],[- LNST chưa phân phối kỳ này]]/Table1[[#This Row],[TỔNG CỘNG TÀI SẢN]]</f>
        <v>#DIV/0!</v>
      </c>
      <c r="S1539" s="21" t="e">
        <f>Table1[[#This Row],[5. Lợi nhuận gộp về bán hàng và cung cấp dịch vụ]]/Table1[[#This Row],[TỔNG CỘNG TÀI SẢN]]</f>
        <v>#DIV/0!</v>
      </c>
      <c r="T153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539" s="23" t="e">
        <f>Table1[[#This Row],[1. Doanh thu bán hàng và cung cấp dịch vụ ]]/Table1[[#This Row],[TỔNG CỘNG TÀI SẢN]]</f>
        <v>#DIV/0!</v>
      </c>
      <c r="V1539" s="23" t="e">
        <f>1.2*Table1[[#This Row],[X1]] + 1.4*Table1[[#This Row],[X2]] + 3.3*Table1[[#This Row],[x3]] + 0.6*Table1[[#This Row],[x4]] + 1*Table1[[#This Row],[x5]]</f>
        <v>#DIV/0!</v>
      </c>
      <c r="W1539" s="23" t="e">
        <f>IF(Table1[[#This Row],[Zscore]]&lt;1.81,1,0)</f>
        <v>#DIV/0!</v>
      </c>
    </row>
    <row r="1540" spans="1:23" hidden="1" x14ac:dyDescent="0.45">
      <c r="A1540" s="7">
        <v>1534</v>
      </c>
      <c r="B1540" s="5" t="s">
        <v>3080</v>
      </c>
      <c r="C1540" s="6" t="s">
        <v>3081</v>
      </c>
      <c r="D1540" s="6" t="s">
        <v>18</v>
      </c>
      <c r="E1540" s="6"/>
      <c r="F1540" s="6"/>
      <c r="G1540" s="6"/>
      <c r="H1540" s="6"/>
      <c r="I1540" s="6"/>
      <c r="J1540" s="8"/>
      <c r="K1540" s="6"/>
      <c r="L1540" s="6"/>
      <c r="M1540" s="8"/>
      <c r="N1540" s="8"/>
      <c r="O1540" s="8"/>
      <c r="P1540" s="8"/>
      <c r="Q1540" s="18" t="e">
        <f>(Table1[[#This Row],[A. TÀI SẢN NGẮN HẠN]]-Table1[[#This Row],[I. Nợ ngắn hạn]])/Table1[[#This Row],[TỔNG CỘNG TÀI SẢN]]</f>
        <v>#DIV/0!</v>
      </c>
      <c r="R1540" s="18" t="e">
        <f>Table1[[#This Row],[- LNST chưa phân phối kỳ này]]/Table1[[#This Row],[TỔNG CỘNG TÀI SẢN]]</f>
        <v>#DIV/0!</v>
      </c>
      <c r="S1540" s="21" t="e">
        <f>Table1[[#This Row],[5. Lợi nhuận gộp về bán hàng và cung cấp dịch vụ]]/Table1[[#This Row],[TỔNG CỘNG TÀI SẢN]]</f>
        <v>#DIV/0!</v>
      </c>
      <c r="T154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540" s="23" t="e">
        <f>Table1[[#This Row],[1. Doanh thu bán hàng và cung cấp dịch vụ ]]/Table1[[#This Row],[TỔNG CỘNG TÀI SẢN]]</f>
        <v>#DIV/0!</v>
      </c>
      <c r="V1540" s="23" t="e">
        <f>1.2*Table1[[#This Row],[X1]] + 1.4*Table1[[#This Row],[X2]] + 3.3*Table1[[#This Row],[x3]] + 0.6*Table1[[#This Row],[x4]] + 1*Table1[[#This Row],[x5]]</f>
        <v>#DIV/0!</v>
      </c>
      <c r="W1540" s="23" t="e">
        <f>IF(Table1[[#This Row],[Zscore]]&lt;1.81,1,0)</f>
        <v>#DIV/0!</v>
      </c>
    </row>
    <row r="1541" spans="1:23" ht="26.25" hidden="1" x14ac:dyDescent="0.45">
      <c r="A1541" s="7">
        <v>1535</v>
      </c>
      <c r="B1541" s="5" t="s">
        <v>3082</v>
      </c>
      <c r="C1541" s="6" t="s">
        <v>3083</v>
      </c>
      <c r="D1541" s="6" t="s">
        <v>13</v>
      </c>
      <c r="E1541" s="6"/>
      <c r="F1541" s="6"/>
      <c r="G1541" s="6"/>
      <c r="H1541" s="6"/>
      <c r="I1541" s="6"/>
      <c r="J1541" s="8"/>
      <c r="K1541" s="6"/>
      <c r="L1541" s="6"/>
      <c r="M1541" s="8"/>
      <c r="N1541" s="8"/>
      <c r="O1541" s="8"/>
      <c r="P1541" s="8"/>
      <c r="Q1541" s="18" t="e">
        <f>(Table1[[#This Row],[A. TÀI SẢN NGẮN HẠN]]-Table1[[#This Row],[I. Nợ ngắn hạn]])/Table1[[#This Row],[TỔNG CỘNG TÀI SẢN]]</f>
        <v>#DIV/0!</v>
      </c>
      <c r="R1541" s="18" t="e">
        <f>Table1[[#This Row],[- LNST chưa phân phối kỳ này]]/Table1[[#This Row],[TỔNG CỘNG TÀI SẢN]]</f>
        <v>#DIV/0!</v>
      </c>
      <c r="S1541" s="21" t="e">
        <f>Table1[[#This Row],[5. Lợi nhuận gộp về bán hàng và cung cấp dịch vụ]]/Table1[[#This Row],[TỔNG CỘNG TÀI SẢN]]</f>
        <v>#DIV/0!</v>
      </c>
      <c r="T154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541" s="23" t="e">
        <f>Table1[[#This Row],[1. Doanh thu bán hàng và cung cấp dịch vụ ]]/Table1[[#This Row],[TỔNG CỘNG TÀI SẢN]]</f>
        <v>#DIV/0!</v>
      </c>
      <c r="V1541" s="23" t="e">
        <f>1.2*Table1[[#This Row],[X1]] + 1.4*Table1[[#This Row],[X2]] + 3.3*Table1[[#This Row],[x3]] + 0.6*Table1[[#This Row],[x4]] + 1*Table1[[#This Row],[x5]]</f>
        <v>#DIV/0!</v>
      </c>
      <c r="W1541" s="23" t="e">
        <f>IF(Table1[[#This Row],[Zscore]]&lt;1.81,1,0)</f>
        <v>#DIV/0!</v>
      </c>
    </row>
    <row r="1542" spans="1:23" ht="26.25" hidden="1" x14ac:dyDescent="0.45">
      <c r="A1542" s="7">
        <v>1536</v>
      </c>
      <c r="B1542" s="5" t="s">
        <v>3084</v>
      </c>
      <c r="C1542" s="6" t="s">
        <v>3085</v>
      </c>
      <c r="D1542" s="6" t="s">
        <v>18</v>
      </c>
      <c r="E1542" s="6"/>
      <c r="F1542" s="6"/>
      <c r="G1542" s="6"/>
      <c r="H1542" s="6"/>
      <c r="I1542" s="6"/>
      <c r="J1542" s="8"/>
      <c r="K1542" s="6"/>
      <c r="L1542" s="6"/>
      <c r="M1542" s="8"/>
      <c r="N1542" s="8"/>
      <c r="O1542" s="8"/>
      <c r="P1542" s="8"/>
      <c r="Q1542" s="18" t="e">
        <f>(Table1[[#This Row],[A. TÀI SẢN NGẮN HẠN]]-Table1[[#This Row],[I. Nợ ngắn hạn]])/Table1[[#This Row],[TỔNG CỘNG TÀI SẢN]]</f>
        <v>#DIV/0!</v>
      </c>
      <c r="R1542" s="18" t="e">
        <f>Table1[[#This Row],[- LNST chưa phân phối kỳ này]]/Table1[[#This Row],[TỔNG CỘNG TÀI SẢN]]</f>
        <v>#DIV/0!</v>
      </c>
      <c r="S1542" s="21" t="e">
        <f>Table1[[#This Row],[5. Lợi nhuận gộp về bán hàng và cung cấp dịch vụ]]/Table1[[#This Row],[TỔNG CỘNG TÀI SẢN]]</f>
        <v>#DIV/0!</v>
      </c>
      <c r="T154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542" s="23" t="e">
        <f>Table1[[#This Row],[1. Doanh thu bán hàng và cung cấp dịch vụ ]]/Table1[[#This Row],[TỔNG CỘNG TÀI SẢN]]</f>
        <v>#DIV/0!</v>
      </c>
      <c r="V1542" s="23" t="e">
        <f>1.2*Table1[[#This Row],[X1]] + 1.4*Table1[[#This Row],[X2]] + 3.3*Table1[[#This Row],[x3]] + 0.6*Table1[[#This Row],[x4]] + 1*Table1[[#This Row],[x5]]</f>
        <v>#DIV/0!</v>
      </c>
      <c r="W1542" s="23" t="e">
        <f>IF(Table1[[#This Row],[Zscore]]&lt;1.81,1,0)</f>
        <v>#DIV/0!</v>
      </c>
    </row>
    <row r="1543" spans="1:23" ht="26.25" hidden="1" x14ac:dyDescent="0.45">
      <c r="A1543" s="7">
        <v>1537</v>
      </c>
      <c r="B1543" s="5" t="s">
        <v>3086</v>
      </c>
      <c r="C1543" s="6" t="s">
        <v>3087</v>
      </c>
      <c r="D1543" s="6" t="s">
        <v>13</v>
      </c>
      <c r="E1543" s="6"/>
      <c r="F1543" s="6"/>
      <c r="G1543" s="6"/>
      <c r="H1543" s="6"/>
      <c r="I1543" s="6"/>
      <c r="J1543" s="8"/>
      <c r="K1543" s="6"/>
      <c r="L1543" s="6"/>
      <c r="M1543" s="8"/>
      <c r="N1543" s="8"/>
      <c r="O1543" s="8"/>
      <c r="P1543" s="8"/>
      <c r="Q1543" s="18" t="e">
        <f>(Table1[[#This Row],[A. TÀI SẢN NGẮN HẠN]]-Table1[[#This Row],[I. Nợ ngắn hạn]])/Table1[[#This Row],[TỔNG CỘNG TÀI SẢN]]</f>
        <v>#DIV/0!</v>
      </c>
      <c r="R1543" s="18" t="e">
        <f>Table1[[#This Row],[- LNST chưa phân phối kỳ này]]/Table1[[#This Row],[TỔNG CỘNG TÀI SẢN]]</f>
        <v>#DIV/0!</v>
      </c>
      <c r="S1543" s="21" t="e">
        <f>Table1[[#This Row],[5. Lợi nhuận gộp về bán hàng và cung cấp dịch vụ]]/Table1[[#This Row],[TỔNG CỘNG TÀI SẢN]]</f>
        <v>#DIV/0!</v>
      </c>
      <c r="T154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543" s="23" t="e">
        <f>Table1[[#This Row],[1. Doanh thu bán hàng và cung cấp dịch vụ ]]/Table1[[#This Row],[TỔNG CỘNG TÀI SẢN]]</f>
        <v>#DIV/0!</v>
      </c>
      <c r="V1543" s="23" t="e">
        <f>1.2*Table1[[#This Row],[X1]] + 1.4*Table1[[#This Row],[X2]] + 3.3*Table1[[#This Row],[x3]] + 0.6*Table1[[#This Row],[x4]] + 1*Table1[[#This Row],[x5]]</f>
        <v>#DIV/0!</v>
      </c>
      <c r="W1543" s="23" t="e">
        <f>IF(Table1[[#This Row],[Zscore]]&lt;1.81,1,0)</f>
        <v>#DIV/0!</v>
      </c>
    </row>
    <row r="1544" spans="1:23" hidden="1" x14ac:dyDescent="0.45">
      <c r="A1544" s="7">
        <v>1538</v>
      </c>
      <c r="B1544" s="5" t="s">
        <v>3088</v>
      </c>
      <c r="C1544" s="6" t="s">
        <v>3089</v>
      </c>
      <c r="D1544" s="6" t="s">
        <v>18</v>
      </c>
      <c r="E1544" s="6"/>
      <c r="F1544" s="6"/>
      <c r="G1544" s="6"/>
      <c r="H1544" s="6"/>
      <c r="I1544" s="6"/>
      <c r="J1544" s="8"/>
      <c r="K1544" s="6"/>
      <c r="L1544" s="6"/>
      <c r="M1544" s="8"/>
      <c r="N1544" s="8"/>
      <c r="O1544" s="8"/>
      <c r="P1544" s="8"/>
      <c r="Q1544" s="18" t="e">
        <f>(Table1[[#This Row],[A. TÀI SẢN NGẮN HẠN]]-Table1[[#This Row],[I. Nợ ngắn hạn]])/Table1[[#This Row],[TỔNG CỘNG TÀI SẢN]]</f>
        <v>#DIV/0!</v>
      </c>
      <c r="R1544" s="18" t="e">
        <f>Table1[[#This Row],[- LNST chưa phân phối kỳ này]]/Table1[[#This Row],[TỔNG CỘNG TÀI SẢN]]</f>
        <v>#DIV/0!</v>
      </c>
      <c r="S1544" s="21" t="e">
        <f>Table1[[#This Row],[5. Lợi nhuận gộp về bán hàng và cung cấp dịch vụ]]/Table1[[#This Row],[TỔNG CỘNG TÀI SẢN]]</f>
        <v>#DIV/0!</v>
      </c>
      <c r="T154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544" s="23" t="e">
        <f>Table1[[#This Row],[1. Doanh thu bán hàng và cung cấp dịch vụ ]]/Table1[[#This Row],[TỔNG CỘNG TÀI SẢN]]</f>
        <v>#DIV/0!</v>
      </c>
      <c r="V1544" s="23" t="e">
        <f>1.2*Table1[[#This Row],[X1]] + 1.4*Table1[[#This Row],[X2]] + 3.3*Table1[[#This Row],[x3]] + 0.6*Table1[[#This Row],[x4]] + 1*Table1[[#This Row],[x5]]</f>
        <v>#DIV/0!</v>
      </c>
      <c r="W1544" s="23" t="e">
        <f>IF(Table1[[#This Row],[Zscore]]&lt;1.81,1,0)</f>
        <v>#DIV/0!</v>
      </c>
    </row>
    <row r="1545" spans="1:23" x14ac:dyDescent="0.45">
      <c r="A1545" s="7">
        <v>1539</v>
      </c>
      <c r="B1545" s="5" t="s">
        <v>3090</v>
      </c>
      <c r="C1545" s="6" t="s">
        <v>3091</v>
      </c>
      <c r="D1545" s="6" t="s">
        <v>18</v>
      </c>
      <c r="E1545" s="8">
        <v>648691087797</v>
      </c>
      <c r="F1545" s="8">
        <v>583613501890</v>
      </c>
      <c r="G1545" s="8">
        <v>443987939715</v>
      </c>
      <c r="H1545" s="8">
        <v>21744868899</v>
      </c>
      <c r="I1545" s="8">
        <v>200170577848</v>
      </c>
      <c r="J1545" s="8"/>
      <c r="K1545" s="8">
        <v>466275729715</v>
      </c>
      <c r="L1545" s="8">
        <v>4132870280887</v>
      </c>
      <c r="M1545" s="8">
        <v>141000000000</v>
      </c>
      <c r="N1545" s="8">
        <v>136500000000</v>
      </c>
      <c r="O1545" s="8">
        <v>129000000000</v>
      </c>
      <c r="P1545" s="8">
        <v>141000000000</v>
      </c>
      <c r="Q1545" s="18">
        <f>(Table1[[#This Row],[A. TÀI SẢN NGẮN HẠN]]-Table1[[#This Row],[I. Nợ ngắn hạn]])/Table1[[#This Row],[TỔNG CỘNG TÀI SẢN]]</f>
        <v>0.21524199237757083</v>
      </c>
      <c r="R1545" s="18">
        <f>Table1[[#This Row],[- LNST chưa phân phối kỳ này]]/Table1[[#This Row],[TỔNG CỘNG TÀI SẢN]]</f>
        <v>3.3521146363898857E-2</v>
      </c>
      <c r="S1545" s="21">
        <f>Table1[[#This Row],[5. Lợi nhuận gộp về bán hàng và cung cấp dịch vụ]]/Table1[[#This Row],[TỔNG CỘNG TÀI SẢN]]</f>
        <v>0.30857611829968745</v>
      </c>
      <c r="T154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0.29354948430119149</v>
      </c>
      <c r="U1545" s="23">
        <f>Table1[[#This Row],[1. Doanh thu bán hàng và cung cấp dịch vụ ]]/Table1[[#This Row],[TỔNG CỘNG TÀI SẢN]]</f>
        <v>6.3710915081668755</v>
      </c>
      <c r="V1545" s="23">
        <f>1.2*Table1[[#This Row],[X1]] + 1.4*Table1[[#This Row],[X2]] + 3.3*Table1[[#This Row],[x3]] + 0.6*Table1[[#This Row],[x4]] + 1*Table1[[#This Row],[x5]]</f>
        <v>7.8707423848991027</v>
      </c>
      <c r="W1545" s="23">
        <f>IF(Table1[[#This Row],[Zscore]]&lt;1.81,1,0)</f>
        <v>0</v>
      </c>
    </row>
    <row r="1546" spans="1:23" ht="26.25" hidden="1" x14ac:dyDescent="0.45">
      <c r="A1546" s="7">
        <v>1540</v>
      </c>
      <c r="B1546" s="5" t="s">
        <v>3092</v>
      </c>
      <c r="C1546" s="6" t="s">
        <v>3093</v>
      </c>
      <c r="D1546" s="6" t="s">
        <v>18</v>
      </c>
      <c r="E1546" s="8">
        <v>110288846429</v>
      </c>
      <c r="F1546" s="8">
        <v>70221728650</v>
      </c>
      <c r="G1546" s="8">
        <v>10814605190</v>
      </c>
      <c r="H1546" s="8">
        <v>10648875712</v>
      </c>
      <c r="I1546" s="8">
        <v>23425375026</v>
      </c>
      <c r="J1546" s="8"/>
      <c r="K1546" s="8">
        <v>10814605190</v>
      </c>
      <c r="L1546" s="8">
        <v>107240467210</v>
      </c>
      <c r="M1546" s="8"/>
      <c r="N1546" s="8"/>
      <c r="O1546" s="8"/>
      <c r="P1546" s="8"/>
      <c r="Q1546" s="18">
        <f>(Table1[[#This Row],[A. TÀI SẢN NGẮN HẠN]]-Table1[[#This Row],[I. Nợ ngắn hạn]])/Table1[[#This Row],[TỔNG CỘNG TÀI SẢN]]</f>
        <v>0.53865032941698388</v>
      </c>
      <c r="R1546" s="18">
        <f>Table1[[#This Row],[- LNST chưa phân phối kỳ này]]/Table1[[#This Row],[TỔNG CỘNG TÀI SẢN]]</f>
        <v>9.6554421020763545E-2</v>
      </c>
      <c r="S1546" s="21">
        <f>Table1[[#This Row],[5. Lợi nhuận gộp về bán hàng và cung cấp dịch vụ]]/Table1[[#This Row],[TỔNG CỘNG TÀI SẢN]]</f>
        <v>0.21240021801370834</v>
      </c>
      <c r="T154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546" s="23">
        <f>Table1[[#This Row],[1. Doanh thu bán hàng và cung cấp dịch vụ ]]/Table1[[#This Row],[TỔNG CỘNG TÀI SẢN]]</f>
        <v>0.97236004076837967</v>
      </c>
      <c r="V1546" s="23" t="e">
        <f>1.2*Table1[[#This Row],[X1]] + 1.4*Table1[[#This Row],[X2]] + 3.3*Table1[[#This Row],[x3]] + 0.6*Table1[[#This Row],[x4]] + 1*Table1[[#This Row],[x5]]</f>
        <v>#DIV/0!</v>
      </c>
      <c r="W1546" s="23" t="e">
        <f>IF(Table1[[#This Row],[Zscore]]&lt;1.81,1,0)</f>
        <v>#DIV/0!</v>
      </c>
    </row>
    <row r="1547" spans="1:23" hidden="1" x14ac:dyDescent="0.45">
      <c r="A1547" s="7">
        <v>1541</v>
      </c>
      <c r="B1547" s="5" t="s">
        <v>3094</v>
      </c>
      <c r="C1547" s="6" t="s">
        <v>3095</v>
      </c>
      <c r="D1547" s="6" t="s">
        <v>13</v>
      </c>
      <c r="E1547" s="6"/>
      <c r="F1547" s="6"/>
      <c r="G1547" s="6"/>
      <c r="H1547" s="6"/>
      <c r="I1547" s="6"/>
      <c r="J1547" s="8"/>
      <c r="K1547" s="6"/>
      <c r="L1547" s="6"/>
      <c r="M1547" s="8"/>
      <c r="N1547" s="8"/>
      <c r="O1547" s="8"/>
      <c r="P1547" s="8"/>
      <c r="Q1547" s="18" t="e">
        <f>(Table1[[#This Row],[A. TÀI SẢN NGẮN HẠN]]-Table1[[#This Row],[I. Nợ ngắn hạn]])/Table1[[#This Row],[TỔNG CỘNG TÀI SẢN]]</f>
        <v>#DIV/0!</v>
      </c>
      <c r="R1547" s="18" t="e">
        <f>Table1[[#This Row],[- LNST chưa phân phối kỳ này]]/Table1[[#This Row],[TỔNG CỘNG TÀI SẢN]]</f>
        <v>#DIV/0!</v>
      </c>
      <c r="S1547" s="21" t="e">
        <f>Table1[[#This Row],[5. Lợi nhuận gộp về bán hàng và cung cấp dịch vụ]]/Table1[[#This Row],[TỔNG CỘNG TÀI SẢN]]</f>
        <v>#DIV/0!</v>
      </c>
      <c r="T154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547" s="23" t="e">
        <f>Table1[[#This Row],[1. Doanh thu bán hàng và cung cấp dịch vụ ]]/Table1[[#This Row],[TỔNG CỘNG TÀI SẢN]]</f>
        <v>#DIV/0!</v>
      </c>
      <c r="V1547" s="23" t="e">
        <f>1.2*Table1[[#This Row],[X1]] + 1.4*Table1[[#This Row],[X2]] + 3.3*Table1[[#This Row],[x3]] + 0.6*Table1[[#This Row],[x4]] + 1*Table1[[#This Row],[x5]]</f>
        <v>#DIV/0!</v>
      </c>
      <c r="W1547" s="23" t="e">
        <f>IF(Table1[[#This Row],[Zscore]]&lt;1.81,1,0)</f>
        <v>#DIV/0!</v>
      </c>
    </row>
    <row r="1548" spans="1:23" ht="26.25" x14ac:dyDescent="0.45">
      <c r="A1548" s="7">
        <v>1542</v>
      </c>
      <c r="B1548" s="5" t="s">
        <v>3096</v>
      </c>
      <c r="C1548" s="6" t="s">
        <v>3097</v>
      </c>
      <c r="D1548" s="6" t="s">
        <v>36</v>
      </c>
      <c r="E1548" s="8">
        <v>3257440216532</v>
      </c>
      <c r="F1548" s="8">
        <v>1336908072623</v>
      </c>
      <c r="G1548" s="8">
        <v>834944013370</v>
      </c>
      <c r="H1548" s="8">
        <v>227779244605</v>
      </c>
      <c r="I1548" s="8">
        <v>844804273783</v>
      </c>
      <c r="J1548" s="8"/>
      <c r="K1548" s="8">
        <v>1104941309453</v>
      </c>
      <c r="L1548" s="8">
        <v>5509901469196</v>
      </c>
      <c r="M1548" s="8">
        <v>2467500000000</v>
      </c>
      <c r="N1548" s="8">
        <v>1701000000000</v>
      </c>
      <c r="O1548" s="8">
        <v>1932000000000</v>
      </c>
      <c r="P1548" s="8">
        <v>2068500000000</v>
      </c>
      <c r="Q1548" s="18">
        <f>(Table1[[#This Row],[A. TÀI SẢN NGẮN HẠN]]-Table1[[#This Row],[I. Nợ ngắn hạn]])/Table1[[#This Row],[TỔNG CỘNG TÀI SẢN]]</f>
        <v>0.15409770429721373</v>
      </c>
      <c r="R1548" s="18">
        <f>Table1[[#This Row],[- LNST chưa phân phối kỳ này]]/Table1[[#This Row],[TỔNG CỘNG TÀI SẢN]]</f>
        <v>6.9925840372752207E-2</v>
      </c>
      <c r="S1548" s="21">
        <f>Table1[[#This Row],[5. Lợi nhuận gộp về bán hàng và cung cấp dịch vụ]]/Table1[[#This Row],[TỔNG CỘNG TÀI SẢN]]</f>
        <v>0.25934605629766927</v>
      </c>
      <c r="T154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1.84828821452156</v>
      </c>
      <c r="U1548" s="23">
        <f>Table1[[#This Row],[1. Doanh thu bán hàng và cung cấp dịch vụ ]]/Table1[[#This Row],[TỔNG CỘNG TÀI SẢN]]</f>
        <v>1.6914819928950406</v>
      </c>
      <c r="V1548" s="23">
        <f>1.2*Table1[[#This Row],[X1]] + 1.4*Table1[[#This Row],[X2]] + 3.3*Table1[[#This Row],[x3]] + 0.6*Table1[[#This Row],[x4]] + 1*Table1[[#This Row],[x5]]</f>
        <v>3.9391103290687948</v>
      </c>
      <c r="W1548" s="23">
        <f>IF(Table1[[#This Row],[Zscore]]&lt;1.81,1,0)</f>
        <v>0</v>
      </c>
    </row>
    <row r="1549" spans="1:23" ht="26.25" x14ac:dyDescent="0.45">
      <c r="A1549" s="7">
        <v>1543</v>
      </c>
      <c r="B1549" s="5" t="s">
        <v>3098</v>
      </c>
      <c r="C1549" s="6" t="s">
        <v>3099</v>
      </c>
      <c r="D1549" s="6" t="s">
        <v>18</v>
      </c>
      <c r="E1549" s="8">
        <v>1610222860230</v>
      </c>
      <c r="F1549" s="8">
        <v>706423929428</v>
      </c>
      <c r="G1549" s="8">
        <v>364060918557</v>
      </c>
      <c r="H1549" s="8">
        <v>122521054936</v>
      </c>
      <c r="I1549" s="8">
        <v>187037627527</v>
      </c>
      <c r="J1549" s="8"/>
      <c r="K1549" s="8">
        <v>369485951126</v>
      </c>
      <c r="L1549" s="8">
        <v>746992771726</v>
      </c>
      <c r="M1549" s="8">
        <v>1070000000000</v>
      </c>
      <c r="N1549" s="8">
        <v>1730000000000</v>
      </c>
      <c r="O1549" s="8">
        <v>1050000000000</v>
      </c>
      <c r="P1549" s="8">
        <v>1590000000000</v>
      </c>
      <c r="Q1549" s="18">
        <f>(Table1[[#This Row],[A. TÀI SẢN NGẮN HẠN]]-Table1[[#This Row],[I. Nợ ngắn hạn]])/Table1[[#This Row],[TỔNG CỘNG TÀI SẢN]]</f>
        <v>0.21261840166776527</v>
      </c>
      <c r="R1549" s="18">
        <f>Table1[[#This Row],[- LNST chưa phân phối kỳ này]]/Table1[[#This Row],[TỔNG CỘNG TÀI SẢN]]</f>
        <v>7.6089501622464487E-2</v>
      </c>
      <c r="S1549" s="21">
        <f>Table1[[#This Row],[5. Lợi nhuận gộp về bán hàng và cung cấp dịch vụ]]/Table1[[#This Row],[TỔNG CỘNG TÀI SẢN]]</f>
        <v>0.11615636080354991</v>
      </c>
      <c r="T154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3.6807894748242282</v>
      </c>
      <c r="U1549" s="23">
        <f>Table1[[#This Row],[1. Doanh thu bán hàng và cung cấp dịch vụ ]]/Table1[[#This Row],[TỔNG CỘNG TÀI SẢN]]</f>
        <v>0.46390645057622737</v>
      </c>
      <c r="V1549" s="23">
        <f>1.2*Table1[[#This Row],[X1]] + 1.4*Table1[[#This Row],[X2]] + 3.3*Table1[[#This Row],[x3]] + 0.6*Table1[[#This Row],[x4]] + 1*Table1[[#This Row],[x5]]</f>
        <v>3.4173635103952478</v>
      </c>
      <c r="W1549" s="23">
        <f>IF(Table1[[#This Row],[Zscore]]&lt;1.81,1,0)</f>
        <v>0</v>
      </c>
    </row>
    <row r="1550" spans="1:23" ht="26.25" x14ac:dyDescent="0.45">
      <c r="A1550" s="7">
        <v>1544</v>
      </c>
      <c r="B1550" s="5" t="s">
        <v>3100</v>
      </c>
      <c r="C1550" s="6" t="s">
        <v>3101</v>
      </c>
      <c r="D1550" s="6" t="s">
        <v>18</v>
      </c>
      <c r="E1550" s="8">
        <v>35562138111753</v>
      </c>
      <c r="F1550" s="8">
        <v>15408378634436</v>
      </c>
      <c r="G1550" s="8">
        <v>9327981142043</v>
      </c>
      <c r="H1550" s="8">
        <v>1947706868689</v>
      </c>
      <c r="I1550" s="8">
        <v>3451189771869</v>
      </c>
      <c r="J1550" s="8"/>
      <c r="K1550" s="8">
        <v>16211819502017</v>
      </c>
      <c r="L1550" s="8">
        <v>19029749840726</v>
      </c>
      <c r="M1550" s="8">
        <v>94846452000000</v>
      </c>
      <c r="N1550" s="8">
        <v>55467165600000</v>
      </c>
      <c r="O1550" s="8">
        <v>71434986000000</v>
      </c>
      <c r="P1550" s="8">
        <v>63871281600000</v>
      </c>
      <c r="Q1550" s="18">
        <f>(Table1[[#This Row],[A. TÀI SẢN NGẮN HẠN]]-Table1[[#This Row],[I. Nợ ngắn hạn]])/Table1[[#This Row],[TỔNG CỘNG TÀI SẢN]]</f>
        <v>0.17097952528291535</v>
      </c>
      <c r="R1550" s="18">
        <f>Table1[[#This Row],[- LNST chưa phân phối kỳ này]]/Table1[[#This Row],[TỔNG CỘNG TÀI SẢN]]</f>
        <v>5.4769116034822964E-2</v>
      </c>
      <c r="S1550" s="21">
        <f>Table1[[#This Row],[5. Lợi nhuận gộp về bán hàng và cung cấp dịch vụ]]/Table1[[#This Row],[TỔNG CỘNG TÀI SẢN]]</f>
        <v>9.7046745643463148E-2</v>
      </c>
      <c r="T155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4.4045007589133425</v>
      </c>
      <c r="U1550" s="23">
        <f>Table1[[#This Row],[1. Doanh thu bán hàng và cung cấp dịch vụ ]]/Table1[[#This Row],[TỔNG CỘNG TÀI SẢN]]</f>
        <v>0.53511264651539103</v>
      </c>
      <c r="V1550" s="23">
        <f>1.2*Table1[[#This Row],[X1]] + 1.4*Table1[[#This Row],[X2]] + 3.3*Table1[[#This Row],[x3]] + 0.6*Table1[[#This Row],[x4]] + 1*Table1[[#This Row],[x5]]</f>
        <v>3.7799195552750753</v>
      </c>
      <c r="W1550" s="23">
        <f>IF(Table1[[#This Row],[Zscore]]&lt;1.81,1,0)</f>
        <v>0</v>
      </c>
    </row>
    <row r="1551" spans="1:23" ht="26.25" hidden="1" x14ac:dyDescent="0.45">
      <c r="A1551" s="7">
        <v>1545</v>
      </c>
      <c r="B1551" s="5" t="s">
        <v>3102</v>
      </c>
      <c r="C1551" s="6" t="s">
        <v>3103</v>
      </c>
      <c r="D1551" s="6" t="s">
        <v>13</v>
      </c>
      <c r="E1551" s="6"/>
      <c r="F1551" s="6"/>
      <c r="G1551" s="6"/>
      <c r="H1551" s="6"/>
      <c r="I1551" s="6"/>
      <c r="J1551" s="8"/>
      <c r="K1551" s="6"/>
      <c r="L1551" s="6"/>
      <c r="M1551" s="8"/>
      <c r="N1551" s="8"/>
      <c r="O1551" s="8"/>
      <c r="P1551" s="8"/>
      <c r="Q1551" s="18" t="e">
        <f>(Table1[[#This Row],[A. TÀI SẢN NGẮN HẠN]]-Table1[[#This Row],[I. Nợ ngắn hạn]])/Table1[[#This Row],[TỔNG CỘNG TÀI SẢN]]</f>
        <v>#DIV/0!</v>
      </c>
      <c r="R1551" s="18" t="e">
        <f>Table1[[#This Row],[- LNST chưa phân phối kỳ này]]/Table1[[#This Row],[TỔNG CỘNG TÀI SẢN]]</f>
        <v>#DIV/0!</v>
      </c>
      <c r="S1551" s="21" t="e">
        <f>Table1[[#This Row],[5. Lợi nhuận gộp về bán hàng và cung cấp dịch vụ]]/Table1[[#This Row],[TỔNG CỘNG TÀI SẢN]]</f>
        <v>#DIV/0!</v>
      </c>
      <c r="T155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551" s="23" t="e">
        <f>Table1[[#This Row],[1. Doanh thu bán hàng và cung cấp dịch vụ ]]/Table1[[#This Row],[TỔNG CỘNG TÀI SẢN]]</f>
        <v>#DIV/0!</v>
      </c>
      <c r="V1551" s="23" t="e">
        <f>1.2*Table1[[#This Row],[X1]] + 1.4*Table1[[#This Row],[X2]] + 3.3*Table1[[#This Row],[x3]] + 0.6*Table1[[#This Row],[x4]] + 1*Table1[[#This Row],[x5]]</f>
        <v>#DIV/0!</v>
      </c>
      <c r="W1551" s="23" t="e">
        <f>IF(Table1[[#This Row],[Zscore]]&lt;1.81,1,0)</f>
        <v>#DIV/0!</v>
      </c>
    </row>
    <row r="1552" spans="1:23" x14ac:dyDescent="0.45">
      <c r="A1552" s="7">
        <v>1546</v>
      </c>
      <c r="B1552" s="5" t="s">
        <v>3104</v>
      </c>
      <c r="C1552" s="6" t="s">
        <v>3105</v>
      </c>
      <c r="D1552" s="6" t="s">
        <v>21</v>
      </c>
      <c r="E1552" s="8">
        <v>83958619485260</v>
      </c>
      <c r="F1552" s="8">
        <v>77214626894675</v>
      </c>
      <c r="G1552" s="8">
        <v>50779604357730</v>
      </c>
      <c r="H1552" s="8">
        <v>7036628523122</v>
      </c>
      <c r="I1552" s="8">
        <v>30293543041523</v>
      </c>
      <c r="J1552" s="8"/>
      <c r="K1552" s="8">
        <v>50779604357730</v>
      </c>
      <c r="L1552" s="8">
        <v>157365796389314</v>
      </c>
      <c r="M1552" s="8">
        <v>86227568331000</v>
      </c>
      <c r="N1552" s="8">
        <v>130695577849200</v>
      </c>
      <c r="O1552" s="8">
        <v>96848892644000</v>
      </c>
      <c r="P1552" s="8">
        <v>114876090485100</v>
      </c>
      <c r="Q1552" s="18">
        <f>(Table1[[#This Row],[A. TÀI SẢN NGẮN HẠN]]-Table1[[#This Row],[I. Nợ ngắn hạn]])/Table1[[#This Row],[TỔNG CỘNG TÀI SẢN]]</f>
        <v>0.31485775610669736</v>
      </c>
      <c r="R1552" s="18">
        <f>Table1[[#This Row],[- LNST chưa phân phối kỳ này]]/Table1[[#This Row],[TỔNG CỘNG TÀI SẢN]]</f>
        <v>8.3810674428220794E-2</v>
      </c>
      <c r="S1552" s="21">
        <f>Table1[[#This Row],[5. Lợi nhuận gộp về bán hàng và cung cấp dịch vụ]]/Table1[[#This Row],[TỔNG CỘNG TÀI SẢN]]</f>
        <v>0.36081516379436679</v>
      </c>
      <c r="T155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2.1103361021167961</v>
      </c>
      <c r="U1552" s="23">
        <f>Table1[[#This Row],[1. Doanh thu bán hàng và cung cấp dịch vụ ]]/Table1[[#This Row],[TỔNG CỘNG TÀI SẢN]]</f>
        <v>1.8743256779840403</v>
      </c>
      <c r="V1552" s="23">
        <f>1.2*Table1[[#This Row],[X1]] + 1.4*Table1[[#This Row],[X2]] + 3.3*Table1[[#This Row],[x3]] + 0.6*Table1[[#This Row],[x4]] + 1*Table1[[#This Row],[x5]]</f>
        <v>4.8263816313030743</v>
      </c>
      <c r="W1552" s="23">
        <f>IF(Table1[[#This Row],[Zscore]]&lt;1.81,1,0)</f>
        <v>0</v>
      </c>
    </row>
    <row r="1553" spans="1:23" hidden="1" x14ac:dyDescent="0.45">
      <c r="A1553" s="7">
        <v>1547</v>
      </c>
      <c r="B1553" s="5" t="s">
        <v>3106</v>
      </c>
      <c r="C1553" s="6" t="s">
        <v>3107</v>
      </c>
      <c r="D1553" s="6" t="s">
        <v>13</v>
      </c>
      <c r="E1553" s="6"/>
      <c r="F1553" s="6"/>
      <c r="G1553" s="6"/>
      <c r="H1553" s="6"/>
      <c r="I1553" s="6"/>
      <c r="J1553" s="8"/>
      <c r="K1553" s="6"/>
      <c r="L1553" s="6"/>
      <c r="M1553" s="8"/>
      <c r="N1553" s="8"/>
      <c r="O1553" s="8"/>
      <c r="P1553" s="8"/>
      <c r="Q1553" s="18" t="e">
        <f>(Table1[[#This Row],[A. TÀI SẢN NGẮN HẠN]]-Table1[[#This Row],[I. Nợ ngắn hạn]])/Table1[[#This Row],[TỔNG CỘNG TÀI SẢN]]</f>
        <v>#DIV/0!</v>
      </c>
      <c r="R1553" s="18" t="e">
        <f>Table1[[#This Row],[- LNST chưa phân phối kỳ này]]/Table1[[#This Row],[TỔNG CỘNG TÀI SẢN]]</f>
        <v>#DIV/0!</v>
      </c>
      <c r="S1553" s="21" t="e">
        <f>Table1[[#This Row],[5. Lợi nhuận gộp về bán hàng và cung cấp dịch vụ]]/Table1[[#This Row],[TỔNG CỘNG TÀI SẢN]]</f>
        <v>#DIV/0!</v>
      </c>
      <c r="T155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553" s="23" t="e">
        <f>Table1[[#This Row],[1. Doanh thu bán hàng và cung cấp dịch vụ ]]/Table1[[#This Row],[TỔNG CỘNG TÀI SẢN]]</f>
        <v>#DIV/0!</v>
      </c>
      <c r="V1553" s="23" t="e">
        <f>1.2*Table1[[#This Row],[X1]] + 1.4*Table1[[#This Row],[X2]] + 3.3*Table1[[#This Row],[x3]] + 0.6*Table1[[#This Row],[x4]] + 1*Table1[[#This Row],[x5]]</f>
        <v>#DIV/0!</v>
      </c>
      <c r="W1553" s="23" t="e">
        <f>IF(Table1[[#This Row],[Zscore]]&lt;1.81,1,0)</f>
        <v>#DIV/0!</v>
      </c>
    </row>
    <row r="1554" spans="1:23" hidden="1" x14ac:dyDescent="0.45">
      <c r="A1554" s="7">
        <v>1548</v>
      </c>
      <c r="B1554" s="5" t="s">
        <v>3108</v>
      </c>
      <c r="C1554" s="6" t="s">
        <v>3109</v>
      </c>
      <c r="D1554" s="6" t="s">
        <v>13</v>
      </c>
      <c r="E1554" s="6"/>
      <c r="F1554" s="6"/>
      <c r="G1554" s="6"/>
      <c r="H1554" s="6"/>
      <c r="I1554" s="6"/>
      <c r="J1554" s="8"/>
      <c r="K1554" s="6"/>
      <c r="L1554" s="6"/>
      <c r="M1554" s="8"/>
      <c r="N1554" s="8"/>
      <c r="O1554" s="8"/>
      <c r="P1554" s="8"/>
      <c r="Q1554" s="18" t="e">
        <f>(Table1[[#This Row],[A. TÀI SẢN NGẮN HẠN]]-Table1[[#This Row],[I. Nợ ngắn hạn]])/Table1[[#This Row],[TỔNG CỘNG TÀI SẢN]]</f>
        <v>#DIV/0!</v>
      </c>
      <c r="R1554" s="18" t="e">
        <f>Table1[[#This Row],[- LNST chưa phân phối kỳ này]]/Table1[[#This Row],[TỔNG CỘNG TÀI SẢN]]</f>
        <v>#DIV/0!</v>
      </c>
      <c r="S1554" s="21" t="e">
        <f>Table1[[#This Row],[5. Lợi nhuận gộp về bán hàng và cung cấp dịch vụ]]/Table1[[#This Row],[TỔNG CỘNG TÀI SẢN]]</f>
        <v>#DIV/0!</v>
      </c>
      <c r="T155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554" s="23" t="e">
        <f>Table1[[#This Row],[1. Doanh thu bán hàng và cung cấp dịch vụ ]]/Table1[[#This Row],[TỔNG CỘNG TÀI SẢN]]</f>
        <v>#DIV/0!</v>
      </c>
      <c r="V1554" s="23" t="e">
        <f>1.2*Table1[[#This Row],[X1]] + 1.4*Table1[[#This Row],[X2]] + 3.3*Table1[[#This Row],[x3]] + 0.6*Table1[[#This Row],[x4]] + 1*Table1[[#This Row],[x5]]</f>
        <v>#DIV/0!</v>
      </c>
      <c r="W1554" s="23" t="e">
        <f>IF(Table1[[#This Row],[Zscore]]&lt;1.81,1,0)</f>
        <v>#DIV/0!</v>
      </c>
    </row>
    <row r="1555" spans="1:23" hidden="1" x14ac:dyDescent="0.45">
      <c r="A1555" s="7">
        <v>1549</v>
      </c>
      <c r="B1555" s="5" t="s">
        <v>3110</v>
      </c>
      <c r="C1555" s="6" t="s">
        <v>3111</v>
      </c>
      <c r="D1555" s="6" t="s">
        <v>13</v>
      </c>
      <c r="E1555" s="6"/>
      <c r="F1555" s="6"/>
      <c r="G1555" s="6"/>
      <c r="H1555" s="6"/>
      <c r="I1555" s="6"/>
      <c r="J1555" s="8"/>
      <c r="K1555" s="6"/>
      <c r="L1555" s="6"/>
      <c r="M1555" s="8"/>
      <c r="N1555" s="8"/>
      <c r="O1555" s="8"/>
      <c r="P1555" s="8"/>
      <c r="Q1555" s="18" t="e">
        <f>(Table1[[#This Row],[A. TÀI SẢN NGẮN HẠN]]-Table1[[#This Row],[I. Nợ ngắn hạn]])/Table1[[#This Row],[TỔNG CỘNG TÀI SẢN]]</f>
        <v>#DIV/0!</v>
      </c>
      <c r="R1555" s="18" t="e">
        <f>Table1[[#This Row],[- LNST chưa phân phối kỳ này]]/Table1[[#This Row],[TỔNG CỘNG TÀI SẢN]]</f>
        <v>#DIV/0!</v>
      </c>
      <c r="S1555" s="21" t="e">
        <f>Table1[[#This Row],[5. Lợi nhuận gộp về bán hàng và cung cấp dịch vụ]]/Table1[[#This Row],[TỔNG CỘNG TÀI SẢN]]</f>
        <v>#DIV/0!</v>
      </c>
      <c r="T155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555" s="23" t="e">
        <f>Table1[[#This Row],[1. Doanh thu bán hàng và cung cấp dịch vụ ]]/Table1[[#This Row],[TỔNG CỘNG TÀI SẢN]]</f>
        <v>#DIV/0!</v>
      </c>
      <c r="V1555" s="23" t="e">
        <f>1.2*Table1[[#This Row],[X1]] + 1.4*Table1[[#This Row],[X2]] + 3.3*Table1[[#This Row],[x3]] + 0.6*Table1[[#This Row],[x4]] + 1*Table1[[#This Row],[x5]]</f>
        <v>#DIV/0!</v>
      </c>
      <c r="W1555" s="23" t="e">
        <f>IF(Table1[[#This Row],[Zscore]]&lt;1.81,1,0)</f>
        <v>#DIV/0!</v>
      </c>
    </row>
    <row r="1556" spans="1:23" hidden="1" x14ac:dyDescent="0.45">
      <c r="A1556" s="7">
        <v>1550</v>
      </c>
      <c r="B1556" s="5" t="s">
        <v>3112</v>
      </c>
      <c r="C1556" s="6" t="s">
        <v>3113</v>
      </c>
      <c r="D1556" s="6" t="s">
        <v>13</v>
      </c>
      <c r="E1556" s="6"/>
      <c r="F1556" s="6"/>
      <c r="G1556" s="6"/>
      <c r="H1556" s="6"/>
      <c r="I1556" s="6"/>
      <c r="J1556" s="8"/>
      <c r="K1556" s="6"/>
      <c r="L1556" s="6"/>
      <c r="M1556" s="8"/>
      <c r="N1556" s="8"/>
      <c r="O1556" s="8"/>
      <c r="P1556" s="8"/>
      <c r="Q1556" s="18" t="e">
        <f>(Table1[[#This Row],[A. TÀI SẢN NGẮN HẠN]]-Table1[[#This Row],[I. Nợ ngắn hạn]])/Table1[[#This Row],[TỔNG CỘNG TÀI SẢN]]</f>
        <v>#DIV/0!</v>
      </c>
      <c r="R1556" s="18" t="e">
        <f>Table1[[#This Row],[- LNST chưa phân phối kỳ này]]/Table1[[#This Row],[TỔNG CỘNG TÀI SẢN]]</f>
        <v>#DIV/0!</v>
      </c>
      <c r="S1556" s="21" t="e">
        <f>Table1[[#This Row],[5. Lợi nhuận gộp về bán hàng và cung cấp dịch vụ]]/Table1[[#This Row],[TỔNG CỘNG TÀI SẢN]]</f>
        <v>#DIV/0!</v>
      </c>
      <c r="T155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556" s="23" t="e">
        <f>Table1[[#This Row],[1. Doanh thu bán hàng và cung cấp dịch vụ ]]/Table1[[#This Row],[TỔNG CỘNG TÀI SẢN]]</f>
        <v>#DIV/0!</v>
      </c>
      <c r="V1556" s="23" t="e">
        <f>1.2*Table1[[#This Row],[X1]] + 1.4*Table1[[#This Row],[X2]] + 3.3*Table1[[#This Row],[x3]] + 0.6*Table1[[#This Row],[x4]] + 1*Table1[[#This Row],[x5]]</f>
        <v>#DIV/0!</v>
      </c>
      <c r="W1556" s="23" t="e">
        <f>IF(Table1[[#This Row],[Zscore]]&lt;1.81,1,0)</f>
        <v>#DIV/0!</v>
      </c>
    </row>
    <row r="1557" spans="1:23" x14ac:dyDescent="0.45">
      <c r="A1557" s="7">
        <v>1551</v>
      </c>
      <c r="B1557" s="5" t="s">
        <v>3114</v>
      </c>
      <c r="C1557" s="6" t="s">
        <v>3115</v>
      </c>
      <c r="D1557" s="6" t="s">
        <v>18</v>
      </c>
      <c r="E1557" s="8">
        <v>5209395521212</v>
      </c>
      <c r="F1557" s="8">
        <v>3337023245336</v>
      </c>
      <c r="G1557" s="8">
        <v>2585111715734</v>
      </c>
      <c r="H1557" s="8">
        <v>118567405467</v>
      </c>
      <c r="I1557" s="8">
        <v>399750134342</v>
      </c>
      <c r="J1557" s="8"/>
      <c r="K1557" s="8">
        <v>3723283035057</v>
      </c>
      <c r="L1557" s="8">
        <v>4826928113310</v>
      </c>
      <c r="M1557" s="8">
        <v>794363010000</v>
      </c>
      <c r="N1557" s="8">
        <v>1363126915800</v>
      </c>
      <c r="O1557" s="8">
        <v>900278078000</v>
      </c>
      <c r="P1557" s="8">
        <v>1684049581200</v>
      </c>
      <c r="Q1557" s="18">
        <f>(Table1[[#This Row],[A. TÀI SẢN NGẮN HẠN]]-Table1[[#This Row],[I. Nợ ngắn hạn]])/Table1[[#This Row],[TỔNG CỘNG TÀI SẢN]]</f>
        <v>0.14433757746754136</v>
      </c>
      <c r="R1557" s="18">
        <f>Table1[[#This Row],[- LNST chưa phân phối kỳ này]]/Table1[[#This Row],[TỔNG CỘNG TÀI SẢN]]</f>
        <v>2.2760300112404312E-2</v>
      </c>
      <c r="S1557" s="21">
        <f>Table1[[#This Row],[5. Lợi nhuận gộp về bán hàng và cung cấp dịch vụ]]/Table1[[#This Row],[TỔNG CỘNG TÀI SẢN]]</f>
        <v>7.6736376171528536E-2</v>
      </c>
      <c r="T155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0.31838954629240312</v>
      </c>
      <c r="U1557" s="23">
        <f>Table1[[#This Row],[1. Doanh thu bán hàng và cung cấp dịch vụ ]]/Table1[[#This Row],[TỔNG CỘNG TÀI SẢN]]</f>
        <v>0.92658123071196241</v>
      </c>
      <c r="V1557" s="23">
        <f>1.2*Table1[[#This Row],[X1]] + 1.4*Table1[[#This Row],[X2]] + 3.3*Table1[[#This Row],[x3]] + 0.6*Table1[[#This Row],[x4]] + 1*Table1[[#This Row],[x5]]</f>
        <v>1.5759145129718641</v>
      </c>
      <c r="W1557" s="23">
        <f>IF(Table1[[#This Row],[Zscore]]&lt;1.81,1,0)</f>
        <v>1</v>
      </c>
    </row>
    <row r="1558" spans="1:23" x14ac:dyDescent="0.45">
      <c r="A1558" s="7">
        <v>1552</v>
      </c>
      <c r="B1558" s="5" t="s">
        <v>3116</v>
      </c>
      <c r="C1558" s="6" t="s">
        <v>3117</v>
      </c>
      <c r="D1558" s="6" t="s">
        <v>21</v>
      </c>
      <c r="E1558" s="8">
        <v>418333322000000</v>
      </c>
      <c r="F1558" s="6"/>
      <c r="G1558" s="6"/>
      <c r="H1558" s="6"/>
      <c r="I1558" s="6"/>
      <c r="J1558" s="8"/>
      <c r="K1558" s="8">
        <v>394902555000000</v>
      </c>
      <c r="L1558" s="8">
        <v>22356378000000</v>
      </c>
      <c r="M1558" s="8">
        <v>22852966707450</v>
      </c>
      <c r="N1558" s="8">
        <v>24534316664000</v>
      </c>
      <c r="O1558" s="8">
        <v>22990221762750</v>
      </c>
      <c r="P1558" s="8">
        <v>25220591256000</v>
      </c>
      <c r="Q1558" s="18">
        <f>(Table1[[#This Row],[A. TÀI SẢN NGẮN HẠN]]-Table1[[#This Row],[I. Nợ ngắn hạn]])/Table1[[#This Row],[TỔNG CỘNG TÀI SẢN]]</f>
        <v>0</v>
      </c>
      <c r="R1558" s="18">
        <f>Table1[[#This Row],[- LNST chưa phân phối kỳ này]]/Table1[[#This Row],[TỔNG CỘNG TÀI SẢN]]</f>
        <v>0</v>
      </c>
      <c r="S1558" s="21">
        <f>Table1[[#This Row],[5. Lợi nhuận gộp về bán hàng và cung cấp dịch vụ]]/Table1[[#This Row],[TỔNG CỘNG TÀI SẢN]]</f>
        <v>0</v>
      </c>
      <c r="T155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6.0520054365183838E-2</v>
      </c>
      <c r="U1558" s="23">
        <f>Table1[[#This Row],[1. Doanh thu bán hàng và cung cấp dịch vụ ]]/Table1[[#This Row],[TỔNG CỘNG TÀI SẢN]]</f>
        <v>5.3441542483675254E-2</v>
      </c>
      <c r="V1558" s="23">
        <f>1.2*Table1[[#This Row],[X1]] + 1.4*Table1[[#This Row],[X2]] + 3.3*Table1[[#This Row],[x3]] + 0.6*Table1[[#This Row],[x4]] + 1*Table1[[#This Row],[x5]]</f>
        <v>8.975357510278556E-2</v>
      </c>
      <c r="W1558" s="23">
        <f>IF(Table1[[#This Row],[Zscore]]&lt;1.81,1,0)</f>
        <v>1</v>
      </c>
    </row>
    <row r="1559" spans="1:23" hidden="1" x14ac:dyDescent="0.45">
      <c r="A1559" s="7">
        <v>1553</v>
      </c>
      <c r="B1559" s="5" t="s">
        <v>3118</v>
      </c>
      <c r="C1559" s="6" t="s">
        <v>3119</v>
      </c>
      <c r="D1559" s="6" t="s">
        <v>18</v>
      </c>
      <c r="E1559" s="8">
        <v>189818088603</v>
      </c>
      <c r="F1559" s="8">
        <v>179820523901</v>
      </c>
      <c r="G1559" s="8">
        <v>151269541261</v>
      </c>
      <c r="H1559" s="8">
        <v>8845229543</v>
      </c>
      <c r="I1559" s="8">
        <v>36883275039</v>
      </c>
      <c r="J1559" s="8"/>
      <c r="K1559" s="8">
        <v>151523136434</v>
      </c>
      <c r="L1559" s="8">
        <v>299575905934</v>
      </c>
      <c r="M1559" s="8"/>
      <c r="N1559" s="8"/>
      <c r="O1559" s="8"/>
      <c r="P1559" s="8"/>
      <c r="Q1559" s="18">
        <f>(Table1[[#This Row],[A. TÀI SẢN NGẮN HẠN]]-Table1[[#This Row],[I. Nợ ngắn hạn]])/Table1[[#This Row],[TỔNG CỘNG TÀI SẢN]]</f>
        <v>0.15041233872981252</v>
      </c>
      <c r="R1559" s="18">
        <f>Table1[[#This Row],[- LNST chưa phân phối kỳ này]]/Table1[[#This Row],[TỔNG CỘNG TÀI SẢN]]</f>
        <v>4.6598454383868476E-2</v>
      </c>
      <c r="S1559" s="21">
        <f>Table1[[#This Row],[5. Lợi nhuận gộp về bán hàng và cung cấp dịch vụ]]/Table1[[#This Row],[TỔNG CỘNG TÀI SẢN]]</f>
        <v>0.19430853671770182</v>
      </c>
      <c r="T155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559" s="23">
        <f>Table1[[#This Row],[1. Doanh thu bán hàng và cung cấp dịch vụ ]]/Table1[[#This Row],[TỔNG CỘNG TÀI SẢN]]</f>
        <v>1.5782263331107282</v>
      </c>
      <c r="V1559" s="23" t="e">
        <f>1.2*Table1[[#This Row],[X1]] + 1.4*Table1[[#This Row],[X2]] + 3.3*Table1[[#This Row],[x3]] + 0.6*Table1[[#This Row],[x4]] + 1*Table1[[#This Row],[x5]]</f>
        <v>#DIV/0!</v>
      </c>
      <c r="W1559" s="23" t="e">
        <f>IF(Table1[[#This Row],[Zscore]]&lt;1.81,1,0)</f>
        <v>#DIV/0!</v>
      </c>
    </row>
    <row r="1560" spans="1:23" x14ac:dyDescent="0.45">
      <c r="A1560" s="7">
        <v>1554</v>
      </c>
      <c r="B1560" s="5" t="s">
        <v>3120</v>
      </c>
      <c r="C1560" s="6" t="s">
        <v>3121</v>
      </c>
      <c r="D1560" s="6" t="s">
        <v>21</v>
      </c>
      <c r="E1560" s="8">
        <v>2313927502861</v>
      </c>
      <c r="F1560" s="8">
        <v>1139836959811</v>
      </c>
      <c r="G1560" s="8">
        <v>993319066033</v>
      </c>
      <c r="H1560" s="8">
        <v>145796824215</v>
      </c>
      <c r="I1560" s="8">
        <v>469261222181</v>
      </c>
      <c r="J1560" s="8"/>
      <c r="K1560" s="8">
        <v>1529485808599</v>
      </c>
      <c r="L1560" s="8">
        <v>2133910521698</v>
      </c>
      <c r="M1560" s="8">
        <v>1129091805800</v>
      </c>
      <c r="N1560" s="8">
        <v>2321856596400</v>
      </c>
      <c r="O1560" s="8">
        <v>1655293982650</v>
      </c>
      <c r="P1560" s="8">
        <v>2069239227000</v>
      </c>
      <c r="Q1560" s="18">
        <f>(Table1[[#This Row],[A. TÀI SẢN NGẮN HẠN]]-Table1[[#This Row],[I. Nợ ngắn hạn]])/Table1[[#This Row],[TỔNG CỘNG TÀI SẢN]]</f>
        <v>6.3320001856947319E-2</v>
      </c>
      <c r="R1560" s="18">
        <f>Table1[[#This Row],[- LNST chưa phân phối kỳ này]]/Table1[[#This Row],[TỔNG CỘNG TÀI SẢN]]</f>
        <v>6.3008380355362478E-2</v>
      </c>
      <c r="S1560" s="21">
        <f>Table1[[#This Row],[5. Lợi nhuận gộp về bán hàng và cung cấp dịch vụ]]/Table1[[#This Row],[TỔNG CỘNG TÀI SẢN]]</f>
        <v>0.20279858448494745</v>
      </c>
      <c r="T156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1.1728584815086809</v>
      </c>
      <c r="U1560" s="23">
        <f>Table1[[#This Row],[1. Doanh thu bán hàng và cung cấp dịch vụ ]]/Table1[[#This Row],[TỔNG CỘNG TÀI SẢN]]</f>
        <v>0.92220284302752686</v>
      </c>
      <c r="V1560" s="23">
        <f>1.2*Table1[[#This Row],[X1]] + 1.4*Table1[[#This Row],[X2]] + 3.3*Table1[[#This Row],[x3]] + 0.6*Table1[[#This Row],[x4]] + 1*Table1[[#This Row],[x5]]</f>
        <v>2.4593489954589063</v>
      </c>
      <c r="W1560" s="23">
        <f>IF(Table1[[#This Row],[Zscore]]&lt;1.81,1,0)</f>
        <v>0</v>
      </c>
    </row>
    <row r="1561" spans="1:23" x14ac:dyDescent="0.45">
      <c r="A1561" s="7">
        <v>1555</v>
      </c>
      <c r="B1561" s="5" t="s">
        <v>3122</v>
      </c>
      <c r="C1561" s="6" t="s">
        <v>3123</v>
      </c>
      <c r="D1561" s="6" t="s">
        <v>36</v>
      </c>
      <c r="E1561" s="8">
        <v>2226274659042</v>
      </c>
      <c r="F1561" s="8">
        <v>2002641930293</v>
      </c>
      <c r="G1561" s="8">
        <v>1746461470792</v>
      </c>
      <c r="H1561" s="8">
        <v>32370329349</v>
      </c>
      <c r="I1561" s="8">
        <v>309234784327</v>
      </c>
      <c r="J1561" s="8"/>
      <c r="K1561" s="8">
        <v>1748887071695</v>
      </c>
      <c r="L1561" s="8">
        <v>3327800032966</v>
      </c>
      <c r="M1561" s="8">
        <v>478488738000</v>
      </c>
      <c r="N1561" s="8">
        <v>316685910600</v>
      </c>
      <c r="O1561" s="8">
        <v>479184897800</v>
      </c>
      <c r="P1561" s="8">
        <v>490476959100</v>
      </c>
      <c r="Q1561" s="18">
        <f>(Table1[[#This Row],[A. TÀI SẢN NGẮN HẠN]]-Table1[[#This Row],[I. Nợ ngắn hạn]])/Table1[[#This Row],[TỔNG CỘNG TÀI SẢN]]</f>
        <v>0.11507136303264502</v>
      </c>
      <c r="R1561" s="18">
        <f>Table1[[#This Row],[- LNST chưa phân phối kỳ này]]/Table1[[#This Row],[TỔNG CỘNG TÀI SẢN]]</f>
        <v>1.4540132870635759E-2</v>
      </c>
      <c r="S1561" s="21">
        <f>Table1[[#This Row],[5. Lợi nhuận gộp về bán hàng và cung cấp dịch vụ]]/Table1[[#This Row],[TỔNG CỘNG TÀI SẢN]]</f>
        <v>0.13890235109627869</v>
      </c>
      <c r="T156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0.25227994049231861</v>
      </c>
      <c r="U1561" s="23">
        <f>Table1[[#This Row],[1. Doanh thu bán hàng và cung cấp dịch vụ ]]/Table1[[#This Row],[TỔNG CỘNG TÀI SẢN]]</f>
        <v>1.4947841316210297</v>
      </c>
      <c r="V1561" s="23">
        <f>1.2*Table1[[#This Row],[X1]] + 1.4*Table1[[#This Row],[X2]] + 3.3*Table1[[#This Row],[x3]] + 0.6*Table1[[#This Row],[x4]] + 1*Table1[[#This Row],[x5]]</f>
        <v>2.2629716761922047</v>
      </c>
      <c r="W1561" s="23">
        <f>IF(Table1[[#This Row],[Zscore]]&lt;1.81,1,0)</f>
        <v>0</v>
      </c>
    </row>
    <row r="1562" spans="1:23" hidden="1" x14ac:dyDescent="0.45">
      <c r="A1562" s="7">
        <v>1556</v>
      </c>
      <c r="B1562" s="5" t="s">
        <v>3124</v>
      </c>
      <c r="C1562" s="6" t="s">
        <v>3125</v>
      </c>
      <c r="D1562" s="6" t="s">
        <v>13</v>
      </c>
      <c r="E1562" s="6"/>
      <c r="F1562" s="6"/>
      <c r="G1562" s="6"/>
      <c r="H1562" s="6"/>
      <c r="I1562" s="6"/>
      <c r="J1562" s="8"/>
      <c r="K1562" s="6"/>
      <c r="L1562" s="6"/>
      <c r="M1562" s="8"/>
      <c r="N1562" s="8"/>
      <c r="O1562" s="8"/>
      <c r="P1562" s="8"/>
      <c r="Q1562" s="18" t="e">
        <f>(Table1[[#This Row],[A. TÀI SẢN NGẮN HẠN]]-Table1[[#This Row],[I. Nợ ngắn hạn]])/Table1[[#This Row],[TỔNG CỘNG TÀI SẢN]]</f>
        <v>#DIV/0!</v>
      </c>
      <c r="R1562" s="18" t="e">
        <f>Table1[[#This Row],[- LNST chưa phân phối kỳ này]]/Table1[[#This Row],[TỔNG CỘNG TÀI SẢN]]</f>
        <v>#DIV/0!</v>
      </c>
      <c r="S1562" s="21" t="e">
        <f>Table1[[#This Row],[5. Lợi nhuận gộp về bán hàng và cung cấp dịch vụ]]/Table1[[#This Row],[TỔNG CỘNG TÀI SẢN]]</f>
        <v>#DIV/0!</v>
      </c>
      <c r="T156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562" s="23" t="e">
        <f>Table1[[#This Row],[1. Doanh thu bán hàng và cung cấp dịch vụ ]]/Table1[[#This Row],[TỔNG CỘNG TÀI SẢN]]</f>
        <v>#DIV/0!</v>
      </c>
      <c r="V1562" s="23" t="e">
        <f>1.2*Table1[[#This Row],[X1]] + 1.4*Table1[[#This Row],[X2]] + 3.3*Table1[[#This Row],[x3]] + 0.6*Table1[[#This Row],[x4]] + 1*Table1[[#This Row],[x5]]</f>
        <v>#DIV/0!</v>
      </c>
      <c r="W1562" s="23" t="e">
        <f>IF(Table1[[#This Row],[Zscore]]&lt;1.81,1,0)</f>
        <v>#DIV/0!</v>
      </c>
    </row>
    <row r="1563" spans="1:23" hidden="1" x14ac:dyDescent="0.45">
      <c r="A1563" s="7">
        <v>1557</v>
      </c>
      <c r="B1563" s="5" t="s">
        <v>3126</v>
      </c>
      <c r="C1563" s="6" t="s">
        <v>3127</v>
      </c>
      <c r="D1563" s="6" t="s">
        <v>13</v>
      </c>
      <c r="E1563" s="6"/>
      <c r="F1563" s="6"/>
      <c r="G1563" s="6"/>
      <c r="H1563" s="6"/>
      <c r="I1563" s="6"/>
      <c r="J1563" s="8"/>
      <c r="K1563" s="6"/>
      <c r="L1563" s="6"/>
      <c r="M1563" s="8"/>
      <c r="N1563" s="8"/>
      <c r="O1563" s="8"/>
      <c r="P1563" s="8"/>
      <c r="Q1563" s="18" t="e">
        <f>(Table1[[#This Row],[A. TÀI SẢN NGẮN HẠN]]-Table1[[#This Row],[I. Nợ ngắn hạn]])/Table1[[#This Row],[TỔNG CỘNG TÀI SẢN]]</f>
        <v>#DIV/0!</v>
      </c>
      <c r="R1563" s="18" t="e">
        <f>Table1[[#This Row],[- LNST chưa phân phối kỳ này]]/Table1[[#This Row],[TỔNG CỘNG TÀI SẢN]]</f>
        <v>#DIV/0!</v>
      </c>
      <c r="S1563" s="21" t="e">
        <f>Table1[[#This Row],[5. Lợi nhuận gộp về bán hàng và cung cấp dịch vụ]]/Table1[[#This Row],[TỔNG CỘNG TÀI SẢN]]</f>
        <v>#DIV/0!</v>
      </c>
      <c r="T156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563" s="23" t="e">
        <f>Table1[[#This Row],[1. Doanh thu bán hàng và cung cấp dịch vụ ]]/Table1[[#This Row],[TỔNG CỘNG TÀI SẢN]]</f>
        <v>#DIV/0!</v>
      </c>
      <c r="V1563" s="23" t="e">
        <f>1.2*Table1[[#This Row],[X1]] + 1.4*Table1[[#This Row],[X2]] + 3.3*Table1[[#This Row],[x3]] + 0.6*Table1[[#This Row],[x4]] + 1*Table1[[#This Row],[x5]]</f>
        <v>#DIV/0!</v>
      </c>
      <c r="W1563" s="23" t="e">
        <f>IF(Table1[[#This Row],[Zscore]]&lt;1.81,1,0)</f>
        <v>#DIV/0!</v>
      </c>
    </row>
    <row r="1564" spans="1:23" hidden="1" x14ac:dyDescent="0.45">
      <c r="A1564" s="7">
        <v>1558</v>
      </c>
      <c r="B1564" s="5" t="s">
        <v>3128</v>
      </c>
      <c r="C1564" s="6" t="s">
        <v>3129</v>
      </c>
      <c r="D1564" s="6" t="s">
        <v>13</v>
      </c>
      <c r="E1564" s="6"/>
      <c r="F1564" s="6"/>
      <c r="G1564" s="6"/>
      <c r="H1564" s="6"/>
      <c r="I1564" s="6"/>
      <c r="J1564" s="8"/>
      <c r="K1564" s="6"/>
      <c r="L1564" s="6"/>
      <c r="M1564" s="8"/>
      <c r="N1564" s="8"/>
      <c r="O1564" s="8"/>
      <c r="P1564" s="8"/>
      <c r="Q1564" s="18" t="e">
        <f>(Table1[[#This Row],[A. TÀI SẢN NGẮN HẠN]]-Table1[[#This Row],[I. Nợ ngắn hạn]])/Table1[[#This Row],[TỔNG CỘNG TÀI SẢN]]</f>
        <v>#DIV/0!</v>
      </c>
      <c r="R1564" s="18" t="e">
        <f>Table1[[#This Row],[- LNST chưa phân phối kỳ này]]/Table1[[#This Row],[TỔNG CỘNG TÀI SẢN]]</f>
        <v>#DIV/0!</v>
      </c>
      <c r="S1564" s="21" t="e">
        <f>Table1[[#This Row],[5. Lợi nhuận gộp về bán hàng và cung cấp dịch vụ]]/Table1[[#This Row],[TỔNG CỘNG TÀI SẢN]]</f>
        <v>#DIV/0!</v>
      </c>
      <c r="T156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564" s="23" t="e">
        <f>Table1[[#This Row],[1. Doanh thu bán hàng và cung cấp dịch vụ ]]/Table1[[#This Row],[TỔNG CỘNG TÀI SẢN]]</f>
        <v>#DIV/0!</v>
      </c>
      <c r="V1564" s="23" t="e">
        <f>1.2*Table1[[#This Row],[X1]] + 1.4*Table1[[#This Row],[X2]] + 3.3*Table1[[#This Row],[x3]] + 0.6*Table1[[#This Row],[x4]] + 1*Table1[[#This Row],[x5]]</f>
        <v>#DIV/0!</v>
      </c>
      <c r="W1564" s="23" t="e">
        <f>IF(Table1[[#This Row],[Zscore]]&lt;1.81,1,0)</f>
        <v>#DIV/0!</v>
      </c>
    </row>
    <row r="1565" spans="1:23" hidden="1" x14ac:dyDescent="0.45">
      <c r="A1565" s="7">
        <v>1559</v>
      </c>
      <c r="B1565" s="5" t="s">
        <v>3130</v>
      </c>
      <c r="C1565" s="6" t="s">
        <v>3131</v>
      </c>
      <c r="D1565" s="6" t="s">
        <v>13</v>
      </c>
      <c r="E1565" s="6"/>
      <c r="F1565" s="6"/>
      <c r="G1565" s="6"/>
      <c r="H1565" s="6"/>
      <c r="I1565" s="6"/>
      <c r="J1565" s="8"/>
      <c r="K1565" s="6"/>
      <c r="L1565" s="6"/>
      <c r="M1565" s="8"/>
      <c r="N1565" s="8"/>
      <c r="O1565" s="8"/>
      <c r="P1565" s="8"/>
      <c r="Q1565" s="18" t="e">
        <f>(Table1[[#This Row],[A. TÀI SẢN NGẮN HẠN]]-Table1[[#This Row],[I. Nợ ngắn hạn]])/Table1[[#This Row],[TỔNG CỘNG TÀI SẢN]]</f>
        <v>#DIV/0!</v>
      </c>
      <c r="R1565" s="18" t="e">
        <f>Table1[[#This Row],[- LNST chưa phân phối kỳ này]]/Table1[[#This Row],[TỔNG CỘNG TÀI SẢN]]</f>
        <v>#DIV/0!</v>
      </c>
      <c r="S1565" s="21" t="e">
        <f>Table1[[#This Row],[5. Lợi nhuận gộp về bán hàng và cung cấp dịch vụ]]/Table1[[#This Row],[TỔNG CỘNG TÀI SẢN]]</f>
        <v>#DIV/0!</v>
      </c>
      <c r="T156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565" s="23" t="e">
        <f>Table1[[#This Row],[1. Doanh thu bán hàng và cung cấp dịch vụ ]]/Table1[[#This Row],[TỔNG CỘNG TÀI SẢN]]</f>
        <v>#DIV/0!</v>
      </c>
      <c r="V1565" s="23" t="e">
        <f>1.2*Table1[[#This Row],[X1]] + 1.4*Table1[[#This Row],[X2]] + 3.3*Table1[[#This Row],[x3]] + 0.6*Table1[[#This Row],[x4]] + 1*Table1[[#This Row],[x5]]</f>
        <v>#DIV/0!</v>
      </c>
      <c r="W1565" s="23" t="e">
        <f>IF(Table1[[#This Row],[Zscore]]&lt;1.81,1,0)</f>
        <v>#DIV/0!</v>
      </c>
    </row>
    <row r="1566" spans="1:23" hidden="1" x14ac:dyDescent="0.45">
      <c r="A1566" s="7">
        <v>1560</v>
      </c>
      <c r="B1566" s="5" t="s">
        <v>3132</v>
      </c>
      <c r="C1566" s="6" t="s">
        <v>3133</v>
      </c>
      <c r="D1566" s="6" t="s">
        <v>13</v>
      </c>
      <c r="E1566" s="6"/>
      <c r="F1566" s="6"/>
      <c r="G1566" s="6"/>
      <c r="H1566" s="6"/>
      <c r="I1566" s="6"/>
      <c r="J1566" s="8"/>
      <c r="K1566" s="6"/>
      <c r="L1566" s="6"/>
      <c r="M1566" s="8"/>
      <c r="N1566" s="8"/>
      <c r="O1566" s="8"/>
      <c r="P1566" s="8"/>
      <c r="Q1566" s="18" t="e">
        <f>(Table1[[#This Row],[A. TÀI SẢN NGẮN HẠN]]-Table1[[#This Row],[I. Nợ ngắn hạn]])/Table1[[#This Row],[TỔNG CỘNG TÀI SẢN]]</f>
        <v>#DIV/0!</v>
      </c>
      <c r="R1566" s="18" t="e">
        <f>Table1[[#This Row],[- LNST chưa phân phối kỳ này]]/Table1[[#This Row],[TỔNG CỘNG TÀI SẢN]]</f>
        <v>#DIV/0!</v>
      </c>
      <c r="S1566" s="21" t="e">
        <f>Table1[[#This Row],[5. Lợi nhuận gộp về bán hàng và cung cấp dịch vụ]]/Table1[[#This Row],[TỔNG CỘNG TÀI SẢN]]</f>
        <v>#DIV/0!</v>
      </c>
      <c r="T156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566" s="23" t="e">
        <f>Table1[[#This Row],[1. Doanh thu bán hàng và cung cấp dịch vụ ]]/Table1[[#This Row],[TỔNG CỘNG TÀI SẢN]]</f>
        <v>#DIV/0!</v>
      </c>
      <c r="V1566" s="23" t="e">
        <f>1.2*Table1[[#This Row],[X1]] + 1.4*Table1[[#This Row],[X2]] + 3.3*Table1[[#This Row],[x3]] + 0.6*Table1[[#This Row],[x4]] + 1*Table1[[#This Row],[x5]]</f>
        <v>#DIV/0!</v>
      </c>
      <c r="W1566" s="23" t="e">
        <f>IF(Table1[[#This Row],[Zscore]]&lt;1.81,1,0)</f>
        <v>#DIV/0!</v>
      </c>
    </row>
    <row r="1567" spans="1:23" ht="26.25" hidden="1" x14ac:dyDescent="0.45">
      <c r="A1567" s="7">
        <v>1561</v>
      </c>
      <c r="B1567" s="5" t="s">
        <v>3134</v>
      </c>
      <c r="C1567" s="6" t="s">
        <v>3135</v>
      </c>
      <c r="D1567" s="6" t="s">
        <v>13</v>
      </c>
      <c r="E1567" s="6"/>
      <c r="F1567" s="6"/>
      <c r="G1567" s="6"/>
      <c r="H1567" s="6"/>
      <c r="I1567" s="6"/>
      <c r="J1567" s="8"/>
      <c r="K1567" s="6"/>
      <c r="L1567" s="6"/>
      <c r="M1567" s="8"/>
      <c r="N1567" s="8"/>
      <c r="O1567" s="8"/>
      <c r="P1567" s="8"/>
      <c r="Q1567" s="18" t="e">
        <f>(Table1[[#This Row],[A. TÀI SẢN NGẮN HẠN]]-Table1[[#This Row],[I. Nợ ngắn hạn]])/Table1[[#This Row],[TỔNG CỘNG TÀI SẢN]]</f>
        <v>#DIV/0!</v>
      </c>
      <c r="R1567" s="18" t="e">
        <f>Table1[[#This Row],[- LNST chưa phân phối kỳ này]]/Table1[[#This Row],[TỔNG CỘNG TÀI SẢN]]</f>
        <v>#DIV/0!</v>
      </c>
      <c r="S1567" s="21" t="e">
        <f>Table1[[#This Row],[5. Lợi nhuận gộp về bán hàng và cung cấp dịch vụ]]/Table1[[#This Row],[TỔNG CỘNG TÀI SẢN]]</f>
        <v>#DIV/0!</v>
      </c>
      <c r="T156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567" s="23" t="e">
        <f>Table1[[#This Row],[1. Doanh thu bán hàng và cung cấp dịch vụ ]]/Table1[[#This Row],[TỔNG CỘNG TÀI SẢN]]</f>
        <v>#DIV/0!</v>
      </c>
      <c r="V1567" s="23" t="e">
        <f>1.2*Table1[[#This Row],[X1]] + 1.4*Table1[[#This Row],[X2]] + 3.3*Table1[[#This Row],[x3]] + 0.6*Table1[[#This Row],[x4]] + 1*Table1[[#This Row],[x5]]</f>
        <v>#DIV/0!</v>
      </c>
      <c r="W1567" s="23" t="e">
        <f>IF(Table1[[#This Row],[Zscore]]&lt;1.81,1,0)</f>
        <v>#DIV/0!</v>
      </c>
    </row>
    <row r="1568" spans="1:23" ht="26.25" hidden="1" x14ac:dyDescent="0.45">
      <c r="A1568" s="7">
        <v>1562</v>
      </c>
      <c r="B1568" s="5" t="s">
        <v>3136</v>
      </c>
      <c r="C1568" s="6" t="s">
        <v>3137</v>
      </c>
      <c r="D1568" s="6" t="s">
        <v>13</v>
      </c>
      <c r="E1568" s="6"/>
      <c r="F1568" s="6"/>
      <c r="G1568" s="6"/>
      <c r="H1568" s="6"/>
      <c r="I1568" s="6"/>
      <c r="J1568" s="8"/>
      <c r="K1568" s="6"/>
      <c r="L1568" s="6"/>
      <c r="M1568" s="8"/>
      <c r="N1568" s="8"/>
      <c r="O1568" s="8"/>
      <c r="P1568" s="8"/>
      <c r="Q1568" s="18" t="e">
        <f>(Table1[[#This Row],[A. TÀI SẢN NGẮN HẠN]]-Table1[[#This Row],[I. Nợ ngắn hạn]])/Table1[[#This Row],[TỔNG CỘNG TÀI SẢN]]</f>
        <v>#DIV/0!</v>
      </c>
      <c r="R1568" s="18" t="e">
        <f>Table1[[#This Row],[- LNST chưa phân phối kỳ này]]/Table1[[#This Row],[TỔNG CỘNG TÀI SẢN]]</f>
        <v>#DIV/0!</v>
      </c>
      <c r="S1568" s="21" t="e">
        <f>Table1[[#This Row],[5. Lợi nhuận gộp về bán hàng và cung cấp dịch vụ]]/Table1[[#This Row],[TỔNG CỘNG TÀI SẢN]]</f>
        <v>#DIV/0!</v>
      </c>
      <c r="T156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568" s="23" t="e">
        <f>Table1[[#This Row],[1. Doanh thu bán hàng và cung cấp dịch vụ ]]/Table1[[#This Row],[TỔNG CỘNG TÀI SẢN]]</f>
        <v>#DIV/0!</v>
      </c>
      <c r="V1568" s="23" t="e">
        <f>1.2*Table1[[#This Row],[X1]] + 1.4*Table1[[#This Row],[X2]] + 3.3*Table1[[#This Row],[x3]] + 0.6*Table1[[#This Row],[x4]] + 1*Table1[[#This Row],[x5]]</f>
        <v>#DIV/0!</v>
      </c>
      <c r="W1568" s="23" t="e">
        <f>IF(Table1[[#This Row],[Zscore]]&lt;1.81,1,0)</f>
        <v>#DIV/0!</v>
      </c>
    </row>
    <row r="1569" spans="1:23" hidden="1" x14ac:dyDescent="0.45">
      <c r="A1569" s="7">
        <v>1563</v>
      </c>
      <c r="B1569" s="5" t="s">
        <v>3138</v>
      </c>
      <c r="C1569" s="6" t="s">
        <v>3139</v>
      </c>
      <c r="D1569" s="6" t="s">
        <v>13</v>
      </c>
      <c r="E1569" s="6"/>
      <c r="F1569" s="6"/>
      <c r="G1569" s="6"/>
      <c r="H1569" s="6"/>
      <c r="I1569" s="6"/>
      <c r="J1569" s="8"/>
      <c r="K1569" s="6"/>
      <c r="L1569" s="6"/>
      <c r="M1569" s="8"/>
      <c r="N1569" s="8"/>
      <c r="O1569" s="8"/>
      <c r="P1569" s="8"/>
      <c r="Q1569" s="18" t="e">
        <f>(Table1[[#This Row],[A. TÀI SẢN NGẮN HẠN]]-Table1[[#This Row],[I. Nợ ngắn hạn]])/Table1[[#This Row],[TỔNG CỘNG TÀI SẢN]]</f>
        <v>#DIV/0!</v>
      </c>
      <c r="R1569" s="18" t="e">
        <f>Table1[[#This Row],[- LNST chưa phân phối kỳ này]]/Table1[[#This Row],[TỔNG CỘNG TÀI SẢN]]</f>
        <v>#DIV/0!</v>
      </c>
      <c r="S1569" s="21" t="e">
        <f>Table1[[#This Row],[5. Lợi nhuận gộp về bán hàng và cung cấp dịch vụ]]/Table1[[#This Row],[TỔNG CỘNG TÀI SẢN]]</f>
        <v>#DIV/0!</v>
      </c>
      <c r="T156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569" s="23" t="e">
        <f>Table1[[#This Row],[1. Doanh thu bán hàng và cung cấp dịch vụ ]]/Table1[[#This Row],[TỔNG CỘNG TÀI SẢN]]</f>
        <v>#DIV/0!</v>
      </c>
      <c r="V1569" s="23" t="e">
        <f>1.2*Table1[[#This Row],[X1]] + 1.4*Table1[[#This Row],[X2]] + 3.3*Table1[[#This Row],[x3]] + 0.6*Table1[[#This Row],[x4]] + 1*Table1[[#This Row],[x5]]</f>
        <v>#DIV/0!</v>
      </c>
      <c r="W1569" s="23" t="e">
        <f>IF(Table1[[#This Row],[Zscore]]&lt;1.81,1,0)</f>
        <v>#DIV/0!</v>
      </c>
    </row>
    <row r="1570" spans="1:23" x14ac:dyDescent="0.45">
      <c r="A1570" s="7">
        <v>1564</v>
      </c>
      <c r="B1570" s="5" t="s">
        <v>3140</v>
      </c>
      <c r="C1570" s="6" t="s">
        <v>3141</v>
      </c>
      <c r="D1570" s="6" t="s">
        <v>36</v>
      </c>
      <c r="E1570" s="8">
        <v>310426229800</v>
      </c>
      <c r="F1570" s="8">
        <v>50497470577</v>
      </c>
      <c r="G1570" s="8">
        <v>39270718066</v>
      </c>
      <c r="H1570" s="8">
        <v>24662025241</v>
      </c>
      <c r="I1570" s="8">
        <v>66117360658</v>
      </c>
      <c r="J1570" s="8"/>
      <c r="K1570" s="8">
        <v>57482718066</v>
      </c>
      <c r="L1570" s="8">
        <v>246242747017</v>
      </c>
      <c r="M1570" s="8">
        <v>204413400000</v>
      </c>
      <c r="N1570" s="8">
        <v>225930600000</v>
      </c>
      <c r="O1570" s="8">
        <v>217323720000</v>
      </c>
      <c r="P1570" s="8">
        <v>266813280000</v>
      </c>
      <c r="Q1570" s="18">
        <f>(Table1[[#This Row],[A. TÀI SẢN NGẮN HẠN]]-Table1[[#This Row],[I. Nợ ngắn hạn]])/Table1[[#This Row],[TỔNG CỘNG TÀI SẢN]]</f>
        <v>3.6165605329914037E-2</v>
      </c>
      <c r="R1570" s="18">
        <f>Table1[[#This Row],[- LNST chưa phân phối kỳ này]]/Table1[[#This Row],[TỔNG CỘNG TÀI SẢN]]</f>
        <v>7.9445687488744546E-2</v>
      </c>
      <c r="S1570" s="21">
        <f>Table1[[#This Row],[5. Lợi nhuận gộp về bán hàng và cung cấp dịch vụ]]/Table1[[#This Row],[TỔNG CỘNG TÀI SẢN]]</f>
        <v>0.21298896262921402</v>
      </c>
      <c r="T157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3.9771997165740287</v>
      </c>
      <c r="U1570" s="23">
        <f>Table1[[#This Row],[1. Doanh thu bán hàng và cung cấp dịch vụ ]]/Table1[[#This Row],[TỔNG CỘNG TÀI SẢN]]</f>
        <v>0.79324078759597139</v>
      </c>
      <c r="V1570" s="23">
        <f>1.2*Table1[[#This Row],[X1]] + 1.4*Table1[[#This Row],[X2]] + 3.3*Table1[[#This Row],[x3]] + 0.6*Table1[[#This Row],[x4]] + 1*Table1[[#This Row],[x5]]</f>
        <v>4.0370468830969335</v>
      </c>
      <c r="W1570" s="23">
        <f>IF(Table1[[#This Row],[Zscore]]&lt;1.81,1,0)</f>
        <v>0</v>
      </c>
    </row>
    <row r="1571" spans="1:23" ht="26.25" hidden="1" x14ac:dyDescent="0.45">
      <c r="A1571" s="7">
        <v>1565</v>
      </c>
      <c r="B1571" s="5" t="s">
        <v>3142</v>
      </c>
      <c r="C1571" s="6" t="s">
        <v>3143</v>
      </c>
      <c r="D1571" s="6" t="s">
        <v>18</v>
      </c>
      <c r="E1571" s="8">
        <v>432866533161</v>
      </c>
      <c r="F1571" s="8">
        <v>212707796308</v>
      </c>
      <c r="G1571" s="8">
        <v>214335055435</v>
      </c>
      <c r="H1571" s="8">
        <v>27531392192</v>
      </c>
      <c r="I1571" s="8">
        <v>338742233602</v>
      </c>
      <c r="J1571" s="8"/>
      <c r="K1571" s="8">
        <v>296586740644</v>
      </c>
      <c r="L1571" s="8">
        <v>636227933618</v>
      </c>
      <c r="M1571" s="8"/>
      <c r="N1571" s="8"/>
      <c r="O1571" s="8"/>
      <c r="P1571" s="8"/>
      <c r="Q1571" s="18">
        <f>(Table1[[#This Row],[A. TÀI SẢN NGẮN HẠN]]-Table1[[#This Row],[I. Nợ ngắn hạn]])/Table1[[#This Row],[TỔNG CỘNG TÀI SẢN]]</f>
        <v>-3.7592629652308065E-3</v>
      </c>
      <c r="R1571" s="18">
        <f>Table1[[#This Row],[- LNST chưa phân phối kỳ này]]/Table1[[#This Row],[TỔNG CỘNG TÀI SẢN]]</f>
        <v>6.3602496573141168E-2</v>
      </c>
      <c r="S1571" s="21">
        <f>Table1[[#This Row],[5. Lợi nhuận gộp về bán hàng và cung cấp dịch vụ]]/Table1[[#This Row],[TỔNG CỘNG TÀI SẢN]]</f>
        <v>0.782555840314891</v>
      </c>
      <c r="T157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571" s="23">
        <f>Table1[[#This Row],[1. Doanh thu bán hàng và cung cấp dịch vụ ]]/Table1[[#This Row],[TỔNG CỘNG TÀI SẢN]]</f>
        <v>1.4698016244683021</v>
      </c>
      <c r="V1571" s="23" t="e">
        <f>1.2*Table1[[#This Row],[X1]] + 1.4*Table1[[#This Row],[X2]] + 3.3*Table1[[#This Row],[x3]] + 0.6*Table1[[#This Row],[x4]] + 1*Table1[[#This Row],[x5]]</f>
        <v>#DIV/0!</v>
      </c>
      <c r="W1571" s="23" t="e">
        <f>IF(Table1[[#This Row],[Zscore]]&lt;1.81,1,0)</f>
        <v>#DIV/0!</v>
      </c>
    </row>
    <row r="1572" spans="1:23" hidden="1" x14ac:dyDescent="0.45">
      <c r="A1572" s="7">
        <v>1566</v>
      </c>
      <c r="B1572" s="5" t="s">
        <v>3144</v>
      </c>
      <c r="C1572" s="6" t="s">
        <v>3145</v>
      </c>
      <c r="D1572" s="6" t="s">
        <v>13</v>
      </c>
      <c r="E1572" s="6"/>
      <c r="F1572" s="6"/>
      <c r="G1572" s="6"/>
      <c r="H1572" s="6"/>
      <c r="I1572" s="6"/>
      <c r="J1572" s="8"/>
      <c r="K1572" s="6"/>
      <c r="L1572" s="6"/>
      <c r="M1572" s="8"/>
      <c r="N1572" s="8"/>
      <c r="O1572" s="8"/>
      <c r="P1572" s="8"/>
      <c r="Q1572" s="18" t="e">
        <f>(Table1[[#This Row],[A. TÀI SẢN NGẮN HẠN]]-Table1[[#This Row],[I. Nợ ngắn hạn]])/Table1[[#This Row],[TỔNG CỘNG TÀI SẢN]]</f>
        <v>#DIV/0!</v>
      </c>
      <c r="R1572" s="18" t="e">
        <f>Table1[[#This Row],[- LNST chưa phân phối kỳ này]]/Table1[[#This Row],[TỔNG CỘNG TÀI SẢN]]</f>
        <v>#DIV/0!</v>
      </c>
      <c r="S1572" s="21" t="e">
        <f>Table1[[#This Row],[5. Lợi nhuận gộp về bán hàng và cung cấp dịch vụ]]/Table1[[#This Row],[TỔNG CỘNG TÀI SẢN]]</f>
        <v>#DIV/0!</v>
      </c>
      <c r="T157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572" s="23" t="e">
        <f>Table1[[#This Row],[1. Doanh thu bán hàng và cung cấp dịch vụ ]]/Table1[[#This Row],[TỔNG CỘNG TÀI SẢN]]</f>
        <v>#DIV/0!</v>
      </c>
      <c r="V1572" s="23" t="e">
        <f>1.2*Table1[[#This Row],[X1]] + 1.4*Table1[[#This Row],[X2]] + 3.3*Table1[[#This Row],[x3]] + 0.6*Table1[[#This Row],[x4]] + 1*Table1[[#This Row],[x5]]</f>
        <v>#DIV/0!</v>
      </c>
      <c r="W1572" s="23" t="e">
        <f>IF(Table1[[#This Row],[Zscore]]&lt;1.81,1,0)</f>
        <v>#DIV/0!</v>
      </c>
    </row>
    <row r="1573" spans="1:23" ht="26.25" hidden="1" x14ac:dyDescent="0.45">
      <c r="A1573" s="7">
        <v>1567</v>
      </c>
      <c r="B1573" s="5" t="s">
        <v>3146</v>
      </c>
      <c r="C1573" s="6" t="s">
        <v>3147</v>
      </c>
      <c r="D1573" s="6" t="s">
        <v>18</v>
      </c>
      <c r="E1573" s="6"/>
      <c r="F1573" s="6"/>
      <c r="G1573" s="6"/>
      <c r="H1573" s="6"/>
      <c r="I1573" s="6"/>
      <c r="J1573" s="8"/>
      <c r="K1573" s="6"/>
      <c r="L1573" s="6"/>
      <c r="M1573" s="8"/>
      <c r="N1573" s="8"/>
      <c r="O1573" s="8"/>
      <c r="P1573" s="8"/>
      <c r="Q1573" s="18" t="e">
        <f>(Table1[[#This Row],[A. TÀI SẢN NGẮN HẠN]]-Table1[[#This Row],[I. Nợ ngắn hạn]])/Table1[[#This Row],[TỔNG CỘNG TÀI SẢN]]</f>
        <v>#DIV/0!</v>
      </c>
      <c r="R1573" s="18" t="e">
        <f>Table1[[#This Row],[- LNST chưa phân phối kỳ này]]/Table1[[#This Row],[TỔNG CỘNG TÀI SẢN]]</f>
        <v>#DIV/0!</v>
      </c>
      <c r="S1573" s="21" t="e">
        <f>Table1[[#This Row],[5. Lợi nhuận gộp về bán hàng và cung cấp dịch vụ]]/Table1[[#This Row],[TỔNG CỘNG TÀI SẢN]]</f>
        <v>#DIV/0!</v>
      </c>
      <c r="T157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573" s="23" t="e">
        <f>Table1[[#This Row],[1. Doanh thu bán hàng và cung cấp dịch vụ ]]/Table1[[#This Row],[TỔNG CỘNG TÀI SẢN]]</f>
        <v>#DIV/0!</v>
      </c>
      <c r="V1573" s="23" t="e">
        <f>1.2*Table1[[#This Row],[X1]] + 1.4*Table1[[#This Row],[X2]] + 3.3*Table1[[#This Row],[x3]] + 0.6*Table1[[#This Row],[x4]] + 1*Table1[[#This Row],[x5]]</f>
        <v>#DIV/0!</v>
      </c>
      <c r="W1573" s="23" t="e">
        <f>IF(Table1[[#This Row],[Zscore]]&lt;1.81,1,0)</f>
        <v>#DIV/0!</v>
      </c>
    </row>
    <row r="1574" spans="1:23" x14ac:dyDescent="0.45">
      <c r="A1574" s="7">
        <v>1568</v>
      </c>
      <c r="B1574" s="5" t="s">
        <v>3148</v>
      </c>
      <c r="C1574" s="6" t="s">
        <v>176</v>
      </c>
      <c r="D1574" s="6" t="s">
        <v>21</v>
      </c>
      <c r="E1574" s="8">
        <v>108022578070</v>
      </c>
      <c r="F1574" s="8">
        <v>84328741966</v>
      </c>
      <c r="G1574" s="8">
        <v>2593830195</v>
      </c>
      <c r="H1574" s="8">
        <v>7342090887</v>
      </c>
      <c r="I1574" s="8">
        <v>15087149878</v>
      </c>
      <c r="J1574" s="8"/>
      <c r="K1574" s="8">
        <v>5167300195</v>
      </c>
      <c r="L1574" s="8">
        <v>120145788862</v>
      </c>
      <c r="M1574" s="8">
        <v>153999615000</v>
      </c>
      <c r="N1574" s="8">
        <v>137999655000</v>
      </c>
      <c r="O1574" s="8">
        <v>137999655000</v>
      </c>
      <c r="P1574" s="8">
        <v>147199632000</v>
      </c>
      <c r="Q1574" s="18">
        <f>(Table1[[#This Row],[A. TÀI SẢN NGẮN HẠN]]-Table1[[#This Row],[I. Nợ ngắn hạn]])/Table1[[#This Row],[TỔNG CỘNG TÀI SẢN]]</f>
        <v>0.75664655696362604</v>
      </c>
      <c r="R1574" s="18">
        <f>Table1[[#This Row],[- LNST chưa phân phối kỳ này]]/Table1[[#This Row],[TỔNG CỘNG TÀI SẢN]]</f>
        <v>6.7968113871918812E-2</v>
      </c>
      <c r="S1574" s="21">
        <f>Table1[[#This Row],[5. Lợi nhuận gộp về bán hàng và cung cấp dịch vụ]]/Table1[[#This Row],[TỔNG CỘNG TÀI SẢN]]</f>
        <v>0.13966663402740986</v>
      </c>
      <c r="T157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27.925538251024722</v>
      </c>
      <c r="U1574" s="23">
        <f>Table1[[#This Row],[1. Doanh thu bán hàng và cung cấp dịch vụ ]]/Table1[[#This Row],[TỔNG CỘNG TÀI SẢN]]</f>
        <v>1.1122284897157704</v>
      </c>
      <c r="V1574" s="23">
        <f>1.2*Table1[[#This Row],[X1]] + 1.4*Table1[[#This Row],[X2]] + 3.3*Table1[[#This Row],[x3]] + 0.6*Table1[[#This Row],[x4]] + 1*Table1[[#This Row],[x5]]</f>
        <v>19.331582560398093</v>
      </c>
      <c r="W1574" s="23">
        <f>IF(Table1[[#This Row],[Zscore]]&lt;1.81,1,0)</f>
        <v>0</v>
      </c>
    </row>
    <row r="1575" spans="1:23" x14ac:dyDescent="0.45">
      <c r="A1575" s="7">
        <v>1569</v>
      </c>
      <c r="B1575" s="5" t="s">
        <v>3149</v>
      </c>
      <c r="C1575" s="6" t="s">
        <v>3150</v>
      </c>
      <c r="D1575" s="6" t="s">
        <v>18</v>
      </c>
      <c r="E1575" s="8">
        <v>755280831699</v>
      </c>
      <c r="F1575" s="8">
        <v>362012032135</v>
      </c>
      <c r="G1575" s="8">
        <v>256154870248</v>
      </c>
      <c r="H1575" s="8">
        <v>19862723635</v>
      </c>
      <c r="I1575" s="8">
        <v>75996997489</v>
      </c>
      <c r="J1575" s="8"/>
      <c r="K1575" s="8">
        <v>355469563413</v>
      </c>
      <c r="L1575" s="8">
        <v>374000917039</v>
      </c>
      <c r="M1575" s="8">
        <v>302826462300</v>
      </c>
      <c r="N1575" s="8">
        <v>355166838500</v>
      </c>
      <c r="O1575" s="8">
        <v>347689641900</v>
      </c>
      <c r="P1575" s="8">
        <v>343951043600</v>
      </c>
      <c r="Q1575" s="18">
        <f>(Table1[[#This Row],[A. TÀI SẢN NGẮN HẠN]]-Table1[[#This Row],[I. Nợ ngắn hạn]])/Table1[[#This Row],[TỔNG CỘNG TÀI SẢN]]</f>
        <v>0.14015602865079324</v>
      </c>
      <c r="R1575" s="18">
        <f>Table1[[#This Row],[- LNST chưa phân phối kỳ này]]/Table1[[#This Row],[TỔNG CỘNG TÀI SẢN]]</f>
        <v>2.629846118339706E-2</v>
      </c>
      <c r="S1575" s="21">
        <f>Table1[[#This Row],[5. Lợi nhuận gộp về bán hàng và cung cấp dịch vụ]]/Table1[[#This Row],[TỔNG CỘNG TÀI SẢN]]</f>
        <v>0.100620847636296</v>
      </c>
      <c r="T157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0.94919096120469848</v>
      </c>
      <c r="U1575" s="23">
        <f>Table1[[#This Row],[1. Doanh thu bán hàng và cung cấp dịch vụ ]]/Table1[[#This Row],[TỔNG CỘNG TÀI SẢN]]</f>
        <v>0.49518126416327424</v>
      </c>
      <c r="V1575" s="23">
        <f>1.2*Table1[[#This Row],[X1]] + 1.4*Table1[[#This Row],[X2]] + 3.3*Table1[[#This Row],[x3]] + 0.6*Table1[[#This Row],[x4]] + 1*Table1[[#This Row],[x5]]</f>
        <v>1.6017497181235778</v>
      </c>
      <c r="W1575" s="23">
        <f>IF(Table1[[#This Row],[Zscore]]&lt;1.81,1,0)</f>
        <v>1</v>
      </c>
    </row>
    <row r="1576" spans="1:23" x14ac:dyDescent="0.45">
      <c r="A1576" s="7">
        <v>1570</v>
      </c>
      <c r="B1576" s="5" t="s">
        <v>3151</v>
      </c>
      <c r="C1576" s="6" t="s">
        <v>3152</v>
      </c>
      <c r="D1576" s="6" t="s">
        <v>21</v>
      </c>
      <c r="E1576" s="8">
        <v>7790808289105</v>
      </c>
      <c r="F1576" s="8">
        <v>3240871187388</v>
      </c>
      <c r="G1576" s="8">
        <v>2021503352068</v>
      </c>
      <c r="H1576" s="8">
        <v>11089048524</v>
      </c>
      <c r="I1576" s="8">
        <v>6243171817</v>
      </c>
      <c r="J1576" s="8"/>
      <c r="K1576" s="8">
        <v>5968145867519</v>
      </c>
      <c r="L1576" s="8">
        <v>35709041886</v>
      </c>
      <c r="M1576" s="8">
        <v>2143419613000</v>
      </c>
      <c r="N1576" s="8">
        <v>1953116002500</v>
      </c>
      <c r="O1576" s="8">
        <v>2188491520750</v>
      </c>
      <c r="P1576" s="8">
        <v>2193499510500</v>
      </c>
      <c r="Q1576" s="18">
        <f>(Table1[[#This Row],[A. TÀI SẢN NGẮN HẠN]]-Table1[[#This Row],[I. Nợ ngắn hạn]])/Table1[[#This Row],[TỔNG CỘNG TÀI SẢN]]</f>
        <v>0.15651364917106433</v>
      </c>
      <c r="R1576" s="18">
        <f>Table1[[#This Row],[- LNST chưa phân phối kỳ này]]/Table1[[#This Row],[TỔNG CỘNG TÀI SẢN]]</f>
        <v>1.4233501984007744E-3</v>
      </c>
      <c r="S1576" s="21">
        <f>Table1[[#This Row],[5. Lợi nhuận gộp về bán hàng và cung cấp dịch vụ]]/Table1[[#This Row],[TỔNG CỘNG TÀI SẢN]]</f>
        <v>8.0135097480587723E-4</v>
      </c>
      <c r="T157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0.35515748253127832</v>
      </c>
      <c r="U1576" s="23">
        <f>Table1[[#This Row],[1. Doanh thu bán hàng và cung cấp dịch vụ ]]/Table1[[#This Row],[TỔNG CỘNG TÀI SẢN]]</f>
        <v>4.5834835823051956E-3</v>
      </c>
      <c r="V1576" s="23">
        <f>1.2*Table1[[#This Row],[X1]] + 1.4*Table1[[#This Row],[X2]] + 3.3*Table1[[#This Row],[x3]] + 0.6*Table1[[#This Row],[x4]] + 1*Table1[[#This Row],[x5]]</f>
        <v>0.41013150060096992</v>
      </c>
      <c r="W1576" s="23">
        <f>IF(Table1[[#This Row],[Zscore]]&lt;1.81,1,0)</f>
        <v>1</v>
      </c>
    </row>
    <row r="1577" spans="1:23" x14ac:dyDescent="0.45">
      <c r="A1577" s="7">
        <v>1571</v>
      </c>
      <c r="B1577" s="5" t="s">
        <v>3153</v>
      </c>
      <c r="C1577" s="6" t="s">
        <v>3154</v>
      </c>
      <c r="D1577" s="6" t="s">
        <v>36</v>
      </c>
      <c r="E1577" s="8">
        <v>2425938745779</v>
      </c>
      <c r="F1577" s="8">
        <v>846243931272</v>
      </c>
      <c r="G1577" s="8">
        <v>1621165207143</v>
      </c>
      <c r="H1577" s="8">
        <v>40983077558</v>
      </c>
      <c r="I1577" s="8">
        <v>257751347452</v>
      </c>
      <c r="J1577" s="8"/>
      <c r="K1577" s="8">
        <v>1896093465254</v>
      </c>
      <c r="L1577" s="8">
        <v>2695453150754</v>
      </c>
      <c r="M1577" s="8">
        <v>406990364000</v>
      </c>
      <c r="N1577" s="8">
        <v>318192466400</v>
      </c>
      <c r="O1577" s="8">
        <v>362591415200</v>
      </c>
      <c r="P1577" s="8">
        <v>336692028400</v>
      </c>
      <c r="Q1577" s="18">
        <f>(Table1[[#This Row],[A. TÀI SẢN NGẮN HẠN]]-Table1[[#This Row],[I. Nợ ngắn hạn]])/Table1[[#This Row],[TỔNG CỘNG TÀI SẢN]]</f>
        <v>-0.31943150964521277</v>
      </c>
      <c r="R1577" s="18">
        <f>Table1[[#This Row],[- LNST chưa phân phối kỳ này]]/Table1[[#This Row],[TỔNG CỘNG TÀI SẢN]]</f>
        <v>1.689369842058391E-2</v>
      </c>
      <c r="S1577" s="21">
        <f>Table1[[#This Row],[5. Lợi nhuận gộp về bán hàng và cung cấp dịch vụ]]/Table1[[#This Row],[TỔNG CỘNG TÀI SẢN]]</f>
        <v>0.10624808557119307</v>
      </c>
      <c r="T157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0.18781593577840572</v>
      </c>
      <c r="U1577" s="23">
        <f>Table1[[#This Row],[1. Doanh thu bán hàng và cung cấp dịch vụ ]]/Table1[[#This Row],[TỔNG CỘNG TÀI SẢN]]</f>
        <v>1.1110969538880322</v>
      </c>
      <c r="V1577" s="23">
        <f>1.2*Table1[[#This Row],[X1]] + 1.4*Table1[[#This Row],[X2]] + 3.3*Table1[[#This Row],[x3]] + 0.6*Table1[[#This Row],[x4]] + 1*Table1[[#This Row],[x5]]</f>
        <v>1.2147385639545749</v>
      </c>
      <c r="W1577" s="23">
        <f>IF(Table1[[#This Row],[Zscore]]&lt;1.81,1,0)</f>
        <v>1</v>
      </c>
    </row>
    <row r="1578" spans="1:23" ht="26.25" hidden="1" x14ac:dyDescent="0.45">
      <c r="A1578" s="7">
        <v>1572</v>
      </c>
      <c r="B1578" s="5" t="s">
        <v>3155</v>
      </c>
      <c r="C1578" s="6" t="s">
        <v>3156</v>
      </c>
      <c r="D1578" s="6" t="s">
        <v>18</v>
      </c>
      <c r="E1578" s="6"/>
      <c r="F1578" s="6"/>
      <c r="G1578" s="6"/>
      <c r="H1578" s="6"/>
      <c r="I1578" s="6"/>
      <c r="J1578" s="8"/>
      <c r="K1578" s="6"/>
      <c r="L1578" s="6"/>
      <c r="M1578" s="8"/>
      <c r="N1578" s="8"/>
      <c r="O1578" s="8"/>
      <c r="P1578" s="8"/>
      <c r="Q1578" s="18" t="e">
        <f>(Table1[[#This Row],[A. TÀI SẢN NGẮN HẠN]]-Table1[[#This Row],[I. Nợ ngắn hạn]])/Table1[[#This Row],[TỔNG CỘNG TÀI SẢN]]</f>
        <v>#DIV/0!</v>
      </c>
      <c r="R1578" s="18" t="e">
        <f>Table1[[#This Row],[- LNST chưa phân phối kỳ này]]/Table1[[#This Row],[TỔNG CỘNG TÀI SẢN]]</f>
        <v>#DIV/0!</v>
      </c>
      <c r="S1578" s="21" t="e">
        <f>Table1[[#This Row],[5. Lợi nhuận gộp về bán hàng và cung cấp dịch vụ]]/Table1[[#This Row],[TỔNG CỘNG TÀI SẢN]]</f>
        <v>#DIV/0!</v>
      </c>
      <c r="T157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578" s="23" t="e">
        <f>Table1[[#This Row],[1. Doanh thu bán hàng và cung cấp dịch vụ ]]/Table1[[#This Row],[TỔNG CỘNG TÀI SẢN]]</f>
        <v>#DIV/0!</v>
      </c>
      <c r="V1578" s="23" t="e">
        <f>1.2*Table1[[#This Row],[X1]] + 1.4*Table1[[#This Row],[X2]] + 3.3*Table1[[#This Row],[x3]] + 0.6*Table1[[#This Row],[x4]] + 1*Table1[[#This Row],[x5]]</f>
        <v>#DIV/0!</v>
      </c>
      <c r="W1578" s="23" t="e">
        <f>IF(Table1[[#This Row],[Zscore]]&lt;1.81,1,0)</f>
        <v>#DIV/0!</v>
      </c>
    </row>
    <row r="1579" spans="1:23" hidden="1" x14ac:dyDescent="0.45">
      <c r="A1579" s="7">
        <v>1573</v>
      </c>
      <c r="B1579" s="5" t="s">
        <v>3157</v>
      </c>
      <c r="C1579" s="6" t="s">
        <v>3158</v>
      </c>
      <c r="D1579" s="6" t="s">
        <v>13</v>
      </c>
      <c r="E1579" s="6"/>
      <c r="F1579" s="6"/>
      <c r="G1579" s="6"/>
      <c r="H1579" s="6"/>
      <c r="I1579" s="6"/>
      <c r="J1579" s="8"/>
      <c r="K1579" s="6"/>
      <c r="L1579" s="6"/>
      <c r="M1579" s="8"/>
      <c r="N1579" s="8"/>
      <c r="O1579" s="8"/>
      <c r="P1579" s="8"/>
      <c r="Q1579" s="18" t="e">
        <f>(Table1[[#This Row],[A. TÀI SẢN NGẮN HẠN]]-Table1[[#This Row],[I. Nợ ngắn hạn]])/Table1[[#This Row],[TỔNG CỘNG TÀI SẢN]]</f>
        <v>#DIV/0!</v>
      </c>
      <c r="R1579" s="18" t="e">
        <f>Table1[[#This Row],[- LNST chưa phân phối kỳ này]]/Table1[[#This Row],[TỔNG CỘNG TÀI SẢN]]</f>
        <v>#DIV/0!</v>
      </c>
      <c r="S1579" s="21" t="e">
        <f>Table1[[#This Row],[5. Lợi nhuận gộp về bán hàng và cung cấp dịch vụ]]/Table1[[#This Row],[TỔNG CỘNG TÀI SẢN]]</f>
        <v>#DIV/0!</v>
      </c>
      <c r="T157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579" s="23" t="e">
        <f>Table1[[#This Row],[1. Doanh thu bán hàng và cung cấp dịch vụ ]]/Table1[[#This Row],[TỔNG CỘNG TÀI SẢN]]</f>
        <v>#DIV/0!</v>
      </c>
      <c r="V1579" s="23" t="e">
        <f>1.2*Table1[[#This Row],[X1]] + 1.4*Table1[[#This Row],[X2]] + 3.3*Table1[[#This Row],[x3]] + 0.6*Table1[[#This Row],[x4]] + 1*Table1[[#This Row],[x5]]</f>
        <v>#DIV/0!</v>
      </c>
      <c r="W1579" s="23" t="e">
        <f>IF(Table1[[#This Row],[Zscore]]&lt;1.81,1,0)</f>
        <v>#DIV/0!</v>
      </c>
    </row>
    <row r="1580" spans="1:23" x14ac:dyDescent="0.45">
      <c r="A1580" s="7">
        <v>1574</v>
      </c>
      <c r="B1580" s="5" t="s">
        <v>3159</v>
      </c>
      <c r="C1580" s="6" t="s">
        <v>3160</v>
      </c>
      <c r="D1580" s="6" t="s">
        <v>36</v>
      </c>
      <c r="E1580" s="8">
        <v>269548468225</v>
      </c>
      <c r="F1580" s="8">
        <v>180497440213</v>
      </c>
      <c r="G1580" s="8">
        <v>33521860549</v>
      </c>
      <c r="H1580" s="8">
        <v>-816028063</v>
      </c>
      <c r="I1580" s="8">
        <v>38234034883</v>
      </c>
      <c r="J1580" s="8"/>
      <c r="K1580" s="8">
        <v>33521860549</v>
      </c>
      <c r="L1580" s="8">
        <v>359377880571</v>
      </c>
      <c r="M1580" s="8">
        <v>147953250000</v>
      </c>
      <c r="N1580" s="8">
        <v>96491250000</v>
      </c>
      <c r="O1580" s="8">
        <v>131228100000</v>
      </c>
      <c r="P1580" s="8">
        <v>105497100000</v>
      </c>
      <c r="Q1580" s="18">
        <f>(Table1[[#This Row],[A. TÀI SẢN NGẮN HẠN]]-Table1[[#This Row],[I. Nợ ngắn hạn]])/Table1[[#This Row],[TỔNG CỘNG TÀI SẢN]]</f>
        <v>0.54526586862780901</v>
      </c>
      <c r="R1580" s="18">
        <f>Table1[[#This Row],[- LNST chưa phân phối kỳ này]]/Table1[[#This Row],[TỔNG CỘNG TÀI SẢN]]</f>
        <v>-3.0273889826702241E-3</v>
      </c>
      <c r="S1580" s="21">
        <f>Table1[[#This Row],[5. Lợi nhuận gộp về bán hàng và cung cấp dịch vụ]]/Table1[[#This Row],[TỔNG CỘNG TÀI SẢN]]</f>
        <v>0.14184474923851145</v>
      </c>
      <c r="T158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3.5884769827785852</v>
      </c>
      <c r="U1580" s="23">
        <f>Table1[[#This Row],[1. Doanh thu bán hàng và cung cấp dịch vụ ]]/Table1[[#This Row],[TỔNG CỘNG TÀI SẢN]]</f>
        <v>1.3332588492805559</v>
      </c>
      <c r="V1580" s="23">
        <f>1.2*Table1[[#This Row],[X1]] + 1.4*Table1[[#This Row],[X2]] + 3.3*Table1[[#This Row],[x3]] + 0.6*Table1[[#This Row],[x4]] + 1*Table1[[#This Row],[x5]]</f>
        <v>4.6045134092124274</v>
      </c>
      <c r="W1580" s="23">
        <f>IF(Table1[[#This Row],[Zscore]]&lt;1.81,1,0)</f>
        <v>0</v>
      </c>
    </row>
    <row r="1581" spans="1:23" hidden="1" x14ac:dyDescent="0.45">
      <c r="A1581" s="7">
        <v>1575</v>
      </c>
      <c r="B1581" s="5" t="s">
        <v>3161</v>
      </c>
      <c r="C1581" s="6" t="s">
        <v>3162</v>
      </c>
      <c r="D1581" s="6" t="s">
        <v>13</v>
      </c>
      <c r="E1581" s="6"/>
      <c r="F1581" s="6"/>
      <c r="G1581" s="6"/>
      <c r="H1581" s="6"/>
      <c r="I1581" s="6"/>
      <c r="J1581" s="8"/>
      <c r="K1581" s="6"/>
      <c r="L1581" s="6"/>
      <c r="M1581" s="8"/>
      <c r="N1581" s="8"/>
      <c r="O1581" s="8"/>
      <c r="P1581" s="8"/>
      <c r="Q1581" s="18" t="e">
        <f>(Table1[[#This Row],[A. TÀI SẢN NGẮN HẠN]]-Table1[[#This Row],[I. Nợ ngắn hạn]])/Table1[[#This Row],[TỔNG CỘNG TÀI SẢN]]</f>
        <v>#DIV/0!</v>
      </c>
      <c r="R1581" s="18" t="e">
        <f>Table1[[#This Row],[- LNST chưa phân phối kỳ này]]/Table1[[#This Row],[TỔNG CỘNG TÀI SẢN]]</f>
        <v>#DIV/0!</v>
      </c>
      <c r="S1581" s="21" t="e">
        <f>Table1[[#This Row],[5. Lợi nhuận gộp về bán hàng và cung cấp dịch vụ]]/Table1[[#This Row],[TỔNG CỘNG TÀI SẢN]]</f>
        <v>#DIV/0!</v>
      </c>
      <c r="T158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581" s="23" t="e">
        <f>Table1[[#This Row],[1. Doanh thu bán hàng và cung cấp dịch vụ ]]/Table1[[#This Row],[TỔNG CỘNG TÀI SẢN]]</f>
        <v>#DIV/0!</v>
      </c>
      <c r="V1581" s="23" t="e">
        <f>1.2*Table1[[#This Row],[X1]] + 1.4*Table1[[#This Row],[X2]] + 3.3*Table1[[#This Row],[x3]] + 0.6*Table1[[#This Row],[x4]] + 1*Table1[[#This Row],[x5]]</f>
        <v>#DIV/0!</v>
      </c>
      <c r="W1581" s="23" t="e">
        <f>IF(Table1[[#This Row],[Zscore]]&lt;1.81,1,0)</f>
        <v>#DIV/0!</v>
      </c>
    </row>
    <row r="1582" spans="1:23" hidden="1" x14ac:dyDescent="0.45">
      <c r="A1582" s="7">
        <v>1576</v>
      </c>
      <c r="B1582" s="5" t="s">
        <v>3163</v>
      </c>
      <c r="C1582" s="6" t="s">
        <v>3164</v>
      </c>
      <c r="D1582" s="6" t="s">
        <v>13</v>
      </c>
      <c r="E1582" s="6"/>
      <c r="F1582" s="6"/>
      <c r="G1582" s="6"/>
      <c r="H1582" s="6"/>
      <c r="I1582" s="6"/>
      <c r="J1582" s="8"/>
      <c r="K1582" s="6"/>
      <c r="L1582" s="6"/>
      <c r="M1582" s="8"/>
      <c r="N1582" s="8"/>
      <c r="O1582" s="8"/>
      <c r="P1582" s="8"/>
      <c r="Q1582" s="18" t="e">
        <f>(Table1[[#This Row],[A. TÀI SẢN NGẮN HẠN]]-Table1[[#This Row],[I. Nợ ngắn hạn]])/Table1[[#This Row],[TỔNG CỘNG TÀI SẢN]]</f>
        <v>#DIV/0!</v>
      </c>
      <c r="R1582" s="18" t="e">
        <f>Table1[[#This Row],[- LNST chưa phân phối kỳ này]]/Table1[[#This Row],[TỔNG CỘNG TÀI SẢN]]</f>
        <v>#DIV/0!</v>
      </c>
      <c r="S1582" s="21" t="e">
        <f>Table1[[#This Row],[5. Lợi nhuận gộp về bán hàng và cung cấp dịch vụ]]/Table1[[#This Row],[TỔNG CỘNG TÀI SẢN]]</f>
        <v>#DIV/0!</v>
      </c>
      <c r="T158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582" s="23" t="e">
        <f>Table1[[#This Row],[1. Doanh thu bán hàng và cung cấp dịch vụ ]]/Table1[[#This Row],[TỔNG CỘNG TÀI SẢN]]</f>
        <v>#DIV/0!</v>
      </c>
      <c r="V1582" s="23" t="e">
        <f>1.2*Table1[[#This Row],[X1]] + 1.4*Table1[[#This Row],[X2]] + 3.3*Table1[[#This Row],[x3]] + 0.6*Table1[[#This Row],[x4]] + 1*Table1[[#This Row],[x5]]</f>
        <v>#DIV/0!</v>
      </c>
      <c r="W1582" s="23" t="e">
        <f>IF(Table1[[#This Row],[Zscore]]&lt;1.81,1,0)</f>
        <v>#DIV/0!</v>
      </c>
    </row>
    <row r="1583" spans="1:23" x14ac:dyDescent="0.45">
      <c r="A1583" s="7">
        <v>1577</v>
      </c>
      <c r="B1583" s="5" t="s">
        <v>3165</v>
      </c>
      <c r="C1583" s="6" t="s">
        <v>3166</v>
      </c>
      <c r="D1583" s="6" t="s">
        <v>18</v>
      </c>
      <c r="E1583" s="8">
        <v>528906585946</v>
      </c>
      <c r="F1583" s="8">
        <v>74052916688</v>
      </c>
      <c r="G1583" s="8">
        <v>33762671022</v>
      </c>
      <c r="H1583" s="8">
        <v>5841403411</v>
      </c>
      <c r="I1583" s="8">
        <v>160143886429</v>
      </c>
      <c r="J1583" s="8"/>
      <c r="K1583" s="8">
        <v>70227089304</v>
      </c>
      <c r="L1583" s="8">
        <v>241933683240</v>
      </c>
      <c r="M1583" s="8">
        <v>558600000000</v>
      </c>
      <c r="N1583" s="8">
        <v>543900000000</v>
      </c>
      <c r="O1583" s="8">
        <v>540960000000</v>
      </c>
      <c r="P1583" s="8">
        <v>546840000000</v>
      </c>
      <c r="Q1583" s="18">
        <f>(Table1[[#This Row],[A. TÀI SẢN NGẮN HẠN]]-Table1[[#This Row],[I. Nợ ngắn hạn]])/Table1[[#This Row],[TỔNG CỘNG TÀI SẢN]]</f>
        <v>7.6176486995216827E-2</v>
      </c>
      <c r="R1583" s="18">
        <f>Table1[[#This Row],[- LNST chưa phân phối kỳ này]]/Table1[[#This Row],[TỔNG CỘNG TÀI SẢN]]</f>
        <v>1.1044300763531033E-2</v>
      </c>
      <c r="S1583" s="21">
        <f>Table1[[#This Row],[5. Lợi nhuận gộp về bán hàng và cung cấp dịch vụ]]/Table1[[#This Row],[TỔNG CỘNG TÀI SẢN]]</f>
        <v>0.30278293120999306</v>
      </c>
      <c r="T158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7.7972048311677806</v>
      </c>
      <c r="U1583" s="23">
        <f>Table1[[#This Row],[1. Doanh thu bán hàng và cung cấp dịch vụ ]]/Table1[[#This Row],[TỔNG CỘNG TÀI SẢN]]</f>
        <v>0.45742233065084353</v>
      </c>
      <c r="V1583" s="23">
        <f>1.2*Table1[[#This Row],[X1]] + 1.4*Table1[[#This Row],[X2]] + 3.3*Table1[[#This Row],[x3]] + 0.6*Table1[[#This Row],[x4]] + 1*Table1[[#This Row],[x5]]</f>
        <v>6.2418027078076923</v>
      </c>
      <c r="W1583" s="23">
        <f>IF(Table1[[#This Row],[Zscore]]&lt;1.81,1,0)</f>
        <v>0</v>
      </c>
    </row>
    <row r="1584" spans="1:23" x14ac:dyDescent="0.45">
      <c r="A1584" s="7">
        <v>1578</v>
      </c>
      <c r="B1584" s="5" t="s">
        <v>3167</v>
      </c>
      <c r="C1584" s="6" t="s">
        <v>3168</v>
      </c>
      <c r="D1584" s="6" t="s">
        <v>36</v>
      </c>
      <c r="E1584" s="8">
        <v>331628854346</v>
      </c>
      <c r="F1584" s="8">
        <v>110298928603</v>
      </c>
      <c r="G1584" s="8">
        <v>148446774206</v>
      </c>
      <c r="H1584" s="8">
        <v>31859728298</v>
      </c>
      <c r="I1584" s="8">
        <v>298512279612</v>
      </c>
      <c r="J1584" s="8"/>
      <c r="K1584" s="8">
        <v>148741774206</v>
      </c>
      <c r="L1584" s="8">
        <v>914942064814</v>
      </c>
      <c r="M1584" s="8">
        <v>362970000000</v>
      </c>
      <c r="N1584" s="8">
        <v>347710000000</v>
      </c>
      <c r="O1584" s="8">
        <v>359700000000</v>
      </c>
      <c r="P1584" s="8">
        <v>417470000000</v>
      </c>
      <c r="Q1584" s="18">
        <f>(Table1[[#This Row],[A. TÀI SẢN NGẮN HẠN]]-Table1[[#This Row],[I. Nợ ngắn hạn]])/Table1[[#This Row],[TỔNG CỘNG TÀI SẢN]]</f>
        <v>-0.11503174438252896</v>
      </c>
      <c r="R1584" s="18">
        <f>Table1[[#This Row],[- LNST chưa phân phối kỳ này]]/Table1[[#This Row],[TỔNG CỘNG TÀI SẢN]]</f>
        <v>9.6070435007321861E-2</v>
      </c>
      <c r="S1584" s="21">
        <f>Table1[[#This Row],[5. Lợi nhuận gộp về bán hàng và cung cấp dịch vụ]]/Table1[[#This Row],[TỔNG CỘNG TÀI SẢN]]</f>
        <v>0.90013964617370623</v>
      </c>
      <c r="T158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2.5007265241091607</v>
      </c>
      <c r="U1584" s="23">
        <f>Table1[[#This Row],[1. Doanh thu bán hàng và cung cấp dịch vụ ]]/Table1[[#This Row],[TỔNG CỘNG TÀI SẢN]]</f>
        <v>2.7589338286571676</v>
      </c>
      <c r="V1584" s="23">
        <f>1.2*Table1[[#This Row],[X1]] + 1.4*Table1[[#This Row],[X2]] + 3.3*Table1[[#This Row],[x3]] + 0.6*Table1[[#This Row],[x4]] + 1*Table1[[#This Row],[x5]]</f>
        <v>7.2262910912471101</v>
      </c>
      <c r="W1584" s="23">
        <f>IF(Table1[[#This Row],[Zscore]]&lt;1.81,1,0)</f>
        <v>0</v>
      </c>
    </row>
    <row r="1585" spans="1:23" x14ac:dyDescent="0.45">
      <c r="A1585" s="7">
        <v>1579</v>
      </c>
      <c r="B1585" s="5" t="s">
        <v>3169</v>
      </c>
      <c r="C1585" s="6" t="s">
        <v>3170</v>
      </c>
      <c r="D1585" s="6" t="s">
        <v>18</v>
      </c>
      <c r="E1585" s="8">
        <v>3939848623298</v>
      </c>
      <c r="F1585" s="8">
        <v>2298793008738</v>
      </c>
      <c r="G1585" s="8">
        <v>1686561704830</v>
      </c>
      <c r="H1585" s="8">
        <v>193239553173</v>
      </c>
      <c r="I1585" s="8">
        <v>754458299627</v>
      </c>
      <c r="J1585" s="8"/>
      <c r="K1585" s="8">
        <v>1811224261231</v>
      </c>
      <c r="L1585" s="8">
        <v>4882703640388</v>
      </c>
      <c r="M1585" s="8">
        <v>958274600000</v>
      </c>
      <c r="N1585" s="8">
        <v>1329606007500</v>
      </c>
      <c r="O1585" s="8">
        <v>1125972655000</v>
      </c>
      <c r="P1585" s="8">
        <v>1389498170000</v>
      </c>
      <c r="Q1585" s="18">
        <f>(Table1[[#This Row],[A. TÀI SẢN NGẮN HẠN]]-Table1[[#This Row],[I. Nợ ngắn hạn]])/Table1[[#This Row],[TỔNG CỘNG TÀI SẢN]]</f>
        <v>0.1553946261507653</v>
      </c>
      <c r="R1585" s="18">
        <f>Table1[[#This Row],[- LNST chưa phân phối kỳ này]]/Table1[[#This Row],[TỔNG CỘNG TÀI SẢN]]</f>
        <v>4.9047456298267997E-2</v>
      </c>
      <c r="S1585" s="21">
        <f>Table1[[#This Row],[5. Lợi nhuận gộp về bán hàng và cung cấp dịch vụ]]/Table1[[#This Row],[TỔNG CỘNG TÀI SẢN]]</f>
        <v>0.19149423537888419</v>
      </c>
      <c r="T158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0.66299788702523765</v>
      </c>
      <c r="U1585" s="23">
        <f>Table1[[#This Row],[1. Doanh thu bán hàng và cung cấp dịch vụ ]]/Table1[[#This Row],[TỔNG CỘNG TÀI SẢN]]</f>
        <v>1.239312498331661</v>
      </c>
      <c r="V1585" s="23">
        <f>1.2*Table1[[#This Row],[X1]] + 1.4*Table1[[#This Row],[X2]] + 3.3*Table1[[#This Row],[x3]] + 0.6*Table1[[#This Row],[x4]] + 1*Table1[[#This Row],[x5]]</f>
        <v>2.5241821974956151</v>
      </c>
      <c r="W1585" s="23">
        <f>IF(Table1[[#This Row],[Zscore]]&lt;1.81,1,0)</f>
        <v>0</v>
      </c>
    </row>
    <row r="1586" spans="1:23" x14ac:dyDescent="0.45">
      <c r="A1586" s="7">
        <v>1580</v>
      </c>
      <c r="B1586" s="5" t="s">
        <v>3171</v>
      </c>
      <c r="C1586" s="6" t="s">
        <v>3172</v>
      </c>
      <c r="D1586" s="6" t="s">
        <v>18</v>
      </c>
      <c r="E1586" s="8">
        <v>485160845746</v>
      </c>
      <c r="F1586" s="8">
        <v>188225123457</v>
      </c>
      <c r="G1586" s="8">
        <v>220346362221</v>
      </c>
      <c r="H1586" s="8">
        <v>67691421983</v>
      </c>
      <c r="I1586" s="8">
        <v>135877139356</v>
      </c>
      <c r="J1586" s="8"/>
      <c r="K1586" s="8">
        <v>237858395024</v>
      </c>
      <c r="L1586" s="8">
        <v>900752711695</v>
      </c>
      <c r="M1586" s="8">
        <v>457679355000</v>
      </c>
      <c r="N1586" s="8">
        <v>692800906000</v>
      </c>
      <c r="O1586" s="8">
        <v>518703269000</v>
      </c>
      <c r="P1586" s="8">
        <v>699980190000</v>
      </c>
      <c r="Q1586" s="18">
        <f>(Table1[[#This Row],[A. TÀI SẢN NGẮN HẠN]]-Table1[[#This Row],[I. Nợ ngắn hạn]])/Table1[[#This Row],[TỔNG CỘNG TÀI SẢN]]</f>
        <v>-6.6207401206520036E-2</v>
      </c>
      <c r="R1586" s="18">
        <f>Table1[[#This Row],[- LNST chưa phân phối kỳ này]]/Table1[[#This Row],[TỔNG CỘNG TÀI SẢN]]</f>
        <v>0.13952367050336748</v>
      </c>
      <c r="S1586" s="21">
        <f>Table1[[#This Row],[5. Lợi nhuận gộp về bán hàng và cung cấp dịch vụ]]/Table1[[#This Row],[TỔNG CỘNG TÀI SẢN]]</f>
        <v>0.28006616887451136</v>
      </c>
      <c r="T158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2.4900989092280623</v>
      </c>
      <c r="U1586" s="23">
        <f>Table1[[#This Row],[1. Doanh thu bán hàng và cung cấp dịch vụ ]]/Table1[[#This Row],[TỔNG CỘNG TÀI SẢN]]</f>
        <v>1.8566063597114306</v>
      </c>
      <c r="V1586" s="23">
        <f>1.2*Table1[[#This Row],[X1]] + 1.4*Table1[[#This Row],[X2]] + 3.3*Table1[[#This Row],[x3]] + 0.6*Table1[[#This Row],[x4]] + 1*Table1[[#This Row],[x5]]</f>
        <v>4.3907683197910456</v>
      </c>
      <c r="W1586" s="23">
        <f>IF(Table1[[#This Row],[Zscore]]&lt;1.81,1,0)</f>
        <v>0</v>
      </c>
    </row>
    <row r="1587" spans="1:23" x14ac:dyDescent="0.45">
      <c r="A1587" s="7">
        <v>1581</v>
      </c>
      <c r="B1587" s="5" t="s">
        <v>3173</v>
      </c>
      <c r="C1587" s="6" t="s">
        <v>3174</v>
      </c>
      <c r="D1587" s="6" t="s">
        <v>21</v>
      </c>
      <c r="E1587" s="8">
        <v>969267945118</v>
      </c>
      <c r="F1587" s="8">
        <v>747587182413</v>
      </c>
      <c r="G1587" s="8">
        <v>243639731507</v>
      </c>
      <c r="H1587" s="8">
        <v>386889264178</v>
      </c>
      <c r="I1587" s="8">
        <v>563953579033</v>
      </c>
      <c r="J1587" s="8"/>
      <c r="K1587" s="8">
        <v>259627710727</v>
      </c>
      <c r="L1587" s="8">
        <v>1211823907987</v>
      </c>
      <c r="M1587" s="8">
        <v>2961960862400</v>
      </c>
      <c r="N1587" s="8">
        <v>2347066160400</v>
      </c>
      <c r="O1587" s="8">
        <v>2891313386000</v>
      </c>
      <c r="P1587" s="8">
        <v>2739552140400</v>
      </c>
      <c r="Q1587" s="18">
        <f>(Table1[[#This Row],[A. TÀI SẢN NGẮN HẠN]]-Table1[[#This Row],[I. Nợ ngắn hạn]])/Table1[[#This Row],[TỔNG CỘNG TÀI SẢN]]</f>
        <v>0.51992584036671996</v>
      </c>
      <c r="R1587" s="18">
        <f>Table1[[#This Row],[- LNST chưa phân phối kỳ này]]/Table1[[#This Row],[TỔNG CỘNG TÀI SẢN]]</f>
        <v>0.39915615297780177</v>
      </c>
      <c r="S1587" s="21">
        <f>Table1[[#This Row],[5. Lợi nhuận gộp về bán hàng và cung cấp dịch vụ]]/Table1[[#This Row],[TỔNG CỘNG TÀI SẢN]]</f>
        <v>0.58183455036712628</v>
      </c>
      <c r="T158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10.534211196646261</v>
      </c>
      <c r="U1587" s="23">
        <f>Table1[[#This Row],[1. Doanh thu bán hàng và cung cấp dịch vụ ]]/Table1[[#This Row],[TỔNG CỘNG TÀI SẢN]]</f>
        <v>1.2502465536910652</v>
      </c>
      <c r="V1587" s="23">
        <f>1.2*Table1[[#This Row],[X1]] + 1.4*Table1[[#This Row],[X2]] + 3.3*Table1[[#This Row],[x3]] + 0.6*Table1[[#This Row],[x4]] + 1*Table1[[#This Row],[x5]]</f>
        <v>10.673556910499324</v>
      </c>
      <c r="W1587" s="23">
        <f>IF(Table1[[#This Row],[Zscore]]&lt;1.81,1,0)</f>
        <v>0</v>
      </c>
    </row>
    <row r="1588" spans="1:23" ht="26.25" x14ac:dyDescent="0.45">
      <c r="A1588" s="7">
        <v>1582</v>
      </c>
      <c r="B1588" s="5" t="s">
        <v>3175</v>
      </c>
      <c r="C1588" s="6" t="s">
        <v>3176</v>
      </c>
      <c r="D1588" s="6" t="s">
        <v>18</v>
      </c>
      <c r="E1588" s="8">
        <v>1486476394166</v>
      </c>
      <c r="F1588" s="8">
        <v>205003760775</v>
      </c>
      <c r="G1588" s="8">
        <v>199476169035</v>
      </c>
      <c r="H1588" s="8">
        <v>214643250291</v>
      </c>
      <c r="I1588" s="8">
        <v>282983218820</v>
      </c>
      <c r="J1588" s="8"/>
      <c r="K1588" s="8">
        <v>557692141408</v>
      </c>
      <c r="L1588" s="8">
        <v>408709078334</v>
      </c>
      <c r="M1588" s="8">
        <v>1999758400000</v>
      </c>
      <c r="N1588" s="8">
        <v>1789783768000</v>
      </c>
      <c r="O1588" s="8">
        <v>1899770480000</v>
      </c>
      <c r="P1588" s="8">
        <v>1939765648000</v>
      </c>
      <c r="Q1588" s="18">
        <f>(Table1[[#This Row],[A. TÀI SẢN NGẮN HẠN]]-Table1[[#This Row],[I. Nợ ngắn hạn]])/Table1[[#This Row],[TỔNG CỘNG TÀI SẢN]]</f>
        <v>3.7185869628971143E-3</v>
      </c>
      <c r="R1588" s="18">
        <f>Table1[[#This Row],[- LNST chưa phân phối kỳ này]]/Table1[[#This Row],[TỔNG CỘNG TÀI SẢN]]</f>
        <v>0.14439734874594318</v>
      </c>
      <c r="S1588" s="21">
        <f>Table1[[#This Row],[5. Lợi nhuận gộp về bán hàng và cung cấp dịch vụ]]/Table1[[#This Row],[TỔNG CỘNG TÀI SẢN]]</f>
        <v>0.19037182153085594</v>
      </c>
      <c r="T158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3.4199326696351409</v>
      </c>
      <c r="U1588" s="23">
        <f>Table1[[#This Row],[1. Doanh thu bán hàng và cung cấp dịch vụ ]]/Table1[[#This Row],[TỔNG CỘNG TÀI SẢN]]</f>
        <v>0.27495161035726345</v>
      </c>
      <c r="V1588" s="23">
        <f>1.2*Table1[[#This Row],[X1]] + 1.4*Table1[[#This Row],[X2]] + 3.3*Table1[[#This Row],[x3]] + 0.6*Table1[[#This Row],[x4]] + 1*Table1[[#This Row],[x5]]</f>
        <v>3.1617568157899698</v>
      </c>
      <c r="W1588" s="23">
        <f>IF(Table1[[#This Row],[Zscore]]&lt;1.81,1,0)</f>
        <v>0</v>
      </c>
    </row>
    <row r="1589" spans="1:23" hidden="1" x14ac:dyDescent="0.45">
      <c r="A1589" s="7">
        <v>1583</v>
      </c>
      <c r="B1589" s="5" t="s">
        <v>3177</v>
      </c>
      <c r="C1589" s="6" t="s">
        <v>3178</v>
      </c>
      <c r="D1589" s="6" t="s">
        <v>18</v>
      </c>
      <c r="E1589" s="6"/>
      <c r="F1589" s="6"/>
      <c r="G1589" s="6"/>
      <c r="H1589" s="6"/>
      <c r="I1589" s="6"/>
      <c r="J1589" s="8"/>
      <c r="K1589" s="6"/>
      <c r="L1589" s="6"/>
      <c r="M1589" s="8"/>
      <c r="N1589" s="8"/>
      <c r="O1589" s="8"/>
      <c r="P1589" s="8"/>
      <c r="Q1589" s="18" t="e">
        <f>(Table1[[#This Row],[A. TÀI SẢN NGẮN HẠN]]-Table1[[#This Row],[I. Nợ ngắn hạn]])/Table1[[#This Row],[TỔNG CỘNG TÀI SẢN]]</f>
        <v>#DIV/0!</v>
      </c>
      <c r="R1589" s="18" t="e">
        <f>Table1[[#This Row],[- LNST chưa phân phối kỳ này]]/Table1[[#This Row],[TỔNG CỘNG TÀI SẢN]]</f>
        <v>#DIV/0!</v>
      </c>
      <c r="S1589" s="21" t="e">
        <f>Table1[[#This Row],[5. Lợi nhuận gộp về bán hàng và cung cấp dịch vụ]]/Table1[[#This Row],[TỔNG CỘNG TÀI SẢN]]</f>
        <v>#DIV/0!</v>
      </c>
      <c r="T158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589" s="23" t="e">
        <f>Table1[[#This Row],[1. Doanh thu bán hàng và cung cấp dịch vụ ]]/Table1[[#This Row],[TỔNG CỘNG TÀI SẢN]]</f>
        <v>#DIV/0!</v>
      </c>
      <c r="V1589" s="23" t="e">
        <f>1.2*Table1[[#This Row],[X1]] + 1.4*Table1[[#This Row],[X2]] + 3.3*Table1[[#This Row],[x3]] + 0.6*Table1[[#This Row],[x4]] + 1*Table1[[#This Row],[x5]]</f>
        <v>#DIV/0!</v>
      </c>
      <c r="W1589" s="23" t="e">
        <f>IF(Table1[[#This Row],[Zscore]]&lt;1.81,1,0)</f>
        <v>#DIV/0!</v>
      </c>
    </row>
    <row r="1590" spans="1:23" ht="26.25" hidden="1" x14ac:dyDescent="0.45">
      <c r="A1590" s="7">
        <v>1584</v>
      </c>
      <c r="B1590" s="5" t="s">
        <v>3179</v>
      </c>
      <c r="C1590" s="6" t="s">
        <v>3180</v>
      </c>
      <c r="D1590" s="6" t="s">
        <v>18</v>
      </c>
      <c r="E1590" s="6"/>
      <c r="F1590" s="6"/>
      <c r="G1590" s="6"/>
      <c r="H1590" s="6"/>
      <c r="I1590" s="6"/>
      <c r="J1590" s="8"/>
      <c r="K1590" s="6"/>
      <c r="L1590" s="6"/>
      <c r="M1590" s="8"/>
      <c r="N1590" s="8"/>
      <c r="O1590" s="8"/>
      <c r="P1590" s="8"/>
      <c r="Q1590" s="18" t="e">
        <f>(Table1[[#This Row],[A. TÀI SẢN NGẮN HẠN]]-Table1[[#This Row],[I. Nợ ngắn hạn]])/Table1[[#This Row],[TỔNG CỘNG TÀI SẢN]]</f>
        <v>#DIV/0!</v>
      </c>
      <c r="R1590" s="18" t="e">
        <f>Table1[[#This Row],[- LNST chưa phân phối kỳ này]]/Table1[[#This Row],[TỔNG CỘNG TÀI SẢN]]</f>
        <v>#DIV/0!</v>
      </c>
      <c r="S1590" s="21" t="e">
        <f>Table1[[#This Row],[5. Lợi nhuận gộp về bán hàng và cung cấp dịch vụ]]/Table1[[#This Row],[TỔNG CỘNG TÀI SẢN]]</f>
        <v>#DIV/0!</v>
      </c>
      <c r="T159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590" s="23" t="e">
        <f>Table1[[#This Row],[1. Doanh thu bán hàng và cung cấp dịch vụ ]]/Table1[[#This Row],[TỔNG CỘNG TÀI SẢN]]</f>
        <v>#DIV/0!</v>
      </c>
      <c r="V1590" s="23" t="e">
        <f>1.2*Table1[[#This Row],[X1]] + 1.4*Table1[[#This Row],[X2]] + 3.3*Table1[[#This Row],[x3]] + 0.6*Table1[[#This Row],[x4]] + 1*Table1[[#This Row],[x5]]</f>
        <v>#DIV/0!</v>
      </c>
      <c r="W1590" s="23" t="e">
        <f>IF(Table1[[#This Row],[Zscore]]&lt;1.81,1,0)</f>
        <v>#DIV/0!</v>
      </c>
    </row>
    <row r="1591" spans="1:23" ht="26.25" x14ac:dyDescent="0.45">
      <c r="A1591" s="7">
        <v>1585</v>
      </c>
      <c r="B1591" s="5" t="s">
        <v>3181</v>
      </c>
      <c r="C1591" s="6" t="s">
        <v>3182</v>
      </c>
      <c r="D1591" s="6" t="s">
        <v>36</v>
      </c>
      <c r="E1591" s="8">
        <v>1300343103388</v>
      </c>
      <c r="F1591" s="8">
        <v>957875731455</v>
      </c>
      <c r="G1591" s="8">
        <v>62162314549</v>
      </c>
      <c r="H1591" s="8">
        <v>167792810098</v>
      </c>
      <c r="I1591" s="8">
        <v>10439863311</v>
      </c>
      <c r="J1591" s="8"/>
      <c r="K1591" s="8">
        <v>63422760928</v>
      </c>
      <c r="L1591" s="8">
        <v>26564321165</v>
      </c>
      <c r="M1591" s="8">
        <v>687916185600</v>
      </c>
      <c r="N1591" s="8">
        <v>802568883200</v>
      </c>
      <c r="O1591" s="8">
        <v>652087217600</v>
      </c>
      <c r="P1591" s="8">
        <v>910055787200</v>
      </c>
      <c r="Q1591" s="18">
        <f>(Table1[[#This Row],[A. TÀI SẢN NGẮN HẠN]]-Table1[[#This Row],[I. Nợ ngắn hạn]])/Table1[[#This Row],[TỔNG CỘNG TÀI SẢN]]</f>
        <v>0.68882852115895332</v>
      </c>
      <c r="R1591" s="18">
        <f>Table1[[#This Row],[- LNST chưa phân phối kỳ này]]/Table1[[#This Row],[TỔNG CỘNG TÀI SẢN]]</f>
        <v>0.12903733611600007</v>
      </c>
      <c r="S1591" s="21">
        <f>Table1[[#This Row],[5. Lợi nhuận gộp về bán hàng và cung cấp dịch vụ]]/Table1[[#This Row],[TỔNG CỘNG TÀI SẢN]]</f>
        <v>8.0285451461228115E-3</v>
      </c>
      <c r="T159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12.032857088425489</v>
      </c>
      <c r="U1591" s="23">
        <f>Table1[[#This Row],[1. Doanh thu bán hàng và cung cấp dịch vụ ]]/Table1[[#This Row],[TỔNG CỘNG TÀI SẢN]]</f>
        <v>2.0428701544836558E-2</v>
      </c>
      <c r="V1591" s="23">
        <f>1.2*Table1[[#This Row],[X1]] + 1.4*Table1[[#This Row],[X2]] + 3.3*Table1[[#This Row],[x3]] + 0.6*Table1[[#This Row],[x4]] + 1*Table1[[#This Row],[x5]]</f>
        <v>8.2738836495354793</v>
      </c>
      <c r="W1591" s="23">
        <f>IF(Table1[[#This Row],[Zscore]]&lt;1.81,1,0)</f>
        <v>0</v>
      </c>
    </row>
    <row r="1592" spans="1:23" hidden="1" x14ac:dyDescent="0.45">
      <c r="A1592" s="7">
        <v>1586</v>
      </c>
      <c r="B1592" s="5" t="s">
        <v>3183</v>
      </c>
      <c r="C1592" s="6" t="s">
        <v>3184</v>
      </c>
      <c r="D1592" s="6" t="s">
        <v>18</v>
      </c>
      <c r="E1592" s="6"/>
      <c r="F1592" s="6"/>
      <c r="G1592" s="6"/>
      <c r="H1592" s="6"/>
      <c r="I1592" s="6"/>
      <c r="J1592" s="8"/>
      <c r="K1592" s="6"/>
      <c r="L1592" s="6"/>
      <c r="M1592" s="8"/>
      <c r="N1592" s="8"/>
      <c r="O1592" s="8"/>
      <c r="P1592" s="8"/>
      <c r="Q1592" s="18" t="e">
        <f>(Table1[[#This Row],[A. TÀI SẢN NGẮN HẠN]]-Table1[[#This Row],[I. Nợ ngắn hạn]])/Table1[[#This Row],[TỔNG CỘNG TÀI SẢN]]</f>
        <v>#DIV/0!</v>
      </c>
      <c r="R1592" s="18" t="e">
        <f>Table1[[#This Row],[- LNST chưa phân phối kỳ này]]/Table1[[#This Row],[TỔNG CỘNG TÀI SẢN]]</f>
        <v>#DIV/0!</v>
      </c>
      <c r="S1592" s="21" t="e">
        <f>Table1[[#This Row],[5. Lợi nhuận gộp về bán hàng và cung cấp dịch vụ]]/Table1[[#This Row],[TỔNG CỘNG TÀI SẢN]]</f>
        <v>#DIV/0!</v>
      </c>
      <c r="T159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592" s="23" t="e">
        <f>Table1[[#This Row],[1. Doanh thu bán hàng và cung cấp dịch vụ ]]/Table1[[#This Row],[TỔNG CỘNG TÀI SẢN]]</f>
        <v>#DIV/0!</v>
      </c>
      <c r="V1592" s="23" t="e">
        <f>1.2*Table1[[#This Row],[X1]] + 1.4*Table1[[#This Row],[X2]] + 3.3*Table1[[#This Row],[x3]] + 0.6*Table1[[#This Row],[x4]] + 1*Table1[[#This Row],[x5]]</f>
        <v>#DIV/0!</v>
      </c>
      <c r="W1592" s="23" t="e">
        <f>IF(Table1[[#This Row],[Zscore]]&lt;1.81,1,0)</f>
        <v>#DIV/0!</v>
      </c>
    </row>
    <row r="1593" spans="1:23" ht="26.25" x14ac:dyDescent="0.45">
      <c r="A1593" s="7">
        <v>1587</v>
      </c>
      <c r="B1593" s="5" t="s">
        <v>3185</v>
      </c>
      <c r="C1593" s="6" t="s">
        <v>3186</v>
      </c>
      <c r="D1593" s="6" t="s">
        <v>18</v>
      </c>
      <c r="E1593" s="8">
        <v>950180855844</v>
      </c>
      <c r="F1593" s="8">
        <v>439279991603</v>
      </c>
      <c r="G1593" s="8">
        <v>666367079811</v>
      </c>
      <c r="H1593" s="8">
        <v>3584152862</v>
      </c>
      <c r="I1593" s="8">
        <v>74796915040</v>
      </c>
      <c r="J1593" s="8"/>
      <c r="K1593" s="8">
        <v>889958074465</v>
      </c>
      <c r="L1593" s="8">
        <v>1111471576361</v>
      </c>
      <c r="M1593" s="8">
        <v>76635882400</v>
      </c>
      <c r="N1593" s="8">
        <v>87583865600</v>
      </c>
      <c r="O1593" s="8">
        <v>76635882400</v>
      </c>
      <c r="P1593" s="8">
        <v>76635882400</v>
      </c>
      <c r="Q1593" s="18">
        <f>(Table1[[#This Row],[A. TÀI SẢN NGẮN HẠN]]-Table1[[#This Row],[I. Nợ ngắn hạn]])/Table1[[#This Row],[TỔNG CỘNG TÀI SẢN]]</f>
        <v>-0.23899354192554159</v>
      </c>
      <c r="R1593" s="18">
        <f>Table1[[#This Row],[- LNST chưa phân phối kỳ này]]/Table1[[#This Row],[TỔNG CỘNG TÀI SẢN]]</f>
        <v>3.7720743792679016E-3</v>
      </c>
      <c r="S1593" s="21">
        <f>Table1[[#This Row],[5. Lợi nhuận gộp về bán hàng và cung cấp dịch vụ]]/Table1[[#This Row],[TỔNG CỘNG TÀI SẢN]]</f>
        <v>7.8718608757447017E-2</v>
      </c>
      <c r="T159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8.9187210585976381E-2</v>
      </c>
      <c r="U1593" s="23">
        <f>Table1[[#This Row],[1. Doanh thu bán hàng và cung cấp dịch vụ ]]/Table1[[#This Row],[TỔNG CỘNG TÀI SẢN]]</f>
        <v>1.1697473902204998</v>
      </c>
      <c r="V1593" s="23">
        <f>1.2*Table1[[#This Row],[X1]] + 1.4*Table1[[#This Row],[X2]] + 3.3*Table1[[#This Row],[x3]] + 0.6*Table1[[#This Row],[x4]] + 1*Table1[[#This Row],[x5]]</f>
        <v>1.2015197792919858</v>
      </c>
      <c r="W1593" s="23">
        <f>IF(Table1[[#This Row],[Zscore]]&lt;1.81,1,0)</f>
        <v>1</v>
      </c>
    </row>
    <row r="1594" spans="1:23" x14ac:dyDescent="0.45">
      <c r="A1594" s="7">
        <v>1588</v>
      </c>
      <c r="B1594" s="5" t="s">
        <v>3187</v>
      </c>
      <c r="C1594" s="6" t="s">
        <v>3188</v>
      </c>
      <c r="D1594" s="6" t="s">
        <v>18</v>
      </c>
      <c r="E1594" s="8">
        <v>562733364664</v>
      </c>
      <c r="F1594" s="8">
        <v>130324228636</v>
      </c>
      <c r="G1594" s="8">
        <v>101925749566</v>
      </c>
      <c r="H1594" s="8">
        <v>31071861334</v>
      </c>
      <c r="I1594" s="8">
        <v>95530462408</v>
      </c>
      <c r="J1594" s="8"/>
      <c r="K1594" s="8">
        <v>156253380364</v>
      </c>
      <c r="L1594" s="8">
        <v>277087974497</v>
      </c>
      <c r="M1594" s="8">
        <v>236173531200</v>
      </c>
      <c r="N1594" s="8">
        <v>489461086400</v>
      </c>
      <c r="O1594" s="8">
        <v>414159380800</v>
      </c>
      <c r="P1594" s="8">
        <v>489461086400</v>
      </c>
      <c r="Q1594" s="18">
        <f>(Table1[[#This Row],[A. TÀI SẢN NGẮN HẠN]]-Table1[[#This Row],[I. Nợ ngắn hạn]])/Table1[[#This Row],[TỔNG CỘNG TÀI SẢN]]</f>
        <v>5.0465248469772753E-2</v>
      </c>
      <c r="R1594" s="18">
        <f>Table1[[#This Row],[- LNST chưa phân phối kỳ này]]/Table1[[#This Row],[TỔNG CỘNG TÀI SẢN]]</f>
        <v>5.5215957121278143E-2</v>
      </c>
      <c r="S1594" s="21">
        <f>Table1[[#This Row],[5. Lợi nhuận gộp về bán hàng và cung cấp dịch vụ]]/Table1[[#This Row],[TỔNG CỘNG TÀI SẢN]]</f>
        <v>0.16976150412734078</v>
      </c>
      <c r="T159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2.6067517403536637</v>
      </c>
      <c r="U1594" s="23">
        <f>Table1[[#This Row],[1. Doanh thu bán hàng và cung cấp dịch vụ ]]/Table1[[#This Row],[TỔNG CỘNG TÀI SẢN]]</f>
        <v>0.49239656273525784</v>
      </c>
      <c r="V1594" s="23">
        <f>1.2*Table1[[#This Row],[X1]] + 1.4*Table1[[#This Row],[X2]] + 3.3*Table1[[#This Row],[x3]] + 0.6*Table1[[#This Row],[x4]] + 1*Table1[[#This Row],[x5]]</f>
        <v>2.7545212087011972</v>
      </c>
      <c r="W1594" s="23">
        <f>IF(Table1[[#This Row],[Zscore]]&lt;1.81,1,0)</f>
        <v>0</v>
      </c>
    </row>
    <row r="1595" spans="1:23" ht="26.25" x14ac:dyDescent="0.45">
      <c r="A1595" s="7">
        <v>1589</v>
      </c>
      <c r="B1595" s="5" t="s">
        <v>3189</v>
      </c>
      <c r="C1595" s="6" t="s">
        <v>3190</v>
      </c>
      <c r="D1595" s="6" t="s">
        <v>36</v>
      </c>
      <c r="E1595" s="8">
        <v>204178273535</v>
      </c>
      <c r="F1595" s="8">
        <v>152304068538</v>
      </c>
      <c r="G1595" s="8">
        <v>75225617853</v>
      </c>
      <c r="H1595" s="8">
        <v>5819472748</v>
      </c>
      <c r="I1595" s="8">
        <v>6467262786</v>
      </c>
      <c r="J1595" s="8"/>
      <c r="K1595" s="8">
        <v>78655259691</v>
      </c>
      <c r="L1595" s="8">
        <v>75007497200</v>
      </c>
      <c r="M1595" s="8">
        <v>49855296400</v>
      </c>
      <c r="N1595" s="8">
        <v>57525342000</v>
      </c>
      <c r="O1595" s="8">
        <v>50814052100</v>
      </c>
      <c r="P1595" s="8">
        <v>58484097700</v>
      </c>
      <c r="Q1595" s="18">
        <f>(Table1[[#This Row],[A. TÀI SẢN NGẮN HẠN]]-Table1[[#This Row],[I. Nợ ngắn hạn]])/Table1[[#This Row],[TỔNG CỘNG TÀI SẢN]]</f>
        <v>0.37750564421237159</v>
      </c>
      <c r="R1595" s="18">
        <f>Table1[[#This Row],[- LNST chưa phân phối kỳ này]]/Table1[[#This Row],[TỔNG CỘNG TÀI SẢN]]</f>
        <v>2.8501919657002255E-2</v>
      </c>
      <c r="S1595" s="21">
        <f>Table1[[#This Row],[5. Lợi nhuận gộp về bán hàng và cung cấp dịch vụ]]/Table1[[#This Row],[TỔNG CỘNG TÀI SẢN]]</f>
        <v>3.167458845659888E-2</v>
      </c>
      <c r="T159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0.68869770772873407</v>
      </c>
      <c r="U1595" s="23">
        <f>Table1[[#This Row],[1. Doanh thu bán hàng và cung cấp dịch vụ ]]/Table1[[#This Row],[TỔNG CỘNG TÀI SẢN]]</f>
        <v>0.36736277519332783</v>
      </c>
      <c r="V1595" s="23">
        <f>1.2*Table1[[#This Row],[X1]] + 1.4*Table1[[#This Row],[X2]] + 3.3*Table1[[#This Row],[x3]] + 0.6*Table1[[#This Row],[x4]] + 1*Table1[[#This Row],[x5]]</f>
        <v>1.3780170023119935</v>
      </c>
      <c r="W1595" s="23">
        <f>IF(Table1[[#This Row],[Zscore]]&lt;1.81,1,0)</f>
        <v>1</v>
      </c>
    </row>
    <row r="1596" spans="1:23" ht="26.25" x14ac:dyDescent="0.45">
      <c r="A1596" s="7">
        <v>1590</v>
      </c>
      <c r="B1596" s="5" t="s">
        <v>3191</v>
      </c>
      <c r="C1596" s="6" t="s">
        <v>3192</v>
      </c>
      <c r="D1596" s="6" t="s">
        <v>18</v>
      </c>
      <c r="E1596" s="8">
        <v>723291662740</v>
      </c>
      <c r="F1596" s="8">
        <v>88636449813</v>
      </c>
      <c r="G1596" s="8">
        <v>107179999854</v>
      </c>
      <c r="H1596" s="8">
        <v>38469418153</v>
      </c>
      <c r="I1596" s="8">
        <v>56940432412</v>
      </c>
      <c r="J1596" s="8"/>
      <c r="K1596" s="8">
        <v>219460476727</v>
      </c>
      <c r="L1596" s="8">
        <v>94907807928</v>
      </c>
      <c r="M1596" s="8">
        <v>299700000000</v>
      </c>
      <c r="N1596" s="8">
        <v>275400000000</v>
      </c>
      <c r="O1596" s="8">
        <v>287550000000</v>
      </c>
      <c r="P1596" s="8">
        <v>279450000000</v>
      </c>
      <c r="Q1596" s="18">
        <f>(Table1[[#This Row],[A. TÀI SẢN NGẮN HẠN]]-Table1[[#This Row],[I. Nợ ngắn hạn]])/Table1[[#This Row],[TỔNG CỘNG TÀI SẢN]]</f>
        <v>-2.5637721262751243E-2</v>
      </c>
      <c r="R1596" s="18">
        <f>Table1[[#This Row],[- LNST chưa phân phối kỳ này]]/Table1[[#This Row],[TỔNG CỘNG TÀI SẢN]]</f>
        <v>5.318659143293418E-2</v>
      </c>
      <c r="S1596" s="21">
        <f>Table1[[#This Row],[5. Lợi nhuận gộp về bán hàng và cung cấp dịch vụ]]/Table1[[#This Row],[TỔNG CỘNG TÀI SẢN]]</f>
        <v>7.8724027035367961E-2</v>
      </c>
      <c r="T159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1.3010315308627602</v>
      </c>
      <c r="U1596" s="23">
        <f>Table1[[#This Row],[1. Doanh thu bán hàng và cung cấp dịch vụ ]]/Table1[[#This Row],[TỔNG CỘNG TÀI SẢN]]</f>
        <v>0.13121651031959466</v>
      </c>
      <c r="V1596" s="23">
        <f>1.2*Table1[[#This Row],[X1]] + 1.4*Table1[[#This Row],[X2]] + 3.3*Table1[[#This Row],[x3]] + 0.6*Table1[[#This Row],[x4]] + 1*Table1[[#This Row],[x5]]</f>
        <v>1.2153206805447712</v>
      </c>
      <c r="W1596" s="23">
        <f>IF(Table1[[#This Row],[Zscore]]&lt;1.81,1,0)</f>
        <v>1</v>
      </c>
    </row>
    <row r="1597" spans="1:23" hidden="1" x14ac:dyDescent="0.45">
      <c r="A1597" s="7">
        <v>1591</v>
      </c>
      <c r="B1597" s="5" t="s">
        <v>3193</v>
      </c>
      <c r="C1597" s="6" t="s">
        <v>3194</v>
      </c>
      <c r="D1597" s="6" t="s">
        <v>13</v>
      </c>
      <c r="E1597" s="6"/>
      <c r="F1597" s="6"/>
      <c r="G1597" s="6"/>
      <c r="H1597" s="6"/>
      <c r="I1597" s="6"/>
      <c r="J1597" s="8"/>
      <c r="K1597" s="6"/>
      <c r="L1597" s="6"/>
      <c r="M1597" s="8"/>
      <c r="N1597" s="8"/>
      <c r="O1597" s="8"/>
      <c r="P1597" s="8"/>
      <c r="Q1597" s="18" t="e">
        <f>(Table1[[#This Row],[A. TÀI SẢN NGẮN HẠN]]-Table1[[#This Row],[I. Nợ ngắn hạn]])/Table1[[#This Row],[TỔNG CỘNG TÀI SẢN]]</f>
        <v>#DIV/0!</v>
      </c>
      <c r="R1597" s="18" t="e">
        <f>Table1[[#This Row],[- LNST chưa phân phối kỳ này]]/Table1[[#This Row],[TỔNG CỘNG TÀI SẢN]]</f>
        <v>#DIV/0!</v>
      </c>
      <c r="S1597" s="21" t="e">
        <f>Table1[[#This Row],[5. Lợi nhuận gộp về bán hàng và cung cấp dịch vụ]]/Table1[[#This Row],[TỔNG CỘNG TÀI SẢN]]</f>
        <v>#DIV/0!</v>
      </c>
      <c r="T159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597" s="23" t="e">
        <f>Table1[[#This Row],[1. Doanh thu bán hàng và cung cấp dịch vụ ]]/Table1[[#This Row],[TỔNG CỘNG TÀI SẢN]]</f>
        <v>#DIV/0!</v>
      </c>
      <c r="V1597" s="23" t="e">
        <f>1.2*Table1[[#This Row],[X1]] + 1.4*Table1[[#This Row],[X2]] + 3.3*Table1[[#This Row],[x3]] + 0.6*Table1[[#This Row],[x4]] + 1*Table1[[#This Row],[x5]]</f>
        <v>#DIV/0!</v>
      </c>
      <c r="W1597" s="23" t="e">
        <f>IF(Table1[[#This Row],[Zscore]]&lt;1.81,1,0)</f>
        <v>#DIV/0!</v>
      </c>
    </row>
    <row r="1598" spans="1:23" x14ac:dyDescent="0.45">
      <c r="A1598" s="7">
        <v>1592</v>
      </c>
      <c r="B1598" s="5" t="s">
        <v>3195</v>
      </c>
      <c r="C1598" s="6" t="s">
        <v>3196</v>
      </c>
      <c r="D1598" s="6" t="s">
        <v>36</v>
      </c>
      <c r="E1598" s="8">
        <v>1076116736664</v>
      </c>
      <c r="F1598" s="8">
        <v>817750790716</v>
      </c>
      <c r="G1598" s="8">
        <v>533075185924</v>
      </c>
      <c r="H1598" s="8">
        <v>158682736144</v>
      </c>
      <c r="I1598" s="8">
        <v>366074435321</v>
      </c>
      <c r="J1598" s="8"/>
      <c r="K1598" s="8">
        <v>534096454424</v>
      </c>
      <c r="L1598" s="8">
        <v>1630973460277</v>
      </c>
      <c r="M1598" s="8">
        <v>1881463416000</v>
      </c>
      <c r="N1598" s="8">
        <v>1518609757200</v>
      </c>
      <c r="O1598" s="8">
        <v>1820987806200</v>
      </c>
      <c r="P1598" s="8">
        <v>1850105692400</v>
      </c>
      <c r="Q1598" s="18">
        <f>(Table1[[#This Row],[A. TÀI SẢN NGẮN HẠN]]-Table1[[#This Row],[I. Nợ ngắn hạn]])/Table1[[#This Row],[TỔNG CỘNG TÀI SẢN]]</f>
        <v>0.26453970567775431</v>
      </c>
      <c r="R1598" s="18">
        <f>Table1[[#This Row],[- LNST chưa phân phối kỳ này]]/Table1[[#This Row],[TỔNG CỘNG TÀI SẢN]]</f>
        <v>0.14745866385827444</v>
      </c>
      <c r="S1598" s="21">
        <f>Table1[[#This Row],[5. Lợi nhuận gộp về bán hàng và cung cấp dịch vụ]]/Table1[[#This Row],[TỔNG CỘNG TÀI SẢN]]</f>
        <v>0.34018097000874059</v>
      </c>
      <c r="T159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3.3098734382284696</v>
      </c>
      <c r="U1598" s="23">
        <f>Table1[[#This Row],[1. Doanh thu bán hàng và cung cấp dịch vụ ]]/Table1[[#This Row],[TỔNG CỘNG TÀI SẢN]]</f>
        <v>1.5156101607833696</v>
      </c>
      <c r="V1598" s="23">
        <f>1.2*Table1[[#This Row],[X1]] + 1.4*Table1[[#This Row],[X2]] + 3.3*Table1[[#This Row],[x3]] + 0.6*Table1[[#This Row],[x4]] + 1*Table1[[#This Row],[x5]]</f>
        <v>5.1480212009641848</v>
      </c>
      <c r="W1598" s="23">
        <f>IF(Table1[[#This Row],[Zscore]]&lt;1.81,1,0)</f>
        <v>0</v>
      </c>
    </row>
    <row r="1599" spans="1:23" x14ac:dyDescent="0.45">
      <c r="A1599" s="7">
        <v>1593</v>
      </c>
      <c r="B1599" s="5" t="s">
        <v>3197</v>
      </c>
      <c r="C1599" s="6" t="s">
        <v>3198</v>
      </c>
      <c r="D1599" s="6" t="s">
        <v>36</v>
      </c>
      <c r="E1599" s="8">
        <v>412796292387</v>
      </c>
      <c r="F1599" s="8">
        <v>398476658985</v>
      </c>
      <c r="G1599" s="8">
        <v>84800336584</v>
      </c>
      <c r="H1599" s="8">
        <v>138794938853</v>
      </c>
      <c r="I1599" s="8">
        <v>329806889789</v>
      </c>
      <c r="J1599" s="8"/>
      <c r="K1599" s="8">
        <v>84800336584</v>
      </c>
      <c r="L1599" s="8">
        <v>1240779848887</v>
      </c>
      <c r="M1599" s="8">
        <v>393281500000</v>
      </c>
      <c r="N1599" s="8">
        <v>869938678000</v>
      </c>
      <c r="O1599" s="8">
        <v>865219300000</v>
      </c>
      <c r="P1599" s="8">
        <v>909266828000</v>
      </c>
      <c r="Q1599" s="18">
        <f>(Table1[[#This Row],[A. TÀI SẢN NGẮN HẠN]]-Table1[[#This Row],[I. Nợ ngắn hạn]])/Table1[[#This Row],[TỔNG CỘNG TÀI SẢN]]</f>
        <v>0.75988163698652067</v>
      </c>
      <c r="R1599" s="18">
        <f>Table1[[#This Row],[- LNST chưa phân phối kỳ này]]/Table1[[#This Row],[TỔNG CỘNG TÀI SẢN]]</f>
        <v>0.33623106944690911</v>
      </c>
      <c r="S1599" s="21">
        <f>Table1[[#This Row],[5. Lợi nhuận gộp về bán hàng và cung cấp dịch vụ]]/Table1[[#This Row],[TỔNG CỘNG TÀI SẢN]]</f>
        <v>0.79895797484489828</v>
      </c>
      <c r="T159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8.9554665357694763</v>
      </c>
      <c r="U1599" s="23">
        <f>Table1[[#This Row],[1. Doanh thu bán hàng và cung cấp dịch vụ ]]/Table1[[#This Row],[TỔNG CỘNG TÀI SẢN]]</f>
        <v>3.0057921346923302</v>
      </c>
      <c r="V1599" s="23">
        <f>1.2*Table1[[#This Row],[X1]] + 1.4*Table1[[#This Row],[X2]] + 3.3*Table1[[#This Row],[x3]] + 0.6*Table1[[#This Row],[x4]] + 1*Table1[[#This Row],[x5]]</f>
        <v>12.398214834751677</v>
      </c>
      <c r="W1599" s="23">
        <f>IF(Table1[[#This Row],[Zscore]]&lt;1.81,1,0)</f>
        <v>0</v>
      </c>
    </row>
    <row r="1600" spans="1:23" ht="26.25" hidden="1" x14ac:dyDescent="0.45">
      <c r="A1600" s="7">
        <v>1594</v>
      </c>
      <c r="B1600" s="5" t="s">
        <v>3199</v>
      </c>
      <c r="C1600" s="6" t="s">
        <v>3200</v>
      </c>
      <c r="D1600" s="6" t="s">
        <v>18</v>
      </c>
      <c r="E1600" s="6"/>
      <c r="F1600" s="6"/>
      <c r="G1600" s="6"/>
      <c r="H1600" s="6"/>
      <c r="I1600" s="6"/>
      <c r="J1600" s="8"/>
      <c r="K1600" s="6"/>
      <c r="L1600" s="6"/>
      <c r="M1600" s="8"/>
      <c r="N1600" s="8"/>
      <c r="O1600" s="8"/>
      <c r="P1600" s="8"/>
      <c r="Q1600" s="18" t="e">
        <f>(Table1[[#This Row],[A. TÀI SẢN NGẮN HẠN]]-Table1[[#This Row],[I. Nợ ngắn hạn]])/Table1[[#This Row],[TỔNG CỘNG TÀI SẢN]]</f>
        <v>#DIV/0!</v>
      </c>
      <c r="R1600" s="18" t="e">
        <f>Table1[[#This Row],[- LNST chưa phân phối kỳ này]]/Table1[[#This Row],[TỔNG CỘNG TÀI SẢN]]</f>
        <v>#DIV/0!</v>
      </c>
      <c r="S1600" s="21" t="e">
        <f>Table1[[#This Row],[5. Lợi nhuận gộp về bán hàng và cung cấp dịch vụ]]/Table1[[#This Row],[TỔNG CỘNG TÀI SẢN]]</f>
        <v>#DIV/0!</v>
      </c>
      <c r="T160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600" s="23" t="e">
        <f>Table1[[#This Row],[1. Doanh thu bán hàng và cung cấp dịch vụ ]]/Table1[[#This Row],[TỔNG CỘNG TÀI SẢN]]</f>
        <v>#DIV/0!</v>
      </c>
      <c r="V1600" s="23" t="e">
        <f>1.2*Table1[[#This Row],[X1]] + 1.4*Table1[[#This Row],[X2]] + 3.3*Table1[[#This Row],[x3]] + 0.6*Table1[[#This Row],[x4]] + 1*Table1[[#This Row],[x5]]</f>
        <v>#DIV/0!</v>
      </c>
      <c r="W1600" s="23" t="e">
        <f>IF(Table1[[#This Row],[Zscore]]&lt;1.81,1,0)</f>
        <v>#DIV/0!</v>
      </c>
    </row>
    <row r="1601" spans="1:23" ht="26.25" hidden="1" x14ac:dyDescent="0.45">
      <c r="A1601" s="7">
        <v>1595</v>
      </c>
      <c r="B1601" s="5" t="s">
        <v>3201</v>
      </c>
      <c r="C1601" s="6" t="s">
        <v>3202</v>
      </c>
      <c r="D1601" s="6" t="s">
        <v>13</v>
      </c>
      <c r="E1601" s="6"/>
      <c r="F1601" s="6"/>
      <c r="G1601" s="6"/>
      <c r="H1601" s="6"/>
      <c r="I1601" s="6"/>
      <c r="J1601" s="8"/>
      <c r="K1601" s="6"/>
      <c r="L1601" s="6"/>
      <c r="M1601" s="8"/>
      <c r="N1601" s="8"/>
      <c r="O1601" s="8"/>
      <c r="P1601" s="8"/>
      <c r="Q1601" s="18" t="e">
        <f>(Table1[[#This Row],[A. TÀI SẢN NGẮN HẠN]]-Table1[[#This Row],[I. Nợ ngắn hạn]])/Table1[[#This Row],[TỔNG CỘNG TÀI SẢN]]</f>
        <v>#DIV/0!</v>
      </c>
      <c r="R1601" s="18" t="e">
        <f>Table1[[#This Row],[- LNST chưa phân phối kỳ này]]/Table1[[#This Row],[TỔNG CỘNG TÀI SẢN]]</f>
        <v>#DIV/0!</v>
      </c>
      <c r="S1601" s="21" t="e">
        <f>Table1[[#This Row],[5. Lợi nhuận gộp về bán hàng và cung cấp dịch vụ]]/Table1[[#This Row],[TỔNG CỘNG TÀI SẢN]]</f>
        <v>#DIV/0!</v>
      </c>
      <c r="T160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601" s="23" t="e">
        <f>Table1[[#This Row],[1. Doanh thu bán hàng và cung cấp dịch vụ ]]/Table1[[#This Row],[TỔNG CỘNG TÀI SẢN]]</f>
        <v>#DIV/0!</v>
      </c>
      <c r="V1601" s="23" t="e">
        <f>1.2*Table1[[#This Row],[X1]] + 1.4*Table1[[#This Row],[X2]] + 3.3*Table1[[#This Row],[x3]] + 0.6*Table1[[#This Row],[x4]] + 1*Table1[[#This Row],[x5]]</f>
        <v>#DIV/0!</v>
      </c>
      <c r="W1601" s="23" t="e">
        <f>IF(Table1[[#This Row],[Zscore]]&lt;1.81,1,0)</f>
        <v>#DIV/0!</v>
      </c>
    </row>
    <row r="1602" spans="1:23" ht="26.25" hidden="1" x14ac:dyDescent="0.45">
      <c r="A1602" s="7">
        <v>1596</v>
      </c>
      <c r="B1602" s="5" t="s">
        <v>3203</v>
      </c>
      <c r="C1602" s="6" t="s">
        <v>3204</v>
      </c>
      <c r="D1602" s="6" t="s">
        <v>13</v>
      </c>
      <c r="E1602" s="6"/>
      <c r="F1602" s="6"/>
      <c r="G1602" s="6"/>
      <c r="H1602" s="6"/>
      <c r="I1602" s="6"/>
      <c r="J1602" s="8"/>
      <c r="K1602" s="6"/>
      <c r="L1602" s="6"/>
      <c r="M1602" s="8"/>
      <c r="N1602" s="8"/>
      <c r="O1602" s="8"/>
      <c r="P1602" s="8"/>
      <c r="Q1602" s="18" t="e">
        <f>(Table1[[#This Row],[A. TÀI SẢN NGẮN HẠN]]-Table1[[#This Row],[I. Nợ ngắn hạn]])/Table1[[#This Row],[TỔNG CỘNG TÀI SẢN]]</f>
        <v>#DIV/0!</v>
      </c>
      <c r="R1602" s="18" t="e">
        <f>Table1[[#This Row],[- LNST chưa phân phối kỳ này]]/Table1[[#This Row],[TỔNG CỘNG TÀI SẢN]]</f>
        <v>#DIV/0!</v>
      </c>
      <c r="S1602" s="21" t="e">
        <f>Table1[[#This Row],[5. Lợi nhuận gộp về bán hàng và cung cấp dịch vụ]]/Table1[[#This Row],[TỔNG CỘNG TÀI SẢN]]</f>
        <v>#DIV/0!</v>
      </c>
      <c r="T160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602" s="23" t="e">
        <f>Table1[[#This Row],[1. Doanh thu bán hàng và cung cấp dịch vụ ]]/Table1[[#This Row],[TỔNG CỘNG TÀI SẢN]]</f>
        <v>#DIV/0!</v>
      </c>
      <c r="V1602" s="23" t="e">
        <f>1.2*Table1[[#This Row],[X1]] + 1.4*Table1[[#This Row],[X2]] + 3.3*Table1[[#This Row],[x3]] + 0.6*Table1[[#This Row],[x4]] + 1*Table1[[#This Row],[x5]]</f>
        <v>#DIV/0!</v>
      </c>
      <c r="W1602" s="23" t="e">
        <f>IF(Table1[[#This Row],[Zscore]]&lt;1.81,1,0)</f>
        <v>#DIV/0!</v>
      </c>
    </row>
    <row r="1603" spans="1:23" ht="26.25" hidden="1" x14ac:dyDescent="0.45">
      <c r="A1603" s="7">
        <v>1597</v>
      </c>
      <c r="B1603" s="5" t="s">
        <v>3205</v>
      </c>
      <c r="C1603" s="6" t="s">
        <v>3206</v>
      </c>
      <c r="D1603" s="6" t="s">
        <v>13</v>
      </c>
      <c r="E1603" s="6"/>
      <c r="F1603" s="6"/>
      <c r="G1603" s="6"/>
      <c r="H1603" s="6"/>
      <c r="I1603" s="6"/>
      <c r="J1603" s="8"/>
      <c r="K1603" s="6"/>
      <c r="L1603" s="6"/>
      <c r="M1603" s="8"/>
      <c r="N1603" s="8"/>
      <c r="O1603" s="8"/>
      <c r="P1603" s="8"/>
      <c r="Q1603" s="18" t="e">
        <f>(Table1[[#This Row],[A. TÀI SẢN NGẮN HẠN]]-Table1[[#This Row],[I. Nợ ngắn hạn]])/Table1[[#This Row],[TỔNG CỘNG TÀI SẢN]]</f>
        <v>#DIV/0!</v>
      </c>
      <c r="R1603" s="18" t="e">
        <f>Table1[[#This Row],[- LNST chưa phân phối kỳ này]]/Table1[[#This Row],[TỔNG CỘNG TÀI SẢN]]</f>
        <v>#DIV/0!</v>
      </c>
      <c r="S1603" s="21" t="e">
        <f>Table1[[#This Row],[5. Lợi nhuận gộp về bán hàng và cung cấp dịch vụ]]/Table1[[#This Row],[TỔNG CỘNG TÀI SẢN]]</f>
        <v>#DIV/0!</v>
      </c>
      <c r="T160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603" s="23" t="e">
        <f>Table1[[#This Row],[1. Doanh thu bán hàng và cung cấp dịch vụ ]]/Table1[[#This Row],[TỔNG CỘNG TÀI SẢN]]</f>
        <v>#DIV/0!</v>
      </c>
      <c r="V1603" s="23" t="e">
        <f>1.2*Table1[[#This Row],[X1]] + 1.4*Table1[[#This Row],[X2]] + 3.3*Table1[[#This Row],[x3]] + 0.6*Table1[[#This Row],[x4]] + 1*Table1[[#This Row],[x5]]</f>
        <v>#DIV/0!</v>
      </c>
      <c r="W1603" s="23" t="e">
        <f>IF(Table1[[#This Row],[Zscore]]&lt;1.81,1,0)</f>
        <v>#DIV/0!</v>
      </c>
    </row>
    <row r="1604" spans="1:23" ht="26.25" x14ac:dyDescent="0.45">
      <c r="A1604" s="7">
        <v>1598</v>
      </c>
      <c r="B1604" s="5" t="s">
        <v>3207</v>
      </c>
      <c r="C1604" s="6" t="s">
        <v>3208</v>
      </c>
      <c r="D1604" s="6" t="s">
        <v>21</v>
      </c>
      <c r="E1604" s="8">
        <v>1029174638982</v>
      </c>
      <c r="F1604" s="8">
        <v>162750379563</v>
      </c>
      <c r="G1604" s="8">
        <v>277917176535</v>
      </c>
      <c r="H1604" s="8">
        <v>78940102487</v>
      </c>
      <c r="I1604" s="8">
        <v>115942405833</v>
      </c>
      <c r="J1604" s="8"/>
      <c r="K1604" s="8">
        <v>434221476674</v>
      </c>
      <c r="L1604" s="8">
        <v>294787948069</v>
      </c>
      <c r="M1604" s="8">
        <v>1135285164000</v>
      </c>
      <c r="N1604" s="8">
        <v>770178587650</v>
      </c>
      <c r="O1604" s="8">
        <v>988841278150</v>
      </c>
      <c r="P1604" s="8">
        <v>1086024696150</v>
      </c>
      <c r="Q1604" s="18">
        <f>(Table1[[#This Row],[A. TÀI SẢN NGẮN HẠN]]-Table1[[#This Row],[I. Nợ ngắn hạn]])/Table1[[#This Row],[TỔNG CỘNG TÀI SẢN]]</f>
        <v>-0.11190209378450711</v>
      </c>
      <c r="R1604" s="18">
        <f>Table1[[#This Row],[- LNST chưa phân phối kỳ này]]/Table1[[#This Row],[TỔNG CỘNG TÀI SẢN]]</f>
        <v>7.670233942519511E-2</v>
      </c>
      <c r="S1604" s="21">
        <f>Table1[[#This Row],[5. Lợi nhuận gộp về bán hàng và cung cấp dịch vụ]]/Table1[[#This Row],[TỔNG CỘNG TÀI SẢN]]</f>
        <v>0.1126557159897406</v>
      </c>
      <c r="T160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2.2916472006624788</v>
      </c>
      <c r="U1604" s="23">
        <f>Table1[[#This Row],[1. Doanh thu bán hàng và cung cấp dịch vụ ]]/Table1[[#This Row],[TỔNG CỘNG TÀI SẢN]]</f>
        <v>0.28643141494487967</v>
      </c>
      <c r="V1604" s="23">
        <f>1.2*Table1[[#This Row],[X1]] + 1.4*Table1[[#This Row],[X2]] + 3.3*Table1[[#This Row],[x3]] + 0.6*Table1[[#This Row],[x4]] + 1*Table1[[#This Row],[x5]]</f>
        <v>2.0062843607623755</v>
      </c>
      <c r="W1604" s="23">
        <f>IF(Table1[[#This Row],[Zscore]]&lt;1.81,1,0)</f>
        <v>0</v>
      </c>
    </row>
    <row r="1605" spans="1:23" hidden="1" x14ac:dyDescent="0.45">
      <c r="A1605" s="7">
        <v>1599</v>
      </c>
      <c r="B1605" s="5" t="s">
        <v>3209</v>
      </c>
      <c r="C1605" s="6" t="s">
        <v>3210</v>
      </c>
      <c r="D1605" s="6" t="s">
        <v>13</v>
      </c>
      <c r="E1605" s="6"/>
      <c r="F1605" s="6"/>
      <c r="G1605" s="6"/>
      <c r="H1605" s="6"/>
      <c r="I1605" s="6"/>
      <c r="J1605" s="8"/>
      <c r="K1605" s="6"/>
      <c r="L1605" s="6"/>
      <c r="M1605" s="8"/>
      <c r="N1605" s="8"/>
      <c r="O1605" s="8"/>
      <c r="P1605" s="8"/>
      <c r="Q1605" s="18" t="e">
        <f>(Table1[[#This Row],[A. TÀI SẢN NGẮN HẠN]]-Table1[[#This Row],[I. Nợ ngắn hạn]])/Table1[[#This Row],[TỔNG CỘNG TÀI SẢN]]</f>
        <v>#DIV/0!</v>
      </c>
      <c r="R1605" s="18" t="e">
        <f>Table1[[#This Row],[- LNST chưa phân phối kỳ này]]/Table1[[#This Row],[TỔNG CỘNG TÀI SẢN]]</f>
        <v>#DIV/0!</v>
      </c>
      <c r="S1605" s="21" t="e">
        <f>Table1[[#This Row],[5. Lợi nhuận gộp về bán hàng và cung cấp dịch vụ]]/Table1[[#This Row],[TỔNG CỘNG TÀI SẢN]]</f>
        <v>#DIV/0!</v>
      </c>
      <c r="T160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605" s="23" t="e">
        <f>Table1[[#This Row],[1. Doanh thu bán hàng và cung cấp dịch vụ ]]/Table1[[#This Row],[TỔNG CỘNG TÀI SẢN]]</f>
        <v>#DIV/0!</v>
      </c>
      <c r="V1605" s="23" t="e">
        <f>1.2*Table1[[#This Row],[X1]] + 1.4*Table1[[#This Row],[X2]] + 3.3*Table1[[#This Row],[x3]] + 0.6*Table1[[#This Row],[x4]] + 1*Table1[[#This Row],[x5]]</f>
        <v>#DIV/0!</v>
      </c>
      <c r="W1605" s="23" t="e">
        <f>IF(Table1[[#This Row],[Zscore]]&lt;1.81,1,0)</f>
        <v>#DIV/0!</v>
      </c>
    </row>
    <row r="1606" spans="1:23" ht="26.25" hidden="1" x14ac:dyDescent="0.45">
      <c r="A1606" s="7">
        <v>1600</v>
      </c>
      <c r="B1606" s="5" t="s">
        <v>3211</v>
      </c>
      <c r="C1606" s="6" t="s">
        <v>3212</v>
      </c>
      <c r="D1606" s="6" t="s">
        <v>13</v>
      </c>
      <c r="E1606" s="6"/>
      <c r="F1606" s="6"/>
      <c r="G1606" s="6"/>
      <c r="H1606" s="6"/>
      <c r="I1606" s="6"/>
      <c r="J1606" s="8"/>
      <c r="K1606" s="6"/>
      <c r="L1606" s="6"/>
      <c r="M1606" s="8"/>
      <c r="N1606" s="8"/>
      <c r="O1606" s="8"/>
      <c r="P1606" s="8"/>
      <c r="Q1606" s="18" t="e">
        <f>(Table1[[#This Row],[A. TÀI SẢN NGẮN HẠN]]-Table1[[#This Row],[I. Nợ ngắn hạn]])/Table1[[#This Row],[TỔNG CỘNG TÀI SẢN]]</f>
        <v>#DIV/0!</v>
      </c>
      <c r="R1606" s="18" t="e">
        <f>Table1[[#This Row],[- LNST chưa phân phối kỳ này]]/Table1[[#This Row],[TỔNG CỘNG TÀI SẢN]]</f>
        <v>#DIV/0!</v>
      </c>
      <c r="S1606" s="21" t="e">
        <f>Table1[[#This Row],[5. Lợi nhuận gộp về bán hàng và cung cấp dịch vụ]]/Table1[[#This Row],[TỔNG CỘNG TÀI SẢN]]</f>
        <v>#DIV/0!</v>
      </c>
      <c r="T160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606" s="23" t="e">
        <f>Table1[[#This Row],[1. Doanh thu bán hàng và cung cấp dịch vụ ]]/Table1[[#This Row],[TỔNG CỘNG TÀI SẢN]]</f>
        <v>#DIV/0!</v>
      </c>
      <c r="V1606" s="23" t="e">
        <f>1.2*Table1[[#This Row],[X1]] + 1.4*Table1[[#This Row],[X2]] + 3.3*Table1[[#This Row],[x3]] + 0.6*Table1[[#This Row],[x4]] + 1*Table1[[#This Row],[x5]]</f>
        <v>#DIV/0!</v>
      </c>
      <c r="W1606" s="23" t="e">
        <f>IF(Table1[[#This Row],[Zscore]]&lt;1.81,1,0)</f>
        <v>#DIV/0!</v>
      </c>
    </row>
    <row r="1607" spans="1:23" ht="26.25" hidden="1" x14ac:dyDescent="0.45">
      <c r="A1607" s="7">
        <v>1601</v>
      </c>
      <c r="B1607" s="5" t="s">
        <v>3213</v>
      </c>
      <c r="C1607" s="6" t="s">
        <v>3214</v>
      </c>
      <c r="D1607" s="6" t="s">
        <v>13</v>
      </c>
      <c r="E1607" s="6"/>
      <c r="F1607" s="6"/>
      <c r="G1607" s="6"/>
      <c r="H1607" s="6"/>
      <c r="I1607" s="6"/>
      <c r="J1607" s="8"/>
      <c r="K1607" s="6"/>
      <c r="L1607" s="6"/>
      <c r="M1607" s="8"/>
      <c r="N1607" s="8"/>
      <c r="O1607" s="8"/>
      <c r="P1607" s="8"/>
      <c r="Q1607" s="18" t="e">
        <f>(Table1[[#This Row],[A. TÀI SẢN NGẮN HẠN]]-Table1[[#This Row],[I. Nợ ngắn hạn]])/Table1[[#This Row],[TỔNG CỘNG TÀI SẢN]]</f>
        <v>#DIV/0!</v>
      </c>
      <c r="R1607" s="18" t="e">
        <f>Table1[[#This Row],[- LNST chưa phân phối kỳ này]]/Table1[[#This Row],[TỔNG CỘNG TÀI SẢN]]</f>
        <v>#DIV/0!</v>
      </c>
      <c r="S1607" s="21" t="e">
        <f>Table1[[#This Row],[5. Lợi nhuận gộp về bán hàng và cung cấp dịch vụ]]/Table1[[#This Row],[TỔNG CỘNG TÀI SẢN]]</f>
        <v>#DIV/0!</v>
      </c>
      <c r="T160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607" s="23" t="e">
        <f>Table1[[#This Row],[1. Doanh thu bán hàng và cung cấp dịch vụ ]]/Table1[[#This Row],[TỔNG CỘNG TÀI SẢN]]</f>
        <v>#DIV/0!</v>
      </c>
      <c r="V1607" s="23" t="e">
        <f>1.2*Table1[[#This Row],[X1]] + 1.4*Table1[[#This Row],[X2]] + 3.3*Table1[[#This Row],[x3]] + 0.6*Table1[[#This Row],[x4]] + 1*Table1[[#This Row],[x5]]</f>
        <v>#DIV/0!</v>
      </c>
      <c r="W1607" s="23" t="e">
        <f>IF(Table1[[#This Row],[Zscore]]&lt;1.81,1,0)</f>
        <v>#DIV/0!</v>
      </c>
    </row>
    <row r="1608" spans="1:23" hidden="1" x14ac:dyDescent="0.45">
      <c r="A1608" s="7">
        <v>1602</v>
      </c>
      <c r="B1608" s="5" t="s">
        <v>3215</v>
      </c>
      <c r="C1608" s="6" t="s">
        <v>3216</v>
      </c>
      <c r="D1608" s="6" t="s">
        <v>13</v>
      </c>
      <c r="E1608" s="6"/>
      <c r="F1608" s="6"/>
      <c r="G1608" s="6"/>
      <c r="H1608" s="6"/>
      <c r="I1608" s="6"/>
      <c r="J1608" s="8"/>
      <c r="K1608" s="6"/>
      <c r="L1608" s="6"/>
      <c r="M1608" s="8"/>
      <c r="N1608" s="8"/>
      <c r="O1608" s="8"/>
      <c r="P1608" s="8"/>
      <c r="Q1608" s="18" t="e">
        <f>(Table1[[#This Row],[A. TÀI SẢN NGẮN HẠN]]-Table1[[#This Row],[I. Nợ ngắn hạn]])/Table1[[#This Row],[TỔNG CỘNG TÀI SẢN]]</f>
        <v>#DIV/0!</v>
      </c>
      <c r="R1608" s="18" t="e">
        <f>Table1[[#This Row],[- LNST chưa phân phối kỳ này]]/Table1[[#This Row],[TỔNG CỘNG TÀI SẢN]]</f>
        <v>#DIV/0!</v>
      </c>
      <c r="S1608" s="21" t="e">
        <f>Table1[[#This Row],[5. Lợi nhuận gộp về bán hàng và cung cấp dịch vụ]]/Table1[[#This Row],[TỔNG CỘNG TÀI SẢN]]</f>
        <v>#DIV/0!</v>
      </c>
      <c r="T160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608" s="23" t="e">
        <f>Table1[[#This Row],[1. Doanh thu bán hàng và cung cấp dịch vụ ]]/Table1[[#This Row],[TỔNG CỘNG TÀI SẢN]]</f>
        <v>#DIV/0!</v>
      </c>
      <c r="V1608" s="23" t="e">
        <f>1.2*Table1[[#This Row],[X1]] + 1.4*Table1[[#This Row],[X2]] + 3.3*Table1[[#This Row],[x3]] + 0.6*Table1[[#This Row],[x4]] + 1*Table1[[#This Row],[x5]]</f>
        <v>#DIV/0!</v>
      </c>
      <c r="W1608" s="23" t="e">
        <f>IF(Table1[[#This Row],[Zscore]]&lt;1.81,1,0)</f>
        <v>#DIV/0!</v>
      </c>
    </row>
    <row r="1609" spans="1:23" x14ac:dyDescent="0.45">
      <c r="A1609" s="7">
        <v>1603</v>
      </c>
      <c r="B1609" s="5" t="s">
        <v>3217</v>
      </c>
      <c r="C1609" s="6" t="s">
        <v>3218</v>
      </c>
      <c r="D1609" s="6" t="s">
        <v>36</v>
      </c>
      <c r="E1609" s="8">
        <v>87069326239</v>
      </c>
      <c r="F1609" s="8">
        <v>23116837922</v>
      </c>
      <c r="G1609" s="8">
        <v>12907521451</v>
      </c>
      <c r="H1609" s="8">
        <v>5295842280</v>
      </c>
      <c r="I1609" s="8">
        <v>9729988315</v>
      </c>
      <c r="J1609" s="8"/>
      <c r="K1609" s="8">
        <v>26415787226</v>
      </c>
      <c r="L1609" s="8">
        <v>98890932401</v>
      </c>
      <c r="M1609" s="8">
        <v>78775937800</v>
      </c>
      <c r="N1609" s="8">
        <v>66913924000</v>
      </c>
      <c r="O1609" s="8">
        <v>55051910200</v>
      </c>
      <c r="P1609" s="8">
        <v>55051910200</v>
      </c>
      <c r="Q1609" s="18">
        <f>(Table1[[#This Row],[A. TÀI SẢN NGẮN HẠN]]-Table1[[#This Row],[I. Nợ ngắn hạn]])/Table1[[#This Row],[TỔNG CỘNG TÀI SẢN]]</f>
        <v>0.11725503012365167</v>
      </c>
      <c r="R1609" s="18">
        <f>Table1[[#This Row],[- LNST chưa phân phối kỳ này]]/Table1[[#This Row],[TỔNG CỘNG TÀI SẢN]]</f>
        <v>6.0823283109636514E-2</v>
      </c>
      <c r="S1609" s="21">
        <f>Table1[[#This Row],[5. Lợi nhuận gộp về bán hàng và cung cấp dịch vụ]]/Table1[[#This Row],[TỔNG CỘNG TÀI SẢN]]</f>
        <v>0.11174989787209073</v>
      </c>
      <c r="T160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2.4208409918996523</v>
      </c>
      <c r="U1609" s="23">
        <f>Table1[[#This Row],[1. Doanh thu bán hàng và cung cấp dịch vụ ]]/Table1[[#This Row],[TỔNG CỘNG TÀI SẢN]]</f>
        <v>1.1357723399575921</v>
      </c>
      <c r="V1609" s="23">
        <f>1.2*Table1[[#This Row],[X1]] + 1.4*Table1[[#This Row],[X2]] + 3.3*Table1[[#This Row],[x3]] + 0.6*Table1[[#This Row],[x4]] + 1*Table1[[#This Row],[x5]]</f>
        <v>3.1829102305771557</v>
      </c>
      <c r="W1609" s="23">
        <f>IF(Table1[[#This Row],[Zscore]]&lt;1.81,1,0)</f>
        <v>0</v>
      </c>
    </row>
    <row r="1610" spans="1:23" x14ac:dyDescent="0.45">
      <c r="A1610" s="7">
        <v>1604</v>
      </c>
      <c r="B1610" s="5" t="s">
        <v>3219</v>
      </c>
      <c r="C1610" s="6" t="s">
        <v>3220</v>
      </c>
      <c r="D1610" s="6" t="s">
        <v>21</v>
      </c>
      <c r="E1610" s="8">
        <v>2529200260462</v>
      </c>
      <c r="F1610" s="8">
        <v>1108594044712</v>
      </c>
      <c r="G1610" s="8">
        <v>608751653213</v>
      </c>
      <c r="H1610" s="8">
        <v>119565060029</v>
      </c>
      <c r="I1610" s="8">
        <v>399122768149</v>
      </c>
      <c r="J1610" s="8"/>
      <c r="K1610" s="8">
        <v>703597445053</v>
      </c>
      <c r="L1610" s="8">
        <v>2313527757468</v>
      </c>
      <c r="M1610" s="8">
        <v>958372000000</v>
      </c>
      <c r="N1610" s="8">
        <v>1304734200000</v>
      </c>
      <c r="O1610" s="8">
        <v>750664000000</v>
      </c>
      <c r="P1610" s="8">
        <v>1383809000000</v>
      </c>
      <c r="Q1610" s="18">
        <f>(Table1[[#This Row],[A. TÀI SẢN NGẮN HẠN]]-Table1[[#This Row],[I. Nợ ngắn hạn]])/Table1[[#This Row],[TỔNG CỘNG TÀI SẢN]]</f>
        <v>0.19762863356960733</v>
      </c>
      <c r="R1610" s="18">
        <f>Table1[[#This Row],[- LNST chưa phân phối kỳ này]]/Table1[[#This Row],[TỔNG CỘNG TÀI SẢN]]</f>
        <v>4.7273860396945977E-2</v>
      </c>
      <c r="S1610" s="21">
        <f>Table1[[#This Row],[5. Lợi nhuận gộp về bán hàng và cung cấp dịch vụ]]/Table1[[#This Row],[TỔNG CỘNG TÀI SẢN]]</f>
        <v>0.15780591769988733</v>
      </c>
      <c r="T161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1.5625338149390036</v>
      </c>
      <c r="U1610" s="23">
        <f>Table1[[#This Row],[1. Doanh thu bán hàng và cung cấp dịch vụ ]]/Table1[[#This Row],[TỔNG CỘNG TÀI SẢN]]</f>
        <v>0.91472699636896138</v>
      </c>
      <c r="V1610" s="23">
        <f>1.2*Table1[[#This Row],[X1]] + 1.4*Table1[[#This Row],[X2]] + 3.3*Table1[[#This Row],[x3]] + 0.6*Table1[[#This Row],[x4]] + 1*Table1[[#This Row],[x5]]</f>
        <v>2.676344578581245</v>
      </c>
      <c r="W1610" s="23">
        <f>IF(Table1[[#This Row],[Zscore]]&lt;1.81,1,0)</f>
        <v>0</v>
      </c>
    </row>
    <row r="1611" spans="1:23" ht="26.25" hidden="1" x14ac:dyDescent="0.45">
      <c r="A1611" s="7">
        <v>1605</v>
      </c>
      <c r="B1611" s="5" t="s">
        <v>3221</v>
      </c>
      <c r="C1611" s="6" t="s">
        <v>3222</v>
      </c>
      <c r="D1611" s="6" t="s">
        <v>13</v>
      </c>
      <c r="E1611" s="6"/>
      <c r="F1611" s="6"/>
      <c r="G1611" s="6"/>
      <c r="H1611" s="6"/>
      <c r="I1611" s="6"/>
      <c r="J1611" s="8"/>
      <c r="K1611" s="6"/>
      <c r="L1611" s="6"/>
      <c r="M1611" s="8"/>
      <c r="N1611" s="8"/>
      <c r="O1611" s="8"/>
      <c r="P1611" s="8"/>
      <c r="Q1611" s="18" t="e">
        <f>(Table1[[#This Row],[A. TÀI SẢN NGẮN HẠN]]-Table1[[#This Row],[I. Nợ ngắn hạn]])/Table1[[#This Row],[TỔNG CỘNG TÀI SẢN]]</f>
        <v>#DIV/0!</v>
      </c>
      <c r="R1611" s="18" t="e">
        <f>Table1[[#This Row],[- LNST chưa phân phối kỳ này]]/Table1[[#This Row],[TỔNG CỘNG TÀI SẢN]]</f>
        <v>#DIV/0!</v>
      </c>
      <c r="S1611" s="21" t="e">
        <f>Table1[[#This Row],[5. Lợi nhuận gộp về bán hàng và cung cấp dịch vụ]]/Table1[[#This Row],[TỔNG CỘNG TÀI SẢN]]</f>
        <v>#DIV/0!</v>
      </c>
      <c r="T161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611" s="23" t="e">
        <f>Table1[[#This Row],[1. Doanh thu bán hàng và cung cấp dịch vụ ]]/Table1[[#This Row],[TỔNG CỘNG TÀI SẢN]]</f>
        <v>#DIV/0!</v>
      </c>
      <c r="V1611" s="23" t="e">
        <f>1.2*Table1[[#This Row],[X1]] + 1.4*Table1[[#This Row],[X2]] + 3.3*Table1[[#This Row],[x3]] + 0.6*Table1[[#This Row],[x4]] + 1*Table1[[#This Row],[x5]]</f>
        <v>#DIV/0!</v>
      </c>
      <c r="W1611" s="23" t="e">
        <f>IF(Table1[[#This Row],[Zscore]]&lt;1.81,1,0)</f>
        <v>#DIV/0!</v>
      </c>
    </row>
    <row r="1612" spans="1:23" hidden="1" x14ac:dyDescent="0.45">
      <c r="A1612" s="7">
        <v>1606</v>
      </c>
      <c r="B1612" s="5" t="s">
        <v>3223</v>
      </c>
      <c r="C1612" s="6" t="s">
        <v>3224</v>
      </c>
      <c r="D1612" s="6" t="s">
        <v>13</v>
      </c>
      <c r="E1612" s="6"/>
      <c r="F1612" s="6"/>
      <c r="G1612" s="6"/>
      <c r="H1612" s="6"/>
      <c r="I1612" s="6"/>
      <c r="J1612" s="8"/>
      <c r="K1612" s="6"/>
      <c r="L1612" s="6"/>
      <c r="M1612" s="8"/>
      <c r="N1612" s="8"/>
      <c r="O1612" s="8"/>
      <c r="P1612" s="8"/>
      <c r="Q1612" s="18" t="e">
        <f>(Table1[[#This Row],[A. TÀI SẢN NGẮN HẠN]]-Table1[[#This Row],[I. Nợ ngắn hạn]])/Table1[[#This Row],[TỔNG CỘNG TÀI SẢN]]</f>
        <v>#DIV/0!</v>
      </c>
      <c r="R1612" s="18" t="e">
        <f>Table1[[#This Row],[- LNST chưa phân phối kỳ này]]/Table1[[#This Row],[TỔNG CỘNG TÀI SẢN]]</f>
        <v>#DIV/0!</v>
      </c>
      <c r="S1612" s="21" t="e">
        <f>Table1[[#This Row],[5. Lợi nhuận gộp về bán hàng và cung cấp dịch vụ]]/Table1[[#This Row],[TỔNG CỘNG TÀI SẢN]]</f>
        <v>#DIV/0!</v>
      </c>
      <c r="T161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612" s="23" t="e">
        <f>Table1[[#This Row],[1. Doanh thu bán hàng và cung cấp dịch vụ ]]/Table1[[#This Row],[TỔNG CỘNG TÀI SẢN]]</f>
        <v>#DIV/0!</v>
      </c>
      <c r="V1612" s="23" t="e">
        <f>1.2*Table1[[#This Row],[X1]] + 1.4*Table1[[#This Row],[X2]] + 3.3*Table1[[#This Row],[x3]] + 0.6*Table1[[#This Row],[x4]] + 1*Table1[[#This Row],[x5]]</f>
        <v>#DIV/0!</v>
      </c>
      <c r="W1612" s="23" t="e">
        <f>IF(Table1[[#This Row],[Zscore]]&lt;1.81,1,0)</f>
        <v>#DIV/0!</v>
      </c>
    </row>
    <row r="1613" spans="1:23" hidden="1" x14ac:dyDescent="0.45">
      <c r="A1613" s="7">
        <v>1607</v>
      </c>
      <c r="B1613" s="5" t="s">
        <v>3225</v>
      </c>
      <c r="C1613" s="6" t="s">
        <v>3226</v>
      </c>
      <c r="D1613" s="6" t="s">
        <v>13</v>
      </c>
      <c r="E1613" s="6"/>
      <c r="F1613" s="6"/>
      <c r="G1613" s="6"/>
      <c r="H1613" s="6"/>
      <c r="I1613" s="6"/>
      <c r="J1613" s="8"/>
      <c r="K1613" s="6"/>
      <c r="L1613" s="6"/>
      <c r="M1613" s="8"/>
      <c r="N1613" s="8"/>
      <c r="O1613" s="8"/>
      <c r="P1613" s="8"/>
      <c r="Q1613" s="18" t="e">
        <f>(Table1[[#This Row],[A. TÀI SẢN NGẮN HẠN]]-Table1[[#This Row],[I. Nợ ngắn hạn]])/Table1[[#This Row],[TỔNG CỘNG TÀI SẢN]]</f>
        <v>#DIV/0!</v>
      </c>
      <c r="R1613" s="18" t="e">
        <f>Table1[[#This Row],[- LNST chưa phân phối kỳ này]]/Table1[[#This Row],[TỔNG CỘNG TÀI SẢN]]</f>
        <v>#DIV/0!</v>
      </c>
      <c r="S1613" s="21" t="e">
        <f>Table1[[#This Row],[5. Lợi nhuận gộp về bán hàng và cung cấp dịch vụ]]/Table1[[#This Row],[TỔNG CỘNG TÀI SẢN]]</f>
        <v>#DIV/0!</v>
      </c>
      <c r="T161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613" s="23" t="e">
        <f>Table1[[#This Row],[1. Doanh thu bán hàng và cung cấp dịch vụ ]]/Table1[[#This Row],[TỔNG CỘNG TÀI SẢN]]</f>
        <v>#DIV/0!</v>
      </c>
      <c r="V1613" s="23" t="e">
        <f>1.2*Table1[[#This Row],[X1]] + 1.4*Table1[[#This Row],[X2]] + 3.3*Table1[[#This Row],[x3]] + 0.6*Table1[[#This Row],[x4]] + 1*Table1[[#This Row],[x5]]</f>
        <v>#DIV/0!</v>
      </c>
      <c r="W1613" s="23" t="e">
        <f>IF(Table1[[#This Row],[Zscore]]&lt;1.81,1,0)</f>
        <v>#DIV/0!</v>
      </c>
    </row>
    <row r="1614" spans="1:23" ht="26.25" hidden="1" x14ac:dyDescent="0.45">
      <c r="A1614" s="7">
        <v>1608</v>
      </c>
      <c r="B1614" s="5" t="s">
        <v>3227</v>
      </c>
      <c r="C1614" s="6" t="s">
        <v>3228</v>
      </c>
      <c r="D1614" s="6" t="s">
        <v>18</v>
      </c>
      <c r="E1614" s="6"/>
      <c r="F1614" s="6"/>
      <c r="G1614" s="6"/>
      <c r="H1614" s="6"/>
      <c r="I1614" s="6"/>
      <c r="J1614" s="8"/>
      <c r="K1614" s="6"/>
      <c r="L1614" s="6"/>
      <c r="M1614" s="8"/>
      <c r="N1614" s="8"/>
      <c r="O1614" s="8"/>
      <c r="P1614" s="8"/>
      <c r="Q1614" s="18" t="e">
        <f>(Table1[[#This Row],[A. TÀI SẢN NGẮN HẠN]]-Table1[[#This Row],[I. Nợ ngắn hạn]])/Table1[[#This Row],[TỔNG CỘNG TÀI SẢN]]</f>
        <v>#DIV/0!</v>
      </c>
      <c r="R1614" s="18" t="e">
        <f>Table1[[#This Row],[- LNST chưa phân phối kỳ này]]/Table1[[#This Row],[TỔNG CỘNG TÀI SẢN]]</f>
        <v>#DIV/0!</v>
      </c>
      <c r="S1614" s="21" t="e">
        <f>Table1[[#This Row],[5. Lợi nhuận gộp về bán hàng và cung cấp dịch vụ]]/Table1[[#This Row],[TỔNG CỘNG TÀI SẢN]]</f>
        <v>#DIV/0!</v>
      </c>
      <c r="T161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614" s="23" t="e">
        <f>Table1[[#This Row],[1. Doanh thu bán hàng và cung cấp dịch vụ ]]/Table1[[#This Row],[TỔNG CỘNG TÀI SẢN]]</f>
        <v>#DIV/0!</v>
      </c>
      <c r="V1614" s="23" t="e">
        <f>1.2*Table1[[#This Row],[X1]] + 1.4*Table1[[#This Row],[X2]] + 3.3*Table1[[#This Row],[x3]] + 0.6*Table1[[#This Row],[x4]] + 1*Table1[[#This Row],[x5]]</f>
        <v>#DIV/0!</v>
      </c>
      <c r="W1614" s="23" t="e">
        <f>IF(Table1[[#This Row],[Zscore]]&lt;1.81,1,0)</f>
        <v>#DIV/0!</v>
      </c>
    </row>
    <row r="1615" spans="1:23" hidden="1" x14ac:dyDescent="0.45">
      <c r="A1615" s="7">
        <v>1609</v>
      </c>
      <c r="B1615" s="5" t="s">
        <v>3229</v>
      </c>
      <c r="C1615" s="6" t="s">
        <v>3230</v>
      </c>
      <c r="D1615" s="6" t="s">
        <v>13</v>
      </c>
      <c r="E1615" s="6"/>
      <c r="F1615" s="6"/>
      <c r="G1615" s="6"/>
      <c r="H1615" s="6"/>
      <c r="I1615" s="6"/>
      <c r="J1615" s="8"/>
      <c r="K1615" s="6"/>
      <c r="L1615" s="6"/>
      <c r="M1615" s="8"/>
      <c r="N1615" s="8"/>
      <c r="O1615" s="8"/>
      <c r="P1615" s="8"/>
      <c r="Q1615" s="18" t="e">
        <f>(Table1[[#This Row],[A. TÀI SẢN NGẮN HẠN]]-Table1[[#This Row],[I. Nợ ngắn hạn]])/Table1[[#This Row],[TỔNG CỘNG TÀI SẢN]]</f>
        <v>#DIV/0!</v>
      </c>
      <c r="R1615" s="18" t="e">
        <f>Table1[[#This Row],[- LNST chưa phân phối kỳ này]]/Table1[[#This Row],[TỔNG CỘNG TÀI SẢN]]</f>
        <v>#DIV/0!</v>
      </c>
      <c r="S1615" s="21" t="e">
        <f>Table1[[#This Row],[5. Lợi nhuận gộp về bán hàng và cung cấp dịch vụ]]/Table1[[#This Row],[TỔNG CỘNG TÀI SẢN]]</f>
        <v>#DIV/0!</v>
      </c>
      <c r="T161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615" s="23" t="e">
        <f>Table1[[#This Row],[1. Doanh thu bán hàng và cung cấp dịch vụ ]]/Table1[[#This Row],[TỔNG CỘNG TÀI SẢN]]</f>
        <v>#DIV/0!</v>
      </c>
      <c r="V1615" s="23" t="e">
        <f>1.2*Table1[[#This Row],[X1]] + 1.4*Table1[[#This Row],[X2]] + 3.3*Table1[[#This Row],[x3]] + 0.6*Table1[[#This Row],[x4]] + 1*Table1[[#This Row],[x5]]</f>
        <v>#DIV/0!</v>
      </c>
      <c r="W1615" s="23" t="e">
        <f>IF(Table1[[#This Row],[Zscore]]&lt;1.81,1,0)</f>
        <v>#DIV/0!</v>
      </c>
    </row>
    <row r="1616" spans="1:23" ht="26.25" x14ac:dyDescent="0.45">
      <c r="A1616" s="7">
        <v>1610</v>
      </c>
      <c r="B1616" s="5" t="s">
        <v>3231</v>
      </c>
      <c r="C1616" s="6" t="s">
        <v>3232</v>
      </c>
      <c r="D1616" s="6" t="s">
        <v>21</v>
      </c>
      <c r="E1616" s="8">
        <v>538784639422</v>
      </c>
      <c r="F1616" s="8">
        <v>272854450628</v>
      </c>
      <c r="G1616" s="8">
        <v>103254377978</v>
      </c>
      <c r="H1616" s="8">
        <v>46343622948</v>
      </c>
      <c r="I1616" s="8">
        <v>92090705068</v>
      </c>
      <c r="J1616" s="8"/>
      <c r="K1616" s="8">
        <v>141210440346</v>
      </c>
      <c r="L1616" s="8">
        <v>386331092928</v>
      </c>
      <c r="M1616" s="8">
        <v>264040678000</v>
      </c>
      <c r="N1616" s="8">
        <v>262840493100</v>
      </c>
      <c r="O1616" s="8">
        <v>252038829000</v>
      </c>
      <c r="P1616" s="8">
        <v>250838644100</v>
      </c>
      <c r="Q1616" s="18">
        <f>(Table1[[#This Row],[A. TÀI SẢN NGẮN HẠN]]-Table1[[#This Row],[I. Nợ ngắn hạn]])/Table1[[#This Row],[TỔNG CỘNG TÀI SẢN]]</f>
        <v>0.31478267983278885</v>
      </c>
      <c r="R1616" s="18">
        <f>Table1[[#This Row],[- LNST chưa phân phối kỳ này]]/Table1[[#This Row],[TỔNG CỘNG TÀI SẢN]]</f>
        <v>8.6015115422957741E-2</v>
      </c>
      <c r="S1616" s="21">
        <f>Table1[[#This Row],[5. Lợi nhuận gộp về bán hàng và cung cấp dịch vụ]]/Table1[[#This Row],[TỔNG CỘNG TÀI SẢN]]</f>
        <v>0.17092303367592943</v>
      </c>
      <c r="T161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1.823092261586396</v>
      </c>
      <c r="U1616" s="23">
        <f>Table1[[#This Row],[1. Doanh thu bán hàng và cung cấp dịch vụ ]]/Table1[[#This Row],[TỔNG CỘNG TÀI SẢN]]</f>
        <v>0.71704177265047897</v>
      </c>
      <c r="V1616" s="23">
        <f>1.2*Table1[[#This Row],[X1]] + 1.4*Table1[[#This Row],[X2]] + 3.3*Table1[[#This Row],[x3]] + 0.6*Table1[[#This Row],[x4]] + 1*Table1[[#This Row],[x5]]</f>
        <v>2.8731035181243714</v>
      </c>
      <c r="W1616" s="23">
        <f>IF(Table1[[#This Row],[Zscore]]&lt;1.81,1,0)</f>
        <v>0</v>
      </c>
    </row>
    <row r="1617" spans="1:23" ht="26.25" hidden="1" x14ac:dyDescent="0.45">
      <c r="A1617" s="7">
        <v>1611</v>
      </c>
      <c r="B1617" s="5" t="s">
        <v>3233</v>
      </c>
      <c r="C1617" s="6" t="s">
        <v>3234</v>
      </c>
      <c r="D1617" s="6" t="s">
        <v>13</v>
      </c>
      <c r="E1617" s="6"/>
      <c r="F1617" s="6"/>
      <c r="G1617" s="6"/>
      <c r="H1617" s="6"/>
      <c r="I1617" s="6"/>
      <c r="J1617" s="8"/>
      <c r="K1617" s="6"/>
      <c r="L1617" s="6"/>
      <c r="M1617" s="8"/>
      <c r="N1617" s="8"/>
      <c r="O1617" s="8"/>
      <c r="P1617" s="8"/>
      <c r="Q1617" s="18" t="e">
        <f>(Table1[[#This Row],[A. TÀI SẢN NGẮN HẠN]]-Table1[[#This Row],[I. Nợ ngắn hạn]])/Table1[[#This Row],[TỔNG CỘNG TÀI SẢN]]</f>
        <v>#DIV/0!</v>
      </c>
      <c r="R1617" s="18" t="e">
        <f>Table1[[#This Row],[- LNST chưa phân phối kỳ này]]/Table1[[#This Row],[TỔNG CỘNG TÀI SẢN]]</f>
        <v>#DIV/0!</v>
      </c>
      <c r="S1617" s="21" t="e">
        <f>Table1[[#This Row],[5. Lợi nhuận gộp về bán hàng và cung cấp dịch vụ]]/Table1[[#This Row],[TỔNG CỘNG TÀI SẢN]]</f>
        <v>#DIV/0!</v>
      </c>
      <c r="T161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617" s="23" t="e">
        <f>Table1[[#This Row],[1. Doanh thu bán hàng và cung cấp dịch vụ ]]/Table1[[#This Row],[TỔNG CỘNG TÀI SẢN]]</f>
        <v>#DIV/0!</v>
      </c>
      <c r="V1617" s="23" t="e">
        <f>1.2*Table1[[#This Row],[X1]] + 1.4*Table1[[#This Row],[X2]] + 3.3*Table1[[#This Row],[x3]] + 0.6*Table1[[#This Row],[x4]] + 1*Table1[[#This Row],[x5]]</f>
        <v>#DIV/0!</v>
      </c>
      <c r="W1617" s="23" t="e">
        <f>IF(Table1[[#This Row],[Zscore]]&lt;1.81,1,0)</f>
        <v>#DIV/0!</v>
      </c>
    </row>
    <row r="1618" spans="1:23" hidden="1" x14ac:dyDescent="0.45">
      <c r="A1618" s="7">
        <v>1612</v>
      </c>
      <c r="B1618" s="5" t="s">
        <v>3235</v>
      </c>
      <c r="C1618" s="6" t="s">
        <v>3236</v>
      </c>
      <c r="D1618" s="6" t="s">
        <v>18</v>
      </c>
      <c r="E1618" s="6"/>
      <c r="F1618" s="6"/>
      <c r="G1618" s="6"/>
      <c r="H1618" s="6"/>
      <c r="I1618" s="6"/>
      <c r="J1618" s="8"/>
      <c r="K1618" s="6"/>
      <c r="L1618" s="6"/>
      <c r="M1618" s="8"/>
      <c r="N1618" s="8"/>
      <c r="O1618" s="8"/>
      <c r="P1618" s="8"/>
      <c r="Q1618" s="18" t="e">
        <f>(Table1[[#This Row],[A. TÀI SẢN NGẮN HẠN]]-Table1[[#This Row],[I. Nợ ngắn hạn]])/Table1[[#This Row],[TỔNG CỘNG TÀI SẢN]]</f>
        <v>#DIV/0!</v>
      </c>
      <c r="R1618" s="18" t="e">
        <f>Table1[[#This Row],[- LNST chưa phân phối kỳ này]]/Table1[[#This Row],[TỔNG CỘNG TÀI SẢN]]</f>
        <v>#DIV/0!</v>
      </c>
      <c r="S1618" s="21" t="e">
        <f>Table1[[#This Row],[5. Lợi nhuận gộp về bán hàng và cung cấp dịch vụ]]/Table1[[#This Row],[TỔNG CỘNG TÀI SẢN]]</f>
        <v>#DIV/0!</v>
      </c>
      <c r="T161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618" s="23" t="e">
        <f>Table1[[#This Row],[1. Doanh thu bán hàng và cung cấp dịch vụ ]]/Table1[[#This Row],[TỔNG CỘNG TÀI SẢN]]</f>
        <v>#DIV/0!</v>
      </c>
      <c r="V1618" s="23" t="e">
        <f>1.2*Table1[[#This Row],[X1]] + 1.4*Table1[[#This Row],[X2]] + 3.3*Table1[[#This Row],[x3]] + 0.6*Table1[[#This Row],[x4]] + 1*Table1[[#This Row],[x5]]</f>
        <v>#DIV/0!</v>
      </c>
      <c r="W1618" s="23" t="e">
        <f>IF(Table1[[#This Row],[Zscore]]&lt;1.81,1,0)</f>
        <v>#DIV/0!</v>
      </c>
    </row>
    <row r="1619" spans="1:23" hidden="1" x14ac:dyDescent="0.45">
      <c r="A1619" s="7">
        <v>1613</v>
      </c>
      <c r="B1619" s="5" t="s">
        <v>3237</v>
      </c>
      <c r="C1619" s="6" t="s">
        <v>3238</v>
      </c>
      <c r="D1619" s="6" t="s">
        <v>13</v>
      </c>
      <c r="E1619" s="6"/>
      <c r="F1619" s="6"/>
      <c r="G1619" s="6"/>
      <c r="H1619" s="6"/>
      <c r="I1619" s="6"/>
      <c r="J1619" s="8"/>
      <c r="K1619" s="6"/>
      <c r="L1619" s="6"/>
      <c r="M1619" s="8"/>
      <c r="N1619" s="8"/>
      <c r="O1619" s="8"/>
      <c r="P1619" s="8"/>
      <c r="Q1619" s="18" t="e">
        <f>(Table1[[#This Row],[A. TÀI SẢN NGẮN HẠN]]-Table1[[#This Row],[I. Nợ ngắn hạn]])/Table1[[#This Row],[TỔNG CỘNG TÀI SẢN]]</f>
        <v>#DIV/0!</v>
      </c>
      <c r="R1619" s="18" t="e">
        <f>Table1[[#This Row],[- LNST chưa phân phối kỳ này]]/Table1[[#This Row],[TỔNG CỘNG TÀI SẢN]]</f>
        <v>#DIV/0!</v>
      </c>
      <c r="S1619" s="21" t="e">
        <f>Table1[[#This Row],[5. Lợi nhuận gộp về bán hàng và cung cấp dịch vụ]]/Table1[[#This Row],[TỔNG CỘNG TÀI SẢN]]</f>
        <v>#DIV/0!</v>
      </c>
      <c r="T161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619" s="23" t="e">
        <f>Table1[[#This Row],[1. Doanh thu bán hàng và cung cấp dịch vụ ]]/Table1[[#This Row],[TỔNG CỘNG TÀI SẢN]]</f>
        <v>#DIV/0!</v>
      </c>
      <c r="V1619" s="23" t="e">
        <f>1.2*Table1[[#This Row],[X1]] + 1.4*Table1[[#This Row],[X2]] + 3.3*Table1[[#This Row],[x3]] + 0.6*Table1[[#This Row],[x4]] + 1*Table1[[#This Row],[x5]]</f>
        <v>#DIV/0!</v>
      </c>
      <c r="W1619" s="23" t="e">
        <f>IF(Table1[[#This Row],[Zscore]]&lt;1.81,1,0)</f>
        <v>#DIV/0!</v>
      </c>
    </row>
    <row r="1620" spans="1:23" hidden="1" x14ac:dyDescent="0.45">
      <c r="A1620" s="7">
        <v>1614</v>
      </c>
      <c r="B1620" s="5" t="s">
        <v>3239</v>
      </c>
      <c r="C1620" s="6" t="s">
        <v>3240</v>
      </c>
      <c r="D1620" s="6" t="s">
        <v>13</v>
      </c>
      <c r="E1620" s="6"/>
      <c r="F1620" s="6"/>
      <c r="G1620" s="6"/>
      <c r="H1620" s="6"/>
      <c r="I1620" s="6"/>
      <c r="J1620" s="8"/>
      <c r="K1620" s="6"/>
      <c r="L1620" s="6"/>
      <c r="M1620" s="8"/>
      <c r="N1620" s="8"/>
      <c r="O1620" s="8"/>
      <c r="P1620" s="8"/>
      <c r="Q1620" s="18" t="e">
        <f>(Table1[[#This Row],[A. TÀI SẢN NGẮN HẠN]]-Table1[[#This Row],[I. Nợ ngắn hạn]])/Table1[[#This Row],[TỔNG CỘNG TÀI SẢN]]</f>
        <v>#DIV/0!</v>
      </c>
      <c r="R1620" s="18" t="e">
        <f>Table1[[#This Row],[- LNST chưa phân phối kỳ này]]/Table1[[#This Row],[TỔNG CỘNG TÀI SẢN]]</f>
        <v>#DIV/0!</v>
      </c>
      <c r="S1620" s="21" t="e">
        <f>Table1[[#This Row],[5. Lợi nhuận gộp về bán hàng và cung cấp dịch vụ]]/Table1[[#This Row],[TỔNG CỘNG TÀI SẢN]]</f>
        <v>#DIV/0!</v>
      </c>
      <c r="T162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620" s="23" t="e">
        <f>Table1[[#This Row],[1. Doanh thu bán hàng và cung cấp dịch vụ ]]/Table1[[#This Row],[TỔNG CỘNG TÀI SẢN]]</f>
        <v>#DIV/0!</v>
      </c>
      <c r="V1620" s="23" t="e">
        <f>1.2*Table1[[#This Row],[X1]] + 1.4*Table1[[#This Row],[X2]] + 3.3*Table1[[#This Row],[x3]] + 0.6*Table1[[#This Row],[x4]] + 1*Table1[[#This Row],[x5]]</f>
        <v>#DIV/0!</v>
      </c>
      <c r="W1620" s="23" t="e">
        <f>IF(Table1[[#This Row],[Zscore]]&lt;1.81,1,0)</f>
        <v>#DIV/0!</v>
      </c>
    </row>
    <row r="1621" spans="1:23" hidden="1" x14ac:dyDescent="0.45">
      <c r="A1621" s="7">
        <v>1615</v>
      </c>
      <c r="B1621" s="5" t="s">
        <v>3241</v>
      </c>
      <c r="C1621" s="6" t="s">
        <v>3242</v>
      </c>
      <c r="D1621" s="6" t="s">
        <v>13</v>
      </c>
      <c r="E1621" s="6"/>
      <c r="F1621" s="6"/>
      <c r="G1621" s="6"/>
      <c r="H1621" s="6"/>
      <c r="I1621" s="6"/>
      <c r="J1621" s="8"/>
      <c r="K1621" s="6"/>
      <c r="L1621" s="6"/>
      <c r="M1621" s="8"/>
      <c r="N1621" s="8"/>
      <c r="O1621" s="8"/>
      <c r="P1621" s="8"/>
      <c r="Q1621" s="18" t="e">
        <f>(Table1[[#This Row],[A. TÀI SẢN NGẮN HẠN]]-Table1[[#This Row],[I. Nợ ngắn hạn]])/Table1[[#This Row],[TỔNG CỘNG TÀI SẢN]]</f>
        <v>#DIV/0!</v>
      </c>
      <c r="R1621" s="18" t="e">
        <f>Table1[[#This Row],[- LNST chưa phân phối kỳ này]]/Table1[[#This Row],[TỔNG CỘNG TÀI SẢN]]</f>
        <v>#DIV/0!</v>
      </c>
      <c r="S1621" s="21" t="e">
        <f>Table1[[#This Row],[5. Lợi nhuận gộp về bán hàng và cung cấp dịch vụ]]/Table1[[#This Row],[TỔNG CỘNG TÀI SẢN]]</f>
        <v>#DIV/0!</v>
      </c>
      <c r="T162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621" s="23" t="e">
        <f>Table1[[#This Row],[1. Doanh thu bán hàng và cung cấp dịch vụ ]]/Table1[[#This Row],[TỔNG CỘNG TÀI SẢN]]</f>
        <v>#DIV/0!</v>
      </c>
      <c r="V1621" s="23" t="e">
        <f>1.2*Table1[[#This Row],[X1]] + 1.4*Table1[[#This Row],[X2]] + 3.3*Table1[[#This Row],[x3]] + 0.6*Table1[[#This Row],[x4]] + 1*Table1[[#This Row],[x5]]</f>
        <v>#DIV/0!</v>
      </c>
      <c r="W1621" s="23" t="e">
        <f>IF(Table1[[#This Row],[Zscore]]&lt;1.81,1,0)</f>
        <v>#DIV/0!</v>
      </c>
    </row>
    <row r="1622" spans="1:23" hidden="1" x14ac:dyDescent="0.45">
      <c r="A1622" s="7">
        <v>1616</v>
      </c>
      <c r="B1622" s="5" t="s">
        <v>3243</v>
      </c>
      <c r="C1622" s="6" t="s">
        <v>3244</v>
      </c>
      <c r="D1622" s="6" t="s">
        <v>13</v>
      </c>
      <c r="E1622" s="6"/>
      <c r="F1622" s="6"/>
      <c r="G1622" s="6"/>
      <c r="H1622" s="6"/>
      <c r="I1622" s="6"/>
      <c r="J1622" s="8"/>
      <c r="K1622" s="6"/>
      <c r="L1622" s="6"/>
      <c r="M1622" s="8"/>
      <c r="N1622" s="8"/>
      <c r="O1622" s="8"/>
      <c r="P1622" s="8"/>
      <c r="Q1622" s="18" t="e">
        <f>(Table1[[#This Row],[A. TÀI SẢN NGẮN HẠN]]-Table1[[#This Row],[I. Nợ ngắn hạn]])/Table1[[#This Row],[TỔNG CỘNG TÀI SẢN]]</f>
        <v>#DIV/0!</v>
      </c>
      <c r="R1622" s="18" t="e">
        <f>Table1[[#This Row],[- LNST chưa phân phối kỳ này]]/Table1[[#This Row],[TỔNG CỘNG TÀI SẢN]]</f>
        <v>#DIV/0!</v>
      </c>
      <c r="S1622" s="21" t="e">
        <f>Table1[[#This Row],[5. Lợi nhuận gộp về bán hàng và cung cấp dịch vụ]]/Table1[[#This Row],[TỔNG CỘNG TÀI SẢN]]</f>
        <v>#DIV/0!</v>
      </c>
      <c r="T162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622" s="23" t="e">
        <f>Table1[[#This Row],[1. Doanh thu bán hàng và cung cấp dịch vụ ]]/Table1[[#This Row],[TỔNG CỘNG TÀI SẢN]]</f>
        <v>#DIV/0!</v>
      </c>
      <c r="V1622" s="23" t="e">
        <f>1.2*Table1[[#This Row],[X1]] + 1.4*Table1[[#This Row],[X2]] + 3.3*Table1[[#This Row],[x3]] + 0.6*Table1[[#This Row],[x4]] + 1*Table1[[#This Row],[x5]]</f>
        <v>#DIV/0!</v>
      </c>
      <c r="W1622" s="23" t="e">
        <f>IF(Table1[[#This Row],[Zscore]]&lt;1.81,1,0)</f>
        <v>#DIV/0!</v>
      </c>
    </row>
    <row r="1623" spans="1:23" hidden="1" x14ac:dyDescent="0.45">
      <c r="A1623" s="7">
        <v>1617</v>
      </c>
      <c r="B1623" s="5" t="s">
        <v>3245</v>
      </c>
      <c r="C1623" s="6" t="s">
        <v>3246</v>
      </c>
      <c r="D1623" s="6" t="s">
        <v>13</v>
      </c>
      <c r="E1623" s="6"/>
      <c r="F1623" s="6"/>
      <c r="G1623" s="6"/>
      <c r="H1623" s="6"/>
      <c r="I1623" s="6"/>
      <c r="J1623" s="8"/>
      <c r="K1623" s="6"/>
      <c r="L1623" s="6"/>
      <c r="M1623" s="8"/>
      <c r="N1623" s="8"/>
      <c r="O1623" s="8"/>
      <c r="P1623" s="8"/>
      <c r="Q1623" s="18" t="e">
        <f>(Table1[[#This Row],[A. TÀI SẢN NGẮN HẠN]]-Table1[[#This Row],[I. Nợ ngắn hạn]])/Table1[[#This Row],[TỔNG CỘNG TÀI SẢN]]</f>
        <v>#DIV/0!</v>
      </c>
      <c r="R1623" s="18" t="e">
        <f>Table1[[#This Row],[- LNST chưa phân phối kỳ này]]/Table1[[#This Row],[TỔNG CỘNG TÀI SẢN]]</f>
        <v>#DIV/0!</v>
      </c>
      <c r="S1623" s="21" t="e">
        <f>Table1[[#This Row],[5. Lợi nhuận gộp về bán hàng và cung cấp dịch vụ]]/Table1[[#This Row],[TỔNG CỘNG TÀI SẢN]]</f>
        <v>#DIV/0!</v>
      </c>
      <c r="T162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623" s="23" t="e">
        <f>Table1[[#This Row],[1. Doanh thu bán hàng và cung cấp dịch vụ ]]/Table1[[#This Row],[TỔNG CỘNG TÀI SẢN]]</f>
        <v>#DIV/0!</v>
      </c>
      <c r="V1623" s="23" t="e">
        <f>1.2*Table1[[#This Row],[X1]] + 1.4*Table1[[#This Row],[X2]] + 3.3*Table1[[#This Row],[x3]] + 0.6*Table1[[#This Row],[x4]] + 1*Table1[[#This Row],[x5]]</f>
        <v>#DIV/0!</v>
      </c>
      <c r="W1623" s="23" t="e">
        <f>IF(Table1[[#This Row],[Zscore]]&lt;1.81,1,0)</f>
        <v>#DIV/0!</v>
      </c>
    </row>
    <row r="1624" spans="1:23" hidden="1" x14ac:dyDescent="0.45">
      <c r="A1624" s="7">
        <v>1618</v>
      </c>
      <c r="B1624" s="5" t="s">
        <v>3247</v>
      </c>
      <c r="C1624" s="6" t="s">
        <v>3248</v>
      </c>
      <c r="D1624" s="6" t="s">
        <v>18</v>
      </c>
      <c r="E1624" s="6"/>
      <c r="F1624" s="6"/>
      <c r="G1624" s="6"/>
      <c r="H1624" s="6"/>
      <c r="I1624" s="6"/>
      <c r="J1624" s="8"/>
      <c r="K1624" s="6"/>
      <c r="L1624" s="6"/>
      <c r="M1624" s="8"/>
      <c r="N1624" s="8"/>
      <c r="O1624" s="8"/>
      <c r="P1624" s="8"/>
      <c r="Q1624" s="18" t="e">
        <f>(Table1[[#This Row],[A. TÀI SẢN NGẮN HẠN]]-Table1[[#This Row],[I. Nợ ngắn hạn]])/Table1[[#This Row],[TỔNG CỘNG TÀI SẢN]]</f>
        <v>#DIV/0!</v>
      </c>
      <c r="R1624" s="18" t="e">
        <f>Table1[[#This Row],[- LNST chưa phân phối kỳ này]]/Table1[[#This Row],[TỔNG CỘNG TÀI SẢN]]</f>
        <v>#DIV/0!</v>
      </c>
      <c r="S1624" s="21" t="e">
        <f>Table1[[#This Row],[5. Lợi nhuận gộp về bán hàng và cung cấp dịch vụ]]/Table1[[#This Row],[TỔNG CỘNG TÀI SẢN]]</f>
        <v>#DIV/0!</v>
      </c>
      <c r="T162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624" s="23" t="e">
        <f>Table1[[#This Row],[1. Doanh thu bán hàng và cung cấp dịch vụ ]]/Table1[[#This Row],[TỔNG CỘNG TÀI SẢN]]</f>
        <v>#DIV/0!</v>
      </c>
      <c r="V1624" s="23" t="e">
        <f>1.2*Table1[[#This Row],[X1]] + 1.4*Table1[[#This Row],[X2]] + 3.3*Table1[[#This Row],[x3]] + 0.6*Table1[[#This Row],[x4]] + 1*Table1[[#This Row],[x5]]</f>
        <v>#DIV/0!</v>
      </c>
      <c r="W1624" s="23" t="e">
        <f>IF(Table1[[#This Row],[Zscore]]&lt;1.81,1,0)</f>
        <v>#DIV/0!</v>
      </c>
    </row>
    <row r="1625" spans="1:23" x14ac:dyDescent="0.45">
      <c r="A1625" s="7">
        <v>1619</v>
      </c>
      <c r="B1625" s="5" t="s">
        <v>3249</v>
      </c>
      <c r="C1625" s="6" t="s">
        <v>3250</v>
      </c>
      <c r="D1625" s="6" t="s">
        <v>21</v>
      </c>
      <c r="E1625" s="8">
        <v>16493912202087</v>
      </c>
      <c r="F1625" s="8">
        <v>9702800286228</v>
      </c>
      <c r="G1625" s="8">
        <v>6568226612207</v>
      </c>
      <c r="H1625" s="8">
        <v>197213409992</v>
      </c>
      <c r="I1625" s="8">
        <v>785173587619</v>
      </c>
      <c r="J1625" s="8"/>
      <c r="K1625" s="8">
        <v>8858427729824</v>
      </c>
      <c r="L1625" s="8">
        <v>14899234663086</v>
      </c>
      <c r="M1625" s="8">
        <v>6713563215000</v>
      </c>
      <c r="N1625" s="8">
        <v>6646427582850</v>
      </c>
      <c r="O1625" s="8">
        <v>5907935629200</v>
      </c>
      <c r="P1625" s="8">
        <v>7877247505600</v>
      </c>
      <c r="Q1625" s="18">
        <f>(Table1[[#This Row],[A. TÀI SẢN NGẮN HẠN]]-Table1[[#This Row],[I. Nợ ngắn hạn]])/Table1[[#This Row],[TỔNG CỘNG TÀI SẢN]]</f>
        <v>0.19004428031479262</v>
      </c>
      <c r="R1625" s="18">
        <f>Table1[[#This Row],[- LNST chưa phân phối kỳ này]]/Table1[[#This Row],[TỔNG CỘNG TÀI SẢN]]</f>
        <v>1.1956739406376026E-2</v>
      </c>
      <c r="S1625" s="21">
        <f>Table1[[#This Row],[5. Lợi nhuận gộp về bán hàng và cung cấp dịch vụ]]/Table1[[#This Row],[TỔNG CỘNG TÀI SẢN]]</f>
        <v>4.7603841829572176E-2</v>
      </c>
      <c r="T162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0.76608329267222353</v>
      </c>
      <c r="U1625" s="23">
        <f>Table1[[#This Row],[1. Doanh thu bán hàng và cung cấp dịch vụ ]]/Table1[[#This Row],[TỔNG CỘNG TÀI SẢN]]</f>
        <v>0.90331720458659748</v>
      </c>
      <c r="V1625" s="23">
        <f>1.2*Table1[[#This Row],[X1]] + 1.4*Table1[[#This Row],[X2]] + 3.3*Table1[[#This Row],[x3]] + 0.6*Table1[[#This Row],[x4]] + 1*Table1[[#This Row],[x5]]</f>
        <v>1.7648524297741974</v>
      </c>
      <c r="W1625" s="23">
        <f>IF(Table1[[#This Row],[Zscore]]&lt;1.81,1,0)</f>
        <v>1</v>
      </c>
    </row>
    <row r="1626" spans="1:23" x14ac:dyDescent="0.45">
      <c r="A1626" s="7">
        <v>1620</v>
      </c>
      <c r="B1626" s="5" t="s">
        <v>3251</v>
      </c>
      <c r="C1626" s="6" t="s">
        <v>3252</v>
      </c>
      <c r="D1626" s="6" t="s">
        <v>21</v>
      </c>
      <c r="E1626" s="8">
        <v>26564516185390</v>
      </c>
      <c r="F1626" s="8">
        <v>19246030470379</v>
      </c>
      <c r="G1626" s="8">
        <v>6453837316303</v>
      </c>
      <c r="H1626" s="8">
        <v>701371622402</v>
      </c>
      <c r="I1626" s="8">
        <v>2357280053286</v>
      </c>
      <c r="J1626" s="8"/>
      <c r="K1626" s="8">
        <v>11740271874301</v>
      </c>
      <c r="L1626" s="8">
        <v>5645086579147</v>
      </c>
      <c r="M1626" s="8">
        <v>13188829162000</v>
      </c>
      <c r="N1626" s="8">
        <v>11725543006800</v>
      </c>
      <c r="O1626" s="8">
        <v>15056444386400</v>
      </c>
      <c r="P1626" s="8">
        <v>15480027220800</v>
      </c>
      <c r="Q1626" s="18">
        <f>(Table1[[#This Row],[A. TÀI SẢN NGẮN HẠN]]-Table1[[#This Row],[I. Nợ ngắn hạn]])/Table1[[#This Row],[TỔNG CỘNG TÀI SẢN]]</f>
        <v>0.48155189670314691</v>
      </c>
      <c r="R1626" s="18">
        <f>Table1[[#This Row],[- LNST chưa phân phối kỳ này]]/Table1[[#This Row],[TỔNG CỘNG TÀI SẢN]]</f>
        <v>2.6402574679215939E-2</v>
      </c>
      <c r="S1626" s="21">
        <f>Table1[[#This Row],[5. Lợi nhuận gộp về bán hàng và cung cấp dịch vụ]]/Table1[[#This Row],[TỔNG CỘNG TÀI SẢN]]</f>
        <v>8.8737925314915436E-2</v>
      </c>
      <c r="T162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1.18078278701066</v>
      </c>
      <c r="U1626" s="23">
        <f>Table1[[#This Row],[1. Doanh thu bán hàng và cung cấp dịch vụ ]]/Table1[[#This Row],[TỔNG CỘNG TÀI SẢN]]</f>
        <v>0.2125047766633783</v>
      </c>
      <c r="V1626" s="23">
        <f>1.2*Table1[[#This Row],[X1]] + 1.4*Table1[[#This Row],[X2]] + 3.3*Table1[[#This Row],[x3]] + 0.6*Table1[[#This Row],[x4]] + 1*Table1[[#This Row],[x5]]</f>
        <v>1.828635483003674</v>
      </c>
      <c r="W1626" s="23">
        <f>IF(Table1[[#This Row],[Zscore]]&lt;1.81,1,0)</f>
        <v>0</v>
      </c>
    </row>
    <row r="1627" spans="1:23" hidden="1" x14ac:dyDescent="0.45">
      <c r="A1627" s="7">
        <v>1621</v>
      </c>
      <c r="B1627" s="5" t="s">
        <v>3253</v>
      </c>
      <c r="C1627" s="6" t="s">
        <v>3254</v>
      </c>
      <c r="D1627" s="6" t="s">
        <v>18</v>
      </c>
      <c r="E1627" s="6"/>
      <c r="F1627" s="6"/>
      <c r="G1627" s="6"/>
      <c r="H1627" s="6"/>
      <c r="I1627" s="6"/>
      <c r="J1627" s="8"/>
      <c r="K1627" s="6"/>
      <c r="L1627" s="6"/>
      <c r="M1627" s="8"/>
      <c r="N1627" s="8"/>
      <c r="O1627" s="8"/>
      <c r="P1627" s="8"/>
      <c r="Q1627" s="18" t="e">
        <f>(Table1[[#This Row],[A. TÀI SẢN NGẮN HẠN]]-Table1[[#This Row],[I. Nợ ngắn hạn]])/Table1[[#This Row],[TỔNG CỘNG TÀI SẢN]]</f>
        <v>#DIV/0!</v>
      </c>
      <c r="R1627" s="18" t="e">
        <f>Table1[[#This Row],[- LNST chưa phân phối kỳ này]]/Table1[[#This Row],[TỔNG CỘNG TÀI SẢN]]</f>
        <v>#DIV/0!</v>
      </c>
      <c r="S1627" s="21" t="e">
        <f>Table1[[#This Row],[5. Lợi nhuận gộp về bán hàng và cung cấp dịch vụ]]/Table1[[#This Row],[TỔNG CỘNG TÀI SẢN]]</f>
        <v>#DIV/0!</v>
      </c>
      <c r="T162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627" s="23" t="e">
        <f>Table1[[#This Row],[1. Doanh thu bán hàng và cung cấp dịch vụ ]]/Table1[[#This Row],[TỔNG CỘNG TÀI SẢN]]</f>
        <v>#DIV/0!</v>
      </c>
      <c r="V1627" s="23" t="e">
        <f>1.2*Table1[[#This Row],[X1]] + 1.4*Table1[[#This Row],[X2]] + 3.3*Table1[[#This Row],[x3]] + 0.6*Table1[[#This Row],[x4]] + 1*Table1[[#This Row],[x5]]</f>
        <v>#DIV/0!</v>
      </c>
      <c r="W1627" s="23" t="e">
        <f>IF(Table1[[#This Row],[Zscore]]&lt;1.81,1,0)</f>
        <v>#DIV/0!</v>
      </c>
    </row>
    <row r="1628" spans="1:23" hidden="1" x14ac:dyDescent="0.45">
      <c r="A1628" s="7">
        <v>1622</v>
      </c>
      <c r="B1628" s="5" t="s">
        <v>3255</v>
      </c>
      <c r="C1628" s="6" t="s">
        <v>3256</v>
      </c>
      <c r="D1628" s="6" t="s">
        <v>13</v>
      </c>
      <c r="E1628" s="6"/>
      <c r="F1628" s="6"/>
      <c r="G1628" s="6"/>
      <c r="H1628" s="6"/>
      <c r="I1628" s="6"/>
      <c r="J1628" s="8"/>
      <c r="K1628" s="6"/>
      <c r="L1628" s="6"/>
      <c r="M1628" s="8"/>
      <c r="N1628" s="8"/>
      <c r="O1628" s="8"/>
      <c r="P1628" s="8"/>
      <c r="Q1628" s="18" t="e">
        <f>(Table1[[#This Row],[A. TÀI SẢN NGẮN HẠN]]-Table1[[#This Row],[I. Nợ ngắn hạn]])/Table1[[#This Row],[TỔNG CỘNG TÀI SẢN]]</f>
        <v>#DIV/0!</v>
      </c>
      <c r="R1628" s="18" t="e">
        <f>Table1[[#This Row],[- LNST chưa phân phối kỳ này]]/Table1[[#This Row],[TỔNG CỘNG TÀI SẢN]]</f>
        <v>#DIV/0!</v>
      </c>
      <c r="S1628" s="21" t="e">
        <f>Table1[[#This Row],[5. Lợi nhuận gộp về bán hàng và cung cấp dịch vụ]]/Table1[[#This Row],[TỔNG CỘNG TÀI SẢN]]</f>
        <v>#DIV/0!</v>
      </c>
      <c r="T162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628" s="23" t="e">
        <f>Table1[[#This Row],[1. Doanh thu bán hàng và cung cấp dịch vụ ]]/Table1[[#This Row],[TỔNG CỘNG TÀI SẢN]]</f>
        <v>#DIV/0!</v>
      </c>
      <c r="V1628" s="23" t="e">
        <f>1.2*Table1[[#This Row],[X1]] + 1.4*Table1[[#This Row],[X2]] + 3.3*Table1[[#This Row],[x3]] + 0.6*Table1[[#This Row],[x4]] + 1*Table1[[#This Row],[x5]]</f>
        <v>#DIV/0!</v>
      </c>
      <c r="W1628" s="23" t="e">
        <f>IF(Table1[[#This Row],[Zscore]]&lt;1.81,1,0)</f>
        <v>#DIV/0!</v>
      </c>
    </row>
    <row r="1629" spans="1:23" hidden="1" x14ac:dyDescent="0.45">
      <c r="A1629" s="7">
        <v>1623</v>
      </c>
      <c r="B1629" s="5" t="s">
        <v>3257</v>
      </c>
      <c r="C1629" s="6" t="s">
        <v>3258</v>
      </c>
      <c r="D1629" s="6" t="s">
        <v>13</v>
      </c>
      <c r="E1629" s="6"/>
      <c r="F1629" s="6"/>
      <c r="G1629" s="6"/>
      <c r="H1629" s="6"/>
      <c r="I1629" s="6"/>
      <c r="J1629" s="8"/>
      <c r="K1629" s="6"/>
      <c r="L1629" s="6"/>
      <c r="M1629" s="8"/>
      <c r="N1629" s="8"/>
      <c r="O1629" s="8"/>
      <c r="P1629" s="8"/>
      <c r="Q1629" s="18" t="e">
        <f>(Table1[[#This Row],[A. TÀI SẢN NGẮN HẠN]]-Table1[[#This Row],[I. Nợ ngắn hạn]])/Table1[[#This Row],[TỔNG CỘNG TÀI SẢN]]</f>
        <v>#DIV/0!</v>
      </c>
      <c r="R1629" s="18" t="e">
        <f>Table1[[#This Row],[- LNST chưa phân phối kỳ này]]/Table1[[#This Row],[TỔNG CỘNG TÀI SẢN]]</f>
        <v>#DIV/0!</v>
      </c>
      <c r="S1629" s="21" t="e">
        <f>Table1[[#This Row],[5. Lợi nhuận gộp về bán hàng và cung cấp dịch vụ]]/Table1[[#This Row],[TỔNG CỘNG TÀI SẢN]]</f>
        <v>#DIV/0!</v>
      </c>
      <c r="T162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629" s="23" t="e">
        <f>Table1[[#This Row],[1. Doanh thu bán hàng và cung cấp dịch vụ ]]/Table1[[#This Row],[TỔNG CỘNG TÀI SẢN]]</f>
        <v>#DIV/0!</v>
      </c>
      <c r="V1629" s="23" t="e">
        <f>1.2*Table1[[#This Row],[X1]] + 1.4*Table1[[#This Row],[X2]] + 3.3*Table1[[#This Row],[x3]] + 0.6*Table1[[#This Row],[x4]] + 1*Table1[[#This Row],[x5]]</f>
        <v>#DIV/0!</v>
      </c>
      <c r="W1629" s="23" t="e">
        <f>IF(Table1[[#This Row],[Zscore]]&lt;1.81,1,0)</f>
        <v>#DIV/0!</v>
      </c>
    </row>
    <row r="1630" spans="1:23" x14ac:dyDescent="0.45">
      <c r="A1630" s="7">
        <v>1624</v>
      </c>
      <c r="B1630" s="5" t="s">
        <v>3259</v>
      </c>
      <c r="C1630" s="6" t="s">
        <v>3260</v>
      </c>
      <c r="D1630" s="6" t="s">
        <v>21</v>
      </c>
      <c r="E1630" s="8">
        <v>664784463500</v>
      </c>
      <c r="F1630" s="8">
        <v>369151003651</v>
      </c>
      <c r="G1630" s="8">
        <v>100127369659</v>
      </c>
      <c r="H1630" s="8">
        <v>107805147690</v>
      </c>
      <c r="I1630" s="8">
        <v>193014230873</v>
      </c>
      <c r="J1630" s="8"/>
      <c r="K1630" s="8">
        <v>130317179307</v>
      </c>
      <c r="L1630" s="8">
        <v>390947596820</v>
      </c>
      <c r="M1630" s="8">
        <v>697056000000</v>
      </c>
      <c r="N1630" s="8">
        <v>1453296000000</v>
      </c>
      <c r="O1630" s="8">
        <v>740896000000</v>
      </c>
      <c r="P1630" s="8">
        <v>1135456000000</v>
      </c>
      <c r="Q1630" s="18">
        <f>(Table1[[#This Row],[A. TÀI SẢN NGẮN HẠN]]-Table1[[#This Row],[I. Nợ ngắn hạn]])/Table1[[#This Row],[TỔNG CỘNG TÀI SẢN]]</f>
        <v>0.40467798025186552</v>
      </c>
      <c r="R1630" s="18">
        <f>Table1[[#This Row],[- LNST chưa phân phối kỳ này]]/Table1[[#This Row],[TỔNG CỘNG TÀI SẢN]]</f>
        <v>0.16216556434309629</v>
      </c>
      <c r="S1630" s="21">
        <f>Table1[[#This Row],[5. Lợi nhuận gộp về bán hàng và cung cấp dịch vụ]]/Table1[[#This Row],[TỔNG CỘNG TÀI SẢN]]</f>
        <v>0.29034106762484529</v>
      </c>
      <c r="T163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7.7248142213735465</v>
      </c>
      <c r="U1630" s="23">
        <f>Table1[[#This Row],[1. Doanh thu bán hàng và cung cấp dịch vụ ]]/Table1[[#This Row],[TỔNG CỘNG TÀI SẢN]]</f>
        <v>0.58808172916935209</v>
      </c>
      <c r="V1630" s="23">
        <f>1.2*Table1[[#This Row],[X1]] + 1.4*Table1[[#This Row],[X2]] + 3.3*Table1[[#This Row],[x3]] + 0.6*Table1[[#This Row],[x4]] + 1*Table1[[#This Row],[x5]]</f>
        <v>6.8937411515380429</v>
      </c>
      <c r="W1630" s="23">
        <f>IF(Table1[[#This Row],[Zscore]]&lt;1.81,1,0)</f>
        <v>0</v>
      </c>
    </row>
    <row r="1631" spans="1:23" ht="26.25" hidden="1" x14ac:dyDescent="0.45">
      <c r="A1631" s="7">
        <v>1625</v>
      </c>
      <c r="B1631" s="5" t="s">
        <v>3261</v>
      </c>
      <c r="C1631" s="6" t="s">
        <v>3262</v>
      </c>
      <c r="D1631" s="6" t="s">
        <v>13</v>
      </c>
      <c r="E1631" s="6"/>
      <c r="F1631" s="6"/>
      <c r="G1631" s="6"/>
      <c r="H1631" s="6"/>
      <c r="I1631" s="6"/>
      <c r="J1631" s="8"/>
      <c r="K1631" s="6"/>
      <c r="L1631" s="6"/>
      <c r="M1631" s="8"/>
      <c r="N1631" s="8"/>
      <c r="O1631" s="8"/>
      <c r="P1631" s="8"/>
      <c r="Q1631" s="18" t="e">
        <f>(Table1[[#This Row],[A. TÀI SẢN NGẮN HẠN]]-Table1[[#This Row],[I. Nợ ngắn hạn]])/Table1[[#This Row],[TỔNG CỘNG TÀI SẢN]]</f>
        <v>#DIV/0!</v>
      </c>
      <c r="R1631" s="18" t="e">
        <f>Table1[[#This Row],[- LNST chưa phân phối kỳ này]]/Table1[[#This Row],[TỔNG CỘNG TÀI SẢN]]</f>
        <v>#DIV/0!</v>
      </c>
      <c r="S1631" s="21" t="e">
        <f>Table1[[#This Row],[5. Lợi nhuận gộp về bán hàng và cung cấp dịch vụ]]/Table1[[#This Row],[TỔNG CỘNG TÀI SẢN]]</f>
        <v>#DIV/0!</v>
      </c>
      <c r="T163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631" s="23" t="e">
        <f>Table1[[#This Row],[1. Doanh thu bán hàng và cung cấp dịch vụ ]]/Table1[[#This Row],[TỔNG CỘNG TÀI SẢN]]</f>
        <v>#DIV/0!</v>
      </c>
      <c r="V1631" s="23" t="e">
        <f>1.2*Table1[[#This Row],[X1]] + 1.4*Table1[[#This Row],[X2]] + 3.3*Table1[[#This Row],[x3]] + 0.6*Table1[[#This Row],[x4]] + 1*Table1[[#This Row],[x5]]</f>
        <v>#DIV/0!</v>
      </c>
      <c r="W1631" s="23" t="e">
        <f>IF(Table1[[#This Row],[Zscore]]&lt;1.81,1,0)</f>
        <v>#DIV/0!</v>
      </c>
    </row>
    <row r="1632" spans="1:23" ht="26.25" hidden="1" x14ac:dyDescent="0.45">
      <c r="A1632" s="7">
        <v>1626</v>
      </c>
      <c r="B1632" s="5" t="s">
        <v>3263</v>
      </c>
      <c r="C1632" s="6" t="s">
        <v>3264</v>
      </c>
      <c r="D1632" s="6" t="s">
        <v>13</v>
      </c>
      <c r="E1632" s="6"/>
      <c r="F1632" s="6"/>
      <c r="G1632" s="6"/>
      <c r="H1632" s="6"/>
      <c r="I1632" s="6"/>
      <c r="J1632" s="8"/>
      <c r="K1632" s="6"/>
      <c r="L1632" s="6"/>
      <c r="M1632" s="8"/>
      <c r="N1632" s="8"/>
      <c r="O1632" s="8"/>
      <c r="P1632" s="8"/>
      <c r="Q1632" s="18" t="e">
        <f>(Table1[[#This Row],[A. TÀI SẢN NGẮN HẠN]]-Table1[[#This Row],[I. Nợ ngắn hạn]])/Table1[[#This Row],[TỔNG CỘNG TÀI SẢN]]</f>
        <v>#DIV/0!</v>
      </c>
      <c r="R1632" s="18" t="e">
        <f>Table1[[#This Row],[- LNST chưa phân phối kỳ này]]/Table1[[#This Row],[TỔNG CỘNG TÀI SẢN]]</f>
        <v>#DIV/0!</v>
      </c>
      <c r="S1632" s="21" t="e">
        <f>Table1[[#This Row],[5. Lợi nhuận gộp về bán hàng và cung cấp dịch vụ]]/Table1[[#This Row],[TỔNG CỘNG TÀI SẢN]]</f>
        <v>#DIV/0!</v>
      </c>
      <c r="T163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632" s="23" t="e">
        <f>Table1[[#This Row],[1. Doanh thu bán hàng và cung cấp dịch vụ ]]/Table1[[#This Row],[TỔNG CỘNG TÀI SẢN]]</f>
        <v>#DIV/0!</v>
      </c>
      <c r="V1632" s="23" t="e">
        <f>1.2*Table1[[#This Row],[X1]] + 1.4*Table1[[#This Row],[X2]] + 3.3*Table1[[#This Row],[x3]] + 0.6*Table1[[#This Row],[x4]] + 1*Table1[[#This Row],[x5]]</f>
        <v>#DIV/0!</v>
      </c>
      <c r="W1632" s="23" t="e">
        <f>IF(Table1[[#This Row],[Zscore]]&lt;1.81,1,0)</f>
        <v>#DIV/0!</v>
      </c>
    </row>
    <row r="1633" spans="1:23" hidden="1" x14ac:dyDescent="0.45">
      <c r="A1633" s="7">
        <v>1627</v>
      </c>
      <c r="B1633" s="5" t="s">
        <v>3265</v>
      </c>
      <c r="C1633" s="6" t="s">
        <v>3266</v>
      </c>
      <c r="D1633" s="6" t="s">
        <v>18</v>
      </c>
      <c r="E1633" s="6"/>
      <c r="F1633" s="6"/>
      <c r="G1633" s="6"/>
      <c r="H1633" s="6"/>
      <c r="I1633" s="6"/>
      <c r="J1633" s="8"/>
      <c r="K1633" s="6"/>
      <c r="L1633" s="6"/>
      <c r="M1633" s="8"/>
      <c r="N1633" s="8"/>
      <c r="O1633" s="8"/>
      <c r="P1633" s="8"/>
      <c r="Q1633" s="18" t="e">
        <f>(Table1[[#This Row],[A. TÀI SẢN NGẮN HẠN]]-Table1[[#This Row],[I. Nợ ngắn hạn]])/Table1[[#This Row],[TỔNG CỘNG TÀI SẢN]]</f>
        <v>#DIV/0!</v>
      </c>
      <c r="R1633" s="18" t="e">
        <f>Table1[[#This Row],[- LNST chưa phân phối kỳ này]]/Table1[[#This Row],[TỔNG CỘNG TÀI SẢN]]</f>
        <v>#DIV/0!</v>
      </c>
      <c r="S1633" s="21" t="e">
        <f>Table1[[#This Row],[5. Lợi nhuận gộp về bán hàng và cung cấp dịch vụ]]/Table1[[#This Row],[TỔNG CỘNG TÀI SẢN]]</f>
        <v>#DIV/0!</v>
      </c>
      <c r="T163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633" s="23" t="e">
        <f>Table1[[#This Row],[1. Doanh thu bán hàng và cung cấp dịch vụ ]]/Table1[[#This Row],[TỔNG CỘNG TÀI SẢN]]</f>
        <v>#DIV/0!</v>
      </c>
      <c r="V1633" s="23" t="e">
        <f>1.2*Table1[[#This Row],[X1]] + 1.4*Table1[[#This Row],[X2]] + 3.3*Table1[[#This Row],[x3]] + 0.6*Table1[[#This Row],[x4]] + 1*Table1[[#This Row],[x5]]</f>
        <v>#DIV/0!</v>
      </c>
      <c r="W1633" s="23" t="e">
        <f>IF(Table1[[#This Row],[Zscore]]&lt;1.81,1,0)</f>
        <v>#DIV/0!</v>
      </c>
    </row>
    <row r="1634" spans="1:23" x14ac:dyDescent="0.45">
      <c r="A1634" s="7">
        <v>1628</v>
      </c>
      <c r="B1634" s="5" t="s">
        <v>3267</v>
      </c>
      <c r="C1634" s="6" t="s">
        <v>3268</v>
      </c>
      <c r="D1634" s="6" t="s">
        <v>21</v>
      </c>
      <c r="E1634" s="8">
        <v>822182163791</v>
      </c>
      <c r="F1634" s="8">
        <v>663140204304</v>
      </c>
      <c r="G1634" s="8">
        <v>446679747115</v>
      </c>
      <c r="H1634" s="8">
        <v>16344253575</v>
      </c>
      <c r="I1634" s="8">
        <v>100234618841</v>
      </c>
      <c r="J1634" s="8"/>
      <c r="K1634" s="8">
        <v>491415598168</v>
      </c>
      <c r="L1634" s="8">
        <v>1077825711344</v>
      </c>
      <c r="M1634" s="8">
        <v>191280000000</v>
      </c>
      <c r="N1634" s="8">
        <v>154800000000</v>
      </c>
      <c r="O1634" s="8">
        <v>168720000000</v>
      </c>
      <c r="P1634" s="8">
        <v>183120000000</v>
      </c>
      <c r="Q1634" s="18">
        <f>(Table1[[#This Row],[A. TÀI SẢN NGẮN HẠN]]-Table1[[#This Row],[I. Nợ ngắn hạn]])/Table1[[#This Row],[TỔNG CỘNG TÀI SẢN]]</f>
        <v>0.26327554491199662</v>
      </c>
      <c r="R1634" s="18">
        <f>Table1[[#This Row],[- LNST chưa phân phối kỳ này]]/Table1[[#This Row],[TỔNG CỘNG TÀI SẢN]]</f>
        <v>1.9879114744642813E-2</v>
      </c>
      <c r="S1634" s="21">
        <f>Table1[[#This Row],[5. Lợi nhuận gộp về bán hàng và cung cấp dịch vụ]]/Table1[[#This Row],[TỔNG CỘNG TÀI SẢN]]</f>
        <v>0.1219129084226641</v>
      </c>
      <c r="T163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0.35505588477545763</v>
      </c>
      <c r="U1634" s="23">
        <f>Table1[[#This Row],[1. Doanh thu bán hàng và cung cấp dịch vụ ]]/Table1[[#This Row],[TỔNG CỘNG TÀI SẢN]]</f>
        <v>1.3109329766705873</v>
      </c>
      <c r="V1634" s="23">
        <f>1.2*Table1[[#This Row],[X1]] + 1.4*Table1[[#This Row],[X2]] + 3.3*Table1[[#This Row],[x3]] + 0.6*Table1[[#This Row],[x4]] + 1*Table1[[#This Row],[x5]]</f>
        <v>2.2700405198675493</v>
      </c>
      <c r="W1634" s="23">
        <f>IF(Table1[[#This Row],[Zscore]]&lt;1.81,1,0)</f>
        <v>0</v>
      </c>
    </row>
    <row r="1635" spans="1:23" hidden="1" x14ac:dyDescent="0.45">
      <c r="A1635" s="7">
        <v>1629</v>
      </c>
      <c r="B1635" s="5" t="s">
        <v>3269</v>
      </c>
      <c r="C1635" s="6" t="s">
        <v>3270</v>
      </c>
      <c r="D1635" s="6" t="s">
        <v>13</v>
      </c>
      <c r="E1635" s="6"/>
      <c r="F1635" s="6"/>
      <c r="G1635" s="6"/>
      <c r="H1635" s="6"/>
      <c r="I1635" s="6"/>
      <c r="J1635" s="8"/>
      <c r="K1635" s="6"/>
      <c r="L1635" s="6"/>
      <c r="M1635" s="8"/>
      <c r="N1635" s="8"/>
      <c r="O1635" s="8"/>
      <c r="P1635" s="8"/>
      <c r="Q1635" s="18" t="e">
        <f>(Table1[[#This Row],[A. TÀI SẢN NGẮN HẠN]]-Table1[[#This Row],[I. Nợ ngắn hạn]])/Table1[[#This Row],[TỔNG CỘNG TÀI SẢN]]</f>
        <v>#DIV/0!</v>
      </c>
      <c r="R1635" s="18" t="e">
        <f>Table1[[#This Row],[- LNST chưa phân phối kỳ này]]/Table1[[#This Row],[TỔNG CỘNG TÀI SẢN]]</f>
        <v>#DIV/0!</v>
      </c>
      <c r="S1635" s="21" t="e">
        <f>Table1[[#This Row],[5. Lợi nhuận gộp về bán hàng và cung cấp dịch vụ]]/Table1[[#This Row],[TỔNG CỘNG TÀI SẢN]]</f>
        <v>#DIV/0!</v>
      </c>
      <c r="T163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635" s="23" t="e">
        <f>Table1[[#This Row],[1. Doanh thu bán hàng và cung cấp dịch vụ ]]/Table1[[#This Row],[TỔNG CỘNG TÀI SẢN]]</f>
        <v>#DIV/0!</v>
      </c>
      <c r="V1635" s="23" t="e">
        <f>1.2*Table1[[#This Row],[X1]] + 1.4*Table1[[#This Row],[X2]] + 3.3*Table1[[#This Row],[x3]] + 0.6*Table1[[#This Row],[x4]] + 1*Table1[[#This Row],[x5]]</f>
        <v>#DIV/0!</v>
      </c>
      <c r="W1635" s="23" t="e">
        <f>IF(Table1[[#This Row],[Zscore]]&lt;1.81,1,0)</f>
        <v>#DIV/0!</v>
      </c>
    </row>
    <row r="1636" spans="1:23" ht="26.25" hidden="1" x14ac:dyDescent="0.45">
      <c r="A1636" s="7">
        <v>1630</v>
      </c>
      <c r="B1636" s="5" t="s">
        <v>3271</v>
      </c>
      <c r="C1636" s="6" t="s">
        <v>3272</v>
      </c>
      <c r="D1636" s="6" t="s">
        <v>13</v>
      </c>
      <c r="E1636" s="6"/>
      <c r="F1636" s="6"/>
      <c r="G1636" s="6"/>
      <c r="H1636" s="6"/>
      <c r="I1636" s="6"/>
      <c r="J1636" s="8"/>
      <c r="K1636" s="6"/>
      <c r="L1636" s="6"/>
      <c r="M1636" s="8"/>
      <c r="N1636" s="8"/>
      <c r="O1636" s="8"/>
      <c r="P1636" s="8"/>
      <c r="Q1636" s="18" t="e">
        <f>(Table1[[#This Row],[A. TÀI SẢN NGẮN HẠN]]-Table1[[#This Row],[I. Nợ ngắn hạn]])/Table1[[#This Row],[TỔNG CỘNG TÀI SẢN]]</f>
        <v>#DIV/0!</v>
      </c>
      <c r="R1636" s="18" t="e">
        <f>Table1[[#This Row],[- LNST chưa phân phối kỳ này]]/Table1[[#This Row],[TỔNG CỘNG TÀI SẢN]]</f>
        <v>#DIV/0!</v>
      </c>
      <c r="S1636" s="21" t="e">
        <f>Table1[[#This Row],[5. Lợi nhuận gộp về bán hàng và cung cấp dịch vụ]]/Table1[[#This Row],[TỔNG CỘNG TÀI SẢN]]</f>
        <v>#DIV/0!</v>
      </c>
      <c r="T163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636" s="23" t="e">
        <f>Table1[[#This Row],[1. Doanh thu bán hàng và cung cấp dịch vụ ]]/Table1[[#This Row],[TỔNG CỘNG TÀI SẢN]]</f>
        <v>#DIV/0!</v>
      </c>
      <c r="V1636" s="23" t="e">
        <f>1.2*Table1[[#This Row],[X1]] + 1.4*Table1[[#This Row],[X2]] + 3.3*Table1[[#This Row],[x3]] + 0.6*Table1[[#This Row],[x4]] + 1*Table1[[#This Row],[x5]]</f>
        <v>#DIV/0!</v>
      </c>
      <c r="W1636" s="23" t="e">
        <f>IF(Table1[[#This Row],[Zscore]]&lt;1.81,1,0)</f>
        <v>#DIV/0!</v>
      </c>
    </row>
    <row r="1637" spans="1:23" ht="26.25" x14ac:dyDescent="0.45">
      <c r="A1637" s="7">
        <v>1631</v>
      </c>
      <c r="B1637" s="5" t="s">
        <v>3273</v>
      </c>
      <c r="C1637" s="6" t="s">
        <v>3274</v>
      </c>
      <c r="D1637" s="6" t="s">
        <v>18</v>
      </c>
      <c r="E1637" s="8">
        <v>214610257951</v>
      </c>
      <c r="F1637" s="8">
        <v>81646457232</v>
      </c>
      <c r="G1637" s="8">
        <v>5517855573007</v>
      </c>
      <c r="H1637" s="8">
        <v>-205326732561</v>
      </c>
      <c r="I1637" s="8">
        <v>-81895342571</v>
      </c>
      <c r="J1637" s="8"/>
      <c r="K1637" s="8">
        <v>5519484934090</v>
      </c>
      <c r="L1637" s="8">
        <v>98464034939</v>
      </c>
      <c r="M1637" s="8">
        <v>23431118400</v>
      </c>
      <c r="N1637" s="8">
        <v>19525932000</v>
      </c>
      <c r="O1637" s="8">
        <v>11715559200</v>
      </c>
      <c r="P1637" s="8">
        <v>13668152400</v>
      </c>
      <c r="Q1637" s="18">
        <f>(Table1[[#This Row],[A. TÀI SẢN NGẮN HẠN]]-Table1[[#This Row],[I. Nợ ngắn hạn]])/Table1[[#This Row],[TỔNG CỘNG TÀI SẢN]]</f>
        <v>-25.330611722279372</v>
      </c>
      <c r="R1637" s="18">
        <f>Table1[[#This Row],[- LNST chưa phân phối kỳ này]]/Table1[[#This Row],[TỔNG CỘNG TÀI SẢN]]</f>
        <v>-0.95674239675850148</v>
      </c>
      <c r="S1637" s="21">
        <f>Table1[[#This Row],[5. Lợi nhuận gộp về bán hàng và cung cấp dịch vụ]]/Table1[[#This Row],[TỔNG CỘNG TÀI SẢN]]</f>
        <v>-0.3816003174913401</v>
      </c>
      <c r="T163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3.0954320383187791E-3</v>
      </c>
      <c r="U1637" s="23">
        <f>Table1[[#This Row],[1. Doanh thu bán hàng và cung cấp dịch vụ ]]/Table1[[#This Row],[TỔNG CỘNG TÀI SẢN]]</f>
        <v>0.45880395410307645</v>
      </c>
      <c r="V1637" s="23">
        <f>1.2*Table1[[#This Row],[X1]] + 1.4*Table1[[#This Row],[X2]] + 3.3*Table1[[#This Row],[x3]] + 0.6*Table1[[#This Row],[x4]] + 1*Table1[[#This Row],[x5]]</f>
        <v>-32.534793256592501</v>
      </c>
      <c r="W1637" s="23">
        <f>IF(Table1[[#This Row],[Zscore]]&lt;1.81,1,0)</f>
        <v>1</v>
      </c>
    </row>
    <row r="1638" spans="1:23" hidden="1" x14ac:dyDescent="0.45">
      <c r="A1638" s="7">
        <v>1632</v>
      </c>
      <c r="B1638" s="5" t="s">
        <v>3275</v>
      </c>
      <c r="C1638" s="6" t="s">
        <v>3276</v>
      </c>
      <c r="D1638" s="6" t="s">
        <v>13</v>
      </c>
      <c r="E1638" s="6"/>
      <c r="F1638" s="6"/>
      <c r="G1638" s="6"/>
      <c r="H1638" s="6"/>
      <c r="I1638" s="6"/>
      <c r="J1638" s="8"/>
      <c r="K1638" s="6"/>
      <c r="L1638" s="6"/>
      <c r="M1638" s="8"/>
      <c r="N1638" s="8"/>
      <c r="O1638" s="8"/>
      <c r="P1638" s="8"/>
      <c r="Q1638" s="18" t="e">
        <f>(Table1[[#This Row],[A. TÀI SẢN NGẮN HẠN]]-Table1[[#This Row],[I. Nợ ngắn hạn]])/Table1[[#This Row],[TỔNG CỘNG TÀI SẢN]]</f>
        <v>#DIV/0!</v>
      </c>
      <c r="R1638" s="18" t="e">
        <f>Table1[[#This Row],[- LNST chưa phân phối kỳ này]]/Table1[[#This Row],[TỔNG CỘNG TÀI SẢN]]</f>
        <v>#DIV/0!</v>
      </c>
      <c r="S1638" s="21" t="e">
        <f>Table1[[#This Row],[5. Lợi nhuận gộp về bán hàng và cung cấp dịch vụ]]/Table1[[#This Row],[TỔNG CỘNG TÀI SẢN]]</f>
        <v>#DIV/0!</v>
      </c>
      <c r="T163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638" s="23" t="e">
        <f>Table1[[#This Row],[1. Doanh thu bán hàng và cung cấp dịch vụ ]]/Table1[[#This Row],[TỔNG CỘNG TÀI SẢN]]</f>
        <v>#DIV/0!</v>
      </c>
      <c r="V1638" s="23" t="e">
        <f>1.2*Table1[[#This Row],[X1]] + 1.4*Table1[[#This Row],[X2]] + 3.3*Table1[[#This Row],[x3]] + 0.6*Table1[[#This Row],[x4]] + 1*Table1[[#This Row],[x5]]</f>
        <v>#DIV/0!</v>
      </c>
      <c r="W1638" s="23" t="e">
        <f>IF(Table1[[#This Row],[Zscore]]&lt;1.81,1,0)</f>
        <v>#DIV/0!</v>
      </c>
    </row>
    <row r="1639" spans="1:23" ht="26.25" hidden="1" x14ac:dyDescent="0.45">
      <c r="A1639" s="7">
        <v>1633</v>
      </c>
      <c r="B1639" s="5" t="s">
        <v>3277</v>
      </c>
      <c r="C1639" s="6" t="s">
        <v>3278</v>
      </c>
      <c r="D1639" s="6" t="s">
        <v>13</v>
      </c>
      <c r="E1639" s="6"/>
      <c r="F1639" s="6"/>
      <c r="G1639" s="6"/>
      <c r="H1639" s="6"/>
      <c r="I1639" s="6"/>
      <c r="J1639" s="8"/>
      <c r="K1639" s="6"/>
      <c r="L1639" s="6"/>
      <c r="M1639" s="8"/>
      <c r="N1639" s="8"/>
      <c r="O1639" s="8"/>
      <c r="P1639" s="8"/>
      <c r="Q1639" s="18" t="e">
        <f>(Table1[[#This Row],[A. TÀI SẢN NGẮN HẠN]]-Table1[[#This Row],[I. Nợ ngắn hạn]])/Table1[[#This Row],[TỔNG CỘNG TÀI SẢN]]</f>
        <v>#DIV/0!</v>
      </c>
      <c r="R1639" s="18" t="e">
        <f>Table1[[#This Row],[- LNST chưa phân phối kỳ này]]/Table1[[#This Row],[TỔNG CỘNG TÀI SẢN]]</f>
        <v>#DIV/0!</v>
      </c>
      <c r="S1639" s="21" t="e">
        <f>Table1[[#This Row],[5. Lợi nhuận gộp về bán hàng và cung cấp dịch vụ]]/Table1[[#This Row],[TỔNG CỘNG TÀI SẢN]]</f>
        <v>#DIV/0!</v>
      </c>
      <c r="T163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639" s="23" t="e">
        <f>Table1[[#This Row],[1. Doanh thu bán hàng và cung cấp dịch vụ ]]/Table1[[#This Row],[TỔNG CỘNG TÀI SẢN]]</f>
        <v>#DIV/0!</v>
      </c>
      <c r="V1639" s="23" t="e">
        <f>1.2*Table1[[#This Row],[X1]] + 1.4*Table1[[#This Row],[X2]] + 3.3*Table1[[#This Row],[x3]] + 0.6*Table1[[#This Row],[x4]] + 1*Table1[[#This Row],[x5]]</f>
        <v>#DIV/0!</v>
      </c>
      <c r="W1639" s="23" t="e">
        <f>IF(Table1[[#This Row],[Zscore]]&lt;1.81,1,0)</f>
        <v>#DIV/0!</v>
      </c>
    </row>
    <row r="1640" spans="1:23" hidden="1" x14ac:dyDescent="0.45">
      <c r="A1640" s="7">
        <v>1634</v>
      </c>
      <c r="B1640" s="5" t="s">
        <v>3279</v>
      </c>
      <c r="C1640" s="6" t="s">
        <v>3280</v>
      </c>
      <c r="D1640" s="6" t="s">
        <v>13</v>
      </c>
      <c r="E1640" s="6"/>
      <c r="F1640" s="6"/>
      <c r="G1640" s="6"/>
      <c r="H1640" s="6"/>
      <c r="I1640" s="6"/>
      <c r="J1640" s="8"/>
      <c r="K1640" s="6"/>
      <c r="L1640" s="6"/>
      <c r="M1640" s="8"/>
      <c r="N1640" s="8"/>
      <c r="O1640" s="8"/>
      <c r="P1640" s="8"/>
      <c r="Q1640" s="18" t="e">
        <f>(Table1[[#This Row],[A. TÀI SẢN NGẮN HẠN]]-Table1[[#This Row],[I. Nợ ngắn hạn]])/Table1[[#This Row],[TỔNG CỘNG TÀI SẢN]]</f>
        <v>#DIV/0!</v>
      </c>
      <c r="R1640" s="18" t="e">
        <f>Table1[[#This Row],[- LNST chưa phân phối kỳ này]]/Table1[[#This Row],[TỔNG CỘNG TÀI SẢN]]</f>
        <v>#DIV/0!</v>
      </c>
      <c r="S1640" s="21" t="e">
        <f>Table1[[#This Row],[5. Lợi nhuận gộp về bán hàng và cung cấp dịch vụ]]/Table1[[#This Row],[TỔNG CỘNG TÀI SẢN]]</f>
        <v>#DIV/0!</v>
      </c>
      <c r="T164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640" s="23" t="e">
        <f>Table1[[#This Row],[1. Doanh thu bán hàng và cung cấp dịch vụ ]]/Table1[[#This Row],[TỔNG CỘNG TÀI SẢN]]</f>
        <v>#DIV/0!</v>
      </c>
      <c r="V1640" s="23" t="e">
        <f>1.2*Table1[[#This Row],[X1]] + 1.4*Table1[[#This Row],[X2]] + 3.3*Table1[[#This Row],[x3]] + 0.6*Table1[[#This Row],[x4]] + 1*Table1[[#This Row],[x5]]</f>
        <v>#DIV/0!</v>
      </c>
      <c r="W1640" s="23" t="e">
        <f>IF(Table1[[#This Row],[Zscore]]&lt;1.81,1,0)</f>
        <v>#DIV/0!</v>
      </c>
    </row>
    <row r="1641" spans="1:23" x14ac:dyDescent="0.45">
      <c r="A1641" s="7">
        <v>1635</v>
      </c>
      <c r="B1641" s="5" t="s">
        <v>3281</v>
      </c>
      <c r="C1641" s="6" t="s">
        <v>3282</v>
      </c>
      <c r="D1641" s="6" t="s">
        <v>18</v>
      </c>
      <c r="E1641" s="8">
        <v>247252210365</v>
      </c>
      <c r="F1641" s="8">
        <v>33847250072</v>
      </c>
      <c r="G1641" s="8">
        <v>39288644027</v>
      </c>
      <c r="H1641" s="8">
        <v>12948795584</v>
      </c>
      <c r="I1641" s="8">
        <v>28586857644</v>
      </c>
      <c r="J1641" s="8"/>
      <c r="K1641" s="8">
        <v>52353185785</v>
      </c>
      <c r="L1641" s="8">
        <v>141343462668</v>
      </c>
      <c r="M1641" s="8">
        <v>137841632000</v>
      </c>
      <c r="N1641" s="8">
        <v>174025060400</v>
      </c>
      <c r="O1641" s="8">
        <v>137841632000</v>
      </c>
      <c r="P1641" s="8">
        <v>130949550400</v>
      </c>
      <c r="Q1641" s="18">
        <f>(Table1[[#This Row],[A. TÀI SẢN NGẮN HẠN]]-Table1[[#This Row],[I. Nợ ngắn hạn]])/Table1[[#This Row],[TỔNG CỘNG TÀI SẢN]]</f>
        <v>-2.2007463338617989E-2</v>
      </c>
      <c r="R1641" s="18">
        <f>Table1[[#This Row],[- LNST chưa phân phối kỳ này]]/Table1[[#This Row],[TỔNG CỘNG TÀI SẢN]]</f>
        <v>5.2370798080569873E-2</v>
      </c>
      <c r="S1641" s="21">
        <f>Table1[[#This Row],[5. Lợi nhuận gộp về bán hàng và cung cấp dịch vụ]]/Table1[[#This Row],[TỔNG CỘNG TÀI SẢN]]</f>
        <v>0.11561820863724273</v>
      </c>
      <c r="T164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2.7727915030070984</v>
      </c>
      <c r="U1641" s="23">
        <f>Table1[[#This Row],[1. Doanh thu bán hàng và cung cấp dịch vụ ]]/Table1[[#This Row],[TỔNG CỘNG TÀI SẢN]]</f>
        <v>0.57165702364943549</v>
      </c>
      <c r="V1641" s="23">
        <f>1.2*Table1[[#This Row],[X1]] + 1.4*Table1[[#This Row],[X2]] + 3.3*Table1[[#This Row],[x3]] + 0.6*Table1[[#This Row],[x4]] + 1*Table1[[#This Row],[x5]]</f>
        <v>2.6637821752630515</v>
      </c>
      <c r="W1641" s="23">
        <f>IF(Table1[[#This Row],[Zscore]]&lt;1.81,1,0)</f>
        <v>0</v>
      </c>
    </row>
    <row r="1642" spans="1:23" x14ac:dyDescent="0.45">
      <c r="A1642" s="7">
        <v>1636</v>
      </c>
      <c r="B1642" s="5" t="s">
        <v>3283</v>
      </c>
      <c r="C1642" s="6" t="s">
        <v>3284</v>
      </c>
      <c r="D1642" s="6" t="s">
        <v>18</v>
      </c>
      <c r="E1642" s="8">
        <v>1236309221888</v>
      </c>
      <c r="F1642" s="8">
        <v>156783277468</v>
      </c>
      <c r="G1642" s="8">
        <v>285226020058</v>
      </c>
      <c r="H1642" s="8">
        <v>65944479442</v>
      </c>
      <c r="I1642" s="8">
        <v>173632140548</v>
      </c>
      <c r="J1642" s="8"/>
      <c r="K1642" s="8">
        <v>561137190685</v>
      </c>
      <c r="L1642" s="8">
        <v>868614575453</v>
      </c>
      <c r="M1642" s="8">
        <v>711642302000</v>
      </c>
      <c r="N1642" s="8">
        <v>533731726500</v>
      </c>
      <c r="O1642" s="8">
        <v>696392824100</v>
      </c>
      <c r="P1642" s="8">
        <v>711642302000</v>
      </c>
      <c r="Q1642" s="18">
        <f>(Table1[[#This Row],[A. TÀI SẢN NGẮN HẠN]]-Table1[[#This Row],[I. Nợ ngắn hạn]])/Table1[[#This Row],[TỔNG CỘNG TÀI SẢN]]</f>
        <v>-0.10389208485709728</v>
      </c>
      <c r="R1642" s="18">
        <f>Table1[[#This Row],[- LNST chưa phân phối kỳ này]]/Table1[[#This Row],[TỔNG CỘNG TÀI SẢN]]</f>
        <v>5.3339794182958908E-2</v>
      </c>
      <c r="S1642" s="21">
        <f>Table1[[#This Row],[5. Lợi nhuận gộp về bán hàng và cung cấp dịch vụ]]/Table1[[#This Row],[TỔNG CỘNG TÀI SẢN]]</f>
        <v>0.14044394191514792</v>
      </c>
      <c r="T164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1.1821570547484519</v>
      </c>
      <c r="U1642" s="23">
        <f>Table1[[#This Row],[1. Doanh thu bán hàng và cung cấp dịch vụ ]]/Table1[[#This Row],[TỔNG CỘNG TÀI SẢN]]</f>
        <v>0.70258682866291011</v>
      </c>
      <c r="V1642" s="23">
        <f>1.2*Table1[[#This Row],[X1]] + 1.4*Table1[[#This Row],[X2]] + 3.3*Table1[[#This Row],[x3]] + 0.6*Table1[[#This Row],[x4]] + 1*Table1[[#This Row],[x5]]</f>
        <v>1.825351279859595</v>
      </c>
      <c r="W1642" s="23">
        <f>IF(Table1[[#This Row],[Zscore]]&lt;1.81,1,0)</f>
        <v>0</v>
      </c>
    </row>
    <row r="1643" spans="1:23" hidden="1" x14ac:dyDescent="0.45">
      <c r="A1643" s="7">
        <v>1637</v>
      </c>
      <c r="B1643" s="5" t="s">
        <v>3285</v>
      </c>
      <c r="C1643" s="6" t="s">
        <v>3286</v>
      </c>
      <c r="D1643" s="6" t="s">
        <v>13</v>
      </c>
      <c r="E1643" s="6"/>
      <c r="F1643" s="6"/>
      <c r="G1643" s="6"/>
      <c r="H1643" s="6"/>
      <c r="I1643" s="6"/>
      <c r="J1643" s="8"/>
      <c r="K1643" s="6"/>
      <c r="L1643" s="6"/>
      <c r="M1643" s="8">
        <v>154982786500</v>
      </c>
      <c r="N1643" s="8"/>
      <c r="O1643" s="8"/>
      <c r="P1643" s="8"/>
      <c r="Q1643" s="18" t="e">
        <f>(Table1[[#This Row],[A. TÀI SẢN NGẮN HẠN]]-Table1[[#This Row],[I. Nợ ngắn hạn]])/Table1[[#This Row],[TỔNG CỘNG TÀI SẢN]]</f>
        <v>#DIV/0!</v>
      </c>
      <c r="R1643" s="18" t="e">
        <f>Table1[[#This Row],[- LNST chưa phân phối kỳ này]]/Table1[[#This Row],[TỔNG CỘNG TÀI SẢN]]</f>
        <v>#DIV/0!</v>
      </c>
      <c r="S1643" s="21" t="e">
        <f>Table1[[#This Row],[5. Lợi nhuận gộp về bán hàng và cung cấp dịch vụ]]/Table1[[#This Row],[TỔNG CỘNG TÀI SẢN]]</f>
        <v>#DIV/0!</v>
      </c>
      <c r="T164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643" s="23" t="e">
        <f>Table1[[#This Row],[1. Doanh thu bán hàng và cung cấp dịch vụ ]]/Table1[[#This Row],[TỔNG CỘNG TÀI SẢN]]</f>
        <v>#DIV/0!</v>
      </c>
      <c r="V1643" s="23" t="e">
        <f>1.2*Table1[[#This Row],[X1]] + 1.4*Table1[[#This Row],[X2]] + 3.3*Table1[[#This Row],[x3]] + 0.6*Table1[[#This Row],[x4]] + 1*Table1[[#This Row],[x5]]</f>
        <v>#DIV/0!</v>
      </c>
      <c r="W1643" s="23" t="e">
        <f>IF(Table1[[#This Row],[Zscore]]&lt;1.81,1,0)</f>
        <v>#DIV/0!</v>
      </c>
    </row>
    <row r="1644" spans="1:23" x14ac:dyDescent="0.45">
      <c r="A1644" s="7">
        <v>1638</v>
      </c>
      <c r="B1644" s="5" t="s">
        <v>3287</v>
      </c>
      <c r="C1644" s="6" t="s">
        <v>3288</v>
      </c>
      <c r="D1644" s="6" t="s">
        <v>36</v>
      </c>
      <c r="E1644" s="8">
        <v>2026237608240</v>
      </c>
      <c r="F1644" s="8">
        <v>897023088899</v>
      </c>
      <c r="G1644" s="8">
        <v>666305798589</v>
      </c>
      <c r="H1644" s="8">
        <v>35502172439</v>
      </c>
      <c r="I1644" s="8">
        <v>18417341858</v>
      </c>
      <c r="J1644" s="8"/>
      <c r="K1644" s="8">
        <v>829426222945</v>
      </c>
      <c r="L1644" s="8">
        <v>147278870676</v>
      </c>
      <c r="M1644" s="8">
        <v>490768138600</v>
      </c>
      <c r="N1644" s="8">
        <v>546326795800</v>
      </c>
      <c r="O1644" s="8">
        <v>435209481400</v>
      </c>
      <c r="P1644" s="8">
        <v>611145229200</v>
      </c>
      <c r="Q1644" s="18">
        <f>(Table1[[#This Row],[A. TÀI SẢN NGẮN HẠN]]-Table1[[#This Row],[I. Nợ ngắn hạn]])/Table1[[#This Row],[TỔNG CỘNG TÀI SẢN]]</f>
        <v>0.11386487417455556</v>
      </c>
      <c r="R1644" s="18">
        <f>Table1[[#This Row],[- LNST chưa phân phối kỳ này]]/Table1[[#This Row],[TỔNG CỘNG TÀI SẢN]]</f>
        <v>1.7521228652861379E-2</v>
      </c>
      <c r="S1644" s="21">
        <f>Table1[[#This Row],[5. Lợi nhuận gộp về bán hàng và cung cấp dịch vụ]]/Table1[[#This Row],[TỔNG CỘNG TÀI SẢN]]</f>
        <v>9.0894284969853037E-3</v>
      </c>
      <c r="T164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0.62797919434063865</v>
      </c>
      <c r="U1644" s="23">
        <f>Table1[[#This Row],[1. Doanh thu bán hàng và cung cấp dịch vụ ]]/Table1[[#This Row],[TỔNG CỘNG TÀI SẢN]]</f>
        <v>7.2685883470461871E-2</v>
      </c>
      <c r="V1644" s="23">
        <f>1.2*Table1[[#This Row],[X1]] + 1.4*Table1[[#This Row],[X2]] + 3.3*Table1[[#This Row],[x3]] + 0.6*Table1[[#This Row],[x4]] + 1*Table1[[#This Row],[x5]]</f>
        <v>0.64063608323836918</v>
      </c>
      <c r="W1644" s="23">
        <f>IF(Table1[[#This Row],[Zscore]]&lt;1.81,1,0)</f>
        <v>1</v>
      </c>
    </row>
    <row r="1645" spans="1:23" x14ac:dyDescent="0.45">
      <c r="A1645" s="7">
        <v>1639</v>
      </c>
      <c r="B1645" s="5" t="s">
        <v>3289</v>
      </c>
      <c r="C1645" s="6" t="s">
        <v>3290</v>
      </c>
      <c r="D1645" s="6" t="s">
        <v>13</v>
      </c>
      <c r="E1645" s="8">
        <v>1638631523524</v>
      </c>
      <c r="F1645" s="8">
        <v>287534933193</v>
      </c>
      <c r="G1645" s="8">
        <v>234308946487</v>
      </c>
      <c r="H1645" s="8">
        <v>20334641974</v>
      </c>
      <c r="I1645" s="8">
        <v>380047462152</v>
      </c>
      <c r="J1645" s="8"/>
      <c r="K1645" s="8">
        <v>1050056244861</v>
      </c>
      <c r="L1645" s="8">
        <v>773746834503</v>
      </c>
      <c r="M1645" s="8">
        <v>880400000000</v>
      </c>
      <c r="N1645" s="8">
        <v>863360000000</v>
      </c>
      <c r="O1645" s="8">
        <v>886080000000</v>
      </c>
      <c r="P1645" s="8">
        <v>1715360000000</v>
      </c>
      <c r="Q1645" s="18">
        <f>(Table1[[#This Row],[A. TÀI SẢN NGẮN HẠN]]-Table1[[#This Row],[I. Nợ ngắn hạn]])/Table1[[#This Row],[TỔNG CỘNG TÀI SẢN]]</f>
        <v>3.2481974099664288E-2</v>
      </c>
      <c r="R1645" s="18">
        <f>Table1[[#This Row],[- LNST chưa phân phối kỳ này]]/Table1[[#This Row],[TỔNG CỘNG TÀI SẢN]]</f>
        <v>1.2409526902221938E-2</v>
      </c>
      <c r="S1645" s="21">
        <f>Table1[[#This Row],[5. Lợi nhuận gộp về bán hàng và cung cấp dịch vụ]]/Table1[[#This Row],[TỔNG CỘNG TÀI SẢN]]</f>
        <v>0.23192978817756382</v>
      </c>
      <c r="T164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1.0345160131339419</v>
      </c>
      <c r="U1645" s="23">
        <f>Table1[[#This Row],[1. Doanh thu bán hàng và cung cấp dịch vụ ]]/Table1[[#This Row],[TỔNG CỘNG TÀI SẢN]]</f>
        <v>0.47219086377576786</v>
      </c>
      <c r="V1645" s="23">
        <f>1.2*Table1[[#This Row],[X1]] + 1.4*Table1[[#This Row],[X2]] + 3.3*Table1[[#This Row],[x3]] + 0.6*Table1[[#This Row],[x4]] + 1*Table1[[#This Row],[x5]]</f>
        <v>1.9146204792248014</v>
      </c>
      <c r="W1645" s="23">
        <f>IF(Table1[[#This Row],[Zscore]]&lt;1.81,1,0)</f>
        <v>0</v>
      </c>
    </row>
    <row r="1646" spans="1:23" ht="26.25" hidden="1" x14ac:dyDescent="0.45">
      <c r="A1646" s="7">
        <v>1640</v>
      </c>
      <c r="B1646" s="5" t="s">
        <v>3291</v>
      </c>
      <c r="C1646" s="6" t="s">
        <v>3292</v>
      </c>
      <c r="D1646" s="6" t="s">
        <v>13</v>
      </c>
      <c r="E1646" s="6"/>
      <c r="F1646" s="6"/>
      <c r="G1646" s="6"/>
      <c r="H1646" s="6"/>
      <c r="I1646" s="6"/>
      <c r="J1646" s="8"/>
      <c r="K1646" s="6"/>
      <c r="L1646" s="6"/>
      <c r="M1646" s="8"/>
      <c r="N1646" s="8"/>
      <c r="O1646" s="8"/>
      <c r="P1646" s="8"/>
      <c r="Q1646" s="18" t="e">
        <f>(Table1[[#This Row],[A. TÀI SẢN NGẮN HẠN]]-Table1[[#This Row],[I. Nợ ngắn hạn]])/Table1[[#This Row],[TỔNG CỘNG TÀI SẢN]]</f>
        <v>#DIV/0!</v>
      </c>
      <c r="R1646" s="18" t="e">
        <f>Table1[[#This Row],[- LNST chưa phân phối kỳ này]]/Table1[[#This Row],[TỔNG CỘNG TÀI SẢN]]</f>
        <v>#DIV/0!</v>
      </c>
      <c r="S1646" s="21" t="e">
        <f>Table1[[#This Row],[5. Lợi nhuận gộp về bán hàng và cung cấp dịch vụ]]/Table1[[#This Row],[TỔNG CỘNG TÀI SẢN]]</f>
        <v>#DIV/0!</v>
      </c>
      <c r="T164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646" s="23" t="e">
        <f>Table1[[#This Row],[1. Doanh thu bán hàng và cung cấp dịch vụ ]]/Table1[[#This Row],[TỔNG CỘNG TÀI SẢN]]</f>
        <v>#DIV/0!</v>
      </c>
      <c r="V1646" s="23" t="e">
        <f>1.2*Table1[[#This Row],[X1]] + 1.4*Table1[[#This Row],[X2]] + 3.3*Table1[[#This Row],[x3]] + 0.6*Table1[[#This Row],[x4]] + 1*Table1[[#This Row],[x5]]</f>
        <v>#DIV/0!</v>
      </c>
      <c r="W1646" s="23" t="e">
        <f>IF(Table1[[#This Row],[Zscore]]&lt;1.81,1,0)</f>
        <v>#DIV/0!</v>
      </c>
    </row>
    <row r="1647" spans="1:23" ht="26.25" x14ac:dyDescent="0.45">
      <c r="A1647" s="7">
        <v>1641</v>
      </c>
      <c r="B1647" s="5" t="s">
        <v>3293</v>
      </c>
      <c r="C1647" s="6" t="s">
        <v>3294</v>
      </c>
      <c r="D1647" s="6" t="s">
        <v>21</v>
      </c>
      <c r="E1647" s="8">
        <v>2612850876555</v>
      </c>
      <c r="F1647" s="8">
        <v>1797685670592</v>
      </c>
      <c r="G1647" s="8">
        <v>920330154664</v>
      </c>
      <c r="H1647" s="8">
        <v>226233523876</v>
      </c>
      <c r="I1647" s="8">
        <v>671148806735</v>
      </c>
      <c r="J1647" s="8"/>
      <c r="K1647" s="8">
        <v>952902336297</v>
      </c>
      <c r="L1647" s="8">
        <v>2461411347256</v>
      </c>
      <c r="M1647" s="8">
        <v>1462199731200</v>
      </c>
      <c r="N1647" s="8">
        <v>1356752635200</v>
      </c>
      <c r="O1647" s="8">
        <v>1476259344000</v>
      </c>
      <c r="P1647" s="8">
        <v>1405961280000</v>
      </c>
      <c r="Q1647" s="18">
        <f>(Table1[[#This Row],[A. TÀI SẢN NGẮN HẠN]]-Table1[[#This Row],[I. Nợ ngắn hạn]])/Table1[[#This Row],[TỔNG CỘNG TÀI SẢN]]</f>
        <v>0.33578476437383925</v>
      </c>
      <c r="R1647" s="18">
        <f>Table1[[#This Row],[- LNST chưa phân phối kỳ này]]/Table1[[#This Row],[TỔNG CỘNG TÀI SẢN]]</f>
        <v>8.6584935216159412E-2</v>
      </c>
      <c r="S1647" s="21">
        <f>Table1[[#This Row],[5. Lợi nhuận gộp về bán hàng và cung cấp dịch vụ]]/Table1[[#This Row],[TỔNG CỘNG TÀI SẢN]]</f>
        <v>0.25686456611710595</v>
      </c>
      <c r="T164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1.4957390629754586</v>
      </c>
      <c r="U1647" s="23">
        <f>Table1[[#This Row],[1. Doanh thu bán hàng và cung cấp dịch vụ ]]/Table1[[#This Row],[TỔNG CỘNG TÀI SẢN]]</f>
        <v>0.94204050041360554</v>
      </c>
      <c r="V1647" s="23">
        <f>1.2*Table1[[#This Row],[X1]] + 1.4*Table1[[#This Row],[X2]] + 3.3*Table1[[#This Row],[x3]] + 0.6*Table1[[#This Row],[x4]] + 1*Table1[[#This Row],[x5]]</f>
        <v>3.2112976329365606</v>
      </c>
      <c r="W1647" s="23">
        <f>IF(Table1[[#This Row],[Zscore]]&lt;1.81,1,0)</f>
        <v>0</v>
      </c>
    </row>
    <row r="1648" spans="1:23" hidden="1" x14ac:dyDescent="0.45">
      <c r="A1648" s="7">
        <v>1642</v>
      </c>
      <c r="B1648" s="5" t="s">
        <v>3295</v>
      </c>
      <c r="C1648" s="6" t="s">
        <v>3296</v>
      </c>
      <c r="D1648" s="6" t="s">
        <v>13</v>
      </c>
      <c r="E1648" s="6"/>
      <c r="F1648" s="6"/>
      <c r="G1648" s="6"/>
      <c r="H1648" s="6"/>
      <c r="I1648" s="6"/>
      <c r="J1648" s="8"/>
      <c r="K1648" s="6"/>
      <c r="L1648" s="6"/>
      <c r="M1648" s="8"/>
      <c r="N1648" s="8"/>
      <c r="O1648" s="8"/>
      <c r="P1648" s="8"/>
      <c r="Q1648" s="18" t="e">
        <f>(Table1[[#This Row],[A. TÀI SẢN NGẮN HẠN]]-Table1[[#This Row],[I. Nợ ngắn hạn]])/Table1[[#This Row],[TỔNG CỘNG TÀI SẢN]]</f>
        <v>#DIV/0!</v>
      </c>
      <c r="R1648" s="18" t="e">
        <f>Table1[[#This Row],[- LNST chưa phân phối kỳ này]]/Table1[[#This Row],[TỔNG CỘNG TÀI SẢN]]</f>
        <v>#DIV/0!</v>
      </c>
      <c r="S1648" s="21" t="e">
        <f>Table1[[#This Row],[5. Lợi nhuận gộp về bán hàng và cung cấp dịch vụ]]/Table1[[#This Row],[TỔNG CỘNG TÀI SẢN]]</f>
        <v>#DIV/0!</v>
      </c>
      <c r="T164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648" s="23" t="e">
        <f>Table1[[#This Row],[1. Doanh thu bán hàng và cung cấp dịch vụ ]]/Table1[[#This Row],[TỔNG CỘNG TÀI SẢN]]</f>
        <v>#DIV/0!</v>
      </c>
      <c r="V1648" s="23" t="e">
        <f>1.2*Table1[[#This Row],[X1]] + 1.4*Table1[[#This Row],[X2]] + 3.3*Table1[[#This Row],[x3]] + 0.6*Table1[[#This Row],[x4]] + 1*Table1[[#This Row],[x5]]</f>
        <v>#DIV/0!</v>
      </c>
      <c r="W1648" s="23" t="e">
        <f>IF(Table1[[#This Row],[Zscore]]&lt;1.81,1,0)</f>
        <v>#DIV/0!</v>
      </c>
    </row>
    <row r="1649" spans="1:23" hidden="1" x14ac:dyDescent="0.45">
      <c r="A1649" s="7">
        <v>1643</v>
      </c>
      <c r="B1649" s="5" t="s">
        <v>3297</v>
      </c>
      <c r="C1649" s="6" t="s">
        <v>3298</v>
      </c>
      <c r="D1649" s="6" t="s">
        <v>18</v>
      </c>
      <c r="E1649" s="6"/>
      <c r="F1649" s="6"/>
      <c r="G1649" s="6"/>
      <c r="H1649" s="6"/>
      <c r="I1649" s="6"/>
      <c r="J1649" s="8"/>
      <c r="K1649" s="6"/>
      <c r="L1649" s="6"/>
      <c r="M1649" s="8"/>
      <c r="N1649" s="8"/>
      <c r="O1649" s="8"/>
      <c r="P1649" s="8"/>
      <c r="Q1649" s="18" t="e">
        <f>(Table1[[#This Row],[A. TÀI SẢN NGẮN HẠN]]-Table1[[#This Row],[I. Nợ ngắn hạn]])/Table1[[#This Row],[TỔNG CỘNG TÀI SẢN]]</f>
        <v>#DIV/0!</v>
      </c>
      <c r="R1649" s="18" t="e">
        <f>Table1[[#This Row],[- LNST chưa phân phối kỳ này]]/Table1[[#This Row],[TỔNG CỘNG TÀI SẢN]]</f>
        <v>#DIV/0!</v>
      </c>
      <c r="S1649" s="21" t="e">
        <f>Table1[[#This Row],[5. Lợi nhuận gộp về bán hàng và cung cấp dịch vụ]]/Table1[[#This Row],[TỔNG CỘNG TÀI SẢN]]</f>
        <v>#DIV/0!</v>
      </c>
      <c r="T164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649" s="23" t="e">
        <f>Table1[[#This Row],[1. Doanh thu bán hàng và cung cấp dịch vụ ]]/Table1[[#This Row],[TỔNG CỘNG TÀI SẢN]]</f>
        <v>#DIV/0!</v>
      </c>
      <c r="V1649" s="23" t="e">
        <f>1.2*Table1[[#This Row],[X1]] + 1.4*Table1[[#This Row],[X2]] + 3.3*Table1[[#This Row],[x3]] + 0.6*Table1[[#This Row],[x4]] + 1*Table1[[#This Row],[x5]]</f>
        <v>#DIV/0!</v>
      </c>
      <c r="W1649" s="23" t="e">
        <f>IF(Table1[[#This Row],[Zscore]]&lt;1.81,1,0)</f>
        <v>#DIV/0!</v>
      </c>
    </row>
    <row r="1650" spans="1:23" ht="26.25" x14ac:dyDescent="0.45">
      <c r="A1650" s="7">
        <v>1644</v>
      </c>
      <c r="B1650" s="5" t="s">
        <v>3299</v>
      </c>
      <c r="C1650" s="6" t="s">
        <v>3300</v>
      </c>
      <c r="D1650" s="6" t="s">
        <v>36</v>
      </c>
      <c r="E1650" s="8">
        <v>932178187580</v>
      </c>
      <c r="F1650" s="8">
        <v>812041766129</v>
      </c>
      <c r="G1650" s="8">
        <v>685496480904</v>
      </c>
      <c r="H1650" s="8">
        <v>3516027580</v>
      </c>
      <c r="I1650" s="8">
        <v>50014946672</v>
      </c>
      <c r="J1650" s="8"/>
      <c r="K1650" s="8">
        <v>690875654462</v>
      </c>
      <c r="L1650" s="8">
        <v>1142719428610</v>
      </c>
      <c r="M1650" s="8">
        <v>103467185000</v>
      </c>
      <c r="N1650" s="8">
        <v>93120466500</v>
      </c>
      <c r="O1650" s="8">
        <v>86912435400</v>
      </c>
      <c r="P1650" s="8">
        <v>97259153900</v>
      </c>
      <c r="Q1650" s="18">
        <f>(Table1[[#This Row],[A. TÀI SẢN NGẮN HẠN]]-Table1[[#This Row],[I. Nợ ngắn hạn]])/Table1[[#This Row],[TỔNG CỘNG TÀI SẢN]]</f>
        <v>0.13575224877715755</v>
      </c>
      <c r="R1650" s="18">
        <f>Table1[[#This Row],[- LNST chưa phân phối kỳ này]]/Table1[[#This Row],[TỔNG CỘNG TÀI SẢN]]</f>
        <v>3.7718406489727616E-3</v>
      </c>
      <c r="S1650" s="21">
        <f>Table1[[#This Row],[5. Lợi nhuận gộp về bán hàng và cung cấp dịch vụ]]/Table1[[#This Row],[TỔNG CỘNG TÀI SẢN]]</f>
        <v>5.3653847878421521E-2</v>
      </c>
      <c r="T165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0.13778139320038191</v>
      </c>
      <c r="U1650" s="23">
        <f>Table1[[#This Row],[1. Doanh thu bán hàng và cung cấp dịch vụ ]]/Table1[[#This Row],[TỔNG CỘNG TÀI SẢN]]</f>
        <v>1.225859437428567</v>
      </c>
      <c r="V1650" s="23">
        <f>1.2*Table1[[#This Row],[X1]] + 1.4*Table1[[#This Row],[X2]] + 3.3*Table1[[#This Row],[x3]] + 0.6*Table1[[#This Row],[x4]] + 1*Table1[[#This Row],[x5]]</f>
        <v>1.6537692467887379</v>
      </c>
      <c r="W1650" s="23">
        <f>IF(Table1[[#This Row],[Zscore]]&lt;1.81,1,0)</f>
        <v>1</v>
      </c>
    </row>
    <row r="1651" spans="1:23" hidden="1" x14ac:dyDescent="0.45">
      <c r="A1651" s="7">
        <v>1645</v>
      </c>
      <c r="B1651" s="5" t="s">
        <v>3301</v>
      </c>
      <c r="C1651" s="6" t="s">
        <v>3302</v>
      </c>
      <c r="D1651" s="6" t="s">
        <v>13</v>
      </c>
      <c r="E1651" s="8">
        <v>2245485753056</v>
      </c>
      <c r="F1651" s="8">
        <v>2232453529614</v>
      </c>
      <c r="G1651" s="8">
        <v>880551785993</v>
      </c>
      <c r="H1651" s="8">
        <v>30756379423</v>
      </c>
      <c r="I1651" s="8">
        <v>473733087142</v>
      </c>
      <c r="J1651" s="8"/>
      <c r="K1651" s="8">
        <v>880551785993</v>
      </c>
      <c r="L1651" s="8">
        <v>518097462291</v>
      </c>
      <c r="M1651" s="8"/>
      <c r="N1651" s="8"/>
      <c r="O1651" s="8"/>
      <c r="P1651" s="8"/>
      <c r="Q1651" s="18">
        <f>(Table1[[#This Row],[A. TÀI SẢN NGẮN HẠN]]-Table1[[#This Row],[I. Nợ ngắn hạn]])/Table1[[#This Row],[TỔNG CỘNG TÀI SẢN]]</f>
        <v>0.60205313784829206</v>
      </c>
      <c r="R1651" s="18">
        <f>Table1[[#This Row],[- LNST chưa phân phối kỳ này]]/Table1[[#This Row],[TỔNG CỘNG TÀI SẢN]]</f>
        <v>1.369698266005118E-2</v>
      </c>
      <c r="S1651" s="21">
        <f>Table1[[#This Row],[5. Lợi nhuận gộp về bán hàng và cung cấp dịch vụ]]/Table1[[#This Row],[TỔNG CỘNG TÀI SẢN]]</f>
        <v>0.21097131722936638</v>
      </c>
      <c r="T165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651" s="23">
        <f>Table1[[#This Row],[1. Doanh thu bán hàng và cung cấp dịch vụ ]]/Table1[[#This Row],[TỔNG CỘNG TÀI SẢN]]</f>
        <v>0.23072845667619749</v>
      </c>
      <c r="V1651" s="23" t="e">
        <f>1.2*Table1[[#This Row],[X1]] + 1.4*Table1[[#This Row],[X2]] + 3.3*Table1[[#This Row],[x3]] + 0.6*Table1[[#This Row],[x4]] + 1*Table1[[#This Row],[x5]]</f>
        <v>#DIV/0!</v>
      </c>
      <c r="W1651" s="23" t="e">
        <f>IF(Table1[[#This Row],[Zscore]]&lt;1.81,1,0)</f>
        <v>#DIV/0!</v>
      </c>
    </row>
    <row r="1652" spans="1:23" x14ac:dyDescent="0.45">
      <c r="A1652" s="7">
        <v>1646</v>
      </c>
      <c r="B1652" s="5" t="s">
        <v>3303</v>
      </c>
      <c r="C1652" s="6" t="s">
        <v>3304</v>
      </c>
      <c r="D1652" s="6" t="s">
        <v>18</v>
      </c>
      <c r="E1652" s="8">
        <v>178026530330</v>
      </c>
      <c r="F1652" s="8">
        <v>56698358371</v>
      </c>
      <c r="G1652" s="8">
        <v>20226006588</v>
      </c>
      <c r="H1652" s="6"/>
      <c r="I1652" s="8">
        <v>32673064044</v>
      </c>
      <c r="J1652" s="8"/>
      <c r="K1652" s="8">
        <v>51065745177</v>
      </c>
      <c r="L1652" s="8">
        <v>141866741053</v>
      </c>
      <c r="M1652" s="8"/>
      <c r="N1652" s="8">
        <v>256244485500</v>
      </c>
      <c r="O1652" s="8">
        <v>224995158000</v>
      </c>
      <c r="P1652" s="8">
        <v>224995158000</v>
      </c>
      <c r="Q1652" s="18">
        <f>(Table1[[#This Row],[A. TÀI SẢN NGẮN HẠN]]-Table1[[#This Row],[I. Nợ ngắn hạn]])/Table1[[#This Row],[TỔNG CỘNG TÀI SẢN]]</f>
        <v>0.20487031744871281</v>
      </c>
      <c r="R1652" s="18">
        <f>Table1[[#This Row],[- LNST chưa phân phối kỳ này]]/Table1[[#This Row],[TỔNG CỘNG TÀI SẢN]]</f>
        <v>0</v>
      </c>
      <c r="S1652" s="21">
        <f>Table1[[#This Row],[5. Lợi nhuận gộp về bán hàng và cung cấp dịch vụ]]/Table1[[#This Row],[TỔNG CỘNG TÀI SẢN]]</f>
        <v>0.18352918513569505</v>
      </c>
      <c r="T165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4.6099709244237044</v>
      </c>
      <c r="U1652" s="23">
        <f>Table1[[#This Row],[1. Doanh thu bán hàng và cung cấp dịch vụ ]]/Table1[[#This Row],[TỔNG CỘNG TÀI SẢN]]</f>
        <v>0.79688539000354508</v>
      </c>
      <c r="V1652" s="23">
        <f>1.2*Table1[[#This Row],[X1]] + 1.4*Table1[[#This Row],[X2]] + 3.3*Table1[[#This Row],[x3]] + 0.6*Table1[[#This Row],[x4]] + 1*Table1[[#This Row],[x5]]</f>
        <v>4.4143586365440175</v>
      </c>
      <c r="W1652" s="23">
        <f>IF(Table1[[#This Row],[Zscore]]&lt;1.81,1,0)</f>
        <v>0</v>
      </c>
    </row>
    <row r="1653" spans="1:23" hidden="1" x14ac:dyDescent="0.45">
      <c r="A1653" s="7">
        <v>1647</v>
      </c>
      <c r="B1653" s="5" t="s">
        <v>3305</v>
      </c>
      <c r="C1653" s="6" t="s">
        <v>3306</v>
      </c>
      <c r="D1653" s="6" t="s">
        <v>13</v>
      </c>
      <c r="E1653" s="6"/>
      <c r="F1653" s="6"/>
      <c r="G1653" s="6"/>
      <c r="H1653" s="6"/>
      <c r="I1653" s="6"/>
      <c r="J1653" s="8"/>
      <c r="K1653" s="6"/>
      <c r="L1653" s="6"/>
      <c r="M1653" s="8"/>
      <c r="N1653" s="8"/>
      <c r="O1653" s="8"/>
      <c r="P1653" s="8"/>
      <c r="Q1653" s="18" t="e">
        <f>(Table1[[#This Row],[A. TÀI SẢN NGẮN HẠN]]-Table1[[#This Row],[I. Nợ ngắn hạn]])/Table1[[#This Row],[TỔNG CỘNG TÀI SẢN]]</f>
        <v>#DIV/0!</v>
      </c>
      <c r="R1653" s="18" t="e">
        <f>Table1[[#This Row],[- LNST chưa phân phối kỳ này]]/Table1[[#This Row],[TỔNG CỘNG TÀI SẢN]]</f>
        <v>#DIV/0!</v>
      </c>
      <c r="S1653" s="21" t="e">
        <f>Table1[[#This Row],[5. Lợi nhuận gộp về bán hàng và cung cấp dịch vụ]]/Table1[[#This Row],[TỔNG CỘNG TÀI SẢN]]</f>
        <v>#DIV/0!</v>
      </c>
      <c r="T165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653" s="23" t="e">
        <f>Table1[[#This Row],[1. Doanh thu bán hàng và cung cấp dịch vụ ]]/Table1[[#This Row],[TỔNG CỘNG TÀI SẢN]]</f>
        <v>#DIV/0!</v>
      </c>
      <c r="V1653" s="23" t="e">
        <f>1.2*Table1[[#This Row],[X1]] + 1.4*Table1[[#This Row],[X2]] + 3.3*Table1[[#This Row],[x3]] + 0.6*Table1[[#This Row],[x4]] + 1*Table1[[#This Row],[x5]]</f>
        <v>#DIV/0!</v>
      </c>
      <c r="W1653" s="23" t="e">
        <f>IF(Table1[[#This Row],[Zscore]]&lt;1.81,1,0)</f>
        <v>#DIV/0!</v>
      </c>
    </row>
    <row r="1654" spans="1:23" hidden="1" x14ac:dyDescent="0.45">
      <c r="A1654" s="7">
        <v>1648</v>
      </c>
      <c r="B1654" s="5" t="s">
        <v>3307</v>
      </c>
      <c r="C1654" s="6" t="s">
        <v>3308</v>
      </c>
      <c r="D1654" s="6" t="s">
        <v>13</v>
      </c>
      <c r="E1654" s="6"/>
      <c r="F1654" s="6"/>
      <c r="G1654" s="6"/>
      <c r="H1654" s="6"/>
      <c r="I1654" s="6"/>
      <c r="J1654" s="8"/>
      <c r="K1654" s="6"/>
      <c r="L1654" s="6"/>
      <c r="M1654" s="8"/>
      <c r="N1654" s="8"/>
      <c r="O1654" s="8"/>
      <c r="P1654" s="8"/>
      <c r="Q1654" s="18" t="e">
        <f>(Table1[[#This Row],[A. TÀI SẢN NGẮN HẠN]]-Table1[[#This Row],[I. Nợ ngắn hạn]])/Table1[[#This Row],[TỔNG CỘNG TÀI SẢN]]</f>
        <v>#DIV/0!</v>
      </c>
      <c r="R1654" s="18" t="e">
        <f>Table1[[#This Row],[- LNST chưa phân phối kỳ này]]/Table1[[#This Row],[TỔNG CỘNG TÀI SẢN]]</f>
        <v>#DIV/0!</v>
      </c>
      <c r="S1654" s="21" t="e">
        <f>Table1[[#This Row],[5. Lợi nhuận gộp về bán hàng và cung cấp dịch vụ]]/Table1[[#This Row],[TỔNG CỘNG TÀI SẢN]]</f>
        <v>#DIV/0!</v>
      </c>
      <c r="T165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654" s="23" t="e">
        <f>Table1[[#This Row],[1. Doanh thu bán hàng và cung cấp dịch vụ ]]/Table1[[#This Row],[TỔNG CỘNG TÀI SẢN]]</f>
        <v>#DIV/0!</v>
      </c>
      <c r="V1654" s="23" t="e">
        <f>1.2*Table1[[#This Row],[X1]] + 1.4*Table1[[#This Row],[X2]] + 3.3*Table1[[#This Row],[x3]] + 0.6*Table1[[#This Row],[x4]] + 1*Table1[[#This Row],[x5]]</f>
        <v>#DIV/0!</v>
      </c>
      <c r="W1654" s="23" t="e">
        <f>IF(Table1[[#This Row],[Zscore]]&lt;1.81,1,0)</f>
        <v>#DIV/0!</v>
      </c>
    </row>
    <row r="1655" spans="1:23" hidden="1" x14ac:dyDescent="0.45">
      <c r="A1655" s="7">
        <v>1649</v>
      </c>
      <c r="B1655" s="5" t="s">
        <v>3309</v>
      </c>
      <c r="C1655" s="6" t="s">
        <v>3310</v>
      </c>
      <c r="D1655" s="6" t="s">
        <v>18</v>
      </c>
      <c r="E1655" s="6"/>
      <c r="F1655" s="6"/>
      <c r="G1655" s="6"/>
      <c r="H1655" s="6"/>
      <c r="I1655" s="6"/>
      <c r="J1655" s="8"/>
      <c r="K1655" s="6"/>
      <c r="L1655" s="6"/>
      <c r="M1655" s="8"/>
      <c r="N1655" s="8"/>
      <c r="O1655" s="8"/>
      <c r="P1655" s="8"/>
      <c r="Q1655" s="18" t="e">
        <f>(Table1[[#This Row],[A. TÀI SẢN NGẮN HẠN]]-Table1[[#This Row],[I. Nợ ngắn hạn]])/Table1[[#This Row],[TỔNG CỘNG TÀI SẢN]]</f>
        <v>#DIV/0!</v>
      </c>
      <c r="R1655" s="18" t="e">
        <f>Table1[[#This Row],[- LNST chưa phân phối kỳ này]]/Table1[[#This Row],[TỔNG CỘNG TÀI SẢN]]</f>
        <v>#DIV/0!</v>
      </c>
      <c r="S1655" s="21" t="e">
        <f>Table1[[#This Row],[5. Lợi nhuận gộp về bán hàng và cung cấp dịch vụ]]/Table1[[#This Row],[TỔNG CỘNG TÀI SẢN]]</f>
        <v>#DIV/0!</v>
      </c>
      <c r="T165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655" s="23" t="e">
        <f>Table1[[#This Row],[1. Doanh thu bán hàng và cung cấp dịch vụ ]]/Table1[[#This Row],[TỔNG CỘNG TÀI SẢN]]</f>
        <v>#DIV/0!</v>
      </c>
      <c r="V1655" s="23" t="e">
        <f>1.2*Table1[[#This Row],[X1]] + 1.4*Table1[[#This Row],[X2]] + 3.3*Table1[[#This Row],[x3]] + 0.6*Table1[[#This Row],[x4]] + 1*Table1[[#This Row],[x5]]</f>
        <v>#DIV/0!</v>
      </c>
      <c r="W1655" s="23" t="e">
        <f>IF(Table1[[#This Row],[Zscore]]&lt;1.81,1,0)</f>
        <v>#DIV/0!</v>
      </c>
    </row>
    <row r="1656" spans="1:23" x14ac:dyDescent="0.45">
      <c r="A1656" s="7">
        <v>1650</v>
      </c>
      <c r="B1656" s="5" t="s">
        <v>3311</v>
      </c>
      <c r="C1656" s="6" t="s">
        <v>3312</v>
      </c>
      <c r="D1656" s="6" t="s">
        <v>36</v>
      </c>
      <c r="E1656" s="8">
        <v>454729940439</v>
      </c>
      <c r="F1656" s="8">
        <v>380849279809</v>
      </c>
      <c r="G1656" s="8">
        <v>261764728692</v>
      </c>
      <c r="H1656" s="8">
        <v>24323339774</v>
      </c>
      <c r="I1656" s="8">
        <v>159483658733</v>
      </c>
      <c r="J1656" s="8"/>
      <c r="K1656" s="8">
        <v>261764728692</v>
      </c>
      <c r="L1656" s="8">
        <v>945369382036</v>
      </c>
      <c r="M1656" s="8">
        <v>124342233300</v>
      </c>
      <c r="N1656" s="8">
        <v>129943234800</v>
      </c>
      <c r="O1656" s="8">
        <v>148986639900</v>
      </c>
      <c r="P1656" s="8">
        <v>138904837200</v>
      </c>
      <c r="Q1656" s="18">
        <f>(Table1[[#This Row],[A. TÀI SẢN NGẮN HẠN]]-Table1[[#This Row],[I. Nợ ngắn hạn]])/Table1[[#This Row],[TỔNG CỘNG TÀI SẢN]]</f>
        <v>0.26187972360481654</v>
      </c>
      <c r="R1656" s="18">
        <f>Table1[[#This Row],[- LNST chưa phân phối kỳ này]]/Table1[[#This Row],[TỔNG CỘNG TÀI SẢN]]</f>
        <v>5.3489637718858028E-2</v>
      </c>
      <c r="S1656" s="21">
        <f>Table1[[#This Row],[5. Lợi nhuận gộp về bán hàng và cung cấp dịch vụ]]/Table1[[#This Row],[TỔNG CỘNG TÀI SẢN]]</f>
        <v>0.35072170215806148</v>
      </c>
      <c r="T165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0.51780939692408023</v>
      </c>
      <c r="U1656" s="23">
        <f>Table1[[#This Row],[1. Doanh thu bán hàng và cung cấp dịch vụ ]]/Table1[[#This Row],[TỔNG CỘNG TÀI SẢN]]</f>
        <v>2.0789688515414944</v>
      </c>
      <c r="V1656" s="23">
        <f>1.2*Table1[[#This Row],[X1]] + 1.4*Table1[[#This Row],[X2]] + 3.3*Table1[[#This Row],[x3]] + 0.6*Table1[[#This Row],[x4]] + 1*Table1[[#This Row],[x5]]</f>
        <v>3.9361772679497262</v>
      </c>
      <c r="W1656" s="23">
        <f>IF(Table1[[#This Row],[Zscore]]&lt;1.81,1,0)</f>
        <v>0</v>
      </c>
    </row>
    <row r="1657" spans="1:23" ht="26.25" x14ac:dyDescent="0.45">
      <c r="A1657" s="7">
        <v>1651</v>
      </c>
      <c r="B1657" s="5" t="s">
        <v>3313</v>
      </c>
      <c r="C1657" s="6" t="s">
        <v>3314</v>
      </c>
      <c r="D1657" s="6" t="s">
        <v>21</v>
      </c>
      <c r="E1657" s="8">
        <v>9273311226003</v>
      </c>
      <c r="F1657" s="8">
        <v>8033411736979</v>
      </c>
      <c r="G1657" s="8">
        <v>4413910356228</v>
      </c>
      <c r="H1657" s="8">
        <v>1130284802854</v>
      </c>
      <c r="I1657" s="8">
        <v>1247811306946</v>
      </c>
      <c r="J1657" s="8"/>
      <c r="K1657" s="8">
        <v>4413910356228</v>
      </c>
      <c r="L1657" s="8">
        <v>7958219701044</v>
      </c>
      <c r="M1657" s="8">
        <v>5743126778550</v>
      </c>
      <c r="N1657" s="8">
        <v>7009781306150</v>
      </c>
      <c r="O1657" s="8">
        <v>5541613558250</v>
      </c>
      <c r="P1657" s="8">
        <v>6736299078600</v>
      </c>
      <c r="Q1657" s="18">
        <f>(Table1[[#This Row],[A. TÀI SẢN NGẮN HẠN]]-Table1[[#This Row],[I. Nợ ngắn hạn]])/Table1[[#This Row],[TỔNG CỘNG TÀI SẢN]]</f>
        <v>0.39031380404894317</v>
      </c>
      <c r="R1657" s="18">
        <f>Table1[[#This Row],[- LNST chưa phân phối kỳ này]]/Table1[[#This Row],[TỔNG CỘNG TÀI SẢN]]</f>
        <v>0.1218857833310505</v>
      </c>
      <c r="S1657" s="21">
        <f>Table1[[#This Row],[5. Lợi nhuận gộp về bán hàng và cung cấp dịch vụ]]/Table1[[#This Row],[TỔNG CỘNG TÀI SẢN]]</f>
        <v>0.13455941211668293</v>
      </c>
      <c r="T165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1.4177236679847649</v>
      </c>
      <c r="U1657" s="23">
        <f>Table1[[#This Row],[1. Doanh thu bán hàng và cung cấp dịch vụ ]]/Table1[[#This Row],[TỔNG CỘNG TÀI SẢN]]</f>
        <v>0.85818533499971472</v>
      </c>
      <c r="V1657" s="23">
        <f>1.2*Table1[[#This Row],[X1]] + 1.4*Table1[[#This Row],[X2]] + 3.3*Table1[[#This Row],[x3]] + 0.6*Table1[[#This Row],[x4]] + 1*Table1[[#This Row],[x5]]</f>
        <v>2.7918822572978299</v>
      </c>
      <c r="W1657" s="23">
        <f>IF(Table1[[#This Row],[Zscore]]&lt;1.81,1,0)</f>
        <v>0</v>
      </c>
    </row>
    <row r="1658" spans="1:23" ht="26.25" hidden="1" x14ac:dyDescent="0.45">
      <c r="A1658" s="7">
        <v>1652</v>
      </c>
      <c r="B1658" s="5" t="s">
        <v>3315</v>
      </c>
      <c r="C1658" s="6" t="s">
        <v>3316</v>
      </c>
      <c r="D1658" s="6" t="s">
        <v>18</v>
      </c>
      <c r="E1658" s="6"/>
      <c r="F1658" s="6"/>
      <c r="G1658" s="6"/>
      <c r="H1658" s="6"/>
      <c r="I1658" s="6"/>
      <c r="J1658" s="8"/>
      <c r="K1658" s="6"/>
      <c r="L1658" s="6"/>
      <c r="M1658" s="8"/>
      <c r="N1658" s="8"/>
      <c r="O1658" s="8"/>
      <c r="P1658" s="8"/>
      <c r="Q1658" s="18" t="e">
        <f>(Table1[[#This Row],[A. TÀI SẢN NGẮN HẠN]]-Table1[[#This Row],[I. Nợ ngắn hạn]])/Table1[[#This Row],[TỔNG CỘNG TÀI SẢN]]</f>
        <v>#DIV/0!</v>
      </c>
      <c r="R1658" s="18" t="e">
        <f>Table1[[#This Row],[- LNST chưa phân phối kỳ này]]/Table1[[#This Row],[TỔNG CỘNG TÀI SẢN]]</f>
        <v>#DIV/0!</v>
      </c>
      <c r="S1658" s="21" t="e">
        <f>Table1[[#This Row],[5. Lợi nhuận gộp về bán hàng và cung cấp dịch vụ]]/Table1[[#This Row],[TỔNG CỘNG TÀI SẢN]]</f>
        <v>#DIV/0!</v>
      </c>
      <c r="T165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658" s="23" t="e">
        <f>Table1[[#This Row],[1. Doanh thu bán hàng và cung cấp dịch vụ ]]/Table1[[#This Row],[TỔNG CỘNG TÀI SẢN]]</f>
        <v>#DIV/0!</v>
      </c>
      <c r="V1658" s="23" t="e">
        <f>1.2*Table1[[#This Row],[X1]] + 1.4*Table1[[#This Row],[X2]] + 3.3*Table1[[#This Row],[x3]] + 0.6*Table1[[#This Row],[x4]] + 1*Table1[[#This Row],[x5]]</f>
        <v>#DIV/0!</v>
      </c>
      <c r="W1658" s="23" t="e">
        <f>IF(Table1[[#This Row],[Zscore]]&lt;1.81,1,0)</f>
        <v>#DIV/0!</v>
      </c>
    </row>
    <row r="1659" spans="1:23" ht="26.25" x14ac:dyDescent="0.45">
      <c r="A1659" s="7">
        <v>1653</v>
      </c>
      <c r="B1659" s="5" t="s">
        <v>3317</v>
      </c>
      <c r="C1659" s="6" t="s">
        <v>3318</v>
      </c>
      <c r="D1659" s="6" t="s">
        <v>21</v>
      </c>
      <c r="E1659" s="8">
        <v>5970920592737</v>
      </c>
      <c r="F1659" s="8">
        <v>609282266604</v>
      </c>
      <c r="G1659" s="8">
        <v>493703455854</v>
      </c>
      <c r="H1659" s="8">
        <v>321831802648</v>
      </c>
      <c r="I1659" s="8">
        <v>393628917272</v>
      </c>
      <c r="J1659" s="8"/>
      <c r="K1659" s="8">
        <v>4685779366597</v>
      </c>
      <c r="L1659" s="8">
        <v>715708904695</v>
      </c>
      <c r="M1659" s="8">
        <v>5519995400000</v>
      </c>
      <c r="N1659" s="8">
        <v>3753596872000</v>
      </c>
      <c r="O1659" s="8">
        <v>3979196684000</v>
      </c>
      <c r="P1659" s="8">
        <v>3880796766000</v>
      </c>
      <c r="Q1659" s="18">
        <f>(Table1[[#This Row],[A. TÀI SẢN NGẮN HẠN]]-Table1[[#This Row],[I. Nợ ngắn hạn]])/Table1[[#This Row],[TỔNG CỘNG TÀI SẢN]]</f>
        <v>1.9356949896568634E-2</v>
      </c>
      <c r="R1659" s="18">
        <f>Table1[[#This Row],[- LNST chưa phân phối kỳ này]]/Table1[[#This Row],[TỔNG CỘNG TÀI SẢN]]</f>
        <v>5.3899863119847E-2</v>
      </c>
      <c r="S1659" s="21">
        <f>Table1[[#This Row],[5. Lợi nhuận gộp về bán hàng và cung cấp dịch vụ]]/Table1[[#This Row],[TỔNG CỘNG TÀI SẢN]]</f>
        <v>6.5924326267344499E-2</v>
      </c>
      <c r="T165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0.91412678561747418</v>
      </c>
      <c r="U1659" s="23">
        <f>Table1[[#This Row],[1. Doanh thu bán hàng và cung cấp dịch vụ ]]/Table1[[#This Row],[TỔNG CỘNG TÀI SẢN]]</f>
        <v>0.1198657549667609</v>
      </c>
      <c r="V1659" s="23">
        <f>1.2*Table1[[#This Row],[X1]] + 1.4*Table1[[#This Row],[X2]] + 3.3*Table1[[#This Row],[x3]] + 0.6*Table1[[#This Row],[x4]] + 1*Table1[[#This Row],[x5]]</f>
        <v>0.98458025126315041</v>
      </c>
      <c r="W1659" s="23">
        <f>IF(Table1[[#This Row],[Zscore]]&lt;1.81,1,0)</f>
        <v>1</v>
      </c>
    </row>
    <row r="1660" spans="1:23" hidden="1" x14ac:dyDescent="0.45">
      <c r="A1660" s="7">
        <v>1654</v>
      </c>
      <c r="B1660" s="5" t="s">
        <v>3319</v>
      </c>
      <c r="C1660" s="6" t="s">
        <v>3320</v>
      </c>
      <c r="D1660" s="6" t="s">
        <v>18</v>
      </c>
      <c r="E1660" s="6"/>
      <c r="F1660" s="6"/>
      <c r="G1660" s="6"/>
      <c r="H1660" s="6"/>
      <c r="I1660" s="6"/>
      <c r="J1660" s="8"/>
      <c r="K1660" s="6"/>
      <c r="L1660" s="6"/>
      <c r="M1660" s="8"/>
      <c r="N1660" s="8"/>
      <c r="O1660" s="8"/>
      <c r="P1660" s="8"/>
      <c r="Q1660" s="18" t="e">
        <f>(Table1[[#This Row],[A. TÀI SẢN NGẮN HẠN]]-Table1[[#This Row],[I. Nợ ngắn hạn]])/Table1[[#This Row],[TỔNG CỘNG TÀI SẢN]]</f>
        <v>#DIV/0!</v>
      </c>
      <c r="R1660" s="18" t="e">
        <f>Table1[[#This Row],[- LNST chưa phân phối kỳ này]]/Table1[[#This Row],[TỔNG CỘNG TÀI SẢN]]</f>
        <v>#DIV/0!</v>
      </c>
      <c r="S1660" s="21" t="e">
        <f>Table1[[#This Row],[5. Lợi nhuận gộp về bán hàng và cung cấp dịch vụ]]/Table1[[#This Row],[TỔNG CỘNG TÀI SẢN]]</f>
        <v>#DIV/0!</v>
      </c>
      <c r="T166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660" s="23" t="e">
        <f>Table1[[#This Row],[1. Doanh thu bán hàng và cung cấp dịch vụ ]]/Table1[[#This Row],[TỔNG CỘNG TÀI SẢN]]</f>
        <v>#DIV/0!</v>
      </c>
      <c r="V1660" s="23" t="e">
        <f>1.2*Table1[[#This Row],[X1]] + 1.4*Table1[[#This Row],[X2]] + 3.3*Table1[[#This Row],[x3]] + 0.6*Table1[[#This Row],[x4]] + 1*Table1[[#This Row],[x5]]</f>
        <v>#DIV/0!</v>
      </c>
      <c r="W1660" s="23" t="e">
        <f>IF(Table1[[#This Row],[Zscore]]&lt;1.81,1,0)</f>
        <v>#DIV/0!</v>
      </c>
    </row>
    <row r="1661" spans="1:23" x14ac:dyDescent="0.45">
      <c r="A1661" s="7">
        <v>1655</v>
      </c>
      <c r="B1661" s="5" t="s">
        <v>3321</v>
      </c>
      <c r="C1661" s="6" t="s">
        <v>3322</v>
      </c>
      <c r="D1661" s="6" t="s">
        <v>36</v>
      </c>
      <c r="E1661" s="8">
        <v>191393398912</v>
      </c>
      <c r="F1661" s="8">
        <v>44562471100</v>
      </c>
      <c r="G1661" s="8">
        <v>16335972623</v>
      </c>
      <c r="H1661" s="8">
        <v>24213641294</v>
      </c>
      <c r="I1661" s="8">
        <v>77011310931</v>
      </c>
      <c r="J1661" s="8"/>
      <c r="K1661" s="8">
        <v>16335972623</v>
      </c>
      <c r="L1661" s="8">
        <v>131315852583</v>
      </c>
      <c r="M1661" s="8">
        <v>572508809000</v>
      </c>
      <c r="N1661" s="8">
        <v>604914968000</v>
      </c>
      <c r="O1661" s="8">
        <v>583310862000</v>
      </c>
      <c r="P1661" s="8">
        <v>594112915000</v>
      </c>
      <c r="Q1661" s="18">
        <f>(Table1[[#This Row],[A. TÀI SẢN NGẮN HẠN]]-Table1[[#This Row],[I. Nợ ngắn hạn]])/Table1[[#This Row],[TỔNG CỘNG TÀI SẢN]]</f>
        <v>0.14747895506039971</v>
      </c>
      <c r="R1661" s="18">
        <f>Table1[[#This Row],[- LNST chưa phân phối kỳ này]]/Table1[[#This Row],[TỔNG CỘNG TÀI SẢN]]</f>
        <v>0.12651241595397494</v>
      </c>
      <c r="S1661" s="21">
        <f>Table1[[#This Row],[5. Lợi nhuận gộp về bán hàng và cung cấp dịch vụ]]/Table1[[#This Row],[TỔNG CỘNG TÀI SẢN]]</f>
        <v>0.40237182352568346</v>
      </c>
      <c r="T166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36.037761698445273</v>
      </c>
      <c r="U1661" s="23">
        <f>Table1[[#This Row],[1. Doanh thu bán hàng và cung cấp dịch vụ ]]/Table1[[#This Row],[TỔNG CỘNG TÀI SẢN]]</f>
        <v>0.68610439717086158</v>
      </c>
      <c r="V1661" s="23">
        <f>1.2*Table1[[#This Row],[X1]] + 1.4*Table1[[#This Row],[X2]] + 3.3*Table1[[#This Row],[x3]] + 0.6*Table1[[#This Row],[x4]] + 1*Table1[[#This Row],[x5]]</f>
        <v>23.990680562280826</v>
      </c>
      <c r="W1661" s="23">
        <f>IF(Table1[[#This Row],[Zscore]]&lt;1.81,1,0)</f>
        <v>0</v>
      </c>
    </row>
    <row r="1662" spans="1:23" x14ac:dyDescent="0.45">
      <c r="A1662" s="7">
        <v>1656</v>
      </c>
      <c r="B1662" s="5" t="s">
        <v>3323</v>
      </c>
      <c r="C1662" s="6" t="s">
        <v>3324</v>
      </c>
      <c r="D1662" s="6" t="s">
        <v>21</v>
      </c>
      <c r="E1662" s="8">
        <v>1884354962271</v>
      </c>
      <c r="F1662" s="8">
        <v>1831519305735</v>
      </c>
      <c r="G1662" s="8">
        <v>249147981813</v>
      </c>
      <c r="H1662" s="8">
        <v>17428350462</v>
      </c>
      <c r="I1662" s="8">
        <v>1537185554</v>
      </c>
      <c r="J1662" s="8"/>
      <c r="K1662" s="8">
        <v>274375408813</v>
      </c>
      <c r="L1662" s="8">
        <v>17517254899</v>
      </c>
      <c r="M1662" s="8">
        <v>2012668350000</v>
      </c>
      <c r="N1662" s="8">
        <v>2238331165000</v>
      </c>
      <c r="O1662" s="8">
        <v>2238331165000</v>
      </c>
      <c r="P1662" s="8">
        <v>2268826140000</v>
      </c>
      <c r="Q1662" s="18">
        <f>(Table1[[#This Row],[A. TÀI SẢN NGẮN HẠN]]-Table1[[#This Row],[I. Nợ ngắn hạn]])/Table1[[#This Row],[TỔNG CỘNG TÀI SẢN]]</f>
        <v>0.83974163870640739</v>
      </c>
      <c r="R1662" s="18">
        <f>Table1[[#This Row],[- LNST chưa phân phối kỳ này]]/Table1[[#This Row],[TỔNG CỘNG TÀI SẢN]]</f>
        <v>9.2489742171483341E-3</v>
      </c>
      <c r="S1662" s="21">
        <f>Table1[[#This Row],[5. Lợi nhuận gộp về bán hàng và cung cấp dịch vụ]]/Table1[[#This Row],[TỔNG CỘNG TÀI SẢN]]</f>
        <v>8.1576220233336722E-4</v>
      </c>
      <c r="T166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7.9800854401360581</v>
      </c>
      <c r="U1662" s="23">
        <f>Table1[[#This Row],[1. Doanh thu bán hàng và cung cấp dịch vụ ]]/Table1[[#This Row],[TỔNG CỘNG TÀI SẢN]]</f>
        <v>9.2961545195754582E-3</v>
      </c>
      <c r="V1662" s="23">
        <f>1.2*Table1[[#This Row],[X1]] + 1.4*Table1[[#This Row],[X2]] + 3.3*Table1[[#This Row],[x3]] + 0.6*Table1[[#This Row],[x4]] + 1*Table1[[#This Row],[x5]]</f>
        <v>5.8206779642206072</v>
      </c>
      <c r="W1662" s="23">
        <f>IF(Table1[[#This Row],[Zscore]]&lt;1.81,1,0)</f>
        <v>0</v>
      </c>
    </row>
    <row r="1663" spans="1:23" x14ac:dyDescent="0.45">
      <c r="A1663" s="7">
        <v>1657</v>
      </c>
      <c r="B1663" s="5" t="s">
        <v>3325</v>
      </c>
      <c r="C1663" s="6" t="s">
        <v>3326</v>
      </c>
      <c r="D1663" s="6" t="s">
        <v>36</v>
      </c>
      <c r="E1663" s="8">
        <v>7047661472102</v>
      </c>
      <c r="F1663" s="8">
        <v>5142616826127</v>
      </c>
      <c r="G1663" s="8">
        <v>2815860457474</v>
      </c>
      <c r="H1663" s="8">
        <v>992866044209</v>
      </c>
      <c r="I1663" s="8">
        <v>2092619851129</v>
      </c>
      <c r="J1663" s="8"/>
      <c r="K1663" s="8">
        <v>2815860457474</v>
      </c>
      <c r="L1663" s="8">
        <v>6950030144172</v>
      </c>
      <c r="M1663" s="8">
        <v>9407130744000</v>
      </c>
      <c r="N1663" s="8">
        <v>11271418698000</v>
      </c>
      <c r="O1663" s="8">
        <v>9335864602000</v>
      </c>
      <c r="P1663" s="8">
        <v>10638577284000</v>
      </c>
      <c r="Q1663" s="18">
        <f>(Table1[[#This Row],[A. TÀI SẢN NGẮN HẠN]]-Table1[[#This Row],[I. Nợ ngắn hạn]])/Table1[[#This Row],[TỔNG CỘNG TÀI SẢN]]</f>
        <v>0.3301458757438066</v>
      </c>
      <c r="R1663" s="18">
        <f>Table1[[#This Row],[- LNST chưa phân phối kỳ này]]/Table1[[#This Row],[TỔNG CỘNG TÀI SẢN]]</f>
        <v>0.14087879336134923</v>
      </c>
      <c r="S1663" s="21">
        <f>Table1[[#This Row],[5. Lợi nhuận gộp về bán hàng và cung cấp dịch vụ]]/Table1[[#This Row],[TỔNG CỘNG TÀI SẢN]]</f>
        <v>0.29692400229673144</v>
      </c>
      <c r="T166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3.6092867475105845</v>
      </c>
      <c r="U1663" s="23">
        <f>Table1[[#This Row],[1. Doanh thu bán hàng và cung cấp dịch vụ ]]/Table1[[#This Row],[TỔNG CỘNG TÀI SẢN]]</f>
        <v>0.98614698956292501</v>
      </c>
      <c r="V1663" s="23">
        <f>1.2*Table1[[#This Row],[X1]] + 1.4*Table1[[#This Row],[X2]] + 3.3*Table1[[#This Row],[x3]] + 0.6*Table1[[#This Row],[x4]] + 1*Table1[[#This Row],[x5]]</f>
        <v>4.7249736072469464</v>
      </c>
      <c r="W1663" s="23">
        <f>IF(Table1[[#This Row],[Zscore]]&lt;1.81,1,0)</f>
        <v>0</v>
      </c>
    </row>
    <row r="1664" spans="1:23" hidden="1" x14ac:dyDescent="0.45">
      <c r="A1664" s="7">
        <v>1658</v>
      </c>
      <c r="B1664" s="5" t="s">
        <v>3327</v>
      </c>
      <c r="C1664" s="6" t="s">
        <v>3328</v>
      </c>
      <c r="D1664" s="6" t="s">
        <v>13</v>
      </c>
      <c r="E1664" s="6"/>
      <c r="F1664" s="6"/>
      <c r="G1664" s="6"/>
      <c r="H1664" s="6"/>
      <c r="I1664" s="6"/>
      <c r="J1664" s="8"/>
      <c r="K1664" s="6"/>
      <c r="L1664" s="6"/>
      <c r="M1664" s="8"/>
      <c r="N1664" s="8"/>
      <c r="O1664" s="8"/>
      <c r="P1664" s="8"/>
      <c r="Q1664" s="18" t="e">
        <f>(Table1[[#This Row],[A. TÀI SẢN NGẮN HẠN]]-Table1[[#This Row],[I. Nợ ngắn hạn]])/Table1[[#This Row],[TỔNG CỘNG TÀI SẢN]]</f>
        <v>#DIV/0!</v>
      </c>
      <c r="R1664" s="18" t="e">
        <f>Table1[[#This Row],[- LNST chưa phân phối kỳ này]]/Table1[[#This Row],[TỔNG CỘNG TÀI SẢN]]</f>
        <v>#DIV/0!</v>
      </c>
      <c r="S1664" s="21" t="e">
        <f>Table1[[#This Row],[5. Lợi nhuận gộp về bán hàng và cung cấp dịch vụ]]/Table1[[#This Row],[TỔNG CỘNG TÀI SẢN]]</f>
        <v>#DIV/0!</v>
      </c>
      <c r="T166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664" s="23" t="e">
        <f>Table1[[#This Row],[1. Doanh thu bán hàng và cung cấp dịch vụ ]]/Table1[[#This Row],[TỔNG CỘNG TÀI SẢN]]</f>
        <v>#DIV/0!</v>
      </c>
      <c r="V1664" s="23" t="e">
        <f>1.2*Table1[[#This Row],[X1]] + 1.4*Table1[[#This Row],[X2]] + 3.3*Table1[[#This Row],[x3]] + 0.6*Table1[[#This Row],[x4]] + 1*Table1[[#This Row],[x5]]</f>
        <v>#DIV/0!</v>
      </c>
      <c r="W1664" s="23" t="e">
        <f>IF(Table1[[#This Row],[Zscore]]&lt;1.81,1,0)</f>
        <v>#DIV/0!</v>
      </c>
    </row>
    <row r="1665" spans="1:23" hidden="1" x14ac:dyDescent="0.45">
      <c r="A1665" s="7">
        <v>1659</v>
      </c>
      <c r="B1665" s="5" t="s">
        <v>3329</v>
      </c>
      <c r="C1665" s="6" t="s">
        <v>3330</v>
      </c>
      <c r="D1665" s="6" t="s">
        <v>13</v>
      </c>
      <c r="E1665" s="6"/>
      <c r="F1665" s="6"/>
      <c r="G1665" s="6"/>
      <c r="H1665" s="6"/>
      <c r="I1665" s="6"/>
      <c r="J1665" s="8"/>
      <c r="K1665" s="6"/>
      <c r="L1665" s="6"/>
      <c r="M1665" s="8"/>
      <c r="N1665" s="8"/>
      <c r="O1665" s="8"/>
      <c r="P1665" s="8"/>
      <c r="Q1665" s="18" t="e">
        <f>(Table1[[#This Row],[A. TÀI SẢN NGẮN HẠN]]-Table1[[#This Row],[I. Nợ ngắn hạn]])/Table1[[#This Row],[TỔNG CỘNG TÀI SẢN]]</f>
        <v>#DIV/0!</v>
      </c>
      <c r="R1665" s="18" t="e">
        <f>Table1[[#This Row],[- LNST chưa phân phối kỳ này]]/Table1[[#This Row],[TỔNG CỘNG TÀI SẢN]]</f>
        <v>#DIV/0!</v>
      </c>
      <c r="S1665" s="21" t="e">
        <f>Table1[[#This Row],[5. Lợi nhuận gộp về bán hàng và cung cấp dịch vụ]]/Table1[[#This Row],[TỔNG CỘNG TÀI SẢN]]</f>
        <v>#DIV/0!</v>
      </c>
      <c r="T166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665" s="23" t="e">
        <f>Table1[[#This Row],[1. Doanh thu bán hàng và cung cấp dịch vụ ]]/Table1[[#This Row],[TỔNG CỘNG TÀI SẢN]]</f>
        <v>#DIV/0!</v>
      </c>
      <c r="V1665" s="23" t="e">
        <f>1.2*Table1[[#This Row],[X1]] + 1.4*Table1[[#This Row],[X2]] + 3.3*Table1[[#This Row],[x3]] + 0.6*Table1[[#This Row],[x4]] + 1*Table1[[#This Row],[x5]]</f>
        <v>#DIV/0!</v>
      </c>
      <c r="W1665" s="23" t="e">
        <f>IF(Table1[[#This Row],[Zscore]]&lt;1.81,1,0)</f>
        <v>#DIV/0!</v>
      </c>
    </row>
    <row r="1666" spans="1:23" x14ac:dyDescent="0.45">
      <c r="A1666" s="7">
        <v>1660</v>
      </c>
      <c r="B1666" s="5" t="s">
        <v>3331</v>
      </c>
      <c r="C1666" s="6" t="s">
        <v>3332</v>
      </c>
      <c r="D1666" s="6" t="s">
        <v>18</v>
      </c>
      <c r="E1666" s="8">
        <v>1123831913917</v>
      </c>
      <c r="F1666" s="8">
        <v>609743740508</v>
      </c>
      <c r="G1666" s="8">
        <v>594787904145</v>
      </c>
      <c r="H1666" s="8">
        <v>38986165316</v>
      </c>
      <c r="I1666" s="8">
        <v>127407449512</v>
      </c>
      <c r="J1666" s="8"/>
      <c r="K1666" s="8">
        <v>897095125807</v>
      </c>
      <c r="L1666" s="8">
        <v>1526835689293</v>
      </c>
      <c r="M1666" s="8">
        <v>227950000000</v>
      </c>
      <c r="N1666" s="8">
        <v>199750000000</v>
      </c>
      <c r="O1666" s="8">
        <v>220900000000</v>
      </c>
      <c r="P1666" s="8">
        <v>235000000000</v>
      </c>
      <c r="Q1666" s="18">
        <f>(Table1[[#This Row],[A. TÀI SẢN NGẮN HẠN]]-Table1[[#This Row],[I. Nợ ngắn hạn]])/Table1[[#This Row],[TỔNG CỘNG TÀI SẢN]]</f>
        <v>1.3307894337039227E-2</v>
      </c>
      <c r="R1666" s="18">
        <f>Table1[[#This Row],[- LNST chưa phân phối kỳ này]]/Table1[[#This Row],[TỔNG CỘNG TÀI SẢN]]</f>
        <v>3.4690388156105791E-2</v>
      </c>
      <c r="S1666" s="21">
        <f>Table1[[#This Row],[5. Lợi nhuận gộp về bán hàng và cung cấp dịch vụ]]/Table1[[#This Row],[TỔNG CỘNG TÀI SẢN]]</f>
        <v>0.11336877689114069</v>
      </c>
      <c r="T166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0.24623921549153993</v>
      </c>
      <c r="U1666" s="23">
        <f>Table1[[#This Row],[1. Doanh thu bán hàng và cung cấp dịch vụ ]]/Table1[[#This Row],[TỔNG CỘNG TÀI SẢN]]</f>
        <v>1.3585979098701442</v>
      </c>
      <c r="V1666" s="23">
        <f>1.2*Table1[[#This Row],[X1]] + 1.4*Table1[[#This Row],[X2]] + 3.3*Table1[[#This Row],[x3]] + 0.6*Table1[[#This Row],[x4]] + 1*Table1[[#This Row],[x5]]</f>
        <v>1.9449944195288276</v>
      </c>
      <c r="W1666" s="23">
        <f>IF(Table1[[#This Row],[Zscore]]&lt;1.81,1,0)</f>
        <v>0</v>
      </c>
    </row>
    <row r="1667" spans="1:23" hidden="1" x14ac:dyDescent="0.45">
      <c r="A1667" s="7">
        <v>1661</v>
      </c>
      <c r="B1667" s="5" t="s">
        <v>3333</v>
      </c>
      <c r="C1667" s="6" t="s">
        <v>3334</v>
      </c>
      <c r="D1667" s="6" t="s">
        <v>18</v>
      </c>
      <c r="E1667" s="8">
        <v>200201434591</v>
      </c>
      <c r="F1667" s="8">
        <v>103514022489</v>
      </c>
      <c r="G1667" s="8">
        <v>31853802030</v>
      </c>
      <c r="H1667" s="8">
        <v>18441536422</v>
      </c>
      <c r="I1667" s="8">
        <v>32117565409</v>
      </c>
      <c r="J1667" s="8"/>
      <c r="K1667" s="8">
        <v>31853802030</v>
      </c>
      <c r="L1667" s="8">
        <v>194775087156</v>
      </c>
      <c r="M1667" s="8"/>
      <c r="N1667" s="8"/>
      <c r="O1667" s="8"/>
      <c r="P1667" s="8"/>
      <c r="Q1667" s="18">
        <f>(Table1[[#This Row],[A. TÀI SẢN NGẮN HẠN]]-Table1[[#This Row],[I. Nợ ngắn hạn]])/Table1[[#This Row],[TỔNG CỘNG TÀI SẢN]]</f>
        <v>0.35794059420901603</v>
      </c>
      <c r="R1667" s="18">
        <f>Table1[[#This Row],[- LNST chưa phân phối kỳ này]]/Table1[[#This Row],[TỔNG CỘNG TÀI SẢN]]</f>
        <v>9.2114906467453628E-2</v>
      </c>
      <c r="S1667" s="21">
        <f>Table1[[#This Row],[5. Lợi nhuận gộp về bán hàng và cung cấp dịch vụ]]/Table1[[#This Row],[TỔNG CỘNG TÀI SẢN]]</f>
        <v>0.1604262500646628</v>
      </c>
      <c r="T166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667" s="23">
        <f>Table1[[#This Row],[1. Doanh thu bán hàng và cung cấp dịch vụ ]]/Table1[[#This Row],[TỔNG CỘNG TÀI SẢN]]</f>
        <v>0.97289556168223412</v>
      </c>
      <c r="V1667" s="23" t="e">
        <f>1.2*Table1[[#This Row],[X1]] + 1.4*Table1[[#This Row],[X2]] + 3.3*Table1[[#This Row],[x3]] + 0.6*Table1[[#This Row],[x4]] + 1*Table1[[#This Row],[x5]]</f>
        <v>#DIV/0!</v>
      </c>
      <c r="W1667" s="23" t="e">
        <f>IF(Table1[[#This Row],[Zscore]]&lt;1.81,1,0)</f>
        <v>#DIV/0!</v>
      </c>
    </row>
    <row r="1668" spans="1:23" hidden="1" x14ac:dyDescent="0.45">
      <c r="A1668" s="7">
        <v>1662</v>
      </c>
      <c r="B1668" s="5" t="s">
        <v>3335</v>
      </c>
      <c r="C1668" s="6" t="s">
        <v>3336</v>
      </c>
      <c r="D1668" s="6" t="s">
        <v>18</v>
      </c>
      <c r="E1668" s="6"/>
      <c r="F1668" s="6"/>
      <c r="G1668" s="6"/>
      <c r="H1668" s="6"/>
      <c r="I1668" s="6"/>
      <c r="J1668" s="8"/>
      <c r="K1668" s="6"/>
      <c r="L1668" s="6"/>
      <c r="M1668" s="8"/>
      <c r="N1668" s="8"/>
      <c r="O1668" s="8"/>
      <c r="P1668" s="8"/>
      <c r="Q1668" s="18" t="e">
        <f>(Table1[[#This Row],[A. TÀI SẢN NGẮN HẠN]]-Table1[[#This Row],[I. Nợ ngắn hạn]])/Table1[[#This Row],[TỔNG CỘNG TÀI SẢN]]</f>
        <v>#DIV/0!</v>
      </c>
      <c r="R1668" s="18" t="e">
        <f>Table1[[#This Row],[- LNST chưa phân phối kỳ này]]/Table1[[#This Row],[TỔNG CỘNG TÀI SẢN]]</f>
        <v>#DIV/0!</v>
      </c>
      <c r="S1668" s="21" t="e">
        <f>Table1[[#This Row],[5. Lợi nhuận gộp về bán hàng và cung cấp dịch vụ]]/Table1[[#This Row],[TỔNG CỘNG TÀI SẢN]]</f>
        <v>#DIV/0!</v>
      </c>
      <c r="T166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668" s="23" t="e">
        <f>Table1[[#This Row],[1. Doanh thu bán hàng và cung cấp dịch vụ ]]/Table1[[#This Row],[TỔNG CỘNG TÀI SẢN]]</f>
        <v>#DIV/0!</v>
      </c>
      <c r="V1668" s="23" t="e">
        <f>1.2*Table1[[#This Row],[X1]] + 1.4*Table1[[#This Row],[X2]] + 3.3*Table1[[#This Row],[x3]] + 0.6*Table1[[#This Row],[x4]] + 1*Table1[[#This Row],[x5]]</f>
        <v>#DIV/0!</v>
      </c>
      <c r="W1668" s="23" t="e">
        <f>IF(Table1[[#This Row],[Zscore]]&lt;1.81,1,0)</f>
        <v>#DIV/0!</v>
      </c>
    </row>
    <row r="1669" spans="1:23" ht="26.25" hidden="1" x14ac:dyDescent="0.45">
      <c r="A1669" s="7">
        <v>1663</v>
      </c>
      <c r="B1669" s="5" t="s">
        <v>3337</v>
      </c>
      <c r="C1669" s="6" t="s">
        <v>3338</v>
      </c>
      <c r="D1669" s="6" t="s">
        <v>13</v>
      </c>
      <c r="E1669" s="6"/>
      <c r="F1669" s="6"/>
      <c r="G1669" s="6"/>
      <c r="H1669" s="6"/>
      <c r="I1669" s="6"/>
      <c r="J1669" s="8"/>
      <c r="K1669" s="6"/>
      <c r="L1669" s="6"/>
      <c r="M1669" s="8"/>
      <c r="N1669" s="8"/>
      <c r="O1669" s="8"/>
      <c r="P1669" s="8"/>
      <c r="Q1669" s="18" t="e">
        <f>(Table1[[#This Row],[A. TÀI SẢN NGẮN HẠN]]-Table1[[#This Row],[I. Nợ ngắn hạn]])/Table1[[#This Row],[TỔNG CỘNG TÀI SẢN]]</f>
        <v>#DIV/0!</v>
      </c>
      <c r="R1669" s="18" t="e">
        <f>Table1[[#This Row],[- LNST chưa phân phối kỳ này]]/Table1[[#This Row],[TỔNG CỘNG TÀI SẢN]]</f>
        <v>#DIV/0!</v>
      </c>
      <c r="S1669" s="21" t="e">
        <f>Table1[[#This Row],[5. Lợi nhuận gộp về bán hàng và cung cấp dịch vụ]]/Table1[[#This Row],[TỔNG CỘNG TÀI SẢN]]</f>
        <v>#DIV/0!</v>
      </c>
      <c r="T166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669" s="23" t="e">
        <f>Table1[[#This Row],[1. Doanh thu bán hàng và cung cấp dịch vụ ]]/Table1[[#This Row],[TỔNG CỘNG TÀI SẢN]]</f>
        <v>#DIV/0!</v>
      </c>
      <c r="V1669" s="23" t="e">
        <f>1.2*Table1[[#This Row],[X1]] + 1.4*Table1[[#This Row],[X2]] + 3.3*Table1[[#This Row],[x3]] + 0.6*Table1[[#This Row],[x4]] + 1*Table1[[#This Row],[x5]]</f>
        <v>#DIV/0!</v>
      </c>
      <c r="W1669" s="23" t="e">
        <f>IF(Table1[[#This Row],[Zscore]]&lt;1.81,1,0)</f>
        <v>#DIV/0!</v>
      </c>
    </row>
    <row r="1670" spans="1:23" hidden="1" x14ac:dyDescent="0.45">
      <c r="A1670" s="7">
        <v>1664</v>
      </c>
      <c r="B1670" s="5" t="s">
        <v>3339</v>
      </c>
      <c r="C1670" s="6" t="s">
        <v>3340</v>
      </c>
      <c r="D1670" s="6" t="s">
        <v>13</v>
      </c>
      <c r="E1670" s="6"/>
      <c r="F1670" s="6"/>
      <c r="G1670" s="6"/>
      <c r="H1670" s="6"/>
      <c r="I1670" s="6"/>
      <c r="J1670" s="8"/>
      <c r="K1670" s="6"/>
      <c r="L1670" s="6"/>
      <c r="M1670" s="8"/>
      <c r="N1670" s="8"/>
      <c r="O1670" s="8"/>
      <c r="P1670" s="8"/>
      <c r="Q1670" s="18" t="e">
        <f>(Table1[[#This Row],[A. TÀI SẢN NGẮN HẠN]]-Table1[[#This Row],[I. Nợ ngắn hạn]])/Table1[[#This Row],[TỔNG CỘNG TÀI SẢN]]</f>
        <v>#DIV/0!</v>
      </c>
      <c r="R1670" s="18" t="e">
        <f>Table1[[#This Row],[- LNST chưa phân phối kỳ này]]/Table1[[#This Row],[TỔNG CỘNG TÀI SẢN]]</f>
        <v>#DIV/0!</v>
      </c>
      <c r="S1670" s="21" t="e">
        <f>Table1[[#This Row],[5. Lợi nhuận gộp về bán hàng và cung cấp dịch vụ]]/Table1[[#This Row],[TỔNG CỘNG TÀI SẢN]]</f>
        <v>#DIV/0!</v>
      </c>
      <c r="T167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670" s="23" t="e">
        <f>Table1[[#This Row],[1. Doanh thu bán hàng và cung cấp dịch vụ ]]/Table1[[#This Row],[TỔNG CỘNG TÀI SẢN]]</f>
        <v>#DIV/0!</v>
      </c>
      <c r="V1670" s="23" t="e">
        <f>1.2*Table1[[#This Row],[X1]] + 1.4*Table1[[#This Row],[X2]] + 3.3*Table1[[#This Row],[x3]] + 0.6*Table1[[#This Row],[x4]] + 1*Table1[[#This Row],[x5]]</f>
        <v>#DIV/0!</v>
      </c>
      <c r="W1670" s="23" t="e">
        <f>IF(Table1[[#This Row],[Zscore]]&lt;1.81,1,0)</f>
        <v>#DIV/0!</v>
      </c>
    </row>
    <row r="1671" spans="1:23" ht="26.25" hidden="1" x14ac:dyDescent="0.45">
      <c r="A1671" s="7">
        <v>1665</v>
      </c>
      <c r="B1671" s="5" t="s">
        <v>3341</v>
      </c>
      <c r="C1671" s="6" t="s">
        <v>3342</v>
      </c>
      <c r="D1671" s="6" t="s">
        <v>13</v>
      </c>
      <c r="E1671" s="6"/>
      <c r="F1671" s="6"/>
      <c r="G1671" s="6"/>
      <c r="H1671" s="6"/>
      <c r="I1671" s="6"/>
      <c r="J1671" s="8"/>
      <c r="K1671" s="6"/>
      <c r="L1671" s="6"/>
      <c r="M1671" s="8"/>
      <c r="N1671" s="8"/>
      <c r="O1671" s="8"/>
      <c r="P1671" s="8"/>
      <c r="Q1671" s="18" t="e">
        <f>(Table1[[#This Row],[A. TÀI SẢN NGẮN HẠN]]-Table1[[#This Row],[I. Nợ ngắn hạn]])/Table1[[#This Row],[TỔNG CỘNG TÀI SẢN]]</f>
        <v>#DIV/0!</v>
      </c>
      <c r="R1671" s="18" t="e">
        <f>Table1[[#This Row],[- LNST chưa phân phối kỳ này]]/Table1[[#This Row],[TỔNG CỘNG TÀI SẢN]]</f>
        <v>#DIV/0!</v>
      </c>
      <c r="S1671" s="21" t="e">
        <f>Table1[[#This Row],[5. Lợi nhuận gộp về bán hàng và cung cấp dịch vụ]]/Table1[[#This Row],[TỔNG CỘNG TÀI SẢN]]</f>
        <v>#DIV/0!</v>
      </c>
      <c r="T167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671" s="23" t="e">
        <f>Table1[[#This Row],[1. Doanh thu bán hàng và cung cấp dịch vụ ]]/Table1[[#This Row],[TỔNG CỘNG TÀI SẢN]]</f>
        <v>#DIV/0!</v>
      </c>
      <c r="V1671" s="23" t="e">
        <f>1.2*Table1[[#This Row],[X1]] + 1.4*Table1[[#This Row],[X2]] + 3.3*Table1[[#This Row],[x3]] + 0.6*Table1[[#This Row],[x4]] + 1*Table1[[#This Row],[x5]]</f>
        <v>#DIV/0!</v>
      </c>
      <c r="W1671" s="23" t="e">
        <f>IF(Table1[[#This Row],[Zscore]]&lt;1.81,1,0)</f>
        <v>#DIV/0!</v>
      </c>
    </row>
    <row r="1672" spans="1:23" x14ac:dyDescent="0.45">
      <c r="A1672" s="7">
        <v>1666</v>
      </c>
      <c r="B1672" s="5" t="s">
        <v>3343</v>
      </c>
      <c r="C1672" s="6" t="s">
        <v>3344</v>
      </c>
      <c r="D1672" s="6" t="s">
        <v>36</v>
      </c>
      <c r="E1672" s="8">
        <v>163615036000000</v>
      </c>
      <c r="F1672" s="6"/>
      <c r="G1672" s="6"/>
      <c r="H1672" s="6"/>
      <c r="I1672" s="6"/>
      <c r="J1672" s="8"/>
      <c r="K1672" s="8">
        <v>150022112000000</v>
      </c>
      <c r="L1672" s="8">
        <v>8777359000000</v>
      </c>
      <c r="M1672" s="8">
        <v>13625739911600</v>
      </c>
      <c r="N1672" s="8">
        <v>26175005413600</v>
      </c>
      <c r="O1672" s="8">
        <v>13978129736900</v>
      </c>
      <c r="P1672" s="8">
        <v>16914711614400</v>
      </c>
      <c r="Q1672" s="18">
        <f>(Table1[[#This Row],[A. TÀI SẢN NGẮN HẠN]]-Table1[[#This Row],[I. Nợ ngắn hạn]])/Table1[[#This Row],[TỔNG CỘNG TÀI SẢN]]</f>
        <v>0</v>
      </c>
      <c r="R1672" s="18">
        <f>Table1[[#This Row],[- LNST chưa phân phối kỳ này]]/Table1[[#This Row],[TỔNG CỘNG TÀI SẢN]]</f>
        <v>0</v>
      </c>
      <c r="S1672" s="21">
        <f>Table1[[#This Row],[5. Lợi nhuận gộp về bán hàng và cung cấp dịch vụ]]/Table1[[#This Row],[TỔNG CỘNG TÀI SẢN]]</f>
        <v>0</v>
      </c>
      <c r="T167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0.1178052783920613</v>
      </c>
      <c r="U1672" s="23">
        <f>Table1[[#This Row],[1. Doanh thu bán hàng và cung cấp dịch vụ ]]/Table1[[#This Row],[TỔNG CỘNG TÀI SẢN]]</f>
        <v>5.3646408145520318E-2</v>
      </c>
      <c r="V1672" s="23">
        <f>1.2*Table1[[#This Row],[X1]] + 1.4*Table1[[#This Row],[X2]] + 3.3*Table1[[#This Row],[x3]] + 0.6*Table1[[#This Row],[x4]] + 1*Table1[[#This Row],[x5]]</f>
        <v>0.1243295751807571</v>
      </c>
      <c r="W1672" s="23">
        <f>IF(Table1[[#This Row],[Zscore]]&lt;1.81,1,0)</f>
        <v>1</v>
      </c>
    </row>
    <row r="1673" spans="1:23" hidden="1" x14ac:dyDescent="0.45">
      <c r="A1673" s="7">
        <v>1667</v>
      </c>
      <c r="B1673" s="5" t="s">
        <v>3345</v>
      </c>
      <c r="C1673" s="6" t="s">
        <v>3346</v>
      </c>
      <c r="D1673" s="6" t="s">
        <v>13</v>
      </c>
      <c r="E1673" s="6"/>
      <c r="F1673" s="6"/>
      <c r="G1673" s="6"/>
      <c r="H1673" s="6"/>
      <c r="I1673" s="6"/>
      <c r="J1673" s="8"/>
      <c r="K1673" s="6"/>
      <c r="L1673" s="6"/>
      <c r="M1673" s="8"/>
      <c r="N1673" s="8"/>
      <c r="O1673" s="8"/>
      <c r="P1673" s="8"/>
      <c r="Q1673" s="18" t="e">
        <f>(Table1[[#This Row],[A. TÀI SẢN NGẮN HẠN]]-Table1[[#This Row],[I. Nợ ngắn hạn]])/Table1[[#This Row],[TỔNG CỘNG TÀI SẢN]]</f>
        <v>#DIV/0!</v>
      </c>
      <c r="R1673" s="18" t="e">
        <f>Table1[[#This Row],[- LNST chưa phân phối kỳ này]]/Table1[[#This Row],[TỔNG CỘNG TÀI SẢN]]</f>
        <v>#DIV/0!</v>
      </c>
      <c r="S1673" s="21" t="e">
        <f>Table1[[#This Row],[5. Lợi nhuận gộp về bán hàng và cung cấp dịch vụ]]/Table1[[#This Row],[TỔNG CỘNG TÀI SẢN]]</f>
        <v>#DIV/0!</v>
      </c>
      <c r="T167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673" s="23" t="e">
        <f>Table1[[#This Row],[1. Doanh thu bán hàng và cung cấp dịch vụ ]]/Table1[[#This Row],[TỔNG CỘNG TÀI SẢN]]</f>
        <v>#DIV/0!</v>
      </c>
      <c r="V1673" s="23" t="e">
        <f>1.2*Table1[[#This Row],[X1]] + 1.4*Table1[[#This Row],[X2]] + 3.3*Table1[[#This Row],[x3]] + 0.6*Table1[[#This Row],[x4]] + 1*Table1[[#This Row],[x5]]</f>
        <v>#DIV/0!</v>
      </c>
      <c r="W1673" s="23" t="e">
        <f>IF(Table1[[#This Row],[Zscore]]&lt;1.81,1,0)</f>
        <v>#DIV/0!</v>
      </c>
    </row>
    <row r="1674" spans="1:23" ht="26.25" x14ac:dyDescent="0.45">
      <c r="A1674" s="7">
        <v>1668</v>
      </c>
      <c r="B1674" s="5" t="s">
        <v>3347</v>
      </c>
      <c r="C1674" s="6" t="s">
        <v>3348</v>
      </c>
      <c r="D1674" s="6" t="s">
        <v>21</v>
      </c>
      <c r="E1674" s="8">
        <v>249792311486353</v>
      </c>
      <c r="F1674" s="8">
        <v>207242734850379</v>
      </c>
      <c r="G1674" s="8">
        <v>95907964304638</v>
      </c>
      <c r="H1674" s="8">
        <v>3650986745147</v>
      </c>
      <c r="I1674" s="8">
        <v>4487869132375</v>
      </c>
      <c r="J1674" s="8"/>
      <c r="K1674" s="8">
        <v>190942057522363</v>
      </c>
      <c r="L1674" s="8">
        <v>6965954941153</v>
      </c>
      <c r="M1674" s="8">
        <v>20086076741400</v>
      </c>
      <c r="N1674" s="8">
        <v>27335590349400</v>
      </c>
      <c r="O1674" s="8">
        <v>29544083750700</v>
      </c>
      <c r="P1674" s="8">
        <v>29739094204500</v>
      </c>
      <c r="Q1674" s="18">
        <f>(Table1[[#This Row],[A. TÀI SẢN NGẮN HẠN]]-Table1[[#This Row],[I. Nợ ngắn hạn]])/Table1[[#This Row],[TỔNG CỘNG TÀI SẢN]]</f>
        <v>0.44570935703849152</v>
      </c>
      <c r="R1674" s="18">
        <f>Table1[[#This Row],[- LNST chưa phân phối kỳ này]]/Table1[[#This Row],[TỔNG CỘNG TÀI SẢN]]</f>
        <v>1.4616089356082787E-2</v>
      </c>
      <c r="S1674" s="21">
        <f>Table1[[#This Row],[5. Lợi nhuận gộp về bán hàng và cung cấp dịch vụ]]/Table1[[#This Row],[TỔNG CỘNG TÀI SẢN]]</f>
        <v>1.7966402190966506E-2</v>
      </c>
      <c r="T167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0.13970841001530374</v>
      </c>
      <c r="U1674" s="23">
        <f>Table1[[#This Row],[1. Doanh thu bán hàng và cung cấp dịch vụ ]]/Table1[[#This Row],[TỔNG CỘNG TÀI SẢN]]</f>
        <v>2.788698699212595E-2</v>
      </c>
      <c r="V1674" s="23">
        <f>1.2*Table1[[#This Row],[X1]] + 1.4*Table1[[#This Row],[X2]] + 3.3*Table1[[#This Row],[x3]] + 0.6*Table1[[#This Row],[x4]] + 1*Table1[[#This Row],[x5]]</f>
        <v>0.72631491377620339</v>
      </c>
      <c r="W1674" s="23">
        <f>IF(Table1[[#This Row],[Zscore]]&lt;1.81,1,0)</f>
        <v>1</v>
      </c>
    </row>
    <row r="1675" spans="1:23" hidden="1" x14ac:dyDescent="0.45">
      <c r="A1675" s="7">
        <v>1669</v>
      </c>
      <c r="B1675" s="5" t="s">
        <v>3349</v>
      </c>
      <c r="C1675" s="6" t="s">
        <v>3350</v>
      </c>
      <c r="D1675" s="6" t="s">
        <v>13</v>
      </c>
      <c r="E1675" s="6"/>
      <c r="F1675" s="6"/>
      <c r="G1675" s="6"/>
      <c r="H1675" s="6"/>
      <c r="I1675" s="6"/>
      <c r="J1675" s="8"/>
      <c r="K1675" s="6"/>
      <c r="L1675" s="6"/>
      <c r="M1675" s="8"/>
      <c r="N1675" s="8"/>
      <c r="O1675" s="8"/>
      <c r="P1675" s="8"/>
      <c r="Q1675" s="18" t="e">
        <f>(Table1[[#This Row],[A. TÀI SẢN NGẮN HẠN]]-Table1[[#This Row],[I. Nợ ngắn hạn]])/Table1[[#This Row],[TỔNG CỘNG TÀI SẢN]]</f>
        <v>#DIV/0!</v>
      </c>
      <c r="R1675" s="18" t="e">
        <f>Table1[[#This Row],[- LNST chưa phân phối kỳ này]]/Table1[[#This Row],[TỔNG CỘNG TÀI SẢN]]</f>
        <v>#DIV/0!</v>
      </c>
      <c r="S1675" s="21" t="e">
        <f>Table1[[#This Row],[5. Lợi nhuận gộp về bán hàng và cung cấp dịch vụ]]/Table1[[#This Row],[TỔNG CỘNG TÀI SẢN]]</f>
        <v>#DIV/0!</v>
      </c>
      <c r="T167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675" s="23" t="e">
        <f>Table1[[#This Row],[1. Doanh thu bán hàng và cung cấp dịch vụ ]]/Table1[[#This Row],[TỔNG CỘNG TÀI SẢN]]</f>
        <v>#DIV/0!</v>
      </c>
      <c r="V1675" s="23" t="e">
        <f>1.2*Table1[[#This Row],[X1]] + 1.4*Table1[[#This Row],[X2]] + 3.3*Table1[[#This Row],[x3]] + 0.6*Table1[[#This Row],[x4]] + 1*Table1[[#This Row],[x5]]</f>
        <v>#DIV/0!</v>
      </c>
      <c r="W1675" s="23" t="e">
        <f>IF(Table1[[#This Row],[Zscore]]&lt;1.81,1,0)</f>
        <v>#DIV/0!</v>
      </c>
    </row>
    <row r="1676" spans="1:23" hidden="1" x14ac:dyDescent="0.45">
      <c r="A1676" s="7">
        <v>1670</v>
      </c>
      <c r="B1676" s="5" t="s">
        <v>3351</v>
      </c>
      <c r="C1676" s="6" t="s">
        <v>3352</v>
      </c>
      <c r="D1676" s="6" t="s">
        <v>18</v>
      </c>
      <c r="E1676" s="6"/>
      <c r="F1676" s="6"/>
      <c r="G1676" s="6"/>
      <c r="H1676" s="6"/>
      <c r="I1676" s="6"/>
      <c r="J1676" s="8"/>
      <c r="K1676" s="6"/>
      <c r="L1676" s="6"/>
      <c r="M1676" s="8"/>
      <c r="N1676" s="8"/>
      <c r="O1676" s="8"/>
      <c r="P1676" s="8"/>
      <c r="Q1676" s="18" t="e">
        <f>(Table1[[#This Row],[A. TÀI SẢN NGẮN HẠN]]-Table1[[#This Row],[I. Nợ ngắn hạn]])/Table1[[#This Row],[TỔNG CỘNG TÀI SẢN]]</f>
        <v>#DIV/0!</v>
      </c>
      <c r="R1676" s="18" t="e">
        <f>Table1[[#This Row],[- LNST chưa phân phối kỳ này]]/Table1[[#This Row],[TỔNG CỘNG TÀI SẢN]]</f>
        <v>#DIV/0!</v>
      </c>
      <c r="S1676" s="21" t="e">
        <f>Table1[[#This Row],[5. Lợi nhuận gộp về bán hàng và cung cấp dịch vụ]]/Table1[[#This Row],[TỔNG CỘNG TÀI SẢN]]</f>
        <v>#DIV/0!</v>
      </c>
      <c r="T167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676" s="23" t="e">
        <f>Table1[[#This Row],[1. Doanh thu bán hàng và cung cấp dịch vụ ]]/Table1[[#This Row],[TỔNG CỘNG TÀI SẢN]]</f>
        <v>#DIV/0!</v>
      </c>
      <c r="V1676" s="23" t="e">
        <f>1.2*Table1[[#This Row],[X1]] + 1.4*Table1[[#This Row],[X2]] + 3.3*Table1[[#This Row],[x3]] + 0.6*Table1[[#This Row],[x4]] + 1*Table1[[#This Row],[x5]]</f>
        <v>#DIV/0!</v>
      </c>
      <c r="W1676" s="23" t="e">
        <f>IF(Table1[[#This Row],[Zscore]]&lt;1.81,1,0)</f>
        <v>#DIV/0!</v>
      </c>
    </row>
    <row r="1677" spans="1:23" hidden="1" x14ac:dyDescent="0.45">
      <c r="A1677" s="7">
        <v>1671</v>
      </c>
      <c r="B1677" s="5" t="s">
        <v>3353</v>
      </c>
      <c r="C1677" s="6" t="s">
        <v>3354</v>
      </c>
      <c r="D1677" s="6" t="s">
        <v>13</v>
      </c>
      <c r="E1677" s="8">
        <v>379086543271</v>
      </c>
      <c r="F1677" s="8">
        <v>364575806770</v>
      </c>
      <c r="G1677" s="8">
        <v>1265110081</v>
      </c>
      <c r="H1677" s="8">
        <v>9209933108</v>
      </c>
      <c r="I1677" s="8">
        <v>51209843589</v>
      </c>
      <c r="J1677" s="8"/>
      <c r="K1677" s="8">
        <v>4006714921</v>
      </c>
      <c r="L1677" s="8">
        <v>104553551632</v>
      </c>
      <c r="M1677" s="8"/>
      <c r="N1677" s="8"/>
      <c r="O1677" s="8"/>
      <c r="P1677" s="8"/>
      <c r="Q1677" s="18">
        <f>(Table1[[#This Row],[A. TÀI SẢN NGẮN HẠN]]-Table1[[#This Row],[I. Nợ ngắn hạn]])/Table1[[#This Row],[TỔNG CỘNG TÀI SẢN]]</f>
        <v>0.9583845777117912</v>
      </c>
      <c r="R1677" s="18">
        <f>Table1[[#This Row],[- LNST chưa phân phối kỳ này]]/Table1[[#This Row],[TỔNG CỘNG TÀI SẢN]]</f>
        <v>2.4295067370450122E-2</v>
      </c>
      <c r="S1677" s="21">
        <f>Table1[[#This Row],[5. Lợi nhuận gộp về bán hàng và cung cấp dịch vụ]]/Table1[[#This Row],[TỔNG CỘNG TÀI SẢN]]</f>
        <v>0.13508747408211558</v>
      </c>
      <c r="T167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677" s="23">
        <f>Table1[[#This Row],[1. Doanh thu bán hàng và cung cấp dịch vụ ]]/Table1[[#This Row],[TỔNG CỘNG TÀI SẢN]]</f>
        <v>0.27580391202981092</v>
      </c>
      <c r="V1677" s="23" t="e">
        <f>1.2*Table1[[#This Row],[X1]] + 1.4*Table1[[#This Row],[X2]] + 3.3*Table1[[#This Row],[x3]] + 0.6*Table1[[#This Row],[x4]] + 1*Table1[[#This Row],[x5]]</f>
        <v>#DIV/0!</v>
      </c>
      <c r="W1677" s="23" t="e">
        <f>IF(Table1[[#This Row],[Zscore]]&lt;1.81,1,0)</f>
        <v>#DIV/0!</v>
      </c>
    </row>
    <row r="1678" spans="1:23" ht="26.25" x14ac:dyDescent="0.45">
      <c r="A1678" s="7">
        <v>1672</v>
      </c>
      <c r="B1678" s="5" t="s">
        <v>3355</v>
      </c>
      <c r="C1678" s="6" t="s">
        <v>3356</v>
      </c>
      <c r="D1678" s="6" t="s">
        <v>21</v>
      </c>
      <c r="E1678" s="8">
        <v>1081950744615</v>
      </c>
      <c r="F1678" s="8">
        <v>222662055227</v>
      </c>
      <c r="G1678" s="8">
        <v>146384657084</v>
      </c>
      <c r="H1678" s="8">
        <v>17652791235</v>
      </c>
      <c r="I1678" s="8">
        <v>269576955525</v>
      </c>
      <c r="J1678" s="8"/>
      <c r="K1678" s="8">
        <v>526990660035</v>
      </c>
      <c r="L1678" s="8">
        <v>467282253029</v>
      </c>
      <c r="M1678" s="8">
        <v>675130000000</v>
      </c>
      <c r="N1678" s="8">
        <v>718570000000</v>
      </c>
      <c r="O1678" s="8">
        <v>723095000000</v>
      </c>
      <c r="P1678" s="8">
        <v>704090000000</v>
      </c>
      <c r="Q1678" s="18">
        <f>(Table1[[#This Row],[A. TÀI SẢN NGẮN HẠN]]-Table1[[#This Row],[I. Nợ ngắn hạn]])/Table1[[#This Row],[TỔNG CỘNG TÀI SẢN]]</f>
        <v>7.0499880445243787E-2</v>
      </c>
      <c r="R1678" s="18">
        <f>Table1[[#This Row],[- LNST chưa phân phối kỳ này]]/Table1[[#This Row],[TỔNG CỘNG TÀI SẢN]]</f>
        <v>1.6315706905198856E-2</v>
      </c>
      <c r="S1678" s="21">
        <f>Table1[[#This Row],[5. Lợi nhuận gộp về bán hàng và cung cấp dịch vụ]]/Table1[[#This Row],[TỔNG CỘNG TÀI SẢN]]</f>
        <v>0.24915825130369121</v>
      </c>
      <c r="T167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1.33820445689334</v>
      </c>
      <c r="U1678" s="23">
        <f>Table1[[#This Row],[1. Doanh thu bán hàng và cung cấp dịch vụ ]]/Table1[[#This Row],[TỔNG CỘNG TÀI SẢN]]</f>
        <v>0.4318886560730425</v>
      </c>
      <c r="V1678" s="23">
        <f>1.2*Table1[[#This Row],[X1]] + 1.4*Table1[[#This Row],[X2]] + 3.3*Table1[[#This Row],[x3]] + 0.6*Table1[[#This Row],[x4]] + 1*Table1[[#This Row],[x5]]</f>
        <v>2.1644754057127984</v>
      </c>
      <c r="W1678" s="23">
        <f>IF(Table1[[#This Row],[Zscore]]&lt;1.81,1,0)</f>
        <v>0</v>
      </c>
    </row>
    <row r="1679" spans="1:23" hidden="1" x14ac:dyDescent="0.45">
      <c r="A1679" s="7">
        <v>1673</v>
      </c>
      <c r="B1679" s="5" t="s">
        <v>3357</v>
      </c>
      <c r="C1679" s="6" t="s">
        <v>3358</v>
      </c>
      <c r="D1679" s="6" t="s">
        <v>18</v>
      </c>
      <c r="E1679" s="6"/>
      <c r="F1679" s="6"/>
      <c r="G1679" s="6"/>
      <c r="H1679" s="6"/>
      <c r="I1679" s="6"/>
      <c r="J1679" s="8"/>
      <c r="K1679" s="6"/>
      <c r="L1679" s="6"/>
      <c r="M1679" s="8"/>
      <c r="N1679" s="8"/>
      <c r="O1679" s="8"/>
      <c r="P1679" s="8"/>
      <c r="Q1679" s="18" t="e">
        <f>(Table1[[#This Row],[A. TÀI SẢN NGẮN HẠN]]-Table1[[#This Row],[I. Nợ ngắn hạn]])/Table1[[#This Row],[TỔNG CỘNG TÀI SẢN]]</f>
        <v>#DIV/0!</v>
      </c>
      <c r="R1679" s="18" t="e">
        <f>Table1[[#This Row],[- LNST chưa phân phối kỳ này]]/Table1[[#This Row],[TỔNG CỘNG TÀI SẢN]]</f>
        <v>#DIV/0!</v>
      </c>
      <c r="S1679" s="21" t="e">
        <f>Table1[[#This Row],[5. Lợi nhuận gộp về bán hàng và cung cấp dịch vụ]]/Table1[[#This Row],[TỔNG CỘNG TÀI SẢN]]</f>
        <v>#DIV/0!</v>
      </c>
      <c r="T167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679" s="23" t="e">
        <f>Table1[[#This Row],[1. Doanh thu bán hàng và cung cấp dịch vụ ]]/Table1[[#This Row],[TỔNG CỘNG TÀI SẢN]]</f>
        <v>#DIV/0!</v>
      </c>
      <c r="V1679" s="23" t="e">
        <f>1.2*Table1[[#This Row],[X1]] + 1.4*Table1[[#This Row],[X2]] + 3.3*Table1[[#This Row],[x3]] + 0.6*Table1[[#This Row],[x4]] + 1*Table1[[#This Row],[x5]]</f>
        <v>#DIV/0!</v>
      </c>
      <c r="W1679" s="23" t="e">
        <f>IF(Table1[[#This Row],[Zscore]]&lt;1.81,1,0)</f>
        <v>#DIV/0!</v>
      </c>
    </row>
    <row r="1680" spans="1:23" ht="26.25" hidden="1" x14ac:dyDescent="0.45">
      <c r="A1680" s="7">
        <v>1674</v>
      </c>
      <c r="B1680" s="5" t="s">
        <v>3359</v>
      </c>
      <c r="C1680" s="6" t="s">
        <v>3360</v>
      </c>
      <c r="D1680" s="6" t="s">
        <v>13</v>
      </c>
      <c r="E1680" s="6"/>
      <c r="F1680" s="6"/>
      <c r="G1680" s="6"/>
      <c r="H1680" s="6"/>
      <c r="I1680" s="6"/>
      <c r="J1680" s="8"/>
      <c r="K1680" s="6"/>
      <c r="L1680" s="6"/>
      <c r="M1680" s="8"/>
      <c r="N1680" s="8"/>
      <c r="O1680" s="8"/>
      <c r="P1680" s="8"/>
      <c r="Q1680" s="18" t="e">
        <f>(Table1[[#This Row],[A. TÀI SẢN NGẮN HẠN]]-Table1[[#This Row],[I. Nợ ngắn hạn]])/Table1[[#This Row],[TỔNG CỘNG TÀI SẢN]]</f>
        <v>#DIV/0!</v>
      </c>
      <c r="R1680" s="18" t="e">
        <f>Table1[[#This Row],[- LNST chưa phân phối kỳ này]]/Table1[[#This Row],[TỔNG CỘNG TÀI SẢN]]</f>
        <v>#DIV/0!</v>
      </c>
      <c r="S1680" s="21" t="e">
        <f>Table1[[#This Row],[5. Lợi nhuận gộp về bán hàng và cung cấp dịch vụ]]/Table1[[#This Row],[TỔNG CỘNG TÀI SẢN]]</f>
        <v>#DIV/0!</v>
      </c>
      <c r="T168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680" s="23" t="e">
        <f>Table1[[#This Row],[1. Doanh thu bán hàng và cung cấp dịch vụ ]]/Table1[[#This Row],[TỔNG CỘNG TÀI SẢN]]</f>
        <v>#DIV/0!</v>
      </c>
      <c r="V1680" s="23" t="e">
        <f>1.2*Table1[[#This Row],[X1]] + 1.4*Table1[[#This Row],[X2]] + 3.3*Table1[[#This Row],[x3]] + 0.6*Table1[[#This Row],[x4]] + 1*Table1[[#This Row],[x5]]</f>
        <v>#DIV/0!</v>
      </c>
      <c r="W1680" s="23" t="e">
        <f>IF(Table1[[#This Row],[Zscore]]&lt;1.81,1,0)</f>
        <v>#DIV/0!</v>
      </c>
    </row>
    <row r="1681" spans="1:23" ht="26.25" hidden="1" x14ac:dyDescent="0.45">
      <c r="A1681" s="7">
        <v>1675</v>
      </c>
      <c r="B1681" s="5" t="s">
        <v>3361</v>
      </c>
      <c r="C1681" s="6" t="s">
        <v>3362</v>
      </c>
      <c r="D1681" s="6" t="s">
        <v>18</v>
      </c>
      <c r="E1681" s="6"/>
      <c r="F1681" s="6"/>
      <c r="G1681" s="6"/>
      <c r="H1681" s="6"/>
      <c r="I1681" s="6"/>
      <c r="J1681" s="8"/>
      <c r="K1681" s="6"/>
      <c r="L1681" s="6"/>
      <c r="M1681" s="8"/>
      <c r="N1681" s="8"/>
      <c r="O1681" s="8"/>
      <c r="P1681" s="8"/>
      <c r="Q1681" s="18" t="e">
        <f>(Table1[[#This Row],[A. TÀI SẢN NGẮN HẠN]]-Table1[[#This Row],[I. Nợ ngắn hạn]])/Table1[[#This Row],[TỔNG CỘNG TÀI SẢN]]</f>
        <v>#DIV/0!</v>
      </c>
      <c r="R1681" s="18" t="e">
        <f>Table1[[#This Row],[- LNST chưa phân phối kỳ này]]/Table1[[#This Row],[TỔNG CỘNG TÀI SẢN]]</f>
        <v>#DIV/0!</v>
      </c>
      <c r="S1681" s="21" t="e">
        <f>Table1[[#This Row],[5. Lợi nhuận gộp về bán hàng và cung cấp dịch vụ]]/Table1[[#This Row],[TỔNG CỘNG TÀI SẢN]]</f>
        <v>#DIV/0!</v>
      </c>
      <c r="T168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681" s="23" t="e">
        <f>Table1[[#This Row],[1. Doanh thu bán hàng và cung cấp dịch vụ ]]/Table1[[#This Row],[TỔNG CỘNG TÀI SẢN]]</f>
        <v>#DIV/0!</v>
      </c>
      <c r="V1681" s="23" t="e">
        <f>1.2*Table1[[#This Row],[X1]] + 1.4*Table1[[#This Row],[X2]] + 3.3*Table1[[#This Row],[x3]] + 0.6*Table1[[#This Row],[x4]] + 1*Table1[[#This Row],[x5]]</f>
        <v>#DIV/0!</v>
      </c>
      <c r="W1681" s="23" t="e">
        <f>IF(Table1[[#This Row],[Zscore]]&lt;1.81,1,0)</f>
        <v>#DIV/0!</v>
      </c>
    </row>
    <row r="1682" spans="1:23" x14ac:dyDescent="0.45">
      <c r="A1682" s="7">
        <v>1676</v>
      </c>
      <c r="B1682" s="5" t="s">
        <v>3363</v>
      </c>
      <c r="C1682" s="6" t="s">
        <v>3364</v>
      </c>
      <c r="D1682" s="6" t="s">
        <v>21</v>
      </c>
      <c r="E1682" s="8">
        <v>322949479567113</v>
      </c>
      <c r="F1682" s="6"/>
      <c r="G1682" s="6"/>
      <c r="H1682" s="6"/>
      <c r="I1682" s="6"/>
      <c r="J1682" s="8"/>
      <c r="K1682" s="8">
        <v>289024801682522</v>
      </c>
      <c r="L1682" s="8">
        <v>21118345862134</v>
      </c>
      <c r="M1682" s="8">
        <v>27493549044800</v>
      </c>
      <c r="N1682" s="8">
        <v>31823474793800</v>
      </c>
      <c r="O1682" s="8">
        <v>28849733078400</v>
      </c>
      <c r="P1682" s="8">
        <v>33687611392600</v>
      </c>
      <c r="Q1682" s="18">
        <f>(Table1[[#This Row],[A. TÀI SẢN NGẮN HẠN]]-Table1[[#This Row],[I. Nợ ngắn hạn]])/Table1[[#This Row],[TỔNG CỘNG TÀI SẢN]]</f>
        <v>0</v>
      </c>
      <c r="R1682" s="18">
        <f>Table1[[#This Row],[- LNST chưa phân phối kỳ này]]/Table1[[#This Row],[TỔNG CỘNG TÀI SẢN]]</f>
        <v>0</v>
      </c>
      <c r="S1682" s="21">
        <f>Table1[[#This Row],[5. Lợi nhuận gộp về bán hàng và cung cấp dịch vụ]]/Table1[[#This Row],[TỔNG CỘNG TÀI SẢN]]</f>
        <v>0</v>
      </c>
      <c r="T168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0.10540130777725641</v>
      </c>
      <c r="U1682" s="23">
        <f>Table1[[#This Row],[1. Doanh thu bán hàng và cung cấp dịch vụ ]]/Table1[[#This Row],[TỔNG CỘNG TÀI SẢN]]</f>
        <v>6.5392103713687325E-2</v>
      </c>
      <c r="V1682" s="23">
        <f>1.2*Table1[[#This Row],[X1]] + 1.4*Table1[[#This Row],[X2]] + 3.3*Table1[[#This Row],[x3]] + 0.6*Table1[[#This Row],[x4]] + 1*Table1[[#This Row],[x5]]</f>
        <v>0.12863288838004117</v>
      </c>
      <c r="W1682" s="23">
        <f>IF(Table1[[#This Row],[Zscore]]&lt;1.81,1,0)</f>
        <v>1</v>
      </c>
    </row>
    <row r="1683" spans="1:23" hidden="1" x14ac:dyDescent="0.45">
      <c r="A1683" s="7">
        <v>1677</v>
      </c>
      <c r="B1683" s="5" t="s">
        <v>3365</v>
      </c>
      <c r="C1683" s="6" t="s">
        <v>3366</v>
      </c>
      <c r="D1683" s="6" t="s">
        <v>13</v>
      </c>
      <c r="E1683" s="8">
        <v>2413628342354</v>
      </c>
      <c r="F1683" s="8">
        <v>2376781782071</v>
      </c>
      <c r="G1683" s="8">
        <v>976005934910</v>
      </c>
      <c r="H1683" s="8">
        <v>93623331018</v>
      </c>
      <c r="I1683" s="8">
        <v>214013434797</v>
      </c>
      <c r="J1683" s="8"/>
      <c r="K1683" s="8">
        <v>976533561492</v>
      </c>
      <c r="L1683" s="8">
        <v>274436859465</v>
      </c>
      <c r="M1683" s="8"/>
      <c r="N1683" s="8"/>
      <c r="O1683" s="8"/>
      <c r="P1683" s="8"/>
      <c r="Q1683" s="18">
        <f>(Table1[[#This Row],[A. TÀI SẢN NGẮN HẠN]]-Table1[[#This Row],[I. Nợ ngắn hạn]])/Table1[[#This Row],[TỔNG CỘNG TÀI SẢN]]</f>
        <v>0.58036103677620476</v>
      </c>
      <c r="R1683" s="18">
        <f>Table1[[#This Row],[- LNST chưa phân phối kỳ này]]/Table1[[#This Row],[TỔNG CỘNG TÀI SẢN]]</f>
        <v>3.8789456261807742E-2</v>
      </c>
      <c r="S1683" s="21">
        <f>Table1[[#This Row],[5. Lợi nhuận gộp về bán hàng và cung cấp dịch vụ]]/Table1[[#This Row],[TỔNG CỘNG TÀI SẢN]]</f>
        <v>8.8668761068770738E-2</v>
      </c>
      <c r="T168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683" s="23">
        <f>Table1[[#This Row],[1. Doanh thu bán hàng và cung cấp dịch vụ ]]/Table1[[#This Row],[TỔNG CỘNG TÀI SẢN]]</f>
        <v>0.11370303151037042</v>
      </c>
      <c r="V1683" s="23" t="e">
        <f>1.2*Table1[[#This Row],[X1]] + 1.4*Table1[[#This Row],[X2]] + 3.3*Table1[[#This Row],[x3]] + 0.6*Table1[[#This Row],[x4]] + 1*Table1[[#This Row],[x5]]</f>
        <v>#DIV/0!</v>
      </c>
      <c r="W1683" s="23" t="e">
        <f>IF(Table1[[#This Row],[Zscore]]&lt;1.81,1,0)</f>
        <v>#DIV/0!</v>
      </c>
    </row>
    <row r="1684" spans="1:23" x14ac:dyDescent="0.45">
      <c r="A1684" s="7">
        <v>1678</v>
      </c>
      <c r="B1684" s="5" t="s">
        <v>3367</v>
      </c>
      <c r="C1684" s="6" t="s">
        <v>3368</v>
      </c>
      <c r="D1684" s="6" t="s">
        <v>36</v>
      </c>
      <c r="E1684" s="8">
        <v>3786747155327</v>
      </c>
      <c r="F1684" s="8">
        <v>576266696952</v>
      </c>
      <c r="G1684" s="8">
        <v>552095315200</v>
      </c>
      <c r="H1684" s="8">
        <v>52559496439</v>
      </c>
      <c r="I1684" s="8">
        <v>548165799525</v>
      </c>
      <c r="J1684" s="8"/>
      <c r="K1684" s="8">
        <v>1731178721630</v>
      </c>
      <c r="L1684" s="8">
        <v>1188256903211</v>
      </c>
      <c r="M1684" s="8">
        <v>1240000000000</v>
      </c>
      <c r="N1684" s="8">
        <v>1220000000000</v>
      </c>
      <c r="O1684" s="8">
        <v>1180000000000</v>
      </c>
      <c r="P1684" s="8">
        <v>1220000000000</v>
      </c>
      <c r="Q1684" s="18">
        <f>(Table1[[#This Row],[A. TÀI SẢN NGẮN HẠN]]-Table1[[#This Row],[I. Nợ ngắn hạn]])/Table1[[#This Row],[TỔNG CỘNG TÀI SẢN]]</f>
        <v>6.3831517554577026E-3</v>
      </c>
      <c r="R1684" s="18">
        <f>Table1[[#This Row],[- LNST chưa phân phối kỳ này]]/Table1[[#This Row],[TỔNG CỘNG TÀI SẢN]]</f>
        <v>1.3879853679974914E-2</v>
      </c>
      <c r="S1684" s="21">
        <f>Table1[[#This Row],[5. Lợi nhuận gộp về bán hàng và cung cấp dịch vụ]]/Table1[[#This Row],[TỔNG CỘNG TÀI SẢN]]</f>
        <v>0.14475901797506302</v>
      </c>
      <c r="T168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0.70183394979347402</v>
      </c>
      <c r="U1684" s="23">
        <f>Table1[[#This Row],[1. Doanh thu bán hàng và cung cấp dịch vụ ]]/Table1[[#This Row],[TỔNG CỘNG TÀI SẢN]]</f>
        <v>0.31379356858812757</v>
      </c>
      <c r="V1684" s="23">
        <f>1.2*Table1[[#This Row],[X1]] + 1.4*Table1[[#This Row],[X2]] + 3.3*Table1[[#This Row],[x3]] + 0.6*Table1[[#This Row],[x4]] + 1*Table1[[#This Row],[x5]]</f>
        <v>1.2396902750404339</v>
      </c>
      <c r="W1684" s="23">
        <f>IF(Table1[[#This Row],[Zscore]]&lt;1.81,1,0)</f>
        <v>1</v>
      </c>
    </row>
    <row r="1685" spans="1:23" ht="26.25" hidden="1" x14ac:dyDescent="0.45">
      <c r="A1685" s="7">
        <v>1679</v>
      </c>
      <c r="B1685" s="5" t="s">
        <v>3369</v>
      </c>
      <c r="C1685" s="6" t="s">
        <v>3370</v>
      </c>
      <c r="D1685" s="6" t="s">
        <v>18</v>
      </c>
      <c r="E1685" s="6"/>
      <c r="F1685" s="6"/>
      <c r="G1685" s="6"/>
      <c r="H1685" s="6"/>
      <c r="I1685" s="6"/>
      <c r="J1685" s="8"/>
      <c r="K1685" s="6"/>
      <c r="L1685" s="6"/>
      <c r="M1685" s="8"/>
      <c r="N1685" s="8"/>
      <c r="O1685" s="8"/>
      <c r="P1685" s="8"/>
      <c r="Q1685" s="18" t="e">
        <f>(Table1[[#This Row],[A. TÀI SẢN NGẮN HẠN]]-Table1[[#This Row],[I. Nợ ngắn hạn]])/Table1[[#This Row],[TỔNG CỘNG TÀI SẢN]]</f>
        <v>#DIV/0!</v>
      </c>
      <c r="R1685" s="18" t="e">
        <f>Table1[[#This Row],[- LNST chưa phân phối kỳ này]]/Table1[[#This Row],[TỔNG CỘNG TÀI SẢN]]</f>
        <v>#DIV/0!</v>
      </c>
      <c r="S1685" s="21" t="e">
        <f>Table1[[#This Row],[5. Lợi nhuận gộp về bán hàng và cung cấp dịch vụ]]/Table1[[#This Row],[TỔNG CỘNG TÀI SẢN]]</f>
        <v>#DIV/0!</v>
      </c>
      <c r="T168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685" s="23" t="e">
        <f>Table1[[#This Row],[1. Doanh thu bán hàng và cung cấp dịch vụ ]]/Table1[[#This Row],[TỔNG CỘNG TÀI SẢN]]</f>
        <v>#DIV/0!</v>
      </c>
      <c r="V1685" s="23" t="e">
        <f>1.2*Table1[[#This Row],[X1]] + 1.4*Table1[[#This Row],[X2]] + 3.3*Table1[[#This Row],[x3]] + 0.6*Table1[[#This Row],[x4]] + 1*Table1[[#This Row],[x5]]</f>
        <v>#DIV/0!</v>
      </c>
      <c r="W1685" s="23" t="e">
        <f>IF(Table1[[#This Row],[Zscore]]&lt;1.81,1,0)</f>
        <v>#DIV/0!</v>
      </c>
    </row>
    <row r="1686" spans="1:23" x14ac:dyDescent="0.45">
      <c r="A1686" s="7">
        <v>1680</v>
      </c>
      <c r="B1686" s="5" t="s">
        <v>3371</v>
      </c>
      <c r="C1686" s="6" t="s">
        <v>3372</v>
      </c>
      <c r="D1686" s="6" t="s">
        <v>21</v>
      </c>
      <c r="E1686" s="8">
        <v>4468809655504</v>
      </c>
      <c r="F1686" s="8">
        <v>580786366970</v>
      </c>
      <c r="G1686" s="8">
        <v>678662165884</v>
      </c>
      <c r="H1686" s="8">
        <v>85041177527</v>
      </c>
      <c r="I1686" s="8">
        <v>551690044291</v>
      </c>
      <c r="J1686" s="8"/>
      <c r="K1686" s="8">
        <v>2547239591917</v>
      </c>
      <c r="L1686" s="8">
        <v>1199046181921</v>
      </c>
      <c r="M1686" s="8">
        <v>1451999995160</v>
      </c>
      <c r="N1686" s="8">
        <v>1109999996300</v>
      </c>
      <c r="O1686" s="8">
        <v>1181999996060</v>
      </c>
      <c r="P1686" s="8">
        <v>1286999995710</v>
      </c>
      <c r="Q1686" s="18">
        <f>(Table1[[#This Row],[A. TÀI SẢN NGẮN HẠN]]-Table1[[#This Row],[I. Nợ ngắn hạn]])/Table1[[#This Row],[TỔNG CỘNG TÀI SẢN]]</f>
        <v>-2.1901984299879829E-2</v>
      </c>
      <c r="R1686" s="18">
        <f>Table1[[#This Row],[- LNST chưa phân phối kỳ này]]/Table1[[#This Row],[TỔNG CỘNG TÀI SẢN]]</f>
        <v>1.902993953261339E-2</v>
      </c>
      <c r="S1686" s="21">
        <f>Table1[[#This Row],[5. Lợi nhuận gộp về bán hàng và cung cấp dịch vụ]]/Table1[[#This Row],[TỔNG CỘNG TÀI SẢN]]</f>
        <v>0.1234534667663708</v>
      </c>
      <c r="T168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0.49376980469314363</v>
      </c>
      <c r="U1686" s="23">
        <f>Table1[[#This Row],[1. Doanh thu bán hàng và cung cấp dịch vụ ]]/Table1[[#This Row],[TỔNG CỘNG TÀI SẢN]]</f>
        <v>0.26831444486434936</v>
      </c>
      <c r="V1686" s="23">
        <f>1.2*Table1[[#This Row],[X1]] + 1.4*Table1[[#This Row],[X2]] + 3.3*Table1[[#This Row],[x3]] + 0.6*Table1[[#This Row],[x4]] + 1*Table1[[#This Row],[x5]]</f>
        <v>0.97233230219506206</v>
      </c>
      <c r="W1686" s="23">
        <f>IF(Table1[[#This Row],[Zscore]]&lt;1.81,1,0)</f>
        <v>1</v>
      </c>
    </row>
    <row r="1687" spans="1:23" ht="26.25" x14ac:dyDescent="0.45">
      <c r="A1687" s="7">
        <v>1681</v>
      </c>
      <c r="B1687" s="5" t="s">
        <v>3373</v>
      </c>
      <c r="C1687" s="6" t="s">
        <v>3374</v>
      </c>
      <c r="D1687" s="6" t="s">
        <v>18</v>
      </c>
      <c r="E1687" s="8">
        <v>45610229861415</v>
      </c>
      <c r="F1687" s="8">
        <v>38937992400304</v>
      </c>
      <c r="G1687" s="8">
        <v>33687203067665</v>
      </c>
      <c r="H1687" s="8">
        <v>354888000231</v>
      </c>
      <c r="I1687" s="8">
        <v>4393483138192</v>
      </c>
      <c r="J1687" s="8"/>
      <c r="K1687" s="8">
        <v>34055115033846</v>
      </c>
      <c r="L1687" s="8">
        <v>150560541732558</v>
      </c>
      <c r="M1687" s="8">
        <v>12617599900000</v>
      </c>
      <c r="N1687" s="8">
        <v>11169678600000</v>
      </c>
      <c r="O1687" s="8">
        <v>11893639250000</v>
      </c>
      <c r="P1687" s="8">
        <v>11583370400000</v>
      </c>
      <c r="Q1687" s="18">
        <f>(Table1[[#This Row],[A. TÀI SẢN NGẮN HẠN]]-Table1[[#This Row],[I. Nợ ngắn hạn]])/Table1[[#This Row],[TỔNG CỘNG TÀI SẢN]]</f>
        <v>0.11512306227338318</v>
      </c>
      <c r="R1687" s="18">
        <f>Table1[[#This Row],[- LNST chưa phân phối kỳ này]]/Table1[[#This Row],[TỔNG CỘNG TÀI SẢN]]</f>
        <v>7.7808860273082181E-3</v>
      </c>
      <c r="S1687" s="21">
        <f>Table1[[#This Row],[5. Lợi nhuận gộp về bán hàng và cung cấp dịch vụ]]/Table1[[#This Row],[TỔNG CỘNG TÀI SẢN]]</f>
        <v>9.6326704591084861E-2</v>
      </c>
      <c r="T168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0.3469690830806616</v>
      </c>
      <c r="U1687" s="23">
        <f>Table1[[#This Row],[1. Doanh thu bán hàng và cung cấp dịch vụ ]]/Table1[[#This Row],[TỔNG CỘNG TÀI SẢN]]</f>
        <v>3.3010257170382751</v>
      </c>
      <c r="V1687" s="23">
        <f>1.2*Table1[[#This Row],[X1]] + 1.4*Table1[[#This Row],[X2]] + 3.3*Table1[[#This Row],[x3]] + 0.6*Table1[[#This Row],[x4]] + 1*Table1[[#This Row],[x5]]</f>
        <v>3.9761262072035435</v>
      </c>
      <c r="W1687" s="23">
        <f>IF(Table1[[#This Row],[Zscore]]&lt;1.81,1,0)</f>
        <v>0</v>
      </c>
    </row>
    <row r="1688" spans="1:23" ht="26.25" hidden="1" x14ac:dyDescent="0.45">
      <c r="A1688" s="7">
        <v>1682</v>
      </c>
      <c r="B1688" s="5" t="s">
        <v>3375</v>
      </c>
      <c r="C1688" s="6" t="s">
        <v>3376</v>
      </c>
      <c r="D1688" s="6" t="s">
        <v>13</v>
      </c>
      <c r="E1688" s="6"/>
      <c r="F1688" s="6"/>
      <c r="G1688" s="6"/>
      <c r="H1688" s="6"/>
      <c r="I1688" s="6"/>
      <c r="J1688" s="8"/>
      <c r="K1688" s="6"/>
      <c r="L1688" s="6"/>
      <c r="M1688" s="8"/>
      <c r="N1688" s="8"/>
      <c r="O1688" s="8"/>
      <c r="P1688" s="8"/>
      <c r="Q1688" s="18" t="e">
        <f>(Table1[[#This Row],[A. TÀI SẢN NGẮN HẠN]]-Table1[[#This Row],[I. Nợ ngắn hạn]])/Table1[[#This Row],[TỔNG CỘNG TÀI SẢN]]</f>
        <v>#DIV/0!</v>
      </c>
      <c r="R1688" s="18" t="e">
        <f>Table1[[#This Row],[- LNST chưa phân phối kỳ này]]/Table1[[#This Row],[TỔNG CỘNG TÀI SẢN]]</f>
        <v>#DIV/0!</v>
      </c>
      <c r="S1688" s="21" t="e">
        <f>Table1[[#This Row],[5. Lợi nhuận gộp về bán hàng và cung cấp dịch vụ]]/Table1[[#This Row],[TỔNG CỘNG TÀI SẢN]]</f>
        <v>#DIV/0!</v>
      </c>
      <c r="T168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688" s="23" t="e">
        <f>Table1[[#This Row],[1. Doanh thu bán hàng và cung cấp dịch vụ ]]/Table1[[#This Row],[TỔNG CỘNG TÀI SẢN]]</f>
        <v>#DIV/0!</v>
      </c>
      <c r="V1688" s="23" t="e">
        <f>1.2*Table1[[#This Row],[X1]] + 1.4*Table1[[#This Row],[X2]] + 3.3*Table1[[#This Row],[x3]] + 0.6*Table1[[#This Row],[x4]] + 1*Table1[[#This Row],[x5]]</f>
        <v>#DIV/0!</v>
      </c>
      <c r="W1688" s="23" t="e">
        <f>IF(Table1[[#This Row],[Zscore]]&lt;1.81,1,0)</f>
        <v>#DIV/0!</v>
      </c>
    </row>
    <row r="1689" spans="1:23" ht="26.25" hidden="1" x14ac:dyDescent="0.45">
      <c r="A1689" s="7">
        <v>1683</v>
      </c>
      <c r="B1689" s="5" t="s">
        <v>3377</v>
      </c>
      <c r="C1689" s="6" t="s">
        <v>3378</v>
      </c>
      <c r="D1689" s="6" t="s">
        <v>13</v>
      </c>
      <c r="E1689" s="6"/>
      <c r="F1689" s="6"/>
      <c r="G1689" s="6"/>
      <c r="H1689" s="6"/>
      <c r="I1689" s="6"/>
      <c r="J1689" s="8"/>
      <c r="K1689" s="6"/>
      <c r="L1689" s="6"/>
      <c r="M1689" s="8"/>
      <c r="N1689" s="8"/>
      <c r="O1689" s="8"/>
      <c r="P1689" s="8"/>
      <c r="Q1689" s="18" t="e">
        <f>(Table1[[#This Row],[A. TÀI SẢN NGẮN HẠN]]-Table1[[#This Row],[I. Nợ ngắn hạn]])/Table1[[#This Row],[TỔNG CỘNG TÀI SẢN]]</f>
        <v>#DIV/0!</v>
      </c>
      <c r="R1689" s="18" t="e">
        <f>Table1[[#This Row],[- LNST chưa phân phối kỳ này]]/Table1[[#This Row],[TỔNG CỘNG TÀI SẢN]]</f>
        <v>#DIV/0!</v>
      </c>
      <c r="S1689" s="21" t="e">
        <f>Table1[[#This Row],[5. Lợi nhuận gộp về bán hàng và cung cấp dịch vụ]]/Table1[[#This Row],[TỔNG CỘNG TÀI SẢN]]</f>
        <v>#DIV/0!</v>
      </c>
      <c r="T168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689" s="23" t="e">
        <f>Table1[[#This Row],[1. Doanh thu bán hàng và cung cấp dịch vụ ]]/Table1[[#This Row],[TỔNG CỘNG TÀI SẢN]]</f>
        <v>#DIV/0!</v>
      </c>
      <c r="V1689" s="23" t="e">
        <f>1.2*Table1[[#This Row],[X1]] + 1.4*Table1[[#This Row],[X2]] + 3.3*Table1[[#This Row],[x3]] + 0.6*Table1[[#This Row],[x4]] + 1*Table1[[#This Row],[x5]]</f>
        <v>#DIV/0!</v>
      </c>
      <c r="W1689" s="23" t="e">
        <f>IF(Table1[[#This Row],[Zscore]]&lt;1.81,1,0)</f>
        <v>#DIV/0!</v>
      </c>
    </row>
    <row r="1690" spans="1:23" x14ac:dyDescent="0.45">
      <c r="A1690" s="7">
        <v>1684</v>
      </c>
      <c r="B1690" s="5" t="s">
        <v>3379</v>
      </c>
      <c r="C1690" s="6" t="s">
        <v>3380</v>
      </c>
      <c r="D1690" s="6" t="s">
        <v>36</v>
      </c>
      <c r="E1690" s="8">
        <v>349061875219</v>
      </c>
      <c r="F1690" s="8">
        <v>339447144693</v>
      </c>
      <c r="G1690" s="8">
        <v>242468463286</v>
      </c>
      <c r="H1690" s="8">
        <v>1103921345</v>
      </c>
      <c r="I1690" s="8">
        <v>43504449683</v>
      </c>
      <c r="J1690" s="8"/>
      <c r="K1690" s="8">
        <v>243743146833</v>
      </c>
      <c r="L1690" s="8">
        <v>482383246608</v>
      </c>
      <c r="M1690" s="8">
        <v>43415119000</v>
      </c>
      <c r="N1690" s="8">
        <v>56044971800</v>
      </c>
      <c r="O1690" s="8">
        <v>41836387400</v>
      </c>
      <c r="P1690" s="8">
        <v>42625753200</v>
      </c>
      <c r="Q1690" s="18">
        <f>(Table1[[#This Row],[A. TÀI SẢN NGẮN HẠN]]-Table1[[#This Row],[I. Nợ ngắn hạn]])/Table1[[#This Row],[TỔNG CỘNG TÀI SẢN]]</f>
        <v>0.27782662127210533</v>
      </c>
      <c r="R1690" s="18">
        <f>Table1[[#This Row],[- LNST chưa phân phối kỳ này]]/Table1[[#This Row],[TỔNG CỘNG TÀI SẢN]]</f>
        <v>3.1625377142874864E-3</v>
      </c>
      <c r="S1690" s="21">
        <f>Table1[[#This Row],[5. Lợi nhuận gộp về bán hàng và cung cấp dịch vụ]]/Table1[[#This Row],[TỔNG CỘNG TÀI SẢN]]</f>
        <v>0.12463248716493454</v>
      </c>
      <c r="T169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0.18864348986805959</v>
      </c>
      <c r="U1690" s="23">
        <f>Table1[[#This Row],[1. Doanh thu bán hàng và cung cấp dịch vụ ]]/Table1[[#This Row],[TỔNG CỘNG TÀI SẢN]]</f>
        <v>1.381941944548813</v>
      </c>
      <c r="V1690" s="23">
        <f>1.2*Table1[[#This Row],[X1]] + 1.4*Table1[[#This Row],[X2]] + 3.3*Table1[[#This Row],[x3]] + 0.6*Table1[[#This Row],[x4]] + 1*Table1[[#This Row],[x5]]</f>
        <v>2.2442347444404618</v>
      </c>
      <c r="W1690" s="23">
        <f>IF(Table1[[#This Row],[Zscore]]&lt;1.81,1,0)</f>
        <v>0</v>
      </c>
    </row>
    <row r="1691" spans="1:23" hidden="1" x14ac:dyDescent="0.45">
      <c r="A1691" s="7">
        <v>1685</v>
      </c>
      <c r="B1691" s="5" t="s">
        <v>3381</v>
      </c>
      <c r="C1691" s="6" t="s">
        <v>3382</v>
      </c>
      <c r="D1691" s="6" t="s">
        <v>13</v>
      </c>
      <c r="E1691" s="6"/>
      <c r="F1691" s="6"/>
      <c r="G1691" s="6"/>
      <c r="H1691" s="6"/>
      <c r="I1691" s="6"/>
      <c r="J1691" s="8"/>
      <c r="K1691" s="6"/>
      <c r="L1691" s="6"/>
      <c r="M1691" s="8"/>
      <c r="N1691" s="8"/>
      <c r="O1691" s="8"/>
      <c r="P1691" s="8"/>
      <c r="Q1691" s="18" t="e">
        <f>(Table1[[#This Row],[A. TÀI SẢN NGẮN HẠN]]-Table1[[#This Row],[I. Nợ ngắn hạn]])/Table1[[#This Row],[TỔNG CỘNG TÀI SẢN]]</f>
        <v>#DIV/0!</v>
      </c>
      <c r="R1691" s="18" t="e">
        <f>Table1[[#This Row],[- LNST chưa phân phối kỳ này]]/Table1[[#This Row],[TỔNG CỘNG TÀI SẢN]]</f>
        <v>#DIV/0!</v>
      </c>
      <c r="S1691" s="21" t="e">
        <f>Table1[[#This Row],[5. Lợi nhuận gộp về bán hàng và cung cấp dịch vụ]]/Table1[[#This Row],[TỔNG CỘNG TÀI SẢN]]</f>
        <v>#DIV/0!</v>
      </c>
      <c r="T169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691" s="23" t="e">
        <f>Table1[[#This Row],[1. Doanh thu bán hàng và cung cấp dịch vụ ]]/Table1[[#This Row],[TỔNG CỘNG TÀI SẢN]]</f>
        <v>#DIV/0!</v>
      </c>
      <c r="V1691" s="23" t="e">
        <f>1.2*Table1[[#This Row],[X1]] + 1.4*Table1[[#This Row],[X2]] + 3.3*Table1[[#This Row],[x3]] + 0.6*Table1[[#This Row],[x4]] + 1*Table1[[#This Row],[x5]]</f>
        <v>#DIV/0!</v>
      </c>
      <c r="W1691" s="23" t="e">
        <f>IF(Table1[[#This Row],[Zscore]]&lt;1.81,1,0)</f>
        <v>#DIV/0!</v>
      </c>
    </row>
    <row r="1692" spans="1:23" hidden="1" x14ac:dyDescent="0.45">
      <c r="A1692" s="7">
        <v>1686</v>
      </c>
      <c r="B1692" s="5" t="s">
        <v>3383</v>
      </c>
      <c r="C1692" s="6" t="s">
        <v>3384</v>
      </c>
      <c r="D1692" s="6" t="s">
        <v>18</v>
      </c>
      <c r="E1692" s="6"/>
      <c r="F1692" s="6"/>
      <c r="G1692" s="6"/>
      <c r="H1692" s="6"/>
      <c r="I1692" s="6"/>
      <c r="J1692" s="8"/>
      <c r="K1692" s="6"/>
      <c r="L1692" s="6"/>
      <c r="M1692" s="8"/>
      <c r="N1692" s="8"/>
      <c r="O1692" s="8"/>
      <c r="P1692" s="8"/>
      <c r="Q1692" s="18" t="e">
        <f>(Table1[[#This Row],[A. TÀI SẢN NGẮN HẠN]]-Table1[[#This Row],[I. Nợ ngắn hạn]])/Table1[[#This Row],[TỔNG CỘNG TÀI SẢN]]</f>
        <v>#DIV/0!</v>
      </c>
      <c r="R1692" s="18" t="e">
        <f>Table1[[#This Row],[- LNST chưa phân phối kỳ này]]/Table1[[#This Row],[TỔNG CỘNG TÀI SẢN]]</f>
        <v>#DIV/0!</v>
      </c>
      <c r="S1692" s="21" t="e">
        <f>Table1[[#This Row],[5. Lợi nhuận gộp về bán hàng và cung cấp dịch vụ]]/Table1[[#This Row],[TỔNG CỘNG TÀI SẢN]]</f>
        <v>#DIV/0!</v>
      </c>
      <c r="T169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692" s="23" t="e">
        <f>Table1[[#This Row],[1. Doanh thu bán hàng và cung cấp dịch vụ ]]/Table1[[#This Row],[TỔNG CỘNG TÀI SẢN]]</f>
        <v>#DIV/0!</v>
      </c>
      <c r="V1692" s="23" t="e">
        <f>1.2*Table1[[#This Row],[X1]] + 1.4*Table1[[#This Row],[X2]] + 3.3*Table1[[#This Row],[x3]] + 0.6*Table1[[#This Row],[x4]] + 1*Table1[[#This Row],[x5]]</f>
        <v>#DIV/0!</v>
      </c>
      <c r="W1692" s="23" t="e">
        <f>IF(Table1[[#This Row],[Zscore]]&lt;1.81,1,0)</f>
        <v>#DIV/0!</v>
      </c>
    </row>
    <row r="1693" spans="1:23" x14ac:dyDescent="0.45">
      <c r="A1693" s="7">
        <v>1687</v>
      </c>
      <c r="B1693" s="5" t="s">
        <v>3385</v>
      </c>
      <c r="C1693" s="6" t="s">
        <v>3386</v>
      </c>
      <c r="D1693" s="6" t="s">
        <v>21</v>
      </c>
      <c r="E1693" s="8">
        <v>1371696344146</v>
      </c>
      <c r="F1693" s="8">
        <v>1051413624540</v>
      </c>
      <c r="G1693" s="8">
        <v>386745312707</v>
      </c>
      <c r="H1693" s="8">
        <v>108911875250</v>
      </c>
      <c r="I1693" s="8">
        <v>464943872542</v>
      </c>
      <c r="J1693" s="8"/>
      <c r="K1693" s="8">
        <v>396157257021</v>
      </c>
      <c r="L1693" s="8">
        <v>1124545625310</v>
      </c>
      <c r="M1693" s="8">
        <v>1514803595800</v>
      </c>
      <c r="N1693" s="8">
        <v>1537221408000</v>
      </c>
      <c r="O1693" s="8">
        <v>1524411229600</v>
      </c>
      <c r="P1693" s="8">
        <v>1457157793000</v>
      </c>
      <c r="Q1693" s="18">
        <f>(Table1[[#This Row],[A. TÀI SẢN NGẮN HẠN]]-Table1[[#This Row],[I. Nợ ngắn hạn]])/Table1[[#This Row],[TỔNG CỘNG TÀI SẢN]]</f>
        <v>0.48455936670649485</v>
      </c>
      <c r="R1693" s="18">
        <f>Table1[[#This Row],[- LNST chưa phân phối kỳ này]]/Table1[[#This Row],[TỔNG CỘNG TÀI SẢN]]</f>
        <v>7.9399406227773459E-2</v>
      </c>
      <c r="S1693" s="21">
        <f>Table1[[#This Row],[5. Lợi nhuận gộp về bán hàng và cung cấp dịch vụ]]/Table1[[#This Row],[TỔNG CỘNG TÀI SẢN]]</f>
        <v>0.33895539236963407</v>
      </c>
      <c r="T169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3.8075750976841021</v>
      </c>
      <c r="U1693" s="23">
        <f>Table1[[#This Row],[1. Doanh thu bán hàng và cung cấp dịch vụ ]]/Table1[[#This Row],[TỔNG CỘNG TÀI SẢN]]</f>
        <v>0.81982111427885096</v>
      </c>
      <c r="V1693" s="23">
        <f>1.2*Table1[[#This Row],[X1]] + 1.4*Table1[[#This Row],[X2]] + 3.3*Table1[[#This Row],[x3]] + 0.6*Table1[[#This Row],[x4]] + 1*Table1[[#This Row],[x5]]</f>
        <v>4.9155493764757807</v>
      </c>
      <c r="W1693" s="23">
        <f>IF(Table1[[#This Row],[Zscore]]&lt;1.81,1,0)</f>
        <v>0</v>
      </c>
    </row>
    <row r="1694" spans="1:23" ht="26.25" hidden="1" x14ac:dyDescent="0.45">
      <c r="A1694" s="7">
        <v>1688</v>
      </c>
      <c r="B1694" s="5" t="s">
        <v>3387</v>
      </c>
      <c r="C1694" s="6" t="s">
        <v>3388</v>
      </c>
      <c r="D1694" s="6" t="s">
        <v>13</v>
      </c>
      <c r="E1694" s="6"/>
      <c r="F1694" s="6"/>
      <c r="G1694" s="6"/>
      <c r="H1694" s="6"/>
      <c r="I1694" s="6"/>
      <c r="J1694" s="8"/>
      <c r="K1694" s="6"/>
      <c r="L1694" s="6"/>
      <c r="M1694" s="8"/>
      <c r="N1694" s="8"/>
      <c r="O1694" s="8"/>
      <c r="P1694" s="8"/>
      <c r="Q1694" s="18" t="e">
        <f>(Table1[[#This Row],[A. TÀI SẢN NGẮN HẠN]]-Table1[[#This Row],[I. Nợ ngắn hạn]])/Table1[[#This Row],[TỔNG CỘNG TÀI SẢN]]</f>
        <v>#DIV/0!</v>
      </c>
      <c r="R1694" s="18" t="e">
        <f>Table1[[#This Row],[- LNST chưa phân phối kỳ này]]/Table1[[#This Row],[TỔNG CỘNG TÀI SẢN]]</f>
        <v>#DIV/0!</v>
      </c>
      <c r="S1694" s="21" t="e">
        <f>Table1[[#This Row],[5. Lợi nhuận gộp về bán hàng và cung cấp dịch vụ]]/Table1[[#This Row],[TỔNG CỘNG TÀI SẢN]]</f>
        <v>#DIV/0!</v>
      </c>
      <c r="T169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694" s="23" t="e">
        <f>Table1[[#This Row],[1. Doanh thu bán hàng và cung cấp dịch vụ ]]/Table1[[#This Row],[TỔNG CỘNG TÀI SẢN]]</f>
        <v>#DIV/0!</v>
      </c>
      <c r="V1694" s="23" t="e">
        <f>1.2*Table1[[#This Row],[X1]] + 1.4*Table1[[#This Row],[X2]] + 3.3*Table1[[#This Row],[x3]] + 0.6*Table1[[#This Row],[x4]] + 1*Table1[[#This Row],[x5]]</f>
        <v>#DIV/0!</v>
      </c>
      <c r="W1694" s="23" t="e">
        <f>IF(Table1[[#This Row],[Zscore]]&lt;1.81,1,0)</f>
        <v>#DIV/0!</v>
      </c>
    </row>
    <row r="1695" spans="1:23" x14ac:dyDescent="0.45">
      <c r="A1695" s="7">
        <v>1689</v>
      </c>
      <c r="B1695" s="5" t="s">
        <v>3389</v>
      </c>
      <c r="C1695" s="6" t="s">
        <v>3390</v>
      </c>
      <c r="D1695" s="6" t="s">
        <v>21</v>
      </c>
      <c r="E1695" s="8">
        <v>14336388033798</v>
      </c>
      <c r="F1695" s="8">
        <v>14296526527256</v>
      </c>
      <c r="G1695" s="8">
        <v>2694361774257</v>
      </c>
      <c r="H1695" s="8">
        <v>3733814801</v>
      </c>
      <c r="I1695" s="8">
        <v>768012498851</v>
      </c>
      <c r="J1695" s="8"/>
      <c r="K1695" s="8">
        <v>6698326795252</v>
      </c>
      <c r="L1695" s="8">
        <v>1484179914047</v>
      </c>
      <c r="M1695" s="8">
        <v>3343197442850</v>
      </c>
      <c r="N1695" s="8">
        <v>4418396620450</v>
      </c>
      <c r="O1695" s="8">
        <v>3121437612470</v>
      </c>
      <c r="P1695" s="8">
        <v>4771196350600</v>
      </c>
      <c r="Q1695" s="18">
        <f>(Table1[[#This Row],[A. TÀI SẢN NGẮN HẠN]]-Table1[[#This Row],[I. Nợ ngắn hạn]])/Table1[[#This Row],[TỔNG CỘNG TÀI SẢN]]</f>
        <v>0.80928088202181225</v>
      </c>
      <c r="R1695" s="18">
        <f>Table1[[#This Row],[- LNST chưa phân phối kỳ này]]/Table1[[#This Row],[TỔNG CỘNG TÀI SẢN]]</f>
        <v>2.6044320174632138E-4</v>
      </c>
      <c r="S1695" s="21">
        <f>Table1[[#This Row],[5. Lợi nhuận gộp về bán hàng và cung cấp dịch vụ]]/Table1[[#This Row],[TỔNG CỘNG TÀI SẢN]]</f>
        <v>5.3570850415070544E-2</v>
      </c>
      <c r="T169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0.58425889423110278</v>
      </c>
      <c r="U1695" s="23">
        <f>Table1[[#This Row],[1. Doanh thu bán hàng và cung cấp dịch vụ ]]/Table1[[#This Row],[TỔNG CỘNG TÀI SẢN]]</f>
        <v>0.10352537267741703</v>
      </c>
      <c r="V1695" s="23">
        <f>1.2*Table1[[#This Row],[X1]] + 1.4*Table1[[#This Row],[X2]] + 3.3*Table1[[#This Row],[x3]] + 0.6*Table1[[#This Row],[x4]] + 1*Table1[[#This Row],[x5]]</f>
        <v>1.602366194494431</v>
      </c>
      <c r="W1695" s="23">
        <f>IF(Table1[[#This Row],[Zscore]]&lt;1.81,1,0)</f>
        <v>1</v>
      </c>
    </row>
    <row r="1696" spans="1:23" ht="26.25" hidden="1" x14ac:dyDescent="0.45">
      <c r="A1696" s="7">
        <v>1690</v>
      </c>
      <c r="B1696" s="5" t="s">
        <v>3391</v>
      </c>
      <c r="C1696" s="6" t="s">
        <v>3392</v>
      </c>
      <c r="D1696" s="6" t="s">
        <v>13</v>
      </c>
      <c r="E1696" s="6"/>
      <c r="F1696" s="6"/>
      <c r="G1696" s="6"/>
      <c r="H1696" s="6"/>
      <c r="I1696" s="6"/>
      <c r="J1696" s="8"/>
      <c r="K1696" s="6"/>
      <c r="L1696" s="6"/>
      <c r="M1696" s="8"/>
      <c r="N1696" s="8"/>
      <c r="O1696" s="8"/>
      <c r="P1696" s="8"/>
      <c r="Q1696" s="18" t="e">
        <f>(Table1[[#This Row],[A. TÀI SẢN NGẮN HẠN]]-Table1[[#This Row],[I. Nợ ngắn hạn]])/Table1[[#This Row],[TỔNG CỘNG TÀI SẢN]]</f>
        <v>#DIV/0!</v>
      </c>
      <c r="R1696" s="18" t="e">
        <f>Table1[[#This Row],[- LNST chưa phân phối kỳ này]]/Table1[[#This Row],[TỔNG CỘNG TÀI SẢN]]</f>
        <v>#DIV/0!</v>
      </c>
      <c r="S1696" s="21" t="e">
        <f>Table1[[#This Row],[5. Lợi nhuận gộp về bán hàng và cung cấp dịch vụ]]/Table1[[#This Row],[TỔNG CỘNG TÀI SẢN]]</f>
        <v>#DIV/0!</v>
      </c>
      <c r="T169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696" s="23" t="e">
        <f>Table1[[#This Row],[1. Doanh thu bán hàng và cung cấp dịch vụ ]]/Table1[[#This Row],[TỔNG CỘNG TÀI SẢN]]</f>
        <v>#DIV/0!</v>
      </c>
      <c r="V1696" s="23" t="e">
        <f>1.2*Table1[[#This Row],[X1]] + 1.4*Table1[[#This Row],[X2]] + 3.3*Table1[[#This Row],[x3]] + 0.6*Table1[[#This Row],[x4]] + 1*Table1[[#This Row],[x5]]</f>
        <v>#DIV/0!</v>
      </c>
      <c r="W1696" s="23" t="e">
        <f>IF(Table1[[#This Row],[Zscore]]&lt;1.81,1,0)</f>
        <v>#DIV/0!</v>
      </c>
    </row>
    <row r="1697" spans="1:23" ht="26.25" hidden="1" x14ac:dyDescent="0.45">
      <c r="A1697" s="7">
        <v>1691</v>
      </c>
      <c r="B1697" s="5" t="s">
        <v>3393</v>
      </c>
      <c r="C1697" s="6" t="s">
        <v>3394</v>
      </c>
      <c r="D1697" s="6" t="s">
        <v>13</v>
      </c>
      <c r="E1697" s="6"/>
      <c r="F1697" s="6"/>
      <c r="G1697" s="6"/>
      <c r="H1697" s="6"/>
      <c r="I1697" s="6"/>
      <c r="J1697" s="8"/>
      <c r="K1697" s="6"/>
      <c r="L1697" s="6"/>
      <c r="M1697" s="8"/>
      <c r="N1697" s="8"/>
      <c r="O1697" s="8"/>
      <c r="P1697" s="8"/>
      <c r="Q1697" s="18" t="e">
        <f>(Table1[[#This Row],[A. TÀI SẢN NGẮN HẠN]]-Table1[[#This Row],[I. Nợ ngắn hạn]])/Table1[[#This Row],[TỔNG CỘNG TÀI SẢN]]</f>
        <v>#DIV/0!</v>
      </c>
      <c r="R1697" s="18" t="e">
        <f>Table1[[#This Row],[- LNST chưa phân phối kỳ này]]/Table1[[#This Row],[TỔNG CỘNG TÀI SẢN]]</f>
        <v>#DIV/0!</v>
      </c>
      <c r="S1697" s="21" t="e">
        <f>Table1[[#This Row],[5. Lợi nhuận gộp về bán hàng và cung cấp dịch vụ]]/Table1[[#This Row],[TỔNG CỘNG TÀI SẢN]]</f>
        <v>#DIV/0!</v>
      </c>
      <c r="T169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697" s="23" t="e">
        <f>Table1[[#This Row],[1. Doanh thu bán hàng và cung cấp dịch vụ ]]/Table1[[#This Row],[TỔNG CỘNG TÀI SẢN]]</f>
        <v>#DIV/0!</v>
      </c>
      <c r="V1697" s="23" t="e">
        <f>1.2*Table1[[#This Row],[X1]] + 1.4*Table1[[#This Row],[X2]] + 3.3*Table1[[#This Row],[x3]] + 0.6*Table1[[#This Row],[x4]] + 1*Table1[[#This Row],[x5]]</f>
        <v>#DIV/0!</v>
      </c>
      <c r="W1697" s="23" t="e">
        <f>IF(Table1[[#This Row],[Zscore]]&lt;1.81,1,0)</f>
        <v>#DIV/0!</v>
      </c>
    </row>
    <row r="1698" spans="1:23" hidden="1" x14ac:dyDescent="0.45">
      <c r="A1698" s="7">
        <v>1692</v>
      </c>
      <c r="B1698" s="5" t="s">
        <v>3395</v>
      </c>
      <c r="C1698" s="6" t="s">
        <v>3396</v>
      </c>
      <c r="D1698" s="6" t="s">
        <v>13</v>
      </c>
      <c r="E1698" s="6"/>
      <c r="F1698" s="6"/>
      <c r="G1698" s="6"/>
      <c r="H1698" s="6"/>
      <c r="I1698" s="6"/>
      <c r="J1698" s="8"/>
      <c r="K1698" s="6"/>
      <c r="L1698" s="6"/>
      <c r="M1698" s="8"/>
      <c r="N1698" s="8"/>
      <c r="O1698" s="8"/>
      <c r="P1698" s="8"/>
      <c r="Q1698" s="18" t="e">
        <f>(Table1[[#This Row],[A. TÀI SẢN NGẮN HẠN]]-Table1[[#This Row],[I. Nợ ngắn hạn]])/Table1[[#This Row],[TỔNG CỘNG TÀI SẢN]]</f>
        <v>#DIV/0!</v>
      </c>
      <c r="R1698" s="18" t="e">
        <f>Table1[[#This Row],[- LNST chưa phân phối kỳ này]]/Table1[[#This Row],[TỔNG CỘNG TÀI SẢN]]</f>
        <v>#DIV/0!</v>
      </c>
      <c r="S1698" s="21" t="e">
        <f>Table1[[#This Row],[5. Lợi nhuận gộp về bán hàng và cung cấp dịch vụ]]/Table1[[#This Row],[TỔNG CỘNG TÀI SẢN]]</f>
        <v>#DIV/0!</v>
      </c>
      <c r="T169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698" s="23" t="e">
        <f>Table1[[#This Row],[1. Doanh thu bán hàng và cung cấp dịch vụ ]]/Table1[[#This Row],[TỔNG CỘNG TÀI SẢN]]</f>
        <v>#DIV/0!</v>
      </c>
      <c r="V1698" s="23" t="e">
        <f>1.2*Table1[[#This Row],[X1]] + 1.4*Table1[[#This Row],[X2]] + 3.3*Table1[[#This Row],[x3]] + 0.6*Table1[[#This Row],[x4]] + 1*Table1[[#This Row],[x5]]</f>
        <v>#DIV/0!</v>
      </c>
      <c r="W1698" s="23" t="e">
        <f>IF(Table1[[#This Row],[Zscore]]&lt;1.81,1,0)</f>
        <v>#DIV/0!</v>
      </c>
    </row>
    <row r="1699" spans="1:23" hidden="1" x14ac:dyDescent="0.45">
      <c r="A1699" s="7">
        <v>1693</v>
      </c>
      <c r="B1699" s="5" t="s">
        <v>3397</v>
      </c>
      <c r="C1699" s="6" t="s">
        <v>3398</v>
      </c>
      <c r="D1699" s="6" t="s">
        <v>13</v>
      </c>
      <c r="E1699" s="6"/>
      <c r="F1699" s="6"/>
      <c r="G1699" s="6"/>
      <c r="H1699" s="6"/>
      <c r="I1699" s="6"/>
      <c r="J1699" s="8"/>
      <c r="K1699" s="6"/>
      <c r="L1699" s="6"/>
      <c r="M1699" s="8"/>
      <c r="N1699" s="8"/>
      <c r="O1699" s="8"/>
      <c r="P1699" s="8"/>
      <c r="Q1699" s="18" t="e">
        <f>(Table1[[#This Row],[A. TÀI SẢN NGẮN HẠN]]-Table1[[#This Row],[I. Nợ ngắn hạn]])/Table1[[#This Row],[TỔNG CỘNG TÀI SẢN]]</f>
        <v>#DIV/0!</v>
      </c>
      <c r="R1699" s="18" t="e">
        <f>Table1[[#This Row],[- LNST chưa phân phối kỳ này]]/Table1[[#This Row],[TỔNG CỘNG TÀI SẢN]]</f>
        <v>#DIV/0!</v>
      </c>
      <c r="S1699" s="21" t="e">
        <f>Table1[[#This Row],[5. Lợi nhuận gộp về bán hàng và cung cấp dịch vụ]]/Table1[[#This Row],[TỔNG CỘNG TÀI SẢN]]</f>
        <v>#DIV/0!</v>
      </c>
      <c r="T169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699" s="23" t="e">
        <f>Table1[[#This Row],[1. Doanh thu bán hàng và cung cấp dịch vụ ]]/Table1[[#This Row],[TỔNG CỘNG TÀI SẢN]]</f>
        <v>#DIV/0!</v>
      </c>
      <c r="V1699" s="23" t="e">
        <f>1.2*Table1[[#This Row],[X1]] + 1.4*Table1[[#This Row],[X2]] + 3.3*Table1[[#This Row],[x3]] + 0.6*Table1[[#This Row],[x4]] + 1*Table1[[#This Row],[x5]]</f>
        <v>#DIV/0!</v>
      </c>
      <c r="W1699" s="23" t="e">
        <f>IF(Table1[[#This Row],[Zscore]]&lt;1.81,1,0)</f>
        <v>#DIV/0!</v>
      </c>
    </row>
    <row r="1700" spans="1:23" hidden="1" x14ac:dyDescent="0.45">
      <c r="A1700" s="7">
        <v>1694</v>
      </c>
      <c r="B1700" s="5" t="s">
        <v>3399</v>
      </c>
      <c r="C1700" s="6" t="s">
        <v>3400</v>
      </c>
      <c r="D1700" s="6" t="s">
        <v>13</v>
      </c>
      <c r="E1700" s="6"/>
      <c r="F1700" s="6"/>
      <c r="G1700" s="6"/>
      <c r="H1700" s="6"/>
      <c r="I1700" s="6"/>
      <c r="J1700" s="8"/>
      <c r="K1700" s="6"/>
      <c r="L1700" s="6"/>
      <c r="M1700" s="8"/>
      <c r="N1700" s="8"/>
      <c r="O1700" s="8"/>
      <c r="P1700" s="8"/>
      <c r="Q1700" s="18" t="e">
        <f>(Table1[[#This Row],[A. TÀI SẢN NGẮN HẠN]]-Table1[[#This Row],[I. Nợ ngắn hạn]])/Table1[[#This Row],[TỔNG CỘNG TÀI SẢN]]</f>
        <v>#DIV/0!</v>
      </c>
      <c r="R1700" s="18" t="e">
        <f>Table1[[#This Row],[- LNST chưa phân phối kỳ này]]/Table1[[#This Row],[TỔNG CỘNG TÀI SẢN]]</f>
        <v>#DIV/0!</v>
      </c>
      <c r="S1700" s="21" t="e">
        <f>Table1[[#This Row],[5. Lợi nhuận gộp về bán hàng và cung cấp dịch vụ]]/Table1[[#This Row],[TỔNG CỘNG TÀI SẢN]]</f>
        <v>#DIV/0!</v>
      </c>
      <c r="T170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700" s="23" t="e">
        <f>Table1[[#This Row],[1. Doanh thu bán hàng và cung cấp dịch vụ ]]/Table1[[#This Row],[TỔNG CỘNG TÀI SẢN]]</f>
        <v>#DIV/0!</v>
      </c>
      <c r="V1700" s="23" t="e">
        <f>1.2*Table1[[#This Row],[X1]] + 1.4*Table1[[#This Row],[X2]] + 3.3*Table1[[#This Row],[x3]] + 0.6*Table1[[#This Row],[x4]] + 1*Table1[[#This Row],[x5]]</f>
        <v>#DIV/0!</v>
      </c>
      <c r="W1700" s="23" t="e">
        <f>IF(Table1[[#This Row],[Zscore]]&lt;1.81,1,0)</f>
        <v>#DIV/0!</v>
      </c>
    </row>
    <row r="1701" spans="1:23" x14ac:dyDescent="0.45">
      <c r="A1701" s="7">
        <v>1695</v>
      </c>
      <c r="B1701" s="5" t="s">
        <v>3401</v>
      </c>
      <c r="C1701" s="6" t="s">
        <v>3402</v>
      </c>
      <c r="D1701" s="6" t="s">
        <v>21</v>
      </c>
      <c r="E1701" s="8">
        <v>2737870130397</v>
      </c>
      <c r="F1701" s="8">
        <v>2042559743843</v>
      </c>
      <c r="G1701" s="8">
        <v>1705957240851</v>
      </c>
      <c r="H1701" s="8">
        <v>117682877926</v>
      </c>
      <c r="I1701" s="8">
        <v>422378522096</v>
      </c>
      <c r="J1701" s="8"/>
      <c r="K1701" s="8">
        <v>1713933104336</v>
      </c>
      <c r="L1701" s="8">
        <v>4258597663535</v>
      </c>
      <c r="M1701" s="8">
        <v>1714805988300</v>
      </c>
      <c r="N1701" s="8">
        <v>1561444147200</v>
      </c>
      <c r="O1701" s="8">
        <v>1115320968000</v>
      </c>
      <c r="P1701" s="8">
        <v>1756624665600</v>
      </c>
      <c r="Q1701" s="18">
        <f>(Table1[[#This Row],[A. TÀI SẢN NGẮN HẠN]]-Table1[[#This Row],[I. Nợ ngắn hạn]])/Table1[[#This Row],[TỔNG CỘNG TÀI SẢN]]</f>
        <v>0.12294319560847525</v>
      </c>
      <c r="R1701" s="18">
        <f>Table1[[#This Row],[- LNST chưa phân phối kỳ này]]/Table1[[#This Row],[TỔNG CỘNG TÀI SẢN]]</f>
        <v>4.2983367479499698E-2</v>
      </c>
      <c r="S1701" s="21">
        <f>Table1[[#This Row],[5. Lợi nhuận gộp về bán hàng và cung cấp dịch vụ]]/Table1[[#This Row],[TỔNG CỘNG TÀI SẢN]]</f>
        <v>0.15427266523951366</v>
      </c>
      <c r="T170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0.89679634426016452</v>
      </c>
      <c r="U1701" s="23">
        <f>Table1[[#This Row],[1. Doanh thu bán hàng và cung cấp dịch vụ ]]/Table1[[#This Row],[TỔNG CỘNG TÀI SẢN]]</f>
        <v>1.5554418072114653</v>
      </c>
      <c r="V1701" s="23">
        <f>1.2*Table1[[#This Row],[X1]] + 1.4*Table1[[#This Row],[X2]] + 3.3*Table1[[#This Row],[x3]] + 0.6*Table1[[#This Row],[x4]] + 1*Table1[[#This Row],[x5]]</f>
        <v>2.8103279582594292</v>
      </c>
      <c r="W1701" s="23">
        <f>IF(Table1[[#This Row],[Zscore]]&lt;1.81,1,0)</f>
        <v>0</v>
      </c>
    </row>
    <row r="1702" spans="1:23" ht="26.25" hidden="1" x14ac:dyDescent="0.45">
      <c r="A1702" s="7">
        <v>1696</v>
      </c>
      <c r="B1702" s="5" t="s">
        <v>3403</v>
      </c>
      <c r="C1702" s="6" t="s">
        <v>3404</v>
      </c>
      <c r="D1702" s="6" t="s">
        <v>13</v>
      </c>
      <c r="E1702" s="6"/>
      <c r="F1702" s="6"/>
      <c r="G1702" s="6"/>
      <c r="H1702" s="6"/>
      <c r="I1702" s="6"/>
      <c r="J1702" s="8"/>
      <c r="K1702" s="6"/>
      <c r="L1702" s="6"/>
      <c r="M1702" s="8"/>
      <c r="N1702" s="8"/>
      <c r="O1702" s="8"/>
      <c r="P1702" s="8"/>
      <c r="Q1702" s="18" t="e">
        <f>(Table1[[#This Row],[A. TÀI SẢN NGẮN HẠN]]-Table1[[#This Row],[I. Nợ ngắn hạn]])/Table1[[#This Row],[TỔNG CỘNG TÀI SẢN]]</f>
        <v>#DIV/0!</v>
      </c>
      <c r="R1702" s="18" t="e">
        <f>Table1[[#This Row],[- LNST chưa phân phối kỳ này]]/Table1[[#This Row],[TỔNG CỘNG TÀI SẢN]]</f>
        <v>#DIV/0!</v>
      </c>
      <c r="S1702" s="21" t="e">
        <f>Table1[[#This Row],[5. Lợi nhuận gộp về bán hàng và cung cấp dịch vụ]]/Table1[[#This Row],[TỔNG CỘNG TÀI SẢN]]</f>
        <v>#DIV/0!</v>
      </c>
      <c r="T170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702" s="23" t="e">
        <f>Table1[[#This Row],[1. Doanh thu bán hàng và cung cấp dịch vụ ]]/Table1[[#This Row],[TỔNG CỘNG TÀI SẢN]]</f>
        <v>#DIV/0!</v>
      </c>
      <c r="V1702" s="23" t="e">
        <f>1.2*Table1[[#This Row],[X1]] + 1.4*Table1[[#This Row],[X2]] + 3.3*Table1[[#This Row],[x3]] + 0.6*Table1[[#This Row],[x4]] + 1*Table1[[#This Row],[x5]]</f>
        <v>#DIV/0!</v>
      </c>
      <c r="W1702" s="23" t="e">
        <f>IF(Table1[[#This Row],[Zscore]]&lt;1.81,1,0)</f>
        <v>#DIV/0!</v>
      </c>
    </row>
    <row r="1703" spans="1:23" ht="26.25" hidden="1" x14ac:dyDescent="0.45">
      <c r="A1703" s="7">
        <v>1697</v>
      </c>
      <c r="B1703" s="5" t="s">
        <v>3405</v>
      </c>
      <c r="C1703" s="6" t="s">
        <v>3406</v>
      </c>
      <c r="D1703" s="6" t="s">
        <v>13</v>
      </c>
      <c r="E1703" s="6"/>
      <c r="F1703" s="6"/>
      <c r="G1703" s="6"/>
      <c r="H1703" s="6"/>
      <c r="I1703" s="6"/>
      <c r="J1703" s="8"/>
      <c r="K1703" s="6"/>
      <c r="L1703" s="6"/>
      <c r="M1703" s="8"/>
      <c r="N1703" s="8"/>
      <c r="O1703" s="8"/>
      <c r="P1703" s="8"/>
      <c r="Q1703" s="18" t="e">
        <f>(Table1[[#This Row],[A. TÀI SẢN NGẮN HẠN]]-Table1[[#This Row],[I. Nợ ngắn hạn]])/Table1[[#This Row],[TỔNG CỘNG TÀI SẢN]]</f>
        <v>#DIV/0!</v>
      </c>
      <c r="R1703" s="18" t="e">
        <f>Table1[[#This Row],[- LNST chưa phân phối kỳ này]]/Table1[[#This Row],[TỔNG CỘNG TÀI SẢN]]</f>
        <v>#DIV/0!</v>
      </c>
      <c r="S1703" s="21" t="e">
        <f>Table1[[#This Row],[5. Lợi nhuận gộp về bán hàng và cung cấp dịch vụ]]/Table1[[#This Row],[TỔNG CỘNG TÀI SẢN]]</f>
        <v>#DIV/0!</v>
      </c>
      <c r="T170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703" s="23" t="e">
        <f>Table1[[#This Row],[1. Doanh thu bán hàng và cung cấp dịch vụ ]]/Table1[[#This Row],[TỔNG CỘNG TÀI SẢN]]</f>
        <v>#DIV/0!</v>
      </c>
      <c r="V1703" s="23" t="e">
        <f>1.2*Table1[[#This Row],[X1]] + 1.4*Table1[[#This Row],[X2]] + 3.3*Table1[[#This Row],[x3]] + 0.6*Table1[[#This Row],[x4]] + 1*Table1[[#This Row],[x5]]</f>
        <v>#DIV/0!</v>
      </c>
      <c r="W1703" s="23" t="e">
        <f>IF(Table1[[#This Row],[Zscore]]&lt;1.81,1,0)</f>
        <v>#DIV/0!</v>
      </c>
    </row>
    <row r="1704" spans="1:23" ht="26.25" hidden="1" x14ac:dyDescent="0.45">
      <c r="A1704" s="7">
        <v>1698</v>
      </c>
      <c r="B1704" s="5" t="s">
        <v>3407</v>
      </c>
      <c r="C1704" s="6" t="s">
        <v>3408</v>
      </c>
      <c r="D1704" s="6" t="s">
        <v>18</v>
      </c>
      <c r="E1704" s="8">
        <v>66217998244</v>
      </c>
      <c r="F1704" s="8">
        <v>56927209325</v>
      </c>
      <c r="G1704" s="8">
        <v>17608148588</v>
      </c>
      <c r="H1704" s="8">
        <v>3898484455</v>
      </c>
      <c r="I1704" s="8">
        <v>20753563074</v>
      </c>
      <c r="J1704" s="8"/>
      <c r="K1704" s="8">
        <v>17608148588</v>
      </c>
      <c r="L1704" s="8">
        <v>72765527922</v>
      </c>
      <c r="M1704" s="8"/>
      <c r="N1704" s="8"/>
      <c r="O1704" s="8"/>
      <c r="P1704" s="8"/>
      <c r="Q1704" s="18">
        <f>(Table1[[#This Row],[A. TÀI SẢN NGẮN HẠN]]-Table1[[#This Row],[I. Nợ ngắn hạn]])/Table1[[#This Row],[TỔNG CỘNG TÀI SẢN]]</f>
        <v>0.59378208009425437</v>
      </c>
      <c r="R1704" s="18">
        <f>Table1[[#This Row],[- LNST chưa phân phối kỳ này]]/Table1[[#This Row],[TỔNG CỘNG TÀI SẢN]]</f>
        <v>5.8873486942853048E-2</v>
      </c>
      <c r="S1704" s="21">
        <f>Table1[[#This Row],[5. Lợi nhuận gộp về bán hàng và cung cấp dịch vụ]]/Table1[[#This Row],[TỔNG CỘNG TÀI SẢN]]</f>
        <v>0.31341272198424508</v>
      </c>
      <c r="T170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704" s="23">
        <f>Table1[[#This Row],[1. Doanh thu bán hàng và cung cấp dịch vụ ]]/Table1[[#This Row],[TỔNG CỘNG TÀI SẢN]]</f>
        <v>1.0988783994024354</v>
      </c>
      <c r="V1704" s="23" t="e">
        <f>1.2*Table1[[#This Row],[X1]] + 1.4*Table1[[#This Row],[X2]] + 3.3*Table1[[#This Row],[x3]] + 0.6*Table1[[#This Row],[x4]] + 1*Table1[[#This Row],[x5]]</f>
        <v>#DIV/0!</v>
      </c>
      <c r="W1704" s="23" t="e">
        <f>IF(Table1[[#This Row],[Zscore]]&lt;1.81,1,0)</f>
        <v>#DIV/0!</v>
      </c>
    </row>
    <row r="1705" spans="1:23" hidden="1" x14ac:dyDescent="0.45">
      <c r="A1705" s="7">
        <v>1699</v>
      </c>
      <c r="B1705" s="5" t="s">
        <v>3409</v>
      </c>
      <c r="C1705" s="6" t="s">
        <v>3410</v>
      </c>
      <c r="D1705" s="6" t="s">
        <v>13</v>
      </c>
      <c r="E1705" s="6"/>
      <c r="F1705" s="6"/>
      <c r="G1705" s="6"/>
      <c r="H1705" s="6"/>
      <c r="I1705" s="6"/>
      <c r="J1705" s="8"/>
      <c r="K1705" s="6"/>
      <c r="L1705" s="6"/>
      <c r="M1705" s="8"/>
      <c r="N1705" s="8"/>
      <c r="O1705" s="8"/>
      <c r="P1705" s="8"/>
      <c r="Q1705" s="18" t="e">
        <f>(Table1[[#This Row],[A. TÀI SẢN NGẮN HẠN]]-Table1[[#This Row],[I. Nợ ngắn hạn]])/Table1[[#This Row],[TỔNG CỘNG TÀI SẢN]]</f>
        <v>#DIV/0!</v>
      </c>
      <c r="R1705" s="18" t="e">
        <f>Table1[[#This Row],[- LNST chưa phân phối kỳ này]]/Table1[[#This Row],[TỔNG CỘNG TÀI SẢN]]</f>
        <v>#DIV/0!</v>
      </c>
      <c r="S1705" s="21" t="e">
        <f>Table1[[#This Row],[5. Lợi nhuận gộp về bán hàng và cung cấp dịch vụ]]/Table1[[#This Row],[TỔNG CỘNG TÀI SẢN]]</f>
        <v>#DIV/0!</v>
      </c>
      <c r="T170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705" s="23" t="e">
        <f>Table1[[#This Row],[1. Doanh thu bán hàng và cung cấp dịch vụ ]]/Table1[[#This Row],[TỔNG CỘNG TÀI SẢN]]</f>
        <v>#DIV/0!</v>
      </c>
      <c r="V1705" s="23" t="e">
        <f>1.2*Table1[[#This Row],[X1]] + 1.4*Table1[[#This Row],[X2]] + 3.3*Table1[[#This Row],[x3]] + 0.6*Table1[[#This Row],[x4]] + 1*Table1[[#This Row],[x5]]</f>
        <v>#DIV/0!</v>
      </c>
      <c r="W1705" s="23" t="e">
        <f>IF(Table1[[#This Row],[Zscore]]&lt;1.81,1,0)</f>
        <v>#DIV/0!</v>
      </c>
    </row>
    <row r="1706" spans="1:23" x14ac:dyDescent="0.45">
      <c r="A1706" s="7">
        <v>1700</v>
      </c>
      <c r="B1706" s="5" t="s">
        <v>3411</v>
      </c>
      <c r="C1706" s="6" t="s">
        <v>3412</v>
      </c>
      <c r="D1706" s="6" t="s">
        <v>21</v>
      </c>
      <c r="E1706" s="8">
        <v>15707095007690</v>
      </c>
      <c r="F1706" s="8">
        <v>10385639495619</v>
      </c>
      <c r="G1706" s="8">
        <v>5791401778566</v>
      </c>
      <c r="H1706" s="8">
        <v>493287596861</v>
      </c>
      <c r="I1706" s="8">
        <v>3367555176296</v>
      </c>
      <c r="J1706" s="8"/>
      <c r="K1706" s="8">
        <v>6622775383615</v>
      </c>
      <c r="L1706" s="8">
        <v>18014711975340</v>
      </c>
      <c r="M1706" s="8">
        <v>5598379300000</v>
      </c>
      <c r="N1706" s="8">
        <v>5702826675000</v>
      </c>
      <c r="O1706" s="8">
        <v>5807274050000</v>
      </c>
      <c r="P1706" s="8">
        <v>6590629362500</v>
      </c>
      <c r="Q1706" s="18">
        <f>(Table1[[#This Row],[A. TÀI SẢN NGẮN HẠN]]-Table1[[#This Row],[I. Nợ ngắn hạn]])/Table1[[#This Row],[TỔNG CỘNG TÀI SẢN]]</f>
        <v>0.29249442464082109</v>
      </c>
      <c r="R1706" s="18">
        <f>Table1[[#This Row],[- LNST chưa phân phối kỳ này]]/Table1[[#This Row],[TỔNG CỘNG TÀI SẢN]]</f>
        <v>3.1405399701185513E-2</v>
      </c>
      <c r="S1706" s="21">
        <f>Table1[[#This Row],[5. Lợi nhuận gộp về bán hàng và cung cấp dịch vụ]]/Table1[[#This Row],[TỔNG CỘNG TÀI SẢN]]</f>
        <v>0.21439707181036891</v>
      </c>
      <c r="T170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0.89460641554190801</v>
      </c>
      <c r="U1706" s="23">
        <f>Table1[[#This Row],[1. Doanh thu bán hàng và cung cấp dịch vụ ]]/Table1[[#This Row],[TỔNG CỘNG TÀI SẢN]]</f>
        <v>1.1469155796485742</v>
      </c>
      <c r="V1706" s="23">
        <f>1.2*Table1[[#This Row],[X1]] + 1.4*Table1[[#This Row],[X2]] + 3.3*Table1[[#This Row],[x3]] + 0.6*Table1[[#This Row],[x4]] + 1*Table1[[#This Row],[x5]]</f>
        <v>2.7861506350985814</v>
      </c>
      <c r="W1706" s="23">
        <f>IF(Table1[[#This Row],[Zscore]]&lt;1.81,1,0)</f>
        <v>0</v>
      </c>
    </row>
    <row r="1707" spans="1:23" ht="26.25" x14ac:dyDescent="0.45">
      <c r="A1707" s="7">
        <v>1701</v>
      </c>
      <c r="B1707" s="5" t="s">
        <v>3413</v>
      </c>
      <c r="C1707" s="6" t="s">
        <v>3414</v>
      </c>
      <c r="D1707" s="6" t="s">
        <v>18</v>
      </c>
      <c r="E1707" s="8">
        <v>11195929561104</v>
      </c>
      <c r="F1707" s="8">
        <v>2097104205502</v>
      </c>
      <c r="G1707" s="8">
        <v>4102167859577</v>
      </c>
      <c r="H1707" s="8">
        <v>-504690828103</v>
      </c>
      <c r="I1707" s="8">
        <v>-191465136000</v>
      </c>
      <c r="J1707" s="8"/>
      <c r="K1707" s="8">
        <v>9244815428063</v>
      </c>
      <c r="L1707" s="8">
        <v>155132273431</v>
      </c>
      <c r="M1707" s="8">
        <v>7354400000000</v>
      </c>
      <c r="N1707" s="8">
        <v>6032000000000</v>
      </c>
      <c r="O1707" s="8">
        <v>6240800000000</v>
      </c>
      <c r="P1707" s="8">
        <v>5591200000000</v>
      </c>
      <c r="Q1707" s="18">
        <f>(Table1[[#This Row],[A. TÀI SẢN NGẮN HẠN]]-Table1[[#This Row],[I. Nợ ngắn hạn]])/Table1[[#This Row],[TỔNG CỘNG TÀI SẢN]]</f>
        <v>-0.17908862708826173</v>
      </c>
      <c r="R1707" s="18">
        <f>Table1[[#This Row],[- LNST chưa phân phối kỳ này]]/Table1[[#This Row],[TỔNG CỘNG TÀI SẢN]]</f>
        <v>-4.5078063893538273E-2</v>
      </c>
      <c r="S1707" s="21">
        <f>Table1[[#This Row],[5. Lợi nhuận gộp về bán hàng và cung cấp dịch vụ]]/Table1[[#This Row],[TỔNG CỘNG TÀI SẢN]]</f>
        <v>-1.7101316595021534E-2</v>
      </c>
      <c r="T170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0.68196061339008884</v>
      </c>
      <c r="U1707" s="23">
        <f>Table1[[#This Row],[1. Doanh thu bán hàng và cung cấp dịch vụ ]]/Table1[[#This Row],[TỔNG CỘNG TÀI SẢN]]</f>
        <v>1.385613160428841E-2</v>
      </c>
      <c r="V1707" s="23">
        <f>1.2*Table1[[#This Row],[X1]] + 1.4*Table1[[#This Row],[X2]] + 3.3*Table1[[#This Row],[x3]] + 0.6*Table1[[#This Row],[x4]] + 1*Table1[[#This Row],[x5]]</f>
        <v>8.8582512917902936E-2</v>
      </c>
      <c r="W1707" s="23">
        <f>IF(Table1[[#This Row],[Zscore]]&lt;1.81,1,0)</f>
        <v>1</v>
      </c>
    </row>
    <row r="1708" spans="1:23" x14ac:dyDescent="0.45">
      <c r="A1708" s="7">
        <v>1702</v>
      </c>
      <c r="B1708" s="5" t="s">
        <v>3415</v>
      </c>
      <c r="C1708" s="6" t="s">
        <v>3416</v>
      </c>
      <c r="D1708" s="6" t="s">
        <v>18</v>
      </c>
      <c r="E1708" s="8">
        <v>1107000163855</v>
      </c>
      <c r="F1708" s="8">
        <v>522099048851</v>
      </c>
      <c r="G1708" s="8">
        <v>578785310272</v>
      </c>
      <c r="H1708" s="8">
        <v>16573175416</v>
      </c>
      <c r="I1708" s="8">
        <v>49448059968</v>
      </c>
      <c r="J1708" s="8"/>
      <c r="K1708" s="8">
        <v>660333530918</v>
      </c>
      <c r="L1708" s="8">
        <v>1658974977086</v>
      </c>
      <c r="M1708" s="8">
        <v>86954900800</v>
      </c>
      <c r="N1708" s="8">
        <v>84149904000</v>
      </c>
      <c r="O1708" s="8">
        <v>78539910400</v>
      </c>
      <c r="P1708" s="8">
        <v>123419859200</v>
      </c>
      <c r="Q1708" s="18">
        <f>(Table1[[#This Row],[A. TÀI SẢN NGẮN HẠN]]-Table1[[#This Row],[I. Nợ ngắn hạn]])/Table1[[#This Row],[TỔNG CỘNG TÀI SẢN]]</f>
        <v>-5.1207093975123415E-2</v>
      </c>
      <c r="R1708" s="18">
        <f>Table1[[#This Row],[- LNST chưa phân phối kỳ này]]/Table1[[#This Row],[TỔNG CỘNG TÀI SẢN]]</f>
        <v>1.4971249288966528E-2</v>
      </c>
      <c r="S1708" s="21">
        <f>Table1[[#This Row],[5. Lợi nhuận gộp về bán hàng và cung cấp dịch vụ]]/Table1[[#This Row],[TỔNG CỘNG TÀI SẢN]]</f>
        <v>4.4668520911327468E-2</v>
      </c>
      <c r="T170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0.14124096268493408</v>
      </c>
      <c r="U1708" s="23">
        <f>Table1[[#This Row],[1. Doanh thu bán hàng và cung cấp dịch vụ ]]/Table1[[#This Row],[TỔNG CỘNG TÀI SẢN]]</f>
        <v>1.4986221603697072</v>
      </c>
      <c r="V1708" s="23">
        <f>1.2*Table1[[#This Row],[X1]] + 1.4*Table1[[#This Row],[X2]] + 3.3*Table1[[#This Row],[x3]] + 0.6*Table1[[#This Row],[x4]] + 1*Table1[[#This Row],[x5]]</f>
        <v>1.6902840932224534</v>
      </c>
      <c r="W1708" s="23">
        <f>IF(Table1[[#This Row],[Zscore]]&lt;1.81,1,0)</f>
        <v>1</v>
      </c>
    </row>
    <row r="1709" spans="1:23" x14ac:dyDescent="0.45">
      <c r="A1709" s="7">
        <v>1703</v>
      </c>
      <c r="B1709" s="5" t="s">
        <v>3417</v>
      </c>
      <c r="C1709" s="6" t="s">
        <v>3418</v>
      </c>
      <c r="D1709" s="6" t="s">
        <v>18</v>
      </c>
      <c r="E1709" s="8">
        <v>1440369372008</v>
      </c>
      <c r="F1709" s="8">
        <v>1170185326618</v>
      </c>
      <c r="G1709" s="8">
        <v>850143356176</v>
      </c>
      <c r="H1709" s="8">
        <v>97492892431</v>
      </c>
      <c r="I1709" s="8">
        <v>442671415949</v>
      </c>
      <c r="J1709" s="8"/>
      <c r="K1709" s="8">
        <v>850143356176</v>
      </c>
      <c r="L1709" s="8">
        <v>1923385798882</v>
      </c>
      <c r="M1709" s="8">
        <v>2300000000000</v>
      </c>
      <c r="N1709" s="8">
        <v>2020000000000</v>
      </c>
      <c r="O1709" s="8">
        <v>2312500000000</v>
      </c>
      <c r="P1709" s="8">
        <v>2287500000000</v>
      </c>
      <c r="Q1709" s="18">
        <f>(Table1[[#This Row],[A. TÀI SẢN NGẮN HẠN]]-Table1[[#This Row],[I. Nợ ngắn hạn]])/Table1[[#This Row],[TỔNG CỘNG TÀI SẢN]]</f>
        <v>0.22219437365280387</v>
      </c>
      <c r="R1709" s="18">
        <f>Table1[[#This Row],[- LNST chưa phân phối kỳ này]]/Table1[[#This Row],[TỔNG CỘNG TÀI SẢN]]</f>
        <v>6.7686035488998514E-2</v>
      </c>
      <c r="S1709" s="21">
        <f>Table1[[#This Row],[5. Lợi nhuận gộp về bán hàng và cung cấp dịch vụ]]/Table1[[#This Row],[TỔNG CỘNG TÀI SẢN]]</f>
        <v>0.30733187233207937</v>
      </c>
      <c r="T170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2.6230870167952434</v>
      </c>
      <c r="U1709" s="23">
        <f>Table1[[#This Row],[1. Doanh thu bán hàng và cung cấp dịch vụ ]]/Table1[[#This Row],[TỔNG CỘNG TÀI SẢN]]</f>
        <v>1.3353420561842642</v>
      </c>
      <c r="V1709" s="23">
        <f>1.2*Table1[[#This Row],[X1]] + 1.4*Table1[[#This Row],[X2]] + 3.3*Table1[[#This Row],[x3]] + 0.6*Table1[[#This Row],[x4]] + 1*Table1[[#This Row],[x5]]</f>
        <v>4.2847831430252343</v>
      </c>
      <c r="W1709" s="23">
        <f>IF(Table1[[#This Row],[Zscore]]&lt;1.81,1,0)</f>
        <v>0</v>
      </c>
    </row>
    <row r="1710" spans="1:23" ht="26.25" hidden="1" x14ac:dyDescent="0.45">
      <c r="A1710" s="7">
        <v>1704</v>
      </c>
      <c r="B1710" s="5" t="s">
        <v>3419</v>
      </c>
      <c r="C1710" s="6" t="s">
        <v>3420</v>
      </c>
      <c r="D1710" s="6" t="s">
        <v>13</v>
      </c>
      <c r="E1710" s="6"/>
      <c r="F1710" s="6"/>
      <c r="G1710" s="6"/>
      <c r="H1710" s="6"/>
      <c r="I1710" s="6"/>
      <c r="J1710" s="8"/>
      <c r="K1710" s="6"/>
      <c r="L1710" s="6"/>
      <c r="M1710" s="8"/>
      <c r="N1710" s="8"/>
      <c r="O1710" s="8"/>
      <c r="P1710" s="8"/>
      <c r="Q1710" s="18" t="e">
        <f>(Table1[[#This Row],[A. TÀI SẢN NGẮN HẠN]]-Table1[[#This Row],[I. Nợ ngắn hạn]])/Table1[[#This Row],[TỔNG CỘNG TÀI SẢN]]</f>
        <v>#DIV/0!</v>
      </c>
      <c r="R1710" s="18" t="e">
        <f>Table1[[#This Row],[- LNST chưa phân phối kỳ này]]/Table1[[#This Row],[TỔNG CỘNG TÀI SẢN]]</f>
        <v>#DIV/0!</v>
      </c>
      <c r="S1710" s="21" t="e">
        <f>Table1[[#This Row],[5. Lợi nhuận gộp về bán hàng và cung cấp dịch vụ]]/Table1[[#This Row],[TỔNG CỘNG TÀI SẢN]]</f>
        <v>#DIV/0!</v>
      </c>
      <c r="T171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710" s="23" t="e">
        <f>Table1[[#This Row],[1. Doanh thu bán hàng và cung cấp dịch vụ ]]/Table1[[#This Row],[TỔNG CỘNG TÀI SẢN]]</f>
        <v>#DIV/0!</v>
      </c>
      <c r="V1710" s="23" t="e">
        <f>1.2*Table1[[#This Row],[X1]] + 1.4*Table1[[#This Row],[X2]] + 3.3*Table1[[#This Row],[x3]] + 0.6*Table1[[#This Row],[x4]] + 1*Table1[[#This Row],[x5]]</f>
        <v>#DIV/0!</v>
      </c>
      <c r="W1710" s="23" t="e">
        <f>IF(Table1[[#This Row],[Zscore]]&lt;1.81,1,0)</f>
        <v>#DIV/0!</v>
      </c>
    </row>
    <row r="1711" spans="1:23" ht="26.25" x14ac:dyDescent="0.45">
      <c r="A1711" s="7">
        <v>1705</v>
      </c>
      <c r="B1711" s="5" t="s">
        <v>3421</v>
      </c>
      <c r="C1711" s="6" t="s">
        <v>3422</v>
      </c>
      <c r="D1711" s="6" t="s">
        <v>18</v>
      </c>
      <c r="E1711" s="8">
        <v>3128837509051</v>
      </c>
      <c r="F1711" s="8">
        <v>530364630925</v>
      </c>
      <c r="G1711" s="8">
        <v>1215855465563</v>
      </c>
      <c r="H1711" s="8">
        <v>32570183154</v>
      </c>
      <c r="I1711" s="8">
        <v>185652071229</v>
      </c>
      <c r="J1711" s="8"/>
      <c r="K1711" s="8">
        <v>1834170482459</v>
      </c>
      <c r="L1711" s="8">
        <v>1079086125565</v>
      </c>
      <c r="M1711" s="8">
        <v>895069225800</v>
      </c>
      <c r="N1711" s="8">
        <v>735200222400</v>
      </c>
      <c r="O1711" s="8">
        <v>770439333600</v>
      </c>
      <c r="P1711" s="8">
        <v>713789382600</v>
      </c>
      <c r="Q1711" s="18">
        <f>(Table1[[#This Row],[A. TÀI SẢN NGẮN HẠN]]-Table1[[#This Row],[I. Nợ ngắn hạn]])/Table1[[#This Row],[TỔNG CỘNG TÀI SẢN]]</f>
        <v>-0.21908802635324917</v>
      </c>
      <c r="R1711" s="18">
        <f>Table1[[#This Row],[- LNST chưa phân phối kỳ này]]/Table1[[#This Row],[TỔNG CỘNG TÀI SẢN]]</f>
        <v>1.0409675497619172E-2</v>
      </c>
      <c r="S1711" s="21">
        <f>Table1[[#This Row],[5. Lợi nhuận gộp về bán hàng và cung cấp dịch vụ]]/Table1[[#This Row],[TỔNG CỘNG TÀI SẢN]]</f>
        <v>5.9335798261159839E-2</v>
      </c>
      <c r="T171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0.42451045229783047</v>
      </c>
      <c r="U1711" s="23">
        <f>Table1[[#This Row],[1. Doanh thu bán hàng và cung cấp dịch vụ ]]/Table1[[#This Row],[TỔNG CỘNG TÀI SẢN]]</f>
        <v>0.34488404157884661</v>
      </c>
      <c r="V1711" s="23">
        <f>1.2*Table1[[#This Row],[X1]] + 1.4*Table1[[#This Row],[X2]] + 3.3*Table1[[#This Row],[x3]] + 0.6*Table1[[#This Row],[x4]] + 1*Table1[[#This Row],[x5]]</f>
        <v>0.54706636129214015</v>
      </c>
      <c r="W1711" s="23">
        <f>IF(Table1[[#This Row],[Zscore]]&lt;1.81,1,0)</f>
        <v>1</v>
      </c>
    </row>
    <row r="1712" spans="1:23" hidden="1" x14ac:dyDescent="0.45">
      <c r="A1712" s="7">
        <v>1706</v>
      </c>
      <c r="B1712" s="5" t="s">
        <v>3423</v>
      </c>
      <c r="C1712" s="6" t="s">
        <v>3424</v>
      </c>
      <c r="D1712" s="6" t="s">
        <v>13</v>
      </c>
      <c r="E1712" s="6"/>
      <c r="F1712" s="6"/>
      <c r="G1712" s="6"/>
      <c r="H1712" s="6"/>
      <c r="I1712" s="6"/>
      <c r="J1712" s="8"/>
      <c r="K1712" s="6"/>
      <c r="L1712" s="6"/>
      <c r="M1712" s="8"/>
      <c r="N1712" s="8"/>
      <c r="O1712" s="8"/>
      <c r="P1712" s="8"/>
      <c r="Q1712" s="18" t="e">
        <f>(Table1[[#This Row],[A. TÀI SẢN NGẮN HẠN]]-Table1[[#This Row],[I. Nợ ngắn hạn]])/Table1[[#This Row],[TỔNG CỘNG TÀI SẢN]]</f>
        <v>#DIV/0!</v>
      </c>
      <c r="R1712" s="18" t="e">
        <f>Table1[[#This Row],[- LNST chưa phân phối kỳ này]]/Table1[[#This Row],[TỔNG CỘNG TÀI SẢN]]</f>
        <v>#DIV/0!</v>
      </c>
      <c r="S1712" s="21" t="e">
        <f>Table1[[#This Row],[5. Lợi nhuận gộp về bán hàng và cung cấp dịch vụ]]/Table1[[#This Row],[TỔNG CỘNG TÀI SẢN]]</f>
        <v>#DIV/0!</v>
      </c>
      <c r="T171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712" s="23" t="e">
        <f>Table1[[#This Row],[1. Doanh thu bán hàng và cung cấp dịch vụ ]]/Table1[[#This Row],[TỔNG CỘNG TÀI SẢN]]</f>
        <v>#DIV/0!</v>
      </c>
      <c r="V1712" s="23" t="e">
        <f>1.2*Table1[[#This Row],[X1]] + 1.4*Table1[[#This Row],[X2]] + 3.3*Table1[[#This Row],[x3]] + 0.6*Table1[[#This Row],[x4]] + 1*Table1[[#This Row],[x5]]</f>
        <v>#DIV/0!</v>
      </c>
      <c r="W1712" s="23" t="e">
        <f>IF(Table1[[#This Row],[Zscore]]&lt;1.81,1,0)</f>
        <v>#DIV/0!</v>
      </c>
    </row>
    <row r="1713" spans="1:23" x14ac:dyDescent="0.45">
      <c r="A1713" s="7">
        <v>1707</v>
      </c>
      <c r="B1713" s="5" t="s">
        <v>3425</v>
      </c>
      <c r="C1713" s="6" t="s">
        <v>3426</v>
      </c>
      <c r="D1713" s="6" t="s">
        <v>36</v>
      </c>
      <c r="E1713" s="8">
        <v>131901703582</v>
      </c>
      <c r="F1713" s="8">
        <v>83480031523</v>
      </c>
      <c r="G1713" s="8">
        <v>52423532515</v>
      </c>
      <c r="H1713" s="8">
        <v>7240393193</v>
      </c>
      <c r="I1713" s="8">
        <v>30801845118</v>
      </c>
      <c r="J1713" s="8"/>
      <c r="K1713" s="8">
        <v>61883417634</v>
      </c>
      <c r="L1713" s="8">
        <v>420646139783</v>
      </c>
      <c r="M1713" s="8">
        <v>60953853200</v>
      </c>
      <c r="N1713" s="8">
        <v>60473901600</v>
      </c>
      <c r="O1713" s="8">
        <v>60953853200</v>
      </c>
      <c r="P1713" s="8">
        <v>61913756400</v>
      </c>
      <c r="Q1713" s="18">
        <f>(Table1[[#This Row],[A. TÀI SẢN NGẮN HẠN]]-Table1[[#This Row],[I. Nợ ngắn hạn]])/Table1[[#This Row],[TỔNG CỘNG TÀI SẢN]]</f>
        <v>0.23545184151994633</v>
      </c>
      <c r="R1713" s="18">
        <f>Table1[[#This Row],[- LNST chưa phân phối kỳ này]]/Table1[[#This Row],[TỔNG CỘNG TÀI SẢN]]</f>
        <v>5.4892340253200958E-2</v>
      </c>
      <c r="S1713" s="21">
        <f>Table1[[#This Row],[5. Lợi nhuận gộp về bán hàng và cung cấp dịch vụ]]/Table1[[#This Row],[TỔNG CỘNG TÀI SẢN]]</f>
        <v>0.23352120769881687</v>
      </c>
      <c r="T171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0.98691771455177024</v>
      </c>
      <c r="U1713" s="23">
        <f>Table1[[#This Row],[1. Doanh thu bán hàng và cung cấp dịch vụ ]]/Table1[[#This Row],[TỔNG CỘNG TÀI SẢN]]</f>
        <v>3.189087997802051</v>
      </c>
      <c r="V1713" s="23">
        <f>1.2*Table1[[#This Row],[X1]] + 1.4*Table1[[#This Row],[X2]] + 3.3*Table1[[#This Row],[x3]] + 0.6*Table1[[#This Row],[x4]] + 1*Table1[[#This Row],[x5]]</f>
        <v>4.9112500981176259</v>
      </c>
      <c r="W1713" s="23">
        <f>IF(Table1[[#This Row],[Zscore]]&lt;1.81,1,0)</f>
        <v>0</v>
      </c>
    </row>
    <row r="1714" spans="1:23" ht="26.25" hidden="1" x14ac:dyDescent="0.45">
      <c r="A1714" s="7">
        <v>1708</v>
      </c>
      <c r="B1714" s="5" t="s">
        <v>3427</v>
      </c>
      <c r="C1714" s="6" t="s">
        <v>3428</v>
      </c>
      <c r="D1714" s="6" t="s">
        <v>13</v>
      </c>
      <c r="E1714" s="8">
        <v>1051117316742</v>
      </c>
      <c r="F1714" s="8">
        <v>997425963110</v>
      </c>
      <c r="G1714" s="8">
        <v>4266909179</v>
      </c>
      <c r="H1714" s="6"/>
      <c r="I1714" s="8">
        <v>53288967406</v>
      </c>
      <c r="J1714" s="8"/>
      <c r="K1714" s="8">
        <v>4266909179</v>
      </c>
      <c r="L1714" s="8">
        <v>78200765598</v>
      </c>
      <c r="M1714" s="8"/>
      <c r="N1714" s="8"/>
      <c r="O1714" s="8"/>
      <c r="P1714" s="8"/>
      <c r="Q1714" s="18">
        <f>(Table1[[#This Row],[A. TÀI SẢN NGẮN HẠN]]-Table1[[#This Row],[I. Nợ ngắn hạn]])/Table1[[#This Row],[TỔNG CỘNG TÀI SẢN]]</f>
        <v>0.94486032920602525</v>
      </c>
      <c r="R1714" s="18">
        <f>Table1[[#This Row],[- LNST chưa phân phối kỳ này]]/Table1[[#This Row],[TỔNG CỘNG TÀI SẢN]]</f>
        <v>0</v>
      </c>
      <c r="S1714" s="21">
        <f>Table1[[#This Row],[5. Lợi nhuận gộp về bán hàng và cung cấp dịch vụ]]/Table1[[#This Row],[TỔNG CỘNG TÀI SẢN]]</f>
        <v>5.0697449806242648E-2</v>
      </c>
      <c r="T171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714" s="23">
        <f>Table1[[#This Row],[1. Doanh thu bán hàng và cung cấp dịch vụ ]]/Table1[[#This Row],[TỔNG CỘNG TÀI SẢN]]</f>
        <v>7.4397752137114317E-2</v>
      </c>
      <c r="V1714" s="23" t="e">
        <f>1.2*Table1[[#This Row],[X1]] + 1.4*Table1[[#This Row],[X2]] + 3.3*Table1[[#This Row],[x3]] + 0.6*Table1[[#This Row],[x4]] + 1*Table1[[#This Row],[x5]]</f>
        <v>#DIV/0!</v>
      </c>
      <c r="W1714" s="23" t="e">
        <f>IF(Table1[[#This Row],[Zscore]]&lt;1.81,1,0)</f>
        <v>#DIV/0!</v>
      </c>
    </row>
    <row r="1715" spans="1:23" ht="26.25" x14ac:dyDescent="0.45">
      <c r="A1715" s="7">
        <v>1709</v>
      </c>
      <c r="B1715" s="5" t="s">
        <v>3429</v>
      </c>
      <c r="C1715" s="6" t="s">
        <v>3430</v>
      </c>
      <c r="D1715" s="6" t="s">
        <v>18</v>
      </c>
      <c r="E1715" s="8">
        <v>448563870495</v>
      </c>
      <c r="F1715" s="8">
        <v>367207418263</v>
      </c>
      <c r="G1715" s="8">
        <v>257204261941</v>
      </c>
      <c r="H1715" s="8">
        <v>15077740488</v>
      </c>
      <c r="I1715" s="8">
        <v>52575588709</v>
      </c>
      <c r="J1715" s="8"/>
      <c r="K1715" s="8">
        <v>257204261941</v>
      </c>
      <c r="L1715" s="8">
        <v>1444502419142</v>
      </c>
      <c r="M1715" s="8">
        <v>241807519200</v>
      </c>
      <c r="N1715" s="8">
        <v>234798605600</v>
      </c>
      <c r="O1715" s="8">
        <v>243559747600</v>
      </c>
      <c r="P1715" s="8">
        <v>481862810000</v>
      </c>
      <c r="Q1715" s="18">
        <f>(Table1[[#This Row],[A. TÀI SẢN NGẮN HẠN]]-Table1[[#This Row],[I. Nợ ngắn hạn]])/Table1[[#This Row],[TỔNG CỘNG TÀI SẢN]]</f>
        <v>0.24523409832497015</v>
      </c>
      <c r="R1715" s="18">
        <f>Table1[[#This Row],[- LNST chưa phân phối kỳ này]]/Table1[[#This Row],[TỔNG CỘNG TÀI SẢN]]</f>
        <v>3.3613363625031561E-2</v>
      </c>
      <c r="S1715" s="21">
        <f>Table1[[#This Row],[5. Lợi nhuận gộp về bán hàng và cung cấp dịch vụ]]/Table1[[#This Row],[TỔNG CỘNG TÀI SẢN]]</f>
        <v>0.11720870129594185</v>
      </c>
      <c r="T171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1.1683599965732032</v>
      </c>
      <c r="U1715" s="23">
        <f>Table1[[#This Row],[1. Doanh thu bán hàng và cung cấp dịch vụ ]]/Table1[[#This Row],[TỔNG CỘNG TÀI SẢN]]</f>
        <v>3.2202825821615106</v>
      </c>
      <c r="V1715" s="23">
        <f>1.2*Table1[[#This Row],[X1]] + 1.4*Table1[[#This Row],[X2]] + 3.3*Table1[[#This Row],[x3]] + 0.6*Table1[[#This Row],[x4]] + 1*Table1[[#This Row],[x5]]</f>
        <v>4.6494269214470485</v>
      </c>
      <c r="W1715" s="23">
        <f>IF(Table1[[#This Row],[Zscore]]&lt;1.81,1,0)</f>
        <v>0</v>
      </c>
    </row>
    <row r="1716" spans="1:23" x14ac:dyDescent="0.45">
      <c r="A1716" s="7">
        <v>1710</v>
      </c>
      <c r="B1716" s="5" t="s">
        <v>3431</v>
      </c>
      <c r="C1716" s="6" t="s">
        <v>3432</v>
      </c>
      <c r="D1716" s="6" t="s">
        <v>21</v>
      </c>
      <c r="E1716" s="8">
        <v>24564239790289</v>
      </c>
      <c r="F1716" s="8">
        <v>11306280029775</v>
      </c>
      <c r="G1716" s="8">
        <v>7758069516177</v>
      </c>
      <c r="H1716" s="8">
        <v>1041803031216</v>
      </c>
      <c r="I1716" s="8">
        <v>2716051844602</v>
      </c>
      <c r="J1716" s="8"/>
      <c r="K1716" s="8">
        <v>15675650424138</v>
      </c>
      <c r="L1716" s="8">
        <v>13085139132904</v>
      </c>
      <c r="M1716" s="8">
        <v>8082711934600</v>
      </c>
      <c r="N1716" s="8">
        <v>9274484484650</v>
      </c>
      <c r="O1716" s="8">
        <v>7832362449900</v>
      </c>
      <c r="P1716" s="8">
        <v>9155638297600</v>
      </c>
      <c r="Q1716" s="18">
        <f>(Table1[[#This Row],[A. TÀI SẢN NGẮN HẠN]]-Table1[[#This Row],[I. Nợ ngắn hạn]])/Table1[[#This Row],[TỔNG CỘNG TÀI SẢN]]</f>
        <v>0.14444617638852056</v>
      </c>
      <c r="R1716" s="18">
        <f>Table1[[#This Row],[- LNST chưa phân phối kỳ này]]/Table1[[#This Row],[TỔNG CỘNG TÀI SẢN]]</f>
        <v>4.2411368725844174E-2</v>
      </c>
      <c r="S1716" s="21">
        <f>Table1[[#This Row],[5. Lợi nhuận gộp về bán hàng và cung cấp dịch vụ]]/Table1[[#This Row],[TỔNG CỘNG TÀI SẢN]]</f>
        <v>0.11056934258049943</v>
      </c>
      <c r="T171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0.54774756130475899</v>
      </c>
      <c r="U1716" s="23">
        <f>Table1[[#This Row],[1. Doanh thu bán hàng và cung cấp dịch vụ ]]/Table1[[#This Row],[TỔNG CỘNG TÀI SẢN]]</f>
        <v>0.53269057966438504</v>
      </c>
      <c r="V1716" s="23">
        <f>1.2*Table1[[#This Row],[X1]] + 1.4*Table1[[#This Row],[X2]] + 3.3*Table1[[#This Row],[x3]] + 0.6*Table1[[#This Row],[x4]] + 1*Table1[[#This Row],[x5]]</f>
        <v>1.4589292748452949</v>
      </c>
      <c r="W1716" s="23">
        <f>IF(Table1[[#This Row],[Zscore]]&lt;1.81,1,0)</f>
        <v>1</v>
      </c>
    </row>
    <row r="1717" spans="1:23" ht="26.25" hidden="1" x14ac:dyDescent="0.45">
      <c r="A1717" s="7">
        <v>1711</v>
      </c>
      <c r="B1717" s="5" t="s">
        <v>3433</v>
      </c>
      <c r="C1717" s="6" t="s">
        <v>3434</v>
      </c>
      <c r="D1717" s="6" t="s">
        <v>18</v>
      </c>
      <c r="E1717" s="6"/>
      <c r="F1717" s="6"/>
      <c r="G1717" s="6"/>
      <c r="H1717" s="6"/>
      <c r="I1717" s="6"/>
      <c r="J1717" s="8"/>
      <c r="K1717" s="6"/>
      <c r="L1717" s="6"/>
      <c r="M1717" s="8"/>
      <c r="N1717" s="8"/>
      <c r="O1717" s="8"/>
      <c r="P1717" s="8"/>
      <c r="Q1717" s="18" t="e">
        <f>(Table1[[#This Row],[A. TÀI SẢN NGẮN HẠN]]-Table1[[#This Row],[I. Nợ ngắn hạn]])/Table1[[#This Row],[TỔNG CỘNG TÀI SẢN]]</f>
        <v>#DIV/0!</v>
      </c>
      <c r="R1717" s="18" t="e">
        <f>Table1[[#This Row],[- LNST chưa phân phối kỳ này]]/Table1[[#This Row],[TỔNG CỘNG TÀI SẢN]]</f>
        <v>#DIV/0!</v>
      </c>
      <c r="S1717" s="21" t="e">
        <f>Table1[[#This Row],[5. Lợi nhuận gộp về bán hàng và cung cấp dịch vụ]]/Table1[[#This Row],[TỔNG CỘNG TÀI SẢN]]</f>
        <v>#DIV/0!</v>
      </c>
      <c r="T171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717" s="23" t="e">
        <f>Table1[[#This Row],[1. Doanh thu bán hàng và cung cấp dịch vụ ]]/Table1[[#This Row],[TỔNG CỘNG TÀI SẢN]]</f>
        <v>#DIV/0!</v>
      </c>
      <c r="V1717" s="23" t="e">
        <f>1.2*Table1[[#This Row],[X1]] + 1.4*Table1[[#This Row],[X2]] + 3.3*Table1[[#This Row],[x3]] + 0.6*Table1[[#This Row],[x4]] + 1*Table1[[#This Row],[x5]]</f>
        <v>#DIV/0!</v>
      </c>
      <c r="W1717" s="23" t="e">
        <f>IF(Table1[[#This Row],[Zscore]]&lt;1.81,1,0)</f>
        <v>#DIV/0!</v>
      </c>
    </row>
    <row r="1718" spans="1:23" ht="26.25" x14ac:dyDescent="0.45">
      <c r="A1718" s="7">
        <v>1712</v>
      </c>
      <c r="B1718" s="5" t="s">
        <v>3435</v>
      </c>
      <c r="C1718" s="6" t="s">
        <v>3436</v>
      </c>
      <c r="D1718" s="6" t="s">
        <v>36</v>
      </c>
      <c r="E1718" s="8">
        <v>374489374857</v>
      </c>
      <c r="F1718" s="8">
        <v>341178134162</v>
      </c>
      <c r="G1718" s="8">
        <v>184733756910</v>
      </c>
      <c r="H1718" s="8">
        <v>20214336518</v>
      </c>
      <c r="I1718" s="8">
        <v>95041574266</v>
      </c>
      <c r="J1718" s="8"/>
      <c r="K1718" s="8">
        <v>184733756910</v>
      </c>
      <c r="L1718" s="8">
        <v>3720309844241</v>
      </c>
      <c r="M1718" s="8">
        <v>200000000000</v>
      </c>
      <c r="N1718" s="8">
        <v>187000000000</v>
      </c>
      <c r="O1718" s="8">
        <v>215000000000</v>
      </c>
      <c r="P1718" s="8">
        <v>204000000000</v>
      </c>
      <c r="Q1718" s="18">
        <f>(Table1[[#This Row],[A. TÀI SẢN NGẮN HẠN]]-Table1[[#This Row],[I. Nợ ngắn hạn]])/Table1[[#This Row],[TỔNG CỘNG TÀI SẢN]]</f>
        <v>0.41775384765385881</v>
      </c>
      <c r="R1718" s="18">
        <f>Table1[[#This Row],[- LNST chưa phân phối kỳ này]]/Table1[[#This Row],[TỔNG CỘNG TÀI SẢN]]</f>
        <v>5.3978397987176303E-2</v>
      </c>
      <c r="S1718" s="21">
        <f>Table1[[#This Row],[5. Lợi nhuận gộp về bán hàng và cung cấp dịch vụ]]/Table1[[#This Row],[TỔNG CỘNG TÀI SẢN]]</f>
        <v>0.2537897752166986</v>
      </c>
      <c r="T171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1.0907589569467171</v>
      </c>
      <c r="U1718" s="23">
        <f>Table1[[#This Row],[1. Doanh thu bán hàng và cung cấp dịch vụ ]]/Table1[[#This Row],[TỔNG CỘNG TÀI SẢN]]</f>
        <v>9.9343535331586175</v>
      </c>
      <c r="V1718" s="23">
        <f>1.2*Table1[[#This Row],[X1]] + 1.4*Table1[[#This Row],[X2]] + 3.3*Table1[[#This Row],[x3]] + 0.6*Table1[[#This Row],[x4]] + 1*Table1[[#This Row],[x5]]</f>
        <v>12.00318953990843</v>
      </c>
      <c r="W1718" s="23">
        <f>IF(Table1[[#This Row],[Zscore]]&lt;1.81,1,0)</f>
        <v>0</v>
      </c>
    </row>
    <row r="1719" spans="1:23" hidden="1" x14ac:dyDescent="0.45">
      <c r="A1719" s="7">
        <v>1713</v>
      </c>
      <c r="B1719" s="5" t="s">
        <v>3437</v>
      </c>
      <c r="C1719" s="6" t="s">
        <v>3438</v>
      </c>
      <c r="D1719" s="6" t="s">
        <v>18</v>
      </c>
      <c r="E1719" s="8">
        <v>23093516527</v>
      </c>
      <c r="F1719" s="8">
        <v>7780851686</v>
      </c>
      <c r="G1719" s="8">
        <v>1288016443</v>
      </c>
      <c r="H1719" s="8">
        <v>101082181</v>
      </c>
      <c r="I1719" s="8">
        <v>1558893317</v>
      </c>
      <c r="J1719" s="8"/>
      <c r="K1719" s="8">
        <v>1708925526</v>
      </c>
      <c r="L1719" s="8">
        <v>1803682119</v>
      </c>
      <c r="M1719" s="8"/>
      <c r="N1719" s="8"/>
      <c r="O1719" s="8"/>
      <c r="P1719" s="8"/>
      <c r="Q1719" s="18">
        <f>(Table1[[#This Row],[A. TÀI SẢN NGẮN HẠN]]-Table1[[#This Row],[I. Nợ ngắn hạn]])/Table1[[#This Row],[TỔNG CỘNG TÀI SẢN]]</f>
        <v>0.28115403019755963</v>
      </c>
      <c r="R1719" s="18">
        <f>Table1[[#This Row],[- LNST chưa phân phối kỳ này]]/Table1[[#This Row],[TỔNG CỘNG TÀI SẢN]]</f>
        <v>4.3770805057696096E-3</v>
      </c>
      <c r="S1719" s="21">
        <f>Table1[[#This Row],[5. Lợi nhuận gộp về bán hàng và cung cấp dịch vụ]]/Table1[[#This Row],[TỔNG CỘNG TÀI SẢN]]</f>
        <v>6.7503505374653758E-2</v>
      </c>
      <c r="T171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719" s="23">
        <f>Table1[[#This Row],[1. Doanh thu bán hàng và cung cấp dịch vụ ]]/Table1[[#This Row],[TỔNG CỘNG TÀI SẢN]]</f>
        <v>7.8103398280257932E-2</v>
      </c>
      <c r="V1719" s="23" t="e">
        <f>1.2*Table1[[#This Row],[X1]] + 1.4*Table1[[#This Row],[X2]] + 3.3*Table1[[#This Row],[x3]] + 0.6*Table1[[#This Row],[x4]] + 1*Table1[[#This Row],[x5]]</f>
        <v>#DIV/0!</v>
      </c>
      <c r="W1719" s="23" t="e">
        <f>IF(Table1[[#This Row],[Zscore]]&lt;1.81,1,0)</f>
        <v>#DIV/0!</v>
      </c>
    </row>
    <row r="1720" spans="1:23" x14ac:dyDescent="0.45">
      <c r="A1720" s="7">
        <v>1714</v>
      </c>
      <c r="B1720" s="5" t="s">
        <v>3439</v>
      </c>
      <c r="C1720" s="6" t="s">
        <v>3440</v>
      </c>
      <c r="D1720" s="6" t="s">
        <v>18</v>
      </c>
      <c r="E1720" s="8">
        <v>204796819866</v>
      </c>
      <c r="F1720" s="8">
        <v>117073479189</v>
      </c>
      <c r="G1720" s="8">
        <v>63345085973</v>
      </c>
      <c r="H1720" s="8">
        <v>-17418584080</v>
      </c>
      <c r="I1720" s="8">
        <v>12974222016</v>
      </c>
      <c r="J1720" s="8"/>
      <c r="K1720" s="8">
        <v>63711815080</v>
      </c>
      <c r="L1720" s="8">
        <v>248703605199</v>
      </c>
      <c r="M1720" s="8">
        <v>56610000000</v>
      </c>
      <c r="N1720" s="8">
        <v>47175000000</v>
      </c>
      <c r="O1720" s="8">
        <v>35853000000</v>
      </c>
      <c r="P1720" s="8">
        <v>35853000000</v>
      </c>
      <c r="Q1720" s="18">
        <f>(Table1[[#This Row],[A. TÀI SẢN NGẮN HẠN]]-Table1[[#This Row],[I. Nợ ngắn hạn]])/Table1[[#This Row],[TỔNG CỘNG TÀI SẢN]]</f>
        <v>0.26234974376630882</v>
      </c>
      <c r="R1720" s="18">
        <f>Table1[[#This Row],[- LNST chưa phân phối kỳ này]]/Table1[[#This Row],[TỔNG CỘNG TÀI SẢN]]</f>
        <v>-8.5053000780955013E-2</v>
      </c>
      <c r="S1720" s="21">
        <f>Table1[[#This Row],[5. Lợi nhuận gộp về bán hàng và cung cấp dịch vụ]]/Table1[[#This Row],[TỔNG CỘNG TÀI SẢN]]</f>
        <v>6.3351677162219247E-2</v>
      </c>
      <c r="T172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0.68861246449988911</v>
      </c>
      <c r="U1720" s="23">
        <f>Table1[[#This Row],[1. Doanh thu bán hàng và cung cấp dịch vụ ]]/Table1[[#This Row],[TỔNG CỘNG TÀI SẢN]]</f>
        <v>1.2143919293362491</v>
      </c>
      <c r="V1720" s="23">
        <f>1.2*Table1[[#This Row],[X1]] + 1.4*Table1[[#This Row],[X2]] + 3.3*Table1[[#This Row],[x3]] + 0.6*Table1[[#This Row],[x4]] + 1*Table1[[#This Row],[x5]]</f>
        <v>2.0323654340977395</v>
      </c>
      <c r="W1720" s="23">
        <f>IF(Table1[[#This Row],[Zscore]]&lt;1.81,1,0)</f>
        <v>0</v>
      </c>
    </row>
    <row r="1721" spans="1:23" x14ac:dyDescent="0.45">
      <c r="A1721" s="7">
        <v>1715</v>
      </c>
      <c r="B1721" s="5" t="s">
        <v>3441</v>
      </c>
      <c r="C1721" s="6" t="s">
        <v>3442</v>
      </c>
      <c r="D1721" s="6" t="s">
        <v>36</v>
      </c>
      <c r="E1721" s="8">
        <v>296701972858</v>
      </c>
      <c r="F1721" s="8">
        <v>107282949387</v>
      </c>
      <c r="G1721" s="8">
        <v>15312669665</v>
      </c>
      <c r="H1721" s="8">
        <v>19041677606</v>
      </c>
      <c r="I1721" s="8">
        <v>35028084450</v>
      </c>
      <c r="J1721" s="8"/>
      <c r="K1721" s="8">
        <v>15312669665</v>
      </c>
      <c r="L1721" s="8">
        <v>146333931341</v>
      </c>
      <c r="M1721" s="8">
        <v>336379499600</v>
      </c>
      <c r="N1721" s="8">
        <v>470083020500</v>
      </c>
      <c r="O1721" s="8">
        <v>445279337600</v>
      </c>
      <c r="P1721" s="8">
        <v>483999280000</v>
      </c>
      <c r="Q1721" s="18">
        <f>(Table1[[#This Row],[A. TÀI SẢN NGẮN HẠN]]-Table1[[#This Row],[I. Nợ ngắn hạn]])/Table1[[#This Row],[TỔNG CỘNG TÀI SẢN]]</f>
        <v>0.30997528879262454</v>
      </c>
      <c r="R1721" s="18">
        <f>Table1[[#This Row],[- LNST chưa phân phối kỳ này]]/Table1[[#This Row],[TỔNG CỘNG TÀI SẢN]]</f>
        <v>6.4177792357023686E-2</v>
      </c>
      <c r="S1721" s="21">
        <f>Table1[[#This Row],[5. Lợi nhuận gộp về bán hàng và cung cấp dịch vụ]]/Table1[[#This Row],[TỔNG CỘNG TÀI SẢN]]</f>
        <v>0.1180581447187217</v>
      </c>
      <c r="T172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28.338316826414736</v>
      </c>
      <c r="U1721" s="23">
        <f>Table1[[#This Row],[1. Doanh thu bán hàng và cung cấp dịch vụ ]]/Table1[[#This Row],[TỔNG CỘNG TÀI SẢN]]</f>
        <v>0.49320174696322172</v>
      </c>
      <c r="V1721" s="23">
        <f>1.2*Table1[[#This Row],[X1]] + 1.4*Table1[[#This Row],[X2]] + 3.3*Table1[[#This Row],[x3]] + 0.6*Table1[[#This Row],[x4]] + 1*Table1[[#This Row],[x5]]</f>
        <v>18.347602976234828</v>
      </c>
      <c r="W1721" s="23">
        <f>IF(Table1[[#This Row],[Zscore]]&lt;1.81,1,0)</f>
        <v>0</v>
      </c>
    </row>
    <row r="1722" spans="1:23" hidden="1" x14ac:dyDescent="0.45">
      <c r="A1722" s="7">
        <v>1716</v>
      </c>
      <c r="B1722" s="5" t="s">
        <v>3443</v>
      </c>
      <c r="C1722" s="6" t="s">
        <v>3444</v>
      </c>
      <c r="D1722" s="6" t="s">
        <v>18</v>
      </c>
      <c r="E1722" s="6"/>
      <c r="F1722" s="6"/>
      <c r="G1722" s="6"/>
      <c r="H1722" s="6"/>
      <c r="I1722" s="6"/>
      <c r="J1722" s="8"/>
      <c r="K1722" s="6"/>
      <c r="L1722" s="6"/>
      <c r="M1722" s="8"/>
      <c r="N1722" s="8"/>
      <c r="O1722" s="8"/>
      <c r="P1722" s="8"/>
      <c r="Q1722" s="18" t="e">
        <f>(Table1[[#This Row],[A. TÀI SẢN NGẮN HẠN]]-Table1[[#This Row],[I. Nợ ngắn hạn]])/Table1[[#This Row],[TỔNG CỘNG TÀI SẢN]]</f>
        <v>#DIV/0!</v>
      </c>
      <c r="R1722" s="18" t="e">
        <f>Table1[[#This Row],[- LNST chưa phân phối kỳ này]]/Table1[[#This Row],[TỔNG CỘNG TÀI SẢN]]</f>
        <v>#DIV/0!</v>
      </c>
      <c r="S1722" s="21" t="e">
        <f>Table1[[#This Row],[5. Lợi nhuận gộp về bán hàng và cung cấp dịch vụ]]/Table1[[#This Row],[TỔNG CỘNG TÀI SẢN]]</f>
        <v>#DIV/0!</v>
      </c>
      <c r="T172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722" s="23" t="e">
        <f>Table1[[#This Row],[1. Doanh thu bán hàng và cung cấp dịch vụ ]]/Table1[[#This Row],[TỔNG CỘNG TÀI SẢN]]</f>
        <v>#DIV/0!</v>
      </c>
      <c r="V1722" s="23" t="e">
        <f>1.2*Table1[[#This Row],[X1]] + 1.4*Table1[[#This Row],[X2]] + 3.3*Table1[[#This Row],[x3]] + 0.6*Table1[[#This Row],[x4]] + 1*Table1[[#This Row],[x5]]</f>
        <v>#DIV/0!</v>
      </c>
      <c r="W1722" s="23" t="e">
        <f>IF(Table1[[#This Row],[Zscore]]&lt;1.81,1,0)</f>
        <v>#DIV/0!</v>
      </c>
    </row>
    <row r="1723" spans="1:23" ht="26.25" hidden="1" x14ac:dyDescent="0.45">
      <c r="A1723" s="7">
        <v>1717</v>
      </c>
      <c r="B1723" s="5" t="s">
        <v>3445</v>
      </c>
      <c r="C1723" s="6" t="s">
        <v>3446</v>
      </c>
      <c r="D1723" s="6" t="s">
        <v>13</v>
      </c>
      <c r="E1723" s="6"/>
      <c r="F1723" s="6"/>
      <c r="G1723" s="6"/>
      <c r="H1723" s="6"/>
      <c r="I1723" s="6"/>
      <c r="J1723" s="8"/>
      <c r="K1723" s="6"/>
      <c r="L1723" s="6"/>
      <c r="M1723" s="8"/>
      <c r="N1723" s="8"/>
      <c r="O1723" s="8"/>
      <c r="P1723" s="8"/>
      <c r="Q1723" s="18" t="e">
        <f>(Table1[[#This Row],[A. TÀI SẢN NGẮN HẠN]]-Table1[[#This Row],[I. Nợ ngắn hạn]])/Table1[[#This Row],[TỔNG CỘNG TÀI SẢN]]</f>
        <v>#DIV/0!</v>
      </c>
      <c r="R1723" s="18" t="e">
        <f>Table1[[#This Row],[- LNST chưa phân phối kỳ này]]/Table1[[#This Row],[TỔNG CỘNG TÀI SẢN]]</f>
        <v>#DIV/0!</v>
      </c>
      <c r="S1723" s="21" t="e">
        <f>Table1[[#This Row],[5. Lợi nhuận gộp về bán hàng và cung cấp dịch vụ]]/Table1[[#This Row],[TỔNG CỘNG TÀI SẢN]]</f>
        <v>#DIV/0!</v>
      </c>
      <c r="T172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723" s="23" t="e">
        <f>Table1[[#This Row],[1. Doanh thu bán hàng và cung cấp dịch vụ ]]/Table1[[#This Row],[TỔNG CỘNG TÀI SẢN]]</f>
        <v>#DIV/0!</v>
      </c>
      <c r="V1723" s="23" t="e">
        <f>1.2*Table1[[#This Row],[X1]] + 1.4*Table1[[#This Row],[X2]] + 3.3*Table1[[#This Row],[x3]] + 0.6*Table1[[#This Row],[x4]] + 1*Table1[[#This Row],[x5]]</f>
        <v>#DIV/0!</v>
      </c>
      <c r="W1723" s="23" t="e">
        <f>IF(Table1[[#This Row],[Zscore]]&lt;1.81,1,0)</f>
        <v>#DIV/0!</v>
      </c>
    </row>
    <row r="1724" spans="1:23" x14ac:dyDescent="0.45">
      <c r="A1724" s="7">
        <v>1718</v>
      </c>
      <c r="B1724" s="5" t="s">
        <v>3447</v>
      </c>
      <c r="C1724" s="6" t="s">
        <v>3448</v>
      </c>
      <c r="D1724" s="6" t="s">
        <v>36</v>
      </c>
      <c r="E1724" s="8">
        <v>3043960670140</v>
      </c>
      <c r="F1724" s="8">
        <v>152544780179</v>
      </c>
      <c r="G1724" s="8">
        <v>434409931388</v>
      </c>
      <c r="H1724" s="8">
        <v>26202420922</v>
      </c>
      <c r="I1724" s="8">
        <v>207209969583</v>
      </c>
      <c r="J1724" s="8"/>
      <c r="K1724" s="8">
        <v>2332150633588</v>
      </c>
      <c r="L1724" s="8">
        <v>734587710190</v>
      </c>
      <c r="M1724" s="8">
        <v>630447211800</v>
      </c>
      <c r="N1724" s="8">
        <v>415294591900</v>
      </c>
      <c r="O1724" s="8">
        <v>575408169500</v>
      </c>
      <c r="P1724" s="8">
        <v>510362028600</v>
      </c>
      <c r="Q1724" s="18">
        <f>(Table1[[#This Row],[A. TÀI SẢN NGẮN HẠN]]-Table1[[#This Row],[I. Nợ ngắn hạn]])/Table1[[#This Row],[TỔNG CỘNG TÀI SẢN]]</f>
        <v>-9.2598158042572959E-2</v>
      </c>
      <c r="R1724" s="18">
        <f>Table1[[#This Row],[- LNST chưa phân phối kỳ này]]/Table1[[#This Row],[TỔNG CỘNG TÀI SẢN]]</f>
        <v>8.6080024551680161E-3</v>
      </c>
      <c r="S1724" s="21">
        <f>Table1[[#This Row],[5. Lợi nhuận gộp về bán hàng và cung cấp dịch vụ]]/Table1[[#This Row],[TỔNG CỘNG TÀI SẢN]]</f>
        <v>6.8072485829283019E-2</v>
      </c>
      <c r="T172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0.2284921020003628</v>
      </c>
      <c r="U1724" s="23">
        <f>Table1[[#This Row],[1. Doanh thu bán hàng và cung cấp dịch vụ ]]/Table1[[#This Row],[TỔNG CỘNG TÀI SẢN]]</f>
        <v>0.24132628170790862</v>
      </c>
      <c r="V1724" s="23">
        <f>1.2*Table1[[#This Row],[X1]] + 1.4*Table1[[#This Row],[X2]] + 3.3*Table1[[#This Row],[x3]] + 0.6*Table1[[#This Row],[x4]] + 1*Table1[[#This Row],[x5]]</f>
        <v>0.5039941599309079</v>
      </c>
      <c r="W1724" s="23">
        <f>IF(Table1[[#This Row],[Zscore]]&lt;1.81,1,0)</f>
        <v>1</v>
      </c>
    </row>
    <row r="1725" spans="1:23" x14ac:dyDescent="0.45">
      <c r="A1725" s="7">
        <v>1719</v>
      </c>
      <c r="B1725" s="5" t="s">
        <v>3449</v>
      </c>
      <c r="C1725" s="6" t="s">
        <v>3450</v>
      </c>
      <c r="D1725" s="6" t="s">
        <v>36</v>
      </c>
      <c r="E1725" s="8">
        <v>250834256249</v>
      </c>
      <c r="F1725" s="8">
        <v>222004802329</v>
      </c>
      <c r="G1725" s="8">
        <v>79809650581</v>
      </c>
      <c r="H1725" s="8">
        <v>52038914937</v>
      </c>
      <c r="I1725" s="8">
        <v>80300364660</v>
      </c>
      <c r="J1725" s="8"/>
      <c r="K1725" s="8">
        <v>79809650581</v>
      </c>
      <c r="L1725" s="8">
        <v>425745243844</v>
      </c>
      <c r="M1725" s="8">
        <v>90881806200</v>
      </c>
      <c r="N1725" s="8">
        <v>260171445200</v>
      </c>
      <c r="O1725" s="8">
        <v>106028773900</v>
      </c>
      <c r="P1725" s="8">
        <v>179981616200</v>
      </c>
      <c r="Q1725" s="18">
        <f>(Table1[[#This Row],[A. TÀI SẢN NGẮN HẠN]]-Table1[[#This Row],[I. Nợ ngắn hạn]])/Table1[[#This Row],[TỔNG CỘNG TÀI SẢN]]</f>
        <v>0.56688888461408826</v>
      </c>
      <c r="R1725" s="18">
        <f>Table1[[#This Row],[- LNST chưa phân phối kỳ này]]/Table1[[#This Row],[TỔNG CỘNG TÀI SẢN]]</f>
        <v>0.20746334936541375</v>
      </c>
      <c r="S1725" s="21">
        <f>Table1[[#This Row],[5. Lợi nhuận gộp về bán hàng và cung cấp dịch vụ]]/Table1[[#This Row],[TỔNG CỘNG TÀI SẢN]]</f>
        <v>0.32013316626213462</v>
      </c>
      <c r="T172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1.9955720795113452</v>
      </c>
      <c r="U1725" s="23">
        <f>Table1[[#This Row],[1. Doanh thu bán hàng và cung cấp dịch vụ ]]/Table1[[#This Row],[TỔNG CỘNG TÀI SẢN]]</f>
        <v>1.6973169861670252</v>
      </c>
      <c r="V1725" s="23">
        <f>1.2*Table1[[#This Row],[X1]] + 1.4*Table1[[#This Row],[X2]] + 3.3*Table1[[#This Row],[x3]] + 0.6*Table1[[#This Row],[x4]] + 1*Table1[[#This Row],[x5]]</f>
        <v>4.9218150331873618</v>
      </c>
      <c r="W1725" s="23">
        <f>IF(Table1[[#This Row],[Zscore]]&lt;1.81,1,0)</f>
        <v>0</v>
      </c>
    </row>
    <row r="1726" spans="1:23" ht="26.25" x14ac:dyDescent="0.45">
      <c r="A1726" s="7">
        <v>1720</v>
      </c>
      <c r="B1726" s="5" t="s">
        <v>3451</v>
      </c>
      <c r="C1726" s="6" t="s">
        <v>3452</v>
      </c>
      <c r="D1726" s="6" t="s">
        <v>18</v>
      </c>
      <c r="E1726" s="8">
        <v>245262037626</v>
      </c>
      <c r="F1726" s="8">
        <v>104831542114</v>
      </c>
      <c r="G1726" s="8">
        <v>97422581951</v>
      </c>
      <c r="H1726" s="8">
        <v>5165985294</v>
      </c>
      <c r="I1726" s="8">
        <v>17096641282</v>
      </c>
      <c r="J1726" s="8"/>
      <c r="K1726" s="8">
        <v>97636381951</v>
      </c>
      <c r="L1726" s="8">
        <v>44441505980</v>
      </c>
      <c r="M1726" s="8">
        <v>81000000000</v>
      </c>
      <c r="N1726" s="8">
        <v>69000000000</v>
      </c>
      <c r="O1726" s="8">
        <v>70500000000</v>
      </c>
      <c r="P1726" s="8">
        <v>91500000000</v>
      </c>
      <c r="Q1726" s="18">
        <f>(Table1[[#This Row],[A. TÀI SẢN NGẮN HẠN]]-Table1[[#This Row],[I. Nợ ngắn hạn]])/Table1[[#This Row],[TỔNG CỘNG TÀI SẢN]]</f>
        <v>3.0208344653394427E-2</v>
      </c>
      <c r="R1726" s="18">
        <f>Table1[[#This Row],[- LNST chưa phân phối kỳ này]]/Table1[[#This Row],[TỔNG CỘNG TÀI SẢN]]</f>
        <v>2.1063126377012367E-2</v>
      </c>
      <c r="S1726" s="21">
        <f>Table1[[#This Row],[5. Lợi nhuận gộp về bán hàng và cung cấp dịch vụ]]/Table1[[#This Row],[TỔNG CỘNG TÀI SẢN]]</f>
        <v>6.9707654097168767E-2</v>
      </c>
      <c r="T172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0.79888253170980106</v>
      </c>
      <c r="U1726" s="23">
        <f>Table1[[#This Row],[1. Doanh thu bán hàng và cung cấp dịch vụ ]]/Table1[[#This Row],[TỔNG CỘNG TÀI SẢN]]</f>
        <v>0.1812001009620936</v>
      </c>
      <c r="V1726" s="23">
        <f>1.2*Table1[[#This Row],[X1]] + 1.4*Table1[[#This Row],[X2]] + 3.3*Table1[[#This Row],[x3]] + 0.6*Table1[[#This Row],[x4]] + 1*Table1[[#This Row],[x5]]</f>
        <v>0.95630326902052176</v>
      </c>
      <c r="W1726" s="23">
        <f>IF(Table1[[#This Row],[Zscore]]&lt;1.81,1,0)</f>
        <v>1</v>
      </c>
    </row>
    <row r="1727" spans="1:23" x14ac:dyDescent="0.45">
      <c r="A1727" s="7">
        <v>1721</v>
      </c>
      <c r="B1727" s="5" t="s">
        <v>3453</v>
      </c>
      <c r="C1727" s="6" t="s">
        <v>3454</v>
      </c>
      <c r="D1727" s="6" t="s">
        <v>21</v>
      </c>
      <c r="E1727" s="8">
        <v>1843894444903</v>
      </c>
      <c r="F1727" s="8">
        <v>1103482193800</v>
      </c>
      <c r="G1727" s="8">
        <v>309607135754</v>
      </c>
      <c r="H1727" s="8">
        <v>261978526709</v>
      </c>
      <c r="I1727" s="8">
        <v>592110436385</v>
      </c>
      <c r="J1727" s="8"/>
      <c r="K1727" s="8">
        <v>358861725996</v>
      </c>
      <c r="L1727" s="8">
        <v>1575696774611</v>
      </c>
      <c r="M1727" s="8">
        <v>5000927580000</v>
      </c>
      <c r="N1727" s="8">
        <v>6495644358000</v>
      </c>
      <c r="O1727" s="8">
        <v>3648824938000</v>
      </c>
      <c r="P1727" s="8">
        <v>5167621260000</v>
      </c>
      <c r="Q1727" s="18">
        <f>(Table1[[#This Row],[A. TÀI SẢN NGẮN HẠN]]-Table1[[#This Row],[I. Nợ ngắn hạn]])/Table1[[#This Row],[TỔNG CỘNG TÀI SẢN]]</f>
        <v>0.43054257267300494</v>
      </c>
      <c r="R1727" s="18">
        <f>Table1[[#This Row],[- LNST chưa phân phối kỳ này]]/Table1[[#This Row],[TỔNG CỘNG TÀI SẢN]]</f>
        <v>0.14207891749615942</v>
      </c>
      <c r="S1727" s="21">
        <f>Table1[[#This Row],[5. Lợi nhuận gộp về bán hàng và cung cấp dịch vụ]]/Table1[[#This Row],[TỔNG CỘNG TÀI SẢN]]</f>
        <v>0.32111948599972523</v>
      </c>
      <c r="T172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14.151006268237712</v>
      </c>
      <c r="U1727" s="23">
        <f>Table1[[#This Row],[1. Doanh thu bán hàng và cung cấp dịch vụ ]]/Table1[[#This Row],[TỔNG CỘNG TÀI SẢN]]</f>
        <v>0.85454825191682338</v>
      </c>
      <c r="V1727" s="23">
        <f>1.2*Table1[[#This Row],[X1]] + 1.4*Table1[[#This Row],[X2]] + 3.3*Table1[[#This Row],[x3]] + 0.6*Table1[[#This Row],[x4]] + 1*Table1[[#This Row],[x5]]</f>
        <v>11.120407888360772</v>
      </c>
      <c r="W1727" s="23">
        <f>IF(Table1[[#This Row],[Zscore]]&lt;1.81,1,0)</f>
        <v>0</v>
      </c>
    </row>
    <row r="1728" spans="1:23" ht="26.25" x14ac:dyDescent="0.45">
      <c r="A1728" s="7">
        <v>1722</v>
      </c>
      <c r="B1728" s="5" t="s">
        <v>3455</v>
      </c>
      <c r="C1728" s="6" t="s">
        <v>3456</v>
      </c>
      <c r="D1728" s="6" t="s">
        <v>21</v>
      </c>
      <c r="E1728" s="8">
        <v>27271280094447</v>
      </c>
      <c r="F1728" s="8">
        <v>24175702852037</v>
      </c>
      <c r="G1728" s="8">
        <v>10258755171309</v>
      </c>
      <c r="H1728" s="8">
        <v>509919208543</v>
      </c>
      <c r="I1728" s="8">
        <v>720186816461</v>
      </c>
      <c r="J1728" s="8"/>
      <c r="K1728" s="8">
        <v>14847341573940</v>
      </c>
      <c r="L1728" s="8">
        <v>1324974747132</v>
      </c>
      <c r="M1728" s="8">
        <v>16895260606050</v>
      </c>
      <c r="N1728" s="8">
        <v>18420416325200</v>
      </c>
      <c r="O1728" s="8">
        <v>16375593248150</v>
      </c>
      <c r="P1728" s="8">
        <v>22976529937550</v>
      </c>
      <c r="Q1728" s="18">
        <f>(Table1[[#This Row],[A. TÀI SẢN NGẮN HẠN]]-Table1[[#This Row],[I. Nợ ngắn hạn]])/Table1[[#This Row],[TỔNG CỘNG TÀI SẢN]]</f>
        <v>0.51031516058396464</v>
      </c>
      <c r="R1728" s="18">
        <f>Table1[[#This Row],[- LNST chưa phân phối kỳ này]]/Table1[[#This Row],[TỔNG CỘNG TÀI SẢN]]</f>
        <v>1.869802982394032E-2</v>
      </c>
      <c r="S1728" s="21">
        <f>Table1[[#This Row],[5. Lợi nhuận gộp về bán hàng và cung cấp dịch vụ]]/Table1[[#This Row],[TỔNG CỘNG TÀI SẢN]]</f>
        <v>2.6408251243316042E-2</v>
      </c>
      <c r="T172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1.2572587446901378</v>
      </c>
      <c r="U1728" s="23">
        <f>Table1[[#This Row],[1. Doanh thu bán hàng và cung cấp dịch vụ ]]/Table1[[#This Row],[TỔNG CỘNG TÀI SẢN]]</f>
        <v>4.8584985469816371E-2</v>
      </c>
      <c r="V1728" s="23">
        <f>1.2*Table1[[#This Row],[X1]] + 1.4*Table1[[#This Row],[X2]] + 3.3*Table1[[#This Row],[x3]] + 0.6*Table1[[#This Row],[x4]] + 1*Table1[[#This Row],[x5]]</f>
        <v>1.528642895841116</v>
      </c>
      <c r="W1728" s="23">
        <f>IF(Table1[[#This Row],[Zscore]]&lt;1.81,1,0)</f>
        <v>1</v>
      </c>
    </row>
    <row r="1729" spans="1:23" ht="26.25" hidden="1" x14ac:dyDescent="0.45">
      <c r="A1729" s="7">
        <v>1723</v>
      </c>
      <c r="B1729" s="5" t="s">
        <v>3457</v>
      </c>
      <c r="C1729" s="6" t="s">
        <v>3458</v>
      </c>
      <c r="D1729" s="6" t="s">
        <v>13</v>
      </c>
      <c r="E1729" s="6"/>
      <c r="F1729" s="6"/>
      <c r="G1729" s="6"/>
      <c r="H1729" s="6"/>
      <c r="I1729" s="6"/>
      <c r="J1729" s="8"/>
      <c r="K1729" s="6"/>
      <c r="L1729" s="6"/>
      <c r="M1729" s="8">
        <v>1100282148000</v>
      </c>
      <c r="N1729" s="8"/>
      <c r="O1729" s="8"/>
      <c r="P1729" s="8"/>
      <c r="Q1729" s="18" t="e">
        <f>(Table1[[#This Row],[A. TÀI SẢN NGẮN HẠN]]-Table1[[#This Row],[I. Nợ ngắn hạn]])/Table1[[#This Row],[TỔNG CỘNG TÀI SẢN]]</f>
        <v>#DIV/0!</v>
      </c>
      <c r="R1729" s="18" t="e">
        <f>Table1[[#This Row],[- LNST chưa phân phối kỳ này]]/Table1[[#This Row],[TỔNG CỘNG TÀI SẢN]]</f>
        <v>#DIV/0!</v>
      </c>
      <c r="S1729" s="21" t="e">
        <f>Table1[[#This Row],[5. Lợi nhuận gộp về bán hàng và cung cấp dịch vụ]]/Table1[[#This Row],[TỔNG CỘNG TÀI SẢN]]</f>
        <v>#DIV/0!</v>
      </c>
      <c r="T172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729" s="23" t="e">
        <f>Table1[[#This Row],[1. Doanh thu bán hàng và cung cấp dịch vụ ]]/Table1[[#This Row],[TỔNG CỘNG TÀI SẢN]]</f>
        <v>#DIV/0!</v>
      </c>
      <c r="V1729" s="23" t="e">
        <f>1.2*Table1[[#This Row],[X1]] + 1.4*Table1[[#This Row],[X2]] + 3.3*Table1[[#This Row],[x3]] + 0.6*Table1[[#This Row],[x4]] + 1*Table1[[#This Row],[x5]]</f>
        <v>#DIV/0!</v>
      </c>
      <c r="W1729" s="23" t="e">
        <f>IF(Table1[[#This Row],[Zscore]]&lt;1.81,1,0)</f>
        <v>#DIV/0!</v>
      </c>
    </row>
    <row r="1730" spans="1:23" ht="26.25" x14ac:dyDescent="0.45">
      <c r="A1730" s="7">
        <v>1724</v>
      </c>
      <c r="B1730" s="5" t="s">
        <v>3459</v>
      </c>
      <c r="C1730" s="6" t="s">
        <v>3460</v>
      </c>
      <c r="D1730" s="6" t="s">
        <v>21</v>
      </c>
      <c r="E1730" s="8">
        <v>2234032757189</v>
      </c>
      <c r="F1730" s="8">
        <v>583475230175</v>
      </c>
      <c r="G1730" s="8">
        <v>389147014109</v>
      </c>
      <c r="H1730" s="8">
        <v>89567912106</v>
      </c>
      <c r="I1730" s="8">
        <v>167900219646</v>
      </c>
      <c r="J1730" s="8"/>
      <c r="K1730" s="8">
        <v>1192920299619</v>
      </c>
      <c r="L1730" s="8">
        <v>1937573661632</v>
      </c>
      <c r="M1730" s="8">
        <v>1017877876400</v>
      </c>
      <c r="N1730" s="8">
        <v>785217767400</v>
      </c>
      <c r="O1730" s="8">
        <v>938562717200</v>
      </c>
      <c r="P1730" s="8">
        <v>839418768200</v>
      </c>
      <c r="Q1730" s="18">
        <f>(Table1[[#This Row],[A. TÀI SẢN NGẮN HẠN]]-Table1[[#This Row],[I. Nợ ngắn hạn]])/Table1[[#This Row],[TỔNG CỘNG TÀI SẢN]]</f>
        <v>8.6985392421244506E-2</v>
      </c>
      <c r="R1730" s="18">
        <f>Table1[[#This Row],[- LNST chưa phân phối kỳ này]]/Table1[[#This Row],[TỔNG CỘNG TÀI SẢN]]</f>
        <v>4.0092479314716926E-2</v>
      </c>
      <c r="S1730" s="21">
        <f>Table1[[#This Row],[5. Lợi nhuận gộp về bán hàng và cung cấp dịch vụ]]/Table1[[#This Row],[TỔNG CỘNG TÀI SẢN]]</f>
        <v>7.515566596134543E-2</v>
      </c>
      <c r="T173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0.75048541179652573</v>
      </c>
      <c r="U1730" s="23">
        <f>Table1[[#This Row],[1. Doanh thu bán hàng và cung cấp dịch vụ ]]/Table1[[#This Row],[TỔNG CỘNG TÀI SẢN]]</f>
        <v>0.86729868010976552</v>
      </c>
      <c r="V1730" s="23">
        <f>1.2*Table1[[#This Row],[X1]] + 1.4*Table1[[#This Row],[X2]] + 3.3*Table1[[#This Row],[x3]] + 0.6*Table1[[#This Row],[x4]] + 1*Table1[[#This Row],[x5]]</f>
        <v>1.726115566806218</v>
      </c>
      <c r="W1730" s="23">
        <f>IF(Table1[[#This Row],[Zscore]]&lt;1.81,1,0)</f>
        <v>1</v>
      </c>
    </row>
    <row r="1731" spans="1:23" hidden="1" x14ac:dyDescent="0.45">
      <c r="A1731" s="7">
        <v>1725</v>
      </c>
      <c r="B1731" s="5" t="s">
        <v>3461</v>
      </c>
      <c r="C1731" s="6" t="s">
        <v>3462</v>
      </c>
      <c r="D1731" s="6" t="s">
        <v>13</v>
      </c>
      <c r="E1731" s="6"/>
      <c r="F1731" s="6"/>
      <c r="G1731" s="6"/>
      <c r="H1731" s="6"/>
      <c r="I1731" s="6"/>
      <c r="J1731" s="8"/>
      <c r="K1731" s="6"/>
      <c r="L1731" s="6"/>
      <c r="M1731" s="8"/>
      <c r="N1731" s="8"/>
      <c r="O1731" s="8"/>
      <c r="P1731" s="8"/>
      <c r="Q1731" s="18" t="e">
        <f>(Table1[[#This Row],[A. TÀI SẢN NGẮN HẠN]]-Table1[[#This Row],[I. Nợ ngắn hạn]])/Table1[[#This Row],[TỔNG CỘNG TÀI SẢN]]</f>
        <v>#DIV/0!</v>
      </c>
      <c r="R1731" s="18" t="e">
        <f>Table1[[#This Row],[- LNST chưa phân phối kỳ này]]/Table1[[#This Row],[TỔNG CỘNG TÀI SẢN]]</f>
        <v>#DIV/0!</v>
      </c>
      <c r="S1731" s="21" t="e">
        <f>Table1[[#This Row],[5. Lợi nhuận gộp về bán hàng và cung cấp dịch vụ]]/Table1[[#This Row],[TỔNG CỘNG TÀI SẢN]]</f>
        <v>#DIV/0!</v>
      </c>
      <c r="T173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731" s="23" t="e">
        <f>Table1[[#This Row],[1. Doanh thu bán hàng và cung cấp dịch vụ ]]/Table1[[#This Row],[TỔNG CỘNG TÀI SẢN]]</f>
        <v>#DIV/0!</v>
      </c>
      <c r="V1731" s="23" t="e">
        <f>1.2*Table1[[#This Row],[X1]] + 1.4*Table1[[#This Row],[X2]] + 3.3*Table1[[#This Row],[x3]] + 0.6*Table1[[#This Row],[x4]] + 1*Table1[[#This Row],[x5]]</f>
        <v>#DIV/0!</v>
      </c>
      <c r="W1731" s="23" t="e">
        <f>IF(Table1[[#This Row],[Zscore]]&lt;1.81,1,0)</f>
        <v>#DIV/0!</v>
      </c>
    </row>
    <row r="1732" spans="1:23" hidden="1" x14ac:dyDescent="0.45">
      <c r="A1732" s="7">
        <v>1726</v>
      </c>
      <c r="B1732" s="5" t="s">
        <v>3463</v>
      </c>
      <c r="C1732" s="6" t="s">
        <v>3464</v>
      </c>
      <c r="D1732" s="6" t="s">
        <v>13</v>
      </c>
      <c r="E1732" s="6"/>
      <c r="F1732" s="6"/>
      <c r="G1732" s="6"/>
      <c r="H1732" s="6"/>
      <c r="I1732" s="6"/>
      <c r="J1732" s="8"/>
      <c r="K1732" s="6"/>
      <c r="L1732" s="6"/>
      <c r="M1732" s="8"/>
      <c r="N1732" s="8"/>
      <c r="O1732" s="8"/>
      <c r="P1732" s="8"/>
      <c r="Q1732" s="18" t="e">
        <f>(Table1[[#This Row],[A. TÀI SẢN NGẮN HẠN]]-Table1[[#This Row],[I. Nợ ngắn hạn]])/Table1[[#This Row],[TỔNG CỘNG TÀI SẢN]]</f>
        <v>#DIV/0!</v>
      </c>
      <c r="R1732" s="18" t="e">
        <f>Table1[[#This Row],[- LNST chưa phân phối kỳ này]]/Table1[[#This Row],[TỔNG CỘNG TÀI SẢN]]</f>
        <v>#DIV/0!</v>
      </c>
      <c r="S1732" s="21" t="e">
        <f>Table1[[#This Row],[5. Lợi nhuận gộp về bán hàng và cung cấp dịch vụ]]/Table1[[#This Row],[TỔNG CỘNG TÀI SẢN]]</f>
        <v>#DIV/0!</v>
      </c>
      <c r="T173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732" s="23" t="e">
        <f>Table1[[#This Row],[1. Doanh thu bán hàng và cung cấp dịch vụ ]]/Table1[[#This Row],[TỔNG CỘNG TÀI SẢN]]</f>
        <v>#DIV/0!</v>
      </c>
      <c r="V1732" s="23" t="e">
        <f>1.2*Table1[[#This Row],[X1]] + 1.4*Table1[[#This Row],[X2]] + 3.3*Table1[[#This Row],[x3]] + 0.6*Table1[[#This Row],[x4]] + 1*Table1[[#This Row],[x5]]</f>
        <v>#DIV/0!</v>
      </c>
      <c r="W1732" s="23" t="e">
        <f>IF(Table1[[#This Row],[Zscore]]&lt;1.81,1,0)</f>
        <v>#DIV/0!</v>
      </c>
    </row>
    <row r="1733" spans="1:23" ht="26.25" x14ac:dyDescent="0.45">
      <c r="A1733" s="7">
        <v>1727</v>
      </c>
      <c r="B1733" s="5" t="s">
        <v>3465</v>
      </c>
      <c r="C1733" s="6" t="s">
        <v>3466</v>
      </c>
      <c r="D1733" s="6" t="s">
        <v>18</v>
      </c>
      <c r="E1733" s="8">
        <v>1207072401094</v>
      </c>
      <c r="F1733" s="8">
        <v>422773159844</v>
      </c>
      <c r="G1733" s="8">
        <v>499915936326</v>
      </c>
      <c r="H1733" s="8">
        <v>118222921</v>
      </c>
      <c r="I1733" s="8">
        <v>257532076526</v>
      </c>
      <c r="J1733" s="8"/>
      <c r="K1733" s="8">
        <v>557187054450</v>
      </c>
      <c r="L1733" s="8">
        <v>5452443906079</v>
      </c>
      <c r="M1733" s="8">
        <v>1136304703100</v>
      </c>
      <c r="N1733" s="8">
        <v>1020397627000</v>
      </c>
      <c r="O1733" s="8">
        <v>995509880000</v>
      </c>
      <c r="P1733" s="8">
        <v>920846639000</v>
      </c>
      <c r="Q1733" s="18">
        <f>(Table1[[#This Row],[A. TÀI SẢN NGẮN HẠN]]-Table1[[#This Row],[I. Nợ ngắn hạn]])/Table1[[#This Row],[TỔNG CỘNG TÀI SẢN]]</f>
        <v>-6.3908988733470812E-2</v>
      </c>
      <c r="R1733" s="18">
        <f>Table1[[#This Row],[- LNST chưa phân phối kỳ này]]/Table1[[#This Row],[TỔNG CỘNG TÀI SẢN]]</f>
        <v>9.7941864044651843E-5</v>
      </c>
      <c r="S1733" s="21">
        <f>Table1[[#This Row],[5. Lợi nhuận gộp về bán hàng và cung cấp dịch vụ]]/Table1[[#This Row],[TỔNG CỘNG TÀI SẢN]]</f>
        <v>0.21335263426832743</v>
      </c>
      <c r="T173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1.8275096381773088</v>
      </c>
      <c r="U1733" s="23">
        <f>Table1[[#This Row],[1. Doanh thu bán hàng và cung cấp dịch vụ ]]/Table1[[#This Row],[TỔNG CỘNG TÀI SẢN]]</f>
        <v>4.5170810807515052</v>
      </c>
      <c r="V1733" s="23">
        <f>1.2*Table1[[#This Row],[X1]] + 1.4*Table1[[#This Row],[X2]] + 3.3*Table1[[#This Row],[x3]] + 0.6*Table1[[#This Row],[x4]] + 1*Table1[[#This Row],[x5]]</f>
        <v>6.2410968888728684</v>
      </c>
      <c r="W1733" s="23">
        <f>IF(Table1[[#This Row],[Zscore]]&lt;1.81,1,0)</f>
        <v>0</v>
      </c>
    </row>
    <row r="1734" spans="1:23" x14ac:dyDescent="0.45">
      <c r="A1734" s="7">
        <v>1728</v>
      </c>
      <c r="B1734" s="5" t="s">
        <v>3467</v>
      </c>
      <c r="C1734" s="6" t="s">
        <v>3468</v>
      </c>
      <c r="D1734" s="6" t="s">
        <v>36</v>
      </c>
      <c r="E1734" s="8">
        <v>323994034056</v>
      </c>
      <c r="F1734" s="8">
        <v>308394494282</v>
      </c>
      <c r="G1734" s="8">
        <v>241355586341</v>
      </c>
      <c r="H1734" s="8">
        <v>1998501212</v>
      </c>
      <c r="I1734" s="8">
        <v>27227152024</v>
      </c>
      <c r="J1734" s="8"/>
      <c r="K1734" s="8">
        <v>264276229223</v>
      </c>
      <c r="L1734" s="8">
        <v>391973853439</v>
      </c>
      <c r="M1734" s="8">
        <v>33000000000</v>
      </c>
      <c r="N1734" s="8">
        <v>41500000000</v>
      </c>
      <c r="O1734" s="8">
        <v>45000000000</v>
      </c>
      <c r="P1734" s="8">
        <v>54000000000</v>
      </c>
      <c r="Q1734" s="18">
        <f>(Table1[[#This Row],[A. TÀI SẢN NGẮN HẠN]]-Table1[[#This Row],[I. Nợ ngắn hạn]])/Table1[[#This Row],[TỔNG CỘNG TÀI SẢN]]</f>
        <v>0.20691401968658724</v>
      </c>
      <c r="R1734" s="18">
        <f>Table1[[#This Row],[- LNST chưa phân phối kỳ này]]/Table1[[#This Row],[TỔNG CỘNG TÀI SẢN]]</f>
        <v>6.1683271972056549E-3</v>
      </c>
      <c r="S1734" s="21">
        <f>Table1[[#This Row],[5. Lợi nhuận gộp về bán hàng và cung cấp dịch vụ]]/Table1[[#This Row],[TỔNG CỘNG TÀI SẢN]]</f>
        <v>8.4035967215661714E-2</v>
      </c>
      <c r="T173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0.16412751206390025</v>
      </c>
      <c r="U1734" s="23">
        <f>Table1[[#This Row],[1. Doanh thu bán hàng và cung cấp dịch vụ ]]/Table1[[#This Row],[TỔNG CỘNG TÀI SẢN]]</f>
        <v>1.2098181208214784</v>
      </c>
      <c r="V1734" s="23">
        <f>1.2*Table1[[#This Row],[X1]] + 1.4*Table1[[#This Row],[X2]] + 3.3*Table1[[#This Row],[x3]] + 0.6*Table1[[#This Row],[x4]] + 1*Table1[[#This Row],[x5]]</f>
        <v>1.8425458015714948</v>
      </c>
      <c r="W1734" s="23">
        <f>IF(Table1[[#This Row],[Zscore]]&lt;1.81,1,0)</f>
        <v>0</v>
      </c>
    </row>
    <row r="1735" spans="1:23" x14ac:dyDescent="0.45">
      <c r="A1735" s="7">
        <v>1729</v>
      </c>
      <c r="B1735" s="5" t="s">
        <v>3469</v>
      </c>
      <c r="C1735" s="6" t="s">
        <v>3470</v>
      </c>
      <c r="D1735" s="6" t="s">
        <v>18</v>
      </c>
      <c r="E1735" s="8">
        <v>271885486121</v>
      </c>
      <c r="F1735" s="8">
        <v>200835542196</v>
      </c>
      <c r="G1735" s="8">
        <v>166677195498</v>
      </c>
      <c r="H1735" s="8">
        <v>19670820091</v>
      </c>
      <c r="I1735" s="8">
        <v>167070047020</v>
      </c>
      <c r="J1735" s="8"/>
      <c r="K1735" s="8">
        <v>167117195498</v>
      </c>
      <c r="L1735" s="8">
        <v>1238622387491</v>
      </c>
      <c r="M1735" s="8">
        <v>243806737400</v>
      </c>
      <c r="N1735" s="8"/>
      <c r="O1735" s="8"/>
      <c r="P1735" s="8"/>
      <c r="Q1735" s="18">
        <f>(Table1[[#This Row],[A. TÀI SẢN NGẮN HẠN]]-Table1[[#This Row],[I. Nợ ngắn hạn]])/Table1[[#This Row],[TỔNG CỘNG TÀI SẢN]]</f>
        <v>0.12563505020197421</v>
      </c>
      <c r="R1735" s="18">
        <f>Table1[[#This Row],[- LNST chưa phân phối kỳ này]]/Table1[[#This Row],[TỔNG CỘNG TÀI SẢN]]</f>
        <v>7.2349651213988272E-2</v>
      </c>
      <c r="S1735" s="21">
        <f>Table1[[#This Row],[5. Lợi nhuận gộp về bán hàng và cung cấp dịch vụ]]/Table1[[#This Row],[TỔNG CỘNG TÀI SẢN]]</f>
        <v>0.61448681723910448</v>
      </c>
      <c r="T173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1.4588967740481129</v>
      </c>
      <c r="U1735" s="23">
        <f>Table1[[#This Row],[1. Doanh thu bán hàng và cung cấp dịch vụ ]]/Table1[[#This Row],[TỔNG CỘNG TÀI SẢN]]</f>
        <v>4.555676748922755</v>
      </c>
      <c r="V1735" s="23">
        <f>1.2*Table1[[#This Row],[X1]] + 1.4*Table1[[#This Row],[X2]] + 3.3*Table1[[#This Row],[x3]] + 0.6*Table1[[#This Row],[x4]] + 1*Table1[[#This Row],[x5]]</f>
        <v>7.7108728821826205</v>
      </c>
      <c r="W1735" s="23">
        <f>IF(Table1[[#This Row],[Zscore]]&lt;1.81,1,0)</f>
        <v>0</v>
      </c>
    </row>
    <row r="1736" spans="1:23" ht="26.25" x14ac:dyDescent="0.45">
      <c r="A1736" s="7">
        <v>1730</v>
      </c>
      <c r="B1736" s="5" t="s">
        <v>3471</v>
      </c>
      <c r="C1736" s="6" t="s">
        <v>3472</v>
      </c>
      <c r="D1736" s="6" t="s">
        <v>21</v>
      </c>
      <c r="E1736" s="8">
        <v>13560332273854</v>
      </c>
      <c r="F1736" s="8">
        <v>12473723057703</v>
      </c>
      <c r="G1736" s="8">
        <v>10852974108991</v>
      </c>
      <c r="H1736" s="8">
        <v>299946097338</v>
      </c>
      <c r="I1736" s="8">
        <v>1030394032798</v>
      </c>
      <c r="J1736" s="8"/>
      <c r="K1736" s="8">
        <v>10900207744946</v>
      </c>
      <c r="L1736" s="8">
        <v>22348046528455</v>
      </c>
      <c r="M1736" s="8">
        <v>2315870242700</v>
      </c>
      <c r="N1736" s="8">
        <v>3724602371900</v>
      </c>
      <c r="O1736" s="8">
        <v>2572003357100</v>
      </c>
      <c r="P1736" s="8">
        <v>3271033315150</v>
      </c>
      <c r="Q1736" s="18">
        <f>(Table1[[#This Row],[A. TÀI SẢN NGẮN HẠN]]-Table1[[#This Row],[I. Nợ ngắn hạn]])/Table1[[#This Row],[TỔNG CỘNG TÀI SẢN]]</f>
        <v>0.11952133000730407</v>
      </c>
      <c r="R1736" s="18">
        <f>Table1[[#This Row],[- LNST chưa phân phối kỳ này]]/Table1[[#This Row],[TỔNG CỘNG TÀI SẢN]]</f>
        <v>2.2119376670167088E-2</v>
      </c>
      <c r="S1736" s="21">
        <f>Table1[[#This Row],[5. Lợi nhuận gộp về bán hàng và cung cấp dịch vụ]]/Table1[[#This Row],[TỔNG CỘNG TÀI SẢN]]</f>
        <v>7.5985898574530308E-2</v>
      </c>
      <c r="T173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0.27255235782914133</v>
      </c>
      <c r="U1736" s="23">
        <f>Table1[[#This Row],[1. Doanh thu bán hàng và cung cấp dịch vụ ]]/Table1[[#This Row],[TỔNG CỘNG TÀI SẢN]]</f>
        <v>1.6480456435086626</v>
      </c>
      <c r="V1736" s="23">
        <f>1.2*Table1[[#This Row],[X1]] + 1.4*Table1[[#This Row],[X2]] + 3.3*Table1[[#This Row],[x3]] + 0.6*Table1[[#This Row],[x4]] + 1*Table1[[#This Row],[x5]]</f>
        <v>2.2367232468490963</v>
      </c>
      <c r="W1736" s="23">
        <f>IF(Table1[[#This Row],[Zscore]]&lt;1.81,1,0)</f>
        <v>0</v>
      </c>
    </row>
    <row r="1737" spans="1:23" ht="26.25" hidden="1" x14ac:dyDescent="0.45">
      <c r="A1737" s="7">
        <v>1731</v>
      </c>
      <c r="B1737" s="5" t="s">
        <v>3473</v>
      </c>
      <c r="C1737" s="6" t="s">
        <v>3474</v>
      </c>
      <c r="D1737" s="6" t="s">
        <v>13</v>
      </c>
      <c r="E1737" s="6"/>
      <c r="F1737" s="6"/>
      <c r="G1737" s="6"/>
      <c r="H1737" s="6"/>
      <c r="I1737" s="6"/>
      <c r="J1737" s="8"/>
      <c r="K1737" s="6"/>
      <c r="L1737" s="6"/>
      <c r="M1737" s="8"/>
      <c r="N1737" s="8"/>
      <c r="O1737" s="8"/>
      <c r="P1737" s="8"/>
      <c r="Q1737" s="18" t="e">
        <f>(Table1[[#This Row],[A. TÀI SẢN NGẮN HẠN]]-Table1[[#This Row],[I. Nợ ngắn hạn]])/Table1[[#This Row],[TỔNG CỘNG TÀI SẢN]]</f>
        <v>#DIV/0!</v>
      </c>
      <c r="R1737" s="18" t="e">
        <f>Table1[[#This Row],[- LNST chưa phân phối kỳ này]]/Table1[[#This Row],[TỔNG CỘNG TÀI SẢN]]</f>
        <v>#DIV/0!</v>
      </c>
      <c r="S1737" s="21" t="e">
        <f>Table1[[#This Row],[5. Lợi nhuận gộp về bán hàng và cung cấp dịch vụ]]/Table1[[#This Row],[TỔNG CỘNG TÀI SẢN]]</f>
        <v>#DIV/0!</v>
      </c>
      <c r="T173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737" s="23" t="e">
        <f>Table1[[#This Row],[1. Doanh thu bán hàng và cung cấp dịch vụ ]]/Table1[[#This Row],[TỔNG CỘNG TÀI SẢN]]</f>
        <v>#DIV/0!</v>
      </c>
      <c r="V1737" s="23" t="e">
        <f>1.2*Table1[[#This Row],[X1]] + 1.4*Table1[[#This Row],[X2]] + 3.3*Table1[[#This Row],[x3]] + 0.6*Table1[[#This Row],[x4]] + 1*Table1[[#This Row],[x5]]</f>
        <v>#DIV/0!</v>
      </c>
      <c r="W1737" s="23" t="e">
        <f>IF(Table1[[#This Row],[Zscore]]&lt;1.81,1,0)</f>
        <v>#DIV/0!</v>
      </c>
    </row>
    <row r="1738" spans="1:23" hidden="1" x14ac:dyDescent="0.45">
      <c r="A1738" s="7">
        <v>1732</v>
      </c>
      <c r="B1738" s="5" t="s">
        <v>3475</v>
      </c>
      <c r="C1738" s="6" t="s">
        <v>3476</v>
      </c>
      <c r="D1738" s="6" t="s">
        <v>13</v>
      </c>
      <c r="E1738" s="6"/>
      <c r="F1738" s="6"/>
      <c r="G1738" s="6"/>
      <c r="H1738" s="6"/>
      <c r="I1738" s="6"/>
      <c r="J1738" s="8"/>
      <c r="K1738" s="6"/>
      <c r="L1738" s="6"/>
      <c r="M1738" s="8"/>
      <c r="N1738" s="8"/>
      <c r="O1738" s="8"/>
      <c r="P1738" s="8"/>
      <c r="Q1738" s="18" t="e">
        <f>(Table1[[#This Row],[A. TÀI SẢN NGẮN HẠN]]-Table1[[#This Row],[I. Nợ ngắn hạn]])/Table1[[#This Row],[TỔNG CỘNG TÀI SẢN]]</f>
        <v>#DIV/0!</v>
      </c>
      <c r="R1738" s="18" t="e">
        <f>Table1[[#This Row],[- LNST chưa phân phối kỳ này]]/Table1[[#This Row],[TỔNG CỘNG TÀI SẢN]]</f>
        <v>#DIV/0!</v>
      </c>
      <c r="S1738" s="21" t="e">
        <f>Table1[[#This Row],[5. Lợi nhuận gộp về bán hàng và cung cấp dịch vụ]]/Table1[[#This Row],[TỔNG CỘNG TÀI SẢN]]</f>
        <v>#DIV/0!</v>
      </c>
      <c r="T173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738" s="23" t="e">
        <f>Table1[[#This Row],[1. Doanh thu bán hàng và cung cấp dịch vụ ]]/Table1[[#This Row],[TỔNG CỘNG TÀI SẢN]]</f>
        <v>#DIV/0!</v>
      </c>
      <c r="V1738" s="23" t="e">
        <f>1.2*Table1[[#This Row],[X1]] + 1.4*Table1[[#This Row],[X2]] + 3.3*Table1[[#This Row],[x3]] + 0.6*Table1[[#This Row],[x4]] + 1*Table1[[#This Row],[x5]]</f>
        <v>#DIV/0!</v>
      </c>
      <c r="W1738" s="23" t="e">
        <f>IF(Table1[[#This Row],[Zscore]]&lt;1.81,1,0)</f>
        <v>#DIV/0!</v>
      </c>
    </row>
    <row r="1739" spans="1:23" hidden="1" x14ac:dyDescent="0.45">
      <c r="A1739" s="7">
        <v>1733</v>
      </c>
      <c r="B1739" s="5" t="s">
        <v>3477</v>
      </c>
      <c r="C1739" s="6" t="s">
        <v>3478</v>
      </c>
      <c r="D1739" s="6" t="s">
        <v>13</v>
      </c>
      <c r="E1739" s="6"/>
      <c r="F1739" s="6"/>
      <c r="G1739" s="6"/>
      <c r="H1739" s="6"/>
      <c r="I1739" s="6"/>
      <c r="J1739" s="8"/>
      <c r="K1739" s="6"/>
      <c r="L1739" s="6"/>
      <c r="M1739" s="8"/>
      <c r="N1739" s="8"/>
      <c r="O1739" s="8"/>
      <c r="P1739" s="8"/>
      <c r="Q1739" s="18" t="e">
        <f>(Table1[[#This Row],[A. TÀI SẢN NGẮN HẠN]]-Table1[[#This Row],[I. Nợ ngắn hạn]])/Table1[[#This Row],[TỔNG CỘNG TÀI SẢN]]</f>
        <v>#DIV/0!</v>
      </c>
      <c r="R1739" s="18" t="e">
        <f>Table1[[#This Row],[- LNST chưa phân phối kỳ này]]/Table1[[#This Row],[TỔNG CỘNG TÀI SẢN]]</f>
        <v>#DIV/0!</v>
      </c>
      <c r="S1739" s="21" t="e">
        <f>Table1[[#This Row],[5. Lợi nhuận gộp về bán hàng và cung cấp dịch vụ]]/Table1[[#This Row],[TỔNG CỘNG TÀI SẢN]]</f>
        <v>#DIV/0!</v>
      </c>
      <c r="T173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739" s="23" t="e">
        <f>Table1[[#This Row],[1. Doanh thu bán hàng và cung cấp dịch vụ ]]/Table1[[#This Row],[TỔNG CỘNG TÀI SẢN]]</f>
        <v>#DIV/0!</v>
      </c>
      <c r="V1739" s="23" t="e">
        <f>1.2*Table1[[#This Row],[X1]] + 1.4*Table1[[#This Row],[X2]] + 3.3*Table1[[#This Row],[x3]] + 0.6*Table1[[#This Row],[x4]] + 1*Table1[[#This Row],[x5]]</f>
        <v>#DIV/0!</v>
      </c>
      <c r="W1739" s="23" t="e">
        <f>IF(Table1[[#This Row],[Zscore]]&lt;1.81,1,0)</f>
        <v>#DIV/0!</v>
      </c>
    </row>
    <row r="1740" spans="1:23" ht="26.25" hidden="1" x14ac:dyDescent="0.45">
      <c r="A1740" s="7">
        <v>1734</v>
      </c>
      <c r="B1740" s="5" t="s">
        <v>3479</v>
      </c>
      <c r="C1740" s="6" t="s">
        <v>3480</v>
      </c>
      <c r="D1740" s="6" t="s">
        <v>13</v>
      </c>
      <c r="E1740" s="8">
        <v>388423528867</v>
      </c>
      <c r="F1740" s="8">
        <v>161065173516</v>
      </c>
      <c r="G1740" s="8">
        <v>46230641525</v>
      </c>
      <c r="H1740" s="8">
        <v>22691048093</v>
      </c>
      <c r="I1740" s="8">
        <v>38833225792</v>
      </c>
      <c r="J1740" s="8"/>
      <c r="K1740" s="8">
        <v>60210519306</v>
      </c>
      <c r="L1740" s="8">
        <v>65609418499</v>
      </c>
      <c r="M1740" s="8"/>
      <c r="N1740" s="8"/>
      <c r="O1740" s="8"/>
      <c r="P1740" s="8"/>
      <c r="Q1740" s="18">
        <f>(Table1[[#This Row],[A. TÀI SẢN NGẮN HẠN]]-Table1[[#This Row],[I. Nợ ngắn hạn]])/Table1[[#This Row],[TỔNG CỘNG TÀI SẢN]]</f>
        <v>0.29564257429503055</v>
      </c>
      <c r="R1740" s="18">
        <f>Table1[[#This Row],[- LNST chưa phân phối kỳ này]]/Table1[[#This Row],[TỔNG CỘNG TÀI SẢN]]</f>
        <v>5.8418315077842869E-2</v>
      </c>
      <c r="S1740" s="21">
        <f>Table1[[#This Row],[5. Lợi nhuận gộp về bán hàng và cung cấp dịch vụ]]/Table1[[#This Row],[TỔNG CỘNG TÀI SẢN]]</f>
        <v>9.9976502209516954E-2</v>
      </c>
      <c r="T174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740" s="23">
        <f>Table1[[#This Row],[1. Doanh thu bán hàng và cung cấp dịch vụ ]]/Table1[[#This Row],[TỔNG CỘNG TÀI SẢN]]</f>
        <v>0.16891206022039232</v>
      </c>
      <c r="V1740" s="23" t="e">
        <f>1.2*Table1[[#This Row],[X1]] + 1.4*Table1[[#This Row],[X2]] + 3.3*Table1[[#This Row],[x3]] + 0.6*Table1[[#This Row],[x4]] + 1*Table1[[#This Row],[x5]]</f>
        <v>#DIV/0!</v>
      </c>
      <c r="W1740" s="23" t="e">
        <f>IF(Table1[[#This Row],[Zscore]]&lt;1.81,1,0)</f>
        <v>#DIV/0!</v>
      </c>
    </row>
    <row r="1741" spans="1:23" ht="26.25" hidden="1" x14ac:dyDescent="0.45">
      <c r="A1741" s="7">
        <v>1735</v>
      </c>
      <c r="B1741" s="5" t="s">
        <v>3481</v>
      </c>
      <c r="C1741" s="6" t="s">
        <v>3482</v>
      </c>
      <c r="D1741" s="6" t="s">
        <v>13</v>
      </c>
      <c r="E1741" s="8">
        <v>261421218815</v>
      </c>
      <c r="F1741" s="8">
        <v>189974634332</v>
      </c>
      <c r="G1741" s="8">
        <v>316781208071</v>
      </c>
      <c r="H1741" s="8">
        <v>12421247050</v>
      </c>
      <c r="I1741" s="8">
        <v>3237658518</v>
      </c>
      <c r="J1741" s="8"/>
      <c r="K1741" s="8">
        <v>388000508071</v>
      </c>
      <c r="L1741" s="8">
        <v>37991956161</v>
      </c>
      <c r="M1741" s="8"/>
      <c r="N1741" s="8"/>
      <c r="O1741" s="8"/>
      <c r="P1741" s="8"/>
      <c r="Q1741" s="18">
        <f>(Table1[[#This Row],[A. TÀI SẢN NGẮN HẠN]]-Table1[[#This Row],[I. Nợ ngắn hạn]])/Table1[[#This Row],[TỔNG CỘNG TÀI SẢN]]</f>
        <v>-0.48506611021784435</v>
      </c>
      <c r="R1741" s="18">
        <f>Table1[[#This Row],[- LNST chưa phân phối kỳ này]]/Table1[[#This Row],[TỔNG CỘNG TÀI SẢN]]</f>
        <v>4.7514303185886932E-2</v>
      </c>
      <c r="S1741" s="21">
        <f>Table1[[#This Row],[5. Lợi nhuận gộp về bán hàng và cung cấp dịch vụ]]/Table1[[#This Row],[TỔNG CỘNG TÀI SẢN]]</f>
        <v>1.2384834454815983E-2</v>
      </c>
      <c r="T174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741" s="23">
        <f>Table1[[#This Row],[1. Doanh thu bán hàng và cung cấp dịch vụ ]]/Table1[[#This Row],[TỔNG CỘNG TÀI SẢN]]</f>
        <v>0.14532850980197509</v>
      </c>
      <c r="V1741" s="23" t="e">
        <f>1.2*Table1[[#This Row],[X1]] + 1.4*Table1[[#This Row],[X2]] + 3.3*Table1[[#This Row],[x3]] + 0.6*Table1[[#This Row],[x4]] + 1*Table1[[#This Row],[x5]]</f>
        <v>#DIV/0!</v>
      </c>
      <c r="W1741" s="23" t="e">
        <f>IF(Table1[[#This Row],[Zscore]]&lt;1.81,1,0)</f>
        <v>#DIV/0!</v>
      </c>
    </row>
    <row r="1742" spans="1:23" x14ac:dyDescent="0.45">
      <c r="A1742" s="7">
        <v>1736</v>
      </c>
      <c r="B1742" s="5" t="s">
        <v>3483</v>
      </c>
      <c r="C1742" s="6" t="s">
        <v>3484</v>
      </c>
      <c r="D1742" s="6" t="s">
        <v>18</v>
      </c>
      <c r="E1742" s="8">
        <v>310055555187</v>
      </c>
      <c r="F1742" s="8">
        <v>246647624235</v>
      </c>
      <c r="G1742" s="8">
        <v>80502007722</v>
      </c>
      <c r="H1742" s="8">
        <v>7331467383</v>
      </c>
      <c r="I1742" s="8">
        <v>11074822715</v>
      </c>
      <c r="J1742" s="8"/>
      <c r="K1742" s="8">
        <v>80502007722</v>
      </c>
      <c r="L1742" s="8">
        <v>133879902720</v>
      </c>
      <c r="M1742" s="8">
        <v>120000000000</v>
      </c>
      <c r="N1742" s="8">
        <v>135000000000</v>
      </c>
      <c r="O1742" s="8">
        <v>115000000000</v>
      </c>
      <c r="P1742" s="8">
        <v>130000000000</v>
      </c>
      <c r="Q1742" s="18">
        <f>(Table1[[#This Row],[A. TÀI SẢN NGẮN HẠN]]-Table1[[#This Row],[I. Nợ ngắn hạn]])/Table1[[#This Row],[TỔNG CỘNG TÀI SẢN]]</f>
        <v>0.53585757046924909</v>
      </c>
      <c r="R1742" s="18">
        <f>Table1[[#This Row],[- LNST chưa phân phối kỳ này]]/Table1[[#This Row],[TỔNG CỘNG TÀI SẢN]]</f>
        <v>2.3645657239001128E-2</v>
      </c>
      <c r="S1742" s="21">
        <f>Table1[[#This Row],[5. Lợi nhuận gộp về bán hàng và cung cấp dịch vụ]]/Table1[[#This Row],[TỔNG CỘNG TÀI SẢN]]</f>
        <v>3.5718833382361356E-2</v>
      </c>
      <c r="T174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1.5527563043106485</v>
      </c>
      <c r="U1742" s="23">
        <f>Table1[[#This Row],[1. Doanh thu bán hàng và cung cấp dịch vụ ]]/Table1[[#This Row],[TỔNG CỘNG TÀI SẢN]]</f>
        <v>0.43179327214200264</v>
      </c>
      <c r="V1742" s="23">
        <f>1.2*Table1[[#This Row],[X1]] + 1.4*Table1[[#This Row],[X2]] + 3.3*Table1[[#This Row],[x3]] + 0.6*Table1[[#This Row],[x4]] + 1*Table1[[#This Row],[x5]]</f>
        <v>2.1574522095878845</v>
      </c>
      <c r="W1742" s="23">
        <f>IF(Table1[[#This Row],[Zscore]]&lt;1.81,1,0)</f>
        <v>0</v>
      </c>
    </row>
    <row r="1743" spans="1:23" ht="26.25" x14ac:dyDescent="0.45">
      <c r="A1743" s="7">
        <v>1737</v>
      </c>
      <c r="B1743" s="5" t="s">
        <v>3485</v>
      </c>
      <c r="C1743" s="6" t="s">
        <v>3486</v>
      </c>
      <c r="D1743" s="6" t="s">
        <v>18</v>
      </c>
      <c r="E1743" s="8">
        <v>88881826000000</v>
      </c>
      <c r="F1743" s="6"/>
      <c r="G1743" s="6"/>
      <c r="H1743" s="6"/>
      <c r="I1743" s="6"/>
      <c r="J1743" s="8"/>
      <c r="K1743" s="8">
        <v>82302781000000</v>
      </c>
      <c r="L1743" s="8">
        <v>4731668000000</v>
      </c>
      <c r="M1743" s="8">
        <v>6300000000000</v>
      </c>
      <c r="N1743" s="8">
        <v>6819955657600</v>
      </c>
      <c r="O1743" s="8">
        <v>6950000000000</v>
      </c>
      <c r="P1743" s="8">
        <v>7850000000000</v>
      </c>
      <c r="Q1743" s="18">
        <f>(Table1[[#This Row],[A. TÀI SẢN NGẮN HẠN]]-Table1[[#This Row],[I. Nợ ngắn hạn]])/Table1[[#This Row],[TỔNG CỘNG TÀI SẢN]]</f>
        <v>0</v>
      </c>
      <c r="R1743" s="18">
        <f>Table1[[#This Row],[- LNST chưa phân phối kỳ này]]/Table1[[#This Row],[TỔNG CỘNG TÀI SẢN]]</f>
        <v>0</v>
      </c>
      <c r="S1743" s="21">
        <f>Table1[[#This Row],[5. Lợi nhuận gộp về bán hàng và cung cấp dịch vụ]]/Table1[[#This Row],[TỔNG CỘNG TÀI SẢN]]</f>
        <v>0</v>
      </c>
      <c r="T174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8.4808664173814496E-2</v>
      </c>
      <c r="U1743" s="23">
        <f>Table1[[#This Row],[1. Doanh thu bán hàng và cung cấp dịch vụ ]]/Table1[[#This Row],[TỔNG CỘNG TÀI SẢN]]</f>
        <v>5.3235494959340733E-2</v>
      </c>
      <c r="V1743" s="23">
        <f>1.2*Table1[[#This Row],[X1]] + 1.4*Table1[[#This Row],[X2]] + 3.3*Table1[[#This Row],[x3]] + 0.6*Table1[[#This Row],[x4]] + 1*Table1[[#This Row],[x5]]</f>
        <v>0.10412069346362943</v>
      </c>
      <c r="W1743" s="23">
        <f>IF(Table1[[#This Row],[Zscore]]&lt;1.81,1,0)</f>
        <v>1</v>
      </c>
    </row>
    <row r="1744" spans="1:23" ht="26.25" x14ac:dyDescent="0.45">
      <c r="A1744" s="7">
        <v>1738</v>
      </c>
      <c r="B1744" s="5" t="s">
        <v>3487</v>
      </c>
      <c r="C1744" s="6" t="s">
        <v>3488</v>
      </c>
      <c r="D1744" s="6" t="s">
        <v>21</v>
      </c>
      <c r="E1744" s="8">
        <v>3151673809454</v>
      </c>
      <c r="F1744" s="8">
        <v>2467963474620</v>
      </c>
      <c r="G1744" s="8">
        <v>2130427391497</v>
      </c>
      <c r="H1744" s="8">
        <v>112417798132</v>
      </c>
      <c r="I1744" s="8">
        <v>857395660172</v>
      </c>
      <c r="J1744" s="8"/>
      <c r="K1744" s="8">
        <v>2266333285031</v>
      </c>
      <c r="L1744" s="8">
        <v>4719784406749</v>
      </c>
      <c r="M1744" s="8">
        <v>935258917500</v>
      </c>
      <c r="N1744" s="8">
        <v>811563383250</v>
      </c>
      <c r="O1744" s="8">
        <v>832682133000</v>
      </c>
      <c r="P1744" s="8">
        <v>826648204500</v>
      </c>
      <c r="Q1744" s="18">
        <f>(Table1[[#This Row],[A. TÀI SẢN NGẮN HẠN]]-Table1[[#This Row],[I. Nợ ngắn hạn]])/Table1[[#This Row],[TỔNG CỘNG TÀI SẢN]]</f>
        <v>0.10709740396055618</v>
      </c>
      <c r="R1744" s="18">
        <f>Table1[[#This Row],[- LNST chưa phân phối kỳ này]]/Table1[[#This Row],[TỔNG CỘNG TÀI SẢN]]</f>
        <v>3.5669236389496602E-2</v>
      </c>
      <c r="S1744" s="21">
        <f>Table1[[#This Row],[5. Lợi nhuận gộp về bán hàng và cung cấp dịch vụ]]/Table1[[#This Row],[TỔNG CỘNG TÀI SẢN]]</f>
        <v>0.27204454268081008</v>
      </c>
      <c r="T174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0.37573386279364124</v>
      </c>
      <c r="U1744" s="23">
        <f>Table1[[#This Row],[1. Doanh thu bán hàng và cung cấp dịch vụ ]]/Table1[[#This Row],[TỔNG CỘNG TÀI SẢN]]</f>
        <v>1.4975485066351653</v>
      </c>
      <c r="V1744" s="23">
        <f>1.2*Table1[[#This Row],[X1]] + 1.4*Table1[[#This Row],[X2]] + 3.3*Table1[[#This Row],[x3]] + 0.6*Table1[[#This Row],[x4]] + 1*Table1[[#This Row],[x5]]</f>
        <v>2.7991896308559858</v>
      </c>
      <c r="W1744" s="23">
        <f>IF(Table1[[#This Row],[Zscore]]&lt;1.81,1,0)</f>
        <v>0</v>
      </c>
    </row>
    <row r="1745" spans="1:23" ht="26.25" x14ac:dyDescent="0.45">
      <c r="A1745" s="7">
        <v>1739</v>
      </c>
      <c r="B1745" s="5" t="s">
        <v>3489</v>
      </c>
      <c r="C1745" s="6" t="s">
        <v>3490</v>
      </c>
      <c r="D1745" s="6" t="s">
        <v>21</v>
      </c>
      <c r="E1745" s="8">
        <v>3574790891188</v>
      </c>
      <c r="F1745" s="8">
        <v>3203207292329</v>
      </c>
      <c r="G1745" s="8">
        <v>2099217966737</v>
      </c>
      <c r="H1745" s="8">
        <v>156351277967</v>
      </c>
      <c r="I1745" s="8">
        <v>667796776084</v>
      </c>
      <c r="J1745" s="8"/>
      <c r="K1745" s="8">
        <v>2099305966737</v>
      </c>
      <c r="L1745" s="8">
        <v>11452602860153</v>
      </c>
      <c r="M1745" s="8">
        <v>3034267582150</v>
      </c>
      <c r="N1745" s="8">
        <v>2336336539600</v>
      </c>
      <c r="O1745" s="8">
        <v>2613529010400</v>
      </c>
      <c r="P1745" s="8">
        <v>2425434119500</v>
      </c>
      <c r="Q1745" s="18">
        <f>(Table1[[#This Row],[A. TÀI SẢN NGẮN HẠN]]-Table1[[#This Row],[I. Nợ ngắn hạn]])/Table1[[#This Row],[TỔNG CỘNG TÀI SẢN]]</f>
        <v>0.30882626682119424</v>
      </c>
      <c r="R1745" s="18">
        <f>Table1[[#This Row],[- LNST chưa phân phối kỳ này]]/Table1[[#This Row],[TỔNG CỘNG TÀI SẢN]]</f>
        <v>4.3737181481695066E-2</v>
      </c>
      <c r="S1745" s="21">
        <f>Table1[[#This Row],[5. Lợi nhuận gộp về bán hàng và cung cấp dịch vụ]]/Table1[[#This Row],[TỔNG CỘNG TÀI SẢN]]</f>
        <v>0.1868072277262833</v>
      </c>
      <c r="T174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1.2396438890503694</v>
      </c>
      <c r="U1745" s="23">
        <f>Table1[[#This Row],[1. Doanh thu bán hàng và cung cấp dịch vụ ]]/Table1[[#This Row],[TỔNG CỘNG TÀI SẢN]]</f>
        <v>3.2037126670497331</v>
      </c>
      <c r="V1745" s="23">
        <f>1.2*Table1[[#This Row],[X1]] + 1.4*Table1[[#This Row],[X2]] + 3.3*Table1[[#This Row],[x3]] + 0.6*Table1[[#This Row],[x4]] + 1*Table1[[#This Row],[x5]]</f>
        <v>4.9957864262364957</v>
      </c>
      <c r="W1745" s="23">
        <f>IF(Table1[[#This Row],[Zscore]]&lt;1.81,1,0)</f>
        <v>0</v>
      </c>
    </row>
    <row r="1746" spans="1:23" ht="26.25" x14ac:dyDescent="0.45">
      <c r="A1746" s="7">
        <v>1740</v>
      </c>
      <c r="B1746" s="5" t="s">
        <v>3491</v>
      </c>
      <c r="C1746" s="6" t="s">
        <v>3492</v>
      </c>
      <c r="D1746" s="6" t="s">
        <v>21</v>
      </c>
      <c r="E1746" s="8">
        <v>9227720831852</v>
      </c>
      <c r="F1746" s="8">
        <v>7555986302605</v>
      </c>
      <c r="G1746" s="8">
        <v>7218579849057</v>
      </c>
      <c r="H1746" s="6"/>
      <c r="I1746" s="8">
        <v>838591252074</v>
      </c>
      <c r="J1746" s="8"/>
      <c r="K1746" s="8">
        <v>7274517991443</v>
      </c>
      <c r="L1746" s="8">
        <v>4788242489880</v>
      </c>
      <c r="M1746" s="8">
        <v>2589440186600</v>
      </c>
      <c r="N1746" s="8">
        <v>2217935920000</v>
      </c>
      <c r="O1746" s="8">
        <v>2301108517000</v>
      </c>
      <c r="P1746" s="8">
        <v>2262294638400</v>
      </c>
      <c r="Q1746" s="18">
        <f>(Table1[[#This Row],[A. TÀI SẢN NGẮN HẠN]]-Table1[[#This Row],[I. Nợ ngắn hạn]])/Table1[[#This Row],[TỔNG CỘNG TÀI SẢN]]</f>
        <v>3.6564440959608292E-2</v>
      </c>
      <c r="R1746" s="18">
        <f>Table1[[#This Row],[- LNST chưa phân phối kỳ này]]/Table1[[#This Row],[TỔNG CỘNG TÀI SẢN]]</f>
        <v>0</v>
      </c>
      <c r="S1746" s="21">
        <f>Table1[[#This Row],[5. Lợi nhuận gộp về bán hàng và cung cấp dịch vụ]]/Table1[[#This Row],[TỔNG CỘNG TÀI SẢN]]</f>
        <v>9.0877397285294231E-2</v>
      </c>
      <c r="T174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0.32204124290512537</v>
      </c>
      <c r="U1746" s="23">
        <f>Table1[[#This Row],[1. Doanh thu bán hàng và cung cấp dịch vụ ]]/Table1[[#This Row],[TỔNG CỘNG TÀI SẢN]]</f>
        <v>0.51889763215983653</v>
      </c>
      <c r="V1746" s="23">
        <f>1.2*Table1[[#This Row],[X1]] + 1.4*Table1[[#This Row],[X2]] + 3.3*Table1[[#This Row],[x3]] + 0.6*Table1[[#This Row],[x4]] + 1*Table1[[#This Row],[x5]]</f>
        <v>1.0558951180959126</v>
      </c>
      <c r="W1746" s="23">
        <f>IF(Table1[[#This Row],[Zscore]]&lt;1.81,1,0)</f>
        <v>1</v>
      </c>
    </row>
    <row r="1747" spans="1:23" x14ac:dyDescent="0.45">
      <c r="A1747" s="7">
        <v>1741</v>
      </c>
      <c r="B1747" s="5" t="s">
        <v>3493</v>
      </c>
      <c r="C1747" s="6" t="s">
        <v>3494</v>
      </c>
      <c r="D1747" s="6" t="s">
        <v>36</v>
      </c>
      <c r="E1747" s="8">
        <v>172952266917</v>
      </c>
      <c r="F1747" s="8">
        <v>112387653100</v>
      </c>
      <c r="G1747" s="8">
        <v>63224912332</v>
      </c>
      <c r="H1747" s="8">
        <v>1886273838</v>
      </c>
      <c r="I1747" s="8">
        <v>4523412460</v>
      </c>
      <c r="J1747" s="8"/>
      <c r="K1747" s="8">
        <v>63279049132</v>
      </c>
      <c r="L1747" s="8">
        <v>126408647638</v>
      </c>
      <c r="M1747" s="8">
        <v>115471279800</v>
      </c>
      <c r="N1747" s="8">
        <v>59628611700</v>
      </c>
      <c r="O1747" s="8">
        <v>54896182200</v>
      </c>
      <c r="P1747" s="8">
        <v>53003210400</v>
      </c>
      <c r="Q1747" s="18">
        <f>(Table1[[#This Row],[A. TÀI SẢN NGẮN HẠN]]-Table1[[#This Row],[I. Nợ ngắn hạn]])/Table1[[#This Row],[TỔNG CỘNG TÀI SẢN]]</f>
        <v>0.28425612248027521</v>
      </c>
      <c r="R1747" s="18">
        <f>Table1[[#This Row],[- LNST chưa phân phối kỳ này]]/Table1[[#This Row],[TỔNG CỘNG TÀI SẢN]]</f>
        <v>1.0906326188284222E-2</v>
      </c>
      <c r="S1747" s="21">
        <f>Table1[[#This Row],[5. Lợi nhuận gộp về bán hàng và cung cấp dịch vụ]]/Table1[[#This Row],[TỔNG CỘNG TÀI SẢN]]</f>
        <v>2.6154109111335273E-2</v>
      </c>
      <c r="T174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1.1180607483120675</v>
      </c>
      <c r="U1747" s="23">
        <f>Table1[[#This Row],[1. Doanh thu bán hàng và cung cấp dịch vụ ]]/Table1[[#This Row],[TỔNG CỘNG TÀI SẢN]]</f>
        <v>0.73088748642227197</v>
      </c>
      <c r="V1747" s="23">
        <f>1.2*Table1[[#This Row],[X1]] + 1.4*Table1[[#This Row],[X2]] + 3.3*Table1[[#This Row],[x3]] + 0.6*Table1[[#This Row],[x4]] + 1*Table1[[#This Row],[x5]]</f>
        <v>1.8444086991168471</v>
      </c>
      <c r="W1747" s="23">
        <f>IF(Table1[[#This Row],[Zscore]]&lt;1.81,1,0)</f>
        <v>0</v>
      </c>
    </row>
    <row r="1748" spans="1:23" x14ac:dyDescent="0.45">
      <c r="A1748" s="7">
        <v>1742</v>
      </c>
      <c r="B1748" s="5" t="s">
        <v>3495</v>
      </c>
      <c r="C1748" s="6" t="s">
        <v>3496</v>
      </c>
      <c r="D1748" s="6" t="s">
        <v>36</v>
      </c>
      <c r="E1748" s="8">
        <v>2554880334447</v>
      </c>
      <c r="F1748" s="8">
        <v>1521580149456</v>
      </c>
      <c r="G1748" s="8">
        <v>1424247448617</v>
      </c>
      <c r="H1748" s="8">
        <v>108549026191</v>
      </c>
      <c r="I1748" s="8">
        <v>921908220526</v>
      </c>
      <c r="J1748" s="8"/>
      <c r="K1748" s="8">
        <v>1536133642046</v>
      </c>
      <c r="L1748" s="8">
        <v>6393844699896</v>
      </c>
      <c r="M1748" s="8">
        <v>1549962614000</v>
      </c>
      <c r="N1748" s="8">
        <v>2644936202600</v>
      </c>
      <c r="O1748" s="8">
        <v>1554962493400</v>
      </c>
      <c r="P1748" s="8">
        <v>2249945730000</v>
      </c>
      <c r="Q1748" s="18">
        <f>(Table1[[#This Row],[A. TÀI SẢN NGẮN HẠN]]-Table1[[#This Row],[I. Nợ ngắn hạn]])/Table1[[#This Row],[TỔNG CỘNG TÀI SẢN]]</f>
        <v>3.8096774837819369E-2</v>
      </c>
      <c r="R1748" s="18">
        <f>Table1[[#This Row],[- LNST chưa phân phối kỳ này]]/Table1[[#This Row],[TỔNG CỘNG TÀI SẢN]]</f>
        <v>4.2486931668561018E-2</v>
      </c>
      <c r="S1748" s="21">
        <f>Table1[[#This Row],[5. Lợi nhuận gộp về bán hàng và cung cấp dịch vụ]]/Table1[[#This Row],[TỔNG CỘNG TÀI SẢN]]</f>
        <v>0.360842035572498</v>
      </c>
      <c r="T174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1.301938649905638</v>
      </c>
      <c r="U1748" s="23">
        <f>Table1[[#This Row],[1. Doanh thu bán hàng và cung cấp dịch vụ ]]/Table1[[#This Row],[TỔNG CỘNG TÀI SẢN]]</f>
        <v>2.5026004598684808</v>
      </c>
      <c r="V1748" s="23">
        <f>1.2*Table1[[#This Row],[X1]] + 1.4*Table1[[#This Row],[X2]] + 3.3*Table1[[#This Row],[x3]] + 0.6*Table1[[#This Row],[x4]] + 1*Table1[[#This Row],[x5]]</f>
        <v>4.5797402013424753</v>
      </c>
      <c r="W1748" s="23">
        <f>IF(Table1[[#This Row],[Zscore]]&lt;1.81,1,0)</f>
        <v>0</v>
      </c>
    </row>
    <row r="1749" spans="1:23" x14ac:dyDescent="0.45">
      <c r="A1749" s="7">
        <v>1743</v>
      </c>
      <c r="B1749" s="5" t="s">
        <v>3497</v>
      </c>
      <c r="C1749" s="6" t="s">
        <v>3498</v>
      </c>
      <c r="D1749" s="6" t="s">
        <v>36</v>
      </c>
      <c r="E1749" s="8">
        <v>80263756627</v>
      </c>
      <c r="F1749" s="8">
        <v>55613190937</v>
      </c>
      <c r="G1749" s="8">
        <v>27661990961</v>
      </c>
      <c r="H1749" s="8">
        <v>-198530616</v>
      </c>
      <c r="I1749" s="8">
        <v>19108195575</v>
      </c>
      <c r="J1749" s="8"/>
      <c r="K1749" s="8">
        <v>31766684656</v>
      </c>
      <c r="L1749" s="8">
        <v>51030452999</v>
      </c>
      <c r="M1749" s="8">
        <v>97038910500</v>
      </c>
      <c r="N1749" s="8">
        <v>69313507500</v>
      </c>
      <c r="O1749" s="8">
        <v>85024569200</v>
      </c>
      <c r="P1749" s="8">
        <v>75782768200</v>
      </c>
      <c r="Q1749" s="18">
        <f>(Table1[[#This Row],[A. TÀI SẢN NGẮN HẠN]]-Table1[[#This Row],[I. Nợ ngắn hạn]])/Table1[[#This Row],[TỔNG CỘNG TÀI SẢN]]</f>
        <v>0.34824186096713883</v>
      </c>
      <c r="R1749" s="18">
        <f>Table1[[#This Row],[- LNST chưa phân phối kỳ này]]/Table1[[#This Row],[TỔNG CỘNG TÀI SẢN]]</f>
        <v>-2.4734777481523473E-3</v>
      </c>
      <c r="S1749" s="21">
        <f>Table1[[#This Row],[5. Lợi nhuận gộp về bán hàng và cung cấp dịch vụ]]/Table1[[#This Row],[TỔNG CỘNG TÀI SẢN]]</f>
        <v>0.23806754602577593</v>
      </c>
      <c r="T174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2.5747080545451806</v>
      </c>
      <c r="U1749" s="23">
        <f>Table1[[#This Row],[1. Doanh thu bán hàng và cung cấp dịch vụ ]]/Table1[[#This Row],[TỔNG CỘNG TÀI SẢN]]</f>
        <v>0.63578450777164119</v>
      </c>
      <c r="V1749" s="23">
        <f>1.2*Table1[[#This Row],[X1]] + 1.4*Table1[[#This Row],[X2]] + 3.3*Table1[[#This Row],[x3]] + 0.6*Table1[[#This Row],[x4]] + 1*Table1[[#This Row],[x5]]</f>
        <v>3.3806596066969634</v>
      </c>
      <c r="W1749" s="23">
        <f>IF(Table1[[#This Row],[Zscore]]&lt;1.81,1,0)</f>
        <v>0</v>
      </c>
    </row>
    <row r="1750" spans="1:23" x14ac:dyDescent="0.45">
      <c r="A1750" s="7">
        <v>1744</v>
      </c>
      <c r="B1750" s="5" t="s">
        <v>3499</v>
      </c>
      <c r="C1750" s="6" t="s">
        <v>3500</v>
      </c>
      <c r="D1750" s="6" t="s">
        <v>21</v>
      </c>
      <c r="E1750" s="8">
        <v>54988833202810</v>
      </c>
      <c r="F1750" s="8">
        <v>20809635569278</v>
      </c>
      <c r="G1750" s="8">
        <v>14356576249957</v>
      </c>
      <c r="H1750" s="8">
        <v>2168728870737</v>
      </c>
      <c r="I1750" s="8">
        <v>6935031173443</v>
      </c>
      <c r="J1750" s="8"/>
      <c r="K1750" s="8">
        <v>37115335558482</v>
      </c>
      <c r="L1750" s="8">
        <v>43573367459822</v>
      </c>
      <c r="M1750" s="8">
        <v>22188493908500</v>
      </c>
      <c r="N1750" s="8">
        <v>21851453494700</v>
      </c>
      <c r="O1750" s="8">
        <v>21233546069400</v>
      </c>
      <c r="P1750" s="8">
        <v>23592828966000</v>
      </c>
      <c r="Q1750" s="18">
        <f>(Table1[[#This Row],[A. TÀI SẢN NGẮN HẠN]]-Table1[[#This Row],[I. Nợ ngắn hạn]])/Table1[[#This Row],[TỔNG CỘNG TÀI SẢN]]</f>
        <v>0.11735217758705307</v>
      </c>
      <c r="R1750" s="18">
        <f>Table1[[#This Row],[- LNST chưa phân phối kỳ này]]/Table1[[#This Row],[TỔNG CỘNG TÀI SẢN]]</f>
        <v>3.943944150875664E-2</v>
      </c>
      <c r="S1750" s="21">
        <f>Table1[[#This Row],[5. Lợi nhuận gộp về bán hàng và cung cấp dịch vụ]]/Table1[[#This Row],[TỔNG CỘNG TÀI SẢN]]</f>
        <v>0.1261170817694057</v>
      </c>
      <c r="T175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0.59858223764793161</v>
      </c>
      <c r="U1750" s="23">
        <f>Table1[[#This Row],[1. Doanh thu bán hàng và cung cấp dịch vụ ]]/Table1[[#This Row],[TỔNG CỘNG TÀI SẢN]]</f>
        <v>0.79240392861427988</v>
      </c>
      <c r="V1750" s="23">
        <f>1.2*Table1[[#This Row],[X1]] + 1.4*Table1[[#This Row],[X2]] + 3.3*Table1[[#This Row],[x3]] + 0.6*Table1[[#This Row],[x4]] + 1*Table1[[#This Row],[x5]]</f>
        <v>1.7637774722588007</v>
      </c>
      <c r="W1750" s="23">
        <f>IF(Table1[[#This Row],[Zscore]]&lt;1.81,1,0)</f>
        <v>1</v>
      </c>
    </row>
    <row r="1751" spans="1:23" ht="26.25" hidden="1" x14ac:dyDescent="0.45">
      <c r="A1751" s="7">
        <v>1745</v>
      </c>
      <c r="B1751" s="5" t="s">
        <v>3501</v>
      </c>
      <c r="C1751" s="6" t="s">
        <v>3502</v>
      </c>
      <c r="D1751" s="6" t="s">
        <v>13</v>
      </c>
      <c r="E1751" s="6"/>
      <c r="F1751" s="6"/>
      <c r="G1751" s="6"/>
      <c r="H1751" s="6"/>
      <c r="I1751" s="6"/>
      <c r="J1751" s="8"/>
      <c r="K1751" s="6"/>
      <c r="L1751" s="6"/>
      <c r="M1751" s="8"/>
      <c r="N1751" s="8"/>
      <c r="O1751" s="8"/>
      <c r="P1751" s="8"/>
      <c r="Q1751" s="18" t="e">
        <f>(Table1[[#This Row],[A. TÀI SẢN NGẮN HẠN]]-Table1[[#This Row],[I. Nợ ngắn hạn]])/Table1[[#This Row],[TỔNG CỘNG TÀI SẢN]]</f>
        <v>#DIV/0!</v>
      </c>
      <c r="R1751" s="18" t="e">
        <f>Table1[[#This Row],[- LNST chưa phân phối kỳ này]]/Table1[[#This Row],[TỔNG CỘNG TÀI SẢN]]</f>
        <v>#DIV/0!</v>
      </c>
      <c r="S1751" s="21" t="e">
        <f>Table1[[#This Row],[5. Lợi nhuận gộp về bán hàng và cung cấp dịch vụ]]/Table1[[#This Row],[TỔNG CỘNG TÀI SẢN]]</f>
        <v>#DIV/0!</v>
      </c>
      <c r="T175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751" s="23" t="e">
        <f>Table1[[#This Row],[1. Doanh thu bán hàng và cung cấp dịch vụ ]]/Table1[[#This Row],[TỔNG CỘNG TÀI SẢN]]</f>
        <v>#DIV/0!</v>
      </c>
      <c r="V1751" s="23" t="e">
        <f>1.2*Table1[[#This Row],[X1]] + 1.4*Table1[[#This Row],[X2]] + 3.3*Table1[[#This Row],[x3]] + 0.6*Table1[[#This Row],[x4]] + 1*Table1[[#This Row],[x5]]</f>
        <v>#DIV/0!</v>
      </c>
      <c r="W1751" s="23" t="e">
        <f>IF(Table1[[#This Row],[Zscore]]&lt;1.81,1,0)</f>
        <v>#DIV/0!</v>
      </c>
    </row>
    <row r="1752" spans="1:23" hidden="1" x14ac:dyDescent="0.45">
      <c r="A1752" s="7">
        <v>1746</v>
      </c>
      <c r="B1752" s="5" t="s">
        <v>3503</v>
      </c>
      <c r="C1752" s="6" t="s">
        <v>3504</v>
      </c>
      <c r="D1752" s="6" t="s">
        <v>13</v>
      </c>
      <c r="E1752" s="6"/>
      <c r="F1752" s="6"/>
      <c r="G1752" s="6"/>
      <c r="H1752" s="6"/>
      <c r="I1752" s="6"/>
      <c r="J1752" s="8"/>
      <c r="K1752" s="6"/>
      <c r="L1752" s="6"/>
      <c r="M1752" s="8"/>
      <c r="N1752" s="8"/>
      <c r="O1752" s="8"/>
      <c r="P1752" s="8"/>
      <c r="Q1752" s="18" t="e">
        <f>(Table1[[#This Row],[A. TÀI SẢN NGẮN HẠN]]-Table1[[#This Row],[I. Nợ ngắn hạn]])/Table1[[#This Row],[TỔNG CỘNG TÀI SẢN]]</f>
        <v>#DIV/0!</v>
      </c>
      <c r="R1752" s="18" t="e">
        <f>Table1[[#This Row],[- LNST chưa phân phối kỳ này]]/Table1[[#This Row],[TỔNG CỘNG TÀI SẢN]]</f>
        <v>#DIV/0!</v>
      </c>
      <c r="S1752" s="21" t="e">
        <f>Table1[[#This Row],[5. Lợi nhuận gộp về bán hàng và cung cấp dịch vụ]]/Table1[[#This Row],[TỔNG CỘNG TÀI SẢN]]</f>
        <v>#DIV/0!</v>
      </c>
      <c r="T175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752" s="23" t="e">
        <f>Table1[[#This Row],[1. Doanh thu bán hàng và cung cấp dịch vụ ]]/Table1[[#This Row],[TỔNG CỘNG TÀI SẢN]]</f>
        <v>#DIV/0!</v>
      </c>
      <c r="V1752" s="23" t="e">
        <f>1.2*Table1[[#This Row],[X1]] + 1.4*Table1[[#This Row],[X2]] + 3.3*Table1[[#This Row],[x3]] + 0.6*Table1[[#This Row],[x4]] + 1*Table1[[#This Row],[x5]]</f>
        <v>#DIV/0!</v>
      </c>
      <c r="W1752" s="23" t="e">
        <f>IF(Table1[[#This Row],[Zscore]]&lt;1.81,1,0)</f>
        <v>#DIV/0!</v>
      </c>
    </row>
    <row r="1753" spans="1:23" ht="26.25" x14ac:dyDescent="0.45">
      <c r="A1753" s="7">
        <v>1747</v>
      </c>
      <c r="B1753" s="5" t="s">
        <v>3505</v>
      </c>
      <c r="C1753" s="6" t="s">
        <v>3506</v>
      </c>
      <c r="D1753" s="6" t="s">
        <v>21</v>
      </c>
      <c r="E1753" s="8">
        <v>3731692513449</v>
      </c>
      <c r="F1753" s="8">
        <v>3063256897219</v>
      </c>
      <c r="G1753" s="8">
        <v>2944151938704</v>
      </c>
      <c r="H1753" s="8">
        <v>22400041942</v>
      </c>
      <c r="I1753" s="8">
        <v>117735130845</v>
      </c>
      <c r="J1753" s="8"/>
      <c r="K1753" s="8">
        <v>3047649104529</v>
      </c>
      <c r="L1753" s="8">
        <v>1535832263012</v>
      </c>
      <c r="M1753" s="8">
        <v>275709682880</v>
      </c>
      <c r="N1753" s="8">
        <v>249861900110</v>
      </c>
      <c r="O1753" s="8">
        <v>255943731350</v>
      </c>
      <c r="P1753" s="8">
        <v>289393803170</v>
      </c>
      <c r="Q1753" s="18">
        <f>(Table1[[#This Row],[A. TÀI SẢN NGẮN HẠN]]-Table1[[#This Row],[I. Nợ ngắn hạn]])/Table1[[#This Row],[TỔNG CỘNG TÀI SẢN]]</f>
        <v>3.1917141641693778E-2</v>
      </c>
      <c r="R1753" s="18">
        <f>Table1[[#This Row],[- LNST chưa phân phối kỳ này]]/Table1[[#This Row],[TỔNG CỘNG TÀI SẢN]]</f>
        <v>6.0026494308602248E-3</v>
      </c>
      <c r="S1753" s="21">
        <f>Table1[[#This Row],[5. Lợi nhuận gộp về bán hàng và cung cấp dịch vụ]]/Table1[[#This Row],[TỔNG CỘNG TÀI SẢN]]</f>
        <v>3.1550062182423448E-2</v>
      </c>
      <c r="T175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8.7847147159966762E-2</v>
      </c>
      <c r="U1753" s="23">
        <f>Table1[[#This Row],[1. Doanh thu bán hàng và cung cấp dịch vụ ]]/Table1[[#This Row],[TỔNG CỘNG TÀI SẢN]]</f>
        <v>0.41156452667974885</v>
      </c>
      <c r="V1753" s="23">
        <f>1.2*Table1[[#This Row],[X1]] + 1.4*Table1[[#This Row],[X2]] + 3.3*Table1[[#This Row],[x3]] + 0.6*Table1[[#This Row],[x4]] + 1*Table1[[#This Row],[x5]]</f>
        <v>0.6150922993509631</v>
      </c>
      <c r="W1753" s="23">
        <f>IF(Table1[[#This Row],[Zscore]]&lt;1.81,1,0)</f>
        <v>1</v>
      </c>
    </row>
    <row r="1754" spans="1:23" hidden="1" x14ac:dyDescent="0.45">
      <c r="A1754" s="7">
        <v>1748</v>
      </c>
      <c r="B1754" s="5" t="s">
        <v>3507</v>
      </c>
      <c r="C1754" s="6" t="s">
        <v>3508</v>
      </c>
      <c r="D1754" s="6" t="s">
        <v>13</v>
      </c>
      <c r="E1754" s="6"/>
      <c r="F1754" s="6"/>
      <c r="G1754" s="6"/>
      <c r="H1754" s="6"/>
      <c r="I1754" s="6"/>
      <c r="J1754" s="8"/>
      <c r="K1754" s="6"/>
      <c r="L1754" s="6"/>
      <c r="M1754" s="8"/>
      <c r="N1754" s="8"/>
      <c r="O1754" s="8"/>
      <c r="P1754" s="8"/>
      <c r="Q1754" s="18" t="e">
        <f>(Table1[[#This Row],[A. TÀI SẢN NGẮN HẠN]]-Table1[[#This Row],[I. Nợ ngắn hạn]])/Table1[[#This Row],[TỔNG CỘNG TÀI SẢN]]</f>
        <v>#DIV/0!</v>
      </c>
      <c r="R1754" s="18" t="e">
        <f>Table1[[#This Row],[- LNST chưa phân phối kỳ này]]/Table1[[#This Row],[TỔNG CỘNG TÀI SẢN]]</f>
        <v>#DIV/0!</v>
      </c>
      <c r="S1754" s="21" t="e">
        <f>Table1[[#This Row],[5. Lợi nhuận gộp về bán hàng và cung cấp dịch vụ]]/Table1[[#This Row],[TỔNG CỘNG TÀI SẢN]]</f>
        <v>#DIV/0!</v>
      </c>
      <c r="T175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754" s="23" t="e">
        <f>Table1[[#This Row],[1. Doanh thu bán hàng và cung cấp dịch vụ ]]/Table1[[#This Row],[TỔNG CỘNG TÀI SẢN]]</f>
        <v>#DIV/0!</v>
      </c>
      <c r="V1754" s="23" t="e">
        <f>1.2*Table1[[#This Row],[X1]] + 1.4*Table1[[#This Row],[X2]] + 3.3*Table1[[#This Row],[x3]] + 0.6*Table1[[#This Row],[x4]] + 1*Table1[[#This Row],[x5]]</f>
        <v>#DIV/0!</v>
      </c>
      <c r="W1754" s="23" t="e">
        <f>IF(Table1[[#This Row],[Zscore]]&lt;1.81,1,0)</f>
        <v>#DIV/0!</v>
      </c>
    </row>
    <row r="1755" spans="1:23" x14ac:dyDescent="0.45">
      <c r="A1755" s="7">
        <v>1749</v>
      </c>
      <c r="B1755" s="5" t="s">
        <v>3509</v>
      </c>
      <c r="C1755" s="6" t="s">
        <v>3510</v>
      </c>
      <c r="D1755" s="6" t="s">
        <v>18</v>
      </c>
      <c r="E1755" s="8">
        <v>492539970059</v>
      </c>
      <c r="F1755" s="8">
        <v>428413659071</v>
      </c>
      <c r="G1755" s="8">
        <v>227273285876</v>
      </c>
      <c r="H1755" s="8">
        <v>38383617573</v>
      </c>
      <c r="I1755" s="8">
        <v>-41127347936</v>
      </c>
      <c r="J1755" s="8"/>
      <c r="K1755" s="8">
        <v>227273285876</v>
      </c>
      <c r="L1755" s="8">
        <v>17982581647</v>
      </c>
      <c r="M1755" s="8">
        <v>112220000000</v>
      </c>
      <c r="N1755" s="8">
        <v>95930000000</v>
      </c>
      <c r="O1755" s="8">
        <v>92310000000</v>
      </c>
      <c r="P1755" s="8">
        <v>112220000000</v>
      </c>
      <c r="Q1755" s="18">
        <f>(Table1[[#This Row],[A. TÀI SẢN NGẮN HẠN]]-Table1[[#This Row],[I. Nợ ngắn hạn]])/Table1[[#This Row],[TỔNG CỘNG TÀI SẢN]]</f>
        <v>0.40837370654589911</v>
      </c>
      <c r="R1755" s="18">
        <f>Table1[[#This Row],[- LNST chưa phân phối kỳ này]]/Table1[[#This Row],[TỔNG CỘNG TÀI SẢN]]</f>
        <v>7.7929954737281801E-2</v>
      </c>
      <c r="S1755" s="21">
        <f>Table1[[#This Row],[5. Lợi nhuận gộp về bán hàng và cung cấp dịch vụ]]/Table1[[#This Row],[TỔNG CỘNG TÀI SẢN]]</f>
        <v>-8.3500528761297224E-2</v>
      </c>
      <c r="T175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0.45394688426465313</v>
      </c>
      <c r="U1755" s="23">
        <f>Table1[[#This Row],[1. Doanh thu bán hàng và cung cấp dịch vụ ]]/Table1[[#This Row],[TỔNG CỘNG TÀI SẢN]]</f>
        <v>3.650989308511534E-2</v>
      </c>
      <c r="V1755" s="23">
        <f>1.2*Table1[[#This Row],[X1]] + 1.4*Table1[[#This Row],[X2]] + 3.3*Table1[[#This Row],[x3]] + 0.6*Table1[[#This Row],[x4]] + 1*Table1[[#This Row],[x5]]</f>
        <v>0.63247666321889984</v>
      </c>
      <c r="W1755" s="23">
        <f>IF(Table1[[#This Row],[Zscore]]&lt;1.81,1,0)</f>
        <v>1</v>
      </c>
    </row>
    <row r="1756" spans="1:23" hidden="1" x14ac:dyDescent="0.45">
      <c r="A1756" s="7">
        <v>1750</v>
      </c>
      <c r="B1756" s="5" t="s">
        <v>3511</v>
      </c>
      <c r="C1756" s="6" t="s">
        <v>3512</v>
      </c>
      <c r="D1756" s="6" t="s">
        <v>13</v>
      </c>
      <c r="E1756" s="6"/>
      <c r="F1756" s="6"/>
      <c r="G1756" s="6"/>
      <c r="H1756" s="6"/>
      <c r="I1756" s="6"/>
      <c r="J1756" s="8"/>
      <c r="K1756" s="6"/>
      <c r="L1756" s="6"/>
      <c r="M1756" s="8"/>
      <c r="N1756" s="8"/>
      <c r="O1756" s="8"/>
      <c r="P1756" s="8"/>
      <c r="Q1756" s="18" t="e">
        <f>(Table1[[#This Row],[A. TÀI SẢN NGẮN HẠN]]-Table1[[#This Row],[I. Nợ ngắn hạn]])/Table1[[#This Row],[TỔNG CỘNG TÀI SẢN]]</f>
        <v>#DIV/0!</v>
      </c>
      <c r="R1756" s="18" t="e">
        <f>Table1[[#This Row],[- LNST chưa phân phối kỳ này]]/Table1[[#This Row],[TỔNG CỘNG TÀI SẢN]]</f>
        <v>#DIV/0!</v>
      </c>
      <c r="S1756" s="21" t="e">
        <f>Table1[[#This Row],[5. Lợi nhuận gộp về bán hàng và cung cấp dịch vụ]]/Table1[[#This Row],[TỔNG CỘNG TÀI SẢN]]</f>
        <v>#DIV/0!</v>
      </c>
      <c r="T175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756" s="23" t="e">
        <f>Table1[[#This Row],[1. Doanh thu bán hàng và cung cấp dịch vụ ]]/Table1[[#This Row],[TỔNG CỘNG TÀI SẢN]]</f>
        <v>#DIV/0!</v>
      </c>
      <c r="V1756" s="23" t="e">
        <f>1.2*Table1[[#This Row],[X1]] + 1.4*Table1[[#This Row],[X2]] + 3.3*Table1[[#This Row],[x3]] + 0.6*Table1[[#This Row],[x4]] + 1*Table1[[#This Row],[x5]]</f>
        <v>#DIV/0!</v>
      </c>
      <c r="W1756" s="23" t="e">
        <f>IF(Table1[[#This Row],[Zscore]]&lt;1.81,1,0)</f>
        <v>#DIV/0!</v>
      </c>
    </row>
    <row r="1757" spans="1:23" hidden="1" x14ac:dyDescent="0.45">
      <c r="A1757" s="7">
        <v>1751</v>
      </c>
      <c r="B1757" s="5" t="s">
        <v>3513</v>
      </c>
      <c r="C1757" s="6" t="s">
        <v>3514</v>
      </c>
      <c r="D1757" s="6" t="s">
        <v>13</v>
      </c>
      <c r="E1757" s="6"/>
      <c r="F1757" s="6"/>
      <c r="G1757" s="6"/>
      <c r="H1757" s="6"/>
      <c r="I1757" s="6"/>
      <c r="J1757" s="8"/>
      <c r="K1757" s="6"/>
      <c r="L1757" s="6"/>
      <c r="M1757" s="8"/>
      <c r="N1757" s="8"/>
      <c r="O1757" s="8"/>
      <c r="P1757" s="8"/>
      <c r="Q1757" s="18" t="e">
        <f>(Table1[[#This Row],[A. TÀI SẢN NGẮN HẠN]]-Table1[[#This Row],[I. Nợ ngắn hạn]])/Table1[[#This Row],[TỔNG CỘNG TÀI SẢN]]</f>
        <v>#DIV/0!</v>
      </c>
      <c r="R1757" s="18" t="e">
        <f>Table1[[#This Row],[- LNST chưa phân phối kỳ này]]/Table1[[#This Row],[TỔNG CỘNG TÀI SẢN]]</f>
        <v>#DIV/0!</v>
      </c>
      <c r="S1757" s="21" t="e">
        <f>Table1[[#This Row],[5. Lợi nhuận gộp về bán hàng và cung cấp dịch vụ]]/Table1[[#This Row],[TỔNG CỘNG TÀI SẢN]]</f>
        <v>#DIV/0!</v>
      </c>
      <c r="T175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757" s="23" t="e">
        <f>Table1[[#This Row],[1. Doanh thu bán hàng và cung cấp dịch vụ ]]/Table1[[#This Row],[TỔNG CỘNG TÀI SẢN]]</f>
        <v>#DIV/0!</v>
      </c>
      <c r="V1757" s="23" t="e">
        <f>1.2*Table1[[#This Row],[X1]] + 1.4*Table1[[#This Row],[X2]] + 3.3*Table1[[#This Row],[x3]] + 0.6*Table1[[#This Row],[x4]] + 1*Table1[[#This Row],[x5]]</f>
        <v>#DIV/0!</v>
      </c>
      <c r="W1757" s="23" t="e">
        <f>IF(Table1[[#This Row],[Zscore]]&lt;1.81,1,0)</f>
        <v>#DIV/0!</v>
      </c>
    </row>
    <row r="1758" spans="1:23" x14ac:dyDescent="0.45">
      <c r="A1758" s="7">
        <v>1752</v>
      </c>
      <c r="B1758" s="5" t="s">
        <v>3515</v>
      </c>
      <c r="C1758" s="6" t="s">
        <v>3516</v>
      </c>
      <c r="D1758" s="6" t="s">
        <v>36</v>
      </c>
      <c r="E1758" s="8">
        <v>219304461655</v>
      </c>
      <c r="F1758" s="8">
        <v>183904869850</v>
      </c>
      <c r="G1758" s="8">
        <v>61722454514</v>
      </c>
      <c r="H1758" s="8">
        <v>6076963770</v>
      </c>
      <c r="I1758" s="8">
        <v>86155391782</v>
      </c>
      <c r="J1758" s="8"/>
      <c r="K1758" s="8">
        <v>61722454514</v>
      </c>
      <c r="L1758" s="8">
        <v>422042906542</v>
      </c>
      <c r="M1758" s="8">
        <v>530986285200</v>
      </c>
      <c r="N1758" s="8">
        <v>507773770000</v>
      </c>
      <c r="O1758" s="8">
        <v>507773770000</v>
      </c>
      <c r="P1758" s="8">
        <v>493265948000</v>
      </c>
      <c r="Q1758" s="18">
        <f>(Table1[[#This Row],[A. TÀI SẢN NGẮN HẠN]]-Table1[[#This Row],[I. Nợ ngắn hạn]])/Table1[[#This Row],[TỔNG CỘNG TÀI SẢN]]</f>
        <v>0.55713602182983368</v>
      </c>
      <c r="R1758" s="18">
        <f>Table1[[#This Row],[- LNST chưa phân phối kỳ này]]/Table1[[#This Row],[TỔNG CỘNG TÀI SẢN]]</f>
        <v>2.7710169342382136E-2</v>
      </c>
      <c r="S1758" s="21">
        <f>Table1[[#This Row],[5. Lợi nhuận gộp về bán hàng và cung cấp dịch vụ]]/Table1[[#This Row],[TỔNG CỘNG TÀI SẢN]]</f>
        <v>0.39285745092380209</v>
      </c>
      <c r="T175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8.2619841889847763</v>
      </c>
      <c r="U1758" s="23">
        <f>Table1[[#This Row],[1. Doanh thu bán hàng và cung cấp dịch vụ ]]/Table1[[#This Row],[TỔNG CỘNG TÀI SẢN]]</f>
        <v>1.9244611046989963</v>
      </c>
      <c r="V1758" s="23">
        <f>1.2*Table1[[#This Row],[X1]] + 1.4*Table1[[#This Row],[X2]] + 3.3*Table1[[#This Row],[x3]] + 0.6*Table1[[#This Row],[x4]] + 1*Table1[[#This Row],[x5]]</f>
        <v>8.8854386694135439</v>
      </c>
      <c r="W1758" s="23">
        <f>IF(Table1[[#This Row],[Zscore]]&lt;1.81,1,0)</f>
        <v>0</v>
      </c>
    </row>
    <row r="1759" spans="1:23" x14ac:dyDescent="0.45">
      <c r="A1759" s="7">
        <v>1753</v>
      </c>
      <c r="B1759" s="5" t="s">
        <v>3517</v>
      </c>
      <c r="C1759" s="6" t="s">
        <v>3518</v>
      </c>
      <c r="D1759" s="6" t="s">
        <v>18</v>
      </c>
      <c r="E1759" s="8">
        <v>9913791982405</v>
      </c>
      <c r="F1759" s="8">
        <v>3069783422453</v>
      </c>
      <c r="G1759" s="8">
        <v>1251334656191</v>
      </c>
      <c r="H1759" s="8">
        <v>820692770648</v>
      </c>
      <c r="I1759" s="8">
        <v>1276706954165</v>
      </c>
      <c r="J1759" s="8"/>
      <c r="K1759" s="8">
        <v>3096910334460</v>
      </c>
      <c r="L1759" s="8">
        <v>2730324694363</v>
      </c>
      <c r="M1759" s="8">
        <v>14386240000000</v>
      </c>
      <c r="N1759" s="8">
        <v>10201152000000</v>
      </c>
      <c r="O1759" s="8">
        <v>12293696000000</v>
      </c>
      <c r="P1759" s="8">
        <v>11312816000000</v>
      </c>
      <c r="Q1759" s="18">
        <f>(Table1[[#This Row],[A. TÀI SẢN NGẮN HẠN]]-Table1[[#This Row],[I. Nợ ngắn hạn]])/Table1[[#This Row],[TỔNG CỘNG TÀI SẢN]]</f>
        <v>0.1834261571646231</v>
      </c>
      <c r="R1759" s="18">
        <f>Table1[[#This Row],[- LNST chưa phân phối kỳ này]]/Table1[[#This Row],[TỔNG CỘNG TÀI SẢN]]</f>
        <v>8.2782932313343438E-2</v>
      </c>
      <c r="S1759" s="21">
        <f>Table1[[#This Row],[5. Lợi nhuận gộp về bán hàng và cung cấp dịch vụ]]/Table1[[#This Row],[TỔNG CỘNG TÀI SẢN]]</f>
        <v>0.12878088993907677</v>
      </c>
      <c r="T175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3.8904826742750562</v>
      </c>
      <c r="U1759" s="23">
        <f>Table1[[#This Row],[1. Doanh thu bán hàng và cung cấp dịch vụ ]]/Table1[[#This Row],[TỔNG CỘNG TÀI SẢN]]</f>
        <v>0.27540669596545708</v>
      </c>
      <c r="V1759" s="23">
        <f>1.2*Table1[[#This Row],[X1]] + 1.4*Table1[[#This Row],[X2]] + 3.3*Table1[[#This Row],[x3]] + 0.6*Table1[[#This Row],[x4]] + 1*Table1[[#This Row],[x5]]</f>
        <v>3.3706807311656726</v>
      </c>
      <c r="W1759" s="23">
        <f>IF(Table1[[#This Row],[Zscore]]&lt;1.81,1,0)</f>
        <v>0</v>
      </c>
    </row>
    <row r="1760" spans="1:23" x14ac:dyDescent="0.45">
      <c r="A1760" s="7">
        <v>1754</v>
      </c>
      <c r="B1760" s="5" t="s">
        <v>3519</v>
      </c>
      <c r="C1760" s="6" t="s">
        <v>3520</v>
      </c>
      <c r="D1760" s="6" t="s">
        <v>21</v>
      </c>
      <c r="E1760" s="8">
        <v>6161546740934</v>
      </c>
      <c r="F1760" s="8">
        <v>2643080020494</v>
      </c>
      <c r="G1760" s="8">
        <v>517379960589</v>
      </c>
      <c r="H1760" s="8">
        <v>474585434878</v>
      </c>
      <c r="I1760" s="8">
        <v>503630268161</v>
      </c>
      <c r="J1760" s="8"/>
      <c r="K1760" s="8">
        <v>1904173789717</v>
      </c>
      <c r="L1760" s="8">
        <v>1795238597335</v>
      </c>
      <c r="M1760" s="8">
        <v>8577099233400</v>
      </c>
      <c r="N1760" s="8">
        <v>7926703083000</v>
      </c>
      <c r="O1760" s="8">
        <v>8265451078000</v>
      </c>
      <c r="P1760" s="8">
        <v>7493105649400</v>
      </c>
      <c r="Q1760" s="18">
        <f>(Table1[[#This Row],[A. TÀI SẢN NGẮN HẠN]]-Table1[[#This Row],[I. Nợ ngắn hạn]])/Table1[[#This Row],[TỔNG CỘNG TÀI SẢN]]</f>
        <v>0.34499455238779458</v>
      </c>
      <c r="R1760" s="18">
        <f>Table1[[#This Row],[- LNST chưa phân phối kỳ này]]/Table1[[#This Row],[TỔNG CỘNG TÀI SẢN]]</f>
        <v>7.7023749852469639E-2</v>
      </c>
      <c r="S1760" s="21">
        <f>Table1[[#This Row],[5. Lợi nhuận gộp về bán hàng và cung cấp dịch vụ]]/Table1[[#This Row],[TỔNG CỘNG TÀI SẢN]]</f>
        <v>8.1737636560500565E-2</v>
      </c>
      <c r="T176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4.2357424540271165</v>
      </c>
      <c r="U1760" s="23">
        <f>Table1[[#This Row],[1. Doanh thu bán hàng và cung cấp dịch vụ ]]/Table1[[#This Row],[TỔNG CỘNG TÀI SẢN]]</f>
        <v>0.29136167797095508</v>
      </c>
      <c r="V1760" s="23">
        <f>1.2*Table1[[#This Row],[X1]] + 1.4*Table1[[#This Row],[X2]] + 3.3*Table1[[#This Row],[x3]] + 0.6*Table1[[#This Row],[x4]] + 1*Table1[[#This Row],[x5]]</f>
        <v>3.6243680636956874</v>
      </c>
      <c r="W1760" s="23">
        <f>IF(Table1[[#This Row],[Zscore]]&lt;1.81,1,0)</f>
        <v>0</v>
      </c>
    </row>
    <row r="1761" spans="1:23" x14ac:dyDescent="0.45">
      <c r="A1761" s="7">
        <v>1755</v>
      </c>
      <c r="B1761" s="5" t="s">
        <v>3521</v>
      </c>
      <c r="C1761" s="6" t="s">
        <v>3522</v>
      </c>
      <c r="D1761" s="6" t="s">
        <v>18</v>
      </c>
      <c r="E1761" s="8">
        <v>5584214877788</v>
      </c>
      <c r="F1761" s="8">
        <v>5270896578783</v>
      </c>
      <c r="G1761" s="8">
        <v>3441493060874</v>
      </c>
      <c r="H1761" s="8">
        <v>20709926727</v>
      </c>
      <c r="I1761" s="8">
        <v>394085343495</v>
      </c>
      <c r="J1761" s="8"/>
      <c r="K1761" s="8">
        <v>3443797647541</v>
      </c>
      <c r="L1761" s="8">
        <v>619247706558</v>
      </c>
      <c r="M1761" s="8">
        <v>2380111015100</v>
      </c>
      <c r="N1761" s="8">
        <v>2100097954500</v>
      </c>
      <c r="O1761" s="8">
        <v>2120098887400</v>
      </c>
      <c r="P1761" s="8">
        <v>2240104484800</v>
      </c>
      <c r="Q1761" s="18">
        <f>(Table1[[#This Row],[A. TÀI SẢN NGẮN HẠN]]-Table1[[#This Row],[I. Nợ ngắn hạn]])/Table1[[#This Row],[TỔNG CỘNG TÀI SẢN]]</f>
        <v>0.32760263670828815</v>
      </c>
      <c r="R1761" s="18">
        <f>Table1[[#This Row],[- LNST chưa phân phối kỳ này]]/Table1[[#This Row],[TỔNG CỘNG TÀI SẢN]]</f>
        <v>3.7086550536184855E-3</v>
      </c>
      <c r="S1761" s="21">
        <f>Table1[[#This Row],[5. Lợi nhuận gộp về bán hàng và cung cấp dịch vụ]]/Table1[[#This Row],[TỔNG CỘNG TÀI SẢN]]</f>
        <v>7.0571307179193604E-2</v>
      </c>
      <c r="T176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0.64176334141702429</v>
      </c>
      <c r="U1761" s="23">
        <f>Table1[[#This Row],[1. Doanh thu bán hàng và cung cấp dịch vụ ]]/Table1[[#This Row],[TỔNG CỘNG TÀI SẢN]]</f>
        <v>0.1108925283339552</v>
      </c>
      <c r="V1761" s="23">
        <f>1.2*Table1[[#This Row],[X1]] + 1.4*Table1[[#This Row],[X2]] + 3.3*Table1[[#This Row],[x3]] + 0.6*Table1[[#This Row],[x4]] + 1*Table1[[#This Row],[x5]]</f>
        <v>1.1271511280005204</v>
      </c>
      <c r="W1761" s="23">
        <f>IF(Table1[[#This Row],[Zscore]]&lt;1.81,1,0)</f>
        <v>1</v>
      </c>
    </row>
    <row r="1762" spans="1:23" ht="26.25" hidden="1" x14ac:dyDescent="0.45">
      <c r="A1762" s="7">
        <v>1756</v>
      </c>
      <c r="B1762" s="5" t="s">
        <v>3523</v>
      </c>
      <c r="C1762" s="6" t="s">
        <v>3524</v>
      </c>
      <c r="D1762" s="6" t="s">
        <v>13</v>
      </c>
      <c r="E1762" s="6"/>
      <c r="F1762" s="6"/>
      <c r="G1762" s="6"/>
      <c r="H1762" s="6"/>
      <c r="I1762" s="6"/>
      <c r="J1762" s="8"/>
      <c r="K1762" s="6"/>
      <c r="L1762" s="6"/>
      <c r="M1762" s="8"/>
      <c r="N1762" s="8"/>
      <c r="O1762" s="8"/>
      <c r="P1762" s="8"/>
      <c r="Q1762" s="18" t="e">
        <f>(Table1[[#This Row],[A. TÀI SẢN NGẮN HẠN]]-Table1[[#This Row],[I. Nợ ngắn hạn]])/Table1[[#This Row],[TỔNG CỘNG TÀI SẢN]]</f>
        <v>#DIV/0!</v>
      </c>
      <c r="R1762" s="18" t="e">
        <f>Table1[[#This Row],[- LNST chưa phân phối kỳ này]]/Table1[[#This Row],[TỔNG CỘNG TÀI SẢN]]</f>
        <v>#DIV/0!</v>
      </c>
      <c r="S1762" s="21" t="e">
        <f>Table1[[#This Row],[5. Lợi nhuận gộp về bán hàng và cung cấp dịch vụ]]/Table1[[#This Row],[TỔNG CỘNG TÀI SẢN]]</f>
        <v>#DIV/0!</v>
      </c>
      <c r="T176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762" s="23" t="e">
        <f>Table1[[#This Row],[1. Doanh thu bán hàng và cung cấp dịch vụ ]]/Table1[[#This Row],[TỔNG CỘNG TÀI SẢN]]</f>
        <v>#DIV/0!</v>
      </c>
      <c r="V1762" s="23" t="e">
        <f>1.2*Table1[[#This Row],[X1]] + 1.4*Table1[[#This Row],[X2]] + 3.3*Table1[[#This Row],[x3]] + 0.6*Table1[[#This Row],[x4]] + 1*Table1[[#This Row],[x5]]</f>
        <v>#DIV/0!</v>
      </c>
      <c r="W1762" s="23" t="e">
        <f>IF(Table1[[#This Row],[Zscore]]&lt;1.81,1,0)</f>
        <v>#DIV/0!</v>
      </c>
    </row>
    <row r="1763" spans="1:23" hidden="1" x14ac:dyDescent="0.45">
      <c r="A1763" s="7">
        <v>1757</v>
      </c>
      <c r="B1763" s="5" t="s">
        <v>3525</v>
      </c>
      <c r="C1763" s="6" t="s">
        <v>3526</v>
      </c>
      <c r="D1763" s="6" t="s">
        <v>13</v>
      </c>
      <c r="E1763" s="8">
        <v>402124106991</v>
      </c>
      <c r="F1763" s="8">
        <v>384389348724</v>
      </c>
      <c r="G1763" s="8">
        <v>63727569896</v>
      </c>
      <c r="H1763" s="6"/>
      <c r="I1763" s="8">
        <v>22837152345</v>
      </c>
      <c r="J1763" s="8"/>
      <c r="K1763" s="8">
        <v>63734009436</v>
      </c>
      <c r="L1763" s="8">
        <v>50890669682</v>
      </c>
      <c r="M1763" s="8"/>
      <c r="N1763" s="8"/>
      <c r="O1763" s="8"/>
      <c r="P1763" s="8"/>
      <c r="Q1763" s="18">
        <f>(Table1[[#This Row],[A. TÀI SẢN NGẮN HẠN]]-Table1[[#This Row],[I. Nợ ngắn hạn]])/Table1[[#This Row],[TỔNG CỘNG TÀI SẢN]]</f>
        <v>0.79741993392894694</v>
      </c>
      <c r="R1763" s="18">
        <f>Table1[[#This Row],[- LNST chưa phân phối kỳ này]]/Table1[[#This Row],[TỔNG CỘNG TÀI SẢN]]</f>
        <v>0</v>
      </c>
      <c r="S1763" s="21">
        <f>Table1[[#This Row],[5. Lợi nhuận gộp về bán hàng và cung cấp dịch vụ]]/Table1[[#This Row],[TỔNG CỘNG TÀI SẢN]]</f>
        <v>5.6791303848667603E-2</v>
      </c>
      <c r="T176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763" s="23">
        <f>Table1[[#This Row],[1. Doanh thu bán hàng và cung cấp dịch vụ ]]/Table1[[#This Row],[TỔNG CỘNG TÀI SẢN]]</f>
        <v>0.12655463524135097</v>
      </c>
      <c r="V1763" s="23" t="e">
        <f>1.2*Table1[[#This Row],[X1]] + 1.4*Table1[[#This Row],[X2]] + 3.3*Table1[[#This Row],[x3]] + 0.6*Table1[[#This Row],[x4]] + 1*Table1[[#This Row],[x5]]</f>
        <v>#DIV/0!</v>
      </c>
      <c r="W1763" s="23" t="e">
        <f>IF(Table1[[#This Row],[Zscore]]&lt;1.81,1,0)</f>
        <v>#DIV/0!</v>
      </c>
    </row>
    <row r="1764" spans="1:23" hidden="1" x14ac:dyDescent="0.45">
      <c r="A1764" s="7">
        <v>1758</v>
      </c>
      <c r="B1764" s="5" t="s">
        <v>3527</v>
      </c>
      <c r="C1764" s="6" t="s">
        <v>3528</v>
      </c>
      <c r="D1764" s="6" t="s">
        <v>13</v>
      </c>
      <c r="E1764" s="6"/>
      <c r="F1764" s="6"/>
      <c r="G1764" s="6"/>
      <c r="H1764" s="6"/>
      <c r="I1764" s="6"/>
      <c r="J1764" s="8"/>
      <c r="K1764" s="6"/>
      <c r="L1764" s="6"/>
      <c r="M1764" s="8"/>
      <c r="N1764" s="8"/>
      <c r="O1764" s="8"/>
      <c r="P1764" s="8"/>
      <c r="Q1764" s="18" t="e">
        <f>(Table1[[#This Row],[A. TÀI SẢN NGẮN HẠN]]-Table1[[#This Row],[I. Nợ ngắn hạn]])/Table1[[#This Row],[TỔNG CỘNG TÀI SẢN]]</f>
        <v>#DIV/0!</v>
      </c>
      <c r="R1764" s="18" t="e">
        <f>Table1[[#This Row],[- LNST chưa phân phối kỳ này]]/Table1[[#This Row],[TỔNG CỘNG TÀI SẢN]]</f>
        <v>#DIV/0!</v>
      </c>
      <c r="S1764" s="21" t="e">
        <f>Table1[[#This Row],[5. Lợi nhuận gộp về bán hàng và cung cấp dịch vụ]]/Table1[[#This Row],[TỔNG CỘNG TÀI SẢN]]</f>
        <v>#DIV/0!</v>
      </c>
      <c r="T176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764" s="23" t="e">
        <f>Table1[[#This Row],[1. Doanh thu bán hàng và cung cấp dịch vụ ]]/Table1[[#This Row],[TỔNG CỘNG TÀI SẢN]]</f>
        <v>#DIV/0!</v>
      </c>
      <c r="V1764" s="23" t="e">
        <f>1.2*Table1[[#This Row],[X1]] + 1.4*Table1[[#This Row],[X2]] + 3.3*Table1[[#This Row],[x3]] + 0.6*Table1[[#This Row],[x4]] + 1*Table1[[#This Row],[x5]]</f>
        <v>#DIV/0!</v>
      </c>
      <c r="W1764" s="23" t="e">
        <f>IF(Table1[[#This Row],[Zscore]]&lt;1.81,1,0)</f>
        <v>#DIV/0!</v>
      </c>
    </row>
    <row r="1765" spans="1:23" ht="26.25" hidden="1" x14ac:dyDescent="0.45">
      <c r="A1765" s="7">
        <v>1759</v>
      </c>
      <c r="B1765" s="5" t="s">
        <v>3529</v>
      </c>
      <c r="C1765" s="6" t="s">
        <v>3530</v>
      </c>
      <c r="D1765" s="6" t="s">
        <v>13</v>
      </c>
      <c r="E1765" s="6"/>
      <c r="F1765" s="6"/>
      <c r="G1765" s="6"/>
      <c r="H1765" s="6"/>
      <c r="I1765" s="6"/>
      <c r="J1765" s="8"/>
      <c r="K1765" s="6"/>
      <c r="L1765" s="6"/>
      <c r="M1765" s="8"/>
      <c r="N1765" s="8"/>
      <c r="O1765" s="8"/>
      <c r="P1765" s="8"/>
      <c r="Q1765" s="18" t="e">
        <f>(Table1[[#This Row],[A. TÀI SẢN NGẮN HẠN]]-Table1[[#This Row],[I. Nợ ngắn hạn]])/Table1[[#This Row],[TỔNG CỘNG TÀI SẢN]]</f>
        <v>#DIV/0!</v>
      </c>
      <c r="R1765" s="18" t="e">
        <f>Table1[[#This Row],[- LNST chưa phân phối kỳ này]]/Table1[[#This Row],[TỔNG CỘNG TÀI SẢN]]</f>
        <v>#DIV/0!</v>
      </c>
      <c r="S1765" s="21" t="e">
        <f>Table1[[#This Row],[5. Lợi nhuận gộp về bán hàng và cung cấp dịch vụ]]/Table1[[#This Row],[TỔNG CỘNG TÀI SẢN]]</f>
        <v>#DIV/0!</v>
      </c>
      <c r="T176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765" s="23" t="e">
        <f>Table1[[#This Row],[1. Doanh thu bán hàng và cung cấp dịch vụ ]]/Table1[[#This Row],[TỔNG CỘNG TÀI SẢN]]</f>
        <v>#DIV/0!</v>
      </c>
      <c r="V1765" s="23" t="e">
        <f>1.2*Table1[[#This Row],[X1]] + 1.4*Table1[[#This Row],[X2]] + 3.3*Table1[[#This Row],[x3]] + 0.6*Table1[[#This Row],[x4]] + 1*Table1[[#This Row],[x5]]</f>
        <v>#DIV/0!</v>
      </c>
      <c r="W1765" s="23" t="e">
        <f>IF(Table1[[#This Row],[Zscore]]&lt;1.81,1,0)</f>
        <v>#DIV/0!</v>
      </c>
    </row>
    <row r="1766" spans="1:23" ht="26.25" hidden="1" x14ac:dyDescent="0.45">
      <c r="A1766" s="7">
        <v>1760</v>
      </c>
      <c r="B1766" s="5" t="s">
        <v>3531</v>
      </c>
      <c r="C1766" s="6" t="s">
        <v>3532</v>
      </c>
      <c r="D1766" s="6" t="s">
        <v>13</v>
      </c>
      <c r="E1766" s="6"/>
      <c r="F1766" s="6"/>
      <c r="G1766" s="6"/>
      <c r="H1766" s="6"/>
      <c r="I1766" s="6"/>
      <c r="J1766" s="8"/>
      <c r="K1766" s="6"/>
      <c r="L1766" s="6"/>
      <c r="M1766" s="8"/>
      <c r="N1766" s="8"/>
      <c r="O1766" s="8"/>
      <c r="P1766" s="8"/>
      <c r="Q1766" s="18" t="e">
        <f>(Table1[[#This Row],[A. TÀI SẢN NGẮN HẠN]]-Table1[[#This Row],[I. Nợ ngắn hạn]])/Table1[[#This Row],[TỔNG CỘNG TÀI SẢN]]</f>
        <v>#DIV/0!</v>
      </c>
      <c r="R1766" s="18" t="e">
        <f>Table1[[#This Row],[- LNST chưa phân phối kỳ này]]/Table1[[#This Row],[TỔNG CỘNG TÀI SẢN]]</f>
        <v>#DIV/0!</v>
      </c>
      <c r="S1766" s="21" t="e">
        <f>Table1[[#This Row],[5. Lợi nhuận gộp về bán hàng và cung cấp dịch vụ]]/Table1[[#This Row],[TỔNG CỘNG TÀI SẢN]]</f>
        <v>#DIV/0!</v>
      </c>
      <c r="T176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766" s="23" t="e">
        <f>Table1[[#This Row],[1. Doanh thu bán hàng và cung cấp dịch vụ ]]/Table1[[#This Row],[TỔNG CỘNG TÀI SẢN]]</f>
        <v>#DIV/0!</v>
      </c>
      <c r="V1766" s="23" t="e">
        <f>1.2*Table1[[#This Row],[X1]] + 1.4*Table1[[#This Row],[X2]] + 3.3*Table1[[#This Row],[x3]] + 0.6*Table1[[#This Row],[x4]] + 1*Table1[[#This Row],[x5]]</f>
        <v>#DIV/0!</v>
      </c>
      <c r="W1766" s="23" t="e">
        <f>IF(Table1[[#This Row],[Zscore]]&lt;1.81,1,0)</f>
        <v>#DIV/0!</v>
      </c>
    </row>
    <row r="1767" spans="1:23" ht="26.25" hidden="1" x14ac:dyDescent="0.45">
      <c r="A1767" s="7">
        <v>1761</v>
      </c>
      <c r="B1767" s="5" t="s">
        <v>3533</v>
      </c>
      <c r="C1767" s="6" t="s">
        <v>3534</v>
      </c>
      <c r="D1767" s="6" t="s">
        <v>13</v>
      </c>
      <c r="E1767" s="6"/>
      <c r="F1767" s="6"/>
      <c r="G1767" s="6"/>
      <c r="H1767" s="6"/>
      <c r="I1767" s="6"/>
      <c r="J1767" s="8"/>
      <c r="K1767" s="6"/>
      <c r="L1767" s="6"/>
      <c r="M1767" s="8"/>
      <c r="N1767" s="8"/>
      <c r="O1767" s="8"/>
      <c r="P1767" s="8"/>
      <c r="Q1767" s="18" t="e">
        <f>(Table1[[#This Row],[A. TÀI SẢN NGẮN HẠN]]-Table1[[#This Row],[I. Nợ ngắn hạn]])/Table1[[#This Row],[TỔNG CỘNG TÀI SẢN]]</f>
        <v>#DIV/0!</v>
      </c>
      <c r="R1767" s="18" t="e">
        <f>Table1[[#This Row],[- LNST chưa phân phối kỳ này]]/Table1[[#This Row],[TỔNG CỘNG TÀI SẢN]]</f>
        <v>#DIV/0!</v>
      </c>
      <c r="S1767" s="21" t="e">
        <f>Table1[[#This Row],[5. Lợi nhuận gộp về bán hàng và cung cấp dịch vụ]]/Table1[[#This Row],[TỔNG CỘNG TÀI SẢN]]</f>
        <v>#DIV/0!</v>
      </c>
      <c r="T176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767" s="23" t="e">
        <f>Table1[[#This Row],[1. Doanh thu bán hàng và cung cấp dịch vụ ]]/Table1[[#This Row],[TỔNG CỘNG TÀI SẢN]]</f>
        <v>#DIV/0!</v>
      </c>
      <c r="V1767" s="23" t="e">
        <f>1.2*Table1[[#This Row],[X1]] + 1.4*Table1[[#This Row],[X2]] + 3.3*Table1[[#This Row],[x3]] + 0.6*Table1[[#This Row],[x4]] + 1*Table1[[#This Row],[x5]]</f>
        <v>#DIV/0!</v>
      </c>
      <c r="W1767" s="23" t="e">
        <f>IF(Table1[[#This Row],[Zscore]]&lt;1.81,1,0)</f>
        <v>#DIV/0!</v>
      </c>
    </row>
    <row r="1768" spans="1:23" hidden="1" x14ac:dyDescent="0.45">
      <c r="A1768" s="7">
        <v>1762</v>
      </c>
      <c r="B1768" s="5" t="s">
        <v>3535</v>
      </c>
      <c r="C1768" s="6" t="s">
        <v>3536</v>
      </c>
      <c r="D1768" s="6" t="s">
        <v>13</v>
      </c>
      <c r="E1768" s="6"/>
      <c r="F1768" s="6"/>
      <c r="G1768" s="6"/>
      <c r="H1768" s="6"/>
      <c r="I1768" s="6"/>
      <c r="J1768" s="8"/>
      <c r="K1768" s="6"/>
      <c r="L1768" s="6"/>
      <c r="M1768" s="8"/>
      <c r="N1768" s="8"/>
      <c r="O1768" s="8"/>
      <c r="P1768" s="8"/>
      <c r="Q1768" s="18" t="e">
        <f>(Table1[[#This Row],[A. TÀI SẢN NGẮN HẠN]]-Table1[[#This Row],[I. Nợ ngắn hạn]])/Table1[[#This Row],[TỔNG CỘNG TÀI SẢN]]</f>
        <v>#DIV/0!</v>
      </c>
      <c r="R1768" s="18" t="e">
        <f>Table1[[#This Row],[- LNST chưa phân phối kỳ này]]/Table1[[#This Row],[TỔNG CỘNG TÀI SẢN]]</f>
        <v>#DIV/0!</v>
      </c>
      <c r="S1768" s="21" t="e">
        <f>Table1[[#This Row],[5. Lợi nhuận gộp về bán hàng và cung cấp dịch vụ]]/Table1[[#This Row],[TỔNG CỘNG TÀI SẢN]]</f>
        <v>#DIV/0!</v>
      </c>
      <c r="T176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768" s="23" t="e">
        <f>Table1[[#This Row],[1. Doanh thu bán hàng và cung cấp dịch vụ ]]/Table1[[#This Row],[TỔNG CỘNG TÀI SẢN]]</f>
        <v>#DIV/0!</v>
      </c>
      <c r="V1768" s="23" t="e">
        <f>1.2*Table1[[#This Row],[X1]] + 1.4*Table1[[#This Row],[X2]] + 3.3*Table1[[#This Row],[x3]] + 0.6*Table1[[#This Row],[x4]] + 1*Table1[[#This Row],[x5]]</f>
        <v>#DIV/0!</v>
      </c>
      <c r="W1768" s="23" t="e">
        <f>IF(Table1[[#This Row],[Zscore]]&lt;1.81,1,0)</f>
        <v>#DIV/0!</v>
      </c>
    </row>
    <row r="1769" spans="1:23" ht="26.25" hidden="1" x14ac:dyDescent="0.45">
      <c r="A1769" s="7">
        <v>1763</v>
      </c>
      <c r="B1769" s="5" t="s">
        <v>3537</v>
      </c>
      <c r="C1769" s="6" t="s">
        <v>3538</v>
      </c>
      <c r="D1769" s="6" t="s">
        <v>13</v>
      </c>
      <c r="E1769" s="6"/>
      <c r="F1769" s="6"/>
      <c r="G1769" s="6"/>
      <c r="H1769" s="6"/>
      <c r="I1769" s="6"/>
      <c r="J1769" s="8"/>
      <c r="K1769" s="6"/>
      <c r="L1769" s="6"/>
      <c r="M1769" s="8"/>
      <c r="N1769" s="8"/>
      <c r="O1769" s="8"/>
      <c r="P1769" s="8"/>
      <c r="Q1769" s="18" t="e">
        <f>(Table1[[#This Row],[A. TÀI SẢN NGẮN HẠN]]-Table1[[#This Row],[I. Nợ ngắn hạn]])/Table1[[#This Row],[TỔNG CỘNG TÀI SẢN]]</f>
        <v>#DIV/0!</v>
      </c>
      <c r="R1769" s="18" t="e">
        <f>Table1[[#This Row],[- LNST chưa phân phối kỳ này]]/Table1[[#This Row],[TỔNG CỘNG TÀI SẢN]]</f>
        <v>#DIV/0!</v>
      </c>
      <c r="S1769" s="21" t="e">
        <f>Table1[[#This Row],[5. Lợi nhuận gộp về bán hàng và cung cấp dịch vụ]]/Table1[[#This Row],[TỔNG CỘNG TÀI SẢN]]</f>
        <v>#DIV/0!</v>
      </c>
      <c r="T176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769" s="23" t="e">
        <f>Table1[[#This Row],[1. Doanh thu bán hàng và cung cấp dịch vụ ]]/Table1[[#This Row],[TỔNG CỘNG TÀI SẢN]]</f>
        <v>#DIV/0!</v>
      </c>
      <c r="V1769" s="23" t="e">
        <f>1.2*Table1[[#This Row],[X1]] + 1.4*Table1[[#This Row],[X2]] + 3.3*Table1[[#This Row],[x3]] + 0.6*Table1[[#This Row],[x4]] + 1*Table1[[#This Row],[x5]]</f>
        <v>#DIV/0!</v>
      </c>
      <c r="W1769" s="23" t="e">
        <f>IF(Table1[[#This Row],[Zscore]]&lt;1.81,1,0)</f>
        <v>#DIV/0!</v>
      </c>
    </row>
    <row r="1770" spans="1:23" ht="26.25" x14ac:dyDescent="0.45">
      <c r="A1770" s="7">
        <v>1764</v>
      </c>
      <c r="B1770" s="5" t="s">
        <v>3539</v>
      </c>
      <c r="C1770" s="6" t="s">
        <v>3540</v>
      </c>
      <c r="D1770" s="6" t="s">
        <v>36</v>
      </c>
      <c r="E1770" s="8">
        <v>115171246331</v>
      </c>
      <c r="F1770" s="8">
        <v>94635761922</v>
      </c>
      <c r="G1770" s="8">
        <v>41333003831</v>
      </c>
      <c r="H1770" s="8">
        <v>13527172317</v>
      </c>
      <c r="I1770" s="8">
        <v>60770500809</v>
      </c>
      <c r="J1770" s="8"/>
      <c r="K1770" s="8">
        <v>41453003831</v>
      </c>
      <c r="L1770" s="8">
        <v>175552659207</v>
      </c>
      <c r="M1770" s="8">
        <v>117000000000</v>
      </c>
      <c r="N1770" s="8">
        <v>103350000000</v>
      </c>
      <c r="O1770" s="8">
        <v>107250000000</v>
      </c>
      <c r="P1770" s="8">
        <v>113100000000</v>
      </c>
      <c r="Q1770" s="18">
        <f>(Table1[[#This Row],[A. TÀI SẢN NGẮN HẠN]]-Table1[[#This Row],[I. Nợ ngắn hạn]])/Table1[[#This Row],[TỔNG CỘNG TÀI SẢN]]</f>
        <v>0.46281307000715155</v>
      </c>
      <c r="R1770" s="18">
        <f>Table1[[#This Row],[- LNST chưa phân phối kỳ này]]/Table1[[#This Row],[TỔNG CỘNG TÀI SẢN]]</f>
        <v>0.11745268674199427</v>
      </c>
      <c r="S1770" s="21">
        <f>Table1[[#This Row],[5. Lợi nhuận gộp về bán hàng và cung cấp dịch vụ]]/Table1[[#This Row],[TỔNG CỘNG TÀI SẢN]]</f>
        <v>0.52765340955282125</v>
      </c>
      <c r="T177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2.6578291032701302</v>
      </c>
      <c r="U1770" s="23">
        <f>Table1[[#This Row],[1. Doanh thu bán hàng và cung cấp dịch vụ ]]/Table1[[#This Row],[TỔNG CỘNG TÀI SẢN]]</f>
        <v>1.524275066907455</v>
      </c>
      <c r="V1770" s="23">
        <f>1.2*Table1[[#This Row],[X1]] + 1.4*Table1[[#This Row],[X2]] + 3.3*Table1[[#This Row],[x3]] + 0.6*Table1[[#This Row],[x4]] + 1*Table1[[#This Row],[x5]]</f>
        <v>5.5800382258412169</v>
      </c>
      <c r="W1770" s="23">
        <f>IF(Table1[[#This Row],[Zscore]]&lt;1.81,1,0)</f>
        <v>0</v>
      </c>
    </row>
    <row r="1771" spans="1:23" x14ac:dyDescent="0.45">
      <c r="A1771" s="7">
        <v>1765</v>
      </c>
      <c r="B1771" s="5" t="s">
        <v>3541</v>
      </c>
      <c r="C1771" s="6" t="s">
        <v>3542</v>
      </c>
      <c r="D1771" s="6" t="s">
        <v>36</v>
      </c>
      <c r="E1771" s="8">
        <v>443995084092</v>
      </c>
      <c r="F1771" s="8">
        <v>88458682388</v>
      </c>
      <c r="G1771" s="8">
        <v>34924192096</v>
      </c>
      <c r="H1771" s="8">
        <v>41958232650</v>
      </c>
      <c r="I1771" s="8">
        <v>74684088162</v>
      </c>
      <c r="J1771" s="8"/>
      <c r="K1771" s="8">
        <v>64924192096</v>
      </c>
      <c r="L1771" s="8">
        <v>155474370592</v>
      </c>
      <c r="M1771" s="8">
        <v>766817493000</v>
      </c>
      <c r="N1771" s="8">
        <v>553442190600</v>
      </c>
      <c r="O1771" s="8">
        <v>670131809100</v>
      </c>
      <c r="P1771" s="8">
        <v>563444157900</v>
      </c>
      <c r="Q1771" s="18">
        <f>(Table1[[#This Row],[A. TÀI SẢN NGẮN HẠN]]-Table1[[#This Row],[I. Nợ ngắn hạn]])/Table1[[#This Row],[TỔNG CỘNG TÀI SẢN]]</f>
        <v>0.12057451131802879</v>
      </c>
      <c r="R1771" s="18">
        <f>Table1[[#This Row],[- LNST chưa phân phối kỳ này]]/Table1[[#This Row],[TỔNG CỘNG TÀI SẢN]]</f>
        <v>9.4501570295102311E-2</v>
      </c>
      <c r="S1771" s="21">
        <f>Table1[[#This Row],[5. Lợi nhuận gộp về bán hàng và cung cấp dịch vụ]]/Table1[[#This Row],[TỔNG CỘNG TÀI SẢN]]</f>
        <v>0.16820926816055637</v>
      </c>
      <c r="T177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9.833913862277166</v>
      </c>
      <c r="U1771" s="23">
        <f>Table1[[#This Row],[1. Doanh thu bán hàng và cung cấp dịch vụ ]]/Table1[[#This Row],[TỔNG CỘNG TÀI SẢN]]</f>
        <v>0.35017137838351436</v>
      </c>
      <c r="V1771" s="23">
        <f>1.2*Table1[[#This Row],[X1]] + 1.4*Table1[[#This Row],[X2]] + 3.3*Table1[[#This Row],[x3]] + 0.6*Table1[[#This Row],[x4]] + 1*Table1[[#This Row],[x5]]</f>
        <v>7.0826018926744272</v>
      </c>
      <c r="W1771" s="23">
        <f>IF(Table1[[#This Row],[Zscore]]&lt;1.81,1,0)</f>
        <v>0</v>
      </c>
    </row>
    <row r="1772" spans="1:23" hidden="1" x14ac:dyDescent="0.45">
      <c r="A1772" s="7">
        <v>1766</v>
      </c>
      <c r="B1772" s="5" t="s">
        <v>3543</v>
      </c>
      <c r="C1772" s="6" t="s">
        <v>3544</v>
      </c>
      <c r="D1772" s="6" t="s">
        <v>18</v>
      </c>
      <c r="E1772" s="6"/>
      <c r="F1772" s="6"/>
      <c r="G1772" s="6"/>
      <c r="H1772" s="6"/>
      <c r="I1772" s="6"/>
      <c r="J1772" s="8"/>
      <c r="K1772" s="6"/>
      <c r="L1772" s="6"/>
      <c r="M1772" s="8"/>
      <c r="N1772" s="8"/>
      <c r="O1772" s="8"/>
      <c r="P1772" s="8"/>
      <c r="Q1772" s="18" t="e">
        <f>(Table1[[#This Row],[A. TÀI SẢN NGẮN HẠN]]-Table1[[#This Row],[I. Nợ ngắn hạn]])/Table1[[#This Row],[TỔNG CỘNG TÀI SẢN]]</f>
        <v>#DIV/0!</v>
      </c>
      <c r="R1772" s="18" t="e">
        <f>Table1[[#This Row],[- LNST chưa phân phối kỳ này]]/Table1[[#This Row],[TỔNG CỘNG TÀI SẢN]]</f>
        <v>#DIV/0!</v>
      </c>
      <c r="S1772" s="21" t="e">
        <f>Table1[[#This Row],[5. Lợi nhuận gộp về bán hàng và cung cấp dịch vụ]]/Table1[[#This Row],[TỔNG CỘNG TÀI SẢN]]</f>
        <v>#DIV/0!</v>
      </c>
      <c r="T177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772" s="23" t="e">
        <f>Table1[[#This Row],[1. Doanh thu bán hàng và cung cấp dịch vụ ]]/Table1[[#This Row],[TỔNG CỘNG TÀI SẢN]]</f>
        <v>#DIV/0!</v>
      </c>
      <c r="V1772" s="23" t="e">
        <f>1.2*Table1[[#This Row],[X1]] + 1.4*Table1[[#This Row],[X2]] + 3.3*Table1[[#This Row],[x3]] + 0.6*Table1[[#This Row],[x4]] + 1*Table1[[#This Row],[x5]]</f>
        <v>#DIV/0!</v>
      </c>
      <c r="W1772" s="23" t="e">
        <f>IF(Table1[[#This Row],[Zscore]]&lt;1.81,1,0)</f>
        <v>#DIV/0!</v>
      </c>
    </row>
    <row r="1773" spans="1:23" ht="26.25" hidden="1" x14ac:dyDescent="0.45">
      <c r="A1773" s="7">
        <v>1767</v>
      </c>
      <c r="B1773" s="5" t="s">
        <v>3545</v>
      </c>
      <c r="C1773" s="6" t="s">
        <v>3546</v>
      </c>
      <c r="D1773" s="6" t="s">
        <v>13</v>
      </c>
      <c r="E1773" s="6"/>
      <c r="F1773" s="6"/>
      <c r="G1773" s="6"/>
      <c r="H1773" s="6"/>
      <c r="I1773" s="6"/>
      <c r="J1773" s="8"/>
      <c r="K1773" s="6"/>
      <c r="L1773" s="6"/>
      <c r="M1773" s="8"/>
      <c r="N1773" s="8"/>
      <c r="O1773" s="8"/>
      <c r="P1773" s="8"/>
      <c r="Q1773" s="18" t="e">
        <f>(Table1[[#This Row],[A. TÀI SẢN NGẮN HẠN]]-Table1[[#This Row],[I. Nợ ngắn hạn]])/Table1[[#This Row],[TỔNG CỘNG TÀI SẢN]]</f>
        <v>#DIV/0!</v>
      </c>
      <c r="R1773" s="18" t="e">
        <f>Table1[[#This Row],[- LNST chưa phân phối kỳ này]]/Table1[[#This Row],[TỔNG CỘNG TÀI SẢN]]</f>
        <v>#DIV/0!</v>
      </c>
      <c r="S1773" s="21" t="e">
        <f>Table1[[#This Row],[5. Lợi nhuận gộp về bán hàng và cung cấp dịch vụ]]/Table1[[#This Row],[TỔNG CỘNG TÀI SẢN]]</f>
        <v>#DIV/0!</v>
      </c>
      <c r="T177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773" s="23" t="e">
        <f>Table1[[#This Row],[1. Doanh thu bán hàng và cung cấp dịch vụ ]]/Table1[[#This Row],[TỔNG CỘNG TÀI SẢN]]</f>
        <v>#DIV/0!</v>
      </c>
      <c r="V1773" s="23" t="e">
        <f>1.2*Table1[[#This Row],[X1]] + 1.4*Table1[[#This Row],[X2]] + 3.3*Table1[[#This Row],[x3]] + 0.6*Table1[[#This Row],[x4]] + 1*Table1[[#This Row],[x5]]</f>
        <v>#DIV/0!</v>
      </c>
      <c r="W1773" s="23" t="e">
        <f>IF(Table1[[#This Row],[Zscore]]&lt;1.81,1,0)</f>
        <v>#DIV/0!</v>
      </c>
    </row>
    <row r="1774" spans="1:23" x14ac:dyDescent="0.45">
      <c r="A1774" s="7">
        <v>1768</v>
      </c>
      <c r="B1774" s="5" t="s">
        <v>3547</v>
      </c>
      <c r="C1774" s="6" t="s">
        <v>3548</v>
      </c>
      <c r="D1774" s="6" t="s">
        <v>13</v>
      </c>
      <c r="E1774" s="8">
        <v>4788871194294</v>
      </c>
      <c r="F1774" s="8">
        <v>4714243656489</v>
      </c>
      <c r="G1774" s="8">
        <v>3174497264060</v>
      </c>
      <c r="H1774" s="8">
        <v>150631604</v>
      </c>
      <c r="I1774" s="8">
        <v>258597969273</v>
      </c>
      <c r="J1774" s="8"/>
      <c r="K1774" s="8">
        <v>3174560446308</v>
      </c>
      <c r="L1774" s="8">
        <v>390975816173</v>
      </c>
      <c r="M1774" s="8">
        <v>676500000000</v>
      </c>
      <c r="N1774" s="8"/>
      <c r="O1774" s="8"/>
      <c r="P1774" s="8"/>
      <c r="Q1774" s="18">
        <f>(Table1[[#This Row],[A. TÀI SẢN NGẮN HẠN]]-Table1[[#This Row],[I. Nợ ngắn hạn]])/Table1[[#This Row],[TỔNG CỘNG TÀI SẢN]]</f>
        <v>0.32152595673561385</v>
      </c>
      <c r="R1774" s="18">
        <f>Table1[[#This Row],[- LNST chưa phân phối kỳ này]]/Table1[[#This Row],[TỔNG CỘNG TÀI SẢN]]</f>
        <v>3.1454511488945336E-5</v>
      </c>
      <c r="S1774" s="21">
        <f>Table1[[#This Row],[5. Lợi nhuận gộp về bán hàng và cung cấp dịch vụ]]/Table1[[#This Row],[TỔNG CỘNG TÀI SẢN]]</f>
        <v>5.3999775475507196E-2</v>
      </c>
      <c r="T177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0.21310036820586187</v>
      </c>
      <c r="U1774" s="23">
        <f>Table1[[#This Row],[1. Doanh thu bán hàng và cung cấp dịch vụ ]]/Table1[[#This Row],[TỔNG CỘNG TÀI SẢN]]</f>
        <v>8.1642583462852913E-2</v>
      </c>
      <c r="V1774" s="23">
        <f>1.2*Table1[[#This Row],[X1]] + 1.4*Table1[[#This Row],[X2]] + 3.3*Table1[[#This Row],[x3]] + 0.6*Table1[[#This Row],[x4]] + 1*Table1[[#This Row],[x5]]</f>
        <v>0.77357724785436488</v>
      </c>
      <c r="W1774" s="23">
        <f>IF(Table1[[#This Row],[Zscore]]&lt;1.81,1,0)</f>
        <v>1</v>
      </c>
    </row>
    <row r="1775" spans="1:23" ht="26.25" x14ac:dyDescent="0.45">
      <c r="A1775" s="7">
        <v>1769</v>
      </c>
      <c r="B1775" s="5" t="s">
        <v>3549</v>
      </c>
      <c r="C1775" s="6" t="s">
        <v>3550</v>
      </c>
      <c r="D1775" s="6" t="s">
        <v>18</v>
      </c>
      <c r="E1775" s="8">
        <v>755806921355</v>
      </c>
      <c r="F1775" s="8">
        <v>239813608934</v>
      </c>
      <c r="G1775" s="8">
        <v>226860236663</v>
      </c>
      <c r="H1775" s="8">
        <v>19792417942</v>
      </c>
      <c r="I1775" s="8">
        <v>74604023496</v>
      </c>
      <c r="J1775" s="8"/>
      <c r="K1775" s="8">
        <v>304616524366</v>
      </c>
      <c r="L1775" s="8">
        <v>389881779166</v>
      </c>
      <c r="M1775" s="8">
        <v>398750000000</v>
      </c>
      <c r="N1775" s="8">
        <v>288750000000</v>
      </c>
      <c r="O1775" s="8">
        <v>341000000000</v>
      </c>
      <c r="P1775" s="8">
        <v>332750000000</v>
      </c>
      <c r="Q1775" s="18">
        <f>(Table1[[#This Row],[A. TÀI SẢN NGẮN HẠN]]-Table1[[#This Row],[I. Nợ ngắn hạn]])/Table1[[#This Row],[TỔNG CỘNG TÀI SẢN]]</f>
        <v>1.7138467385000095E-2</v>
      </c>
      <c r="R1775" s="18">
        <f>Table1[[#This Row],[- LNST chưa phân phối kỳ này]]/Table1[[#This Row],[TỔNG CỘNG TÀI SẢN]]</f>
        <v>2.6187135077456597E-2</v>
      </c>
      <c r="S1775" s="21">
        <f>Table1[[#This Row],[5. Lợi nhuận gộp về bán hàng và cung cấp dịch vụ]]/Table1[[#This Row],[TỔNG CỘNG TÀI SẢN]]</f>
        <v>9.8707780238702969E-2</v>
      </c>
      <c r="T177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1.1171833199406835</v>
      </c>
      <c r="U1775" s="23">
        <f>Table1[[#This Row],[1. Doanh thu bán hàng và cung cấp dịch vụ ]]/Table1[[#This Row],[TỔNG CỘNG TÀI SẢN]]</f>
        <v>0.5158483842236129</v>
      </c>
      <c r="V1775" s="23">
        <f>1.2*Table1[[#This Row],[X1]] + 1.4*Table1[[#This Row],[X2]] + 3.3*Table1[[#This Row],[x3]] + 0.6*Table1[[#This Row],[x4]] + 1*Table1[[#This Row],[x5]]</f>
        <v>1.569122200946182</v>
      </c>
      <c r="W1775" s="23">
        <f>IF(Table1[[#This Row],[Zscore]]&lt;1.81,1,0)</f>
        <v>1</v>
      </c>
    </row>
    <row r="1776" spans="1:23" hidden="1" x14ac:dyDescent="0.45">
      <c r="A1776" s="7">
        <v>1770</v>
      </c>
      <c r="B1776" s="5" t="s">
        <v>3551</v>
      </c>
      <c r="C1776" s="6" t="s">
        <v>3552</v>
      </c>
      <c r="D1776" s="6" t="s">
        <v>13</v>
      </c>
      <c r="E1776" s="6"/>
      <c r="F1776" s="6"/>
      <c r="G1776" s="6"/>
      <c r="H1776" s="6"/>
      <c r="I1776" s="6"/>
      <c r="J1776" s="8"/>
      <c r="K1776" s="6"/>
      <c r="L1776" s="6"/>
      <c r="M1776" s="8"/>
      <c r="N1776" s="8"/>
      <c r="O1776" s="8"/>
      <c r="P1776" s="8"/>
      <c r="Q1776" s="18" t="e">
        <f>(Table1[[#This Row],[A. TÀI SẢN NGẮN HẠN]]-Table1[[#This Row],[I. Nợ ngắn hạn]])/Table1[[#This Row],[TỔNG CỘNG TÀI SẢN]]</f>
        <v>#DIV/0!</v>
      </c>
      <c r="R1776" s="18" t="e">
        <f>Table1[[#This Row],[- LNST chưa phân phối kỳ này]]/Table1[[#This Row],[TỔNG CỘNG TÀI SẢN]]</f>
        <v>#DIV/0!</v>
      </c>
      <c r="S1776" s="21" t="e">
        <f>Table1[[#This Row],[5. Lợi nhuận gộp về bán hàng và cung cấp dịch vụ]]/Table1[[#This Row],[TỔNG CỘNG TÀI SẢN]]</f>
        <v>#DIV/0!</v>
      </c>
      <c r="T177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776" s="23" t="e">
        <f>Table1[[#This Row],[1. Doanh thu bán hàng và cung cấp dịch vụ ]]/Table1[[#This Row],[TỔNG CỘNG TÀI SẢN]]</f>
        <v>#DIV/0!</v>
      </c>
      <c r="V1776" s="23" t="e">
        <f>1.2*Table1[[#This Row],[X1]] + 1.4*Table1[[#This Row],[X2]] + 3.3*Table1[[#This Row],[x3]] + 0.6*Table1[[#This Row],[x4]] + 1*Table1[[#This Row],[x5]]</f>
        <v>#DIV/0!</v>
      </c>
      <c r="W1776" s="23" t="e">
        <f>IF(Table1[[#This Row],[Zscore]]&lt;1.81,1,0)</f>
        <v>#DIV/0!</v>
      </c>
    </row>
    <row r="1777" spans="1:23" hidden="1" x14ac:dyDescent="0.45">
      <c r="A1777" s="7">
        <v>1771</v>
      </c>
      <c r="B1777" s="5" t="s">
        <v>3553</v>
      </c>
      <c r="C1777" s="6" t="s">
        <v>3554</v>
      </c>
      <c r="D1777" s="6" t="s">
        <v>13</v>
      </c>
      <c r="E1777" s="6"/>
      <c r="F1777" s="6"/>
      <c r="G1777" s="6"/>
      <c r="H1777" s="6"/>
      <c r="I1777" s="6"/>
      <c r="J1777" s="8"/>
      <c r="K1777" s="6"/>
      <c r="L1777" s="6"/>
      <c r="M1777" s="8"/>
      <c r="N1777" s="8"/>
      <c r="O1777" s="8"/>
      <c r="P1777" s="8"/>
      <c r="Q1777" s="18" t="e">
        <f>(Table1[[#This Row],[A. TÀI SẢN NGẮN HẠN]]-Table1[[#This Row],[I. Nợ ngắn hạn]])/Table1[[#This Row],[TỔNG CỘNG TÀI SẢN]]</f>
        <v>#DIV/0!</v>
      </c>
      <c r="R1777" s="18" t="e">
        <f>Table1[[#This Row],[- LNST chưa phân phối kỳ này]]/Table1[[#This Row],[TỔNG CỘNG TÀI SẢN]]</f>
        <v>#DIV/0!</v>
      </c>
      <c r="S1777" s="21" t="e">
        <f>Table1[[#This Row],[5. Lợi nhuận gộp về bán hàng và cung cấp dịch vụ]]/Table1[[#This Row],[TỔNG CỘNG TÀI SẢN]]</f>
        <v>#DIV/0!</v>
      </c>
      <c r="T177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777" s="23" t="e">
        <f>Table1[[#This Row],[1. Doanh thu bán hàng và cung cấp dịch vụ ]]/Table1[[#This Row],[TỔNG CỘNG TÀI SẢN]]</f>
        <v>#DIV/0!</v>
      </c>
      <c r="V1777" s="23" t="e">
        <f>1.2*Table1[[#This Row],[X1]] + 1.4*Table1[[#This Row],[X2]] + 3.3*Table1[[#This Row],[x3]] + 0.6*Table1[[#This Row],[x4]] + 1*Table1[[#This Row],[x5]]</f>
        <v>#DIV/0!</v>
      </c>
      <c r="W1777" s="23" t="e">
        <f>IF(Table1[[#This Row],[Zscore]]&lt;1.81,1,0)</f>
        <v>#DIV/0!</v>
      </c>
    </row>
    <row r="1778" spans="1:23" x14ac:dyDescent="0.45">
      <c r="A1778" s="7">
        <v>1772</v>
      </c>
      <c r="B1778" s="5" t="s">
        <v>3555</v>
      </c>
      <c r="C1778" s="6" t="s">
        <v>3556</v>
      </c>
      <c r="D1778" s="6" t="s">
        <v>21</v>
      </c>
      <c r="E1778" s="8">
        <v>317379831135</v>
      </c>
      <c r="F1778" s="8">
        <v>263859170996</v>
      </c>
      <c r="G1778" s="8">
        <v>204670155258</v>
      </c>
      <c r="H1778" s="8">
        <v>-2148226046</v>
      </c>
      <c r="I1778" s="8">
        <v>51874782434</v>
      </c>
      <c r="J1778" s="8"/>
      <c r="K1778" s="8">
        <v>207296362924</v>
      </c>
      <c r="L1778" s="8">
        <v>692207897388</v>
      </c>
      <c r="M1778" s="8">
        <v>94497996250</v>
      </c>
      <c r="N1778" s="8">
        <v>97766348000</v>
      </c>
      <c r="O1778" s="8">
        <v>102739926750</v>
      </c>
      <c r="P1778" s="8">
        <v>92366462500</v>
      </c>
      <c r="Q1778" s="18">
        <f>(Table1[[#This Row],[A. TÀI SẢN NGẮN HẠN]]-Table1[[#This Row],[I. Nợ ngắn hạn]])/Table1[[#This Row],[TỔNG CỘNG TÀI SẢN]]</f>
        <v>0.18649268142317302</v>
      </c>
      <c r="R1778" s="18">
        <f>Table1[[#This Row],[- LNST chưa phân phối kỳ này]]/Table1[[#This Row],[TỔNG CỘNG TÀI SẢN]]</f>
        <v>-6.7686281082121923E-3</v>
      </c>
      <c r="S1778" s="21">
        <f>Table1[[#This Row],[5. Lợi nhuận gộp về bán hàng và cung cấp dịch vụ]]/Table1[[#This Row],[TỔNG CỘNG TÀI SẢN]]</f>
        <v>0.16344700370054283</v>
      </c>
      <c r="T177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0.4671702002340723</v>
      </c>
      <c r="U1778" s="23">
        <f>Table1[[#This Row],[1. Doanh thu bán hàng và cung cấp dịch vụ ]]/Table1[[#This Row],[TỔNG CỘNG TÀI SẢN]]</f>
        <v>2.1810078318857129</v>
      </c>
      <c r="V1778" s="23">
        <f>1.2*Table1[[#This Row],[X1]] + 1.4*Table1[[#This Row],[X2]] + 3.3*Table1[[#This Row],[x3]] + 0.6*Table1[[#This Row],[x4]] + 1*Table1[[#This Row],[x5]]</f>
        <v>3.2150002025942581</v>
      </c>
      <c r="W1778" s="23">
        <f>IF(Table1[[#This Row],[Zscore]]&lt;1.81,1,0)</f>
        <v>0</v>
      </c>
    </row>
    <row r="1779" spans="1:23" x14ac:dyDescent="0.45">
      <c r="A1779" s="7">
        <v>1773</v>
      </c>
      <c r="B1779" s="5" t="s">
        <v>3557</v>
      </c>
      <c r="C1779" s="6" t="s">
        <v>3558</v>
      </c>
      <c r="D1779" s="6" t="s">
        <v>18</v>
      </c>
      <c r="E1779" s="8">
        <v>26536196668</v>
      </c>
      <c r="F1779" s="8">
        <v>26056829513</v>
      </c>
      <c r="G1779" s="8">
        <v>17669566950</v>
      </c>
      <c r="H1779" s="8">
        <v>7109604303</v>
      </c>
      <c r="I1779" s="8">
        <v>83093137</v>
      </c>
      <c r="J1779" s="8"/>
      <c r="K1779" s="8">
        <v>17669566950</v>
      </c>
      <c r="L1779" s="8">
        <v>3253370690</v>
      </c>
      <c r="M1779" s="8">
        <v>60637297000</v>
      </c>
      <c r="N1779" s="8">
        <v>112612123000</v>
      </c>
      <c r="O1779" s="8">
        <v>46777343400</v>
      </c>
      <c r="P1779" s="8">
        <v>45044849200</v>
      </c>
      <c r="Q1779" s="18">
        <f>(Table1[[#This Row],[A. TÀI SẢN NGẮN HẠN]]-Table1[[#This Row],[I. Nợ ngắn hạn]])/Table1[[#This Row],[TỔNG CỘNG TÀI SẢN]]</f>
        <v>0.31606875197432494</v>
      </c>
      <c r="R1779" s="18">
        <f>Table1[[#This Row],[- LNST chưa phân phối kỳ này]]/Table1[[#This Row],[TỔNG CỘNG TÀI SẢN]]</f>
        <v>0.26792099832352662</v>
      </c>
      <c r="S1779" s="21">
        <f>Table1[[#This Row],[5. Lợi nhuận gộp về bán hàng và cung cấp dịch vụ]]/Table1[[#This Row],[TỔNG CỘNG TÀI SẢN]]</f>
        <v>3.1313129774999753E-3</v>
      </c>
      <c r="T177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3.7503976943815251</v>
      </c>
      <c r="U1779" s="23">
        <f>Table1[[#This Row],[1. Doanh thu bán hàng và cung cấp dịch vụ ]]/Table1[[#This Row],[TỔNG CỘNG TÀI SẢN]]</f>
        <v>0.12260124277429854</v>
      </c>
      <c r="V1779" s="23">
        <f>1.2*Table1[[#This Row],[X1]] + 1.4*Table1[[#This Row],[X2]] + 3.3*Table1[[#This Row],[x3]] + 0.6*Table1[[#This Row],[x4]] + 1*Table1[[#This Row],[x5]]</f>
        <v>3.1375450922510906</v>
      </c>
      <c r="W1779" s="23">
        <f>IF(Table1[[#This Row],[Zscore]]&lt;1.81,1,0)</f>
        <v>0</v>
      </c>
    </row>
    <row r="1780" spans="1:23" ht="26.25" x14ac:dyDescent="0.45">
      <c r="A1780" s="7">
        <v>1774</v>
      </c>
      <c r="B1780" s="5" t="s">
        <v>3559</v>
      </c>
      <c r="C1780" s="6" t="s">
        <v>3560</v>
      </c>
      <c r="D1780" s="6" t="s">
        <v>36</v>
      </c>
      <c r="E1780" s="8">
        <v>273838485738</v>
      </c>
      <c r="F1780" s="8">
        <v>120812925171</v>
      </c>
      <c r="G1780" s="8">
        <v>95846770930</v>
      </c>
      <c r="H1780" s="8">
        <v>36587539076</v>
      </c>
      <c r="I1780" s="8">
        <v>145753307103</v>
      </c>
      <c r="J1780" s="8"/>
      <c r="K1780" s="8">
        <v>111216601430</v>
      </c>
      <c r="L1780" s="8">
        <v>1289993079464</v>
      </c>
      <c r="M1780" s="8">
        <v>205152108000</v>
      </c>
      <c r="N1780" s="8">
        <v>205152108000</v>
      </c>
      <c r="O1780" s="8">
        <v>205152108000</v>
      </c>
      <c r="P1780" s="8">
        <v>198557933100</v>
      </c>
      <c r="Q1780" s="18">
        <f>(Table1[[#This Row],[A. TÀI SẢN NGẮN HẠN]]-Table1[[#This Row],[I. Nợ ngắn hạn]])/Table1[[#This Row],[TỔNG CỘNG TÀI SẢN]]</f>
        <v>9.1171093696767028E-2</v>
      </c>
      <c r="R1780" s="18">
        <f>Table1[[#This Row],[- LNST chưa phân phối kỳ này]]/Table1[[#This Row],[TỔNG CỘNG TÀI SẢN]]</f>
        <v>0.13360992329984545</v>
      </c>
      <c r="S1780" s="21">
        <f>Table1[[#This Row],[5. Lợi nhuận gộp về bán hàng và cung cấp dịch vụ]]/Table1[[#This Row],[TỔNG CỘNG TÀI SẢN]]</f>
        <v>0.53226012665893918</v>
      </c>
      <c r="T178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1.8297948476971366</v>
      </c>
      <c r="U1780" s="23">
        <f>Table1[[#This Row],[1. Doanh thu bán hàng và cung cấp dịch vụ ]]/Table1[[#This Row],[TỔNG CỘNG TÀI SẢN]]</f>
        <v>4.7107807946989038</v>
      </c>
      <c r="V1780" s="23">
        <f>1.2*Table1[[#This Row],[X1]] + 1.4*Table1[[#This Row],[X2]] + 3.3*Table1[[#This Row],[x3]] + 0.6*Table1[[#This Row],[x4]] + 1*Table1[[#This Row],[x5]]</f>
        <v>7.8615753263475892</v>
      </c>
      <c r="W1780" s="23">
        <f>IF(Table1[[#This Row],[Zscore]]&lt;1.81,1,0)</f>
        <v>0</v>
      </c>
    </row>
    <row r="1781" spans="1:23" hidden="1" x14ac:dyDescent="0.45">
      <c r="A1781" s="7">
        <v>1775</v>
      </c>
      <c r="B1781" s="5" t="s">
        <v>3561</v>
      </c>
      <c r="C1781" s="6" t="s">
        <v>3562</v>
      </c>
      <c r="D1781" s="6" t="s">
        <v>18</v>
      </c>
      <c r="E1781" s="8">
        <v>232436774675</v>
      </c>
      <c r="F1781" s="8">
        <v>98526342216</v>
      </c>
      <c r="G1781" s="8">
        <v>89384200638</v>
      </c>
      <c r="H1781" s="8">
        <v>21596636277</v>
      </c>
      <c r="I1781" s="8">
        <v>170668836163</v>
      </c>
      <c r="J1781" s="8"/>
      <c r="K1781" s="8">
        <v>89384200638</v>
      </c>
      <c r="L1781" s="8">
        <v>401915883682</v>
      </c>
      <c r="M1781" s="8"/>
      <c r="N1781" s="8"/>
      <c r="O1781" s="8"/>
      <c r="P1781" s="8"/>
      <c r="Q1781" s="18">
        <f>(Table1[[#This Row],[A. TÀI SẢN NGẮN HẠN]]-Table1[[#This Row],[I. Nợ ngắn hạn]])/Table1[[#This Row],[TỔNG CỘNG TÀI SẢN]]</f>
        <v>3.9331734794473952E-2</v>
      </c>
      <c r="R1781" s="18">
        <f>Table1[[#This Row],[- LNST chưa phân phối kỳ này]]/Table1[[#This Row],[TỔNG CỘNG TÀI SẢN]]</f>
        <v>9.2914024930852948E-2</v>
      </c>
      <c r="S1781" s="21">
        <f>Table1[[#This Row],[5. Lợi nhuận gộp về bán hàng và cung cấp dịch vụ]]/Table1[[#This Row],[TỔNG CỘNG TÀI SẢN]]</f>
        <v>0.73425918253096667</v>
      </c>
      <c r="T178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781" s="23">
        <f>Table1[[#This Row],[1. Doanh thu bán hàng và cung cấp dịch vụ ]]/Table1[[#This Row],[TỔNG CỘNG TÀI SẢN]]</f>
        <v>1.7291406845752817</v>
      </c>
      <c r="V1781" s="23" t="e">
        <f>1.2*Table1[[#This Row],[X1]] + 1.4*Table1[[#This Row],[X2]] + 3.3*Table1[[#This Row],[x3]] + 0.6*Table1[[#This Row],[x4]] + 1*Table1[[#This Row],[x5]]</f>
        <v>#DIV/0!</v>
      </c>
      <c r="W1781" s="23" t="e">
        <f>IF(Table1[[#This Row],[Zscore]]&lt;1.81,1,0)</f>
        <v>#DIV/0!</v>
      </c>
    </row>
    <row r="1782" spans="1:23" ht="26.25" x14ac:dyDescent="0.45">
      <c r="A1782" s="7">
        <v>1776</v>
      </c>
      <c r="B1782" s="5" t="s">
        <v>3563</v>
      </c>
      <c r="C1782" s="6" t="s">
        <v>3564</v>
      </c>
      <c r="D1782" s="6" t="s">
        <v>21</v>
      </c>
      <c r="E1782" s="8">
        <v>526752232276</v>
      </c>
      <c r="F1782" s="8">
        <v>169612794065</v>
      </c>
      <c r="G1782" s="8">
        <v>114320192465</v>
      </c>
      <c r="H1782" s="8">
        <v>22158216129</v>
      </c>
      <c r="I1782" s="8">
        <v>66843661852</v>
      </c>
      <c r="J1782" s="8"/>
      <c r="K1782" s="8">
        <v>197948192465</v>
      </c>
      <c r="L1782" s="8">
        <v>715816770049</v>
      </c>
      <c r="M1782" s="8">
        <v>261269242500</v>
      </c>
      <c r="N1782" s="8">
        <v>236386457500</v>
      </c>
      <c r="O1782" s="8">
        <v>266245799500</v>
      </c>
      <c r="P1782" s="8">
        <v>236137629650</v>
      </c>
      <c r="Q1782" s="18">
        <f>(Table1[[#This Row],[A. TÀI SẢN NGẮN HẠN]]-Table1[[#This Row],[I. Nợ ngắn hạn]])/Table1[[#This Row],[TỔNG CỘNG TÀI SẢN]]</f>
        <v>0.10496889849159402</v>
      </c>
      <c r="R1782" s="18">
        <f>Table1[[#This Row],[- LNST chưa phân phối kỳ này]]/Table1[[#This Row],[TỔNG CỘNG TÀI SẢN]]</f>
        <v>4.2065728005097204E-2</v>
      </c>
      <c r="S1782" s="21">
        <f>Table1[[#This Row],[5. Lợi nhuận gộp về bán hàng và cung cấp dịch vụ]]/Table1[[#This Row],[TỔNG CỘNG TÀI SẢN]]</f>
        <v>0.12689772867820753</v>
      </c>
      <c r="T178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1.2630061390012703</v>
      </c>
      <c r="U1782" s="23">
        <f>Table1[[#This Row],[1. Doanh thu bán hàng và cung cấp dịch vụ ]]/Table1[[#This Row],[TỔNG CỘNG TÀI SẢN]]</f>
        <v>1.3589249863376691</v>
      </c>
      <c r="V1782" s="23">
        <f>1.2*Table1[[#This Row],[X1]] + 1.4*Table1[[#This Row],[X2]] + 3.3*Table1[[#This Row],[x3]] + 0.6*Table1[[#This Row],[x4]] + 1*Table1[[#This Row],[x5]]</f>
        <v>2.7203458717735653</v>
      </c>
      <c r="W1782" s="23">
        <f>IF(Table1[[#This Row],[Zscore]]&lt;1.81,1,0)</f>
        <v>0</v>
      </c>
    </row>
    <row r="1783" spans="1:23" hidden="1" x14ac:dyDescent="0.45">
      <c r="A1783" s="7">
        <v>1777</v>
      </c>
      <c r="B1783" s="5" t="s">
        <v>3565</v>
      </c>
      <c r="C1783" s="6" t="s">
        <v>3566</v>
      </c>
      <c r="D1783" s="6" t="s">
        <v>13</v>
      </c>
      <c r="E1783" s="6"/>
      <c r="F1783" s="6"/>
      <c r="G1783" s="6"/>
      <c r="H1783" s="6"/>
      <c r="I1783" s="6"/>
      <c r="J1783" s="8"/>
      <c r="K1783" s="6"/>
      <c r="L1783" s="6"/>
      <c r="M1783" s="8"/>
      <c r="N1783" s="8"/>
      <c r="O1783" s="8"/>
      <c r="P1783" s="8"/>
      <c r="Q1783" s="18" t="e">
        <f>(Table1[[#This Row],[A. TÀI SẢN NGẮN HẠN]]-Table1[[#This Row],[I. Nợ ngắn hạn]])/Table1[[#This Row],[TỔNG CỘNG TÀI SẢN]]</f>
        <v>#DIV/0!</v>
      </c>
      <c r="R1783" s="18" t="e">
        <f>Table1[[#This Row],[- LNST chưa phân phối kỳ này]]/Table1[[#This Row],[TỔNG CỘNG TÀI SẢN]]</f>
        <v>#DIV/0!</v>
      </c>
      <c r="S1783" s="21" t="e">
        <f>Table1[[#This Row],[5. Lợi nhuận gộp về bán hàng và cung cấp dịch vụ]]/Table1[[#This Row],[TỔNG CỘNG TÀI SẢN]]</f>
        <v>#DIV/0!</v>
      </c>
      <c r="T178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783" s="23" t="e">
        <f>Table1[[#This Row],[1. Doanh thu bán hàng và cung cấp dịch vụ ]]/Table1[[#This Row],[TỔNG CỘNG TÀI SẢN]]</f>
        <v>#DIV/0!</v>
      </c>
      <c r="V1783" s="23" t="e">
        <f>1.2*Table1[[#This Row],[X1]] + 1.4*Table1[[#This Row],[X2]] + 3.3*Table1[[#This Row],[x3]] + 0.6*Table1[[#This Row],[x4]] + 1*Table1[[#This Row],[x5]]</f>
        <v>#DIV/0!</v>
      </c>
      <c r="W1783" s="23" t="e">
        <f>IF(Table1[[#This Row],[Zscore]]&lt;1.81,1,0)</f>
        <v>#DIV/0!</v>
      </c>
    </row>
    <row r="1784" spans="1:23" ht="26.25" hidden="1" x14ac:dyDescent="0.45">
      <c r="A1784" s="7">
        <v>1778</v>
      </c>
      <c r="B1784" s="5" t="s">
        <v>3567</v>
      </c>
      <c r="C1784" s="6" t="s">
        <v>3568</v>
      </c>
      <c r="D1784" s="6" t="s">
        <v>18</v>
      </c>
      <c r="E1784" s="6"/>
      <c r="F1784" s="6"/>
      <c r="G1784" s="6"/>
      <c r="H1784" s="6"/>
      <c r="I1784" s="6"/>
      <c r="J1784" s="8"/>
      <c r="K1784" s="6"/>
      <c r="L1784" s="6"/>
      <c r="M1784" s="8"/>
      <c r="N1784" s="8"/>
      <c r="O1784" s="8"/>
      <c r="P1784" s="8"/>
      <c r="Q1784" s="18" t="e">
        <f>(Table1[[#This Row],[A. TÀI SẢN NGẮN HẠN]]-Table1[[#This Row],[I. Nợ ngắn hạn]])/Table1[[#This Row],[TỔNG CỘNG TÀI SẢN]]</f>
        <v>#DIV/0!</v>
      </c>
      <c r="R1784" s="18" t="e">
        <f>Table1[[#This Row],[- LNST chưa phân phối kỳ này]]/Table1[[#This Row],[TỔNG CỘNG TÀI SẢN]]</f>
        <v>#DIV/0!</v>
      </c>
      <c r="S1784" s="21" t="e">
        <f>Table1[[#This Row],[5. Lợi nhuận gộp về bán hàng và cung cấp dịch vụ]]/Table1[[#This Row],[TỔNG CỘNG TÀI SẢN]]</f>
        <v>#DIV/0!</v>
      </c>
      <c r="T178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784" s="23" t="e">
        <f>Table1[[#This Row],[1. Doanh thu bán hàng và cung cấp dịch vụ ]]/Table1[[#This Row],[TỔNG CỘNG TÀI SẢN]]</f>
        <v>#DIV/0!</v>
      </c>
      <c r="V1784" s="23" t="e">
        <f>1.2*Table1[[#This Row],[X1]] + 1.4*Table1[[#This Row],[X2]] + 3.3*Table1[[#This Row],[x3]] + 0.6*Table1[[#This Row],[x4]] + 1*Table1[[#This Row],[x5]]</f>
        <v>#DIV/0!</v>
      </c>
      <c r="W1784" s="23" t="e">
        <f>IF(Table1[[#This Row],[Zscore]]&lt;1.81,1,0)</f>
        <v>#DIV/0!</v>
      </c>
    </row>
    <row r="1785" spans="1:23" ht="26.25" x14ac:dyDescent="0.45">
      <c r="A1785" s="7">
        <v>1779</v>
      </c>
      <c r="B1785" s="5" t="s">
        <v>3569</v>
      </c>
      <c r="C1785" s="6" t="s">
        <v>3570</v>
      </c>
      <c r="D1785" s="6" t="s">
        <v>36</v>
      </c>
      <c r="E1785" s="8">
        <v>3924450499494</v>
      </c>
      <c r="F1785" s="8">
        <v>3109261142376</v>
      </c>
      <c r="G1785" s="8">
        <v>2661041652788</v>
      </c>
      <c r="H1785" s="8">
        <v>13560816171</v>
      </c>
      <c r="I1785" s="8">
        <v>993914364405</v>
      </c>
      <c r="J1785" s="8"/>
      <c r="K1785" s="8">
        <v>2701724585020</v>
      </c>
      <c r="L1785" s="8">
        <v>7774047625194</v>
      </c>
      <c r="M1785" s="8">
        <v>1890663044400</v>
      </c>
      <c r="N1785" s="8">
        <v>1955301097200</v>
      </c>
      <c r="O1785" s="8">
        <v>1987620123600</v>
      </c>
      <c r="P1785" s="8">
        <v>2375448440400</v>
      </c>
      <c r="Q1785" s="18">
        <f>(Table1[[#This Row],[A. TÀI SẢN NGẮN HẠN]]-Table1[[#This Row],[I. Nợ ngắn hạn]])/Table1[[#This Row],[TỔNG CỘNG TÀI SẢN]]</f>
        <v>0.11421203800271944</v>
      </c>
      <c r="R1785" s="18">
        <f>Table1[[#This Row],[- LNST chưa phân phối kỳ này]]/Table1[[#This Row],[TỔNG CỘNG TÀI SẢN]]</f>
        <v>3.4554687777941058E-3</v>
      </c>
      <c r="S1785" s="21">
        <f>Table1[[#This Row],[5. Lợi nhuận gộp về bán hàng và cung cấp dịch vụ]]/Table1[[#This Row],[TỔNG CỘNG TÀI SẢN]]</f>
        <v>0.25326204637646738</v>
      </c>
      <c r="T178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0.75961043097396541</v>
      </c>
      <c r="U1785" s="23">
        <f>Table1[[#This Row],[1. Doanh thu bán hàng và cung cấp dịch vụ ]]/Table1[[#This Row],[TỔNG CỘNG TÀI SẢN]]</f>
        <v>1.9809264064348242</v>
      </c>
      <c r="V1785" s="23">
        <f>1.2*Table1[[#This Row],[X1]] + 1.4*Table1[[#This Row],[X2]] + 3.3*Table1[[#This Row],[x3]] + 0.6*Table1[[#This Row],[x4]] + 1*Table1[[#This Row],[x5]]</f>
        <v>3.4143495199537206</v>
      </c>
      <c r="W1785" s="23">
        <f>IF(Table1[[#This Row],[Zscore]]&lt;1.81,1,0)</f>
        <v>0</v>
      </c>
    </row>
    <row r="1786" spans="1:23" ht="26.25" hidden="1" x14ac:dyDescent="0.45">
      <c r="A1786" s="7">
        <v>1780</v>
      </c>
      <c r="B1786" s="5" t="s">
        <v>3571</v>
      </c>
      <c r="C1786" s="6" t="s">
        <v>3572</v>
      </c>
      <c r="D1786" s="6" t="s">
        <v>13</v>
      </c>
      <c r="E1786" s="6"/>
      <c r="F1786" s="6"/>
      <c r="G1786" s="6"/>
      <c r="H1786" s="6"/>
      <c r="I1786" s="6"/>
      <c r="J1786" s="8"/>
      <c r="K1786" s="6"/>
      <c r="L1786" s="6"/>
      <c r="M1786" s="8"/>
      <c r="N1786" s="8"/>
      <c r="O1786" s="8"/>
      <c r="P1786" s="8"/>
      <c r="Q1786" s="18" t="e">
        <f>(Table1[[#This Row],[A. TÀI SẢN NGẮN HẠN]]-Table1[[#This Row],[I. Nợ ngắn hạn]])/Table1[[#This Row],[TỔNG CỘNG TÀI SẢN]]</f>
        <v>#DIV/0!</v>
      </c>
      <c r="R1786" s="18" t="e">
        <f>Table1[[#This Row],[- LNST chưa phân phối kỳ này]]/Table1[[#This Row],[TỔNG CỘNG TÀI SẢN]]</f>
        <v>#DIV/0!</v>
      </c>
      <c r="S1786" s="21" t="e">
        <f>Table1[[#This Row],[5. Lợi nhuận gộp về bán hàng và cung cấp dịch vụ]]/Table1[[#This Row],[TỔNG CỘNG TÀI SẢN]]</f>
        <v>#DIV/0!</v>
      </c>
      <c r="T178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786" s="23" t="e">
        <f>Table1[[#This Row],[1. Doanh thu bán hàng và cung cấp dịch vụ ]]/Table1[[#This Row],[TỔNG CỘNG TÀI SẢN]]</f>
        <v>#DIV/0!</v>
      </c>
      <c r="V1786" s="23" t="e">
        <f>1.2*Table1[[#This Row],[X1]] + 1.4*Table1[[#This Row],[X2]] + 3.3*Table1[[#This Row],[x3]] + 0.6*Table1[[#This Row],[x4]] + 1*Table1[[#This Row],[x5]]</f>
        <v>#DIV/0!</v>
      </c>
      <c r="W1786" s="23" t="e">
        <f>IF(Table1[[#This Row],[Zscore]]&lt;1.81,1,0)</f>
        <v>#DIV/0!</v>
      </c>
    </row>
    <row r="1787" spans="1:23" hidden="1" x14ac:dyDescent="0.45">
      <c r="A1787" s="7">
        <v>1781</v>
      </c>
      <c r="B1787" s="5" t="s">
        <v>3573</v>
      </c>
      <c r="C1787" s="6" t="s">
        <v>3574</v>
      </c>
      <c r="D1787" s="6" t="s">
        <v>18</v>
      </c>
      <c r="E1787" s="6"/>
      <c r="F1787" s="6"/>
      <c r="G1787" s="6"/>
      <c r="H1787" s="6"/>
      <c r="I1787" s="6"/>
      <c r="J1787" s="8"/>
      <c r="K1787" s="6"/>
      <c r="L1787" s="6"/>
      <c r="M1787" s="8"/>
      <c r="N1787" s="8"/>
      <c r="O1787" s="8"/>
      <c r="P1787" s="8"/>
      <c r="Q1787" s="18" t="e">
        <f>(Table1[[#This Row],[A. TÀI SẢN NGẮN HẠN]]-Table1[[#This Row],[I. Nợ ngắn hạn]])/Table1[[#This Row],[TỔNG CỘNG TÀI SẢN]]</f>
        <v>#DIV/0!</v>
      </c>
      <c r="R1787" s="18" t="e">
        <f>Table1[[#This Row],[- LNST chưa phân phối kỳ này]]/Table1[[#This Row],[TỔNG CỘNG TÀI SẢN]]</f>
        <v>#DIV/0!</v>
      </c>
      <c r="S1787" s="21" t="e">
        <f>Table1[[#This Row],[5. Lợi nhuận gộp về bán hàng và cung cấp dịch vụ]]/Table1[[#This Row],[TỔNG CỘNG TÀI SẢN]]</f>
        <v>#DIV/0!</v>
      </c>
      <c r="T178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787" s="23" t="e">
        <f>Table1[[#This Row],[1. Doanh thu bán hàng và cung cấp dịch vụ ]]/Table1[[#This Row],[TỔNG CỘNG TÀI SẢN]]</f>
        <v>#DIV/0!</v>
      </c>
      <c r="V1787" s="23" t="e">
        <f>1.2*Table1[[#This Row],[X1]] + 1.4*Table1[[#This Row],[X2]] + 3.3*Table1[[#This Row],[x3]] + 0.6*Table1[[#This Row],[x4]] + 1*Table1[[#This Row],[x5]]</f>
        <v>#DIV/0!</v>
      </c>
      <c r="W1787" s="23" t="e">
        <f>IF(Table1[[#This Row],[Zscore]]&lt;1.81,1,0)</f>
        <v>#DIV/0!</v>
      </c>
    </row>
    <row r="1788" spans="1:23" hidden="1" x14ac:dyDescent="0.45">
      <c r="A1788" s="7">
        <v>1782</v>
      </c>
      <c r="B1788" s="5" t="s">
        <v>3575</v>
      </c>
      <c r="C1788" s="6" t="s">
        <v>3576</v>
      </c>
      <c r="D1788" s="6" t="s">
        <v>18</v>
      </c>
      <c r="E1788" s="6"/>
      <c r="F1788" s="6"/>
      <c r="G1788" s="6"/>
      <c r="H1788" s="6"/>
      <c r="I1788" s="6"/>
      <c r="J1788" s="8"/>
      <c r="K1788" s="6"/>
      <c r="L1788" s="6"/>
      <c r="M1788" s="8"/>
      <c r="N1788" s="8"/>
      <c r="O1788" s="8"/>
      <c r="P1788" s="8"/>
      <c r="Q1788" s="18" t="e">
        <f>(Table1[[#This Row],[A. TÀI SẢN NGẮN HẠN]]-Table1[[#This Row],[I. Nợ ngắn hạn]])/Table1[[#This Row],[TỔNG CỘNG TÀI SẢN]]</f>
        <v>#DIV/0!</v>
      </c>
      <c r="R1788" s="18" t="e">
        <f>Table1[[#This Row],[- LNST chưa phân phối kỳ này]]/Table1[[#This Row],[TỔNG CỘNG TÀI SẢN]]</f>
        <v>#DIV/0!</v>
      </c>
      <c r="S1788" s="21" t="e">
        <f>Table1[[#This Row],[5. Lợi nhuận gộp về bán hàng và cung cấp dịch vụ]]/Table1[[#This Row],[TỔNG CỘNG TÀI SẢN]]</f>
        <v>#DIV/0!</v>
      </c>
      <c r="T178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788" s="23" t="e">
        <f>Table1[[#This Row],[1. Doanh thu bán hàng và cung cấp dịch vụ ]]/Table1[[#This Row],[TỔNG CỘNG TÀI SẢN]]</f>
        <v>#DIV/0!</v>
      </c>
      <c r="V1788" s="23" t="e">
        <f>1.2*Table1[[#This Row],[X1]] + 1.4*Table1[[#This Row],[X2]] + 3.3*Table1[[#This Row],[x3]] + 0.6*Table1[[#This Row],[x4]] + 1*Table1[[#This Row],[x5]]</f>
        <v>#DIV/0!</v>
      </c>
      <c r="W1788" s="23" t="e">
        <f>IF(Table1[[#This Row],[Zscore]]&lt;1.81,1,0)</f>
        <v>#DIV/0!</v>
      </c>
    </row>
    <row r="1789" spans="1:23" ht="26.25" x14ac:dyDescent="0.45">
      <c r="A1789" s="7">
        <v>1783</v>
      </c>
      <c r="B1789" s="5" t="s">
        <v>3577</v>
      </c>
      <c r="C1789" s="6" t="s">
        <v>3578</v>
      </c>
      <c r="D1789" s="6" t="s">
        <v>21</v>
      </c>
      <c r="E1789" s="8">
        <v>3028924186071</v>
      </c>
      <c r="F1789" s="8">
        <v>1903557818638</v>
      </c>
      <c r="G1789" s="8">
        <v>1565324460385</v>
      </c>
      <c r="H1789" s="8">
        <v>27912795696</v>
      </c>
      <c r="I1789" s="8">
        <v>187894521373</v>
      </c>
      <c r="J1789" s="8"/>
      <c r="K1789" s="8">
        <v>1989556357792</v>
      </c>
      <c r="L1789" s="8">
        <v>2874896403352</v>
      </c>
      <c r="M1789" s="8">
        <v>335299267130</v>
      </c>
      <c r="N1789" s="8">
        <v>544499074350</v>
      </c>
      <c r="O1789" s="8">
        <v>294699355870</v>
      </c>
      <c r="P1789" s="8">
        <v>384299160030</v>
      </c>
      <c r="Q1789" s="18">
        <f>(Table1[[#This Row],[A. TÀI SẢN NGẮN HẠN]]-Table1[[#This Row],[I. Nợ ngắn hạn]])/Table1[[#This Row],[TỔNG CỘNG TÀI SẢN]]</f>
        <v>0.11166781915784524</v>
      </c>
      <c r="R1789" s="18">
        <f>Table1[[#This Row],[- LNST chưa phân phối kỳ này]]/Table1[[#This Row],[TỔNG CỘNG TÀI SẢN]]</f>
        <v>9.2154157652283037E-3</v>
      </c>
      <c r="S1789" s="21">
        <f>Table1[[#This Row],[5. Lợi nhuận gộp về bán hàng và cung cấp dịch vụ]]/Table1[[#This Row],[TỔNG CỘNG TÀI SẢN]]</f>
        <v>6.2033418412076304E-2</v>
      </c>
      <c r="T178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0.19587241789797114</v>
      </c>
      <c r="U1789" s="23">
        <f>Table1[[#This Row],[1. Doanh thu bán hàng và cung cấp dịch vụ ]]/Table1[[#This Row],[TỔNG CỘNG TÀI SẢN]]</f>
        <v>0.94914769295734713</v>
      </c>
      <c r="V1789" s="23">
        <f>1.2*Table1[[#This Row],[X1]] + 1.4*Table1[[#This Row],[X2]] + 3.3*Table1[[#This Row],[x3]] + 0.6*Table1[[#This Row],[x4]] + 1*Table1[[#This Row],[x5]]</f>
        <v>1.4182843895167154</v>
      </c>
      <c r="W1789" s="23">
        <f>IF(Table1[[#This Row],[Zscore]]&lt;1.81,1,0)</f>
        <v>1</v>
      </c>
    </row>
    <row r="1790" spans="1:23" x14ac:dyDescent="0.45">
      <c r="A1790" s="7">
        <v>1784</v>
      </c>
      <c r="B1790" s="5" t="s">
        <v>3579</v>
      </c>
      <c r="C1790" s="6" t="s">
        <v>3580</v>
      </c>
      <c r="D1790" s="6" t="s">
        <v>21</v>
      </c>
      <c r="E1790" s="8">
        <v>86116520697256</v>
      </c>
      <c r="F1790" s="8">
        <v>59846284403315</v>
      </c>
      <c r="G1790" s="8">
        <v>55679642773404</v>
      </c>
      <c r="H1790" s="8">
        <v>2696172252108</v>
      </c>
      <c r="I1790" s="8">
        <v>18169736253295</v>
      </c>
      <c r="J1790" s="8"/>
      <c r="K1790" s="8">
        <v>56640123798180</v>
      </c>
      <c r="L1790" s="8">
        <v>310034907750963</v>
      </c>
      <c r="M1790" s="8">
        <v>50251922894250</v>
      </c>
      <c r="N1790" s="8">
        <v>44851905895500</v>
      </c>
      <c r="O1790" s="8">
        <v>47329560753750</v>
      </c>
      <c r="P1790" s="8">
        <v>43454254437000</v>
      </c>
      <c r="Q1790" s="18">
        <f>(Table1[[#This Row],[A. TÀI SẢN NGẮN HẠN]]-Table1[[#This Row],[I. Nợ ngắn hạn]])/Table1[[#This Row],[TỔNG CỘNG TÀI SẢN]]</f>
        <v>4.8383766508158114E-2</v>
      </c>
      <c r="R1790" s="18">
        <f>Table1[[#This Row],[- LNST chưa phân phối kỳ này]]/Table1[[#This Row],[TỔNG CỘNG TÀI SẢN]]</f>
        <v>3.1308420617530947E-2</v>
      </c>
      <c r="S1790" s="21">
        <f>Table1[[#This Row],[5. Lợi nhuận gộp về bán hàng và cung cấp dịch vụ]]/Table1[[#This Row],[TỔNG CỘNG TÀI SẢN]]</f>
        <v>0.21099013413664258</v>
      </c>
      <c r="T179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0.82047686125675923</v>
      </c>
      <c r="U1790" s="23">
        <f>Table1[[#This Row],[1. Doanh thu bán hàng và cung cấp dịch vụ ]]/Table1[[#This Row],[TỔNG CỘNG TÀI SẢN]]</f>
        <v>3.6001792134739818</v>
      </c>
      <c r="V1790" s="23">
        <f>1.2*Table1[[#This Row],[X1]] + 1.4*Table1[[#This Row],[X2]] + 3.3*Table1[[#This Row],[x3]] + 0.6*Table1[[#This Row],[x4]] + 1*Table1[[#This Row],[x5]]</f>
        <v>4.8906250815532903</v>
      </c>
      <c r="W1790" s="23">
        <f>IF(Table1[[#This Row],[Zscore]]&lt;1.81,1,0)</f>
        <v>0</v>
      </c>
    </row>
    <row r="1791" spans="1:23" ht="26.25" x14ac:dyDescent="0.45">
      <c r="A1791" s="7">
        <v>1785</v>
      </c>
      <c r="B1791" s="5" t="s">
        <v>3581</v>
      </c>
      <c r="C1791" s="6" t="s">
        <v>3582</v>
      </c>
      <c r="D1791" s="6" t="s">
        <v>36</v>
      </c>
      <c r="E1791" s="8">
        <v>241045587637</v>
      </c>
      <c r="F1791" s="8">
        <v>234143364421</v>
      </c>
      <c r="G1791" s="8">
        <v>91757712623</v>
      </c>
      <c r="H1791" s="8">
        <v>15257294765</v>
      </c>
      <c r="I1791" s="8">
        <v>91219418276</v>
      </c>
      <c r="J1791" s="8"/>
      <c r="K1791" s="8">
        <v>91757712623</v>
      </c>
      <c r="L1791" s="8">
        <v>2722577364316</v>
      </c>
      <c r="M1791" s="8">
        <v>114000000000</v>
      </c>
      <c r="N1791" s="8">
        <v>118800000000</v>
      </c>
      <c r="O1791" s="8">
        <v>129600000000</v>
      </c>
      <c r="P1791" s="8">
        <v>128400000000</v>
      </c>
      <c r="Q1791" s="18">
        <f>(Table1[[#This Row],[A. TÀI SẢN NGẮN HẠN]]-Table1[[#This Row],[I. Nợ ngắn hạn]])/Table1[[#This Row],[TỔNG CỘNG TÀI SẢN]]</f>
        <v>0.59070009616780095</v>
      </c>
      <c r="R1791" s="18">
        <f>Table1[[#This Row],[- LNST chưa phân phối kỳ này]]/Table1[[#This Row],[TỔNG CỘNG TÀI SẢN]]</f>
        <v>6.3296303884129004E-2</v>
      </c>
      <c r="S1791" s="21">
        <f>Table1[[#This Row],[5. Lợi nhuận gộp về bán hàng và cung cấp dịch vụ]]/Table1[[#This Row],[TỔNG CỘNG TÀI SẢN]]</f>
        <v>0.37843222591309533</v>
      </c>
      <c r="T179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1.3372172920671086</v>
      </c>
      <c r="U1791" s="23">
        <f>Table1[[#This Row],[1. Doanh thu bán hàng và cung cấp dịch vụ ]]/Table1[[#This Row],[TỔNG CỘNG TÀI SẢN]]</f>
        <v>11.294864971417921</v>
      </c>
      <c r="V1791" s="23">
        <f>1.2*Table1[[#This Row],[X1]] + 1.4*Table1[[#This Row],[X2]] + 3.3*Table1[[#This Row],[x3]] + 0.6*Table1[[#This Row],[x4]] + 1*Table1[[#This Row],[x5]]</f>
        <v>14.143476633010543</v>
      </c>
      <c r="W1791" s="23">
        <f>IF(Table1[[#This Row],[Zscore]]&lt;1.81,1,0)</f>
        <v>0</v>
      </c>
    </row>
    <row r="1792" spans="1:23" ht="26.25" x14ac:dyDescent="0.45">
      <c r="A1792" s="7">
        <v>1786</v>
      </c>
      <c r="B1792" s="5" t="s">
        <v>3583</v>
      </c>
      <c r="C1792" s="6" t="s">
        <v>3584</v>
      </c>
      <c r="D1792" s="6" t="s">
        <v>36</v>
      </c>
      <c r="E1792" s="8">
        <v>345424063725</v>
      </c>
      <c r="F1792" s="8">
        <v>219575579955</v>
      </c>
      <c r="G1792" s="8">
        <v>104568735717</v>
      </c>
      <c r="H1792" s="8">
        <v>52965359561</v>
      </c>
      <c r="I1792" s="8">
        <v>223199723257</v>
      </c>
      <c r="J1792" s="8"/>
      <c r="K1792" s="8">
        <v>104568735717</v>
      </c>
      <c r="L1792" s="8">
        <v>547608342011</v>
      </c>
      <c r="M1792" s="8">
        <v>1185236771000</v>
      </c>
      <c r="N1792" s="8">
        <v>1541741059600</v>
      </c>
      <c r="O1792" s="8">
        <v>935123814600</v>
      </c>
      <c r="P1792" s="8">
        <v>1045248176000</v>
      </c>
      <c r="Q1792" s="18">
        <f>(Table1[[#This Row],[A. TÀI SẢN NGẮN HẠN]]-Table1[[#This Row],[I. Nợ ngắn hạn]])/Table1[[#This Row],[TỔNG CỘNG TÀI SẢN]]</f>
        <v>0.33294392694528535</v>
      </c>
      <c r="R1792" s="18">
        <f>Table1[[#This Row],[- LNST chưa phân phối kỳ này]]/Table1[[#This Row],[TỔNG CỘNG TÀI SẢN]]</f>
        <v>0.15333430737230552</v>
      </c>
      <c r="S1792" s="21">
        <f>Table1[[#This Row],[5. Lợi nhuận gộp về bán hàng và cung cấp dịch vụ]]/Table1[[#This Row],[TỔNG CỘNG TÀI SẢN]]</f>
        <v>0.64616147714217853</v>
      </c>
      <c r="T179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11.254199902396627</v>
      </c>
      <c r="U1792" s="23">
        <f>Table1[[#This Row],[1. Doanh thu bán hàng và cung cấp dịch vụ ]]/Table1[[#This Row],[TỔNG CỘNG TÀI SẢN]]</f>
        <v>1.5853219260571363</v>
      </c>
      <c r="V1792" s="23">
        <f>1.2*Table1[[#This Row],[X1]] + 1.4*Table1[[#This Row],[X2]] + 3.3*Table1[[#This Row],[x3]] + 0.6*Table1[[#This Row],[x4]] + 1*Table1[[#This Row],[x5]]</f>
        <v>11.084375484719871</v>
      </c>
      <c r="W1792" s="23">
        <f>IF(Table1[[#This Row],[Zscore]]&lt;1.81,1,0)</f>
        <v>0</v>
      </c>
    </row>
    <row r="1793" spans="1:23" hidden="1" x14ac:dyDescent="0.45">
      <c r="A1793" s="7">
        <v>1787</v>
      </c>
      <c r="B1793" s="5" t="s">
        <v>3585</v>
      </c>
      <c r="C1793" s="6" t="s">
        <v>3586</v>
      </c>
      <c r="D1793" s="6" t="s">
        <v>13</v>
      </c>
      <c r="E1793" s="6"/>
      <c r="F1793" s="6"/>
      <c r="G1793" s="6"/>
      <c r="H1793" s="6"/>
      <c r="I1793" s="6"/>
      <c r="J1793" s="8"/>
      <c r="K1793" s="6"/>
      <c r="L1793" s="6"/>
      <c r="M1793" s="8"/>
      <c r="N1793" s="8"/>
      <c r="O1793" s="8"/>
      <c r="P1793" s="8"/>
      <c r="Q1793" s="18" t="e">
        <f>(Table1[[#This Row],[A. TÀI SẢN NGẮN HẠN]]-Table1[[#This Row],[I. Nợ ngắn hạn]])/Table1[[#This Row],[TỔNG CỘNG TÀI SẢN]]</f>
        <v>#DIV/0!</v>
      </c>
      <c r="R1793" s="18" t="e">
        <f>Table1[[#This Row],[- LNST chưa phân phối kỳ này]]/Table1[[#This Row],[TỔNG CỘNG TÀI SẢN]]</f>
        <v>#DIV/0!</v>
      </c>
      <c r="S1793" s="21" t="e">
        <f>Table1[[#This Row],[5. Lợi nhuận gộp về bán hàng và cung cấp dịch vụ]]/Table1[[#This Row],[TỔNG CỘNG TÀI SẢN]]</f>
        <v>#DIV/0!</v>
      </c>
      <c r="T179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793" s="23" t="e">
        <f>Table1[[#This Row],[1. Doanh thu bán hàng và cung cấp dịch vụ ]]/Table1[[#This Row],[TỔNG CỘNG TÀI SẢN]]</f>
        <v>#DIV/0!</v>
      </c>
      <c r="V1793" s="23" t="e">
        <f>1.2*Table1[[#This Row],[X1]] + 1.4*Table1[[#This Row],[X2]] + 3.3*Table1[[#This Row],[x3]] + 0.6*Table1[[#This Row],[x4]] + 1*Table1[[#This Row],[x5]]</f>
        <v>#DIV/0!</v>
      </c>
      <c r="W1793" s="23" t="e">
        <f>IF(Table1[[#This Row],[Zscore]]&lt;1.81,1,0)</f>
        <v>#DIV/0!</v>
      </c>
    </row>
    <row r="1794" spans="1:23" ht="26.25" x14ac:dyDescent="0.45">
      <c r="A1794" s="7">
        <v>1788</v>
      </c>
      <c r="B1794" s="5" t="s">
        <v>3587</v>
      </c>
      <c r="C1794" s="6" t="s">
        <v>3588</v>
      </c>
      <c r="D1794" s="6" t="s">
        <v>21</v>
      </c>
      <c r="E1794" s="8">
        <v>1520490951996</v>
      </c>
      <c r="F1794" s="8">
        <v>564015617217</v>
      </c>
      <c r="G1794" s="8">
        <v>775946086928</v>
      </c>
      <c r="H1794" s="8">
        <v>20660967688</v>
      </c>
      <c r="I1794" s="8">
        <v>282948428206</v>
      </c>
      <c r="J1794" s="8"/>
      <c r="K1794" s="8">
        <v>829448691180</v>
      </c>
      <c r="L1794" s="8">
        <v>1783344963271</v>
      </c>
      <c r="M1794" s="8">
        <v>386907921300</v>
      </c>
      <c r="N1794" s="8">
        <v>319256955420</v>
      </c>
      <c r="O1794" s="8">
        <v>391078186320</v>
      </c>
      <c r="P1794" s="8">
        <v>430927385400</v>
      </c>
      <c r="Q1794" s="18">
        <f>(Table1[[#This Row],[A. TÀI SẢN NGẮN HẠN]]-Table1[[#This Row],[I. Nợ ngắn hạn]])/Table1[[#This Row],[TỔNG CỘNG TÀI SẢN]]</f>
        <v>-0.1393829206499333</v>
      </c>
      <c r="R1794" s="18">
        <f>Table1[[#This Row],[- LNST chưa phân phối kỳ này]]/Table1[[#This Row],[TỔNG CỘNG TÀI SẢN]]</f>
        <v>1.3588352933555868E-2</v>
      </c>
      <c r="S1794" s="21">
        <f>Table1[[#This Row],[5. Lợi nhuận gộp về bán hàng và cung cấp dịch vụ]]/Table1[[#This Row],[TỔNG CỘNG TÀI SẢN]]</f>
        <v>0.18609017556767701</v>
      </c>
      <c r="T179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0.46059824576550246</v>
      </c>
      <c r="U1794" s="23">
        <f>Table1[[#This Row],[1. Doanh thu bán hàng và cung cấp dịch vụ ]]/Table1[[#This Row],[TỔNG CỘNG TÀI SẢN]]</f>
        <v>1.172874433044105</v>
      </c>
      <c r="V1794" s="23">
        <f>1.2*Table1[[#This Row],[X1]] + 1.4*Table1[[#This Row],[X2]] + 3.3*Table1[[#This Row],[x3]] + 0.6*Table1[[#This Row],[x4]] + 1*Table1[[#This Row],[x5]]</f>
        <v>1.9150951492037989</v>
      </c>
      <c r="W1794" s="23">
        <f>IF(Table1[[#This Row],[Zscore]]&lt;1.81,1,0)</f>
        <v>0</v>
      </c>
    </row>
    <row r="1795" spans="1:23" hidden="1" x14ac:dyDescent="0.45">
      <c r="A1795" s="7">
        <v>1789</v>
      </c>
      <c r="B1795" s="5" t="s">
        <v>3589</v>
      </c>
      <c r="C1795" s="6" t="s">
        <v>3590</v>
      </c>
      <c r="D1795" s="6" t="s">
        <v>18</v>
      </c>
      <c r="E1795" s="6"/>
      <c r="F1795" s="6"/>
      <c r="G1795" s="6"/>
      <c r="H1795" s="6"/>
      <c r="I1795" s="6"/>
      <c r="J1795" s="8"/>
      <c r="K1795" s="6"/>
      <c r="L1795" s="6"/>
      <c r="M1795" s="8"/>
      <c r="N1795" s="8"/>
      <c r="O1795" s="8"/>
      <c r="P1795" s="8"/>
      <c r="Q1795" s="18" t="e">
        <f>(Table1[[#This Row],[A. TÀI SẢN NGẮN HẠN]]-Table1[[#This Row],[I. Nợ ngắn hạn]])/Table1[[#This Row],[TỔNG CỘNG TÀI SẢN]]</f>
        <v>#DIV/0!</v>
      </c>
      <c r="R1795" s="18" t="e">
        <f>Table1[[#This Row],[- LNST chưa phân phối kỳ này]]/Table1[[#This Row],[TỔNG CỘNG TÀI SẢN]]</f>
        <v>#DIV/0!</v>
      </c>
      <c r="S1795" s="21" t="e">
        <f>Table1[[#This Row],[5. Lợi nhuận gộp về bán hàng và cung cấp dịch vụ]]/Table1[[#This Row],[TỔNG CỘNG TÀI SẢN]]</f>
        <v>#DIV/0!</v>
      </c>
      <c r="T179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795" s="23" t="e">
        <f>Table1[[#This Row],[1. Doanh thu bán hàng và cung cấp dịch vụ ]]/Table1[[#This Row],[TỔNG CỘNG TÀI SẢN]]</f>
        <v>#DIV/0!</v>
      </c>
      <c r="V1795" s="23" t="e">
        <f>1.2*Table1[[#This Row],[X1]] + 1.4*Table1[[#This Row],[X2]] + 3.3*Table1[[#This Row],[x3]] + 0.6*Table1[[#This Row],[x4]] + 1*Table1[[#This Row],[x5]]</f>
        <v>#DIV/0!</v>
      </c>
      <c r="W1795" s="23" t="e">
        <f>IF(Table1[[#This Row],[Zscore]]&lt;1.81,1,0)</f>
        <v>#DIV/0!</v>
      </c>
    </row>
    <row r="1796" spans="1:23" hidden="1" x14ac:dyDescent="0.45">
      <c r="A1796" s="7">
        <v>1790</v>
      </c>
      <c r="B1796" s="5" t="s">
        <v>3591</v>
      </c>
      <c r="C1796" s="6" t="s">
        <v>3592</v>
      </c>
      <c r="D1796" s="6" t="s">
        <v>13</v>
      </c>
      <c r="E1796" s="6"/>
      <c r="F1796" s="6"/>
      <c r="G1796" s="6"/>
      <c r="H1796" s="6"/>
      <c r="I1796" s="6"/>
      <c r="J1796" s="8"/>
      <c r="K1796" s="6"/>
      <c r="L1796" s="6"/>
      <c r="M1796" s="8"/>
      <c r="N1796" s="8"/>
      <c r="O1796" s="8"/>
      <c r="P1796" s="8"/>
      <c r="Q1796" s="18" t="e">
        <f>(Table1[[#This Row],[A. TÀI SẢN NGẮN HẠN]]-Table1[[#This Row],[I. Nợ ngắn hạn]])/Table1[[#This Row],[TỔNG CỘNG TÀI SẢN]]</f>
        <v>#DIV/0!</v>
      </c>
      <c r="R1796" s="18" t="e">
        <f>Table1[[#This Row],[- LNST chưa phân phối kỳ này]]/Table1[[#This Row],[TỔNG CỘNG TÀI SẢN]]</f>
        <v>#DIV/0!</v>
      </c>
      <c r="S1796" s="21" t="e">
        <f>Table1[[#This Row],[5. Lợi nhuận gộp về bán hàng và cung cấp dịch vụ]]/Table1[[#This Row],[TỔNG CỘNG TÀI SẢN]]</f>
        <v>#DIV/0!</v>
      </c>
      <c r="T179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796" s="23" t="e">
        <f>Table1[[#This Row],[1. Doanh thu bán hàng và cung cấp dịch vụ ]]/Table1[[#This Row],[TỔNG CỘNG TÀI SẢN]]</f>
        <v>#DIV/0!</v>
      </c>
      <c r="V1796" s="23" t="e">
        <f>1.2*Table1[[#This Row],[X1]] + 1.4*Table1[[#This Row],[X2]] + 3.3*Table1[[#This Row],[x3]] + 0.6*Table1[[#This Row],[x4]] + 1*Table1[[#This Row],[x5]]</f>
        <v>#DIV/0!</v>
      </c>
      <c r="W1796" s="23" t="e">
        <f>IF(Table1[[#This Row],[Zscore]]&lt;1.81,1,0)</f>
        <v>#DIV/0!</v>
      </c>
    </row>
    <row r="1797" spans="1:23" x14ac:dyDescent="0.45">
      <c r="A1797" s="7">
        <v>1791</v>
      </c>
      <c r="B1797" s="5" t="s">
        <v>3593</v>
      </c>
      <c r="C1797" s="6" t="s">
        <v>3594</v>
      </c>
      <c r="D1797" s="6" t="s">
        <v>36</v>
      </c>
      <c r="E1797" s="8">
        <v>282248354438</v>
      </c>
      <c r="F1797" s="8">
        <v>226163639146</v>
      </c>
      <c r="G1797" s="8">
        <v>207297651304</v>
      </c>
      <c r="H1797" s="8">
        <v>8402355131</v>
      </c>
      <c r="I1797" s="8">
        <v>66468493628</v>
      </c>
      <c r="J1797" s="8"/>
      <c r="K1797" s="8">
        <v>208855377868</v>
      </c>
      <c r="L1797" s="8">
        <v>682350277032</v>
      </c>
      <c r="M1797" s="8">
        <v>56700000000</v>
      </c>
      <c r="N1797" s="8">
        <v>52500000000</v>
      </c>
      <c r="O1797" s="8">
        <v>57120000000</v>
      </c>
      <c r="P1797" s="8">
        <v>56700000000</v>
      </c>
      <c r="Q1797" s="18">
        <f>(Table1[[#This Row],[A. TÀI SẢN NGẮN HẠN]]-Table1[[#This Row],[I. Nợ ngắn hạn]])/Table1[[#This Row],[TỔNG CỘNG TÀI SẢN]]</f>
        <v>6.6841799235871871E-2</v>
      </c>
      <c r="R1797" s="18">
        <f>Table1[[#This Row],[- LNST chưa phân phối kỳ này]]/Table1[[#This Row],[TỔNG CỘNG TÀI SẢN]]</f>
        <v>2.976936800120725E-2</v>
      </c>
      <c r="S1797" s="21">
        <f>Table1[[#This Row],[5. Lợi nhuận gộp về bán hàng và cung cấp dịch vụ]]/Table1[[#This Row],[TỔNG CỘNG TÀI SẢN]]</f>
        <v>0.23549647883811056</v>
      </c>
      <c r="T179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0.26695506033480293</v>
      </c>
      <c r="U1797" s="23">
        <f>Table1[[#This Row],[1. Doanh thu bán hàng và cung cấp dịch vụ ]]/Table1[[#This Row],[TỔNG CỘNG TÀI SẢN]]</f>
        <v>2.417552720159041</v>
      </c>
      <c r="V1797" s="23">
        <f>1.2*Table1[[#This Row],[X1]] + 1.4*Table1[[#This Row],[X2]] + 3.3*Table1[[#This Row],[x3]] + 0.6*Table1[[#This Row],[x4]] + 1*Table1[[#This Row],[x5]]</f>
        <v>3.476751410810424</v>
      </c>
      <c r="W1797" s="23">
        <f>IF(Table1[[#This Row],[Zscore]]&lt;1.81,1,0)</f>
        <v>0</v>
      </c>
    </row>
    <row r="1798" spans="1:23" x14ac:dyDescent="0.45">
      <c r="A1798" s="7">
        <v>1792</v>
      </c>
      <c r="B1798" s="5" t="s">
        <v>3595</v>
      </c>
      <c r="C1798" s="6" t="s">
        <v>3596</v>
      </c>
      <c r="D1798" s="6" t="s">
        <v>36</v>
      </c>
      <c r="E1798" s="8">
        <v>353832867836</v>
      </c>
      <c r="F1798" s="8">
        <v>221259182166</v>
      </c>
      <c r="G1798" s="8">
        <v>168847354835</v>
      </c>
      <c r="H1798" s="8">
        <v>32449697663</v>
      </c>
      <c r="I1798" s="8">
        <v>141478415108</v>
      </c>
      <c r="J1798" s="8"/>
      <c r="K1798" s="8">
        <v>172048724835</v>
      </c>
      <c r="L1798" s="8">
        <v>1222564878193</v>
      </c>
      <c r="M1798" s="8">
        <v>260704146400</v>
      </c>
      <c r="N1798" s="8">
        <v>249181311200</v>
      </c>
      <c r="O1798" s="8">
        <v>234777767200</v>
      </c>
      <c r="P1798" s="8">
        <v>253502374400</v>
      </c>
      <c r="Q1798" s="18">
        <f>(Table1[[#This Row],[A. TÀI SẢN NGẮN HẠN]]-Table1[[#This Row],[I. Nợ ngắn hạn]])/Table1[[#This Row],[TỔNG CỘNG TÀI SẢN]]</f>
        <v>0.14812594333461598</v>
      </c>
      <c r="R1798" s="18">
        <f>Table1[[#This Row],[- LNST chưa phân phối kỳ này]]/Table1[[#This Row],[TỔNG CỘNG TÀI SẢN]]</f>
        <v>9.1709110748977377E-2</v>
      </c>
      <c r="S1798" s="21">
        <f>Table1[[#This Row],[5. Lợi nhuận gộp về bán hàng và cung cấp dịch vụ]]/Table1[[#This Row],[TỔNG CỘNG TÀI SẢN]]</f>
        <v>0.39984531672612911</v>
      </c>
      <c r="T179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1.4504112136798331</v>
      </c>
      <c r="U1798" s="23">
        <f>Table1[[#This Row],[1. Doanh thu bán hàng và cung cấp dịch vụ ]]/Table1[[#This Row],[TỔNG CỘNG TÀI SẢN]]</f>
        <v>3.4552043897732347</v>
      </c>
      <c r="V1798" s="23">
        <f>1.2*Table1[[#This Row],[X1]] + 1.4*Table1[[#This Row],[X2]] + 3.3*Table1[[#This Row],[x3]] + 0.6*Table1[[#This Row],[x4]] + 1*Table1[[#This Row],[x5]]</f>
        <v>5.9510845502274687</v>
      </c>
      <c r="W1798" s="23">
        <f>IF(Table1[[#This Row],[Zscore]]&lt;1.81,1,0)</f>
        <v>0</v>
      </c>
    </row>
    <row r="1799" spans="1:23" ht="26.25" hidden="1" x14ac:dyDescent="0.45">
      <c r="A1799" s="7">
        <v>1793</v>
      </c>
      <c r="B1799" s="5" t="s">
        <v>3597</v>
      </c>
      <c r="C1799" s="6" t="s">
        <v>3598</v>
      </c>
      <c r="D1799" s="6" t="s">
        <v>18</v>
      </c>
      <c r="E1799" s="8">
        <v>111161751198</v>
      </c>
      <c r="F1799" s="8">
        <v>101011213999</v>
      </c>
      <c r="G1799" s="8">
        <v>28886191780</v>
      </c>
      <c r="H1799" s="8">
        <v>2404765376</v>
      </c>
      <c r="I1799" s="8">
        <v>26947199761</v>
      </c>
      <c r="J1799" s="8"/>
      <c r="K1799" s="8">
        <v>33243017680</v>
      </c>
      <c r="L1799" s="8">
        <v>190989385964</v>
      </c>
      <c r="M1799" s="8"/>
      <c r="N1799" s="8"/>
      <c r="O1799" s="8"/>
      <c r="P1799" s="8"/>
      <c r="Q1799" s="18">
        <f>(Table1[[#This Row],[A. TÀI SẢN NGẮN HẠN]]-Table1[[#This Row],[I. Nợ ngắn hạn]])/Table1[[#This Row],[TỔNG CỘNG TÀI SẢN]]</f>
        <v>0.648829488935738</v>
      </c>
      <c r="R1799" s="18">
        <f>Table1[[#This Row],[- LNST chưa phân phối kỳ này]]/Table1[[#This Row],[TỔNG CỘNG TÀI SẢN]]</f>
        <v>2.1633028897832494E-2</v>
      </c>
      <c r="S1799" s="21">
        <f>Table1[[#This Row],[5. Lợi nhuận gộp về bán hàng và cung cấp dịch vụ]]/Table1[[#This Row],[TỔNG CỘNG TÀI SẢN]]</f>
        <v>0.24241431491126805</v>
      </c>
      <c r="T179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799" s="23">
        <f>Table1[[#This Row],[1. Doanh thu bán hàng và cung cấp dịch vụ ]]/Table1[[#This Row],[TỔNG CỘNG TÀI SẢN]]</f>
        <v>1.7181214213134512</v>
      </c>
      <c r="V1799" s="23" t="e">
        <f>1.2*Table1[[#This Row],[X1]] + 1.4*Table1[[#This Row],[X2]] + 3.3*Table1[[#This Row],[x3]] + 0.6*Table1[[#This Row],[x4]] + 1*Table1[[#This Row],[x5]]</f>
        <v>#DIV/0!</v>
      </c>
      <c r="W1799" s="23" t="e">
        <f>IF(Table1[[#This Row],[Zscore]]&lt;1.81,1,0)</f>
        <v>#DIV/0!</v>
      </c>
    </row>
    <row r="1800" spans="1:23" x14ac:dyDescent="0.45">
      <c r="A1800" s="7">
        <v>1794</v>
      </c>
      <c r="B1800" s="5" t="s">
        <v>3599</v>
      </c>
      <c r="C1800" s="6" t="s">
        <v>3600</v>
      </c>
      <c r="D1800" s="6" t="s">
        <v>18</v>
      </c>
      <c r="E1800" s="8">
        <v>673133548081</v>
      </c>
      <c r="F1800" s="8">
        <v>40346879513</v>
      </c>
      <c r="G1800" s="8">
        <v>93803973731</v>
      </c>
      <c r="H1800" s="8">
        <v>7200309186</v>
      </c>
      <c r="I1800" s="8">
        <v>120681084119</v>
      </c>
      <c r="J1800" s="8"/>
      <c r="K1800" s="8">
        <v>93803973731</v>
      </c>
      <c r="L1800" s="8">
        <v>355520499649</v>
      </c>
      <c r="M1800" s="8">
        <v>1849993784000</v>
      </c>
      <c r="N1800" s="8">
        <v>1749994120000</v>
      </c>
      <c r="O1800" s="8">
        <v>1999993280000</v>
      </c>
      <c r="P1800" s="8">
        <v>1799993952000</v>
      </c>
      <c r="Q1800" s="18">
        <f>(Table1[[#This Row],[A. TÀI SẢN NGẮN HẠN]]-Table1[[#This Row],[I. Nợ ngắn hạn]])/Table1[[#This Row],[TỔNG CỘNG TÀI SẢN]]</f>
        <v>-7.9415287457292746E-2</v>
      </c>
      <c r="R1800" s="18">
        <f>Table1[[#This Row],[- LNST chưa phân phối kỳ này]]/Table1[[#This Row],[TỔNG CỘNG TÀI SẢN]]</f>
        <v>1.0696702320849958E-2</v>
      </c>
      <c r="S1800" s="21">
        <f>Table1[[#This Row],[5. Lợi nhuận gộp về bán hàng và cung cấp dịch vụ]]/Table1[[#This Row],[TỔNG CỘNG TÀI SẢN]]</f>
        <v>0.17928252790704485</v>
      </c>
      <c r="T180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19.721912733731244</v>
      </c>
      <c r="U1800" s="23">
        <f>Table1[[#This Row],[1. Doanh thu bán hàng và cung cấp dịch vụ ]]/Table1[[#This Row],[TỔNG CỘNG TÀI SẢN]]</f>
        <v>0.52815745205766995</v>
      </c>
      <c r="V1800" s="23">
        <f>1.2*Table1[[#This Row],[X1]] + 1.4*Table1[[#This Row],[X2]] + 3.3*Table1[[#This Row],[x3]] + 0.6*Table1[[#This Row],[x4]] + 1*Table1[[#This Row],[x5]]</f>
        <v>12.872614472690103</v>
      </c>
      <c r="W1800" s="23">
        <f>IF(Table1[[#This Row],[Zscore]]&lt;1.81,1,0)</f>
        <v>0</v>
      </c>
    </row>
    <row r="1801" spans="1:23" x14ac:dyDescent="0.45">
      <c r="A1801" s="7">
        <v>1795</v>
      </c>
      <c r="B1801" s="5" t="s">
        <v>3601</v>
      </c>
      <c r="C1801" s="6" t="s">
        <v>3602</v>
      </c>
      <c r="D1801" s="6" t="s">
        <v>21</v>
      </c>
      <c r="E1801" s="8">
        <v>546585930100</v>
      </c>
      <c r="F1801" s="8">
        <v>485241374028</v>
      </c>
      <c r="G1801" s="8">
        <v>361757916361</v>
      </c>
      <c r="H1801" s="8">
        <v>2043106470</v>
      </c>
      <c r="I1801" s="8">
        <v>227982953716</v>
      </c>
      <c r="J1801" s="8"/>
      <c r="K1801" s="8">
        <v>362884916361</v>
      </c>
      <c r="L1801" s="8">
        <v>601204316112</v>
      </c>
      <c r="M1801" s="8">
        <v>204107733900</v>
      </c>
      <c r="N1801" s="8">
        <v>201407896150</v>
      </c>
      <c r="O1801" s="8">
        <v>240285559750</v>
      </c>
      <c r="P1801" s="8">
        <v>311561276350</v>
      </c>
      <c r="Q1801" s="18">
        <f>(Table1[[#This Row],[A. TÀI SẢN NGẮN HẠN]]-Table1[[#This Row],[I. Nợ ngắn hạn]])/Table1[[#This Row],[TỔNG CỘNG TÀI SẢN]]</f>
        <v>0.22591773931028233</v>
      </c>
      <c r="R1801" s="18">
        <f>Table1[[#This Row],[- LNST chưa phân phối kỳ này]]/Table1[[#This Row],[TỔNG CỘNG TÀI SẢN]]</f>
        <v>3.7379419364603947E-3</v>
      </c>
      <c r="S1801" s="21">
        <f>Table1[[#This Row],[5. Lợi nhuận gộp về bán hàng và cung cấp dịch vụ]]/Table1[[#This Row],[TỔNG CỘNG TÀI SẢN]]</f>
        <v>0.41710359005086289</v>
      </c>
      <c r="T180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0.65954964162633467</v>
      </c>
      <c r="U1801" s="23">
        <f>Table1[[#This Row],[1. Doanh thu bán hàng và cung cấp dịch vụ ]]/Table1[[#This Row],[TỔNG CỘNG TÀI SẢN]]</f>
        <v>1.0999264397493864</v>
      </c>
      <c r="V1801" s="23">
        <f>1.2*Table1[[#This Row],[X1]] + 1.4*Table1[[#This Row],[X2]] + 3.3*Table1[[#This Row],[x3]] + 0.6*Table1[[#This Row],[x4]] + 1*Table1[[#This Row],[x5]]</f>
        <v>3.1484324777764181</v>
      </c>
      <c r="W1801" s="23">
        <f>IF(Table1[[#This Row],[Zscore]]&lt;1.81,1,0)</f>
        <v>0</v>
      </c>
    </row>
    <row r="1802" spans="1:23" hidden="1" x14ac:dyDescent="0.45">
      <c r="A1802" s="7">
        <v>1796</v>
      </c>
      <c r="B1802" s="5" t="s">
        <v>3603</v>
      </c>
      <c r="C1802" s="6" t="s">
        <v>3604</v>
      </c>
      <c r="D1802" s="6" t="s">
        <v>18</v>
      </c>
      <c r="E1802" s="8">
        <v>124422494195</v>
      </c>
      <c r="F1802" s="8">
        <v>63395050798</v>
      </c>
      <c r="G1802" s="8">
        <v>74643581237</v>
      </c>
      <c r="H1802" s="8">
        <v>1043656822</v>
      </c>
      <c r="I1802" s="8">
        <v>94406205879</v>
      </c>
      <c r="J1802" s="8"/>
      <c r="K1802" s="8">
        <v>79801535078</v>
      </c>
      <c r="L1802" s="8">
        <v>3189749186607</v>
      </c>
      <c r="M1802" s="8"/>
      <c r="N1802" s="8"/>
      <c r="O1802" s="8"/>
      <c r="P1802" s="8"/>
      <c r="Q1802" s="18">
        <f>(Table1[[#This Row],[A. TÀI SẢN NGẮN HẠN]]-Table1[[#This Row],[I. Nợ ngắn hạn]])/Table1[[#This Row],[TỔNG CỘNG TÀI SẢN]]</f>
        <v>-9.0405923075057834E-2</v>
      </c>
      <c r="R1802" s="18">
        <f>Table1[[#This Row],[- LNST chưa phân phối kỳ này]]/Table1[[#This Row],[TỔNG CỘNG TÀI SẢN]]</f>
        <v>8.388007560468435E-3</v>
      </c>
      <c r="S1802" s="21">
        <f>Table1[[#This Row],[5. Lợi nhuận gộp về bán hàng và cung cấp dịch vụ]]/Table1[[#This Row],[TỔNG CỘNG TÀI SẢN]]</f>
        <v>0.75875513097368674</v>
      </c>
      <c r="T180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802" s="23">
        <f>Table1[[#This Row],[1. Doanh thu bán hàng và cung cấp dịch vụ ]]/Table1[[#This Row],[TỔNG CỘNG TÀI SẢN]]</f>
        <v>25.6364350131729</v>
      </c>
      <c r="V1802" s="23" t="e">
        <f>1.2*Table1[[#This Row],[X1]] + 1.4*Table1[[#This Row],[X2]] + 3.3*Table1[[#This Row],[x3]] + 0.6*Table1[[#This Row],[x4]] + 1*Table1[[#This Row],[x5]]</f>
        <v>#DIV/0!</v>
      </c>
      <c r="W1802" s="23" t="e">
        <f>IF(Table1[[#This Row],[Zscore]]&lt;1.81,1,0)</f>
        <v>#DIV/0!</v>
      </c>
    </row>
    <row r="1803" spans="1:23" hidden="1" x14ac:dyDescent="0.45">
      <c r="A1803" s="7">
        <v>1797</v>
      </c>
      <c r="B1803" s="5" t="s">
        <v>3605</v>
      </c>
      <c r="C1803" s="6" t="s">
        <v>3606</v>
      </c>
      <c r="D1803" s="6" t="s">
        <v>18</v>
      </c>
      <c r="E1803" s="6"/>
      <c r="F1803" s="6"/>
      <c r="G1803" s="6"/>
      <c r="H1803" s="6"/>
      <c r="I1803" s="6"/>
      <c r="J1803" s="8"/>
      <c r="K1803" s="6"/>
      <c r="L1803" s="6"/>
      <c r="M1803" s="8"/>
      <c r="N1803" s="8"/>
      <c r="O1803" s="8"/>
      <c r="P1803" s="8"/>
      <c r="Q1803" s="18" t="e">
        <f>(Table1[[#This Row],[A. TÀI SẢN NGẮN HẠN]]-Table1[[#This Row],[I. Nợ ngắn hạn]])/Table1[[#This Row],[TỔNG CỘNG TÀI SẢN]]</f>
        <v>#DIV/0!</v>
      </c>
      <c r="R1803" s="18" t="e">
        <f>Table1[[#This Row],[- LNST chưa phân phối kỳ này]]/Table1[[#This Row],[TỔNG CỘNG TÀI SẢN]]</f>
        <v>#DIV/0!</v>
      </c>
      <c r="S1803" s="21" t="e">
        <f>Table1[[#This Row],[5. Lợi nhuận gộp về bán hàng và cung cấp dịch vụ]]/Table1[[#This Row],[TỔNG CỘNG TÀI SẢN]]</f>
        <v>#DIV/0!</v>
      </c>
      <c r="T180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803" s="23" t="e">
        <f>Table1[[#This Row],[1. Doanh thu bán hàng và cung cấp dịch vụ ]]/Table1[[#This Row],[TỔNG CỘNG TÀI SẢN]]</f>
        <v>#DIV/0!</v>
      </c>
      <c r="V1803" s="23" t="e">
        <f>1.2*Table1[[#This Row],[X1]] + 1.4*Table1[[#This Row],[X2]] + 3.3*Table1[[#This Row],[x3]] + 0.6*Table1[[#This Row],[x4]] + 1*Table1[[#This Row],[x5]]</f>
        <v>#DIV/0!</v>
      </c>
      <c r="W1803" s="23" t="e">
        <f>IF(Table1[[#This Row],[Zscore]]&lt;1.81,1,0)</f>
        <v>#DIV/0!</v>
      </c>
    </row>
    <row r="1804" spans="1:23" x14ac:dyDescent="0.45">
      <c r="A1804" s="7">
        <v>1798</v>
      </c>
      <c r="B1804" s="5" t="s">
        <v>3607</v>
      </c>
      <c r="C1804" s="6" t="s">
        <v>3608</v>
      </c>
      <c r="D1804" s="6" t="s">
        <v>21</v>
      </c>
      <c r="E1804" s="8">
        <v>20168475768890</v>
      </c>
      <c r="F1804" s="8">
        <v>18617297232257</v>
      </c>
      <c r="G1804" s="8">
        <v>6878322933176</v>
      </c>
      <c r="H1804" s="8">
        <v>2829338825192</v>
      </c>
      <c r="I1804" s="8">
        <v>7703168462182</v>
      </c>
      <c r="J1804" s="8"/>
      <c r="K1804" s="8">
        <v>6892720947176</v>
      </c>
      <c r="L1804" s="8">
        <v>35410589612616</v>
      </c>
      <c r="M1804" s="8">
        <v>28147504576100</v>
      </c>
      <c r="N1804" s="8">
        <v>33091463379000</v>
      </c>
      <c r="O1804" s="8">
        <v>28079923532700</v>
      </c>
      <c r="P1804" s="8">
        <v>28079923532700</v>
      </c>
      <c r="Q1804" s="18">
        <f>(Table1[[#This Row],[A. TÀI SẢN NGẮN HẠN]]-Table1[[#This Row],[I. Nợ ngắn hạn]])/Table1[[#This Row],[TỔNG CỘNG TÀI SẢN]]</f>
        <v>0.58204568523658295</v>
      </c>
      <c r="R1804" s="18">
        <f>Table1[[#This Row],[- LNST chưa phân phối kỳ này]]/Table1[[#This Row],[TỔNG CỘNG TÀI SẢN]]</f>
        <v>0.14028520834262909</v>
      </c>
      <c r="S1804" s="21">
        <f>Table1[[#This Row],[5. Lợi nhuận gộp về bán hàng và cung cấp dịch vụ]]/Table1[[#This Row],[TỔNG CỘNG TÀI SẢN]]</f>
        <v>0.38194103265176765</v>
      </c>
      <c r="T180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4.2580722446263835</v>
      </c>
      <c r="U1804" s="23">
        <f>Table1[[#This Row],[1. Doanh thu bán hàng và cung cấp dịch vụ ]]/Table1[[#This Row],[TỔNG CỘNG TÀI SẢN]]</f>
        <v>1.7557395024981044</v>
      </c>
      <c r="V1804" s="23">
        <f>1.2*Table1[[#This Row],[X1]] + 1.4*Table1[[#This Row],[X2]] + 3.3*Table1[[#This Row],[x3]] + 0.6*Table1[[#This Row],[x4]] + 1*Table1[[#This Row],[x5]]</f>
        <v>6.4658423709883479</v>
      </c>
      <c r="W1804" s="23">
        <f>IF(Table1[[#This Row],[Zscore]]&lt;1.81,1,0)</f>
        <v>0</v>
      </c>
    </row>
    <row r="1805" spans="1:23" x14ac:dyDescent="0.45">
      <c r="A1805" s="7">
        <v>1799</v>
      </c>
      <c r="B1805" s="5" t="s">
        <v>3609</v>
      </c>
      <c r="C1805" s="6" t="s">
        <v>3610</v>
      </c>
      <c r="D1805" s="6" t="s">
        <v>18</v>
      </c>
      <c r="E1805" s="8">
        <v>362451505859</v>
      </c>
      <c r="F1805" s="8">
        <v>209078661998</v>
      </c>
      <c r="G1805" s="8">
        <v>98933143148</v>
      </c>
      <c r="H1805" s="8">
        <v>28069340888</v>
      </c>
      <c r="I1805" s="8">
        <v>91168889418</v>
      </c>
      <c r="J1805" s="8"/>
      <c r="K1805" s="8">
        <v>126449282295</v>
      </c>
      <c r="L1805" s="8">
        <v>352693974996</v>
      </c>
      <c r="M1805" s="8">
        <v>362250000000</v>
      </c>
      <c r="N1805" s="8">
        <v>368690000000</v>
      </c>
      <c r="O1805" s="8">
        <v>354200000000</v>
      </c>
      <c r="P1805" s="8">
        <v>354200000000</v>
      </c>
      <c r="Q1805" s="18">
        <f>(Table1[[#This Row],[A. TÀI SẢN NGẮN HẠN]]-Table1[[#This Row],[I. Nợ ngắn hạn]])/Table1[[#This Row],[TỔNG CỘNG TÀI SẢN]]</f>
        <v>0.30389036069517267</v>
      </c>
      <c r="R1805" s="18">
        <f>Table1[[#This Row],[- LNST chưa phân phối kỳ này]]/Table1[[#This Row],[TỔNG CỘNG TÀI SẢN]]</f>
        <v>7.7443024609530703E-2</v>
      </c>
      <c r="S1805" s="21">
        <f>Table1[[#This Row],[5. Lợi nhuận gộp về bán hàng và cung cấp dịch vụ]]/Table1[[#This Row],[TỔNG CỘNG TÀI SẢN]]</f>
        <v>0.25153403405493452</v>
      </c>
      <c r="T180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2.8456863769342915</v>
      </c>
      <c r="U1805" s="23">
        <f>Table1[[#This Row],[1. Doanh thu bán hàng và cung cấp dịch vụ ]]/Table1[[#This Row],[TỔNG CỘNG TÀI SẢN]]</f>
        <v>0.97307907208200195</v>
      </c>
      <c r="V1805" s="23">
        <f>1.2*Table1[[#This Row],[X1]] + 1.4*Table1[[#This Row],[X2]] + 3.3*Table1[[#This Row],[x3]] + 0.6*Table1[[#This Row],[x4]] + 1*Table1[[#This Row],[x5]]</f>
        <v>3.9836418779114107</v>
      </c>
      <c r="W1805" s="23">
        <f>IF(Table1[[#This Row],[Zscore]]&lt;1.81,1,0)</f>
        <v>0</v>
      </c>
    </row>
    <row r="1806" spans="1:23" ht="26.25" hidden="1" x14ac:dyDescent="0.45">
      <c r="A1806" s="7">
        <v>1800</v>
      </c>
      <c r="B1806" s="5" t="s">
        <v>3611</v>
      </c>
      <c r="C1806" s="6" t="s">
        <v>3612</v>
      </c>
      <c r="D1806" s="6" t="s">
        <v>18</v>
      </c>
      <c r="E1806" s="6"/>
      <c r="F1806" s="6"/>
      <c r="G1806" s="6"/>
      <c r="H1806" s="6"/>
      <c r="I1806" s="6"/>
      <c r="J1806" s="8"/>
      <c r="K1806" s="6"/>
      <c r="L1806" s="6"/>
      <c r="M1806" s="8"/>
      <c r="N1806" s="8"/>
      <c r="O1806" s="8"/>
      <c r="P1806" s="8"/>
      <c r="Q1806" s="18" t="e">
        <f>(Table1[[#This Row],[A. TÀI SẢN NGẮN HẠN]]-Table1[[#This Row],[I. Nợ ngắn hạn]])/Table1[[#This Row],[TỔNG CỘNG TÀI SẢN]]</f>
        <v>#DIV/0!</v>
      </c>
      <c r="R1806" s="18" t="e">
        <f>Table1[[#This Row],[- LNST chưa phân phối kỳ này]]/Table1[[#This Row],[TỔNG CỘNG TÀI SẢN]]</f>
        <v>#DIV/0!</v>
      </c>
      <c r="S1806" s="21" t="e">
        <f>Table1[[#This Row],[5. Lợi nhuận gộp về bán hàng và cung cấp dịch vụ]]/Table1[[#This Row],[TỔNG CỘNG TÀI SẢN]]</f>
        <v>#DIV/0!</v>
      </c>
      <c r="T180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806" s="23" t="e">
        <f>Table1[[#This Row],[1. Doanh thu bán hàng và cung cấp dịch vụ ]]/Table1[[#This Row],[TỔNG CỘNG TÀI SẢN]]</f>
        <v>#DIV/0!</v>
      </c>
      <c r="V1806" s="23" t="e">
        <f>1.2*Table1[[#This Row],[X1]] + 1.4*Table1[[#This Row],[X2]] + 3.3*Table1[[#This Row],[x3]] + 0.6*Table1[[#This Row],[x4]] + 1*Table1[[#This Row],[x5]]</f>
        <v>#DIV/0!</v>
      </c>
      <c r="W1806" s="23" t="e">
        <f>IF(Table1[[#This Row],[Zscore]]&lt;1.81,1,0)</f>
        <v>#DIV/0!</v>
      </c>
    </row>
    <row r="1807" spans="1:23" hidden="1" x14ac:dyDescent="0.45">
      <c r="A1807" s="7">
        <v>1801</v>
      </c>
      <c r="B1807" s="5" t="s">
        <v>3613</v>
      </c>
      <c r="C1807" s="6" t="s">
        <v>3614</v>
      </c>
      <c r="D1807" s="6" t="s">
        <v>18</v>
      </c>
      <c r="E1807" s="8">
        <v>183170560002</v>
      </c>
      <c r="F1807" s="8">
        <v>85483450516</v>
      </c>
      <c r="G1807" s="8">
        <v>71146350602</v>
      </c>
      <c r="H1807" s="8">
        <v>415889905</v>
      </c>
      <c r="I1807" s="8">
        <v>66128048100</v>
      </c>
      <c r="J1807" s="8"/>
      <c r="K1807" s="8">
        <v>71151350602</v>
      </c>
      <c r="L1807" s="8">
        <v>2641235455008</v>
      </c>
      <c r="M1807" s="8"/>
      <c r="N1807" s="8"/>
      <c r="O1807" s="8"/>
      <c r="P1807" s="8"/>
      <c r="Q1807" s="18">
        <f>(Table1[[#This Row],[A. TÀI SẢN NGẮN HẠN]]-Table1[[#This Row],[I. Nợ ngắn hạn]])/Table1[[#This Row],[TỔNG CỘNG TÀI SẢN]]</f>
        <v>7.8271857190606697E-2</v>
      </c>
      <c r="R1807" s="18">
        <f>Table1[[#This Row],[- LNST chưa phân phối kỳ này]]/Table1[[#This Row],[TỔNG CỘNG TÀI SẢN]]</f>
        <v>2.2705062701967992E-3</v>
      </c>
      <c r="S1807" s="21">
        <f>Table1[[#This Row],[5. Lợi nhuận gộp về bán hàng và cung cấp dịch vụ]]/Table1[[#This Row],[TỔNG CỘNG TÀI SẢN]]</f>
        <v>0.3610189765171759</v>
      </c>
      <c r="T180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807" s="23">
        <f>Table1[[#This Row],[1. Doanh thu bán hàng và cung cấp dịch vụ ]]/Table1[[#This Row],[TỔNG CỘNG TÀI SẢN]]</f>
        <v>14.41954130062801</v>
      </c>
      <c r="V1807" s="23" t="e">
        <f>1.2*Table1[[#This Row],[X1]] + 1.4*Table1[[#This Row],[X2]] + 3.3*Table1[[#This Row],[x3]] + 0.6*Table1[[#This Row],[x4]] + 1*Table1[[#This Row],[x5]]</f>
        <v>#DIV/0!</v>
      </c>
      <c r="W1807" s="23" t="e">
        <f>IF(Table1[[#This Row],[Zscore]]&lt;1.81,1,0)</f>
        <v>#DIV/0!</v>
      </c>
    </row>
    <row r="1808" spans="1:23" x14ac:dyDescent="0.45">
      <c r="A1808" s="7">
        <v>1802</v>
      </c>
      <c r="B1808" s="5" t="s">
        <v>3615</v>
      </c>
      <c r="C1808" s="6" t="s">
        <v>3616</v>
      </c>
      <c r="D1808" s="6" t="s">
        <v>18</v>
      </c>
      <c r="E1808" s="8">
        <v>8863765213859</v>
      </c>
      <c r="F1808" s="8">
        <v>1734740181867</v>
      </c>
      <c r="G1808" s="8">
        <v>8768477294697</v>
      </c>
      <c r="H1808" s="8">
        <v>-884024808295</v>
      </c>
      <c r="I1808" s="8">
        <v>107209568173</v>
      </c>
      <c r="J1808" s="8"/>
      <c r="K1808" s="8">
        <v>9487416083067</v>
      </c>
      <c r="L1808" s="8">
        <v>2180053579511</v>
      </c>
      <c r="M1808" s="8">
        <v>557087092000</v>
      </c>
      <c r="N1808" s="8">
        <v>1476280793800</v>
      </c>
      <c r="O1808" s="8">
        <v>417815319000</v>
      </c>
      <c r="P1808" s="8">
        <v>501378382800</v>
      </c>
      <c r="Q1808" s="18">
        <f>(Table1[[#This Row],[A. TÀI SẢN NGẮN HẠN]]-Table1[[#This Row],[I. Nợ ngắn hạn]])/Table1[[#This Row],[TỔNG CỘNG TÀI SẢN]]</f>
        <v>-0.79353829248910523</v>
      </c>
      <c r="R1808" s="18">
        <f>Table1[[#This Row],[- LNST chưa phân phối kỳ này]]/Table1[[#This Row],[TỔNG CỘNG TÀI SẢN]]</f>
        <v>-9.973468237998645E-2</v>
      </c>
      <c r="S1808" s="21">
        <f>Table1[[#This Row],[5. Lợi nhuận gộp về bán hàng và cung cấp dịch vụ]]/Table1[[#This Row],[TỔNG CỘNG TÀI SẢN]]</f>
        <v>1.20952626323373E-2</v>
      </c>
      <c r="T180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7.780204751612213E-2</v>
      </c>
      <c r="U1808" s="23">
        <f>Table1[[#This Row],[1. Doanh thu bán hàng và cung cấp dịch vụ ]]/Table1[[#This Row],[TỔNG CỘNG TÀI SẢN]]</f>
        <v>0.2459511874369554</v>
      </c>
      <c r="V1808" s="23">
        <f>1.2*Table1[[#This Row],[X1]] + 1.4*Table1[[#This Row],[X2]] + 3.3*Table1[[#This Row],[x3]] + 0.6*Table1[[#This Row],[x4]] + 1*Table1[[#This Row],[x5]]</f>
        <v>-0.75932772368556545</v>
      </c>
      <c r="W1808" s="23">
        <f>IF(Table1[[#This Row],[Zscore]]&lt;1.81,1,0)</f>
        <v>1</v>
      </c>
    </row>
    <row r="1809" spans="1:23" ht="26.25" hidden="1" x14ac:dyDescent="0.45">
      <c r="A1809" s="7">
        <v>1803</v>
      </c>
      <c r="B1809" s="5" t="s">
        <v>3617</v>
      </c>
      <c r="C1809" s="6" t="s">
        <v>3618</v>
      </c>
      <c r="D1809" s="6" t="s">
        <v>13</v>
      </c>
      <c r="E1809" s="6"/>
      <c r="F1809" s="6"/>
      <c r="G1809" s="6"/>
      <c r="H1809" s="6"/>
      <c r="I1809" s="6"/>
      <c r="J1809" s="8"/>
      <c r="K1809" s="6"/>
      <c r="L1809" s="6"/>
      <c r="M1809" s="8"/>
      <c r="N1809" s="8"/>
      <c r="O1809" s="8"/>
      <c r="P1809" s="8"/>
      <c r="Q1809" s="18" t="e">
        <f>(Table1[[#This Row],[A. TÀI SẢN NGẮN HẠN]]-Table1[[#This Row],[I. Nợ ngắn hạn]])/Table1[[#This Row],[TỔNG CỘNG TÀI SẢN]]</f>
        <v>#DIV/0!</v>
      </c>
      <c r="R1809" s="18" t="e">
        <f>Table1[[#This Row],[- LNST chưa phân phối kỳ này]]/Table1[[#This Row],[TỔNG CỘNG TÀI SẢN]]</f>
        <v>#DIV/0!</v>
      </c>
      <c r="S1809" s="21" t="e">
        <f>Table1[[#This Row],[5. Lợi nhuận gộp về bán hàng và cung cấp dịch vụ]]/Table1[[#This Row],[TỔNG CỘNG TÀI SẢN]]</f>
        <v>#DIV/0!</v>
      </c>
      <c r="T180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809" s="23" t="e">
        <f>Table1[[#This Row],[1. Doanh thu bán hàng và cung cấp dịch vụ ]]/Table1[[#This Row],[TỔNG CỘNG TÀI SẢN]]</f>
        <v>#DIV/0!</v>
      </c>
      <c r="V1809" s="23" t="e">
        <f>1.2*Table1[[#This Row],[X1]] + 1.4*Table1[[#This Row],[X2]] + 3.3*Table1[[#This Row],[x3]] + 0.6*Table1[[#This Row],[x4]] + 1*Table1[[#This Row],[x5]]</f>
        <v>#DIV/0!</v>
      </c>
      <c r="W1809" s="23" t="e">
        <f>IF(Table1[[#This Row],[Zscore]]&lt;1.81,1,0)</f>
        <v>#DIV/0!</v>
      </c>
    </row>
    <row r="1810" spans="1:23" x14ac:dyDescent="0.45">
      <c r="A1810" s="7">
        <v>1804</v>
      </c>
      <c r="B1810" s="5" t="s">
        <v>3619</v>
      </c>
      <c r="C1810" s="6" t="s">
        <v>3620</v>
      </c>
      <c r="D1810" s="6" t="s">
        <v>18</v>
      </c>
      <c r="E1810" s="8">
        <v>2148134537549</v>
      </c>
      <c r="F1810" s="8">
        <v>1904247792432</v>
      </c>
      <c r="G1810" s="8">
        <v>1154398944037</v>
      </c>
      <c r="H1810" s="8">
        <v>103485632157</v>
      </c>
      <c r="I1810" s="8">
        <v>102569854971</v>
      </c>
      <c r="J1810" s="8"/>
      <c r="K1810" s="8">
        <v>1259495448671</v>
      </c>
      <c r="L1810" s="8">
        <v>2509740497192</v>
      </c>
      <c r="M1810" s="8">
        <v>900000000000</v>
      </c>
      <c r="N1810" s="8">
        <v>699199468000</v>
      </c>
      <c r="O1810" s="8">
        <v>744000000000</v>
      </c>
      <c r="P1810" s="8">
        <v>628000000000</v>
      </c>
      <c r="Q1810" s="18">
        <f>(Table1[[#This Row],[A. TÀI SẢN NGẮN HẠN]]-Table1[[#This Row],[I. Nợ ngắn hạn]])/Table1[[#This Row],[TỔNG CỘNG TÀI SẢN]]</f>
        <v>0.34906977905144154</v>
      </c>
      <c r="R1810" s="18">
        <f>Table1[[#This Row],[- LNST chưa phân phối kỳ này]]/Table1[[#This Row],[TỔNG CỘNG TÀI SẢN]]</f>
        <v>4.8174651237196747E-2</v>
      </c>
      <c r="S1810" s="21">
        <f>Table1[[#This Row],[5. Lợi nhuận gộp về bán hàng và cung cấp dịch vụ]]/Table1[[#This Row],[TỔNG CỘNG TÀI SẢN]]</f>
        <v>4.7748338466747607E-2</v>
      </c>
      <c r="T181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0.58975986597156094</v>
      </c>
      <c r="U1810" s="23">
        <f>Table1[[#This Row],[1. Doanh thu bán hàng và cung cấp dịch vụ ]]/Table1[[#This Row],[TỔNG CỘNG TÀI SẢN]]</f>
        <v>1.168334875363807</v>
      </c>
      <c r="V1810" s="23">
        <f>1.2*Table1[[#This Row],[X1]] + 1.4*Table1[[#This Row],[X2]] + 3.3*Table1[[#This Row],[x3]] + 0.6*Table1[[#This Row],[x4]] + 1*Table1[[#This Row],[x5]]</f>
        <v>2.1660885584808156</v>
      </c>
      <c r="W1810" s="23">
        <f>IF(Table1[[#This Row],[Zscore]]&lt;1.81,1,0)</f>
        <v>0</v>
      </c>
    </row>
    <row r="1811" spans="1:23" x14ac:dyDescent="0.45">
      <c r="A1811" s="7">
        <v>1805</v>
      </c>
      <c r="B1811" s="5" t="s">
        <v>3621</v>
      </c>
      <c r="C1811" s="6" t="s">
        <v>3622</v>
      </c>
      <c r="D1811" s="6" t="s">
        <v>36</v>
      </c>
      <c r="E1811" s="8">
        <v>2671695481978</v>
      </c>
      <c r="F1811" s="8">
        <v>1503060539748</v>
      </c>
      <c r="G1811" s="8">
        <v>1399113451734</v>
      </c>
      <c r="H1811" s="8">
        <v>10903288646</v>
      </c>
      <c r="I1811" s="8">
        <v>134036892618</v>
      </c>
      <c r="J1811" s="8"/>
      <c r="K1811" s="8">
        <v>2365602464480</v>
      </c>
      <c r="L1811" s="8">
        <v>1757820760862</v>
      </c>
      <c r="M1811" s="8">
        <v>314766097200</v>
      </c>
      <c r="N1811" s="8">
        <v>415802128400</v>
      </c>
      <c r="O1811" s="8">
        <v>336139103800</v>
      </c>
      <c r="P1811" s="8">
        <v>400258123600</v>
      </c>
      <c r="Q1811" s="18">
        <f>(Table1[[#This Row],[A. TÀI SẢN NGẮN HẠN]]-Table1[[#This Row],[I. Nợ ngắn hạn]])/Table1[[#This Row],[TỔNG CỘNG TÀI SẢN]]</f>
        <v>3.8906787362249222E-2</v>
      </c>
      <c r="R1811" s="18">
        <f>Table1[[#This Row],[- LNST chưa phân phối kỳ này]]/Table1[[#This Row],[TỔNG CỘNG TÀI SẢN]]</f>
        <v>4.0810371988680792E-3</v>
      </c>
      <c r="S1811" s="21">
        <f>Table1[[#This Row],[5. Lợi nhuận gộp về bán hàng và cung cấp dịch vụ]]/Table1[[#This Row],[TỔNG CỘNG TÀI SẢN]]</f>
        <v>5.0169225318585066E-2</v>
      </c>
      <c r="T181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0.15503085102281378</v>
      </c>
      <c r="U1811" s="23">
        <f>Table1[[#This Row],[1. Doanh thu bán hàng và cung cấp dịch vụ ]]/Table1[[#This Row],[TỔNG CỘNG TÀI SẢN]]</f>
        <v>0.65794203445693245</v>
      </c>
      <c r="V1811" s="23">
        <f>1.2*Table1[[#This Row],[X1]] + 1.4*Table1[[#This Row],[X2]] + 3.3*Table1[[#This Row],[x3]] + 0.6*Table1[[#This Row],[x4]] + 1*Table1[[#This Row],[x5]]</f>
        <v>0.96892058553506577</v>
      </c>
      <c r="W1811" s="23">
        <f>IF(Table1[[#This Row],[Zscore]]&lt;1.81,1,0)</f>
        <v>1</v>
      </c>
    </row>
    <row r="1812" spans="1:23" hidden="1" x14ac:dyDescent="0.45">
      <c r="A1812" s="7">
        <v>1806</v>
      </c>
      <c r="B1812" s="5" t="s">
        <v>3623</v>
      </c>
      <c r="C1812" s="6" t="s">
        <v>3624</v>
      </c>
      <c r="D1812" s="6" t="s">
        <v>13</v>
      </c>
      <c r="E1812" s="6"/>
      <c r="F1812" s="6"/>
      <c r="G1812" s="6"/>
      <c r="H1812" s="6"/>
      <c r="I1812" s="6"/>
      <c r="J1812" s="8"/>
      <c r="K1812" s="6"/>
      <c r="L1812" s="6"/>
      <c r="M1812" s="8"/>
      <c r="N1812" s="8"/>
      <c r="O1812" s="8"/>
      <c r="P1812" s="8"/>
      <c r="Q1812" s="18" t="e">
        <f>(Table1[[#This Row],[A. TÀI SẢN NGẮN HẠN]]-Table1[[#This Row],[I. Nợ ngắn hạn]])/Table1[[#This Row],[TỔNG CỘNG TÀI SẢN]]</f>
        <v>#DIV/0!</v>
      </c>
      <c r="R1812" s="18" t="e">
        <f>Table1[[#This Row],[- LNST chưa phân phối kỳ này]]/Table1[[#This Row],[TỔNG CỘNG TÀI SẢN]]</f>
        <v>#DIV/0!</v>
      </c>
      <c r="S1812" s="21" t="e">
        <f>Table1[[#This Row],[5. Lợi nhuận gộp về bán hàng và cung cấp dịch vụ]]/Table1[[#This Row],[TỔNG CỘNG TÀI SẢN]]</f>
        <v>#DIV/0!</v>
      </c>
      <c r="T181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812" s="23" t="e">
        <f>Table1[[#This Row],[1. Doanh thu bán hàng và cung cấp dịch vụ ]]/Table1[[#This Row],[TỔNG CỘNG TÀI SẢN]]</f>
        <v>#DIV/0!</v>
      </c>
      <c r="V1812" s="23" t="e">
        <f>1.2*Table1[[#This Row],[X1]] + 1.4*Table1[[#This Row],[X2]] + 3.3*Table1[[#This Row],[x3]] + 0.6*Table1[[#This Row],[x4]] + 1*Table1[[#This Row],[x5]]</f>
        <v>#DIV/0!</v>
      </c>
      <c r="W1812" s="23" t="e">
        <f>IF(Table1[[#This Row],[Zscore]]&lt;1.81,1,0)</f>
        <v>#DIV/0!</v>
      </c>
    </row>
    <row r="1813" spans="1:23" x14ac:dyDescent="0.45">
      <c r="A1813" s="7">
        <v>1807</v>
      </c>
      <c r="B1813" s="5" t="s">
        <v>3625</v>
      </c>
      <c r="C1813" s="6" t="s">
        <v>3626</v>
      </c>
      <c r="D1813" s="6" t="s">
        <v>18</v>
      </c>
      <c r="E1813" s="8">
        <v>433006688021</v>
      </c>
      <c r="F1813" s="8">
        <v>215704892391</v>
      </c>
      <c r="G1813" s="8">
        <v>245267417968</v>
      </c>
      <c r="H1813" s="8">
        <v>10372962958</v>
      </c>
      <c r="I1813" s="8">
        <v>154320123789</v>
      </c>
      <c r="J1813" s="8"/>
      <c r="K1813" s="8">
        <v>246095237335</v>
      </c>
      <c r="L1813" s="8">
        <v>4410387953035</v>
      </c>
      <c r="M1813" s="8">
        <v>103746779600</v>
      </c>
      <c r="N1813" s="8">
        <v>99996896000</v>
      </c>
      <c r="O1813" s="8">
        <v>103746779600</v>
      </c>
      <c r="P1813" s="8">
        <v>98746934800</v>
      </c>
      <c r="Q1813" s="18">
        <f>(Table1[[#This Row],[A. TÀI SẢN NGẮN HẠN]]-Table1[[#This Row],[I. Nợ ngắn hạn]])/Table1[[#This Row],[TỔNG CỘNG TÀI SẢN]]</f>
        <v>-6.8272676600242888E-2</v>
      </c>
      <c r="R1813" s="18">
        <f>Table1[[#This Row],[- LNST chưa phân phối kỳ này]]/Table1[[#This Row],[TỔNG CỘNG TÀI SẢN]]</f>
        <v>2.3955664531206806E-2</v>
      </c>
      <c r="S1813" s="21">
        <f>Table1[[#This Row],[5. Lợi nhuận gộp về bán hàng và cung cấp dịch vụ]]/Table1[[#This Row],[TỔNG CỘNG TÀI SẢN]]</f>
        <v>0.35639200977310487</v>
      </c>
      <c r="T181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0.41268310837625499</v>
      </c>
      <c r="U1813" s="23">
        <f>Table1[[#This Row],[1. Doanh thu bán hàng và cung cấp dịch vụ ]]/Table1[[#This Row],[TỔNG CỘNG TÀI SẢN]]</f>
        <v>10.185496148320704</v>
      </c>
      <c r="V1813" s="23">
        <f>1.2*Table1[[#This Row],[X1]] + 1.4*Table1[[#This Row],[X2]] + 3.3*Table1[[#This Row],[x3]] + 0.6*Table1[[#This Row],[x4]] + 1*Table1[[#This Row],[x5]]</f>
        <v>11.560810364021101</v>
      </c>
      <c r="W1813" s="23">
        <f>IF(Table1[[#This Row],[Zscore]]&lt;1.81,1,0)</f>
        <v>0</v>
      </c>
    </row>
    <row r="1814" spans="1:23" ht="26.25" x14ac:dyDescent="0.45">
      <c r="A1814" s="7">
        <v>1808</v>
      </c>
      <c r="B1814" s="5" t="s">
        <v>3627</v>
      </c>
      <c r="C1814" s="6" t="s">
        <v>3628</v>
      </c>
      <c r="D1814" s="6" t="s">
        <v>21</v>
      </c>
      <c r="E1814" s="8">
        <v>88449897954902</v>
      </c>
      <c r="F1814" s="8">
        <v>36989040607182</v>
      </c>
      <c r="G1814" s="8">
        <v>30318491470424</v>
      </c>
      <c r="H1814" s="8">
        <v>2341021207807</v>
      </c>
      <c r="I1814" s="8">
        <v>4327023097293</v>
      </c>
      <c r="J1814" s="8"/>
      <c r="K1814" s="8">
        <v>51366471266249</v>
      </c>
      <c r="L1814" s="8">
        <v>34151233600443</v>
      </c>
      <c r="M1814" s="8">
        <v>29975956480000</v>
      </c>
      <c r="N1814" s="8">
        <v>29741769320000</v>
      </c>
      <c r="O1814" s="8">
        <v>30444330800000</v>
      </c>
      <c r="P1814" s="8">
        <v>33605857460000</v>
      </c>
      <c r="Q1814" s="18">
        <f>(Table1[[#This Row],[A. TÀI SẢN NGẮN HẠN]]-Table1[[#This Row],[I. Nợ ngắn hạn]])/Table1[[#This Row],[TỔNG CỘNG TÀI SẢN]]</f>
        <v>7.5416131516162027E-2</v>
      </c>
      <c r="R1814" s="18">
        <f>Table1[[#This Row],[- LNST chưa phân phối kỳ này]]/Table1[[#This Row],[TỔNG CỘNG TÀI SẢN]]</f>
        <v>2.6467200776202342E-2</v>
      </c>
      <c r="S1814" s="21">
        <f>Table1[[#This Row],[5. Lợi nhuận gộp về bán hàng và cung cấp dịch vụ]]/Table1[[#This Row],[TỔNG CỘNG TÀI SẢN]]</f>
        <v>4.8920611525173512E-2</v>
      </c>
      <c r="T181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0.60237695430970406</v>
      </c>
      <c r="U1814" s="23">
        <f>Table1[[#This Row],[1. Doanh thu bán hàng và cung cấp dịch vụ ]]/Table1[[#This Row],[TỔNG CỘNG TÀI SẢN]]</f>
        <v>0.38610823064890032</v>
      </c>
      <c r="V1814" s="23">
        <f>1.2*Table1[[#This Row],[X1]] + 1.4*Table1[[#This Row],[X2]] + 3.3*Table1[[#This Row],[x3]] + 0.6*Table1[[#This Row],[x4]] + 1*Table1[[#This Row],[x5]]</f>
        <v>1.0365258601738732</v>
      </c>
      <c r="W1814" s="23">
        <f>IF(Table1[[#This Row],[Zscore]]&lt;1.81,1,0)</f>
        <v>1</v>
      </c>
    </row>
    <row r="1815" spans="1:23" x14ac:dyDescent="0.45">
      <c r="A1815" s="7">
        <v>1809</v>
      </c>
      <c r="B1815" s="5" t="s">
        <v>3629</v>
      </c>
      <c r="C1815" s="6" t="s">
        <v>3630</v>
      </c>
      <c r="D1815" s="6" t="s">
        <v>21</v>
      </c>
      <c r="E1815" s="8">
        <v>5246239465443</v>
      </c>
      <c r="F1815" s="8">
        <v>2489984426836</v>
      </c>
      <c r="G1815" s="8">
        <v>775180228897</v>
      </c>
      <c r="H1815" s="8">
        <v>125725414921</v>
      </c>
      <c r="I1815" s="8">
        <v>257203793159</v>
      </c>
      <c r="J1815" s="8"/>
      <c r="K1815" s="8">
        <v>775180228897</v>
      </c>
      <c r="L1815" s="8">
        <v>6565788086672</v>
      </c>
      <c r="M1815" s="8">
        <v>3719111426400</v>
      </c>
      <c r="N1815" s="8">
        <v>3161244712440</v>
      </c>
      <c r="O1815" s="8">
        <v>3687050121000</v>
      </c>
      <c r="P1815" s="8">
        <v>3430559677800</v>
      </c>
      <c r="Q1815" s="18">
        <f>(Table1[[#This Row],[A. TÀI SẢN NGẮN HẠN]]-Table1[[#This Row],[I. Nợ ngắn hạn]])/Table1[[#This Row],[TỔNG CỘNG TÀI SẢN]]</f>
        <v>0.32686350084368471</v>
      </c>
      <c r="R1815" s="18">
        <f>Table1[[#This Row],[- LNST chưa phân phối kỳ này]]/Table1[[#This Row],[TỔNG CỘNG TÀI SẢN]]</f>
        <v>2.3964863927610207E-2</v>
      </c>
      <c r="S1815" s="21">
        <f>Table1[[#This Row],[5. Lợi nhuận gộp về bán hàng và cung cấp dịch vụ]]/Table1[[#This Row],[TỔNG CỘNG TÀI SẢN]]</f>
        <v>4.9026315869338866E-2</v>
      </c>
      <c r="T181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4.514423038613109</v>
      </c>
      <c r="U1815" s="23">
        <f>Table1[[#This Row],[1. Doanh thu bán hàng và cung cấp dịch vụ ]]/Table1[[#This Row],[TỔNG CỘNG TÀI SẢN]]</f>
        <v>1.2515227583340165</v>
      </c>
      <c r="V1815" s="23">
        <f>1.2*Table1[[#This Row],[X1]] + 1.4*Table1[[#This Row],[X2]] + 3.3*Table1[[#This Row],[x3]] + 0.6*Table1[[#This Row],[x4]] + 1*Table1[[#This Row],[x5]]</f>
        <v>4.5477504343817756</v>
      </c>
      <c r="W1815" s="23">
        <f>IF(Table1[[#This Row],[Zscore]]&lt;1.81,1,0)</f>
        <v>0</v>
      </c>
    </row>
    <row r="1816" spans="1:23" x14ac:dyDescent="0.45">
      <c r="A1816" s="7">
        <v>1810</v>
      </c>
      <c r="B1816" s="5" t="s">
        <v>3631</v>
      </c>
      <c r="C1816" s="6" t="s">
        <v>3632</v>
      </c>
      <c r="D1816" s="6" t="s">
        <v>36</v>
      </c>
      <c r="E1816" s="8">
        <v>42104704422</v>
      </c>
      <c r="F1816" s="8">
        <v>15913951313</v>
      </c>
      <c r="G1816" s="8">
        <v>8658281117</v>
      </c>
      <c r="H1816" s="8">
        <v>1374520912</v>
      </c>
      <c r="I1816" s="8">
        <v>2970584619</v>
      </c>
      <c r="J1816" s="8"/>
      <c r="K1816" s="8">
        <v>8658281117</v>
      </c>
      <c r="L1816" s="8">
        <v>209567216228</v>
      </c>
      <c r="M1816" s="8">
        <v>26000000000</v>
      </c>
      <c r="N1816" s="8">
        <v>46080000000</v>
      </c>
      <c r="O1816" s="8">
        <v>21600000000</v>
      </c>
      <c r="P1816" s="8">
        <v>25600000000</v>
      </c>
      <c r="Q1816" s="18">
        <f>(Table1[[#This Row],[A. TÀI SẢN NGẮN HẠN]]-Table1[[#This Row],[I. Nợ ngắn hạn]])/Table1[[#This Row],[TỔNG CỘNG TÀI SẢN]]</f>
        <v>0.1723244538966259</v>
      </c>
      <c r="R1816" s="18">
        <f>Table1[[#This Row],[- LNST chưa phân phối kỳ này]]/Table1[[#This Row],[TỔNG CỘNG TÀI SẢN]]</f>
        <v>3.2645304862461005E-2</v>
      </c>
      <c r="S1816" s="21">
        <f>Table1[[#This Row],[5. Lợi nhuận gộp về bán hàng và cung cấp dịch vụ]]/Table1[[#This Row],[TỔNG CỘNG TÀI SẢN]]</f>
        <v>7.0552320928961298E-2</v>
      </c>
      <c r="T181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3.4441016175197028</v>
      </c>
      <c r="U1816" s="23">
        <f>Table1[[#This Row],[1. Doanh thu bán hàng và cung cấp dịch vụ ]]/Table1[[#This Row],[TỔNG CỘNG TÀI SẢN]]</f>
        <v>4.977287433907259</v>
      </c>
      <c r="V1816" s="23">
        <f>1.2*Table1[[#This Row],[X1]] + 1.4*Table1[[#This Row],[X2]] + 3.3*Table1[[#This Row],[x3]] + 0.6*Table1[[#This Row],[x4]] + 1*Table1[[#This Row],[x5]]</f>
        <v>7.5290638349680492</v>
      </c>
      <c r="W1816" s="23">
        <f>IF(Table1[[#This Row],[Zscore]]&lt;1.81,1,0)</f>
        <v>0</v>
      </c>
    </row>
    <row r="1817" spans="1:23" ht="26.25" hidden="1" x14ac:dyDescent="0.45">
      <c r="A1817" s="7">
        <v>1811</v>
      </c>
      <c r="B1817" s="5" t="s">
        <v>3633</v>
      </c>
      <c r="C1817" s="6" t="s">
        <v>3634</v>
      </c>
      <c r="D1817" s="6" t="s">
        <v>13</v>
      </c>
      <c r="E1817" s="6"/>
      <c r="F1817" s="6"/>
      <c r="G1817" s="6"/>
      <c r="H1817" s="6"/>
      <c r="I1817" s="6"/>
      <c r="J1817" s="8"/>
      <c r="K1817" s="6"/>
      <c r="L1817" s="6"/>
      <c r="M1817" s="8"/>
      <c r="N1817" s="8"/>
      <c r="O1817" s="8"/>
      <c r="P1817" s="8"/>
      <c r="Q1817" s="18" t="e">
        <f>(Table1[[#This Row],[A. TÀI SẢN NGẮN HẠN]]-Table1[[#This Row],[I. Nợ ngắn hạn]])/Table1[[#This Row],[TỔNG CỘNG TÀI SẢN]]</f>
        <v>#DIV/0!</v>
      </c>
      <c r="R1817" s="18" t="e">
        <f>Table1[[#This Row],[- LNST chưa phân phối kỳ này]]/Table1[[#This Row],[TỔNG CỘNG TÀI SẢN]]</f>
        <v>#DIV/0!</v>
      </c>
      <c r="S1817" s="21" t="e">
        <f>Table1[[#This Row],[5. Lợi nhuận gộp về bán hàng và cung cấp dịch vụ]]/Table1[[#This Row],[TỔNG CỘNG TÀI SẢN]]</f>
        <v>#DIV/0!</v>
      </c>
      <c r="T181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817" s="23" t="e">
        <f>Table1[[#This Row],[1. Doanh thu bán hàng và cung cấp dịch vụ ]]/Table1[[#This Row],[TỔNG CỘNG TÀI SẢN]]</f>
        <v>#DIV/0!</v>
      </c>
      <c r="V1817" s="23" t="e">
        <f>1.2*Table1[[#This Row],[X1]] + 1.4*Table1[[#This Row],[X2]] + 3.3*Table1[[#This Row],[x3]] + 0.6*Table1[[#This Row],[x4]] + 1*Table1[[#This Row],[x5]]</f>
        <v>#DIV/0!</v>
      </c>
      <c r="W1817" s="23" t="e">
        <f>IF(Table1[[#This Row],[Zscore]]&lt;1.81,1,0)</f>
        <v>#DIV/0!</v>
      </c>
    </row>
    <row r="1818" spans="1:23" x14ac:dyDescent="0.45">
      <c r="A1818" s="7">
        <v>1812</v>
      </c>
      <c r="B1818" s="5" t="s">
        <v>3635</v>
      </c>
      <c r="C1818" s="6" t="s">
        <v>3636</v>
      </c>
      <c r="D1818" s="6" t="s">
        <v>18</v>
      </c>
      <c r="E1818" s="8">
        <v>3590819790560</v>
      </c>
      <c r="F1818" s="8">
        <v>1586117210444</v>
      </c>
      <c r="G1818" s="8">
        <v>1216144907558</v>
      </c>
      <c r="H1818" s="8">
        <v>339167513355</v>
      </c>
      <c r="I1818" s="8">
        <v>484689628981</v>
      </c>
      <c r="J1818" s="8"/>
      <c r="K1818" s="8">
        <v>1518269580242</v>
      </c>
      <c r="L1818" s="8">
        <v>2456908167943</v>
      </c>
      <c r="M1818" s="8">
        <v>2143054571700</v>
      </c>
      <c r="N1818" s="8">
        <v>2060916591600</v>
      </c>
      <c r="O1818" s="8">
        <v>2038515324300</v>
      </c>
      <c r="P1818" s="8">
        <v>2090784948000</v>
      </c>
      <c r="Q1818" s="18">
        <f>(Table1[[#This Row],[A. TÀI SẢN NGẮN HẠN]]-Table1[[#This Row],[I. Nợ ngắn hạn]])/Table1[[#This Row],[TỔNG CỘNG TÀI SẢN]]</f>
        <v>0.1030328238299872</v>
      </c>
      <c r="R1818" s="18">
        <f>Table1[[#This Row],[- LNST chưa phân phối kỳ này]]/Table1[[#This Row],[TỔNG CỘNG TÀI SẢN]]</f>
        <v>9.4454061506134709E-2</v>
      </c>
      <c r="S1818" s="21">
        <f>Table1[[#This Row],[5. Lợi nhuận gộp về bán hàng và cung cấp dịch vụ]]/Table1[[#This Row],[TỔNG CỘNG TÀI SẢN]]</f>
        <v>0.13498021545253072</v>
      </c>
      <c r="T181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1.3721659750094815</v>
      </c>
      <c r="U1818" s="23">
        <f>Table1[[#This Row],[1. Doanh thu bán hàng và cung cấp dịch vụ ]]/Table1[[#This Row],[TỔNG CỘNG TÀI SẢN]]</f>
        <v>0.68421929009136861</v>
      </c>
      <c r="V1818" s="23">
        <f>1.2*Table1[[#This Row],[X1]] + 1.4*Table1[[#This Row],[X2]] + 3.3*Table1[[#This Row],[x3]] + 0.6*Table1[[#This Row],[x4]] + 1*Table1[[#This Row],[x5]]</f>
        <v>2.2088286607949819</v>
      </c>
      <c r="W1818" s="23">
        <f>IF(Table1[[#This Row],[Zscore]]&lt;1.81,1,0)</f>
        <v>0</v>
      </c>
    </row>
    <row r="1819" spans="1:23" ht="26.25" hidden="1" x14ac:dyDescent="0.45">
      <c r="A1819" s="7">
        <v>1813</v>
      </c>
      <c r="B1819" s="5" t="s">
        <v>3637</v>
      </c>
      <c r="C1819" s="6" t="s">
        <v>3638</v>
      </c>
      <c r="D1819" s="6" t="s">
        <v>18</v>
      </c>
      <c r="E1819" s="6"/>
      <c r="F1819" s="6"/>
      <c r="G1819" s="6"/>
      <c r="H1819" s="6"/>
      <c r="I1819" s="6"/>
      <c r="J1819" s="8"/>
      <c r="K1819" s="6"/>
      <c r="L1819" s="6"/>
      <c r="M1819" s="8"/>
      <c r="N1819" s="8"/>
      <c r="O1819" s="8"/>
      <c r="P1819" s="8"/>
      <c r="Q1819" s="18" t="e">
        <f>(Table1[[#This Row],[A. TÀI SẢN NGẮN HẠN]]-Table1[[#This Row],[I. Nợ ngắn hạn]])/Table1[[#This Row],[TỔNG CỘNG TÀI SẢN]]</f>
        <v>#DIV/0!</v>
      </c>
      <c r="R1819" s="18" t="e">
        <f>Table1[[#This Row],[- LNST chưa phân phối kỳ này]]/Table1[[#This Row],[TỔNG CỘNG TÀI SẢN]]</f>
        <v>#DIV/0!</v>
      </c>
      <c r="S1819" s="21" t="e">
        <f>Table1[[#This Row],[5. Lợi nhuận gộp về bán hàng và cung cấp dịch vụ]]/Table1[[#This Row],[TỔNG CỘNG TÀI SẢN]]</f>
        <v>#DIV/0!</v>
      </c>
      <c r="T181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819" s="23" t="e">
        <f>Table1[[#This Row],[1. Doanh thu bán hàng và cung cấp dịch vụ ]]/Table1[[#This Row],[TỔNG CỘNG TÀI SẢN]]</f>
        <v>#DIV/0!</v>
      </c>
      <c r="V1819" s="23" t="e">
        <f>1.2*Table1[[#This Row],[X1]] + 1.4*Table1[[#This Row],[X2]] + 3.3*Table1[[#This Row],[x3]] + 0.6*Table1[[#This Row],[x4]] + 1*Table1[[#This Row],[x5]]</f>
        <v>#DIV/0!</v>
      </c>
      <c r="W1819" s="23" t="e">
        <f>IF(Table1[[#This Row],[Zscore]]&lt;1.81,1,0)</f>
        <v>#DIV/0!</v>
      </c>
    </row>
    <row r="1820" spans="1:23" x14ac:dyDescent="0.45">
      <c r="A1820" s="7">
        <v>1814</v>
      </c>
      <c r="B1820" s="5" t="s">
        <v>3639</v>
      </c>
      <c r="C1820" s="6" t="s">
        <v>3640</v>
      </c>
      <c r="D1820" s="6" t="s">
        <v>36</v>
      </c>
      <c r="E1820" s="8">
        <v>176719628196</v>
      </c>
      <c r="F1820" s="8">
        <v>96277234463</v>
      </c>
      <c r="G1820" s="8">
        <v>37784544610</v>
      </c>
      <c r="H1820" s="8">
        <v>15579760452</v>
      </c>
      <c r="I1820" s="8">
        <v>49329213781</v>
      </c>
      <c r="J1820" s="8"/>
      <c r="K1820" s="8">
        <v>37990044610</v>
      </c>
      <c r="L1820" s="8">
        <v>141212818545</v>
      </c>
      <c r="M1820" s="8">
        <v>156639839800</v>
      </c>
      <c r="N1820" s="8">
        <v>180399815500</v>
      </c>
      <c r="O1820" s="8">
        <v>183919811900</v>
      </c>
      <c r="P1820" s="8">
        <v>178639817300</v>
      </c>
      <c r="Q1820" s="18">
        <f>(Table1[[#This Row],[A. TÀI SẢN NGẮN HẠN]]-Table1[[#This Row],[I. Nợ ngắn hạn]])/Table1[[#This Row],[TỔNG CỘNG TÀI SẢN]]</f>
        <v>0.33099147191576067</v>
      </c>
      <c r="R1820" s="18">
        <f>Table1[[#This Row],[- LNST chưa phân phối kỳ này]]/Table1[[#This Row],[TỔNG CỘNG TÀI SẢN]]</f>
        <v>8.8160894242717988E-2</v>
      </c>
      <c r="S1820" s="21">
        <f>Table1[[#This Row],[5. Lợi nhuận gộp về bán hàng và cung cấp dịch vụ]]/Table1[[#This Row],[TỔNG CỘNG TÀI SẢN]]</f>
        <v>0.27913828409761532</v>
      </c>
      <c r="T182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4.6038330020534293</v>
      </c>
      <c r="U1820" s="23">
        <f>Table1[[#This Row],[1. Doanh thu bán hàng và cung cấp dịch vụ ]]/Table1[[#This Row],[TỔNG CỘNG TÀI SẢN]]</f>
        <v>0.79907829133943542</v>
      </c>
      <c r="V1820" s="23">
        <f>1.2*Table1[[#This Row],[X1]] + 1.4*Table1[[#This Row],[X2]] + 3.3*Table1[[#This Row],[x3]] + 0.6*Table1[[#This Row],[x4]] + 1*Table1[[#This Row],[x5]]</f>
        <v>5.0031494483323424</v>
      </c>
      <c r="W1820" s="23">
        <f>IF(Table1[[#This Row],[Zscore]]&lt;1.81,1,0)</f>
        <v>0</v>
      </c>
    </row>
    <row r="1821" spans="1:23" ht="26.25" x14ac:dyDescent="0.45">
      <c r="A1821" s="7">
        <v>1815</v>
      </c>
      <c r="B1821" s="5" t="s">
        <v>3641</v>
      </c>
      <c r="C1821" s="6" t="s">
        <v>3642</v>
      </c>
      <c r="D1821" s="6" t="s">
        <v>36</v>
      </c>
      <c r="E1821" s="8">
        <v>327952299130</v>
      </c>
      <c r="F1821" s="8">
        <v>279925376860</v>
      </c>
      <c r="G1821" s="8">
        <v>142320833559</v>
      </c>
      <c r="H1821" s="8">
        <v>14942230509</v>
      </c>
      <c r="I1821" s="8">
        <v>52621585029</v>
      </c>
      <c r="J1821" s="8"/>
      <c r="K1821" s="8">
        <v>142320833559</v>
      </c>
      <c r="L1821" s="8">
        <v>382214466652</v>
      </c>
      <c r="M1821" s="8">
        <v>171000000000</v>
      </c>
      <c r="N1821" s="8">
        <v>153000000000</v>
      </c>
      <c r="O1821" s="8">
        <v>177000000000</v>
      </c>
      <c r="P1821" s="8">
        <v>174000000000</v>
      </c>
      <c r="Q1821" s="18">
        <f>(Table1[[#This Row],[A. TÀI SẢN NGẮN HẠN]]-Table1[[#This Row],[I. Nợ ngắn hạn]])/Table1[[#This Row],[TỔNG CỘNG TÀI SẢN]]</f>
        <v>0.41958706697907211</v>
      </c>
      <c r="R1821" s="18">
        <f>Table1[[#This Row],[- LNST chưa phân phối kỳ này]]/Table1[[#This Row],[TỔNG CỘNG TÀI SẢN]]</f>
        <v>4.556220690825806E-2</v>
      </c>
      <c r="S1821" s="21">
        <f>Table1[[#This Row],[5. Lợi nhuận gộp về bán hàng và cung cấp dịch vụ]]/Table1[[#This Row],[TỔNG CỘNG TÀI SẢN]]</f>
        <v>0.16045499656076767</v>
      </c>
      <c r="T182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1.1857013184934981</v>
      </c>
      <c r="U1821" s="23">
        <f>Table1[[#This Row],[1. Doanh thu bán hàng và cung cấp dịch vụ ]]/Table1[[#This Row],[TỔNG CỘNG TÀI SẢN]]</f>
        <v>1.1654574999655378</v>
      </c>
      <c r="V1821" s="23">
        <f>1.2*Table1[[#This Row],[X1]] + 1.4*Table1[[#This Row],[X2]] + 3.3*Table1[[#This Row],[x3]] + 0.6*Table1[[#This Row],[x4]] + 1*Table1[[#This Row],[x5]]</f>
        <v>2.9736713497586176</v>
      </c>
      <c r="W1821" s="23">
        <f>IF(Table1[[#This Row],[Zscore]]&lt;1.81,1,0)</f>
        <v>0</v>
      </c>
    </row>
    <row r="1822" spans="1:23" x14ac:dyDescent="0.45">
      <c r="A1822" s="7">
        <v>1816</v>
      </c>
      <c r="B1822" s="5" t="s">
        <v>3643</v>
      </c>
      <c r="C1822" s="6" t="s">
        <v>3644</v>
      </c>
      <c r="D1822" s="6" t="s">
        <v>36</v>
      </c>
      <c r="E1822" s="8">
        <v>510501374355</v>
      </c>
      <c r="F1822" s="8">
        <v>330223598653</v>
      </c>
      <c r="G1822" s="8">
        <v>283682408398</v>
      </c>
      <c r="H1822" s="8">
        <v>9564797844</v>
      </c>
      <c r="I1822" s="8">
        <v>49526788151</v>
      </c>
      <c r="J1822" s="8"/>
      <c r="K1822" s="8">
        <v>303682408398</v>
      </c>
      <c r="L1822" s="8">
        <v>4550549064258</v>
      </c>
      <c r="M1822" s="8">
        <v>227374850000</v>
      </c>
      <c r="N1822" s="8">
        <v>298602829600</v>
      </c>
      <c r="O1822" s="8">
        <v>240107841600</v>
      </c>
      <c r="P1822" s="8">
        <v>267170952800</v>
      </c>
      <c r="Q1822" s="18">
        <f>(Table1[[#This Row],[A. TÀI SẢN NGẮN HẠN]]-Table1[[#This Row],[I. Nợ ngắn hạn]])/Table1[[#This Row],[TỔNG CỘNG TÀI SẢN]]</f>
        <v>9.1167610104484265E-2</v>
      </c>
      <c r="R1822" s="18">
        <f>Table1[[#This Row],[- LNST chưa phân phối kỳ này]]/Table1[[#This Row],[TỔNG CỘNG TÀI SẢN]]</f>
        <v>1.8736086374076418E-2</v>
      </c>
      <c r="S1822" s="21">
        <f>Table1[[#This Row],[5. Lợi nhuận gộp về bán hàng và cung cấp dịch vụ]]/Table1[[#This Row],[TỔNG CỘNG TÀI SẢN]]</f>
        <v>9.7015974175535383E-2</v>
      </c>
      <c r="T182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0.85060613113110839</v>
      </c>
      <c r="U1822" s="23">
        <f>Table1[[#This Row],[1. Doanh thu bán hàng và cung cấp dịch vụ ]]/Table1[[#This Row],[TỔNG CỘNG TÀI SẢN]]</f>
        <v>8.9138821026827877</v>
      </c>
      <c r="V1822" s="23">
        <f>1.2*Table1[[#This Row],[X1]] + 1.4*Table1[[#This Row],[X2]] + 3.3*Table1[[#This Row],[x3]] + 0.6*Table1[[#This Row],[x4]] + 1*Table1[[#This Row],[x5]]</f>
        <v>9.8800301491898068</v>
      </c>
      <c r="W1822" s="23">
        <f>IF(Table1[[#This Row],[Zscore]]&lt;1.81,1,0)</f>
        <v>0</v>
      </c>
    </row>
    <row r="1823" spans="1:23" x14ac:dyDescent="0.45">
      <c r="A1823" s="7">
        <v>1817</v>
      </c>
      <c r="B1823" s="5" t="s">
        <v>3645</v>
      </c>
      <c r="C1823" s="6" t="s">
        <v>3646</v>
      </c>
      <c r="D1823" s="6" t="s">
        <v>36</v>
      </c>
      <c r="E1823" s="8">
        <v>302867392282</v>
      </c>
      <c r="F1823" s="8">
        <v>110407971208</v>
      </c>
      <c r="G1823" s="8">
        <v>116263362920</v>
      </c>
      <c r="H1823" s="8">
        <v>1304095261</v>
      </c>
      <c r="I1823" s="8">
        <v>160282346999</v>
      </c>
      <c r="J1823" s="8"/>
      <c r="K1823" s="8">
        <v>152984152365</v>
      </c>
      <c r="L1823" s="8">
        <v>4130428675046</v>
      </c>
      <c r="M1823" s="8">
        <v>84095766000</v>
      </c>
      <c r="N1823" s="8">
        <v>88767753000</v>
      </c>
      <c r="O1823" s="8">
        <v>85030163400</v>
      </c>
      <c r="P1823" s="8">
        <v>84095766000</v>
      </c>
      <c r="Q1823" s="18">
        <f>(Table1[[#This Row],[A. TÀI SẢN NGẮN HẠN]]-Table1[[#This Row],[I. Nợ ngắn hạn]])/Table1[[#This Row],[TỔNG CỘNG TÀI SẢN]]</f>
        <v>-1.9333186276283058E-2</v>
      </c>
      <c r="R1823" s="18">
        <f>Table1[[#This Row],[- LNST chưa phân phối kỳ này]]/Table1[[#This Row],[TỔNG CỘNG TÀI SẢN]]</f>
        <v>4.305829198627484E-3</v>
      </c>
      <c r="S1823" s="21">
        <f>Table1[[#This Row],[5. Lợi nhuận gộp về bán hàng và cung cấp dịch vụ]]/Table1[[#This Row],[TỔNG CỘNG TÀI SẢN]]</f>
        <v>0.52921625464969502</v>
      </c>
      <c r="T182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0.55886417500300667</v>
      </c>
      <c r="U1823" s="23">
        <f>Table1[[#This Row],[1. Doanh thu bán hàng và cung cấp dịch vụ ]]/Table1[[#This Row],[TỔNG CỘNG TÀI SẢN]]</f>
        <v>13.637746354682367</v>
      </c>
      <c r="V1823" s="23">
        <f>1.2*Table1[[#This Row],[X1]] + 1.4*Table1[[#This Row],[X2]] + 3.3*Table1[[#This Row],[x3]] + 0.6*Table1[[#This Row],[x4]] + 1*Table1[[#This Row],[x5]]</f>
        <v>15.702306837374703</v>
      </c>
      <c r="W1823" s="23">
        <f>IF(Table1[[#This Row],[Zscore]]&lt;1.81,1,0)</f>
        <v>0</v>
      </c>
    </row>
    <row r="1824" spans="1:23" ht="26.25" x14ac:dyDescent="0.45">
      <c r="A1824" s="7">
        <v>1818</v>
      </c>
      <c r="B1824" s="5" t="s">
        <v>3647</v>
      </c>
      <c r="C1824" s="6" t="s">
        <v>3648</v>
      </c>
      <c r="D1824" s="6" t="s">
        <v>18</v>
      </c>
      <c r="E1824" s="8">
        <v>1287326831863</v>
      </c>
      <c r="F1824" s="8">
        <v>959501839663</v>
      </c>
      <c r="G1824" s="8">
        <v>678339282202</v>
      </c>
      <c r="H1824" s="8">
        <v>33403440516</v>
      </c>
      <c r="I1824" s="8">
        <v>89645249437</v>
      </c>
      <c r="J1824" s="8"/>
      <c r="K1824" s="8">
        <v>1077904957375</v>
      </c>
      <c r="L1824" s="8">
        <v>1562662085222</v>
      </c>
      <c r="M1824" s="8">
        <v>120000000000</v>
      </c>
      <c r="N1824" s="8">
        <v>120000000000</v>
      </c>
      <c r="O1824" s="8">
        <v>120000000000</v>
      </c>
      <c r="P1824" s="8">
        <v>120000000000</v>
      </c>
      <c r="Q1824" s="18">
        <f>(Table1[[#This Row],[A. TÀI SẢN NGẮN HẠN]]-Table1[[#This Row],[I. Nợ ngắn hạn]])/Table1[[#This Row],[TỔNG CỘNG TÀI SẢN]]</f>
        <v>0.21840806118684389</v>
      </c>
      <c r="R1824" s="18">
        <f>Table1[[#This Row],[- LNST chưa phân phối kỳ này]]/Table1[[#This Row],[TỔNG CỘNG TÀI SẢN]]</f>
        <v>2.5947909799766269E-2</v>
      </c>
      <c r="S1824" s="21">
        <f>Table1[[#This Row],[5. Lợi nhuận gộp về bán hàng và cung cấp dịch vụ]]/Table1[[#This Row],[TỔNG CỘNG TÀI SẢN]]</f>
        <v>6.9636744312449969E-2</v>
      </c>
      <c r="T182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0.11132706940344124</v>
      </c>
      <c r="U1824" s="23">
        <f>Table1[[#This Row],[1. Doanh thu bán hàng và cung cấp dịch vụ ]]/Table1[[#This Row],[TỔNG CỘNG TÀI SẢN]]</f>
        <v>1.2138813909134007</v>
      </c>
      <c r="V1824" s="23">
        <f>1.2*Table1[[#This Row],[X1]] + 1.4*Table1[[#This Row],[X2]] + 3.3*Table1[[#This Row],[x3]] + 0.6*Table1[[#This Row],[x4]] + 1*Table1[[#This Row],[x5]]</f>
        <v>1.8088956359304358</v>
      </c>
      <c r="W1824" s="23">
        <f>IF(Table1[[#This Row],[Zscore]]&lt;1.81,1,0)</f>
        <v>1</v>
      </c>
    </row>
    <row r="1825" spans="1:23" x14ac:dyDescent="0.45">
      <c r="A1825" s="7">
        <v>1819</v>
      </c>
      <c r="B1825" s="5" t="s">
        <v>3649</v>
      </c>
      <c r="C1825" s="6" t="s">
        <v>3650</v>
      </c>
      <c r="D1825" s="6" t="s">
        <v>36</v>
      </c>
      <c r="E1825" s="8">
        <v>182125396727</v>
      </c>
      <c r="F1825" s="8">
        <v>80608925314</v>
      </c>
      <c r="G1825" s="8">
        <v>43124403828</v>
      </c>
      <c r="H1825" s="8">
        <v>2937321879</v>
      </c>
      <c r="I1825" s="8">
        <v>14189145983</v>
      </c>
      <c r="J1825" s="8"/>
      <c r="K1825" s="8">
        <v>108301691116</v>
      </c>
      <c r="L1825" s="8">
        <v>175361071111</v>
      </c>
      <c r="M1825" s="8">
        <v>33960000000</v>
      </c>
      <c r="N1825" s="8">
        <v>38128142700</v>
      </c>
      <c r="O1825" s="8">
        <v>57657191400</v>
      </c>
      <c r="P1825" s="8">
        <v>56417251800</v>
      </c>
      <c r="Q1825" s="18">
        <f>(Table1[[#This Row],[A. TÀI SẢN NGẮN HẠN]]-Table1[[#This Row],[I. Nợ ngắn hạn]])/Table1[[#This Row],[TỔNG CỘNG TÀI SẢN]]</f>
        <v>0.20581710271955134</v>
      </c>
      <c r="R1825" s="18">
        <f>Table1[[#This Row],[- LNST chưa phân phối kỳ này]]/Table1[[#This Row],[TỔNG CỘNG TÀI SẢN]]</f>
        <v>1.6128019110936784E-2</v>
      </c>
      <c r="S1825" s="21">
        <f>Table1[[#This Row],[5. Lợi nhuận gộp về bán hàng và cung cấp dịch vụ]]/Table1[[#This Row],[TỔNG CỘNG TÀI SẢN]]</f>
        <v>7.7908662042719193E-2</v>
      </c>
      <c r="T182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0.429731484295579</v>
      </c>
      <c r="U1825" s="23">
        <f>Table1[[#This Row],[1. Doanh thu bán hàng và cung cấp dịch vụ ]]/Table1[[#This Row],[TỔNG CỘNG TÀI SẢN]]</f>
        <v>0.9628589656491483</v>
      </c>
      <c r="V1825" s="23">
        <f>1.2*Table1[[#This Row],[X1]] + 1.4*Table1[[#This Row],[X2]] + 3.3*Table1[[#This Row],[x3]] + 0.6*Table1[[#This Row],[x4]] + 1*Table1[[#This Row],[x5]]</f>
        <v>1.7473561909862423</v>
      </c>
      <c r="W1825" s="23">
        <f>IF(Table1[[#This Row],[Zscore]]&lt;1.81,1,0)</f>
        <v>1</v>
      </c>
    </row>
    <row r="1826" spans="1:23" ht="26.25" x14ac:dyDescent="0.45">
      <c r="A1826" s="7">
        <v>1820</v>
      </c>
      <c r="B1826" s="5" t="s">
        <v>3651</v>
      </c>
      <c r="C1826" s="6" t="s">
        <v>3652</v>
      </c>
      <c r="D1826" s="6" t="s">
        <v>36</v>
      </c>
      <c r="E1826" s="8">
        <v>7461524730462</v>
      </c>
      <c r="F1826" s="8">
        <v>5842280699484</v>
      </c>
      <c r="G1826" s="8">
        <v>5794805806700</v>
      </c>
      <c r="H1826" s="8">
        <v>97129402115</v>
      </c>
      <c r="I1826" s="8">
        <v>121214979246</v>
      </c>
      <c r="J1826" s="8"/>
      <c r="K1826" s="8">
        <v>5794805806700</v>
      </c>
      <c r="L1826" s="8">
        <v>2775761357242</v>
      </c>
      <c r="M1826" s="8">
        <v>2077560000000</v>
      </c>
      <c r="N1826" s="8">
        <v>2234160000000</v>
      </c>
      <c r="O1826" s="8">
        <v>2088000000000</v>
      </c>
      <c r="P1826" s="8">
        <v>2140200000000</v>
      </c>
      <c r="Q1826" s="18">
        <f>(Table1[[#This Row],[A. TÀI SẢN NGẮN HẠN]]-Table1[[#This Row],[I. Nợ ngắn hạn]])/Table1[[#This Row],[TỔNG CỘNG TÀI SẢN]]</f>
        <v>6.3626262056308254E-3</v>
      </c>
      <c r="R1826" s="18">
        <f>Table1[[#This Row],[- LNST chưa phân phối kỳ này]]/Table1[[#This Row],[TỔNG CỘNG TÀI SẢN]]</f>
        <v>1.3017366506669204E-2</v>
      </c>
      <c r="S1826" s="21">
        <f>Table1[[#This Row],[5. Lợi nhuận gộp về bán hàng và cung cấp dịch vụ]]/Table1[[#This Row],[TỔNG CỘNG TÀI SẢN]]</f>
        <v>1.624533639232402E-2</v>
      </c>
      <c r="T182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0.3684299476492412</v>
      </c>
      <c r="U1826" s="23">
        <f>Table1[[#This Row],[1. Doanh thu bán hàng và cung cấp dịch vụ ]]/Table1[[#This Row],[TỔNG CỘNG TÀI SẢN]]</f>
        <v>0.37200993865366866</v>
      </c>
      <c r="V1826" s="23">
        <f>1.2*Table1[[#This Row],[X1]] + 1.4*Table1[[#This Row],[X2]] + 3.3*Table1[[#This Row],[x3]] + 0.6*Table1[[#This Row],[x4]] + 1*Table1[[#This Row],[x5]]</f>
        <v>0.67253698189397659</v>
      </c>
      <c r="W1826" s="23">
        <f>IF(Table1[[#This Row],[Zscore]]&lt;1.81,1,0)</f>
        <v>1</v>
      </c>
    </row>
    <row r="1827" spans="1:23" hidden="1" x14ac:dyDescent="0.45">
      <c r="A1827" s="7">
        <v>1821</v>
      </c>
      <c r="B1827" s="5" t="s">
        <v>3653</v>
      </c>
      <c r="C1827" s="6" t="s">
        <v>3654</v>
      </c>
      <c r="D1827" s="6" t="s">
        <v>18</v>
      </c>
      <c r="E1827" s="6"/>
      <c r="F1827" s="6"/>
      <c r="G1827" s="6"/>
      <c r="H1827" s="6"/>
      <c r="I1827" s="6"/>
      <c r="J1827" s="8"/>
      <c r="K1827" s="6"/>
      <c r="L1827" s="6"/>
      <c r="M1827" s="8"/>
      <c r="N1827" s="8"/>
      <c r="O1827" s="8"/>
      <c r="P1827" s="8"/>
      <c r="Q1827" s="18" t="e">
        <f>(Table1[[#This Row],[A. TÀI SẢN NGẮN HẠN]]-Table1[[#This Row],[I. Nợ ngắn hạn]])/Table1[[#This Row],[TỔNG CỘNG TÀI SẢN]]</f>
        <v>#DIV/0!</v>
      </c>
      <c r="R1827" s="18" t="e">
        <f>Table1[[#This Row],[- LNST chưa phân phối kỳ này]]/Table1[[#This Row],[TỔNG CỘNG TÀI SẢN]]</f>
        <v>#DIV/0!</v>
      </c>
      <c r="S1827" s="21" t="e">
        <f>Table1[[#This Row],[5. Lợi nhuận gộp về bán hàng và cung cấp dịch vụ]]/Table1[[#This Row],[TỔNG CỘNG TÀI SẢN]]</f>
        <v>#DIV/0!</v>
      </c>
      <c r="T182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827" s="23" t="e">
        <f>Table1[[#This Row],[1. Doanh thu bán hàng và cung cấp dịch vụ ]]/Table1[[#This Row],[TỔNG CỘNG TÀI SẢN]]</f>
        <v>#DIV/0!</v>
      </c>
      <c r="V1827" s="23" t="e">
        <f>1.2*Table1[[#This Row],[X1]] + 1.4*Table1[[#This Row],[X2]] + 3.3*Table1[[#This Row],[x3]] + 0.6*Table1[[#This Row],[x4]] + 1*Table1[[#This Row],[x5]]</f>
        <v>#DIV/0!</v>
      </c>
      <c r="W1827" s="23" t="e">
        <f>IF(Table1[[#This Row],[Zscore]]&lt;1.81,1,0)</f>
        <v>#DIV/0!</v>
      </c>
    </row>
    <row r="1828" spans="1:23" ht="26.25" hidden="1" x14ac:dyDescent="0.45">
      <c r="A1828" s="7">
        <v>1822</v>
      </c>
      <c r="B1828" s="5" t="s">
        <v>3655</v>
      </c>
      <c r="C1828" s="6" t="s">
        <v>3656</v>
      </c>
      <c r="D1828" s="6" t="s">
        <v>13</v>
      </c>
      <c r="E1828" s="6"/>
      <c r="F1828" s="6"/>
      <c r="G1828" s="6"/>
      <c r="H1828" s="6"/>
      <c r="I1828" s="6"/>
      <c r="J1828" s="8"/>
      <c r="K1828" s="6"/>
      <c r="L1828" s="6"/>
      <c r="M1828" s="8"/>
      <c r="N1828" s="8"/>
      <c r="O1828" s="8"/>
      <c r="P1828" s="8"/>
      <c r="Q1828" s="18" t="e">
        <f>(Table1[[#This Row],[A. TÀI SẢN NGẮN HẠN]]-Table1[[#This Row],[I. Nợ ngắn hạn]])/Table1[[#This Row],[TỔNG CỘNG TÀI SẢN]]</f>
        <v>#DIV/0!</v>
      </c>
      <c r="R1828" s="18" t="e">
        <f>Table1[[#This Row],[- LNST chưa phân phối kỳ này]]/Table1[[#This Row],[TỔNG CỘNG TÀI SẢN]]</f>
        <v>#DIV/0!</v>
      </c>
      <c r="S1828" s="21" t="e">
        <f>Table1[[#This Row],[5. Lợi nhuận gộp về bán hàng và cung cấp dịch vụ]]/Table1[[#This Row],[TỔNG CỘNG TÀI SẢN]]</f>
        <v>#DIV/0!</v>
      </c>
      <c r="T182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828" s="23" t="e">
        <f>Table1[[#This Row],[1. Doanh thu bán hàng và cung cấp dịch vụ ]]/Table1[[#This Row],[TỔNG CỘNG TÀI SẢN]]</f>
        <v>#DIV/0!</v>
      </c>
      <c r="V1828" s="23" t="e">
        <f>1.2*Table1[[#This Row],[X1]] + 1.4*Table1[[#This Row],[X2]] + 3.3*Table1[[#This Row],[x3]] + 0.6*Table1[[#This Row],[x4]] + 1*Table1[[#This Row],[x5]]</f>
        <v>#DIV/0!</v>
      </c>
      <c r="W1828" s="23" t="e">
        <f>IF(Table1[[#This Row],[Zscore]]&lt;1.81,1,0)</f>
        <v>#DIV/0!</v>
      </c>
    </row>
    <row r="1829" spans="1:23" ht="26.25" hidden="1" x14ac:dyDescent="0.45">
      <c r="A1829" s="7">
        <v>1823</v>
      </c>
      <c r="B1829" s="5" t="s">
        <v>3657</v>
      </c>
      <c r="C1829" s="6" t="s">
        <v>3658</v>
      </c>
      <c r="D1829" s="6" t="s">
        <v>13</v>
      </c>
      <c r="E1829" s="6"/>
      <c r="F1829" s="6"/>
      <c r="G1829" s="6"/>
      <c r="H1829" s="6"/>
      <c r="I1829" s="6"/>
      <c r="J1829" s="8"/>
      <c r="K1829" s="6"/>
      <c r="L1829" s="6"/>
      <c r="M1829" s="8"/>
      <c r="N1829" s="8"/>
      <c r="O1829" s="8"/>
      <c r="P1829" s="8"/>
      <c r="Q1829" s="18" t="e">
        <f>(Table1[[#This Row],[A. TÀI SẢN NGẮN HẠN]]-Table1[[#This Row],[I. Nợ ngắn hạn]])/Table1[[#This Row],[TỔNG CỘNG TÀI SẢN]]</f>
        <v>#DIV/0!</v>
      </c>
      <c r="R1829" s="18" t="e">
        <f>Table1[[#This Row],[- LNST chưa phân phối kỳ này]]/Table1[[#This Row],[TỔNG CỘNG TÀI SẢN]]</f>
        <v>#DIV/0!</v>
      </c>
      <c r="S1829" s="21" t="e">
        <f>Table1[[#This Row],[5. Lợi nhuận gộp về bán hàng và cung cấp dịch vụ]]/Table1[[#This Row],[TỔNG CỘNG TÀI SẢN]]</f>
        <v>#DIV/0!</v>
      </c>
      <c r="T182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829" s="23" t="e">
        <f>Table1[[#This Row],[1. Doanh thu bán hàng và cung cấp dịch vụ ]]/Table1[[#This Row],[TỔNG CỘNG TÀI SẢN]]</f>
        <v>#DIV/0!</v>
      </c>
      <c r="V1829" s="23" t="e">
        <f>1.2*Table1[[#This Row],[X1]] + 1.4*Table1[[#This Row],[X2]] + 3.3*Table1[[#This Row],[x3]] + 0.6*Table1[[#This Row],[x4]] + 1*Table1[[#This Row],[x5]]</f>
        <v>#DIV/0!</v>
      </c>
      <c r="W1829" s="23" t="e">
        <f>IF(Table1[[#This Row],[Zscore]]&lt;1.81,1,0)</f>
        <v>#DIV/0!</v>
      </c>
    </row>
    <row r="1830" spans="1:23" ht="26.25" x14ac:dyDescent="0.45">
      <c r="A1830" s="7">
        <v>1824</v>
      </c>
      <c r="B1830" s="5" t="s">
        <v>3659</v>
      </c>
      <c r="C1830" s="6" t="s">
        <v>3660</v>
      </c>
      <c r="D1830" s="6" t="s">
        <v>18</v>
      </c>
      <c r="E1830" s="8">
        <v>5659189185803</v>
      </c>
      <c r="F1830" s="8">
        <v>2129235154481</v>
      </c>
      <c r="G1830" s="8">
        <v>1393397903488</v>
      </c>
      <c r="H1830" s="8">
        <v>71952997464</v>
      </c>
      <c r="I1830" s="8">
        <v>344197952511</v>
      </c>
      <c r="J1830" s="8"/>
      <c r="K1830" s="8">
        <v>1685479354238</v>
      </c>
      <c r="L1830" s="8">
        <v>1046157744427</v>
      </c>
      <c r="M1830" s="8">
        <v>3180000000000</v>
      </c>
      <c r="N1830" s="8">
        <v>3150000000000</v>
      </c>
      <c r="O1830" s="8">
        <v>3090000000000</v>
      </c>
      <c r="P1830" s="8">
        <v>3450000000000</v>
      </c>
      <c r="Q1830" s="18">
        <f>(Table1[[#This Row],[A. TÀI SẢN NGẮN HẠN]]-Table1[[#This Row],[I. Nợ ngắn hạn]])/Table1[[#This Row],[TỔNG CỘNG TÀI SẢN]]</f>
        <v>0.13002520799957842</v>
      </c>
      <c r="R1830" s="18">
        <f>Table1[[#This Row],[- LNST chưa phân phối kỳ này]]/Table1[[#This Row],[TỔNG CỘNG TÀI SẢN]]</f>
        <v>1.2714365097478246E-2</v>
      </c>
      <c r="S1830" s="21">
        <f>Table1[[#This Row],[5. Lợi nhuận gộp về bán hàng và cung cấp dịch vụ]]/Table1[[#This Row],[TỔNG CỘNG TÀI SẢN]]</f>
        <v>6.0821071925723343E-2</v>
      </c>
      <c r="T183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1.9089524839980148</v>
      </c>
      <c r="U1830" s="23">
        <f>Table1[[#This Row],[1. Doanh thu bán hàng và cung cấp dịch vụ ]]/Table1[[#This Row],[TỔNG CỘNG TÀI SẢN]]</f>
        <v>0.18486000557314067</v>
      </c>
      <c r="V1830" s="23">
        <f>1.2*Table1[[#This Row],[X1]] + 1.4*Table1[[#This Row],[X2]] + 3.3*Table1[[#This Row],[x3]] + 0.6*Table1[[#This Row],[x4]] + 1*Table1[[#This Row],[x5]]</f>
        <v>1.7047713940628002</v>
      </c>
      <c r="W1830" s="23">
        <f>IF(Table1[[#This Row],[Zscore]]&lt;1.81,1,0)</f>
        <v>1</v>
      </c>
    </row>
    <row r="1831" spans="1:23" ht="26.25" x14ac:dyDescent="0.45">
      <c r="A1831" s="7">
        <v>1825</v>
      </c>
      <c r="B1831" s="5" t="s">
        <v>3661</v>
      </c>
      <c r="C1831" s="6" t="s">
        <v>3662</v>
      </c>
      <c r="D1831" s="6" t="s">
        <v>18</v>
      </c>
      <c r="E1831" s="8">
        <v>850546794831</v>
      </c>
      <c r="F1831" s="8">
        <v>504608723564</v>
      </c>
      <c r="G1831" s="8">
        <v>110478400226</v>
      </c>
      <c r="H1831" s="8">
        <v>1607058315</v>
      </c>
      <c r="I1831" s="8">
        <v>26095529955</v>
      </c>
      <c r="J1831" s="8"/>
      <c r="K1831" s="8">
        <v>289532293753</v>
      </c>
      <c r="L1831" s="8">
        <v>208807105108</v>
      </c>
      <c r="M1831" s="8">
        <v>250000000000</v>
      </c>
      <c r="N1831" s="8">
        <v>245000000000</v>
      </c>
      <c r="O1831" s="8">
        <v>235000000000</v>
      </c>
      <c r="P1831" s="8">
        <v>225000000000</v>
      </c>
      <c r="Q1831" s="18">
        <f>(Table1[[#This Row],[A. TÀI SẢN NGẮN HẠN]]-Table1[[#This Row],[I. Nợ ngắn hạn]])/Table1[[#This Row],[TỔNG CỘNG TÀI SẢN]]</f>
        <v>0.46338464354134917</v>
      </c>
      <c r="R1831" s="18">
        <f>Table1[[#This Row],[- LNST chưa phân phối kỳ này]]/Table1[[#This Row],[TỔNG CỘNG TÀI SẢN]]</f>
        <v>1.8894413861371561E-3</v>
      </c>
      <c r="S1831" s="21">
        <f>Table1[[#This Row],[5. Lợi nhuận gộp về bán hàng và cung cấp dịch vụ]]/Table1[[#This Row],[TỔNG CỘNG TÀI SẢN]]</f>
        <v>3.0680886829025169E-2</v>
      </c>
      <c r="T183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0.82460576989618173</v>
      </c>
      <c r="U1831" s="23">
        <f>Table1[[#This Row],[1. Doanh thu bán hàng và cung cấp dịch vụ ]]/Table1[[#This Row],[TỔNG CỘNG TÀI SẢN]]</f>
        <v>0.24549749217441832</v>
      </c>
      <c r="V1831" s="23">
        <f>1.2*Table1[[#This Row],[X1]] + 1.4*Table1[[#This Row],[X2]] + 3.3*Table1[[#This Row],[x3]] + 0.6*Table1[[#This Row],[x4]] + 1*Table1[[#This Row],[x5]]</f>
        <v>1.4002146708381216</v>
      </c>
      <c r="W1831" s="23">
        <f>IF(Table1[[#This Row],[Zscore]]&lt;1.81,1,0)</f>
        <v>1</v>
      </c>
    </row>
    <row r="1832" spans="1:23" ht="26.25" x14ac:dyDescent="0.45">
      <c r="A1832" s="7">
        <v>1826</v>
      </c>
      <c r="B1832" s="5" t="s">
        <v>3663</v>
      </c>
      <c r="C1832" s="6" t="s">
        <v>3664</v>
      </c>
      <c r="D1832" s="6" t="s">
        <v>36</v>
      </c>
      <c r="E1832" s="8">
        <v>281812713826</v>
      </c>
      <c r="F1832" s="8">
        <v>67915129907</v>
      </c>
      <c r="G1832" s="8">
        <v>75445226102</v>
      </c>
      <c r="H1832" s="8">
        <v>7741077260</v>
      </c>
      <c r="I1832" s="8">
        <v>77853429523</v>
      </c>
      <c r="J1832" s="8"/>
      <c r="K1832" s="8">
        <v>160601784708</v>
      </c>
      <c r="L1832" s="8">
        <v>795244810400</v>
      </c>
      <c r="M1832" s="8">
        <v>84240000000</v>
      </c>
      <c r="N1832" s="8">
        <v>74880000000</v>
      </c>
      <c r="O1832" s="8">
        <v>87840000000</v>
      </c>
      <c r="P1832" s="8">
        <v>74880000000</v>
      </c>
      <c r="Q1832" s="18">
        <f>(Table1[[#This Row],[A. TÀI SẢN NGẮN HẠN]]-Table1[[#This Row],[I. Nợ ngắn hạn]])/Table1[[#This Row],[TỔNG CỘNG TÀI SẢN]]</f>
        <v>-2.6720214616184127E-2</v>
      </c>
      <c r="R1832" s="18">
        <f>Table1[[#This Row],[- LNST chưa phân phối kỳ này]]/Table1[[#This Row],[TỔNG CỘNG TÀI SẢN]]</f>
        <v>2.7468871630751138E-2</v>
      </c>
      <c r="S1832" s="21">
        <f>Table1[[#This Row],[5. Lợi nhuận gộp về bán hàng và cung cấp dịch vụ]]/Table1[[#This Row],[TỔNG CỘNG TÀI SẢN]]</f>
        <v>0.27625946489791497</v>
      </c>
      <c r="T183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0.5009906966245069</v>
      </c>
      <c r="U1832" s="23">
        <f>Table1[[#This Row],[1. Doanh thu bán hàng và cung cấp dịch vụ ]]/Table1[[#This Row],[TỔNG CỘNG TÀI SẢN]]</f>
        <v>2.8218911758928273</v>
      </c>
      <c r="V1832" s="23">
        <f>1.2*Table1[[#This Row],[X1]] + 1.4*Table1[[#This Row],[X2]] + 3.3*Table1[[#This Row],[x3]] + 0.6*Table1[[#This Row],[x4]] + 1*Table1[[#This Row],[x5]]</f>
        <v>4.0405339907742812</v>
      </c>
      <c r="W1832" s="23">
        <f>IF(Table1[[#This Row],[Zscore]]&lt;1.81,1,0)</f>
        <v>0</v>
      </c>
    </row>
    <row r="1833" spans="1:23" ht="26.25" x14ac:dyDescent="0.45">
      <c r="A1833" s="7">
        <v>1827</v>
      </c>
      <c r="B1833" s="5" t="s">
        <v>3665</v>
      </c>
      <c r="C1833" s="6" t="s">
        <v>3666</v>
      </c>
      <c r="D1833" s="6" t="s">
        <v>36</v>
      </c>
      <c r="E1833" s="8">
        <v>4677304058387</v>
      </c>
      <c r="F1833" s="8">
        <v>4607687211411</v>
      </c>
      <c r="G1833" s="8">
        <v>3958922214219</v>
      </c>
      <c r="H1833" s="8">
        <v>140413986388</v>
      </c>
      <c r="I1833" s="8">
        <v>406745168299</v>
      </c>
      <c r="J1833" s="8"/>
      <c r="K1833" s="8">
        <v>3960659811849</v>
      </c>
      <c r="L1833" s="8">
        <v>8105352385153</v>
      </c>
      <c r="M1833" s="8">
        <v>632300306800</v>
      </c>
      <c r="N1833" s="8">
        <v>813697935800</v>
      </c>
      <c r="O1833" s="8">
        <v>611569149200</v>
      </c>
      <c r="P1833" s="8">
        <v>689310990200</v>
      </c>
      <c r="Q1833" s="18">
        <f>(Table1[[#This Row],[A. TÀI SẢN NGẮN HẠN]]-Table1[[#This Row],[I. Nợ ngắn hạn]])/Table1[[#This Row],[TỔNG CỘNG TÀI SẢN]]</f>
        <v>0.13870490117671139</v>
      </c>
      <c r="R1833" s="18">
        <f>Table1[[#This Row],[- LNST chưa phân phối kỳ này]]/Table1[[#This Row],[TỔNG CỘNG TÀI SẢN]]</f>
        <v>3.0020281904961876E-2</v>
      </c>
      <c r="S1833" s="21">
        <f>Table1[[#This Row],[5. Lợi nhuận gộp về bán hàng và cung cấp dịch vụ]]/Table1[[#This Row],[TỔNG CỘNG TÀI SẢN]]</f>
        <v>8.6961455407128019E-2</v>
      </c>
      <c r="T183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0.17338514998070759</v>
      </c>
      <c r="U1833" s="23">
        <f>Table1[[#This Row],[1. Doanh thu bán hàng và cung cấp dịch vụ ]]/Table1[[#This Row],[TỔNG CỘNG TÀI SẢN]]</f>
        <v>1.7329111565067219</v>
      </c>
      <c r="V1833" s="23">
        <f>1.2*Table1[[#This Row],[X1]] + 1.4*Table1[[#This Row],[X2]] + 3.3*Table1[[#This Row],[x3]] + 0.6*Table1[[#This Row],[x4]] + 1*Table1[[#This Row],[x5]]</f>
        <v>2.3323893254176693</v>
      </c>
      <c r="W1833" s="23">
        <f>IF(Table1[[#This Row],[Zscore]]&lt;1.81,1,0)</f>
        <v>0</v>
      </c>
    </row>
    <row r="1834" spans="1:23" ht="26.25" x14ac:dyDescent="0.45">
      <c r="A1834" s="7">
        <v>1828</v>
      </c>
      <c r="B1834" s="5" t="s">
        <v>3667</v>
      </c>
      <c r="C1834" s="6" t="s">
        <v>3668</v>
      </c>
      <c r="D1834" s="6" t="s">
        <v>36</v>
      </c>
      <c r="E1834" s="8">
        <v>299428616959</v>
      </c>
      <c r="F1834" s="8">
        <v>278269865683</v>
      </c>
      <c r="G1834" s="8">
        <v>124129181591</v>
      </c>
      <c r="H1834" s="8">
        <v>16487700813</v>
      </c>
      <c r="I1834" s="8">
        <v>91304172770</v>
      </c>
      <c r="J1834" s="8"/>
      <c r="K1834" s="8">
        <v>124129181591</v>
      </c>
      <c r="L1834" s="8">
        <v>3673303495957</v>
      </c>
      <c r="M1834" s="8">
        <v>135000000000</v>
      </c>
      <c r="N1834" s="8">
        <v>132500000000</v>
      </c>
      <c r="O1834" s="8">
        <v>145000000000</v>
      </c>
      <c r="P1834" s="8">
        <v>136250000000</v>
      </c>
      <c r="Q1834" s="18">
        <f>(Table1[[#This Row],[A. TÀI SẢN NGẮN HẠN]]-Table1[[#This Row],[I. Nợ ngắn hạn]])/Table1[[#This Row],[TỔNG CỘNG TÀI SẢN]]</f>
        <v>0.51478274073284747</v>
      </c>
      <c r="R1834" s="18">
        <f>Table1[[#This Row],[- LNST chưa phân phối kỳ này]]/Table1[[#This Row],[TỔNG CỘNG TÀI SẢN]]</f>
        <v>5.5063877930069789E-2</v>
      </c>
      <c r="S1834" s="21">
        <f>Table1[[#This Row],[5. Lợi nhuận gộp về bán hàng và cung cấp dịch vụ]]/Table1[[#This Row],[TỔNG CỘNG TÀI SẢN]]</f>
        <v>0.30492801154841537</v>
      </c>
      <c r="T183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1.1051994240325096</v>
      </c>
      <c r="U1834" s="23">
        <f>Table1[[#This Row],[1. Doanh thu bán hàng và cung cấp dịch vụ ]]/Table1[[#This Row],[TỔNG CỘNG TÀI SẢN]]</f>
        <v>12.267710191708149</v>
      </c>
      <c r="V1834" s="23">
        <f>1.2*Table1[[#This Row],[X1]] + 1.4*Table1[[#This Row],[X2]] + 3.3*Table1[[#This Row],[x3]] + 0.6*Table1[[#This Row],[x4]] + 1*Table1[[#This Row],[x5]]</f>
        <v>14.63192100221894</v>
      </c>
      <c r="W1834" s="23">
        <f>IF(Table1[[#This Row],[Zscore]]&lt;1.81,1,0)</f>
        <v>0</v>
      </c>
    </row>
    <row r="1835" spans="1:23" ht="26.25" hidden="1" x14ac:dyDescent="0.45">
      <c r="A1835" s="7">
        <v>1829</v>
      </c>
      <c r="B1835" s="5" t="s">
        <v>3669</v>
      </c>
      <c r="C1835" s="6" t="s">
        <v>3670</v>
      </c>
      <c r="D1835" s="6" t="s">
        <v>18</v>
      </c>
      <c r="E1835" s="6"/>
      <c r="F1835" s="6"/>
      <c r="G1835" s="6"/>
      <c r="H1835" s="6"/>
      <c r="I1835" s="6"/>
      <c r="J1835" s="8"/>
      <c r="K1835" s="6"/>
      <c r="L1835" s="6"/>
      <c r="M1835" s="8"/>
      <c r="N1835" s="8"/>
      <c r="O1835" s="8"/>
      <c r="P1835" s="8"/>
      <c r="Q1835" s="18" t="e">
        <f>(Table1[[#This Row],[A. TÀI SẢN NGẮN HẠN]]-Table1[[#This Row],[I. Nợ ngắn hạn]])/Table1[[#This Row],[TỔNG CỘNG TÀI SẢN]]</f>
        <v>#DIV/0!</v>
      </c>
      <c r="R1835" s="18" t="e">
        <f>Table1[[#This Row],[- LNST chưa phân phối kỳ này]]/Table1[[#This Row],[TỔNG CỘNG TÀI SẢN]]</f>
        <v>#DIV/0!</v>
      </c>
      <c r="S1835" s="21" t="e">
        <f>Table1[[#This Row],[5. Lợi nhuận gộp về bán hàng và cung cấp dịch vụ]]/Table1[[#This Row],[TỔNG CỘNG TÀI SẢN]]</f>
        <v>#DIV/0!</v>
      </c>
      <c r="T183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835" s="23" t="e">
        <f>Table1[[#This Row],[1. Doanh thu bán hàng và cung cấp dịch vụ ]]/Table1[[#This Row],[TỔNG CỘNG TÀI SẢN]]</f>
        <v>#DIV/0!</v>
      </c>
      <c r="V1835" s="23" t="e">
        <f>1.2*Table1[[#This Row],[X1]] + 1.4*Table1[[#This Row],[X2]] + 3.3*Table1[[#This Row],[x3]] + 0.6*Table1[[#This Row],[x4]] + 1*Table1[[#This Row],[x5]]</f>
        <v>#DIV/0!</v>
      </c>
      <c r="W1835" s="23" t="e">
        <f>IF(Table1[[#This Row],[Zscore]]&lt;1.81,1,0)</f>
        <v>#DIV/0!</v>
      </c>
    </row>
    <row r="1836" spans="1:23" ht="26.25" x14ac:dyDescent="0.45">
      <c r="A1836" s="7">
        <v>1830</v>
      </c>
      <c r="B1836" s="5" t="s">
        <v>3671</v>
      </c>
      <c r="C1836" s="6" t="s">
        <v>3672</v>
      </c>
      <c r="D1836" s="6" t="s">
        <v>18</v>
      </c>
      <c r="E1836" s="8">
        <v>10506141908367</v>
      </c>
      <c r="F1836" s="8">
        <v>5873216358730</v>
      </c>
      <c r="G1836" s="8">
        <v>8490852736373</v>
      </c>
      <c r="H1836" s="8">
        <v>-549376277327</v>
      </c>
      <c r="I1836" s="8">
        <v>-17491159543</v>
      </c>
      <c r="J1836" s="8"/>
      <c r="K1836" s="8">
        <v>10342708952054</v>
      </c>
      <c r="L1836" s="8">
        <v>16596502636</v>
      </c>
      <c r="M1836" s="8">
        <v>223320510600</v>
      </c>
      <c r="N1836" s="8">
        <v>214488626000</v>
      </c>
      <c r="O1836" s="8">
        <v>223320510600</v>
      </c>
      <c r="P1836" s="8">
        <v>214488626000</v>
      </c>
      <c r="Q1836" s="18">
        <f>(Table1[[#This Row],[A. TÀI SẢN NGẮN HẠN]]-Table1[[#This Row],[I. Nợ ngắn hạn]])/Table1[[#This Row],[TỔNG CỘNG TÀI SẢN]]</f>
        <v>-0.24915296218855917</v>
      </c>
      <c r="R1836" s="18">
        <f>Table1[[#This Row],[- LNST chưa phân phối kỳ này]]/Table1[[#This Row],[TỔNG CỘNG TÀI SẢN]]</f>
        <v>-5.229096295467716E-2</v>
      </c>
      <c r="S1836" s="21">
        <f>Table1[[#This Row],[5. Lợi nhuận gộp về bán hàng và cung cấp dịch vụ]]/Table1[[#This Row],[TỔNG CỘNG TÀI SẢN]]</f>
        <v>-1.6648508744270998E-3</v>
      </c>
      <c r="T183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2.116510957765343E-2</v>
      </c>
      <c r="U1836" s="23">
        <f>Table1[[#This Row],[1. Doanh thu bán hàng và cung cấp dịch vụ ]]/Table1[[#This Row],[TỔNG CỘNG TÀI SẢN]]</f>
        <v>1.5796952659455979E-3</v>
      </c>
      <c r="V1836" s="23">
        <f>1.2*Table1[[#This Row],[X1]] + 1.4*Table1[[#This Row],[X2]] + 3.3*Table1[[#This Row],[x3]] + 0.6*Table1[[#This Row],[x4]] + 1*Table1[[#This Row],[x5]]</f>
        <v>-0.3634061496358908</v>
      </c>
      <c r="W1836" s="23">
        <f>IF(Table1[[#This Row],[Zscore]]&lt;1.81,1,0)</f>
        <v>1</v>
      </c>
    </row>
    <row r="1837" spans="1:23" x14ac:dyDescent="0.45">
      <c r="A1837" s="7">
        <v>1831</v>
      </c>
      <c r="B1837" s="5" t="s">
        <v>3673</v>
      </c>
      <c r="C1837" s="6" t="s">
        <v>3674</v>
      </c>
      <c r="D1837" s="6" t="s">
        <v>36</v>
      </c>
      <c r="E1837" s="8">
        <v>3123118878516</v>
      </c>
      <c r="F1837" s="8">
        <v>3087856449950</v>
      </c>
      <c r="G1837" s="8">
        <v>2371762321156</v>
      </c>
      <c r="H1837" s="8">
        <v>-298633069</v>
      </c>
      <c r="I1837" s="8">
        <v>234323237601</v>
      </c>
      <c r="J1837" s="8"/>
      <c r="K1837" s="8">
        <v>2371862793898</v>
      </c>
      <c r="L1837" s="8">
        <v>477127915049</v>
      </c>
      <c r="M1837" s="8">
        <v>448809750000</v>
      </c>
      <c r="N1837" s="8">
        <v>460778010000</v>
      </c>
      <c r="O1837" s="8">
        <v>400936710000</v>
      </c>
      <c r="P1837" s="8">
        <v>508651050000</v>
      </c>
      <c r="Q1837" s="18">
        <f>(Table1[[#This Row],[A. TÀI SẢN NGẮN HẠN]]-Table1[[#This Row],[I. Nợ ngắn hạn]])/Table1[[#This Row],[TỔNG CỘNG TÀI SẢN]]</f>
        <v>0.22928814324681218</v>
      </c>
      <c r="R1837" s="18">
        <f>Table1[[#This Row],[- LNST chưa phân phối kỳ này]]/Table1[[#This Row],[TỔNG CỘNG TÀI SẢN]]</f>
        <v>-9.5620141472776822E-5</v>
      </c>
      <c r="S1837" s="21">
        <f>Table1[[#This Row],[5. Lợi nhuận gộp về bán hàng và cung cấp dịch vụ]]/Table1[[#This Row],[TỔNG CỘNG TÀI SẢN]]</f>
        <v>7.5028600164058573E-2</v>
      </c>
      <c r="T183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0.19174544209303787</v>
      </c>
      <c r="U1837" s="23">
        <f>Table1[[#This Row],[1. Doanh thu bán hàng và cung cấp dịch vụ ]]/Table1[[#This Row],[TỔNG CỘNG TÀI SẢN]]</f>
        <v>0.15277289581615766</v>
      </c>
      <c r="V1837" s="23">
        <f>1.2*Table1[[#This Row],[X1]] + 1.4*Table1[[#This Row],[X2]] + 3.3*Table1[[#This Row],[x3]] + 0.6*Table1[[#This Row],[x4]] + 1*Table1[[#This Row],[x5]]</f>
        <v>0.79042644531148643</v>
      </c>
      <c r="W1837" s="23">
        <f>IF(Table1[[#This Row],[Zscore]]&lt;1.81,1,0)</f>
        <v>1</v>
      </c>
    </row>
    <row r="1838" spans="1:23" hidden="1" x14ac:dyDescent="0.45">
      <c r="A1838" s="7">
        <v>1832</v>
      </c>
      <c r="B1838" s="5" t="s">
        <v>3675</v>
      </c>
      <c r="C1838" s="6" t="s">
        <v>3676</v>
      </c>
      <c r="D1838" s="6" t="s">
        <v>18</v>
      </c>
      <c r="E1838" s="6"/>
      <c r="F1838" s="6"/>
      <c r="G1838" s="6"/>
      <c r="H1838" s="6"/>
      <c r="I1838" s="6"/>
      <c r="J1838" s="8"/>
      <c r="K1838" s="6"/>
      <c r="L1838" s="6"/>
      <c r="M1838" s="8"/>
      <c r="N1838" s="8"/>
      <c r="O1838" s="8"/>
      <c r="P1838" s="8"/>
      <c r="Q1838" s="18" t="e">
        <f>(Table1[[#This Row],[A. TÀI SẢN NGẮN HẠN]]-Table1[[#This Row],[I. Nợ ngắn hạn]])/Table1[[#This Row],[TỔNG CỘNG TÀI SẢN]]</f>
        <v>#DIV/0!</v>
      </c>
      <c r="R1838" s="18" t="e">
        <f>Table1[[#This Row],[- LNST chưa phân phối kỳ này]]/Table1[[#This Row],[TỔNG CỘNG TÀI SẢN]]</f>
        <v>#DIV/0!</v>
      </c>
      <c r="S1838" s="21" t="e">
        <f>Table1[[#This Row],[5. Lợi nhuận gộp về bán hàng và cung cấp dịch vụ]]/Table1[[#This Row],[TỔNG CỘNG TÀI SẢN]]</f>
        <v>#DIV/0!</v>
      </c>
      <c r="T183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838" s="23" t="e">
        <f>Table1[[#This Row],[1. Doanh thu bán hàng và cung cấp dịch vụ ]]/Table1[[#This Row],[TỔNG CỘNG TÀI SẢN]]</f>
        <v>#DIV/0!</v>
      </c>
      <c r="V1838" s="23" t="e">
        <f>1.2*Table1[[#This Row],[X1]] + 1.4*Table1[[#This Row],[X2]] + 3.3*Table1[[#This Row],[x3]] + 0.6*Table1[[#This Row],[x4]] + 1*Table1[[#This Row],[x5]]</f>
        <v>#DIV/0!</v>
      </c>
      <c r="W1838" s="23" t="e">
        <f>IF(Table1[[#This Row],[Zscore]]&lt;1.81,1,0)</f>
        <v>#DIV/0!</v>
      </c>
    </row>
    <row r="1839" spans="1:23" ht="26.25" x14ac:dyDescent="0.45">
      <c r="A1839" s="7">
        <v>1833</v>
      </c>
      <c r="B1839" s="5" t="s">
        <v>3677</v>
      </c>
      <c r="C1839" s="6" t="s">
        <v>3678</v>
      </c>
      <c r="D1839" s="6" t="s">
        <v>18</v>
      </c>
      <c r="E1839" s="8">
        <v>1561516565749</v>
      </c>
      <c r="F1839" s="8">
        <v>1074519051463</v>
      </c>
      <c r="G1839" s="8">
        <v>949597835525</v>
      </c>
      <c r="H1839" s="8">
        <v>34517308590</v>
      </c>
      <c r="I1839" s="8">
        <v>106906395915</v>
      </c>
      <c r="J1839" s="8"/>
      <c r="K1839" s="8">
        <v>1010785772465</v>
      </c>
      <c r="L1839" s="8">
        <v>1372443792605</v>
      </c>
      <c r="M1839" s="8">
        <v>428000000000</v>
      </c>
      <c r="N1839" s="8">
        <v>344000000000</v>
      </c>
      <c r="O1839" s="8">
        <v>408000000000</v>
      </c>
      <c r="P1839" s="8">
        <v>384000000000</v>
      </c>
      <c r="Q1839" s="18">
        <f>(Table1[[#This Row],[A. TÀI SẢN NGẮN HẠN]]-Table1[[#This Row],[I. Nợ ngắn hạn]])/Table1[[#This Row],[TỔNG CỘNG TÀI SẢN]]</f>
        <v>7.9999929989906987E-2</v>
      </c>
      <c r="R1839" s="18">
        <f>Table1[[#This Row],[- LNST chưa phân phối kỳ này]]/Table1[[#This Row],[TỔNG CỘNG TÀI SẢN]]</f>
        <v>2.2104990332551075E-2</v>
      </c>
      <c r="S1839" s="21">
        <f>Table1[[#This Row],[5. Lợi nhuận gộp về bán hàng và cung cấp dịch vụ]]/Table1[[#This Row],[TỔNG CỘNG TÀI SẢN]]</f>
        <v>6.8463183971231883E-2</v>
      </c>
      <c r="T183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0.38682776375697253</v>
      </c>
      <c r="U1839" s="23">
        <f>Table1[[#This Row],[1. Doanh thu bán hàng và cung cấp dịch vụ ]]/Table1[[#This Row],[TỔNG CỘNG TÀI SẢN]]</f>
        <v>0.87891721593532435</v>
      </c>
      <c r="V1839" s="23">
        <f>1.2*Table1[[#This Row],[X1]] + 1.4*Table1[[#This Row],[X2]] + 3.3*Table1[[#This Row],[x3]] + 0.6*Table1[[#This Row],[x4]] + 1*Table1[[#This Row],[x5]]</f>
        <v>1.4638892837480331</v>
      </c>
      <c r="W1839" s="23">
        <f>IF(Table1[[#This Row],[Zscore]]&lt;1.81,1,0)</f>
        <v>1</v>
      </c>
    </row>
    <row r="1840" spans="1:23" ht="26.25" x14ac:dyDescent="0.45">
      <c r="A1840" s="7">
        <v>1834</v>
      </c>
      <c r="B1840" s="5" t="s">
        <v>3679</v>
      </c>
      <c r="C1840" s="6" t="s">
        <v>3680</v>
      </c>
      <c r="D1840" s="6" t="s">
        <v>18</v>
      </c>
      <c r="E1840" s="8">
        <v>546204719542</v>
      </c>
      <c r="F1840" s="8">
        <v>103227150535</v>
      </c>
      <c r="G1840" s="8">
        <v>66859689396</v>
      </c>
      <c r="H1840" s="8">
        <v>11427896680</v>
      </c>
      <c r="I1840" s="8">
        <v>76733781015</v>
      </c>
      <c r="J1840" s="8"/>
      <c r="K1840" s="8">
        <v>90371318029</v>
      </c>
      <c r="L1840" s="8">
        <v>296223735533</v>
      </c>
      <c r="M1840" s="8">
        <v>616000000000</v>
      </c>
      <c r="N1840" s="8">
        <v>692000000000</v>
      </c>
      <c r="O1840" s="8">
        <v>692000000000</v>
      </c>
      <c r="P1840" s="8">
        <v>800000000000</v>
      </c>
      <c r="Q1840" s="18">
        <f>(Table1[[#This Row],[A. TÀI SẢN NGẮN HẠN]]-Table1[[#This Row],[I. Nợ ngắn hạn]])/Table1[[#This Row],[TỔNG CỘNG TÀI SẢN]]</f>
        <v>6.658210710719345E-2</v>
      </c>
      <c r="R1840" s="18">
        <f>Table1[[#This Row],[- LNST chưa phân phối kỳ này]]/Table1[[#This Row],[TỔNG CỘNG TÀI SẢN]]</f>
        <v>2.092236897839778E-2</v>
      </c>
      <c r="S1840" s="21">
        <f>Table1[[#This Row],[5. Lợi nhuận gộp về bán hàng và cung cấp dịch vụ]]/Table1[[#This Row],[TỔNG CỘNG TÀI SẢN]]</f>
        <v>0.14048538628399679</v>
      </c>
      <c r="T184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7.7458204136778352</v>
      </c>
      <c r="U1840" s="23">
        <f>Table1[[#This Row],[1. Doanh thu bán hàng và cung cấp dịch vụ ]]/Table1[[#This Row],[TỔNG CỘNG TÀI SẢN]]</f>
        <v>0.54233097030246746</v>
      </c>
      <c r="V1840" s="23">
        <f>1.2*Table1[[#This Row],[X1]] + 1.4*Table1[[#This Row],[X2]] + 3.3*Table1[[#This Row],[x3]] + 0.6*Table1[[#This Row],[x4]] + 1*Table1[[#This Row],[x5]]</f>
        <v>5.7626148383447475</v>
      </c>
      <c r="W1840" s="23">
        <f>IF(Table1[[#This Row],[Zscore]]&lt;1.81,1,0)</f>
        <v>0</v>
      </c>
    </row>
    <row r="1841" spans="1:23" ht="26.25" x14ac:dyDescent="0.45">
      <c r="A1841" s="7">
        <v>1835</v>
      </c>
      <c r="B1841" s="5" t="s">
        <v>3681</v>
      </c>
      <c r="C1841" s="6" t="s">
        <v>3682</v>
      </c>
      <c r="D1841" s="6" t="s">
        <v>36</v>
      </c>
      <c r="E1841" s="8">
        <v>325493516211</v>
      </c>
      <c r="F1841" s="8">
        <v>305705498196</v>
      </c>
      <c r="G1841" s="8">
        <v>118435370609</v>
      </c>
      <c r="H1841" s="6"/>
      <c r="I1841" s="8">
        <v>83793494182</v>
      </c>
      <c r="J1841" s="8"/>
      <c r="K1841" s="8">
        <v>118435370609</v>
      </c>
      <c r="L1841" s="8">
        <v>3317340055823</v>
      </c>
      <c r="M1841" s="8">
        <v>137700000000</v>
      </c>
      <c r="N1841" s="8">
        <v>129200000000</v>
      </c>
      <c r="O1841" s="8">
        <v>136000000000</v>
      </c>
      <c r="P1841" s="8">
        <v>146200000000</v>
      </c>
      <c r="Q1841" s="18">
        <f>(Table1[[#This Row],[A. TÀI SẢN NGẮN HẠN]]-Table1[[#This Row],[I. Nợ ngắn hạn]])/Table1[[#This Row],[TỔNG CỘNG TÀI SẢN]]</f>
        <v>0.57534211362171284</v>
      </c>
      <c r="R1841" s="18">
        <f>Table1[[#This Row],[- LNST chưa phân phối kỳ này]]/Table1[[#This Row],[TỔNG CỘNG TÀI SẢN]]</f>
        <v>0</v>
      </c>
      <c r="S1841" s="21">
        <f>Table1[[#This Row],[5. Lợi nhuận gộp về bán hàng và cung cấp dịch vụ]]/Table1[[#This Row],[TỔNG CỘNG TÀI SẢN]]</f>
        <v>0.25743521762713445</v>
      </c>
      <c r="T184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1.159070970894301</v>
      </c>
      <c r="U1841" s="23">
        <f>Table1[[#This Row],[1. Doanh thu bán hàng và cung cấp dịch vụ ]]/Table1[[#This Row],[TỔNG CỘNG TÀI SẢN]]</f>
        <v>10.191723922612782</v>
      </c>
      <c r="V1841" s="23">
        <f>1.2*Table1[[#This Row],[X1]] + 1.4*Table1[[#This Row],[X2]] + 3.3*Table1[[#This Row],[x3]] + 0.6*Table1[[#This Row],[x4]] + 1*Table1[[#This Row],[x5]]</f>
        <v>12.427113259664962</v>
      </c>
      <c r="W1841" s="23">
        <f>IF(Table1[[#This Row],[Zscore]]&lt;1.81,1,0)</f>
        <v>0</v>
      </c>
    </row>
    <row r="1842" spans="1:23" x14ac:dyDescent="0.45">
      <c r="A1842" s="7">
        <v>1836</v>
      </c>
      <c r="B1842" s="5" t="s">
        <v>3683</v>
      </c>
      <c r="C1842" s="6" t="s">
        <v>3684</v>
      </c>
      <c r="D1842" s="6" t="s">
        <v>21</v>
      </c>
      <c r="E1842" s="8">
        <v>6393015167008</v>
      </c>
      <c r="F1842" s="8">
        <v>4075069409407</v>
      </c>
      <c r="G1842" s="8">
        <v>2659183221717</v>
      </c>
      <c r="H1842" s="8">
        <v>493047986501</v>
      </c>
      <c r="I1842" s="8">
        <v>1499593483889</v>
      </c>
      <c r="J1842" s="8"/>
      <c r="K1842" s="8">
        <v>3044617625716</v>
      </c>
      <c r="L1842" s="8">
        <v>7300100193665</v>
      </c>
      <c r="M1842" s="8">
        <v>3828876651600</v>
      </c>
      <c r="N1842" s="8">
        <v>3149451861150</v>
      </c>
      <c r="O1842" s="8">
        <v>3674918324700</v>
      </c>
      <c r="P1842" s="8">
        <v>3199655663400</v>
      </c>
      <c r="Q1842" s="18">
        <f>(Table1[[#This Row],[A. TÀI SẢN NGẮN HẠN]]-Table1[[#This Row],[I. Nợ ngắn hạn]])/Table1[[#This Row],[TỔNG CỘNG TÀI SẢN]]</f>
        <v>0.22147392907760768</v>
      </c>
      <c r="R1842" s="18">
        <f>Table1[[#This Row],[- LNST chưa phân phối kỳ này]]/Table1[[#This Row],[TỔNG CỘNG TÀI SẢN]]</f>
        <v>7.7122918313324101E-2</v>
      </c>
      <c r="S1842" s="21">
        <f>Table1[[#This Row],[5. Lợi nhuận gộp về bán hàng và cung cấp dịch vụ]]/Table1[[#This Row],[TỔNG CỘNG TÀI SẢN]]</f>
        <v>0.23456748415487116</v>
      </c>
      <c r="T184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1.1374911568404444</v>
      </c>
      <c r="U1842" s="23">
        <f>Table1[[#This Row],[1. Doanh thu bán hàng và cung cấp dịch vụ ]]/Table1[[#This Row],[TỔNG CỘNG TÀI SẢN]]</f>
        <v>1.1418868879489183</v>
      </c>
      <c r="V1842" s="23">
        <f>1.2*Table1[[#This Row],[X1]] + 1.4*Table1[[#This Row],[X2]] + 3.3*Table1[[#This Row],[x3]] + 0.6*Table1[[#This Row],[x4]] + 1*Table1[[#This Row],[x5]]</f>
        <v>2.9721950802960428</v>
      </c>
      <c r="W1842" s="23">
        <f>IF(Table1[[#This Row],[Zscore]]&lt;1.81,1,0)</f>
        <v>0</v>
      </c>
    </row>
    <row r="1843" spans="1:23" x14ac:dyDescent="0.45">
      <c r="A1843" s="7">
        <v>1837</v>
      </c>
      <c r="B1843" s="5" t="s">
        <v>3685</v>
      </c>
      <c r="C1843" s="6" t="s">
        <v>3686</v>
      </c>
      <c r="D1843" s="6" t="s">
        <v>21</v>
      </c>
      <c r="E1843" s="8">
        <v>436676266069</v>
      </c>
      <c r="F1843" s="8">
        <v>258154219006</v>
      </c>
      <c r="G1843" s="8">
        <v>8977216221</v>
      </c>
      <c r="H1843" s="8">
        <v>5182057361</v>
      </c>
      <c r="I1843" s="8">
        <v>60000000</v>
      </c>
      <c r="J1843" s="8"/>
      <c r="K1843" s="8">
        <v>8977216221</v>
      </c>
      <c r="L1843" s="8">
        <v>60000000</v>
      </c>
      <c r="M1843" s="8">
        <v>183492256800</v>
      </c>
      <c r="N1843" s="8">
        <v>213752383360</v>
      </c>
      <c r="O1843" s="8">
        <v>182204591840</v>
      </c>
      <c r="P1843" s="8">
        <v>251416583440</v>
      </c>
      <c r="Q1843" s="18">
        <f>(Table1[[#This Row],[A. TÀI SẢN NGẮN HẠN]]-Table1[[#This Row],[I. Nợ ngắn hạn]])/Table1[[#This Row],[TỔNG CỘNG TÀI SẢN]]</f>
        <v>0.5706218133358022</v>
      </c>
      <c r="R1843" s="18">
        <f>Table1[[#This Row],[- LNST chưa phân phối kỳ này]]/Table1[[#This Row],[TỔNG CỘNG TÀI SẢN]]</f>
        <v>1.1867046055993284E-2</v>
      </c>
      <c r="S1843" s="21">
        <f>Table1[[#This Row],[5. Lợi nhuận gộp về bán hàng và cung cấp dịch vụ]]/Table1[[#This Row],[TỔNG CỘNG TÀI SẢN]]</f>
        <v>1.3740155960415603E-4</v>
      </c>
      <c r="T184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23.138181006947143</v>
      </c>
      <c r="U1843" s="23">
        <f>Table1[[#This Row],[1. Doanh thu bán hàng và cung cấp dịch vụ ]]/Table1[[#This Row],[TỔNG CỘNG TÀI SẢN]]</f>
        <v>1.3740155960415603E-4</v>
      </c>
      <c r="V1843" s="23">
        <f>1.2*Table1[[#This Row],[X1]] + 1.4*Table1[[#This Row],[X2]] + 3.3*Table1[[#This Row],[x3]] + 0.6*Table1[[#This Row],[x4]] + 1*Table1[[#This Row],[x5]]</f>
        <v>14.584859471355937</v>
      </c>
      <c r="W1843" s="23">
        <f>IF(Table1[[#This Row],[Zscore]]&lt;1.81,1,0)</f>
        <v>0</v>
      </c>
    </row>
    <row r="1844" spans="1:23" ht="26.25" x14ac:dyDescent="0.45">
      <c r="A1844" s="7">
        <v>1838</v>
      </c>
      <c r="B1844" s="5" t="s">
        <v>3687</v>
      </c>
      <c r="C1844" s="6" t="s">
        <v>3688</v>
      </c>
      <c r="D1844" s="6" t="s">
        <v>36</v>
      </c>
      <c r="E1844" s="8">
        <v>684600142756</v>
      </c>
      <c r="F1844" s="8">
        <v>640020158189</v>
      </c>
      <c r="G1844" s="8">
        <v>438999571511</v>
      </c>
      <c r="H1844" s="8">
        <v>1808621238</v>
      </c>
      <c r="I1844" s="8">
        <v>48911521050</v>
      </c>
      <c r="J1844" s="8"/>
      <c r="K1844" s="8">
        <v>512736075907</v>
      </c>
      <c r="L1844" s="8">
        <v>517558681291</v>
      </c>
      <c r="M1844" s="8">
        <v>36499510900</v>
      </c>
      <c r="N1844" s="8">
        <v>39999464000</v>
      </c>
      <c r="O1844" s="8">
        <v>33999544400</v>
      </c>
      <c r="P1844" s="8">
        <v>34999531000</v>
      </c>
      <c r="Q1844" s="18">
        <f>(Table1[[#This Row],[A. TÀI SẢN NGẮN HẠN]]-Table1[[#This Row],[I. Nợ ngắn hạn]])/Table1[[#This Row],[TỔNG CỘNG TÀI SẢN]]</f>
        <v>0.29363211329280459</v>
      </c>
      <c r="R1844" s="18">
        <f>Table1[[#This Row],[- LNST chưa phân phối kỳ này]]/Table1[[#This Row],[TỔNG CỘNG TÀI SẢN]]</f>
        <v>2.6418651195704106E-3</v>
      </c>
      <c r="S1844" s="21">
        <f>Table1[[#This Row],[5. Lợi nhuận gộp về bán hàng và cung cấp dịch vụ]]/Table1[[#This Row],[TỔNG CỘNG TÀI SẢN]]</f>
        <v>7.1445385408621914E-2</v>
      </c>
      <c r="T184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7.0941980258860518E-2</v>
      </c>
      <c r="U1844" s="23">
        <f>Table1[[#This Row],[1. Doanh thu bán hàng và cung cấp dịch vụ ]]/Table1[[#This Row],[TỔNG CỘNG TÀI SẢN]]</f>
        <v>0.75600142180435437</v>
      </c>
      <c r="V1844" s="23">
        <f>1.2*Table1[[#This Row],[X1]] + 1.4*Table1[[#This Row],[X2]] + 3.3*Table1[[#This Row],[x3]] + 0.6*Table1[[#This Row],[x4]] + 1*Table1[[#This Row],[x5]]</f>
        <v>1.3903935289268872</v>
      </c>
      <c r="W1844" s="23">
        <f>IF(Table1[[#This Row],[Zscore]]&lt;1.81,1,0)</f>
        <v>1</v>
      </c>
    </row>
    <row r="1845" spans="1:23" x14ac:dyDescent="0.45">
      <c r="A1845" s="7">
        <v>1839</v>
      </c>
      <c r="B1845" s="5" t="s">
        <v>3689</v>
      </c>
      <c r="C1845" s="6" t="s">
        <v>3690</v>
      </c>
      <c r="D1845" s="6" t="s">
        <v>18</v>
      </c>
      <c r="E1845" s="8">
        <v>285160215886</v>
      </c>
      <c r="F1845" s="8">
        <v>56080153776</v>
      </c>
      <c r="G1845" s="8">
        <v>617294964997</v>
      </c>
      <c r="H1845" s="8">
        <v>-42338582081</v>
      </c>
      <c r="I1845" s="8">
        <v>-5004157028</v>
      </c>
      <c r="J1845" s="8"/>
      <c r="K1845" s="8">
        <v>644794964997</v>
      </c>
      <c r="L1845" s="8">
        <v>152913087324</v>
      </c>
      <c r="M1845" s="8">
        <v>42457716000</v>
      </c>
      <c r="N1845" s="8">
        <v>50949259200</v>
      </c>
      <c r="O1845" s="8">
        <v>50949259200</v>
      </c>
      <c r="P1845" s="8">
        <v>50949259200</v>
      </c>
      <c r="Q1845" s="18">
        <f>(Table1[[#This Row],[A. TÀI SẢN NGẮN HẠN]]-Table1[[#This Row],[I. Nợ ngắn hạn]])/Table1[[#This Row],[TỔNG CỘNG TÀI SẢN]]</f>
        <v>-1.96806840490456</v>
      </c>
      <c r="R1845" s="18">
        <f>Table1[[#This Row],[- LNST chưa phân phối kỳ này]]/Table1[[#This Row],[TỔNG CỘNG TÀI SẢN]]</f>
        <v>-0.14847296264471169</v>
      </c>
      <c r="S1845" s="21">
        <f>Table1[[#This Row],[5. Lợi nhuận gộp về bán hàng và cung cấp dịch vụ]]/Table1[[#This Row],[TỔNG CỘNG TÀI SẢN]]</f>
        <v>-1.7548580584609102E-2</v>
      </c>
      <c r="T184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7.5723875108465177E-2</v>
      </c>
      <c r="U1845" s="23">
        <f>Table1[[#This Row],[1. Doanh thu bán hàng và cung cấp dịch vụ ]]/Table1[[#This Row],[TỔNG CỘNG TÀI SẢN]]</f>
        <v>0.53623569770732282</v>
      </c>
      <c r="V1845" s="23">
        <f>1.2*Table1[[#This Row],[X1]] + 1.4*Table1[[#This Row],[X2]] + 3.3*Table1[[#This Row],[x3]] + 0.6*Table1[[#This Row],[x4]] + 1*Table1[[#This Row],[x5]]</f>
        <v>-2.0457845267448764</v>
      </c>
      <c r="W1845" s="23">
        <f>IF(Table1[[#This Row],[Zscore]]&lt;1.81,1,0)</f>
        <v>1</v>
      </c>
    </row>
    <row r="1846" spans="1:23" hidden="1" x14ac:dyDescent="0.45">
      <c r="A1846" s="7">
        <v>1840</v>
      </c>
      <c r="B1846" s="5" t="s">
        <v>3691</v>
      </c>
      <c r="C1846" s="6" t="s">
        <v>3692</v>
      </c>
      <c r="D1846" s="6" t="s">
        <v>18</v>
      </c>
      <c r="E1846" s="8">
        <v>385385118703</v>
      </c>
      <c r="F1846" s="8">
        <v>348155715067</v>
      </c>
      <c r="G1846" s="8">
        <v>188010174915</v>
      </c>
      <c r="H1846" s="8">
        <v>64662527370</v>
      </c>
      <c r="I1846" s="8">
        <v>85866825156</v>
      </c>
      <c r="J1846" s="8"/>
      <c r="K1846" s="8">
        <v>188010174915</v>
      </c>
      <c r="L1846" s="8">
        <v>556072935990</v>
      </c>
      <c r="M1846" s="8"/>
      <c r="N1846" s="8"/>
      <c r="O1846" s="8"/>
      <c r="P1846" s="8"/>
      <c r="Q1846" s="18">
        <f>(Table1[[#This Row],[A. TÀI SẢN NGẮN HẠN]]-Table1[[#This Row],[I. Nợ ngắn hạn]])/Table1[[#This Row],[TỔNG CỘNG TÀI SẢN]]</f>
        <v>0.41554676706501836</v>
      </c>
      <c r="R1846" s="18">
        <f>Table1[[#This Row],[- LNST chưa phân phối kỳ này]]/Table1[[#This Row],[TỔNG CỘNG TÀI SẢN]]</f>
        <v>0.16778677803548681</v>
      </c>
      <c r="S1846" s="21">
        <f>Table1[[#This Row],[5. Lợi nhuận gộp về bán hàng và cung cấp dịch vụ]]/Table1[[#This Row],[TỔNG CỘNG TÀI SẢN]]</f>
        <v>0.22280783815675542</v>
      </c>
      <c r="T184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846" s="23">
        <f>Table1[[#This Row],[1. Doanh thu bán hàng và cung cấp dịch vụ ]]/Table1[[#This Row],[TỔNG CỘNG TÀI SẢN]]</f>
        <v>1.4429019414694677</v>
      </c>
      <c r="V1846" s="23" t="e">
        <f>1.2*Table1[[#This Row],[X1]] + 1.4*Table1[[#This Row],[X2]] + 3.3*Table1[[#This Row],[x3]] + 0.6*Table1[[#This Row],[x4]] + 1*Table1[[#This Row],[x5]]</f>
        <v>#DIV/0!</v>
      </c>
      <c r="W1846" s="23" t="e">
        <f>IF(Table1[[#This Row],[Zscore]]&lt;1.81,1,0)</f>
        <v>#DIV/0!</v>
      </c>
    </row>
    <row r="1847" spans="1:23" ht="26.25" hidden="1" x14ac:dyDescent="0.45">
      <c r="A1847" s="7">
        <v>1841</v>
      </c>
      <c r="B1847" s="5" t="s">
        <v>3693</v>
      </c>
      <c r="C1847" s="6" t="s">
        <v>3694</v>
      </c>
      <c r="D1847" s="6" t="s">
        <v>18</v>
      </c>
      <c r="E1847" s="6"/>
      <c r="F1847" s="6"/>
      <c r="G1847" s="6"/>
      <c r="H1847" s="6"/>
      <c r="I1847" s="6"/>
      <c r="J1847" s="8"/>
      <c r="K1847" s="6"/>
      <c r="L1847" s="6"/>
      <c r="M1847" s="8"/>
      <c r="N1847" s="8"/>
      <c r="O1847" s="8"/>
      <c r="P1847" s="8"/>
      <c r="Q1847" s="18" t="e">
        <f>(Table1[[#This Row],[A. TÀI SẢN NGẮN HẠN]]-Table1[[#This Row],[I. Nợ ngắn hạn]])/Table1[[#This Row],[TỔNG CỘNG TÀI SẢN]]</f>
        <v>#DIV/0!</v>
      </c>
      <c r="R1847" s="18" t="e">
        <f>Table1[[#This Row],[- LNST chưa phân phối kỳ này]]/Table1[[#This Row],[TỔNG CỘNG TÀI SẢN]]</f>
        <v>#DIV/0!</v>
      </c>
      <c r="S1847" s="21" t="e">
        <f>Table1[[#This Row],[5. Lợi nhuận gộp về bán hàng và cung cấp dịch vụ]]/Table1[[#This Row],[TỔNG CỘNG TÀI SẢN]]</f>
        <v>#DIV/0!</v>
      </c>
      <c r="T184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847" s="23" t="e">
        <f>Table1[[#This Row],[1. Doanh thu bán hàng và cung cấp dịch vụ ]]/Table1[[#This Row],[TỔNG CỘNG TÀI SẢN]]</f>
        <v>#DIV/0!</v>
      </c>
      <c r="V1847" s="23" t="e">
        <f>1.2*Table1[[#This Row],[X1]] + 1.4*Table1[[#This Row],[X2]] + 3.3*Table1[[#This Row],[x3]] + 0.6*Table1[[#This Row],[x4]] + 1*Table1[[#This Row],[x5]]</f>
        <v>#DIV/0!</v>
      </c>
      <c r="W1847" s="23" t="e">
        <f>IF(Table1[[#This Row],[Zscore]]&lt;1.81,1,0)</f>
        <v>#DIV/0!</v>
      </c>
    </row>
    <row r="1848" spans="1:23" ht="26.25" hidden="1" x14ac:dyDescent="0.45">
      <c r="A1848" s="7">
        <v>1842</v>
      </c>
      <c r="B1848" s="5" t="s">
        <v>3695</v>
      </c>
      <c r="C1848" s="6" t="s">
        <v>3696</v>
      </c>
      <c r="D1848" s="6" t="s">
        <v>13</v>
      </c>
      <c r="E1848" s="6"/>
      <c r="F1848" s="6"/>
      <c r="G1848" s="6"/>
      <c r="H1848" s="6"/>
      <c r="I1848" s="6"/>
      <c r="J1848" s="8"/>
      <c r="K1848" s="6"/>
      <c r="L1848" s="6"/>
      <c r="M1848" s="8"/>
      <c r="N1848" s="8"/>
      <c r="O1848" s="8"/>
      <c r="P1848" s="8"/>
      <c r="Q1848" s="18" t="e">
        <f>(Table1[[#This Row],[A. TÀI SẢN NGẮN HẠN]]-Table1[[#This Row],[I. Nợ ngắn hạn]])/Table1[[#This Row],[TỔNG CỘNG TÀI SẢN]]</f>
        <v>#DIV/0!</v>
      </c>
      <c r="R1848" s="18" t="e">
        <f>Table1[[#This Row],[- LNST chưa phân phối kỳ này]]/Table1[[#This Row],[TỔNG CỘNG TÀI SẢN]]</f>
        <v>#DIV/0!</v>
      </c>
      <c r="S1848" s="21" t="e">
        <f>Table1[[#This Row],[5. Lợi nhuận gộp về bán hàng và cung cấp dịch vụ]]/Table1[[#This Row],[TỔNG CỘNG TÀI SẢN]]</f>
        <v>#DIV/0!</v>
      </c>
      <c r="T184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848" s="23" t="e">
        <f>Table1[[#This Row],[1. Doanh thu bán hàng và cung cấp dịch vụ ]]/Table1[[#This Row],[TỔNG CỘNG TÀI SẢN]]</f>
        <v>#DIV/0!</v>
      </c>
      <c r="V1848" s="23" t="e">
        <f>1.2*Table1[[#This Row],[X1]] + 1.4*Table1[[#This Row],[X2]] + 3.3*Table1[[#This Row],[x3]] + 0.6*Table1[[#This Row],[x4]] + 1*Table1[[#This Row],[x5]]</f>
        <v>#DIV/0!</v>
      </c>
      <c r="W1848" s="23" t="e">
        <f>IF(Table1[[#This Row],[Zscore]]&lt;1.81,1,0)</f>
        <v>#DIV/0!</v>
      </c>
    </row>
    <row r="1849" spans="1:23" ht="26.25" x14ac:dyDescent="0.45">
      <c r="A1849" s="7">
        <v>1843</v>
      </c>
      <c r="B1849" s="5" t="s">
        <v>3697</v>
      </c>
      <c r="C1849" s="6" t="s">
        <v>3698</v>
      </c>
      <c r="D1849" s="6" t="s">
        <v>36</v>
      </c>
      <c r="E1849" s="8">
        <v>8325240047599</v>
      </c>
      <c r="F1849" s="8">
        <v>7635723530350</v>
      </c>
      <c r="G1849" s="8">
        <v>5635606002489</v>
      </c>
      <c r="H1849" s="8">
        <v>291546351685</v>
      </c>
      <c r="I1849" s="8">
        <v>412203966233</v>
      </c>
      <c r="J1849" s="8"/>
      <c r="K1849" s="8">
        <v>5663187394040</v>
      </c>
      <c r="L1849" s="8">
        <v>4023922943180</v>
      </c>
      <c r="M1849" s="8">
        <v>2894211096000</v>
      </c>
      <c r="N1849" s="8">
        <v>4100132386000</v>
      </c>
      <c r="O1849" s="8">
        <v>2894211096000</v>
      </c>
      <c r="P1849" s="8">
        <v>3135395354000</v>
      </c>
      <c r="Q1849" s="18">
        <f>(Table1[[#This Row],[A. TÀI SẢN NGẮN HẠN]]-Table1[[#This Row],[I. Nợ ngắn hạn]])/Table1[[#This Row],[TỔNG CỘNG TÀI SẢN]]</f>
        <v>0.24024743027533893</v>
      </c>
      <c r="R1849" s="18">
        <f>Table1[[#This Row],[- LNST chưa phân phối kỳ này]]/Table1[[#This Row],[TỔNG CỘNG TÀI SẢN]]</f>
        <v>3.5019573011481155E-2</v>
      </c>
      <c r="S1849" s="21">
        <f>Table1[[#This Row],[5. Lợi nhuận gộp về bán hàng và cung cấp dịch vụ]]/Table1[[#This Row],[TỔNG CỘNG TÀI SẢN]]</f>
        <v>4.9512562265622562E-2</v>
      </c>
      <c r="T184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0.57493903281862735</v>
      </c>
      <c r="U1849" s="23">
        <f>Table1[[#This Row],[1. Doanh thu bán hàng và cung cấp dịch vụ ]]/Table1[[#This Row],[TỔNG CỘNG TÀI SẢN]]</f>
        <v>0.48334017039430588</v>
      </c>
      <c r="V1849" s="23">
        <f>1.2*Table1[[#This Row],[X1]] + 1.4*Table1[[#This Row],[X2]] + 3.3*Table1[[#This Row],[x3]] + 0.6*Table1[[#This Row],[x4]] + 1*Table1[[#This Row],[x5]]</f>
        <v>1.3290193641085171</v>
      </c>
      <c r="W1849" s="23">
        <f>IF(Table1[[#This Row],[Zscore]]&lt;1.81,1,0)</f>
        <v>1</v>
      </c>
    </row>
    <row r="1850" spans="1:23" ht="26.25" hidden="1" x14ac:dyDescent="0.45">
      <c r="A1850" s="7">
        <v>1844</v>
      </c>
      <c r="B1850" s="5" t="s">
        <v>3699</v>
      </c>
      <c r="C1850" s="6" t="s">
        <v>3700</v>
      </c>
      <c r="D1850" s="6" t="s">
        <v>13</v>
      </c>
      <c r="E1850" s="6"/>
      <c r="F1850" s="6"/>
      <c r="G1850" s="6"/>
      <c r="H1850" s="6"/>
      <c r="I1850" s="6"/>
      <c r="J1850" s="8"/>
      <c r="K1850" s="6"/>
      <c r="L1850" s="6"/>
      <c r="M1850" s="8"/>
      <c r="N1850" s="8"/>
      <c r="O1850" s="8"/>
      <c r="P1850" s="8"/>
      <c r="Q1850" s="18" t="e">
        <f>(Table1[[#This Row],[A. TÀI SẢN NGẮN HẠN]]-Table1[[#This Row],[I. Nợ ngắn hạn]])/Table1[[#This Row],[TỔNG CỘNG TÀI SẢN]]</f>
        <v>#DIV/0!</v>
      </c>
      <c r="R1850" s="18" t="e">
        <f>Table1[[#This Row],[- LNST chưa phân phối kỳ này]]/Table1[[#This Row],[TỔNG CỘNG TÀI SẢN]]</f>
        <v>#DIV/0!</v>
      </c>
      <c r="S1850" s="21" t="e">
        <f>Table1[[#This Row],[5. Lợi nhuận gộp về bán hàng và cung cấp dịch vụ]]/Table1[[#This Row],[TỔNG CỘNG TÀI SẢN]]</f>
        <v>#DIV/0!</v>
      </c>
      <c r="T185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850" s="23" t="e">
        <f>Table1[[#This Row],[1. Doanh thu bán hàng và cung cấp dịch vụ ]]/Table1[[#This Row],[TỔNG CỘNG TÀI SẢN]]</f>
        <v>#DIV/0!</v>
      </c>
      <c r="V1850" s="23" t="e">
        <f>1.2*Table1[[#This Row],[X1]] + 1.4*Table1[[#This Row],[X2]] + 3.3*Table1[[#This Row],[x3]] + 0.6*Table1[[#This Row],[x4]] + 1*Table1[[#This Row],[x5]]</f>
        <v>#DIV/0!</v>
      </c>
      <c r="W1850" s="23" t="e">
        <f>IF(Table1[[#This Row],[Zscore]]&lt;1.81,1,0)</f>
        <v>#DIV/0!</v>
      </c>
    </row>
    <row r="1851" spans="1:23" hidden="1" x14ac:dyDescent="0.45">
      <c r="A1851" s="7">
        <v>1845</v>
      </c>
      <c r="B1851" s="5" t="s">
        <v>3701</v>
      </c>
      <c r="C1851" s="6" t="s">
        <v>3702</v>
      </c>
      <c r="D1851" s="6" t="s">
        <v>13</v>
      </c>
      <c r="E1851" s="6"/>
      <c r="F1851" s="6"/>
      <c r="G1851" s="6"/>
      <c r="H1851" s="6"/>
      <c r="I1851" s="6"/>
      <c r="J1851" s="8"/>
      <c r="K1851" s="6"/>
      <c r="L1851" s="6"/>
      <c r="M1851" s="8"/>
      <c r="N1851" s="8"/>
      <c r="O1851" s="8"/>
      <c r="P1851" s="8"/>
      <c r="Q1851" s="18" t="e">
        <f>(Table1[[#This Row],[A. TÀI SẢN NGẮN HẠN]]-Table1[[#This Row],[I. Nợ ngắn hạn]])/Table1[[#This Row],[TỔNG CỘNG TÀI SẢN]]</f>
        <v>#DIV/0!</v>
      </c>
      <c r="R1851" s="18" t="e">
        <f>Table1[[#This Row],[- LNST chưa phân phối kỳ này]]/Table1[[#This Row],[TỔNG CỘNG TÀI SẢN]]</f>
        <v>#DIV/0!</v>
      </c>
      <c r="S1851" s="21" t="e">
        <f>Table1[[#This Row],[5. Lợi nhuận gộp về bán hàng và cung cấp dịch vụ]]/Table1[[#This Row],[TỔNG CỘNG TÀI SẢN]]</f>
        <v>#DIV/0!</v>
      </c>
      <c r="T185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851" s="23" t="e">
        <f>Table1[[#This Row],[1. Doanh thu bán hàng và cung cấp dịch vụ ]]/Table1[[#This Row],[TỔNG CỘNG TÀI SẢN]]</f>
        <v>#DIV/0!</v>
      </c>
      <c r="V1851" s="23" t="e">
        <f>1.2*Table1[[#This Row],[X1]] + 1.4*Table1[[#This Row],[X2]] + 3.3*Table1[[#This Row],[x3]] + 0.6*Table1[[#This Row],[x4]] + 1*Table1[[#This Row],[x5]]</f>
        <v>#DIV/0!</v>
      </c>
      <c r="W1851" s="23" t="e">
        <f>IF(Table1[[#This Row],[Zscore]]&lt;1.81,1,0)</f>
        <v>#DIV/0!</v>
      </c>
    </row>
    <row r="1852" spans="1:23" x14ac:dyDescent="0.45">
      <c r="A1852" s="7">
        <v>1846</v>
      </c>
      <c r="B1852" s="5" t="s">
        <v>3703</v>
      </c>
      <c r="C1852" s="6" t="s">
        <v>3704</v>
      </c>
      <c r="D1852" s="6" t="s">
        <v>21</v>
      </c>
      <c r="E1852" s="8">
        <v>1401668354420</v>
      </c>
      <c r="F1852" s="8">
        <v>966768381243</v>
      </c>
      <c r="G1852" s="8">
        <v>859745429479</v>
      </c>
      <c r="H1852" s="8">
        <v>11640590010</v>
      </c>
      <c r="I1852" s="8">
        <v>57871662767</v>
      </c>
      <c r="J1852" s="8"/>
      <c r="K1852" s="8">
        <v>897531004718</v>
      </c>
      <c r="L1852" s="8">
        <v>494213459259</v>
      </c>
      <c r="M1852" s="8">
        <v>261003811200</v>
      </c>
      <c r="N1852" s="8">
        <v>280000000000</v>
      </c>
      <c r="O1852" s="8">
        <v>282000000000</v>
      </c>
      <c r="P1852" s="8">
        <v>350000000000</v>
      </c>
      <c r="Q1852" s="18">
        <f>(Table1[[#This Row],[A. TÀI SẢN NGẮN HẠN]]-Table1[[#This Row],[I. Nợ ngắn hạn]])/Table1[[#This Row],[TỔNG CỘNG TÀI SẢN]]</f>
        <v>7.6353975907721278E-2</v>
      </c>
      <c r="R1852" s="18">
        <f>Table1[[#This Row],[- LNST chưa phân phối kỳ này]]/Table1[[#This Row],[TỔNG CỘNG TÀI SẢN]]</f>
        <v>8.3048104591166225E-3</v>
      </c>
      <c r="S1852" s="21">
        <f>Table1[[#This Row],[5. Lợi nhuận gộp về bán hàng và cung cấp dịch vụ]]/Table1[[#This Row],[TỔNG CỘNG TÀI SẢN]]</f>
        <v>4.1287700178511105E-2</v>
      </c>
      <c r="T185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0.32673072156670296</v>
      </c>
      <c r="U1852" s="23">
        <f>Table1[[#This Row],[1. Doanh thu bán hàng và cung cấp dịch vụ ]]/Table1[[#This Row],[TỔNG CỘNG TÀI SẢN]]</f>
        <v>0.35258943936385145</v>
      </c>
      <c r="V1852" s="23">
        <f>1.2*Table1[[#This Row],[X1]] + 1.4*Table1[[#This Row],[X2]] + 3.3*Table1[[#This Row],[x3]] + 0.6*Table1[[#This Row],[x4]] + 1*Table1[[#This Row],[x5]]</f>
        <v>0.78812878862498859</v>
      </c>
      <c r="W1852" s="23">
        <f>IF(Table1[[#This Row],[Zscore]]&lt;1.81,1,0)</f>
        <v>1</v>
      </c>
    </row>
    <row r="1853" spans="1:23" ht="26.25" x14ac:dyDescent="0.45">
      <c r="A1853" s="7">
        <v>1847</v>
      </c>
      <c r="B1853" s="5" t="s">
        <v>3705</v>
      </c>
      <c r="C1853" s="6" t="s">
        <v>3706</v>
      </c>
      <c r="D1853" s="6" t="s">
        <v>18</v>
      </c>
      <c r="E1853" s="8">
        <v>668903716569</v>
      </c>
      <c r="F1853" s="8">
        <v>425829919636</v>
      </c>
      <c r="G1853" s="8">
        <v>198479846257</v>
      </c>
      <c r="H1853" s="8">
        <v>35891645804</v>
      </c>
      <c r="I1853" s="8">
        <v>166735547359</v>
      </c>
      <c r="J1853" s="8"/>
      <c r="K1853" s="8">
        <v>198479846257</v>
      </c>
      <c r="L1853" s="8">
        <v>1304025137336</v>
      </c>
      <c r="M1853" s="8"/>
      <c r="N1853" s="8">
        <v>444800000000</v>
      </c>
      <c r="O1853" s="8">
        <v>14700000000</v>
      </c>
      <c r="P1853" s="8">
        <v>58800000000</v>
      </c>
      <c r="Q1853" s="18">
        <f>(Table1[[#This Row],[A. TÀI SẢN NGẮN HẠN]]-Table1[[#This Row],[I. Nợ ngắn hạn]])/Table1[[#This Row],[TỔNG CỘNG TÀI SẢN]]</f>
        <v>0.33988460184545555</v>
      </c>
      <c r="R1853" s="18">
        <f>Table1[[#This Row],[- LNST chưa phân phối kỳ này]]/Table1[[#This Row],[TỔNG CỘNG TÀI SẢN]]</f>
        <v>5.3657417226052502E-2</v>
      </c>
      <c r="S1853" s="21">
        <f>Table1[[#This Row],[5. Lợi nhuận gộp về bán hàng và cung cấp dịch vụ]]/Table1[[#This Row],[TỔNG CỘNG TÀI SẢN]]</f>
        <v>0.24926688733953326</v>
      </c>
      <c r="T185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0.87044941803794607</v>
      </c>
      <c r="U1853" s="23">
        <f>Table1[[#This Row],[1. Doanh thu bán hàng và cung cấp dịch vụ ]]/Table1[[#This Row],[TỔNG CỘNG TÀI SẢN]]</f>
        <v>1.9494960261616139</v>
      </c>
      <c r="V1853" s="23">
        <f>1.2*Table1[[#This Row],[X1]] + 1.4*Table1[[#This Row],[X2]] + 3.3*Table1[[#This Row],[x3]] + 0.6*Table1[[#This Row],[x4]] + 1*Table1[[#This Row],[x5]]</f>
        <v>3.7773283115358618</v>
      </c>
      <c r="W1853" s="23">
        <f>IF(Table1[[#This Row],[Zscore]]&lt;1.81,1,0)</f>
        <v>0</v>
      </c>
    </row>
    <row r="1854" spans="1:23" hidden="1" x14ac:dyDescent="0.45">
      <c r="A1854" s="7">
        <v>1848</v>
      </c>
      <c r="B1854" s="5" t="s">
        <v>3707</v>
      </c>
      <c r="C1854" s="6" t="s">
        <v>3708</v>
      </c>
      <c r="D1854" s="6" t="s">
        <v>13</v>
      </c>
      <c r="E1854" s="6"/>
      <c r="F1854" s="6"/>
      <c r="G1854" s="6"/>
      <c r="H1854" s="6"/>
      <c r="I1854" s="6"/>
      <c r="J1854" s="8"/>
      <c r="K1854" s="6"/>
      <c r="L1854" s="6"/>
      <c r="M1854" s="8"/>
      <c r="N1854" s="8"/>
      <c r="O1854" s="8"/>
      <c r="P1854" s="8"/>
      <c r="Q1854" s="18" t="e">
        <f>(Table1[[#This Row],[A. TÀI SẢN NGẮN HẠN]]-Table1[[#This Row],[I. Nợ ngắn hạn]])/Table1[[#This Row],[TỔNG CỘNG TÀI SẢN]]</f>
        <v>#DIV/0!</v>
      </c>
      <c r="R1854" s="18" t="e">
        <f>Table1[[#This Row],[- LNST chưa phân phối kỳ này]]/Table1[[#This Row],[TỔNG CỘNG TÀI SẢN]]</f>
        <v>#DIV/0!</v>
      </c>
      <c r="S1854" s="21" t="e">
        <f>Table1[[#This Row],[5. Lợi nhuận gộp về bán hàng và cung cấp dịch vụ]]/Table1[[#This Row],[TỔNG CỘNG TÀI SẢN]]</f>
        <v>#DIV/0!</v>
      </c>
      <c r="T185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854" s="23" t="e">
        <f>Table1[[#This Row],[1. Doanh thu bán hàng và cung cấp dịch vụ ]]/Table1[[#This Row],[TỔNG CỘNG TÀI SẢN]]</f>
        <v>#DIV/0!</v>
      </c>
      <c r="V1854" s="23" t="e">
        <f>1.2*Table1[[#This Row],[X1]] + 1.4*Table1[[#This Row],[X2]] + 3.3*Table1[[#This Row],[x3]] + 0.6*Table1[[#This Row],[x4]] + 1*Table1[[#This Row],[x5]]</f>
        <v>#DIV/0!</v>
      </c>
      <c r="W1854" s="23" t="e">
        <f>IF(Table1[[#This Row],[Zscore]]&lt;1.81,1,0)</f>
        <v>#DIV/0!</v>
      </c>
    </row>
    <row r="1855" spans="1:23" ht="26.25" hidden="1" x14ac:dyDescent="0.45">
      <c r="A1855" s="7">
        <v>1849</v>
      </c>
      <c r="B1855" s="5" t="s">
        <v>3709</v>
      </c>
      <c r="C1855" s="6" t="s">
        <v>3710</v>
      </c>
      <c r="D1855" s="6" t="s">
        <v>18</v>
      </c>
      <c r="E1855" s="6"/>
      <c r="F1855" s="6"/>
      <c r="G1855" s="6"/>
      <c r="H1855" s="6"/>
      <c r="I1855" s="6"/>
      <c r="J1855" s="8"/>
      <c r="K1855" s="6"/>
      <c r="L1855" s="6"/>
      <c r="M1855" s="8"/>
      <c r="N1855" s="8"/>
      <c r="O1855" s="8"/>
      <c r="P1855" s="8"/>
      <c r="Q1855" s="18" t="e">
        <f>(Table1[[#This Row],[A. TÀI SẢN NGẮN HẠN]]-Table1[[#This Row],[I. Nợ ngắn hạn]])/Table1[[#This Row],[TỔNG CỘNG TÀI SẢN]]</f>
        <v>#DIV/0!</v>
      </c>
      <c r="R1855" s="18" t="e">
        <f>Table1[[#This Row],[- LNST chưa phân phối kỳ này]]/Table1[[#This Row],[TỔNG CỘNG TÀI SẢN]]</f>
        <v>#DIV/0!</v>
      </c>
      <c r="S1855" s="21" t="e">
        <f>Table1[[#This Row],[5. Lợi nhuận gộp về bán hàng và cung cấp dịch vụ]]/Table1[[#This Row],[TỔNG CỘNG TÀI SẢN]]</f>
        <v>#DIV/0!</v>
      </c>
      <c r="T185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855" s="23" t="e">
        <f>Table1[[#This Row],[1. Doanh thu bán hàng và cung cấp dịch vụ ]]/Table1[[#This Row],[TỔNG CỘNG TÀI SẢN]]</f>
        <v>#DIV/0!</v>
      </c>
      <c r="V1855" s="23" t="e">
        <f>1.2*Table1[[#This Row],[X1]] + 1.4*Table1[[#This Row],[X2]] + 3.3*Table1[[#This Row],[x3]] + 0.6*Table1[[#This Row],[x4]] + 1*Table1[[#This Row],[x5]]</f>
        <v>#DIV/0!</v>
      </c>
      <c r="W1855" s="23" t="e">
        <f>IF(Table1[[#This Row],[Zscore]]&lt;1.81,1,0)</f>
        <v>#DIV/0!</v>
      </c>
    </row>
    <row r="1856" spans="1:23" hidden="1" x14ac:dyDescent="0.45">
      <c r="A1856" s="7">
        <v>1850</v>
      </c>
      <c r="B1856" s="5" t="s">
        <v>3711</v>
      </c>
      <c r="C1856" s="6" t="s">
        <v>3712</v>
      </c>
      <c r="D1856" s="6" t="s">
        <v>18</v>
      </c>
      <c r="E1856" s="8">
        <v>256914907885</v>
      </c>
      <c r="F1856" s="8">
        <v>112666869753</v>
      </c>
      <c r="G1856" s="8">
        <v>34400686141</v>
      </c>
      <c r="H1856" s="8">
        <v>551657612</v>
      </c>
      <c r="I1856" s="8">
        <v>24871451069</v>
      </c>
      <c r="J1856" s="8"/>
      <c r="K1856" s="8">
        <v>124000055631</v>
      </c>
      <c r="L1856" s="8">
        <v>150653869575</v>
      </c>
      <c r="M1856" s="8"/>
      <c r="N1856" s="8"/>
      <c r="O1856" s="8"/>
      <c r="P1856" s="8"/>
      <c r="Q1856" s="18">
        <f>(Table1[[#This Row],[A. TÀI SẢN NGẮN HẠN]]-Table1[[#This Row],[I. Nợ ngắn hạn]])/Table1[[#This Row],[TỔNG CỘNG TÀI SẢN]]</f>
        <v>0.30463854455278799</v>
      </c>
      <c r="R1856" s="18">
        <f>Table1[[#This Row],[- LNST chưa phân phối kỳ này]]/Table1[[#This Row],[TỔNG CỘNG TÀI SẢN]]</f>
        <v>2.1472386189708092E-3</v>
      </c>
      <c r="S1856" s="21">
        <f>Table1[[#This Row],[5. Lợi nhuận gộp về bán hàng và cung cấp dịch vụ]]/Table1[[#This Row],[TỔNG CỘNG TÀI SẢN]]</f>
        <v>9.6808127148981696E-2</v>
      </c>
      <c r="T185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856" s="23">
        <f>Table1[[#This Row],[1. Doanh thu bán hàng và cung cấp dịch vụ ]]/Table1[[#This Row],[TỔNG CỘNG TÀI SẢN]]</f>
        <v>0.58639598151476491</v>
      </c>
      <c r="V1856" s="23" t="e">
        <f>1.2*Table1[[#This Row],[X1]] + 1.4*Table1[[#This Row],[X2]] + 3.3*Table1[[#This Row],[x3]] + 0.6*Table1[[#This Row],[x4]] + 1*Table1[[#This Row],[x5]]</f>
        <v>#DIV/0!</v>
      </c>
      <c r="W1856" s="23" t="e">
        <f>IF(Table1[[#This Row],[Zscore]]&lt;1.81,1,0)</f>
        <v>#DIV/0!</v>
      </c>
    </row>
    <row r="1857" spans="1:23" ht="26.25" x14ac:dyDescent="0.45">
      <c r="A1857" s="7">
        <v>1851</v>
      </c>
      <c r="B1857" s="5" t="s">
        <v>3713</v>
      </c>
      <c r="C1857" s="6" t="s">
        <v>3714</v>
      </c>
      <c r="D1857" s="6" t="s">
        <v>36</v>
      </c>
      <c r="E1857" s="8">
        <v>223293441510</v>
      </c>
      <c r="F1857" s="8">
        <v>47221008816</v>
      </c>
      <c r="G1857" s="8">
        <v>83570006505</v>
      </c>
      <c r="H1857" s="8">
        <v>10819082694</v>
      </c>
      <c r="I1857" s="8">
        <v>52934971368</v>
      </c>
      <c r="J1857" s="8"/>
      <c r="K1857" s="8">
        <v>118869817322</v>
      </c>
      <c r="L1857" s="8">
        <v>368507737620</v>
      </c>
      <c r="M1857" s="8">
        <v>50112000000</v>
      </c>
      <c r="N1857" s="8">
        <v>58464000000</v>
      </c>
      <c r="O1857" s="8">
        <v>51782400000</v>
      </c>
      <c r="P1857" s="8">
        <v>51782400000</v>
      </c>
      <c r="Q1857" s="18">
        <f>(Table1[[#This Row],[A. TÀI SẢN NGẮN HẠN]]-Table1[[#This Row],[I. Nợ ngắn hạn]])/Table1[[#This Row],[TỔNG CỘNG TÀI SẢN]]</f>
        <v>-0.16278578288369541</v>
      </c>
      <c r="R1857" s="18">
        <f>Table1[[#This Row],[- LNST chưa phân phối kỳ này]]/Table1[[#This Row],[TỔNG CỘNG TÀI SẢN]]</f>
        <v>4.8452308410121742E-2</v>
      </c>
      <c r="S1857" s="21">
        <f>Table1[[#This Row],[5. Lợi nhuận gộp về bán hàng và cung cấp dịch vụ]]/Table1[[#This Row],[TỔNG CỘNG TÀI SẢN]]</f>
        <v>0.23706460436111534</v>
      </c>
      <c r="T185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0.44616203839479135</v>
      </c>
      <c r="U1857" s="23">
        <f>Table1[[#This Row],[1. Doanh thu bán hàng và cung cấp dịch vụ ]]/Table1[[#This Row],[TỔNG CỘNG TÀI SẢN]]</f>
        <v>1.6503294280745666</v>
      </c>
      <c r="V1857" s="23">
        <f>1.2*Table1[[#This Row],[X1]] + 1.4*Table1[[#This Row],[X2]] + 3.3*Table1[[#This Row],[x3]] + 0.6*Table1[[#This Row],[x4]] + 1*Table1[[#This Row],[x5]]</f>
        <v>2.5728301378168581</v>
      </c>
      <c r="W1857" s="23">
        <f>IF(Table1[[#This Row],[Zscore]]&lt;1.81,1,0)</f>
        <v>0</v>
      </c>
    </row>
    <row r="1858" spans="1:23" x14ac:dyDescent="0.45">
      <c r="A1858" s="7">
        <v>1852</v>
      </c>
      <c r="B1858" s="5" t="s">
        <v>3715</v>
      </c>
      <c r="C1858" s="6" t="s">
        <v>3716</v>
      </c>
      <c r="D1858" s="6" t="s">
        <v>18</v>
      </c>
      <c r="E1858" s="8">
        <v>522740254227</v>
      </c>
      <c r="F1858" s="8">
        <v>153406822966</v>
      </c>
      <c r="G1858" s="8">
        <v>87897877260</v>
      </c>
      <c r="H1858" s="8">
        <v>18241724548</v>
      </c>
      <c r="I1858" s="8">
        <v>36842407151</v>
      </c>
      <c r="J1858" s="8"/>
      <c r="K1858" s="8">
        <v>289006500595</v>
      </c>
      <c r="L1858" s="8">
        <v>468477621985</v>
      </c>
      <c r="M1858" s="8">
        <v>174827623200</v>
      </c>
      <c r="N1858" s="8">
        <v>173178306000</v>
      </c>
      <c r="O1858" s="8">
        <v>168230354400</v>
      </c>
      <c r="P1858" s="8">
        <v>184723526400</v>
      </c>
      <c r="Q1858" s="18">
        <f>(Table1[[#This Row],[A. TÀI SẢN NGẮN HẠN]]-Table1[[#This Row],[I. Nợ ngắn hạn]])/Table1[[#This Row],[TỔNG CỘNG TÀI SẢN]]</f>
        <v>0.12531834917299622</v>
      </c>
      <c r="R1858" s="18">
        <f>Table1[[#This Row],[- LNST chưa phân phối kỳ này]]/Table1[[#This Row],[TỔNG CỘNG TÀI SẢN]]</f>
        <v>3.4896345556886324E-2</v>
      </c>
      <c r="S1858" s="21">
        <f>Table1[[#This Row],[5. Lợi nhuận gộp về bán hàng và cung cấp dịch vụ]]/Table1[[#This Row],[TỔNG CỘNG TÀI SẢN]]</f>
        <v>7.047937642659749E-2</v>
      </c>
      <c r="T185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0.60635297870193228</v>
      </c>
      <c r="U1858" s="23">
        <f>Table1[[#This Row],[1. Doanh thu bán hàng và cung cấp dịch vụ ]]/Table1[[#This Row],[TỔNG CỘNG TÀI SẢN]]</f>
        <v>0.89619580316759684</v>
      </c>
      <c r="V1858" s="23">
        <f>1.2*Table1[[#This Row],[X1]] + 1.4*Table1[[#This Row],[X2]] + 3.3*Table1[[#This Row],[x3]] + 0.6*Table1[[#This Row],[x4]] + 1*Table1[[#This Row],[x5]]</f>
        <v>1.6918264353837642</v>
      </c>
      <c r="W1858" s="23">
        <f>IF(Table1[[#This Row],[Zscore]]&lt;1.81,1,0)</f>
        <v>1</v>
      </c>
    </row>
    <row r="1859" spans="1:23" x14ac:dyDescent="0.45">
      <c r="A1859" s="7">
        <v>1853</v>
      </c>
      <c r="B1859" s="5" t="s">
        <v>3717</v>
      </c>
      <c r="C1859" s="6" t="s">
        <v>3718</v>
      </c>
      <c r="D1859" s="6" t="s">
        <v>18</v>
      </c>
      <c r="E1859" s="8">
        <v>800094959825</v>
      </c>
      <c r="F1859" s="8">
        <v>734260671804</v>
      </c>
      <c r="G1859" s="8">
        <v>572076093313</v>
      </c>
      <c r="H1859" s="8">
        <v>-3068081601</v>
      </c>
      <c r="I1859" s="8">
        <v>24819514943</v>
      </c>
      <c r="J1859" s="8"/>
      <c r="K1859" s="8">
        <v>575318022113</v>
      </c>
      <c r="L1859" s="8">
        <v>120461329266</v>
      </c>
      <c r="M1859" s="8">
        <v>80000000000</v>
      </c>
      <c r="N1859" s="8">
        <v>74000000000</v>
      </c>
      <c r="O1859" s="8">
        <v>78000000000</v>
      </c>
      <c r="P1859" s="8">
        <v>78000000000</v>
      </c>
      <c r="Q1859" s="18">
        <f>(Table1[[#This Row],[A. TÀI SẢN NGẮN HẠN]]-Table1[[#This Row],[I. Nợ ngắn hạn]])/Table1[[#This Row],[TỔNG CỘNG TÀI SẢN]]</f>
        <v>0.20270666187732725</v>
      </c>
      <c r="R1859" s="18">
        <f>Table1[[#This Row],[- LNST chưa phân phối kỳ này]]/Table1[[#This Row],[TỔNG CỘNG TÀI SẢN]]</f>
        <v>-3.834646829510166E-3</v>
      </c>
      <c r="S1859" s="21">
        <f>Table1[[#This Row],[5. Lợi nhuận gộp về bán hàng và cung cấp dịch vụ]]/Table1[[#This Row],[TỔNG CỘNG TÀI SẢN]]</f>
        <v>3.1020711527077516E-2</v>
      </c>
      <c r="T185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0.13470810407670139</v>
      </c>
      <c r="U1859" s="23">
        <f>Table1[[#This Row],[1. Doanh thu bán hàng và cung cấp dịch vụ ]]/Table1[[#This Row],[TỔNG CỘNG TÀI SẢN]]</f>
        <v>0.15055879028702768</v>
      </c>
      <c r="V1859" s="23">
        <f>1.2*Table1[[#This Row],[X1]] + 1.4*Table1[[#This Row],[X2]] + 3.3*Table1[[#This Row],[x3]] + 0.6*Table1[[#This Row],[x4]] + 1*Table1[[#This Row],[x5]]</f>
        <v>0.57163148946388276</v>
      </c>
      <c r="W1859" s="23">
        <f>IF(Table1[[#This Row],[Zscore]]&lt;1.81,1,0)</f>
        <v>1</v>
      </c>
    </row>
    <row r="1860" spans="1:23" ht="26.25" x14ac:dyDescent="0.45">
      <c r="A1860" s="7">
        <v>1854</v>
      </c>
      <c r="B1860" s="5" t="s">
        <v>3719</v>
      </c>
      <c r="C1860" s="6" t="s">
        <v>3720</v>
      </c>
      <c r="D1860" s="6" t="s">
        <v>36</v>
      </c>
      <c r="E1860" s="8">
        <v>281662316990</v>
      </c>
      <c r="F1860" s="8">
        <v>70773325410</v>
      </c>
      <c r="G1860" s="8">
        <v>131664712928</v>
      </c>
      <c r="H1860" s="8">
        <v>18859642743</v>
      </c>
      <c r="I1860" s="8">
        <v>165358846541</v>
      </c>
      <c r="J1860" s="8"/>
      <c r="K1860" s="8">
        <v>178466522928</v>
      </c>
      <c r="L1860" s="8">
        <v>1751272628812</v>
      </c>
      <c r="M1860" s="8">
        <v>128649060000</v>
      </c>
      <c r="N1860" s="8">
        <v>155665362600</v>
      </c>
      <c r="O1860" s="8">
        <v>134438267700</v>
      </c>
      <c r="P1860" s="8">
        <v>173032985700</v>
      </c>
      <c r="Q1860" s="18">
        <f>(Table1[[#This Row],[A. TÀI SẢN NGẮN HẠN]]-Table1[[#This Row],[I. Nợ ngắn hạn]])/Table1[[#This Row],[TỔNG CỘNG TÀI SẢN]]</f>
        <v>-0.21618577937126696</v>
      </c>
      <c r="R1860" s="18">
        <f>Table1[[#This Row],[- LNST chưa phân phối kỳ này]]/Table1[[#This Row],[TỔNG CỘNG TÀI SẢN]]</f>
        <v>6.6958345527171045E-2</v>
      </c>
      <c r="S1860" s="21">
        <f>Table1[[#This Row],[5. Lợi nhuận gộp về bán hàng và cung cấp dịch vụ]]/Table1[[#This Row],[TỔNG CỘNG TÀI SẢN]]</f>
        <v>0.58708189404999755</v>
      </c>
      <c r="T186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0.82898695269413114</v>
      </c>
      <c r="U1860" s="23">
        <f>Table1[[#This Row],[1. Doanh thu bán hàng và cung cấp dịch vụ ]]/Table1[[#This Row],[TỔNG CỘNG TÀI SẢN]]</f>
        <v>6.2176319769256754</v>
      </c>
      <c r="V1860" s="23">
        <f>1.2*Table1[[#This Row],[X1]] + 1.4*Table1[[#This Row],[X2]] + 3.3*Table1[[#This Row],[x3]] + 0.6*Table1[[#This Row],[x4]] + 1*Table1[[#This Row],[x5]]</f>
        <v>8.4867131473996658</v>
      </c>
      <c r="W1860" s="23">
        <f>IF(Table1[[#This Row],[Zscore]]&lt;1.81,1,0)</f>
        <v>0</v>
      </c>
    </row>
    <row r="1861" spans="1:23" x14ac:dyDescent="0.45">
      <c r="A1861" s="7">
        <v>1855</v>
      </c>
      <c r="B1861" s="5" t="s">
        <v>3721</v>
      </c>
      <c r="C1861" s="6" t="s">
        <v>3722</v>
      </c>
      <c r="D1861" s="6" t="s">
        <v>36</v>
      </c>
      <c r="E1861" s="8">
        <v>282790985185</v>
      </c>
      <c r="F1861" s="8">
        <v>109869103186</v>
      </c>
      <c r="G1861" s="8">
        <v>50301014665</v>
      </c>
      <c r="H1861" s="8">
        <v>1912378044</v>
      </c>
      <c r="I1861" s="6"/>
      <c r="J1861" s="8"/>
      <c r="K1861" s="8">
        <v>50301014665</v>
      </c>
      <c r="L1861" s="6"/>
      <c r="M1861" s="8">
        <v>110606400000</v>
      </c>
      <c r="N1861" s="8">
        <v>99545760000</v>
      </c>
      <c r="O1861" s="8">
        <v>92172000000</v>
      </c>
      <c r="P1861" s="8">
        <v>106919520000</v>
      </c>
      <c r="Q1861" s="18">
        <f>(Table1[[#This Row],[A. TÀI SẢN NGẮN HẠN]]-Table1[[#This Row],[I. Nợ ngắn hạn]])/Table1[[#This Row],[TỔNG CỘNG TÀI SẢN]]</f>
        <v>0.21064351991995411</v>
      </c>
      <c r="R1861" s="18">
        <f>Table1[[#This Row],[- LNST chưa phân phối kỳ này]]/Table1[[#This Row],[TỔNG CỘNG TÀI SẢN]]</f>
        <v>6.7625141683669123E-3</v>
      </c>
      <c r="S1861" s="21">
        <f>Table1[[#This Row],[5. Lợi nhuận gộp về bán hàng và cung cấp dịch vụ]]/Table1[[#This Row],[TỔNG CỘNG TÀI SẢN]]</f>
        <v>0</v>
      </c>
      <c r="T186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2.0339732842643641</v>
      </c>
      <c r="U1861" s="23">
        <f>Table1[[#This Row],[1. Doanh thu bán hàng và cung cấp dịch vụ ]]/Table1[[#This Row],[TỔNG CỘNG TÀI SẢN]]</f>
        <v>0</v>
      </c>
      <c r="V1861" s="23">
        <f>1.2*Table1[[#This Row],[X1]] + 1.4*Table1[[#This Row],[X2]] + 3.3*Table1[[#This Row],[x3]] + 0.6*Table1[[#This Row],[x4]] + 1*Table1[[#This Row],[x5]]</f>
        <v>1.482623714298277</v>
      </c>
      <c r="W1861" s="23">
        <f>IF(Table1[[#This Row],[Zscore]]&lt;1.81,1,0)</f>
        <v>1</v>
      </c>
    </row>
    <row r="1862" spans="1:23" ht="26.25" hidden="1" x14ac:dyDescent="0.45">
      <c r="A1862" s="7">
        <v>1856</v>
      </c>
      <c r="B1862" s="5" t="s">
        <v>3723</v>
      </c>
      <c r="C1862" s="6" t="s">
        <v>3724</v>
      </c>
      <c r="D1862" s="6" t="s">
        <v>18</v>
      </c>
      <c r="E1862" s="6"/>
      <c r="F1862" s="6"/>
      <c r="G1862" s="6"/>
      <c r="H1862" s="6"/>
      <c r="I1862" s="6"/>
      <c r="J1862" s="8"/>
      <c r="K1862" s="6"/>
      <c r="L1862" s="6"/>
      <c r="M1862" s="8">
        <v>10923000000</v>
      </c>
      <c r="N1862" s="8"/>
      <c r="O1862" s="8"/>
      <c r="P1862" s="8"/>
      <c r="Q1862" s="18" t="e">
        <f>(Table1[[#This Row],[A. TÀI SẢN NGẮN HẠN]]-Table1[[#This Row],[I. Nợ ngắn hạn]])/Table1[[#This Row],[TỔNG CỘNG TÀI SẢN]]</f>
        <v>#DIV/0!</v>
      </c>
      <c r="R1862" s="18" t="e">
        <f>Table1[[#This Row],[- LNST chưa phân phối kỳ này]]/Table1[[#This Row],[TỔNG CỘNG TÀI SẢN]]</f>
        <v>#DIV/0!</v>
      </c>
      <c r="S1862" s="21" t="e">
        <f>Table1[[#This Row],[5. Lợi nhuận gộp về bán hàng và cung cấp dịch vụ]]/Table1[[#This Row],[TỔNG CỘNG TÀI SẢN]]</f>
        <v>#DIV/0!</v>
      </c>
      <c r="T186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862" s="23" t="e">
        <f>Table1[[#This Row],[1. Doanh thu bán hàng và cung cấp dịch vụ ]]/Table1[[#This Row],[TỔNG CỘNG TÀI SẢN]]</f>
        <v>#DIV/0!</v>
      </c>
      <c r="V1862" s="23" t="e">
        <f>1.2*Table1[[#This Row],[X1]] + 1.4*Table1[[#This Row],[X2]] + 3.3*Table1[[#This Row],[x3]] + 0.6*Table1[[#This Row],[x4]] + 1*Table1[[#This Row],[x5]]</f>
        <v>#DIV/0!</v>
      </c>
      <c r="W1862" s="23" t="e">
        <f>IF(Table1[[#This Row],[Zscore]]&lt;1.81,1,0)</f>
        <v>#DIV/0!</v>
      </c>
    </row>
    <row r="1863" spans="1:23" x14ac:dyDescent="0.45">
      <c r="A1863" s="7">
        <v>1857</v>
      </c>
      <c r="B1863" s="5" t="s">
        <v>3725</v>
      </c>
      <c r="C1863" s="6" t="s">
        <v>3726</v>
      </c>
      <c r="D1863" s="6" t="s">
        <v>36</v>
      </c>
      <c r="E1863" s="8">
        <v>1172205038348</v>
      </c>
      <c r="F1863" s="8">
        <v>1111698091987</v>
      </c>
      <c r="G1863" s="8">
        <v>707213801834</v>
      </c>
      <c r="H1863" s="8">
        <v>61414728463</v>
      </c>
      <c r="I1863" s="8">
        <v>125744035748</v>
      </c>
      <c r="J1863" s="8"/>
      <c r="K1863" s="8">
        <v>733395461999</v>
      </c>
      <c r="L1863" s="8">
        <v>831610735356</v>
      </c>
      <c r="M1863" s="8">
        <v>667439938200</v>
      </c>
      <c r="N1863" s="8">
        <v>773279928400</v>
      </c>
      <c r="O1863" s="8">
        <v>658799939000</v>
      </c>
      <c r="P1863" s="8">
        <v>645839940200</v>
      </c>
      <c r="Q1863" s="18">
        <f>(Table1[[#This Row],[A. TÀI SẢN NGẮN HẠN]]-Table1[[#This Row],[I. Nợ ngắn hạn]])/Table1[[#This Row],[TỔNG CỘNG TÀI SẢN]]</f>
        <v>0.34506274663606945</v>
      </c>
      <c r="R1863" s="18">
        <f>Table1[[#This Row],[- LNST chưa phân phối kỳ này]]/Table1[[#This Row],[TỔNG CỘNG TÀI SẢN]]</f>
        <v>5.2392479518389018E-2</v>
      </c>
      <c r="S1863" s="21">
        <f>Table1[[#This Row],[5. Lợi nhuận gộp về bán hàng và cung cấp dịch vụ]]/Table1[[#This Row],[TỔNG CỘNG TÀI SẢN]]</f>
        <v>0.10727136604464037</v>
      </c>
      <c r="T186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0.93583881004561742</v>
      </c>
      <c r="U1863" s="23">
        <f>Table1[[#This Row],[1. Doanh thu bán hàng và cung cấp dịch vụ ]]/Table1[[#This Row],[TỔNG CỘNG TÀI SẢN]]</f>
        <v>0.70944135893494975</v>
      </c>
      <c r="V1863" s="23">
        <f>1.2*Table1[[#This Row],[X1]] + 1.4*Table1[[#This Row],[X2]] + 3.3*Table1[[#This Row],[x3]] + 0.6*Table1[[#This Row],[x4]] + 1*Table1[[#This Row],[x5]]</f>
        <v>2.1123649201986612</v>
      </c>
      <c r="W1863" s="23">
        <f>IF(Table1[[#This Row],[Zscore]]&lt;1.81,1,0)</f>
        <v>0</v>
      </c>
    </row>
    <row r="1864" spans="1:23" ht="26.25" x14ac:dyDescent="0.45">
      <c r="A1864" s="7">
        <v>1858</v>
      </c>
      <c r="B1864" s="5" t="s">
        <v>3727</v>
      </c>
      <c r="C1864" s="6" t="s">
        <v>3728</v>
      </c>
      <c r="D1864" s="6" t="s">
        <v>36</v>
      </c>
      <c r="E1864" s="8">
        <v>2825480286620</v>
      </c>
      <c r="F1864" s="8">
        <v>2658086335695</v>
      </c>
      <c r="G1864" s="8">
        <v>1747797423258</v>
      </c>
      <c r="H1864" s="8">
        <v>27145450170</v>
      </c>
      <c r="I1864" s="8">
        <v>343730323275</v>
      </c>
      <c r="J1864" s="8"/>
      <c r="K1864" s="8">
        <v>1761379327814</v>
      </c>
      <c r="L1864" s="8">
        <v>5184590648388</v>
      </c>
      <c r="M1864" s="8">
        <v>885019646700</v>
      </c>
      <c r="N1864" s="8">
        <v>917497431900</v>
      </c>
      <c r="O1864" s="8">
        <v>958094663400</v>
      </c>
      <c r="P1864" s="8">
        <v>933736324500</v>
      </c>
      <c r="Q1864" s="18">
        <f>(Table1[[#This Row],[A. TÀI SẢN NGẮN HẠN]]-Table1[[#This Row],[I. Nợ ngắn hạn]])/Table1[[#This Row],[TỔNG CỘNG TÀI SẢN]]</f>
        <v>0.3221713903818948</v>
      </c>
      <c r="R1864" s="18">
        <f>Table1[[#This Row],[- LNST chưa phân phối kỳ này]]/Table1[[#This Row],[TỔNG CỘNG TÀI SẢN]]</f>
        <v>9.6073755313553898E-3</v>
      </c>
      <c r="S1864" s="21">
        <f>Table1[[#This Row],[5. Lợi nhuận gộp về bán hàng và cung cấp dịch vụ]]/Table1[[#This Row],[TỔNG CỘNG TÀI SẢN]]</f>
        <v>0.12165376799927695</v>
      </c>
      <c r="T186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0.5243544090932637</v>
      </c>
      <c r="U1864" s="23">
        <f>Table1[[#This Row],[1. Doanh thu bán hàng và cung cấp dịch vụ ]]/Table1[[#This Row],[TỔNG CỘNG TÀI SẢN]]</f>
        <v>1.8349413630452549</v>
      </c>
      <c r="V1864" s="23">
        <f>1.2*Table1[[#This Row],[X1]] + 1.4*Table1[[#This Row],[X2]] + 3.3*Table1[[#This Row],[x3]] + 0.6*Table1[[#This Row],[x4]] + 1*Table1[[#This Row],[x5]]</f>
        <v>2.9510674371009982</v>
      </c>
      <c r="W1864" s="23">
        <f>IF(Table1[[#This Row],[Zscore]]&lt;1.81,1,0)</f>
        <v>0</v>
      </c>
    </row>
    <row r="1865" spans="1:23" ht="26.25" hidden="1" x14ac:dyDescent="0.45">
      <c r="A1865" s="7">
        <v>1859</v>
      </c>
      <c r="B1865" s="5" t="s">
        <v>3729</v>
      </c>
      <c r="C1865" s="6" t="s">
        <v>3730</v>
      </c>
      <c r="D1865" s="6" t="s">
        <v>13</v>
      </c>
      <c r="E1865" s="6"/>
      <c r="F1865" s="6"/>
      <c r="G1865" s="6"/>
      <c r="H1865" s="6"/>
      <c r="I1865" s="6"/>
      <c r="J1865" s="8"/>
      <c r="K1865" s="6"/>
      <c r="L1865" s="6"/>
      <c r="M1865" s="8"/>
      <c r="N1865" s="8"/>
      <c r="O1865" s="8"/>
      <c r="P1865" s="8"/>
      <c r="Q1865" s="18" t="e">
        <f>(Table1[[#This Row],[A. TÀI SẢN NGẮN HẠN]]-Table1[[#This Row],[I. Nợ ngắn hạn]])/Table1[[#This Row],[TỔNG CỘNG TÀI SẢN]]</f>
        <v>#DIV/0!</v>
      </c>
      <c r="R1865" s="18" t="e">
        <f>Table1[[#This Row],[- LNST chưa phân phối kỳ này]]/Table1[[#This Row],[TỔNG CỘNG TÀI SẢN]]</f>
        <v>#DIV/0!</v>
      </c>
      <c r="S1865" s="21" t="e">
        <f>Table1[[#This Row],[5. Lợi nhuận gộp về bán hàng và cung cấp dịch vụ]]/Table1[[#This Row],[TỔNG CỘNG TÀI SẢN]]</f>
        <v>#DIV/0!</v>
      </c>
      <c r="T186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865" s="23" t="e">
        <f>Table1[[#This Row],[1. Doanh thu bán hàng và cung cấp dịch vụ ]]/Table1[[#This Row],[TỔNG CỘNG TÀI SẢN]]</f>
        <v>#DIV/0!</v>
      </c>
      <c r="V1865" s="23" t="e">
        <f>1.2*Table1[[#This Row],[X1]] + 1.4*Table1[[#This Row],[X2]] + 3.3*Table1[[#This Row],[x3]] + 0.6*Table1[[#This Row],[x4]] + 1*Table1[[#This Row],[x5]]</f>
        <v>#DIV/0!</v>
      </c>
      <c r="W1865" s="23" t="e">
        <f>IF(Table1[[#This Row],[Zscore]]&lt;1.81,1,0)</f>
        <v>#DIV/0!</v>
      </c>
    </row>
    <row r="1866" spans="1:23" ht="26.25" hidden="1" x14ac:dyDescent="0.45">
      <c r="A1866" s="7">
        <v>1860</v>
      </c>
      <c r="B1866" s="5" t="s">
        <v>3731</v>
      </c>
      <c r="C1866" s="6" t="s">
        <v>3732</v>
      </c>
      <c r="D1866" s="6" t="s">
        <v>13</v>
      </c>
      <c r="E1866" s="6"/>
      <c r="F1866" s="6"/>
      <c r="G1866" s="6"/>
      <c r="H1866" s="6"/>
      <c r="I1866" s="6"/>
      <c r="J1866" s="8"/>
      <c r="K1866" s="6"/>
      <c r="L1866" s="6"/>
      <c r="M1866" s="8"/>
      <c r="N1866" s="8"/>
      <c r="O1866" s="8"/>
      <c r="P1866" s="8"/>
      <c r="Q1866" s="18" t="e">
        <f>(Table1[[#This Row],[A. TÀI SẢN NGẮN HẠN]]-Table1[[#This Row],[I. Nợ ngắn hạn]])/Table1[[#This Row],[TỔNG CỘNG TÀI SẢN]]</f>
        <v>#DIV/0!</v>
      </c>
      <c r="R1866" s="18" t="e">
        <f>Table1[[#This Row],[- LNST chưa phân phối kỳ này]]/Table1[[#This Row],[TỔNG CỘNG TÀI SẢN]]</f>
        <v>#DIV/0!</v>
      </c>
      <c r="S1866" s="21" t="e">
        <f>Table1[[#This Row],[5. Lợi nhuận gộp về bán hàng và cung cấp dịch vụ]]/Table1[[#This Row],[TỔNG CỘNG TÀI SẢN]]</f>
        <v>#DIV/0!</v>
      </c>
      <c r="T186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866" s="23" t="e">
        <f>Table1[[#This Row],[1. Doanh thu bán hàng và cung cấp dịch vụ ]]/Table1[[#This Row],[TỔNG CỘNG TÀI SẢN]]</f>
        <v>#DIV/0!</v>
      </c>
      <c r="V1866" s="23" t="e">
        <f>1.2*Table1[[#This Row],[X1]] + 1.4*Table1[[#This Row],[X2]] + 3.3*Table1[[#This Row],[x3]] + 0.6*Table1[[#This Row],[x4]] + 1*Table1[[#This Row],[x5]]</f>
        <v>#DIV/0!</v>
      </c>
      <c r="W1866" s="23" t="e">
        <f>IF(Table1[[#This Row],[Zscore]]&lt;1.81,1,0)</f>
        <v>#DIV/0!</v>
      </c>
    </row>
    <row r="1867" spans="1:23" ht="26.25" hidden="1" x14ac:dyDescent="0.45">
      <c r="A1867" s="7">
        <v>1861</v>
      </c>
      <c r="B1867" s="5" t="s">
        <v>3733</v>
      </c>
      <c r="C1867" s="6" t="s">
        <v>3734</v>
      </c>
      <c r="D1867" s="6" t="s">
        <v>13</v>
      </c>
      <c r="E1867" s="8">
        <v>263437158000000</v>
      </c>
      <c r="F1867" s="6"/>
      <c r="G1867" s="6"/>
      <c r="H1867" s="6"/>
      <c r="I1867" s="6"/>
      <c r="J1867" s="8"/>
      <c r="K1867" s="8">
        <v>251192835000000</v>
      </c>
      <c r="L1867" s="8">
        <v>21427985000000</v>
      </c>
      <c r="M1867" s="8"/>
      <c r="N1867" s="8"/>
      <c r="O1867" s="8"/>
      <c r="P1867" s="8"/>
      <c r="Q1867" s="18">
        <f>(Table1[[#This Row],[A. TÀI SẢN NGẮN HẠN]]-Table1[[#This Row],[I. Nợ ngắn hạn]])/Table1[[#This Row],[TỔNG CỘNG TÀI SẢN]]</f>
        <v>0</v>
      </c>
      <c r="R1867" s="18">
        <f>Table1[[#This Row],[- LNST chưa phân phối kỳ này]]/Table1[[#This Row],[TỔNG CỘNG TÀI SẢN]]</f>
        <v>0</v>
      </c>
      <c r="S1867" s="21">
        <f>Table1[[#This Row],[5. Lợi nhuận gộp về bán hàng và cung cấp dịch vụ]]/Table1[[#This Row],[TỔNG CỘNG TÀI SẢN]]</f>
        <v>0</v>
      </c>
      <c r="T186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867" s="23">
        <f>Table1[[#This Row],[1. Doanh thu bán hàng và cung cấp dịch vụ ]]/Table1[[#This Row],[TỔNG CỘNG TÀI SẢN]]</f>
        <v>8.1340024933005087E-2</v>
      </c>
      <c r="V1867" s="23" t="e">
        <f>1.2*Table1[[#This Row],[X1]] + 1.4*Table1[[#This Row],[X2]] + 3.3*Table1[[#This Row],[x3]] + 0.6*Table1[[#This Row],[x4]] + 1*Table1[[#This Row],[x5]]</f>
        <v>#DIV/0!</v>
      </c>
      <c r="W1867" s="23" t="e">
        <f>IF(Table1[[#This Row],[Zscore]]&lt;1.81,1,0)</f>
        <v>#DIV/0!</v>
      </c>
    </row>
    <row r="1868" spans="1:23" ht="26.25" x14ac:dyDescent="0.45">
      <c r="A1868" s="7">
        <v>1862</v>
      </c>
      <c r="B1868" s="5" t="s">
        <v>3735</v>
      </c>
      <c r="C1868" s="6" t="s">
        <v>3736</v>
      </c>
      <c r="D1868" s="6" t="s">
        <v>21</v>
      </c>
      <c r="E1868" s="8">
        <v>28311318274813</v>
      </c>
      <c r="F1868" s="8">
        <v>9830978462774</v>
      </c>
      <c r="G1868" s="8">
        <v>6629809960750</v>
      </c>
      <c r="H1868" s="8">
        <v>544906738003</v>
      </c>
      <c r="I1868" s="8">
        <v>2077070178276</v>
      </c>
      <c r="J1868" s="8"/>
      <c r="K1868" s="8">
        <v>11214844329116</v>
      </c>
      <c r="L1868" s="8">
        <v>10916486796752</v>
      </c>
      <c r="M1868" s="8">
        <v>12229360132000</v>
      </c>
      <c r="N1868" s="8">
        <v>15759198170100</v>
      </c>
      <c r="O1868" s="8">
        <v>11145394120300</v>
      </c>
      <c r="P1868" s="8">
        <v>12257154132300</v>
      </c>
      <c r="Q1868" s="18">
        <f>(Table1[[#This Row],[A. TÀI SẢN NGẮN HẠN]]-Table1[[#This Row],[I. Nợ ngắn hạn]])/Table1[[#This Row],[TỔNG CỘNG TÀI SẢN]]</f>
        <v>0.11307027355458403</v>
      </c>
      <c r="R1868" s="18">
        <f>Table1[[#This Row],[- LNST chưa phân phối kỳ này]]/Table1[[#This Row],[TỔNG CỘNG TÀI SẢN]]</f>
        <v>1.9246957443439613E-2</v>
      </c>
      <c r="S1868" s="21">
        <f>Table1[[#This Row],[5. Lợi nhuận gộp về bán hàng và cung cấp dịch vụ]]/Table1[[#This Row],[TỔNG CỘNG TÀI SẢN]]</f>
        <v>7.3365364272841141E-2</v>
      </c>
      <c r="T186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1.1456045453363608</v>
      </c>
      <c r="U1868" s="23">
        <f>Table1[[#This Row],[1. Doanh thu bán hàng và cung cấp dịch vụ ]]/Table1[[#This Row],[TỔNG CỘNG TÀI SẢN]]</f>
        <v>0.3855873714811715</v>
      </c>
      <c r="V1868" s="23">
        <f>1.2*Table1[[#This Row],[X1]] + 1.4*Table1[[#This Row],[X2]] + 3.3*Table1[[#This Row],[x3]] + 0.6*Table1[[#This Row],[x4]] + 1*Table1[[#This Row],[x5]]</f>
        <v>1.4776858694696799</v>
      </c>
      <c r="W1868" s="23">
        <f>IF(Table1[[#This Row],[Zscore]]&lt;1.81,1,0)</f>
        <v>1</v>
      </c>
    </row>
    <row r="1869" spans="1:23" ht="26.25" x14ac:dyDescent="0.45">
      <c r="A1869" s="7">
        <v>1863</v>
      </c>
      <c r="B1869" s="5" t="s">
        <v>3737</v>
      </c>
      <c r="C1869" s="6" t="s">
        <v>3738</v>
      </c>
      <c r="D1869" s="6" t="s">
        <v>18</v>
      </c>
      <c r="E1869" s="8">
        <v>823609082015</v>
      </c>
      <c r="F1869" s="8">
        <v>807722312272</v>
      </c>
      <c r="G1869" s="8">
        <v>931988731294</v>
      </c>
      <c r="H1869" s="8">
        <v>3482459117</v>
      </c>
      <c r="I1869" s="8">
        <v>44213394591</v>
      </c>
      <c r="J1869" s="8"/>
      <c r="K1869" s="8">
        <v>932013626294</v>
      </c>
      <c r="L1869" s="8">
        <v>167642482097</v>
      </c>
      <c r="M1869" s="8">
        <v>67500000000</v>
      </c>
      <c r="N1869" s="8">
        <v>62500000000</v>
      </c>
      <c r="O1869" s="8">
        <v>60000000000</v>
      </c>
      <c r="P1869" s="8">
        <v>65000000000</v>
      </c>
      <c r="Q1869" s="18">
        <f>(Table1[[#This Row],[A. TÀI SẢN NGẮN HẠN]]-Table1[[#This Row],[I. Nợ ngắn hạn]])/Table1[[#This Row],[TỔNG CỘNG TÀI SẢN]]</f>
        <v>-0.15088034085051141</v>
      </c>
      <c r="R1869" s="18">
        <f>Table1[[#This Row],[- LNST chưa phân phối kỳ này]]/Table1[[#This Row],[TỔNG CỘNG TÀI SẢN]]</f>
        <v>4.2282913011109508E-3</v>
      </c>
      <c r="S1869" s="21">
        <f>Table1[[#This Row],[5. Lợi nhuận gộp về bán hàng và cung cấp dịch vụ]]/Table1[[#This Row],[TỔNG CỘNG TÀI SẢN]]</f>
        <v>5.3682500055523628E-2</v>
      </c>
      <c r="T186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6.840028750812524E-2</v>
      </c>
      <c r="U1869" s="23">
        <f>Table1[[#This Row],[1. Doanh thu bán hàng và cung cấp dịch vụ ]]/Table1[[#This Row],[TỔNG CỘNG TÀI SẢN]]</f>
        <v>0.20354617956234097</v>
      </c>
      <c r="V1869" s="23">
        <f>1.2*Table1[[#This Row],[X1]] + 1.4*Table1[[#This Row],[X2]] + 3.3*Table1[[#This Row],[x3]] + 0.6*Table1[[#This Row],[x4]] + 1*Table1[[#This Row],[x5]]</f>
        <v>0.24660180105138574</v>
      </c>
      <c r="W1869" s="23">
        <f>IF(Table1[[#This Row],[Zscore]]&lt;1.81,1,0)</f>
        <v>1</v>
      </c>
    </row>
    <row r="1870" spans="1:23" ht="26.25" hidden="1" x14ac:dyDescent="0.45">
      <c r="A1870" s="7">
        <v>1864</v>
      </c>
      <c r="B1870" s="5" t="s">
        <v>3739</v>
      </c>
      <c r="C1870" s="6" t="s">
        <v>3740</v>
      </c>
      <c r="D1870" s="6" t="s">
        <v>13</v>
      </c>
      <c r="E1870" s="6"/>
      <c r="F1870" s="6"/>
      <c r="G1870" s="6"/>
      <c r="H1870" s="6"/>
      <c r="I1870" s="6"/>
      <c r="J1870" s="8"/>
      <c r="K1870" s="6"/>
      <c r="L1870" s="6"/>
      <c r="M1870" s="8"/>
      <c r="N1870" s="8"/>
      <c r="O1870" s="8"/>
      <c r="P1870" s="8"/>
      <c r="Q1870" s="18" t="e">
        <f>(Table1[[#This Row],[A. TÀI SẢN NGẮN HẠN]]-Table1[[#This Row],[I. Nợ ngắn hạn]])/Table1[[#This Row],[TỔNG CỘNG TÀI SẢN]]</f>
        <v>#DIV/0!</v>
      </c>
      <c r="R1870" s="18" t="e">
        <f>Table1[[#This Row],[- LNST chưa phân phối kỳ này]]/Table1[[#This Row],[TỔNG CỘNG TÀI SẢN]]</f>
        <v>#DIV/0!</v>
      </c>
      <c r="S1870" s="21" t="e">
        <f>Table1[[#This Row],[5. Lợi nhuận gộp về bán hàng và cung cấp dịch vụ]]/Table1[[#This Row],[TỔNG CỘNG TÀI SẢN]]</f>
        <v>#DIV/0!</v>
      </c>
      <c r="T187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870" s="23" t="e">
        <f>Table1[[#This Row],[1. Doanh thu bán hàng và cung cấp dịch vụ ]]/Table1[[#This Row],[TỔNG CỘNG TÀI SẢN]]</f>
        <v>#DIV/0!</v>
      </c>
      <c r="V1870" s="23" t="e">
        <f>1.2*Table1[[#This Row],[X1]] + 1.4*Table1[[#This Row],[X2]] + 3.3*Table1[[#This Row],[x3]] + 0.6*Table1[[#This Row],[x4]] + 1*Table1[[#This Row],[x5]]</f>
        <v>#DIV/0!</v>
      </c>
      <c r="W1870" s="23" t="e">
        <f>IF(Table1[[#This Row],[Zscore]]&lt;1.81,1,0)</f>
        <v>#DIV/0!</v>
      </c>
    </row>
    <row r="1871" spans="1:23" ht="26.25" hidden="1" x14ac:dyDescent="0.45">
      <c r="A1871" s="7">
        <v>1865</v>
      </c>
      <c r="B1871" s="5" t="s">
        <v>3741</v>
      </c>
      <c r="C1871" s="6" t="s">
        <v>3742</v>
      </c>
      <c r="D1871" s="6" t="s">
        <v>13</v>
      </c>
      <c r="E1871" s="6"/>
      <c r="F1871" s="6"/>
      <c r="G1871" s="6"/>
      <c r="H1871" s="6"/>
      <c r="I1871" s="6"/>
      <c r="J1871" s="8"/>
      <c r="K1871" s="6"/>
      <c r="L1871" s="6"/>
      <c r="M1871" s="8"/>
      <c r="N1871" s="8"/>
      <c r="O1871" s="8"/>
      <c r="P1871" s="8"/>
      <c r="Q1871" s="18" t="e">
        <f>(Table1[[#This Row],[A. TÀI SẢN NGẮN HẠN]]-Table1[[#This Row],[I. Nợ ngắn hạn]])/Table1[[#This Row],[TỔNG CỘNG TÀI SẢN]]</f>
        <v>#DIV/0!</v>
      </c>
      <c r="R1871" s="18" t="e">
        <f>Table1[[#This Row],[- LNST chưa phân phối kỳ này]]/Table1[[#This Row],[TỔNG CỘNG TÀI SẢN]]</f>
        <v>#DIV/0!</v>
      </c>
      <c r="S1871" s="21" t="e">
        <f>Table1[[#This Row],[5. Lợi nhuận gộp về bán hàng và cung cấp dịch vụ]]/Table1[[#This Row],[TỔNG CỘNG TÀI SẢN]]</f>
        <v>#DIV/0!</v>
      </c>
      <c r="T187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871" s="23" t="e">
        <f>Table1[[#This Row],[1. Doanh thu bán hàng và cung cấp dịch vụ ]]/Table1[[#This Row],[TỔNG CỘNG TÀI SẢN]]</f>
        <v>#DIV/0!</v>
      </c>
      <c r="V1871" s="23" t="e">
        <f>1.2*Table1[[#This Row],[X1]] + 1.4*Table1[[#This Row],[X2]] + 3.3*Table1[[#This Row],[x3]] + 0.6*Table1[[#This Row],[x4]] + 1*Table1[[#This Row],[x5]]</f>
        <v>#DIV/0!</v>
      </c>
      <c r="W1871" s="23" t="e">
        <f>IF(Table1[[#This Row],[Zscore]]&lt;1.81,1,0)</f>
        <v>#DIV/0!</v>
      </c>
    </row>
    <row r="1872" spans="1:23" x14ac:dyDescent="0.45">
      <c r="A1872" s="7">
        <v>1866</v>
      </c>
      <c r="B1872" s="5" t="s">
        <v>3743</v>
      </c>
      <c r="C1872" s="6" t="s">
        <v>3744</v>
      </c>
      <c r="D1872" s="6" t="s">
        <v>36</v>
      </c>
      <c r="E1872" s="8">
        <v>1532986813085</v>
      </c>
      <c r="F1872" s="8">
        <v>1083434649654</v>
      </c>
      <c r="G1872" s="8">
        <v>900995896160</v>
      </c>
      <c r="H1872" s="8">
        <v>14688786500</v>
      </c>
      <c r="I1872" s="8">
        <v>445183627062</v>
      </c>
      <c r="J1872" s="8"/>
      <c r="K1872" s="8">
        <v>1027453429003</v>
      </c>
      <c r="L1872" s="8">
        <v>6618992489218</v>
      </c>
      <c r="M1872" s="8">
        <v>287989358400</v>
      </c>
      <c r="N1872" s="8">
        <v>247990836400</v>
      </c>
      <c r="O1872" s="8">
        <v>267990097400</v>
      </c>
      <c r="P1872" s="8">
        <v>259990393000</v>
      </c>
      <c r="Q1872" s="18">
        <f>(Table1[[#This Row],[A. TÀI SẢN NGẮN HẠN]]-Table1[[#This Row],[I. Nợ ngắn hạn]])/Table1[[#This Row],[TỔNG CỘNG TÀI SẢN]]</f>
        <v>0.11900869070547201</v>
      </c>
      <c r="R1872" s="18">
        <f>Table1[[#This Row],[- LNST chưa phân phối kỳ này]]/Table1[[#This Row],[TỔNG CỘNG TÀI SẢN]]</f>
        <v>9.5818087765804846E-3</v>
      </c>
      <c r="S1872" s="21">
        <f>Table1[[#This Row],[5. Lợi nhuận gộp về bán hàng và cung cấp dịch vụ]]/Table1[[#This Row],[TỔNG CỘNG TÀI SẢN]]</f>
        <v>0.29040277663322323</v>
      </c>
      <c r="T187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0.25888294670261242</v>
      </c>
      <c r="U1872" s="23">
        <f>Table1[[#This Row],[1. Doanh thu bán hàng và cung cấp dịch vụ ]]/Table1[[#This Row],[TỔNG CỘNG TÀI SẢN]]</f>
        <v>4.3177099977121554</v>
      </c>
      <c r="V1872" s="23">
        <f>1.2*Table1[[#This Row],[X1]] + 1.4*Table1[[#This Row],[X2]] + 3.3*Table1[[#This Row],[x3]] + 0.6*Table1[[#This Row],[x4]] + 1*Table1[[#This Row],[x5]]</f>
        <v>5.5875938897571382</v>
      </c>
      <c r="W1872" s="23">
        <f>IF(Table1[[#This Row],[Zscore]]&lt;1.81,1,0)</f>
        <v>0</v>
      </c>
    </row>
    <row r="1873" spans="1:23" x14ac:dyDescent="0.45">
      <c r="A1873" s="7">
        <v>1867</v>
      </c>
      <c r="B1873" s="5" t="s">
        <v>3745</v>
      </c>
      <c r="C1873" s="6" t="s">
        <v>3746</v>
      </c>
      <c r="D1873" s="6" t="s">
        <v>18</v>
      </c>
      <c r="E1873" s="8">
        <v>543463697651</v>
      </c>
      <c r="F1873" s="8">
        <v>172607639040</v>
      </c>
      <c r="G1873" s="8">
        <v>102682404580</v>
      </c>
      <c r="H1873" s="8">
        <v>-9103321940</v>
      </c>
      <c r="I1873" s="8">
        <v>-2383783386</v>
      </c>
      <c r="J1873" s="8"/>
      <c r="K1873" s="8">
        <v>496506702630</v>
      </c>
      <c r="L1873" s="8">
        <v>3823541815</v>
      </c>
      <c r="M1873" s="8">
        <v>16800000000</v>
      </c>
      <c r="N1873" s="8">
        <v>12600000000</v>
      </c>
      <c r="O1873" s="8">
        <v>14700000000</v>
      </c>
      <c r="P1873" s="8">
        <v>12600000000</v>
      </c>
      <c r="Q1873" s="18">
        <f>(Table1[[#This Row],[A. TÀI SẢN NGẮN HẠN]]-Table1[[#This Row],[I. Nợ ngắn hạn]])/Table1[[#This Row],[TỔNG CỘNG TÀI SẢN]]</f>
        <v>0.12866587917874947</v>
      </c>
      <c r="R1873" s="18">
        <f>Table1[[#This Row],[- LNST chưa phân phối kỳ này]]/Table1[[#This Row],[TỔNG CỘNG TÀI SẢN]]</f>
        <v>-1.6750561223034893E-2</v>
      </c>
      <c r="S1873" s="21">
        <f>Table1[[#This Row],[5. Lợi nhuận gộp về bán hàng và cung cấp dịch vụ]]/Table1[[#This Row],[TỔNG CỘNG TÀI SẢN]]</f>
        <v>-4.3862789663842673E-3</v>
      </c>
      <c r="T187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2.854946353174068E-2</v>
      </c>
      <c r="U1873" s="23">
        <f>Table1[[#This Row],[1. Doanh thu bán hàng và cung cấp dịch vụ ]]/Table1[[#This Row],[TỔNG CỘNG TÀI SẢN]]</f>
        <v>7.0355054652710058E-3</v>
      </c>
      <c r="V1873" s="23">
        <f>1.2*Table1[[#This Row],[X1]] + 1.4*Table1[[#This Row],[X2]] + 3.3*Table1[[#This Row],[x3]] + 0.6*Table1[[#This Row],[x4]] + 1*Table1[[#This Row],[x5]]</f>
        <v>0.14063873229749785</v>
      </c>
      <c r="W1873" s="23">
        <f>IF(Table1[[#This Row],[Zscore]]&lt;1.81,1,0)</f>
        <v>1</v>
      </c>
    </row>
    <row r="1874" spans="1:23" x14ac:dyDescent="0.45">
      <c r="A1874" s="7">
        <v>1868</v>
      </c>
      <c r="B1874" s="5" t="s">
        <v>3747</v>
      </c>
      <c r="C1874" s="6" t="s">
        <v>3748</v>
      </c>
      <c r="D1874" s="6" t="s">
        <v>36</v>
      </c>
      <c r="E1874" s="8">
        <v>44512136899824</v>
      </c>
      <c r="F1874" s="8">
        <v>40004987573568</v>
      </c>
      <c r="G1874" s="8">
        <v>35908495792800</v>
      </c>
      <c r="H1874" s="8">
        <v>1051023102990</v>
      </c>
      <c r="I1874" s="8">
        <v>1370921198441</v>
      </c>
      <c r="J1874" s="8"/>
      <c r="K1874" s="8">
        <v>35978228567685</v>
      </c>
      <c r="L1874" s="8">
        <v>27319153390305</v>
      </c>
      <c r="M1874" s="8">
        <v>15459963222000</v>
      </c>
      <c r="N1874" s="8">
        <v>21784491771000</v>
      </c>
      <c r="O1874" s="8">
        <v>13468906202500</v>
      </c>
      <c r="P1874" s="8">
        <v>17099654831000</v>
      </c>
      <c r="Q1874" s="18">
        <f>(Table1[[#This Row],[A. TÀI SẢN NGẮN HẠN]]-Table1[[#This Row],[I. Nợ ngắn hạn]])/Table1[[#This Row],[TỔNG CỘNG TÀI SẢN]]</f>
        <v>9.20308946296442E-2</v>
      </c>
      <c r="R1874" s="18">
        <f>Table1[[#This Row],[- LNST chưa phân phối kỳ này]]/Table1[[#This Row],[TỔNG CỘNG TÀI SẢN]]</f>
        <v>2.3612056760055386E-2</v>
      </c>
      <c r="S1874" s="21">
        <f>Table1[[#This Row],[5. Lợi nhuận gộp về bán hàng và cung cấp dịch vụ]]/Table1[[#This Row],[TỔNG CỘNG TÀI SẢN]]</f>
        <v>3.0798817893787089E-2</v>
      </c>
      <c r="T187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0.47120869152107475</v>
      </c>
      <c r="U1874" s="23">
        <f>Table1[[#This Row],[1. Doanh thu bán hàng và cung cấp dịch vụ ]]/Table1[[#This Row],[TỔNG CỘNG TÀI SẢN]]</f>
        <v>0.61374616661940173</v>
      </c>
      <c r="V1874" s="23">
        <f>1.2*Table1[[#This Row],[X1]] + 1.4*Table1[[#This Row],[X2]] + 3.3*Table1[[#This Row],[x3]] + 0.6*Table1[[#This Row],[x4]] + 1*Table1[[#This Row],[x5]]</f>
        <v>1.1416014336011946</v>
      </c>
      <c r="W1874" s="23">
        <f>IF(Table1[[#This Row],[Zscore]]&lt;1.81,1,0)</f>
        <v>1</v>
      </c>
    </row>
    <row r="1875" spans="1:23" hidden="1" x14ac:dyDescent="0.45">
      <c r="A1875" s="7">
        <v>1869</v>
      </c>
      <c r="B1875" s="5" t="s">
        <v>3749</v>
      </c>
      <c r="C1875" s="6" t="s">
        <v>3750</v>
      </c>
      <c r="D1875" s="6" t="s">
        <v>13</v>
      </c>
      <c r="E1875" s="6"/>
      <c r="F1875" s="6"/>
      <c r="G1875" s="6"/>
      <c r="H1875" s="6"/>
      <c r="I1875" s="6"/>
      <c r="J1875" s="8"/>
      <c r="K1875" s="6"/>
      <c r="L1875" s="6"/>
      <c r="M1875" s="8"/>
      <c r="N1875" s="8"/>
      <c r="O1875" s="8"/>
      <c r="P1875" s="8"/>
      <c r="Q1875" s="18" t="e">
        <f>(Table1[[#This Row],[A. TÀI SẢN NGẮN HẠN]]-Table1[[#This Row],[I. Nợ ngắn hạn]])/Table1[[#This Row],[TỔNG CỘNG TÀI SẢN]]</f>
        <v>#DIV/0!</v>
      </c>
      <c r="R1875" s="18" t="e">
        <f>Table1[[#This Row],[- LNST chưa phân phối kỳ này]]/Table1[[#This Row],[TỔNG CỘNG TÀI SẢN]]</f>
        <v>#DIV/0!</v>
      </c>
      <c r="S1875" s="21" t="e">
        <f>Table1[[#This Row],[5. Lợi nhuận gộp về bán hàng và cung cấp dịch vụ]]/Table1[[#This Row],[TỔNG CỘNG TÀI SẢN]]</f>
        <v>#DIV/0!</v>
      </c>
      <c r="T187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875" s="23" t="e">
        <f>Table1[[#This Row],[1. Doanh thu bán hàng và cung cấp dịch vụ ]]/Table1[[#This Row],[TỔNG CỘNG TÀI SẢN]]</f>
        <v>#DIV/0!</v>
      </c>
      <c r="V1875" s="23" t="e">
        <f>1.2*Table1[[#This Row],[X1]] + 1.4*Table1[[#This Row],[X2]] + 3.3*Table1[[#This Row],[x3]] + 0.6*Table1[[#This Row],[x4]] + 1*Table1[[#This Row],[x5]]</f>
        <v>#DIV/0!</v>
      </c>
      <c r="W1875" s="23" t="e">
        <f>IF(Table1[[#This Row],[Zscore]]&lt;1.81,1,0)</f>
        <v>#DIV/0!</v>
      </c>
    </row>
    <row r="1876" spans="1:23" hidden="1" x14ac:dyDescent="0.45">
      <c r="A1876" s="7">
        <v>1870</v>
      </c>
      <c r="B1876" s="5" t="s">
        <v>3751</v>
      </c>
      <c r="C1876" s="6" t="s">
        <v>3752</v>
      </c>
      <c r="D1876" s="6" t="s">
        <v>13</v>
      </c>
      <c r="E1876" s="6"/>
      <c r="F1876" s="6"/>
      <c r="G1876" s="6"/>
      <c r="H1876" s="6"/>
      <c r="I1876" s="6"/>
      <c r="J1876" s="8"/>
      <c r="K1876" s="6"/>
      <c r="L1876" s="6"/>
      <c r="M1876" s="8"/>
      <c r="N1876" s="8"/>
      <c r="O1876" s="8"/>
      <c r="P1876" s="8"/>
      <c r="Q1876" s="18" t="e">
        <f>(Table1[[#This Row],[A. TÀI SẢN NGẮN HẠN]]-Table1[[#This Row],[I. Nợ ngắn hạn]])/Table1[[#This Row],[TỔNG CỘNG TÀI SẢN]]</f>
        <v>#DIV/0!</v>
      </c>
      <c r="R1876" s="18" t="e">
        <f>Table1[[#This Row],[- LNST chưa phân phối kỳ này]]/Table1[[#This Row],[TỔNG CỘNG TÀI SẢN]]</f>
        <v>#DIV/0!</v>
      </c>
      <c r="S1876" s="21" t="e">
        <f>Table1[[#This Row],[5. Lợi nhuận gộp về bán hàng và cung cấp dịch vụ]]/Table1[[#This Row],[TỔNG CỘNG TÀI SẢN]]</f>
        <v>#DIV/0!</v>
      </c>
      <c r="T187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876" s="23" t="e">
        <f>Table1[[#This Row],[1. Doanh thu bán hàng và cung cấp dịch vụ ]]/Table1[[#This Row],[TỔNG CỘNG TÀI SẢN]]</f>
        <v>#DIV/0!</v>
      </c>
      <c r="V1876" s="23" t="e">
        <f>1.2*Table1[[#This Row],[X1]] + 1.4*Table1[[#This Row],[X2]] + 3.3*Table1[[#This Row],[x3]] + 0.6*Table1[[#This Row],[x4]] + 1*Table1[[#This Row],[x5]]</f>
        <v>#DIV/0!</v>
      </c>
      <c r="W1876" s="23" t="e">
        <f>IF(Table1[[#This Row],[Zscore]]&lt;1.81,1,0)</f>
        <v>#DIV/0!</v>
      </c>
    </row>
    <row r="1877" spans="1:23" x14ac:dyDescent="0.45">
      <c r="A1877" s="7">
        <v>1871</v>
      </c>
      <c r="B1877" s="5" t="s">
        <v>3753</v>
      </c>
      <c r="C1877" s="6" t="s">
        <v>3754</v>
      </c>
      <c r="D1877" s="6" t="s">
        <v>18</v>
      </c>
      <c r="E1877" s="8">
        <v>198331447172</v>
      </c>
      <c r="F1877" s="8">
        <v>69334956605</v>
      </c>
      <c r="G1877" s="8">
        <v>52947881835</v>
      </c>
      <c r="H1877" s="8">
        <v>-1802886358</v>
      </c>
      <c r="I1877" s="8">
        <v>28425439</v>
      </c>
      <c r="J1877" s="8"/>
      <c r="K1877" s="8">
        <v>53048831335</v>
      </c>
      <c r="L1877" s="8">
        <v>2289450294</v>
      </c>
      <c r="M1877" s="8">
        <v>205000000000</v>
      </c>
      <c r="N1877" s="8">
        <v>185000000000</v>
      </c>
      <c r="O1877" s="8">
        <v>195000000000</v>
      </c>
      <c r="P1877" s="8">
        <v>120000000000</v>
      </c>
      <c r="Q1877" s="18">
        <f>(Table1[[#This Row],[A. TÀI SẢN NGẮN HẠN]]-Table1[[#This Row],[I. Nợ ngắn hạn]])/Table1[[#This Row],[TỔNG CỘNG TÀI SẢN]]</f>
        <v>8.2624692168905278E-2</v>
      </c>
      <c r="R1877" s="18">
        <f>Table1[[#This Row],[- LNST chưa phân phối kỳ này]]/Table1[[#This Row],[TỔNG CỘNG TÀI SẢN]]</f>
        <v>-9.0902697666319834E-3</v>
      </c>
      <c r="S1877" s="21">
        <f>Table1[[#This Row],[5. Lợi nhuận gộp về bán hàng và cung cấp dịch vụ]]/Table1[[#This Row],[TỔNG CỘNG TÀI SẢN]]</f>
        <v>1.4332290418547926E-4</v>
      </c>
      <c r="T187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3.3224106085766989</v>
      </c>
      <c r="U1877" s="23">
        <f>Table1[[#This Row],[1. Doanh thu bán hàng và cung cấp dịch vụ ]]/Table1[[#This Row],[TỔNG CỘNG TÀI SẢN]]</f>
        <v>1.1543556640387484E-2</v>
      </c>
      <c r="V1877" s="23">
        <f>1.2*Table1[[#This Row],[X1]] + 1.4*Table1[[#This Row],[X2]] + 3.3*Table1[[#This Row],[x3]] + 0.6*Table1[[#This Row],[x4]] + 1*Table1[[#This Row],[x5]]</f>
        <v>2.0918861402996205</v>
      </c>
      <c r="W1877" s="23">
        <f>IF(Table1[[#This Row],[Zscore]]&lt;1.81,1,0)</f>
        <v>0</v>
      </c>
    </row>
    <row r="1878" spans="1:23" x14ac:dyDescent="0.45">
      <c r="A1878" s="7">
        <v>1872</v>
      </c>
      <c r="B1878" s="5" t="s">
        <v>3755</v>
      </c>
      <c r="C1878" s="6" t="s">
        <v>3756</v>
      </c>
      <c r="D1878" s="6" t="s">
        <v>18</v>
      </c>
      <c r="E1878" s="8">
        <v>1242773172021</v>
      </c>
      <c r="F1878" s="8">
        <v>957453345135</v>
      </c>
      <c r="G1878" s="8">
        <v>519871692436</v>
      </c>
      <c r="H1878" s="8">
        <v>34005597435</v>
      </c>
      <c r="I1878" s="8">
        <v>104124218695</v>
      </c>
      <c r="J1878" s="8"/>
      <c r="K1878" s="8">
        <v>537457152673</v>
      </c>
      <c r="L1878" s="8">
        <v>1900648478497</v>
      </c>
      <c r="M1878" s="8">
        <v>618217600000</v>
      </c>
      <c r="N1878" s="8">
        <v>737997260000</v>
      </c>
      <c r="O1878" s="8">
        <v>618217600000</v>
      </c>
      <c r="P1878" s="8">
        <v>625945320000</v>
      </c>
      <c r="Q1878" s="18">
        <f>(Table1[[#This Row],[A. TÀI SẢN NGẮN HẠN]]-Table1[[#This Row],[I. Nợ ngắn hạn]])/Table1[[#This Row],[TỔNG CỘNG TÀI SẢN]]</f>
        <v>0.35210098073440377</v>
      </c>
      <c r="R1878" s="18">
        <f>Table1[[#This Row],[- LNST chưa phân phối kỳ này]]/Table1[[#This Row],[TỔNG CỘNG TÀI SẢN]]</f>
        <v>2.736267421970498E-2</v>
      </c>
      <c r="S1878" s="21">
        <f>Table1[[#This Row],[5. Lợi nhuận gộp về bán hàng và cung cấp dịch vụ]]/Table1[[#This Row],[TỔNG CỘNG TÀI SẢN]]</f>
        <v>8.3783767657031896E-2</v>
      </c>
      <c r="T187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1.209574459595165</v>
      </c>
      <c r="U1878" s="23">
        <f>Table1[[#This Row],[1. Doanh thu bán hàng và cung cấp dịch vụ ]]/Table1[[#This Row],[TỔNG CỘNG TÀI SẢN]]</f>
        <v>1.5293607242954577</v>
      </c>
      <c r="V1878" s="23">
        <f>1.2*Table1[[#This Row],[X1]] + 1.4*Table1[[#This Row],[X2]] + 3.3*Table1[[#This Row],[x3]] + 0.6*Table1[[#This Row],[x4]] + 1*Table1[[#This Row],[x5]]</f>
        <v>2.9924207541096335</v>
      </c>
      <c r="W1878" s="23">
        <f>IF(Table1[[#This Row],[Zscore]]&lt;1.81,1,0)</f>
        <v>0</v>
      </c>
    </row>
    <row r="1879" spans="1:23" hidden="1" x14ac:dyDescent="0.45">
      <c r="A1879" s="7">
        <v>1873</v>
      </c>
      <c r="B1879" s="5" t="s">
        <v>3757</v>
      </c>
      <c r="C1879" s="6" t="s">
        <v>3758</v>
      </c>
      <c r="D1879" s="6" t="s">
        <v>18</v>
      </c>
      <c r="E1879" s="8">
        <v>162831509934</v>
      </c>
      <c r="F1879" s="8">
        <v>121424193239</v>
      </c>
      <c r="G1879" s="8">
        <v>60570717669</v>
      </c>
      <c r="H1879" s="8">
        <v>1507864765</v>
      </c>
      <c r="I1879" s="8">
        <v>66458207005</v>
      </c>
      <c r="J1879" s="8"/>
      <c r="K1879" s="8">
        <v>60570717669</v>
      </c>
      <c r="L1879" s="8">
        <v>574904009291</v>
      </c>
      <c r="M1879" s="8"/>
      <c r="N1879" s="8"/>
      <c r="O1879" s="8"/>
      <c r="P1879" s="8"/>
      <c r="Q1879" s="18">
        <f>(Table1[[#This Row],[A. TÀI SẢN NGẮN HẠN]]-Table1[[#This Row],[I. Nợ ngắn hạn]])/Table1[[#This Row],[TỔNG CỘNG TÀI SẢN]]</f>
        <v>0.37372051388988259</v>
      </c>
      <c r="R1879" s="18">
        <f>Table1[[#This Row],[- LNST chưa phân phối kỳ này]]/Table1[[#This Row],[TỔNG CỘNG TÀI SẢN]]</f>
        <v>9.260276254953223E-3</v>
      </c>
      <c r="S1879" s="21">
        <f>Table1[[#This Row],[5. Lợi nhuận gộp về bán hàng và cung cấp dịch vụ]]/Table1[[#This Row],[TỔNG CỘNG TÀI SẢN]]</f>
        <v>0.40814094908250437</v>
      </c>
      <c r="T187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879" s="23">
        <f>Table1[[#This Row],[1. Doanh thu bán hàng và cung cấp dịch vụ ]]/Table1[[#This Row],[TỔNG CỘNG TÀI SẢN]]</f>
        <v>3.5306680477508565</v>
      </c>
      <c r="V1879" s="23" t="e">
        <f>1.2*Table1[[#This Row],[X1]] + 1.4*Table1[[#This Row],[X2]] + 3.3*Table1[[#This Row],[x3]] + 0.6*Table1[[#This Row],[x4]] + 1*Table1[[#This Row],[x5]]</f>
        <v>#DIV/0!</v>
      </c>
      <c r="W1879" s="23" t="e">
        <f>IF(Table1[[#This Row],[Zscore]]&lt;1.81,1,0)</f>
        <v>#DIV/0!</v>
      </c>
    </row>
    <row r="1880" spans="1:23" ht="26.25" x14ac:dyDescent="0.45">
      <c r="A1880" s="7">
        <v>1874</v>
      </c>
      <c r="B1880" s="5" t="s">
        <v>3759</v>
      </c>
      <c r="C1880" s="6" t="s">
        <v>3760</v>
      </c>
      <c r="D1880" s="6" t="s">
        <v>21</v>
      </c>
      <c r="E1880" s="8">
        <v>3146587333428</v>
      </c>
      <c r="F1880" s="8">
        <v>1639957609139</v>
      </c>
      <c r="G1880" s="8">
        <v>478934790035</v>
      </c>
      <c r="H1880" s="8">
        <v>198784645226</v>
      </c>
      <c r="I1880" s="8">
        <v>291902088154</v>
      </c>
      <c r="J1880" s="8"/>
      <c r="K1880" s="8">
        <v>1214993520237</v>
      </c>
      <c r="L1880" s="8">
        <v>2404749791838</v>
      </c>
      <c r="M1880" s="8">
        <v>1617758251200</v>
      </c>
      <c r="N1880" s="8">
        <v>1451834328000</v>
      </c>
      <c r="O1880" s="8">
        <v>1602202883400</v>
      </c>
      <c r="P1880" s="8">
        <v>1550351657400</v>
      </c>
      <c r="Q1880" s="18">
        <f>(Table1[[#This Row],[A. TÀI SẢN NGẮN HẠN]]-Table1[[#This Row],[I. Nợ ngắn hạn]])/Table1[[#This Row],[TỔNG CỘNG TÀI SẢN]]</f>
        <v>0.36897841886344274</v>
      </c>
      <c r="R1880" s="18">
        <f>Table1[[#This Row],[- LNST chưa phân phối kỳ này]]/Table1[[#This Row],[TỔNG CỘNG TÀI SẢN]]</f>
        <v>6.3174679156112024E-2</v>
      </c>
      <c r="S1880" s="21">
        <f>Table1[[#This Row],[5. Lợi nhuận gộp về bán hàng và cung cấp dịch vụ]]/Table1[[#This Row],[TỔNG CỘNG TÀI SẢN]]</f>
        <v>9.2767832963972396E-2</v>
      </c>
      <c r="T188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1.280284013116854</v>
      </c>
      <c r="U1880" s="23">
        <f>Table1[[#This Row],[1. Doanh thu bán hàng và cung cấp dịch vụ ]]/Table1[[#This Row],[TỔNG CỘNG TÀI SẢN]]</f>
        <v>0.76424060005929761</v>
      </c>
      <c r="V1880" s="23">
        <f>1.2*Table1[[#This Row],[X1]] + 1.4*Table1[[#This Row],[X2]] + 3.3*Table1[[#This Row],[x3]] + 0.6*Table1[[#This Row],[x4]] + 1*Table1[[#This Row],[x5]]</f>
        <v>2.3697635101652068</v>
      </c>
      <c r="W1880" s="23">
        <f>IF(Table1[[#This Row],[Zscore]]&lt;1.81,1,0)</f>
        <v>0</v>
      </c>
    </row>
    <row r="1881" spans="1:23" ht="26.25" hidden="1" x14ac:dyDescent="0.45">
      <c r="A1881" s="7">
        <v>1875</v>
      </c>
      <c r="B1881" s="5" t="s">
        <v>3761</v>
      </c>
      <c r="C1881" s="6" t="s">
        <v>3762</v>
      </c>
      <c r="D1881" s="6" t="s">
        <v>13</v>
      </c>
      <c r="E1881" s="6"/>
      <c r="F1881" s="6"/>
      <c r="G1881" s="6"/>
      <c r="H1881" s="6"/>
      <c r="I1881" s="6"/>
      <c r="J1881" s="8"/>
      <c r="K1881" s="6"/>
      <c r="L1881" s="6"/>
      <c r="M1881" s="8"/>
      <c r="N1881" s="8"/>
      <c r="O1881" s="8"/>
      <c r="P1881" s="8"/>
      <c r="Q1881" s="18" t="e">
        <f>(Table1[[#This Row],[A. TÀI SẢN NGẮN HẠN]]-Table1[[#This Row],[I. Nợ ngắn hạn]])/Table1[[#This Row],[TỔNG CỘNG TÀI SẢN]]</f>
        <v>#DIV/0!</v>
      </c>
      <c r="R1881" s="18" t="e">
        <f>Table1[[#This Row],[- LNST chưa phân phối kỳ này]]/Table1[[#This Row],[TỔNG CỘNG TÀI SẢN]]</f>
        <v>#DIV/0!</v>
      </c>
      <c r="S1881" s="21" t="e">
        <f>Table1[[#This Row],[5. Lợi nhuận gộp về bán hàng và cung cấp dịch vụ]]/Table1[[#This Row],[TỔNG CỘNG TÀI SẢN]]</f>
        <v>#DIV/0!</v>
      </c>
      <c r="T188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881" s="23" t="e">
        <f>Table1[[#This Row],[1. Doanh thu bán hàng và cung cấp dịch vụ ]]/Table1[[#This Row],[TỔNG CỘNG TÀI SẢN]]</f>
        <v>#DIV/0!</v>
      </c>
      <c r="V1881" s="23" t="e">
        <f>1.2*Table1[[#This Row],[X1]] + 1.4*Table1[[#This Row],[X2]] + 3.3*Table1[[#This Row],[x3]] + 0.6*Table1[[#This Row],[x4]] + 1*Table1[[#This Row],[x5]]</f>
        <v>#DIV/0!</v>
      </c>
      <c r="W1881" s="23" t="e">
        <f>IF(Table1[[#This Row],[Zscore]]&lt;1.81,1,0)</f>
        <v>#DIV/0!</v>
      </c>
    </row>
    <row r="1882" spans="1:23" x14ac:dyDescent="0.45">
      <c r="A1882" s="7">
        <v>1876</v>
      </c>
      <c r="B1882" s="5" t="s">
        <v>3763</v>
      </c>
      <c r="C1882" s="6" t="s">
        <v>3764</v>
      </c>
      <c r="D1882" s="6" t="s">
        <v>18</v>
      </c>
      <c r="E1882" s="8">
        <v>976219667320</v>
      </c>
      <c r="F1882" s="8">
        <v>723473307418</v>
      </c>
      <c r="G1882" s="8">
        <v>504557680511</v>
      </c>
      <c r="H1882" s="8">
        <v>-1472268355</v>
      </c>
      <c r="I1882" s="6"/>
      <c r="J1882" s="8"/>
      <c r="K1882" s="8">
        <v>519140283214</v>
      </c>
      <c r="L1882" s="6"/>
      <c r="M1882" s="8">
        <v>62288055600</v>
      </c>
      <c r="N1882" s="8">
        <v>57097384300</v>
      </c>
      <c r="O1882" s="8">
        <v>46716041700</v>
      </c>
      <c r="P1882" s="8">
        <v>62288055600</v>
      </c>
      <c r="Q1882" s="18">
        <f>(Table1[[#This Row],[A. TÀI SẢN NGẮN HẠN]]-Table1[[#This Row],[I. Nợ ngắn hạn]])/Table1[[#This Row],[TỔNG CỘNG TÀI SẢN]]</f>
        <v>0.22424832671931874</v>
      </c>
      <c r="R1882" s="18">
        <f>Table1[[#This Row],[- LNST chưa phân phối kỳ này]]/Table1[[#This Row],[TỔNG CỘNG TÀI SẢN]]</f>
        <v>-1.5081322414265577E-3</v>
      </c>
      <c r="S1882" s="21">
        <f>Table1[[#This Row],[5. Lợi nhuận gộp về bán hàng và cung cấp dịch vụ]]/Table1[[#This Row],[TỔNG CỘNG TÀI SẢN]]</f>
        <v>0</v>
      </c>
      <c r="T188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0.10998449965490988</v>
      </c>
      <c r="U1882" s="23">
        <f>Table1[[#This Row],[1. Doanh thu bán hàng và cung cấp dịch vụ ]]/Table1[[#This Row],[TỔNG CỘNG TÀI SẢN]]</f>
        <v>0</v>
      </c>
      <c r="V1882" s="23">
        <f>1.2*Table1[[#This Row],[X1]] + 1.4*Table1[[#This Row],[X2]] + 3.3*Table1[[#This Row],[x3]] + 0.6*Table1[[#This Row],[x4]] + 1*Table1[[#This Row],[x5]]</f>
        <v>0.33297730671813119</v>
      </c>
      <c r="W1882" s="23">
        <f>IF(Table1[[#This Row],[Zscore]]&lt;1.81,1,0)</f>
        <v>1</v>
      </c>
    </row>
    <row r="1883" spans="1:23" ht="26.25" x14ac:dyDescent="0.45">
      <c r="A1883" s="7">
        <v>1877</v>
      </c>
      <c r="B1883" s="5" t="s">
        <v>3765</v>
      </c>
      <c r="C1883" s="6" t="s">
        <v>3766</v>
      </c>
      <c r="D1883" s="6" t="s">
        <v>36</v>
      </c>
      <c r="E1883" s="8">
        <v>38565888712023</v>
      </c>
      <c r="F1883" s="8">
        <v>27017867549496</v>
      </c>
      <c r="G1883" s="8">
        <v>16334874829567</v>
      </c>
      <c r="H1883" s="8">
        <v>1799115002310</v>
      </c>
      <c r="I1883" s="8">
        <v>1809171820578</v>
      </c>
      <c r="J1883" s="8"/>
      <c r="K1883" s="8">
        <v>22356993376306</v>
      </c>
      <c r="L1883" s="8">
        <v>32557946967498</v>
      </c>
      <c r="M1883" s="8">
        <v>14721361732000</v>
      </c>
      <c r="N1883" s="8">
        <v>17541709395700</v>
      </c>
      <c r="O1883" s="8">
        <v>15725090941000</v>
      </c>
      <c r="P1883" s="8">
        <v>15677294312000</v>
      </c>
      <c r="Q1883" s="18">
        <f>(Table1[[#This Row],[A. TÀI SẢN NGẮN HẠN]]-Table1[[#This Row],[I. Nợ ngắn hạn]])/Table1[[#This Row],[TỔNG CỘNG TÀI SẢN]]</f>
        <v>0.27700626322137767</v>
      </c>
      <c r="R1883" s="18">
        <f>Table1[[#This Row],[- LNST chưa phân phối kỳ này]]/Table1[[#This Row],[TỔNG CỘNG TÀI SẢN]]</f>
        <v>4.6650422494973441E-2</v>
      </c>
      <c r="S1883" s="21">
        <f>Table1[[#This Row],[5. Lợi nhuận gộp về bán hàng và cung cấp dịch vụ]]/Table1[[#This Row],[TỔNG CỘNG TÀI SẢN]]</f>
        <v>4.6911192273756334E-2</v>
      </c>
      <c r="T188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0.71191880890581671</v>
      </c>
      <c r="U1883" s="23">
        <f>Table1[[#This Row],[1. Doanh thu bán hàng và cung cấp dịch vụ ]]/Table1[[#This Row],[TỔNG CỘNG TÀI SẢN]]</f>
        <v>0.84421617275859606</v>
      </c>
      <c r="V1883" s="23">
        <f>1.2*Table1[[#This Row],[X1]] + 1.4*Table1[[#This Row],[X2]] + 3.3*Table1[[#This Row],[x3]] + 0.6*Table1[[#This Row],[x4]] + 1*Table1[[#This Row],[x5]]</f>
        <v>1.823892499964098</v>
      </c>
      <c r="W1883" s="23">
        <f>IF(Table1[[#This Row],[Zscore]]&lt;1.81,1,0)</f>
        <v>0</v>
      </c>
    </row>
    <row r="1884" spans="1:23" hidden="1" x14ac:dyDescent="0.45">
      <c r="A1884" s="7">
        <v>1878</v>
      </c>
      <c r="B1884" s="5" t="s">
        <v>3767</v>
      </c>
      <c r="C1884" s="6" t="s">
        <v>3768</v>
      </c>
      <c r="D1884" s="6" t="s">
        <v>13</v>
      </c>
      <c r="E1884" s="6"/>
      <c r="F1884" s="6"/>
      <c r="G1884" s="6"/>
      <c r="H1884" s="6"/>
      <c r="I1884" s="6"/>
      <c r="J1884" s="8"/>
      <c r="K1884" s="6"/>
      <c r="L1884" s="6"/>
      <c r="M1884" s="8"/>
      <c r="N1884" s="8"/>
      <c r="O1884" s="8"/>
      <c r="P1884" s="8"/>
      <c r="Q1884" s="18" t="e">
        <f>(Table1[[#This Row],[A. TÀI SẢN NGẮN HẠN]]-Table1[[#This Row],[I. Nợ ngắn hạn]])/Table1[[#This Row],[TỔNG CỘNG TÀI SẢN]]</f>
        <v>#DIV/0!</v>
      </c>
      <c r="R1884" s="18" t="e">
        <f>Table1[[#This Row],[- LNST chưa phân phối kỳ này]]/Table1[[#This Row],[TỔNG CỘNG TÀI SẢN]]</f>
        <v>#DIV/0!</v>
      </c>
      <c r="S1884" s="21" t="e">
        <f>Table1[[#This Row],[5. Lợi nhuận gộp về bán hàng và cung cấp dịch vụ]]/Table1[[#This Row],[TỔNG CỘNG TÀI SẢN]]</f>
        <v>#DIV/0!</v>
      </c>
      <c r="T188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884" s="23" t="e">
        <f>Table1[[#This Row],[1. Doanh thu bán hàng và cung cấp dịch vụ ]]/Table1[[#This Row],[TỔNG CỘNG TÀI SẢN]]</f>
        <v>#DIV/0!</v>
      </c>
      <c r="V1884" s="23" t="e">
        <f>1.2*Table1[[#This Row],[X1]] + 1.4*Table1[[#This Row],[X2]] + 3.3*Table1[[#This Row],[x3]] + 0.6*Table1[[#This Row],[x4]] + 1*Table1[[#This Row],[x5]]</f>
        <v>#DIV/0!</v>
      </c>
      <c r="W1884" s="23" t="e">
        <f>IF(Table1[[#This Row],[Zscore]]&lt;1.81,1,0)</f>
        <v>#DIV/0!</v>
      </c>
    </row>
    <row r="1885" spans="1:23" hidden="1" x14ac:dyDescent="0.45">
      <c r="A1885" s="7">
        <v>1879</v>
      </c>
      <c r="B1885" s="5" t="s">
        <v>3769</v>
      </c>
      <c r="C1885" s="6" t="s">
        <v>3770</v>
      </c>
      <c r="D1885" s="6" t="s">
        <v>13</v>
      </c>
      <c r="E1885" s="6"/>
      <c r="F1885" s="6"/>
      <c r="G1885" s="6"/>
      <c r="H1885" s="6"/>
      <c r="I1885" s="6"/>
      <c r="J1885" s="8"/>
      <c r="K1885" s="6"/>
      <c r="L1885" s="6"/>
      <c r="M1885" s="8"/>
      <c r="N1885" s="8"/>
      <c r="O1885" s="8"/>
      <c r="P1885" s="8"/>
      <c r="Q1885" s="18" t="e">
        <f>(Table1[[#This Row],[A. TÀI SẢN NGẮN HẠN]]-Table1[[#This Row],[I. Nợ ngắn hạn]])/Table1[[#This Row],[TỔNG CỘNG TÀI SẢN]]</f>
        <v>#DIV/0!</v>
      </c>
      <c r="R1885" s="18" t="e">
        <f>Table1[[#This Row],[- LNST chưa phân phối kỳ này]]/Table1[[#This Row],[TỔNG CỘNG TÀI SẢN]]</f>
        <v>#DIV/0!</v>
      </c>
      <c r="S1885" s="21" t="e">
        <f>Table1[[#This Row],[5. Lợi nhuận gộp về bán hàng và cung cấp dịch vụ]]/Table1[[#This Row],[TỔNG CỘNG TÀI SẢN]]</f>
        <v>#DIV/0!</v>
      </c>
      <c r="T188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885" s="23" t="e">
        <f>Table1[[#This Row],[1. Doanh thu bán hàng và cung cấp dịch vụ ]]/Table1[[#This Row],[TỔNG CỘNG TÀI SẢN]]</f>
        <v>#DIV/0!</v>
      </c>
      <c r="V1885" s="23" t="e">
        <f>1.2*Table1[[#This Row],[X1]] + 1.4*Table1[[#This Row],[X2]] + 3.3*Table1[[#This Row],[x3]] + 0.6*Table1[[#This Row],[x4]] + 1*Table1[[#This Row],[x5]]</f>
        <v>#DIV/0!</v>
      </c>
      <c r="W1885" s="23" t="e">
        <f>IF(Table1[[#This Row],[Zscore]]&lt;1.81,1,0)</f>
        <v>#DIV/0!</v>
      </c>
    </row>
    <row r="1886" spans="1:23" ht="26.25" x14ac:dyDescent="0.45">
      <c r="A1886" s="7">
        <v>1880</v>
      </c>
      <c r="B1886" s="5" t="s">
        <v>3771</v>
      </c>
      <c r="C1886" s="6" t="s">
        <v>3772</v>
      </c>
      <c r="D1886" s="6" t="s">
        <v>21</v>
      </c>
      <c r="E1886" s="8">
        <v>11173678544351</v>
      </c>
      <c r="F1886" s="8">
        <v>2611353158295</v>
      </c>
      <c r="G1886" s="8">
        <v>1551651069674</v>
      </c>
      <c r="H1886" s="8">
        <v>775649820517</v>
      </c>
      <c r="I1886" s="8">
        <v>915473259499</v>
      </c>
      <c r="J1886" s="8"/>
      <c r="K1886" s="8">
        <v>4440937786993</v>
      </c>
      <c r="L1886" s="8">
        <v>3865757013743</v>
      </c>
      <c r="M1886" s="8">
        <v>8811312790500</v>
      </c>
      <c r="N1886" s="8">
        <v>8646734724000</v>
      </c>
      <c r="O1886" s="8">
        <v>6372626220200</v>
      </c>
      <c r="P1886" s="8">
        <v>8529251915250</v>
      </c>
      <c r="Q1886" s="18">
        <f>(Table1[[#This Row],[A. TÀI SẢN NGẮN HẠN]]-Table1[[#This Row],[I. Nợ ngắn hạn]])/Table1[[#This Row],[TỔNG CỘNG TÀI SẢN]]</f>
        <v>9.4839142222929468E-2</v>
      </c>
      <c r="R1886" s="18">
        <f>Table1[[#This Row],[- LNST chưa phân phối kỳ này]]/Table1[[#This Row],[TỔNG CỘNG TÀI SẢN]]</f>
        <v>6.941758861580459E-2</v>
      </c>
      <c r="S1886" s="21">
        <f>Table1[[#This Row],[5. Lợi nhuận gộp về bán hàng và cung cấp dịch vụ]]/Table1[[#This Row],[TỔNG CỘNG TÀI SẢN]]</f>
        <v>8.1931232929716741E-2</v>
      </c>
      <c r="T188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1.8216831220158347</v>
      </c>
      <c r="U1886" s="23">
        <f>Table1[[#This Row],[1. Doanh thu bán hàng và cung cấp dịch vụ ]]/Table1[[#This Row],[TỔNG CỘNG TÀI SẢN]]</f>
        <v>0.34596995057615865</v>
      </c>
      <c r="V1886" s="23">
        <f>1.2*Table1[[#This Row],[X1]] + 1.4*Table1[[#This Row],[X2]] + 3.3*Table1[[#This Row],[x3]] + 0.6*Table1[[#This Row],[x4]] + 1*Table1[[#This Row],[x5]]</f>
        <v>1.9203444871833664</v>
      </c>
      <c r="W1886" s="23">
        <f>IF(Table1[[#This Row],[Zscore]]&lt;1.81,1,0)</f>
        <v>0</v>
      </c>
    </row>
    <row r="1887" spans="1:23" ht="26.25" hidden="1" x14ac:dyDescent="0.45">
      <c r="A1887" s="7">
        <v>1881</v>
      </c>
      <c r="B1887" s="5" t="s">
        <v>3773</v>
      </c>
      <c r="C1887" s="6" t="s">
        <v>3774</v>
      </c>
      <c r="D1887" s="6" t="s">
        <v>13</v>
      </c>
      <c r="E1887" s="6"/>
      <c r="F1887" s="6"/>
      <c r="G1887" s="6"/>
      <c r="H1887" s="6"/>
      <c r="I1887" s="6"/>
      <c r="J1887" s="8"/>
      <c r="K1887" s="6"/>
      <c r="L1887" s="6"/>
      <c r="M1887" s="8"/>
      <c r="N1887" s="8"/>
      <c r="O1887" s="8"/>
      <c r="P1887" s="8"/>
      <c r="Q1887" s="18" t="e">
        <f>(Table1[[#This Row],[A. TÀI SẢN NGẮN HẠN]]-Table1[[#This Row],[I. Nợ ngắn hạn]])/Table1[[#This Row],[TỔNG CỘNG TÀI SẢN]]</f>
        <v>#DIV/0!</v>
      </c>
      <c r="R1887" s="18" t="e">
        <f>Table1[[#This Row],[- LNST chưa phân phối kỳ này]]/Table1[[#This Row],[TỔNG CỘNG TÀI SẢN]]</f>
        <v>#DIV/0!</v>
      </c>
      <c r="S1887" s="21" t="e">
        <f>Table1[[#This Row],[5. Lợi nhuận gộp về bán hàng và cung cấp dịch vụ]]/Table1[[#This Row],[TỔNG CỘNG TÀI SẢN]]</f>
        <v>#DIV/0!</v>
      </c>
      <c r="T188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887" s="23" t="e">
        <f>Table1[[#This Row],[1. Doanh thu bán hàng và cung cấp dịch vụ ]]/Table1[[#This Row],[TỔNG CỘNG TÀI SẢN]]</f>
        <v>#DIV/0!</v>
      </c>
      <c r="V1887" s="23" t="e">
        <f>1.2*Table1[[#This Row],[X1]] + 1.4*Table1[[#This Row],[X2]] + 3.3*Table1[[#This Row],[x3]] + 0.6*Table1[[#This Row],[x4]] + 1*Table1[[#This Row],[x5]]</f>
        <v>#DIV/0!</v>
      </c>
      <c r="W1887" s="23" t="e">
        <f>IF(Table1[[#This Row],[Zscore]]&lt;1.81,1,0)</f>
        <v>#DIV/0!</v>
      </c>
    </row>
    <row r="1888" spans="1:23" x14ac:dyDescent="0.45">
      <c r="A1888" s="7">
        <v>1882</v>
      </c>
      <c r="B1888" s="5" t="s">
        <v>3775</v>
      </c>
      <c r="C1888" s="6" t="s">
        <v>3776</v>
      </c>
      <c r="D1888" s="6" t="s">
        <v>18</v>
      </c>
      <c r="E1888" s="8">
        <v>649575394314</v>
      </c>
      <c r="F1888" s="8">
        <v>576570763884</v>
      </c>
      <c r="G1888" s="8">
        <v>633050541024</v>
      </c>
      <c r="H1888" s="8">
        <v>106413681849</v>
      </c>
      <c r="I1888" s="8">
        <v>673791835</v>
      </c>
      <c r="J1888" s="8"/>
      <c r="K1888" s="8">
        <v>676196840691</v>
      </c>
      <c r="L1888" s="8">
        <v>18382993538</v>
      </c>
      <c r="M1888" s="8">
        <v>39000000000</v>
      </c>
      <c r="N1888" s="8">
        <v>42000000000</v>
      </c>
      <c r="O1888" s="8">
        <v>39000000000</v>
      </c>
      <c r="P1888" s="8">
        <v>45000000000</v>
      </c>
      <c r="Q1888" s="18">
        <f>(Table1[[#This Row],[A. TÀI SẢN NGẮN HẠN]]-Table1[[#This Row],[I. Nợ ngắn hạn]])/Table1[[#This Row],[TỔNG CỘNG TÀI SẢN]]</f>
        <v>-8.6948763198838305E-2</v>
      </c>
      <c r="R1888" s="18">
        <f>Table1[[#This Row],[- LNST chưa phân phối kỳ này]]/Table1[[#This Row],[TỔNG CỘNG TÀI SẢN]]</f>
        <v>0.16382037063054208</v>
      </c>
      <c r="S1888" s="21">
        <f>Table1[[#This Row],[5. Lợi nhuận gộp về bán hàng và cung cấp dịch vụ]]/Table1[[#This Row],[TỔNG CỘNG TÀI SẢN]]</f>
        <v>1.0372804156345459E-3</v>
      </c>
      <c r="T188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6.100294694936309E-2</v>
      </c>
      <c r="U1888" s="23">
        <f>Table1[[#This Row],[1. Doanh thu bán hàng và cung cấp dịch vụ ]]/Table1[[#This Row],[TỔNG CỘNG TÀI SẢN]]</f>
        <v>2.830001520826356E-2</v>
      </c>
      <c r="V1888" s="23">
        <f>1.2*Table1[[#This Row],[X1]] + 1.4*Table1[[#This Row],[X2]] + 3.3*Table1[[#This Row],[x3]] + 0.6*Table1[[#This Row],[x4]] + 1*Table1[[#This Row],[x5]]</f>
        <v>0.19333481179362835</v>
      </c>
      <c r="W1888" s="23">
        <f>IF(Table1[[#This Row],[Zscore]]&lt;1.81,1,0)</f>
        <v>1</v>
      </c>
    </row>
    <row r="1889" spans="1:23" ht="26.25" x14ac:dyDescent="0.45">
      <c r="A1889" s="7">
        <v>1883</v>
      </c>
      <c r="B1889" s="5" t="s">
        <v>3777</v>
      </c>
      <c r="C1889" s="6" t="s">
        <v>3778</v>
      </c>
      <c r="D1889" s="6" t="s">
        <v>18</v>
      </c>
      <c r="E1889" s="8">
        <v>6099014838236</v>
      </c>
      <c r="F1889" s="8">
        <v>3967451984403</v>
      </c>
      <c r="G1889" s="8">
        <v>5435250135188</v>
      </c>
      <c r="H1889" s="8">
        <v>-4071433394</v>
      </c>
      <c r="I1889" s="8">
        <v>129238581088</v>
      </c>
      <c r="J1889" s="8"/>
      <c r="K1889" s="8">
        <v>5615125860919</v>
      </c>
      <c r="L1889" s="8">
        <v>2210908858733</v>
      </c>
      <c r="M1889" s="8">
        <v>719994652200</v>
      </c>
      <c r="N1889" s="8">
        <v>679994913600</v>
      </c>
      <c r="O1889" s="8">
        <v>639995212800</v>
      </c>
      <c r="P1889" s="8">
        <v>719994614400</v>
      </c>
      <c r="Q1889" s="18">
        <f>(Table1[[#This Row],[A. TÀI SẢN NGẮN HẠN]]-Table1[[#This Row],[I. Nợ ngắn hạn]])/Table1[[#This Row],[TỔNG CỘNG TÀI SẢN]]</f>
        <v>-0.24066151496846119</v>
      </c>
      <c r="R1889" s="18">
        <f>Table1[[#This Row],[- LNST chưa phân phối kỳ này]]/Table1[[#This Row],[TỔNG CỘNG TÀI SẢN]]</f>
        <v>-6.6755590894374158E-4</v>
      </c>
      <c r="S1889" s="21">
        <f>Table1[[#This Row],[5. Lợi nhuận gộp về bán hàng và cung cấp dịch vụ]]/Table1[[#This Row],[TỔNG CỘNG TÀI SẢN]]</f>
        <v>2.1190074875334995E-2</v>
      </c>
      <c r="T188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0.12288145721760757</v>
      </c>
      <c r="U1889" s="23">
        <f>Table1[[#This Row],[1. Doanh thu bán hàng và cung cấp dịch vụ ]]/Table1[[#This Row],[TỔNG CỘNG TÀI SẢN]]</f>
        <v>0.3625026200743684</v>
      </c>
      <c r="V1889" s="23">
        <f>1.2*Table1[[#This Row],[X1]] + 1.4*Table1[[#This Row],[X2]] + 3.3*Table1[[#This Row],[x3]] + 0.6*Table1[[#This Row],[x4]] + 1*Table1[[#This Row],[x5]]</f>
        <v>0.21643034525886373</v>
      </c>
      <c r="W1889" s="23">
        <f>IF(Table1[[#This Row],[Zscore]]&lt;1.81,1,0)</f>
        <v>1</v>
      </c>
    </row>
    <row r="1890" spans="1:23" x14ac:dyDescent="0.45">
      <c r="A1890" s="7">
        <v>1884</v>
      </c>
      <c r="B1890" s="5" t="s">
        <v>3779</v>
      </c>
      <c r="C1890" s="6" t="s">
        <v>3780</v>
      </c>
      <c r="D1890" s="6" t="s">
        <v>18</v>
      </c>
      <c r="E1890" s="8">
        <v>1217439155138</v>
      </c>
      <c r="F1890" s="8">
        <v>780495757534</v>
      </c>
      <c r="G1890" s="8">
        <v>1644381713719</v>
      </c>
      <c r="H1890" s="8">
        <v>472898934</v>
      </c>
      <c r="I1890" s="8">
        <v>66575868413</v>
      </c>
      <c r="J1890" s="8"/>
      <c r="K1890" s="8">
        <v>1710582229088</v>
      </c>
      <c r="L1890" s="8">
        <v>1289963514434</v>
      </c>
      <c r="M1890" s="8">
        <v>142775488800</v>
      </c>
      <c r="N1890" s="8">
        <v>113030595300</v>
      </c>
      <c r="O1890" s="8">
        <v>142775488800</v>
      </c>
      <c r="P1890" s="8">
        <v>113030595300</v>
      </c>
      <c r="Q1890" s="18">
        <f>(Table1[[#This Row],[A. TÀI SẢN NGẮN HẠN]]-Table1[[#This Row],[I. Nợ ngắn hạn]])/Table1[[#This Row],[TỔNG CỘNG TÀI SẢN]]</f>
        <v>-0.70959271561056059</v>
      </c>
      <c r="R1890" s="18">
        <f>Table1[[#This Row],[- LNST chưa phân phối kỳ này]]/Table1[[#This Row],[TỔNG CỘNG TÀI SẢN]]</f>
        <v>3.8843742786176088E-4</v>
      </c>
      <c r="S1890" s="21">
        <f>Table1[[#This Row],[5. Lợi nhuận gộp về bán hàng và cung cấp dịch vụ]]/Table1[[#This Row],[TỔNG CỘNG TÀI SẢN]]</f>
        <v>5.4685171026434949E-2</v>
      </c>
      <c r="T189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7.4771642002963948E-2</v>
      </c>
      <c r="U1890" s="23">
        <f>Table1[[#This Row],[1. Doanh thu bán hàng và cung cấp dịch vụ ]]/Table1[[#This Row],[TỔNG CỘNG TÀI SẢN]]</f>
        <v>1.0595712393427819</v>
      </c>
      <c r="V1890" s="23">
        <f>1.2*Table1[[#This Row],[X1]] + 1.4*Table1[[#This Row],[X2]] + 3.3*Table1[[#This Row],[x3]] + 0.6*Table1[[#This Row],[x4]] + 1*Table1[[#This Row],[x5]]</f>
        <v>0.43392784259812933</v>
      </c>
      <c r="W1890" s="23">
        <f>IF(Table1[[#This Row],[Zscore]]&lt;1.81,1,0)</f>
        <v>1</v>
      </c>
    </row>
    <row r="1891" spans="1:23" hidden="1" x14ac:dyDescent="0.45">
      <c r="A1891" s="7">
        <v>1885</v>
      </c>
      <c r="B1891" s="5" t="s">
        <v>3781</v>
      </c>
      <c r="C1891" s="6" t="s">
        <v>3782</v>
      </c>
      <c r="D1891" s="6" t="s">
        <v>18</v>
      </c>
      <c r="E1891" s="8">
        <v>199403575899</v>
      </c>
      <c r="F1891" s="8">
        <v>148032592863</v>
      </c>
      <c r="G1891" s="8">
        <v>101087185427</v>
      </c>
      <c r="H1891" s="8">
        <v>3856415170</v>
      </c>
      <c r="I1891" s="8">
        <v>14908965327</v>
      </c>
      <c r="J1891" s="8"/>
      <c r="K1891" s="8">
        <v>122544416465</v>
      </c>
      <c r="L1891" s="8">
        <v>25086817503</v>
      </c>
      <c r="M1891" s="8"/>
      <c r="N1891" s="8"/>
      <c r="O1891" s="8"/>
      <c r="P1891" s="8"/>
      <c r="Q1891" s="18">
        <f>(Table1[[#This Row],[A. TÀI SẢN NGẮN HẠN]]-Table1[[#This Row],[I. Nợ ngắn hạn]])/Table1[[#This Row],[TỔNG CỘNG TÀI SẢN]]</f>
        <v>0.23542911517182791</v>
      </c>
      <c r="R1891" s="18">
        <f>Table1[[#This Row],[- LNST chưa phân phối kỳ này]]/Table1[[#This Row],[TỔNG CỘNG TÀI SẢN]]</f>
        <v>1.933974931298782E-2</v>
      </c>
      <c r="S1891" s="21">
        <f>Table1[[#This Row],[5. Lợi nhuận gộp về bán hàng và cung cấp dịch vụ]]/Table1[[#This Row],[TỔNG CỘNG TÀI SẢN]]</f>
        <v>7.4767793204227925E-2</v>
      </c>
      <c r="T189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891" s="23">
        <f>Table1[[#This Row],[1. Doanh thu bán hàng và cung cấp dịch vụ ]]/Table1[[#This Row],[TỔNG CỘNG TÀI SẢN]]</f>
        <v>0.12580926590657901</v>
      </c>
      <c r="V1891" s="23" t="e">
        <f>1.2*Table1[[#This Row],[X1]] + 1.4*Table1[[#This Row],[X2]] + 3.3*Table1[[#This Row],[x3]] + 0.6*Table1[[#This Row],[x4]] + 1*Table1[[#This Row],[x5]]</f>
        <v>#DIV/0!</v>
      </c>
      <c r="W1891" s="23" t="e">
        <f>IF(Table1[[#This Row],[Zscore]]&lt;1.81,1,0)</f>
        <v>#DIV/0!</v>
      </c>
    </row>
    <row r="1892" spans="1:23" x14ac:dyDescent="0.45">
      <c r="A1892" s="7">
        <v>1886</v>
      </c>
      <c r="B1892" s="5" t="s">
        <v>3783</v>
      </c>
      <c r="C1892" s="6" t="s">
        <v>3784</v>
      </c>
      <c r="D1892" s="6" t="s">
        <v>18</v>
      </c>
      <c r="E1892" s="8">
        <v>477242646437</v>
      </c>
      <c r="F1892" s="8">
        <v>95016599781</v>
      </c>
      <c r="G1892" s="8">
        <v>27088777164</v>
      </c>
      <c r="H1892" s="8">
        <v>22623012802</v>
      </c>
      <c r="I1892" s="8">
        <v>59834215641</v>
      </c>
      <c r="J1892" s="8"/>
      <c r="K1892" s="8">
        <v>46924226909</v>
      </c>
      <c r="L1892" s="8">
        <v>133643815949</v>
      </c>
      <c r="M1892" s="8">
        <v>491053811200</v>
      </c>
      <c r="N1892" s="8">
        <v>460362948000</v>
      </c>
      <c r="O1892" s="8">
        <v>487217453300</v>
      </c>
      <c r="P1892" s="8">
        <v>537090106000</v>
      </c>
      <c r="Q1892" s="18">
        <f>(Table1[[#This Row],[A. TÀI SẢN NGẮN HẠN]]-Table1[[#This Row],[I. Nợ ngắn hạn]])/Table1[[#This Row],[TỔNG CỘNG TÀI SẢN]]</f>
        <v>0.14233393248515364</v>
      </c>
      <c r="R1892" s="18">
        <f>Table1[[#This Row],[- LNST chưa phân phối kỳ này]]/Table1[[#This Row],[TỔNG CỘNG TÀI SẢN]]</f>
        <v>4.7403585934532415E-2</v>
      </c>
      <c r="S1892" s="21">
        <f>Table1[[#This Row],[5. Lợi nhuận gộp về bán hàng và cung cấp dịch vụ]]/Table1[[#This Row],[TỔNG CỘNG TÀI SẢN]]</f>
        <v>0.1253748299480579</v>
      </c>
      <c r="T189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10.526142083978899</v>
      </c>
      <c r="U1892" s="23">
        <f>Table1[[#This Row],[1. Doanh thu bán hàng và cung cấp dịch vụ ]]/Table1[[#This Row],[TỔNG CỘNG TÀI SẢN]]</f>
        <v>0.28003326388946698</v>
      </c>
      <c r="V1892" s="23">
        <f>1.2*Table1[[#This Row],[X1]] + 1.4*Table1[[#This Row],[X2]] + 3.3*Table1[[#This Row],[x3]] + 0.6*Table1[[#This Row],[x4]] + 1*Table1[[#This Row],[x5]]</f>
        <v>7.2466211923959269</v>
      </c>
      <c r="W1892" s="23">
        <f>IF(Table1[[#This Row],[Zscore]]&lt;1.81,1,0)</f>
        <v>0</v>
      </c>
    </row>
    <row r="1893" spans="1:23" hidden="1" x14ac:dyDescent="0.45">
      <c r="A1893" s="7">
        <v>1887</v>
      </c>
      <c r="B1893" s="5" t="s">
        <v>3785</v>
      </c>
      <c r="C1893" s="6" t="s">
        <v>3786</v>
      </c>
      <c r="D1893" s="6" t="s">
        <v>18</v>
      </c>
      <c r="E1893" s="6"/>
      <c r="F1893" s="6"/>
      <c r="G1893" s="6"/>
      <c r="H1893" s="6"/>
      <c r="I1893" s="6"/>
      <c r="J1893" s="8"/>
      <c r="K1893" s="6"/>
      <c r="L1893" s="6"/>
      <c r="M1893" s="8"/>
      <c r="N1893" s="8"/>
      <c r="O1893" s="8"/>
      <c r="P1893" s="8"/>
      <c r="Q1893" s="18" t="e">
        <f>(Table1[[#This Row],[A. TÀI SẢN NGẮN HẠN]]-Table1[[#This Row],[I. Nợ ngắn hạn]])/Table1[[#This Row],[TỔNG CỘNG TÀI SẢN]]</f>
        <v>#DIV/0!</v>
      </c>
      <c r="R1893" s="18" t="e">
        <f>Table1[[#This Row],[- LNST chưa phân phối kỳ này]]/Table1[[#This Row],[TỔNG CỘNG TÀI SẢN]]</f>
        <v>#DIV/0!</v>
      </c>
      <c r="S1893" s="21" t="e">
        <f>Table1[[#This Row],[5. Lợi nhuận gộp về bán hàng và cung cấp dịch vụ]]/Table1[[#This Row],[TỔNG CỘNG TÀI SẢN]]</f>
        <v>#DIV/0!</v>
      </c>
      <c r="T189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893" s="23" t="e">
        <f>Table1[[#This Row],[1. Doanh thu bán hàng và cung cấp dịch vụ ]]/Table1[[#This Row],[TỔNG CỘNG TÀI SẢN]]</f>
        <v>#DIV/0!</v>
      </c>
      <c r="V1893" s="23" t="e">
        <f>1.2*Table1[[#This Row],[X1]] + 1.4*Table1[[#This Row],[X2]] + 3.3*Table1[[#This Row],[x3]] + 0.6*Table1[[#This Row],[x4]] + 1*Table1[[#This Row],[x5]]</f>
        <v>#DIV/0!</v>
      </c>
      <c r="W1893" s="23" t="e">
        <f>IF(Table1[[#This Row],[Zscore]]&lt;1.81,1,0)</f>
        <v>#DIV/0!</v>
      </c>
    </row>
    <row r="1894" spans="1:23" ht="26.25" x14ac:dyDescent="0.45">
      <c r="A1894" s="7">
        <v>1888</v>
      </c>
      <c r="B1894" s="5" t="s">
        <v>3787</v>
      </c>
      <c r="C1894" s="6" t="s">
        <v>3788</v>
      </c>
      <c r="D1894" s="6" t="s">
        <v>18</v>
      </c>
      <c r="E1894" s="8">
        <v>179513418291</v>
      </c>
      <c r="F1894" s="8">
        <v>105812988709</v>
      </c>
      <c r="G1894" s="8">
        <v>162026636878</v>
      </c>
      <c r="H1894" s="8">
        <v>-96242783416</v>
      </c>
      <c r="I1894" s="8">
        <v>11437350582</v>
      </c>
      <c r="J1894" s="8"/>
      <c r="K1894" s="8">
        <v>148966921681</v>
      </c>
      <c r="L1894" s="8">
        <v>54873584678</v>
      </c>
      <c r="M1894" s="8">
        <v>15000000000</v>
      </c>
      <c r="N1894" s="8">
        <v>12000000000</v>
      </c>
      <c r="O1894" s="8">
        <v>9000000000</v>
      </c>
      <c r="P1894" s="8">
        <v>12000000000</v>
      </c>
      <c r="Q1894" s="18">
        <f>(Table1[[#This Row],[A. TÀI SẢN NGẮN HẠN]]-Table1[[#This Row],[I. Nợ ngắn hạn]])/Table1[[#This Row],[TỔNG CỘNG TÀI SẢN]]</f>
        <v>-0.31314454765645949</v>
      </c>
      <c r="R1894" s="18">
        <f>Table1[[#This Row],[- LNST chưa phân phối kỳ này]]/Table1[[#This Row],[TỔNG CỘNG TÀI SẢN]]</f>
        <v>-0.5361314175410874</v>
      </c>
      <c r="S1894" s="21">
        <f>Table1[[#This Row],[5. Lợi nhuận gộp về bán hàng và cung cấp dịch vụ]]/Table1[[#This Row],[TỔNG CỘNG TÀI SẢN]]</f>
        <v>6.3713067752180497E-2</v>
      </c>
      <c r="T189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8.0554796088872532E-2</v>
      </c>
      <c r="U1894" s="23">
        <f>Table1[[#This Row],[1. Doanh thu bán hàng và cung cấp dịch vụ ]]/Table1[[#This Row],[TỔNG CỘNG TÀI SẢN]]</f>
        <v>0.30567957092236553</v>
      </c>
      <c r="V1894" s="23">
        <f>1.2*Table1[[#This Row],[X1]] + 1.4*Table1[[#This Row],[X2]] + 3.3*Table1[[#This Row],[x3]] + 0.6*Table1[[#This Row],[x4]] + 1*Table1[[#This Row],[x5]]</f>
        <v>-0.5620918695873891</v>
      </c>
      <c r="W1894" s="23">
        <f>IF(Table1[[#This Row],[Zscore]]&lt;1.81,1,0)</f>
        <v>1</v>
      </c>
    </row>
    <row r="1895" spans="1:23" hidden="1" x14ac:dyDescent="0.45">
      <c r="A1895" s="7">
        <v>1889</v>
      </c>
      <c r="B1895" s="5" t="s">
        <v>3789</v>
      </c>
      <c r="C1895" s="6" t="s">
        <v>3790</v>
      </c>
      <c r="D1895" s="6" t="s">
        <v>13</v>
      </c>
      <c r="E1895" s="6"/>
      <c r="F1895" s="6"/>
      <c r="G1895" s="6"/>
      <c r="H1895" s="6"/>
      <c r="I1895" s="6"/>
      <c r="J1895" s="8"/>
      <c r="K1895" s="6"/>
      <c r="L1895" s="6"/>
      <c r="M1895" s="8"/>
      <c r="N1895" s="8"/>
      <c r="O1895" s="8"/>
      <c r="P1895" s="8"/>
      <c r="Q1895" s="18" t="e">
        <f>(Table1[[#This Row],[A. TÀI SẢN NGẮN HẠN]]-Table1[[#This Row],[I. Nợ ngắn hạn]])/Table1[[#This Row],[TỔNG CỘNG TÀI SẢN]]</f>
        <v>#DIV/0!</v>
      </c>
      <c r="R1895" s="18" t="e">
        <f>Table1[[#This Row],[- LNST chưa phân phối kỳ này]]/Table1[[#This Row],[TỔNG CỘNG TÀI SẢN]]</f>
        <v>#DIV/0!</v>
      </c>
      <c r="S1895" s="21" t="e">
        <f>Table1[[#This Row],[5. Lợi nhuận gộp về bán hàng và cung cấp dịch vụ]]/Table1[[#This Row],[TỔNG CỘNG TÀI SẢN]]</f>
        <v>#DIV/0!</v>
      </c>
      <c r="T189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895" s="23" t="e">
        <f>Table1[[#This Row],[1. Doanh thu bán hàng và cung cấp dịch vụ ]]/Table1[[#This Row],[TỔNG CỘNG TÀI SẢN]]</f>
        <v>#DIV/0!</v>
      </c>
      <c r="V1895" s="23" t="e">
        <f>1.2*Table1[[#This Row],[X1]] + 1.4*Table1[[#This Row],[X2]] + 3.3*Table1[[#This Row],[x3]] + 0.6*Table1[[#This Row],[x4]] + 1*Table1[[#This Row],[x5]]</f>
        <v>#DIV/0!</v>
      </c>
      <c r="W1895" s="23" t="e">
        <f>IF(Table1[[#This Row],[Zscore]]&lt;1.81,1,0)</f>
        <v>#DIV/0!</v>
      </c>
    </row>
    <row r="1896" spans="1:23" hidden="1" x14ac:dyDescent="0.45">
      <c r="A1896" s="7">
        <v>1890</v>
      </c>
      <c r="B1896" s="5" t="s">
        <v>3791</v>
      </c>
      <c r="C1896" s="6" t="s">
        <v>3792</v>
      </c>
      <c r="D1896" s="6" t="s">
        <v>13</v>
      </c>
      <c r="E1896" s="6"/>
      <c r="F1896" s="6"/>
      <c r="G1896" s="6"/>
      <c r="H1896" s="6"/>
      <c r="I1896" s="6"/>
      <c r="J1896" s="8"/>
      <c r="K1896" s="6"/>
      <c r="L1896" s="6"/>
      <c r="M1896" s="8"/>
      <c r="N1896" s="8"/>
      <c r="O1896" s="8"/>
      <c r="P1896" s="8"/>
      <c r="Q1896" s="18" t="e">
        <f>(Table1[[#This Row],[A. TÀI SẢN NGẮN HẠN]]-Table1[[#This Row],[I. Nợ ngắn hạn]])/Table1[[#This Row],[TỔNG CỘNG TÀI SẢN]]</f>
        <v>#DIV/0!</v>
      </c>
      <c r="R1896" s="18" t="e">
        <f>Table1[[#This Row],[- LNST chưa phân phối kỳ này]]/Table1[[#This Row],[TỔNG CỘNG TÀI SẢN]]</f>
        <v>#DIV/0!</v>
      </c>
      <c r="S1896" s="21" t="e">
        <f>Table1[[#This Row],[5. Lợi nhuận gộp về bán hàng và cung cấp dịch vụ]]/Table1[[#This Row],[TỔNG CỘNG TÀI SẢN]]</f>
        <v>#DIV/0!</v>
      </c>
      <c r="T189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896" s="23" t="e">
        <f>Table1[[#This Row],[1. Doanh thu bán hàng và cung cấp dịch vụ ]]/Table1[[#This Row],[TỔNG CỘNG TÀI SẢN]]</f>
        <v>#DIV/0!</v>
      </c>
      <c r="V1896" s="23" t="e">
        <f>1.2*Table1[[#This Row],[X1]] + 1.4*Table1[[#This Row],[X2]] + 3.3*Table1[[#This Row],[x3]] + 0.6*Table1[[#This Row],[x4]] + 1*Table1[[#This Row],[x5]]</f>
        <v>#DIV/0!</v>
      </c>
      <c r="W1896" s="23" t="e">
        <f>IF(Table1[[#This Row],[Zscore]]&lt;1.81,1,0)</f>
        <v>#DIV/0!</v>
      </c>
    </row>
    <row r="1897" spans="1:23" ht="26.25" x14ac:dyDescent="0.45">
      <c r="A1897" s="7">
        <v>1891</v>
      </c>
      <c r="B1897" s="5" t="s">
        <v>3793</v>
      </c>
      <c r="C1897" s="6" t="s">
        <v>3794</v>
      </c>
      <c r="D1897" s="6" t="s">
        <v>18</v>
      </c>
      <c r="E1897" s="8">
        <v>291936755071</v>
      </c>
      <c r="F1897" s="8">
        <v>277249233265</v>
      </c>
      <c r="G1897" s="8">
        <v>154968461752</v>
      </c>
      <c r="H1897" s="8">
        <v>503533473</v>
      </c>
      <c r="I1897" s="8">
        <v>667887480</v>
      </c>
      <c r="J1897" s="8"/>
      <c r="K1897" s="8">
        <v>154968461752</v>
      </c>
      <c r="L1897" s="8">
        <v>14512340983</v>
      </c>
      <c r="M1897" s="8">
        <v>60000000000</v>
      </c>
      <c r="N1897" s="8">
        <v>33000000000</v>
      </c>
      <c r="O1897" s="8">
        <v>42000000000</v>
      </c>
      <c r="P1897" s="8">
        <v>39000000000</v>
      </c>
      <c r="Q1897" s="18">
        <f>(Table1[[#This Row],[A. TÀI SẢN NGẮN HẠN]]-Table1[[#This Row],[I. Nợ ngắn hạn]])/Table1[[#This Row],[TỔNG CỘNG TÀI SẢN]]</f>
        <v>0.4188604873794014</v>
      </c>
      <c r="R1897" s="18">
        <f>Table1[[#This Row],[- LNST chưa phân phối kỳ này]]/Table1[[#This Row],[TỔNG CỘNG TÀI SẢN]]</f>
        <v>1.7248032810309856E-3</v>
      </c>
      <c r="S1897" s="21">
        <f>Table1[[#This Row],[5. Lợi nhuận gộp về bán hàng và cung cấp dịch vụ]]/Table1[[#This Row],[TỔNG CỘNG TÀI SẢN]]</f>
        <v>2.2877814060705288E-3</v>
      </c>
      <c r="T189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0.28070227650329371</v>
      </c>
      <c r="U1897" s="23">
        <f>Table1[[#This Row],[1. Doanh thu bán hàng và cung cấp dịch vụ ]]/Table1[[#This Row],[TỔNG CỘNG TÀI SẢN]]</f>
        <v>4.9710564808705053E-2</v>
      </c>
      <c r="V1897" s="23">
        <f>1.2*Table1[[#This Row],[X1]] + 1.4*Table1[[#This Row],[X2]] + 3.3*Table1[[#This Row],[x3]] + 0.6*Table1[[#This Row],[x4]] + 1*Table1[[#This Row],[x5]]</f>
        <v>0.73072891879943902</v>
      </c>
      <c r="W1897" s="23">
        <f>IF(Table1[[#This Row],[Zscore]]&lt;1.81,1,0)</f>
        <v>1</v>
      </c>
    </row>
    <row r="1898" spans="1:23" ht="26.25" hidden="1" x14ac:dyDescent="0.45">
      <c r="A1898" s="7">
        <v>1892</v>
      </c>
      <c r="B1898" s="5" t="s">
        <v>3795</v>
      </c>
      <c r="C1898" s="6" t="s">
        <v>3796</v>
      </c>
      <c r="D1898" s="6" t="s">
        <v>13</v>
      </c>
      <c r="E1898" s="6"/>
      <c r="F1898" s="6"/>
      <c r="G1898" s="6"/>
      <c r="H1898" s="6"/>
      <c r="I1898" s="6"/>
      <c r="J1898" s="8"/>
      <c r="K1898" s="6"/>
      <c r="L1898" s="6"/>
      <c r="M1898" s="8"/>
      <c r="N1898" s="8"/>
      <c r="O1898" s="8"/>
      <c r="P1898" s="8"/>
      <c r="Q1898" s="18" t="e">
        <f>(Table1[[#This Row],[A. TÀI SẢN NGẮN HẠN]]-Table1[[#This Row],[I. Nợ ngắn hạn]])/Table1[[#This Row],[TỔNG CỘNG TÀI SẢN]]</f>
        <v>#DIV/0!</v>
      </c>
      <c r="R1898" s="18" t="e">
        <f>Table1[[#This Row],[- LNST chưa phân phối kỳ này]]/Table1[[#This Row],[TỔNG CỘNG TÀI SẢN]]</f>
        <v>#DIV/0!</v>
      </c>
      <c r="S1898" s="21" t="e">
        <f>Table1[[#This Row],[5. Lợi nhuận gộp về bán hàng và cung cấp dịch vụ]]/Table1[[#This Row],[TỔNG CỘNG TÀI SẢN]]</f>
        <v>#DIV/0!</v>
      </c>
      <c r="T189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898" s="23" t="e">
        <f>Table1[[#This Row],[1. Doanh thu bán hàng và cung cấp dịch vụ ]]/Table1[[#This Row],[TỔNG CỘNG TÀI SẢN]]</f>
        <v>#DIV/0!</v>
      </c>
      <c r="V1898" s="23" t="e">
        <f>1.2*Table1[[#This Row],[X1]] + 1.4*Table1[[#This Row],[X2]] + 3.3*Table1[[#This Row],[x3]] + 0.6*Table1[[#This Row],[x4]] + 1*Table1[[#This Row],[x5]]</f>
        <v>#DIV/0!</v>
      </c>
      <c r="W1898" s="23" t="e">
        <f>IF(Table1[[#This Row],[Zscore]]&lt;1.81,1,0)</f>
        <v>#DIV/0!</v>
      </c>
    </row>
    <row r="1899" spans="1:23" ht="26.25" x14ac:dyDescent="0.45">
      <c r="A1899" s="7">
        <v>1893</v>
      </c>
      <c r="B1899" s="5" t="s">
        <v>3797</v>
      </c>
      <c r="C1899" s="6" t="s">
        <v>3798</v>
      </c>
      <c r="D1899" s="6" t="s">
        <v>18</v>
      </c>
      <c r="E1899" s="8">
        <v>1813925990825</v>
      </c>
      <c r="F1899" s="8">
        <v>1411905741146</v>
      </c>
      <c r="G1899" s="8">
        <v>53242709960</v>
      </c>
      <c r="H1899" s="8">
        <v>952949539</v>
      </c>
      <c r="I1899" s="8">
        <v>5519732843</v>
      </c>
      <c r="J1899" s="8"/>
      <c r="K1899" s="8">
        <v>53242709960</v>
      </c>
      <c r="L1899" s="8">
        <v>11260765034</v>
      </c>
      <c r="M1899" s="8">
        <v>1230358738800</v>
      </c>
      <c r="N1899" s="8">
        <v>2727964350000</v>
      </c>
      <c r="O1899" s="8">
        <v>2199971250000</v>
      </c>
      <c r="P1899" s="8">
        <v>2798363430000</v>
      </c>
      <c r="Q1899" s="18">
        <f>(Table1[[#This Row],[A. TÀI SẢN NGẮN HẠN]]-Table1[[#This Row],[I. Nợ ngắn hạn]])/Table1[[#This Row],[TỔNG CỘNG TÀI SẢN]]</f>
        <v>0.74901789712382927</v>
      </c>
      <c r="R1899" s="18">
        <f>Table1[[#This Row],[- LNST chưa phân phối kỳ này]]/Table1[[#This Row],[TỔNG CỘNG TÀI SẢN]]</f>
        <v>5.253519403879232E-4</v>
      </c>
      <c r="S1899" s="21">
        <f>Table1[[#This Row],[5. Lợi nhuận gộp về bán hàng và cung cấp dịch vụ]]/Table1[[#This Row],[TỔNG CỘNG TÀI SẢN]]</f>
        <v>3.0429757723960641E-3</v>
      </c>
      <c r="T189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42.055794002263063</v>
      </c>
      <c r="U1899" s="23">
        <f>Table1[[#This Row],[1. Doanh thu bán hàng và cung cấp dịch vụ ]]/Table1[[#This Row],[TỔNG CỘNG TÀI SẢN]]</f>
        <v>6.2079517526944083E-3</v>
      </c>
      <c r="V1899" s="23">
        <f>1.2*Table1[[#This Row],[X1]] + 1.4*Table1[[#This Row],[X2]] + 3.3*Table1[[#This Row],[x3]] + 0.6*Table1[[#This Row],[x4]] + 1*Table1[[#This Row],[x5]]</f>
        <v>26.149283142424579</v>
      </c>
      <c r="W1899" s="23">
        <f>IF(Table1[[#This Row],[Zscore]]&lt;1.81,1,0)</f>
        <v>0</v>
      </c>
    </row>
    <row r="1900" spans="1:23" x14ac:dyDescent="0.45">
      <c r="A1900" s="7">
        <v>1894</v>
      </c>
      <c r="B1900" s="5" t="s">
        <v>3799</v>
      </c>
      <c r="C1900" s="6" t="s">
        <v>3800</v>
      </c>
      <c r="D1900" s="6" t="s">
        <v>18</v>
      </c>
      <c r="E1900" s="8">
        <v>40078039048</v>
      </c>
      <c r="F1900" s="8">
        <v>39372973096</v>
      </c>
      <c r="G1900" s="8">
        <v>545045810626</v>
      </c>
      <c r="H1900" s="8">
        <v>-19461990397</v>
      </c>
      <c r="I1900" s="8">
        <v>130375399</v>
      </c>
      <c r="J1900" s="8"/>
      <c r="K1900" s="8">
        <v>545045810626</v>
      </c>
      <c r="L1900" s="8">
        <v>637440740</v>
      </c>
      <c r="M1900" s="8">
        <v>9000000000</v>
      </c>
      <c r="N1900" s="8">
        <v>6000000000</v>
      </c>
      <c r="O1900" s="8">
        <v>7500000000</v>
      </c>
      <c r="P1900" s="8">
        <v>9000000000</v>
      </c>
      <c r="Q1900" s="18">
        <f>(Table1[[#This Row],[A. TÀI SẢN NGẮN HẠN]]-Table1[[#This Row],[I. Nợ ngắn hạn]])/Table1[[#This Row],[TỔNG CỘNG TÀI SẢN]]</f>
        <v>-12.617205071445092</v>
      </c>
      <c r="R1900" s="18">
        <f>Table1[[#This Row],[- LNST chưa phân phối kỳ này]]/Table1[[#This Row],[TỔNG CỘNG TÀI SẢN]]</f>
        <v>-0.48560236127548773</v>
      </c>
      <c r="S1900" s="21">
        <f>Table1[[#This Row],[5. Lợi nhuận gộp về bán hàng và cung cấp dịch vụ]]/Table1[[#This Row],[TỔNG CỘNG TÀI SẢN]]</f>
        <v>3.2530383745535594E-3</v>
      </c>
      <c r="T190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1.4448326813034941E-2</v>
      </c>
      <c r="U1900" s="23">
        <f>Table1[[#This Row],[1. Doanh thu bán hàng và cung cấp dịch vụ ]]/Table1[[#This Row],[TỔNG CỘNG TÀI SẢN]]</f>
        <v>1.5904988246469857E-2</v>
      </c>
      <c r="V1900" s="23">
        <f>1.2*Table1[[#This Row],[X1]] + 1.4*Table1[[#This Row],[X2]] + 3.3*Table1[[#This Row],[x3]] + 0.6*Table1[[#This Row],[x4]] + 1*Table1[[#This Row],[x5]]</f>
        <v>-15.785180380549475</v>
      </c>
      <c r="W1900" s="23">
        <f>IF(Table1[[#This Row],[Zscore]]&lt;1.81,1,0)</f>
        <v>1</v>
      </c>
    </row>
    <row r="1901" spans="1:23" ht="26.25" x14ac:dyDescent="0.45">
      <c r="A1901" s="7">
        <v>1895</v>
      </c>
      <c r="B1901" s="5" t="s">
        <v>3801</v>
      </c>
      <c r="C1901" s="6" t="s">
        <v>3802</v>
      </c>
      <c r="D1901" s="6" t="s">
        <v>18</v>
      </c>
      <c r="E1901" s="8">
        <v>984511355313</v>
      </c>
      <c r="F1901" s="8">
        <v>522273255451</v>
      </c>
      <c r="G1901" s="8">
        <v>888974480173</v>
      </c>
      <c r="H1901" s="8">
        <v>14770086886</v>
      </c>
      <c r="I1901" s="8">
        <v>55187926617</v>
      </c>
      <c r="J1901" s="8"/>
      <c r="K1901" s="8">
        <v>889682567173</v>
      </c>
      <c r="L1901" s="8">
        <v>945698577733</v>
      </c>
      <c r="M1901" s="8">
        <v>162000000000</v>
      </c>
      <c r="N1901" s="8">
        <v>173999994200</v>
      </c>
      <c r="O1901" s="8">
        <v>197999993400</v>
      </c>
      <c r="P1901" s="8">
        <v>185999993800</v>
      </c>
      <c r="Q1901" s="18">
        <f>(Table1[[#This Row],[A. TÀI SẢN NGẮN HẠN]]-Table1[[#This Row],[I. Nợ ngắn hạn]])/Table1[[#This Row],[TỔNG CỘNG TÀI SẢN]]</f>
        <v>-0.37247028461689685</v>
      </c>
      <c r="R1901" s="18">
        <f>Table1[[#This Row],[- LNST chưa phân phối kỳ này]]/Table1[[#This Row],[TỔNG CỘNG TÀI SẢN]]</f>
        <v>1.5002454574334729E-2</v>
      </c>
      <c r="S1901" s="21">
        <f>Table1[[#This Row],[5. Lợi nhuận gộp về bán hàng và cung cấp dịch vụ]]/Table1[[#This Row],[TỔNG CỘNG TÀI SẢN]]</f>
        <v>5.605616057059537E-2</v>
      </c>
      <c r="T190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0.20231934623823955</v>
      </c>
      <c r="U1901" s="23">
        <f>Table1[[#This Row],[1. Doanh thu bán hàng và cung cấp dịch vụ ]]/Table1[[#This Row],[TỔNG CỘNG TÀI SẢN]]</f>
        <v>0.96057660750123042</v>
      </c>
      <c r="V1901" s="23">
        <f>1.2*Table1[[#This Row],[X1]] + 1.4*Table1[[#This Row],[X2]] + 3.3*Table1[[#This Row],[x3]] + 0.6*Table1[[#This Row],[x4]] + 1*Table1[[#This Row],[x5]]</f>
        <v>0.84099263999093121</v>
      </c>
      <c r="W1901" s="23">
        <f>IF(Table1[[#This Row],[Zscore]]&lt;1.81,1,0)</f>
        <v>1</v>
      </c>
    </row>
    <row r="1902" spans="1:23" ht="26.25" x14ac:dyDescent="0.45">
      <c r="A1902" s="7">
        <v>1896</v>
      </c>
      <c r="B1902" s="5" t="s">
        <v>3803</v>
      </c>
      <c r="C1902" s="6" t="s">
        <v>3804</v>
      </c>
      <c r="D1902" s="6" t="s">
        <v>18</v>
      </c>
      <c r="E1902" s="8">
        <v>255676490967</v>
      </c>
      <c r="F1902" s="8">
        <v>224426045562</v>
      </c>
      <c r="G1902" s="8">
        <v>196582790993</v>
      </c>
      <c r="H1902" s="8">
        <v>1801815342</v>
      </c>
      <c r="I1902" s="8">
        <v>8939076543</v>
      </c>
      <c r="J1902" s="8"/>
      <c r="K1902" s="8">
        <v>198107554456</v>
      </c>
      <c r="L1902" s="8">
        <v>115963427514</v>
      </c>
      <c r="M1902" s="8">
        <v>54000000000</v>
      </c>
      <c r="N1902" s="8">
        <v>28000000000</v>
      </c>
      <c r="O1902" s="8">
        <v>32000000000</v>
      </c>
      <c r="P1902" s="8">
        <v>32000000000</v>
      </c>
      <c r="Q1902" s="18">
        <f>(Table1[[#This Row],[A. TÀI SẢN NGẮN HẠN]]-Table1[[#This Row],[I. Nợ ngắn hạn]])/Table1[[#This Row],[TỔNG CỘNG TÀI SẢN]]</f>
        <v>0.10890033128854898</v>
      </c>
      <c r="R1902" s="18">
        <f>Table1[[#This Row],[- LNST chưa phân phối kỳ này]]/Table1[[#This Row],[TỔNG CỘNG TÀI SẢN]]</f>
        <v>7.0472468359735084E-3</v>
      </c>
      <c r="S1902" s="21">
        <f>Table1[[#This Row],[5. Lợi nhuận gộp về bán hàng và cung cấp dịch vụ]]/Table1[[#This Row],[TỔNG CỘNG TÀI SẢN]]</f>
        <v>3.4962450044551653E-2</v>
      </c>
      <c r="T190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0.18424335255779814</v>
      </c>
      <c r="U1902" s="23">
        <f>Table1[[#This Row],[1. Doanh thu bán hàng và cung cấp dịch vụ ]]/Table1[[#This Row],[TỔNG CỘNG TÀI SẢN]]</f>
        <v>0.45355529980645476</v>
      </c>
      <c r="V1902" s="23">
        <f>1.2*Table1[[#This Row],[X1]] + 1.4*Table1[[#This Row],[X2]] + 3.3*Table1[[#This Row],[x3]] + 0.6*Table1[[#This Row],[x4]] + 1*Table1[[#This Row],[x5]]</f>
        <v>0.82002393960477571</v>
      </c>
      <c r="W1902" s="23">
        <f>IF(Table1[[#This Row],[Zscore]]&lt;1.81,1,0)</f>
        <v>1</v>
      </c>
    </row>
    <row r="1903" spans="1:23" ht="26.25" hidden="1" x14ac:dyDescent="0.45">
      <c r="A1903" s="7">
        <v>1897</v>
      </c>
      <c r="B1903" s="5" t="s">
        <v>3805</v>
      </c>
      <c r="C1903" s="6" t="s">
        <v>3806</v>
      </c>
      <c r="D1903" s="6" t="s">
        <v>13</v>
      </c>
      <c r="E1903" s="6"/>
      <c r="F1903" s="6"/>
      <c r="G1903" s="6"/>
      <c r="H1903" s="6"/>
      <c r="I1903" s="6"/>
      <c r="J1903" s="8"/>
      <c r="K1903" s="6"/>
      <c r="L1903" s="6"/>
      <c r="M1903" s="8"/>
      <c r="N1903" s="8"/>
      <c r="O1903" s="8"/>
      <c r="P1903" s="8"/>
      <c r="Q1903" s="18" t="e">
        <f>(Table1[[#This Row],[A. TÀI SẢN NGẮN HẠN]]-Table1[[#This Row],[I. Nợ ngắn hạn]])/Table1[[#This Row],[TỔNG CỘNG TÀI SẢN]]</f>
        <v>#DIV/0!</v>
      </c>
      <c r="R1903" s="18" t="e">
        <f>Table1[[#This Row],[- LNST chưa phân phối kỳ này]]/Table1[[#This Row],[TỔNG CỘNG TÀI SẢN]]</f>
        <v>#DIV/0!</v>
      </c>
      <c r="S1903" s="21" t="e">
        <f>Table1[[#This Row],[5. Lợi nhuận gộp về bán hàng và cung cấp dịch vụ]]/Table1[[#This Row],[TỔNG CỘNG TÀI SẢN]]</f>
        <v>#DIV/0!</v>
      </c>
      <c r="T190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903" s="23" t="e">
        <f>Table1[[#This Row],[1. Doanh thu bán hàng và cung cấp dịch vụ ]]/Table1[[#This Row],[TỔNG CỘNG TÀI SẢN]]</f>
        <v>#DIV/0!</v>
      </c>
      <c r="V1903" s="23" t="e">
        <f>1.2*Table1[[#This Row],[X1]] + 1.4*Table1[[#This Row],[X2]] + 3.3*Table1[[#This Row],[x3]] + 0.6*Table1[[#This Row],[x4]] + 1*Table1[[#This Row],[x5]]</f>
        <v>#DIV/0!</v>
      </c>
      <c r="W1903" s="23" t="e">
        <f>IF(Table1[[#This Row],[Zscore]]&lt;1.81,1,0)</f>
        <v>#DIV/0!</v>
      </c>
    </row>
    <row r="1904" spans="1:23" hidden="1" x14ac:dyDescent="0.45">
      <c r="A1904" s="7">
        <v>1898</v>
      </c>
      <c r="B1904" s="5" t="s">
        <v>3807</v>
      </c>
      <c r="C1904" s="6" t="s">
        <v>3808</v>
      </c>
      <c r="D1904" s="6" t="s">
        <v>13</v>
      </c>
      <c r="E1904" s="6"/>
      <c r="F1904" s="6"/>
      <c r="G1904" s="6"/>
      <c r="H1904" s="6"/>
      <c r="I1904" s="6"/>
      <c r="J1904" s="8"/>
      <c r="K1904" s="6"/>
      <c r="L1904" s="6"/>
      <c r="M1904" s="8"/>
      <c r="N1904" s="8"/>
      <c r="O1904" s="8"/>
      <c r="P1904" s="8"/>
      <c r="Q1904" s="18" t="e">
        <f>(Table1[[#This Row],[A. TÀI SẢN NGẮN HẠN]]-Table1[[#This Row],[I. Nợ ngắn hạn]])/Table1[[#This Row],[TỔNG CỘNG TÀI SẢN]]</f>
        <v>#DIV/0!</v>
      </c>
      <c r="R1904" s="18" t="e">
        <f>Table1[[#This Row],[- LNST chưa phân phối kỳ này]]/Table1[[#This Row],[TỔNG CỘNG TÀI SẢN]]</f>
        <v>#DIV/0!</v>
      </c>
      <c r="S1904" s="21" t="e">
        <f>Table1[[#This Row],[5. Lợi nhuận gộp về bán hàng và cung cấp dịch vụ]]/Table1[[#This Row],[TỔNG CỘNG TÀI SẢN]]</f>
        <v>#DIV/0!</v>
      </c>
      <c r="T190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904" s="23" t="e">
        <f>Table1[[#This Row],[1. Doanh thu bán hàng và cung cấp dịch vụ ]]/Table1[[#This Row],[TỔNG CỘNG TÀI SẢN]]</f>
        <v>#DIV/0!</v>
      </c>
      <c r="V1904" s="23" t="e">
        <f>1.2*Table1[[#This Row],[X1]] + 1.4*Table1[[#This Row],[X2]] + 3.3*Table1[[#This Row],[x3]] + 0.6*Table1[[#This Row],[x4]] + 1*Table1[[#This Row],[x5]]</f>
        <v>#DIV/0!</v>
      </c>
      <c r="W1904" s="23" t="e">
        <f>IF(Table1[[#This Row],[Zscore]]&lt;1.81,1,0)</f>
        <v>#DIV/0!</v>
      </c>
    </row>
    <row r="1905" spans="1:23" x14ac:dyDescent="0.45">
      <c r="A1905" s="7">
        <v>1899</v>
      </c>
      <c r="B1905" s="5" t="s">
        <v>3809</v>
      </c>
      <c r="C1905" s="6" t="s">
        <v>3810</v>
      </c>
      <c r="D1905" s="6" t="s">
        <v>18</v>
      </c>
      <c r="E1905" s="8">
        <v>255130456753</v>
      </c>
      <c r="F1905" s="8">
        <v>247099077646</v>
      </c>
      <c r="G1905" s="8">
        <v>29493169873</v>
      </c>
      <c r="H1905" s="8">
        <v>-78392108636</v>
      </c>
      <c r="I1905" s="8">
        <v>33542772</v>
      </c>
      <c r="J1905" s="8"/>
      <c r="K1905" s="8">
        <v>29493169873</v>
      </c>
      <c r="L1905" s="8">
        <v>123000000</v>
      </c>
      <c r="M1905" s="8">
        <v>48530949600</v>
      </c>
      <c r="N1905" s="8">
        <v>41597956800</v>
      </c>
      <c r="O1905" s="8">
        <v>41597956800</v>
      </c>
      <c r="P1905" s="8">
        <v>48530949600</v>
      </c>
      <c r="Q1905" s="18">
        <f>(Table1[[#This Row],[A. TÀI SẢN NGẮN HẠN]]-Table1[[#This Row],[I. Nợ ngắn hạn]])/Table1[[#This Row],[TỔNG CỘNG TÀI SẢN]]</f>
        <v>0.85292015129213394</v>
      </c>
      <c r="R1905" s="18">
        <f>Table1[[#This Row],[- LNST chưa phân phối kỳ này]]/Table1[[#This Row],[TỔNG CỘNG TÀI SẢN]]</f>
        <v>-0.30726283970045143</v>
      </c>
      <c r="S1905" s="21">
        <f>Table1[[#This Row],[5. Lợi nhuận gộp về bán hàng và cung cấp dịch vụ]]/Table1[[#This Row],[TỔNG CỘNG TÀI SẢN]]</f>
        <v>1.3147302139812276E-4</v>
      </c>
      <c r="T190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1.5279623517597878</v>
      </c>
      <c r="U1905" s="23">
        <f>Table1[[#This Row],[1. Doanh thu bán hàng và cung cấp dịch vụ ]]/Table1[[#This Row],[TỔNG CỘNG TÀI SẢN]]</f>
        <v>4.8210629795203267E-4</v>
      </c>
      <c r="V1905" s="23">
        <f>1.2*Table1[[#This Row],[X1]] + 1.4*Table1[[#This Row],[X2]] + 3.3*Table1[[#This Row],[x3]] + 0.6*Table1[[#This Row],[x4]] + 1*Table1[[#This Row],[x5]]</f>
        <v>1.5110295842943673</v>
      </c>
      <c r="W1905" s="23">
        <f>IF(Table1[[#This Row],[Zscore]]&lt;1.81,1,0)</f>
        <v>1</v>
      </c>
    </row>
    <row r="1906" spans="1:23" ht="26.25" hidden="1" x14ac:dyDescent="0.45">
      <c r="A1906" s="7">
        <v>1900</v>
      </c>
      <c r="B1906" s="5" t="s">
        <v>3811</v>
      </c>
      <c r="C1906" s="6" t="s">
        <v>3812</v>
      </c>
      <c r="D1906" s="6" t="s">
        <v>18</v>
      </c>
      <c r="E1906" s="6"/>
      <c r="F1906" s="6"/>
      <c r="G1906" s="6"/>
      <c r="H1906" s="6"/>
      <c r="I1906" s="6"/>
      <c r="J1906" s="8"/>
      <c r="K1906" s="6"/>
      <c r="L1906" s="6"/>
      <c r="M1906" s="8"/>
      <c r="N1906" s="8"/>
      <c r="O1906" s="8"/>
      <c r="P1906" s="8"/>
      <c r="Q1906" s="18" t="e">
        <f>(Table1[[#This Row],[A. TÀI SẢN NGẮN HẠN]]-Table1[[#This Row],[I. Nợ ngắn hạn]])/Table1[[#This Row],[TỔNG CỘNG TÀI SẢN]]</f>
        <v>#DIV/0!</v>
      </c>
      <c r="R1906" s="18" t="e">
        <f>Table1[[#This Row],[- LNST chưa phân phối kỳ này]]/Table1[[#This Row],[TỔNG CỘNG TÀI SẢN]]</f>
        <v>#DIV/0!</v>
      </c>
      <c r="S1906" s="21" t="e">
        <f>Table1[[#This Row],[5. Lợi nhuận gộp về bán hàng và cung cấp dịch vụ]]/Table1[[#This Row],[TỔNG CỘNG TÀI SẢN]]</f>
        <v>#DIV/0!</v>
      </c>
      <c r="T190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906" s="23" t="e">
        <f>Table1[[#This Row],[1. Doanh thu bán hàng và cung cấp dịch vụ ]]/Table1[[#This Row],[TỔNG CỘNG TÀI SẢN]]</f>
        <v>#DIV/0!</v>
      </c>
      <c r="V1906" s="23" t="e">
        <f>1.2*Table1[[#This Row],[X1]] + 1.4*Table1[[#This Row],[X2]] + 3.3*Table1[[#This Row],[x3]] + 0.6*Table1[[#This Row],[x4]] + 1*Table1[[#This Row],[x5]]</f>
        <v>#DIV/0!</v>
      </c>
      <c r="W1906" s="23" t="e">
        <f>IF(Table1[[#This Row],[Zscore]]&lt;1.81,1,0)</f>
        <v>#DIV/0!</v>
      </c>
    </row>
    <row r="1907" spans="1:23" x14ac:dyDescent="0.45">
      <c r="A1907" s="7">
        <v>1901</v>
      </c>
      <c r="B1907" s="5" t="s">
        <v>3813</v>
      </c>
      <c r="C1907" s="6" t="s">
        <v>3814</v>
      </c>
      <c r="D1907" s="6" t="s">
        <v>21</v>
      </c>
      <c r="E1907" s="8">
        <v>8743821873019</v>
      </c>
      <c r="F1907" s="8">
        <v>2240686579195</v>
      </c>
      <c r="G1907" s="8">
        <v>3924117609780</v>
      </c>
      <c r="H1907" s="8">
        <v>132753273669</v>
      </c>
      <c r="I1907" s="8">
        <v>184335755267</v>
      </c>
      <c r="J1907" s="8"/>
      <c r="K1907" s="8">
        <v>3998597609780</v>
      </c>
      <c r="L1907" s="8">
        <v>473293505361</v>
      </c>
      <c r="M1907" s="8">
        <v>3205254492650</v>
      </c>
      <c r="N1907" s="8">
        <v>4154450029100</v>
      </c>
      <c r="O1907" s="8">
        <v>3232767406750</v>
      </c>
      <c r="P1907" s="8">
        <v>3961859630400</v>
      </c>
      <c r="Q1907" s="18">
        <f>(Table1[[#This Row],[A. TÀI SẢN NGẮN HẠN]]-Table1[[#This Row],[I. Nợ ngắn hạn]])/Table1[[#This Row],[TỔNG CỘNG TÀI SẢN]]</f>
        <v>-0.19252805638454273</v>
      </c>
      <c r="R1907" s="18">
        <f>Table1[[#This Row],[- LNST chưa phân phối kỳ này]]/Table1[[#This Row],[TỔNG CỘNG TÀI SẢN]]</f>
        <v>1.518252265392547E-2</v>
      </c>
      <c r="S1907" s="21">
        <f>Table1[[#This Row],[5. Lợi nhuận gộp về bán hàng và cung cấp dịch vụ]]/Table1[[#This Row],[TỔNG CỘNG TÀI SẢN]]</f>
        <v>2.1081828740794551E-2</v>
      </c>
      <c r="T190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0.90996475384908571</v>
      </c>
      <c r="U1907" s="23">
        <f>Table1[[#This Row],[1. Doanh thu bán hàng và cung cấp dịch vụ ]]/Table1[[#This Row],[TỔNG CỘNG TÀI SẢN]]</f>
        <v>5.4128905212656724E-2</v>
      </c>
      <c r="V1907" s="23">
        <f>1.2*Table1[[#This Row],[X1]] + 1.4*Table1[[#This Row],[X2]] + 3.3*Table1[[#This Row],[x3]] + 0.6*Table1[[#This Row],[x4]] + 1*Table1[[#This Row],[x5]]</f>
        <v>0.45989965642077452</v>
      </c>
      <c r="W1907" s="23">
        <f>IF(Table1[[#This Row],[Zscore]]&lt;1.81,1,0)</f>
        <v>1</v>
      </c>
    </row>
    <row r="1908" spans="1:23" x14ac:dyDescent="0.45">
      <c r="A1908" s="7">
        <v>1902</v>
      </c>
      <c r="B1908" s="5" t="s">
        <v>3815</v>
      </c>
      <c r="C1908" s="6" t="s">
        <v>3816</v>
      </c>
      <c r="D1908" s="6" t="s">
        <v>36</v>
      </c>
      <c r="E1908" s="8">
        <v>189380925000</v>
      </c>
      <c r="F1908" s="8">
        <v>149622583734</v>
      </c>
      <c r="G1908" s="8">
        <v>59664372560</v>
      </c>
      <c r="H1908" s="8">
        <v>13113551292</v>
      </c>
      <c r="I1908" s="8">
        <v>68796096327</v>
      </c>
      <c r="J1908" s="8"/>
      <c r="K1908" s="8">
        <v>62129952560</v>
      </c>
      <c r="L1908" s="8">
        <v>444270419808</v>
      </c>
      <c r="M1908" s="8">
        <v>188945287200</v>
      </c>
      <c r="N1908" s="8">
        <v>313574829700</v>
      </c>
      <c r="O1908" s="8">
        <v>157454406000</v>
      </c>
      <c r="P1908" s="8">
        <v>171040816200</v>
      </c>
      <c r="Q1908" s="18">
        <f>(Table1[[#This Row],[A. TÀI SẢN NGẮN HẠN]]-Table1[[#This Row],[I. Nợ ngắn hạn]])/Table1[[#This Row],[TỔNG CỘNG TÀI SẢN]]</f>
        <v>0.47501199592303184</v>
      </c>
      <c r="R1908" s="18">
        <f>Table1[[#This Row],[- LNST chưa phân phối kỳ này]]/Table1[[#This Row],[TỔNG CỘNG TÀI SẢN]]</f>
        <v>6.9244309013698185E-2</v>
      </c>
      <c r="S1908" s="21">
        <f>Table1[[#This Row],[5. Lợi nhuận gộp về bán hàng và cung cấp dịch vụ]]/Table1[[#This Row],[TỔNG CỘNG TÀI SẢN]]</f>
        <v>0.36326835095456417</v>
      </c>
      <c r="T190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3.3438595430178131</v>
      </c>
      <c r="U1908" s="23">
        <f>Table1[[#This Row],[1. Doanh thu bán hàng và cung cấp dịch vụ ]]/Table1[[#This Row],[TỔNG CỘNG TÀI SẢN]]</f>
        <v>2.3459090180703259</v>
      </c>
      <c r="V1908" s="23">
        <f>1.2*Table1[[#This Row],[X1]] + 1.4*Table1[[#This Row],[X2]] + 3.3*Table1[[#This Row],[x3]] + 0.6*Table1[[#This Row],[x4]] + 1*Table1[[#This Row],[x5]]</f>
        <v>6.2179667297578911</v>
      </c>
      <c r="W1908" s="23">
        <f>IF(Table1[[#This Row],[Zscore]]&lt;1.81,1,0)</f>
        <v>0</v>
      </c>
    </row>
    <row r="1909" spans="1:23" hidden="1" x14ac:dyDescent="0.45">
      <c r="A1909" s="7">
        <v>1903</v>
      </c>
      <c r="B1909" s="5" t="s">
        <v>3817</v>
      </c>
      <c r="C1909" s="6" t="s">
        <v>3818</v>
      </c>
      <c r="D1909" s="6" t="s">
        <v>18</v>
      </c>
      <c r="E1909" s="8">
        <v>323703927033</v>
      </c>
      <c r="F1909" s="8">
        <v>287875110677</v>
      </c>
      <c r="G1909" s="8">
        <v>19273990824</v>
      </c>
      <c r="H1909" s="8">
        <v>37381104878</v>
      </c>
      <c r="I1909" s="8">
        <v>53760356728</v>
      </c>
      <c r="J1909" s="8"/>
      <c r="K1909" s="8">
        <v>23423650574</v>
      </c>
      <c r="L1909" s="8">
        <v>212002353593</v>
      </c>
      <c r="M1909" s="8"/>
      <c r="N1909" s="8"/>
      <c r="O1909" s="8"/>
      <c r="P1909" s="8"/>
      <c r="Q1909" s="18">
        <f>(Table1[[#This Row],[A. TÀI SẢN NGẮN HẠN]]-Table1[[#This Row],[I. Nợ ngắn hạn]])/Table1[[#This Row],[TỔNG CỘNG TÀI SẢN]]</f>
        <v>0.82977405407138438</v>
      </c>
      <c r="R1909" s="18">
        <f>Table1[[#This Row],[- LNST chưa phân phối kỳ này]]/Table1[[#This Row],[TỔNG CỘNG TÀI SẢN]]</f>
        <v>0.11547930610736515</v>
      </c>
      <c r="S1909" s="21">
        <f>Table1[[#This Row],[5. Lợi nhuận gộp về bán hàng và cung cấp dịch vụ]]/Table1[[#This Row],[TỔNG CỘNG TÀI SẢN]]</f>
        <v>0.16607879064290562</v>
      </c>
      <c r="T190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909" s="23">
        <f>Table1[[#This Row],[1. Doanh thu bán hàng và cung cấp dịch vụ ]]/Table1[[#This Row],[TỔNG CỘNG TÀI SẢN]]</f>
        <v>0.65492672744556302</v>
      </c>
      <c r="V1909" s="23" t="e">
        <f>1.2*Table1[[#This Row],[X1]] + 1.4*Table1[[#This Row],[X2]] + 3.3*Table1[[#This Row],[x3]] + 0.6*Table1[[#This Row],[x4]] + 1*Table1[[#This Row],[x5]]</f>
        <v>#DIV/0!</v>
      </c>
      <c r="W1909" s="23" t="e">
        <f>IF(Table1[[#This Row],[Zscore]]&lt;1.81,1,0)</f>
        <v>#DIV/0!</v>
      </c>
    </row>
    <row r="1910" spans="1:23" ht="26.25" hidden="1" x14ac:dyDescent="0.45">
      <c r="A1910" s="7">
        <v>1904</v>
      </c>
      <c r="B1910" s="5" t="s">
        <v>3819</v>
      </c>
      <c r="C1910" s="6" t="s">
        <v>3820</v>
      </c>
      <c r="D1910" s="6" t="s">
        <v>13</v>
      </c>
      <c r="E1910" s="6"/>
      <c r="F1910" s="6"/>
      <c r="G1910" s="6"/>
      <c r="H1910" s="6"/>
      <c r="I1910" s="6"/>
      <c r="J1910" s="8"/>
      <c r="K1910" s="6"/>
      <c r="L1910" s="6"/>
      <c r="M1910" s="8"/>
      <c r="N1910" s="8"/>
      <c r="O1910" s="8"/>
      <c r="P1910" s="8"/>
      <c r="Q1910" s="18" t="e">
        <f>(Table1[[#This Row],[A. TÀI SẢN NGẮN HẠN]]-Table1[[#This Row],[I. Nợ ngắn hạn]])/Table1[[#This Row],[TỔNG CỘNG TÀI SẢN]]</f>
        <v>#DIV/0!</v>
      </c>
      <c r="R1910" s="18" t="e">
        <f>Table1[[#This Row],[- LNST chưa phân phối kỳ này]]/Table1[[#This Row],[TỔNG CỘNG TÀI SẢN]]</f>
        <v>#DIV/0!</v>
      </c>
      <c r="S1910" s="21" t="e">
        <f>Table1[[#This Row],[5. Lợi nhuận gộp về bán hàng và cung cấp dịch vụ]]/Table1[[#This Row],[TỔNG CỘNG TÀI SẢN]]</f>
        <v>#DIV/0!</v>
      </c>
      <c r="T191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910" s="23" t="e">
        <f>Table1[[#This Row],[1. Doanh thu bán hàng và cung cấp dịch vụ ]]/Table1[[#This Row],[TỔNG CỘNG TÀI SẢN]]</f>
        <v>#DIV/0!</v>
      </c>
      <c r="V1910" s="23" t="e">
        <f>1.2*Table1[[#This Row],[X1]] + 1.4*Table1[[#This Row],[X2]] + 3.3*Table1[[#This Row],[x3]] + 0.6*Table1[[#This Row],[x4]] + 1*Table1[[#This Row],[x5]]</f>
        <v>#DIV/0!</v>
      </c>
      <c r="W1910" s="23" t="e">
        <f>IF(Table1[[#This Row],[Zscore]]&lt;1.81,1,0)</f>
        <v>#DIV/0!</v>
      </c>
    </row>
    <row r="1911" spans="1:23" ht="26.25" hidden="1" x14ac:dyDescent="0.45">
      <c r="A1911" s="7">
        <v>1905</v>
      </c>
      <c r="B1911" s="5" t="s">
        <v>3821</v>
      </c>
      <c r="C1911" s="6" t="s">
        <v>3822</v>
      </c>
      <c r="D1911" s="6" t="s">
        <v>13</v>
      </c>
      <c r="E1911" s="6"/>
      <c r="F1911" s="6"/>
      <c r="G1911" s="6"/>
      <c r="H1911" s="6"/>
      <c r="I1911" s="6"/>
      <c r="J1911" s="8"/>
      <c r="K1911" s="6"/>
      <c r="L1911" s="6"/>
      <c r="M1911" s="8"/>
      <c r="N1911" s="8"/>
      <c r="O1911" s="8"/>
      <c r="P1911" s="8"/>
      <c r="Q1911" s="18" t="e">
        <f>(Table1[[#This Row],[A. TÀI SẢN NGẮN HẠN]]-Table1[[#This Row],[I. Nợ ngắn hạn]])/Table1[[#This Row],[TỔNG CỘNG TÀI SẢN]]</f>
        <v>#DIV/0!</v>
      </c>
      <c r="R1911" s="18" t="e">
        <f>Table1[[#This Row],[- LNST chưa phân phối kỳ này]]/Table1[[#This Row],[TỔNG CỘNG TÀI SẢN]]</f>
        <v>#DIV/0!</v>
      </c>
      <c r="S1911" s="21" t="e">
        <f>Table1[[#This Row],[5. Lợi nhuận gộp về bán hàng và cung cấp dịch vụ]]/Table1[[#This Row],[TỔNG CỘNG TÀI SẢN]]</f>
        <v>#DIV/0!</v>
      </c>
      <c r="T191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911" s="23" t="e">
        <f>Table1[[#This Row],[1. Doanh thu bán hàng và cung cấp dịch vụ ]]/Table1[[#This Row],[TỔNG CỘNG TÀI SẢN]]</f>
        <v>#DIV/0!</v>
      </c>
      <c r="V1911" s="23" t="e">
        <f>1.2*Table1[[#This Row],[X1]] + 1.4*Table1[[#This Row],[X2]] + 3.3*Table1[[#This Row],[x3]] + 0.6*Table1[[#This Row],[x4]] + 1*Table1[[#This Row],[x5]]</f>
        <v>#DIV/0!</v>
      </c>
      <c r="W1911" s="23" t="e">
        <f>IF(Table1[[#This Row],[Zscore]]&lt;1.81,1,0)</f>
        <v>#DIV/0!</v>
      </c>
    </row>
    <row r="1912" spans="1:23" ht="26.25" x14ac:dyDescent="0.45">
      <c r="A1912" s="7">
        <v>1906</v>
      </c>
      <c r="B1912" s="5" t="s">
        <v>3823</v>
      </c>
      <c r="C1912" s="6" t="s">
        <v>3824</v>
      </c>
      <c r="D1912" s="6" t="s">
        <v>18</v>
      </c>
      <c r="E1912" s="8">
        <v>2099098748296</v>
      </c>
      <c r="F1912" s="8">
        <v>1059065753161</v>
      </c>
      <c r="G1912" s="8">
        <v>1196695012864</v>
      </c>
      <c r="H1912" s="8">
        <v>35863421251</v>
      </c>
      <c r="I1912" s="8">
        <v>163525188906</v>
      </c>
      <c r="J1912" s="8"/>
      <c r="K1912" s="8">
        <v>1380961299078</v>
      </c>
      <c r="L1912" s="8">
        <v>1909451721779</v>
      </c>
      <c r="M1912" s="8">
        <v>377571600000</v>
      </c>
      <c r="N1912" s="8">
        <v>347605600000</v>
      </c>
      <c r="O1912" s="8">
        <v>365585200000</v>
      </c>
      <c r="P1912" s="8">
        <v>359592000000</v>
      </c>
      <c r="Q1912" s="18">
        <f>(Table1[[#This Row],[A. TÀI SẢN NGẮN HẠN]]-Table1[[#This Row],[I. Nợ ngắn hạn]])/Table1[[#This Row],[TỔNG CỘNG TÀI SẢN]]</f>
        <v>-6.5565881459709444E-2</v>
      </c>
      <c r="R1912" s="18">
        <f>Table1[[#This Row],[- LNST chưa phân phối kỳ này]]/Table1[[#This Row],[TỔNG CỘNG TÀI SẢN]]</f>
        <v>1.7085152034945046E-2</v>
      </c>
      <c r="S1912" s="21">
        <f>Table1[[#This Row],[5. Lợi nhuận gộp về bán hàng và cung cấp dịch vụ]]/Table1[[#This Row],[TỔNG CỘNG TÀI SẢN]]</f>
        <v>7.7902570824143452E-2</v>
      </c>
      <c r="T191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0.26256246300463493</v>
      </c>
      <c r="U1912" s="23">
        <f>Table1[[#This Row],[1. Doanh thu bán hàng và cung cấp dịch vụ ]]/Table1[[#This Row],[TỔNG CỘNG TÀI SẢN]]</f>
        <v>0.90965311819134231</v>
      </c>
      <c r="V1912" s="23">
        <f>1.2*Table1[[#This Row],[X1]] + 1.4*Table1[[#This Row],[X2]] + 3.3*Table1[[#This Row],[x3]] + 0.6*Table1[[#This Row],[x4]] + 1*Table1[[#This Row],[x5]]</f>
        <v>1.2695092348110684</v>
      </c>
      <c r="W1912" s="23">
        <f>IF(Table1[[#This Row],[Zscore]]&lt;1.81,1,0)</f>
        <v>1</v>
      </c>
    </row>
    <row r="1913" spans="1:23" x14ac:dyDescent="0.45">
      <c r="A1913" s="7">
        <v>1907</v>
      </c>
      <c r="B1913" s="5" t="s">
        <v>3825</v>
      </c>
      <c r="C1913" s="6" t="s">
        <v>3826</v>
      </c>
      <c r="D1913" s="6" t="s">
        <v>21</v>
      </c>
      <c r="E1913" s="8">
        <v>1399054932010</v>
      </c>
      <c r="F1913" s="8">
        <v>604439076598</v>
      </c>
      <c r="G1913" s="8">
        <v>241774956204</v>
      </c>
      <c r="H1913" s="8">
        <v>142685273142</v>
      </c>
      <c r="I1913" s="8">
        <v>274669790181</v>
      </c>
      <c r="J1913" s="8"/>
      <c r="K1913" s="8">
        <v>465331470538</v>
      </c>
      <c r="L1913" s="8">
        <v>1146015060608</v>
      </c>
      <c r="M1913" s="8">
        <v>1424450737500</v>
      </c>
      <c r="N1913" s="8">
        <v>1179970540000</v>
      </c>
      <c r="O1913" s="8">
        <v>1293118400000</v>
      </c>
      <c r="P1913" s="8">
        <v>1244626460000</v>
      </c>
      <c r="Q1913" s="18">
        <f>(Table1[[#This Row],[A. TÀI SẢN NGẮN HẠN]]-Table1[[#This Row],[I. Nợ ngắn hạn]])/Table1[[#This Row],[TỔNG CỘNG TÀI SẢN]]</f>
        <v>0.25922078690145939</v>
      </c>
      <c r="R1913" s="18">
        <f>Table1[[#This Row],[- LNST chưa phân phối kỳ này]]/Table1[[#This Row],[TỔNG CỘNG TÀI SẢN]]</f>
        <v>0.10198689835359526</v>
      </c>
      <c r="S1913" s="21">
        <f>Table1[[#This Row],[5. Lợi nhuận gộp về bán hàng và cung cấp dịch vụ]]/Table1[[#This Row],[TỔNG CỘNG TÀI SẢN]]</f>
        <v>0.19632523634106794</v>
      </c>
      <c r="T191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2.7626361330960525</v>
      </c>
      <c r="U1913" s="23">
        <f>Table1[[#This Row],[1. Doanh thu bán hàng và cung cấp dịch vụ ]]/Table1[[#This Row],[TỔNG CỘNG TÀI SẢN]]</f>
        <v>0.81913514215023597</v>
      </c>
      <c r="V1913" s="23">
        <f>1.2*Table1[[#This Row],[X1]] + 1.4*Table1[[#This Row],[X2]] + 3.3*Table1[[#This Row],[x3]] + 0.6*Table1[[#This Row],[x4]] + 1*Table1[[#This Row],[x5]]</f>
        <v>3.5784367039101763</v>
      </c>
      <c r="W1913" s="23">
        <f>IF(Table1[[#This Row],[Zscore]]&lt;1.81,1,0)</f>
        <v>0</v>
      </c>
    </row>
    <row r="1914" spans="1:23" x14ac:dyDescent="0.45">
      <c r="A1914" s="7">
        <v>1908</v>
      </c>
      <c r="B1914" s="5" t="s">
        <v>3827</v>
      </c>
      <c r="C1914" s="6" t="s">
        <v>3828</v>
      </c>
      <c r="D1914" s="6" t="s">
        <v>18</v>
      </c>
      <c r="E1914" s="8">
        <v>14350118600886</v>
      </c>
      <c r="F1914" s="8">
        <v>10880768027045</v>
      </c>
      <c r="G1914" s="8">
        <v>3544457081077</v>
      </c>
      <c r="H1914" s="8">
        <v>1604369216451</v>
      </c>
      <c r="I1914" s="8">
        <v>3524530375400</v>
      </c>
      <c r="J1914" s="8"/>
      <c r="K1914" s="8">
        <v>3704339891701</v>
      </c>
      <c r="L1914" s="8">
        <v>10674656998807</v>
      </c>
      <c r="M1914" s="8">
        <v>17500052082800</v>
      </c>
      <c r="N1914" s="8">
        <v>17279463191000</v>
      </c>
      <c r="O1914" s="8">
        <v>17500052082800</v>
      </c>
      <c r="P1914" s="8">
        <v>17500052082800</v>
      </c>
      <c r="Q1914" s="18">
        <f>(Table1[[#This Row],[A. TÀI SẢN NGẮN HẠN]]-Table1[[#This Row],[I. Nợ ngắn hạn]])/Table1[[#This Row],[TỔNG CỘNG TÀI SẢN]]</f>
        <v>0.51123695559666271</v>
      </c>
      <c r="R1914" s="18">
        <f>Table1[[#This Row],[- LNST chưa phân phối kỳ này]]/Table1[[#This Row],[TỔNG CỘNG TÀI SẢN]]</f>
        <v>0.11180180882630082</v>
      </c>
      <c r="S1914" s="21">
        <f>Table1[[#This Row],[5. Lợi nhuận gộp về bán hàng và cung cấp dịch vụ]]/Table1[[#This Row],[TỔNG CỘNG TÀI SẢN]]</f>
        <v>0.24560984291672611</v>
      </c>
      <c r="T191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4.7093153894794071</v>
      </c>
      <c r="U1914" s="23">
        <f>Table1[[#This Row],[1. Doanh thu bán hàng và cung cấp dịch vụ ]]/Table1[[#This Row],[TỔNG CỘNG TÀI SẢN]]</f>
        <v>0.74387238849356474</v>
      </c>
      <c r="V1914" s="23">
        <f>1.2*Table1[[#This Row],[X1]] + 1.4*Table1[[#This Row],[X2]] + 3.3*Table1[[#This Row],[x3]] + 0.6*Table1[[#This Row],[x4]] + 1*Table1[[#This Row],[x5]]</f>
        <v>5.1499809828792218</v>
      </c>
      <c r="W1914" s="23">
        <f>IF(Table1[[#This Row],[Zscore]]&lt;1.81,1,0)</f>
        <v>0</v>
      </c>
    </row>
    <row r="1915" spans="1:23" ht="26.25" hidden="1" x14ac:dyDescent="0.45">
      <c r="A1915" s="7">
        <v>1909</v>
      </c>
      <c r="B1915" s="5" t="s">
        <v>3829</v>
      </c>
      <c r="C1915" s="6" t="s">
        <v>3830</v>
      </c>
      <c r="D1915" s="6" t="s">
        <v>13</v>
      </c>
      <c r="E1915" s="6"/>
      <c r="F1915" s="6"/>
      <c r="G1915" s="6"/>
      <c r="H1915" s="6"/>
      <c r="I1915" s="6"/>
      <c r="J1915" s="8"/>
      <c r="K1915" s="6"/>
      <c r="L1915" s="6"/>
      <c r="M1915" s="8"/>
      <c r="N1915" s="8"/>
      <c r="O1915" s="8"/>
      <c r="P1915" s="8"/>
      <c r="Q1915" s="18" t="e">
        <f>(Table1[[#This Row],[A. TÀI SẢN NGẮN HẠN]]-Table1[[#This Row],[I. Nợ ngắn hạn]])/Table1[[#This Row],[TỔNG CỘNG TÀI SẢN]]</f>
        <v>#DIV/0!</v>
      </c>
      <c r="R1915" s="18" t="e">
        <f>Table1[[#This Row],[- LNST chưa phân phối kỳ này]]/Table1[[#This Row],[TỔNG CỘNG TÀI SẢN]]</f>
        <v>#DIV/0!</v>
      </c>
      <c r="S1915" s="21" t="e">
        <f>Table1[[#This Row],[5. Lợi nhuận gộp về bán hàng và cung cấp dịch vụ]]/Table1[[#This Row],[TỔNG CỘNG TÀI SẢN]]</f>
        <v>#DIV/0!</v>
      </c>
      <c r="T191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915" s="23" t="e">
        <f>Table1[[#This Row],[1. Doanh thu bán hàng và cung cấp dịch vụ ]]/Table1[[#This Row],[TỔNG CỘNG TÀI SẢN]]</f>
        <v>#DIV/0!</v>
      </c>
      <c r="V1915" s="23" t="e">
        <f>1.2*Table1[[#This Row],[X1]] + 1.4*Table1[[#This Row],[X2]] + 3.3*Table1[[#This Row],[x3]] + 0.6*Table1[[#This Row],[x4]] + 1*Table1[[#This Row],[x5]]</f>
        <v>#DIV/0!</v>
      </c>
      <c r="W1915" s="23" t="e">
        <f>IF(Table1[[#This Row],[Zscore]]&lt;1.81,1,0)</f>
        <v>#DIV/0!</v>
      </c>
    </row>
    <row r="1916" spans="1:23" ht="26.25" hidden="1" x14ac:dyDescent="0.45">
      <c r="A1916" s="7">
        <v>1910</v>
      </c>
      <c r="B1916" s="5" t="s">
        <v>3831</v>
      </c>
      <c r="C1916" s="6" t="s">
        <v>3832</v>
      </c>
      <c r="D1916" s="6" t="s">
        <v>18</v>
      </c>
      <c r="E1916" s="6"/>
      <c r="F1916" s="6"/>
      <c r="G1916" s="6"/>
      <c r="H1916" s="6"/>
      <c r="I1916" s="6"/>
      <c r="J1916" s="8"/>
      <c r="K1916" s="6"/>
      <c r="L1916" s="6"/>
      <c r="M1916" s="8"/>
      <c r="N1916" s="8"/>
      <c r="O1916" s="8"/>
      <c r="P1916" s="8"/>
      <c r="Q1916" s="18" t="e">
        <f>(Table1[[#This Row],[A. TÀI SẢN NGẮN HẠN]]-Table1[[#This Row],[I. Nợ ngắn hạn]])/Table1[[#This Row],[TỔNG CỘNG TÀI SẢN]]</f>
        <v>#DIV/0!</v>
      </c>
      <c r="R1916" s="18" t="e">
        <f>Table1[[#This Row],[- LNST chưa phân phối kỳ này]]/Table1[[#This Row],[TỔNG CỘNG TÀI SẢN]]</f>
        <v>#DIV/0!</v>
      </c>
      <c r="S1916" s="21" t="e">
        <f>Table1[[#This Row],[5. Lợi nhuận gộp về bán hàng và cung cấp dịch vụ]]/Table1[[#This Row],[TỔNG CỘNG TÀI SẢN]]</f>
        <v>#DIV/0!</v>
      </c>
      <c r="T191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916" s="23" t="e">
        <f>Table1[[#This Row],[1. Doanh thu bán hàng và cung cấp dịch vụ ]]/Table1[[#This Row],[TỔNG CỘNG TÀI SẢN]]</f>
        <v>#DIV/0!</v>
      </c>
      <c r="V1916" s="23" t="e">
        <f>1.2*Table1[[#This Row],[X1]] + 1.4*Table1[[#This Row],[X2]] + 3.3*Table1[[#This Row],[x3]] + 0.6*Table1[[#This Row],[x4]] + 1*Table1[[#This Row],[x5]]</f>
        <v>#DIV/0!</v>
      </c>
      <c r="W1916" s="23" t="e">
        <f>IF(Table1[[#This Row],[Zscore]]&lt;1.81,1,0)</f>
        <v>#DIV/0!</v>
      </c>
    </row>
    <row r="1917" spans="1:23" ht="26.25" hidden="1" x14ac:dyDescent="0.45">
      <c r="A1917" s="7">
        <v>1911</v>
      </c>
      <c r="B1917" s="5" t="s">
        <v>3833</v>
      </c>
      <c r="C1917" s="6" t="s">
        <v>3834</v>
      </c>
      <c r="D1917" s="6" t="s">
        <v>18</v>
      </c>
      <c r="E1917" s="8">
        <v>114219975375</v>
      </c>
      <c r="F1917" s="8">
        <v>100514210977</v>
      </c>
      <c r="G1917" s="8">
        <v>16209096694</v>
      </c>
      <c r="H1917" s="8">
        <v>3458281077</v>
      </c>
      <c r="I1917" s="8">
        <v>25901927568</v>
      </c>
      <c r="J1917" s="8"/>
      <c r="K1917" s="8">
        <v>18788308487</v>
      </c>
      <c r="L1917" s="8">
        <v>176766002963</v>
      </c>
      <c r="M1917" s="8"/>
      <c r="N1917" s="8"/>
      <c r="O1917" s="8"/>
      <c r="P1917" s="8"/>
      <c r="Q1917" s="18">
        <f>(Table1[[#This Row],[A. TÀI SẢN NGẮN HẠN]]-Table1[[#This Row],[I. Nợ ngắn hạn]])/Table1[[#This Row],[TỔNG CỘNG TÀI SẢN]]</f>
        <v>0.73809431324262353</v>
      </c>
      <c r="R1917" s="18">
        <f>Table1[[#This Row],[- LNST chưa phân phối kỳ này]]/Table1[[#This Row],[TỔNG CỘNG TÀI SẢN]]</f>
        <v>3.0277375438455351E-2</v>
      </c>
      <c r="S1917" s="21">
        <f>Table1[[#This Row],[5. Lợi nhuận gộp về bán hàng và cung cấp dịch vụ]]/Table1[[#This Row],[TỔNG CỘNG TÀI SẢN]]</f>
        <v>0.22677230916011307</v>
      </c>
      <c r="T191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917" s="23">
        <f>Table1[[#This Row],[1. Doanh thu bán hàng và cung cấp dịch vụ ]]/Table1[[#This Row],[TỔNG CỘNG TÀI SẢN]]</f>
        <v>1.5475927252011106</v>
      </c>
      <c r="V1917" s="23" t="e">
        <f>1.2*Table1[[#This Row],[X1]] + 1.4*Table1[[#This Row],[X2]] + 3.3*Table1[[#This Row],[x3]] + 0.6*Table1[[#This Row],[x4]] + 1*Table1[[#This Row],[x5]]</f>
        <v>#DIV/0!</v>
      </c>
      <c r="W1917" s="23" t="e">
        <f>IF(Table1[[#This Row],[Zscore]]&lt;1.81,1,0)</f>
        <v>#DIV/0!</v>
      </c>
    </row>
    <row r="1918" spans="1:23" ht="26.25" x14ac:dyDescent="0.45">
      <c r="A1918" s="7">
        <v>1912</v>
      </c>
      <c r="B1918" s="5" t="s">
        <v>3835</v>
      </c>
      <c r="C1918" s="6" t="s">
        <v>3836</v>
      </c>
      <c r="D1918" s="6" t="s">
        <v>18</v>
      </c>
      <c r="E1918" s="8">
        <v>301612693005</v>
      </c>
      <c r="F1918" s="8">
        <v>189374737045</v>
      </c>
      <c r="G1918" s="8">
        <v>24113795489</v>
      </c>
      <c r="H1918" s="8">
        <v>40556604886</v>
      </c>
      <c r="I1918" s="8">
        <v>55498711296</v>
      </c>
      <c r="J1918" s="8"/>
      <c r="K1918" s="8">
        <v>29015544644</v>
      </c>
      <c r="L1918" s="8">
        <v>118503419523</v>
      </c>
      <c r="M1918" s="8">
        <v>418000000000</v>
      </c>
      <c r="N1918" s="8">
        <v>300000000000</v>
      </c>
      <c r="O1918" s="8">
        <v>300000000000</v>
      </c>
      <c r="P1918" s="8">
        <v>362000000000</v>
      </c>
      <c r="Q1918" s="18">
        <f>(Table1[[#This Row],[A. TÀI SẢN NGẮN HẠN]]-Table1[[#This Row],[I. Nợ ngắn hạn]])/Table1[[#This Row],[TỔNG CỘNG TÀI SẢN]]</f>
        <v>0.54792435924856908</v>
      </c>
      <c r="R1918" s="18">
        <f>Table1[[#This Row],[- LNST chưa phân phối kỳ này]]/Table1[[#This Row],[TỔNG CỘNG TÀI SẢN]]</f>
        <v>0.13446584254107524</v>
      </c>
      <c r="S1918" s="21">
        <f>Table1[[#This Row],[5. Lợi nhuận gộp về bán hàng và cung cấp dịch vụ]]/Table1[[#This Row],[TỔNG CỘNG TÀI SẢN]]</f>
        <v>0.18400655072921604</v>
      </c>
      <c r="T191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11.890178324512032</v>
      </c>
      <c r="U1918" s="23">
        <f>Table1[[#This Row],[1. Doanh thu bán hàng và cung cấp dịch vụ ]]/Table1[[#This Row],[TỔNG CỘNG TÀI SẢN]]</f>
        <v>0.3928993118371033</v>
      </c>
      <c r="V1918" s="23">
        <f>1.2*Table1[[#This Row],[X1]] + 1.4*Table1[[#This Row],[X2]] + 3.3*Table1[[#This Row],[x3]] + 0.6*Table1[[#This Row],[x4]] + 1*Table1[[#This Row],[x5]]</f>
        <v>8.9799893346065236</v>
      </c>
      <c r="W1918" s="23">
        <f>IF(Table1[[#This Row],[Zscore]]&lt;1.81,1,0)</f>
        <v>0</v>
      </c>
    </row>
    <row r="1919" spans="1:23" x14ac:dyDescent="0.45">
      <c r="A1919" s="7">
        <v>1913</v>
      </c>
      <c r="B1919" s="5" t="s">
        <v>3837</v>
      </c>
      <c r="C1919" s="6" t="s">
        <v>3838</v>
      </c>
      <c r="D1919" s="6" t="s">
        <v>18</v>
      </c>
      <c r="E1919" s="8">
        <v>380798042582</v>
      </c>
      <c r="F1919" s="8">
        <v>273334457644</v>
      </c>
      <c r="G1919" s="8">
        <v>77620569686</v>
      </c>
      <c r="H1919" s="8">
        <v>24972625820</v>
      </c>
      <c r="I1919" s="8">
        <v>79869348098</v>
      </c>
      <c r="J1919" s="8"/>
      <c r="K1919" s="8">
        <v>92026632721</v>
      </c>
      <c r="L1919" s="8">
        <v>128065445257</v>
      </c>
      <c r="M1919" s="8">
        <v>566784550000</v>
      </c>
      <c r="N1919" s="8">
        <v>637400330000</v>
      </c>
      <c r="O1919" s="8">
        <v>596517510000</v>
      </c>
      <c r="P1919" s="8">
        <v>1003487400000</v>
      </c>
      <c r="Q1919" s="18">
        <f>(Table1[[#This Row],[A. TÀI SẢN NGẮN HẠN]]-Table1[[#This Row],[I. Nợ ngắn hạn]])/Table1[[#This Row],[TỔNG CỘNG TÀI SẢN]]</f>
        <v>0.51395717958780085</v>
      </c>
      <c r="R1919" s="18">
        <f>Table1[[#This Row],[- LNST chưa phân phối kỳ này]]/Table1[[#This Row],[TỔNG CỘNG TÀI SẢN]]</f>
        <v>6.5579711625283532E-2</v>
      </c>
      <c r="S1919" s="21">
        <f>Table1[[#This Row],[5. Lợi nhuận gộp về bán hàng và cung cấp dịch vụ]]/Table1[[#This Row],[TỔNG CỘNG TÀI SẢN]]</f>
        <v>0.20974201326363476</v>
      </c>
      <c r="T191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7.6178756819820554</v>
      </c>
      <c r="U1919" s="23">
        <f>Table1[[#This Row],[1. Doanh thu bán hàng và cung cấp dịch vụ ]]/Table1[[#This Row],[TỔNG CỘNG TÀI SẢN]]</f>
        <v>0.33630804504312212</v>
      </c>
      <c r="V1919" s="23">
        <f>1.2*Table1[[#This Row],[X1]] + 1.4*Table1[[#This Row],[X2]] + 3.3*Table1[[#This Row],[x3]] + 0.6*Table1[[#This Row],[x4]] + 1*Table1[[#This Row],[x5]]</f>
        <v>6.3077423097831078</v>
      </c>
      <c r="W1919" s="23">
        <f>IF(Table1[[#This Row],[Zscore]]&lt;1.81,1,0)</f>
        <v>0</v>
      </c>
    </row>
    <row r="1920" spans="1:23" hidden="1" x14ac:dyDescent="0.45">
      <c r="A1920" s="7">
        <v>1914</v>
      </c>
      <c r="B1920" s="5" t="s">
        <v>3839</v>
      </c>
      <c r="C1920" s="6" t="s">
        <v>3840</v>
      </c>
      <c r="D1920" s="6" t="s">
        <v>18</v>
      </c>
      <c r="E1920" s="6"/>
      <c r="F1920" s="6"/>
      <c r="G1920" s="6"/>
      <c r="H1920" s="6"/>
      <c r="I1920" s="6"/>
      <c r="J1920" s="8"/>
      <c r="K1920" s="6"/>
      <c r="L1920" s="6"/>
      <c r="M1920" s="8"/>
      <c r="N1920" s="8"/>
      <c r="O1920" s="8"/>
      <c r="P1920" s="8"/>
      <c r="Q1920" s="18" t="e">
        <f>(Table1[[#This Row],[A. TÀI SẢN NGẮN HẠN]]-Table1[[#This Row],[I. Nợ ngắn hạn]])/Table1[[#This Row],[TỔNG CỘNG TÀI SẢN]]</f>
        <v>#DIV/0!</v>
      </c>
      <c r="R1920" s="18" t="e">
        <f>Table1[[#This Row],[- LNST chưa phân phối kỳ này]]/Table1[[#This Row],[TỔNG CỘNG TÀI SẢN]]</f>
        <v>#DIV/0!</v>
      </c>
      <c r="S1920" s="21" t="e">
        <f>Table1[[#This Row],[5. Lợi nhuận gộp về bán hàng và cung cấp dịch vụ]]/Table1[[#This Row],[TỔNG CỘNG TÀI SẢN]]</f>
        <v>#DIV/0!</v>
      </c>
      <c r="T192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920" s="23" t="e">
        <f>Table1[[#This Row],[1. Doanh thu bán hàng và cung cấp dịch vụ ]]/Table1[[#This Row],[TỔNG CỘNG TÀI SẢN]]</f>
        <v>#DIV/0!</v>
      </c>
      <c r="V1920" s="23" t="e">
        <f>1.2*Table1[[#This Row],[X1]] + 1.4*Table1[[#This Row],[X2]] + 3.3*Table1[[#This Row],[x3]] + 0.6*Table1[[#This Row],[x4]] + 1*Table1[[#This Row],[x5]]</f>
        <v>#DIV/0!</v>
      </c>
      <c r="W1920" s="23" t="e">
        <f>IF(Table1[[#This Row],[Zscore]]&lt;1.81,1,0)</f>
        <v>#DIV/0!</v>
      </c>
    </row>
    <row r="1921" spans="1:23" ht="26.25" x14ac:dyDescent="0.45">
      <c r="A1921" s="7">
        <v>1915</v>
      </c>
      <c r="B1921" s="5" t="s">
        <v>3841</v>
      </c>
      <c r="C1921" s="6" t="s">
        <v>3842</v>
      </c>
      <c r="D1921" s="6" t="s">
        <v>36</v>
      </c>
      <c r="E1921" s="8">
        <v>115805076454</v>
      </c>
      <c r="F1921" s="8">
        <v>28891005355</v>
      </c>
      <c r="G1921" s="8">
        <v>53198990816</v>
      </c>
      <c r="H1921" s="8">
        <v>11986879720</v>
      </c>
      <c r="I1921" s="8">
        <v>35309368437</v>
      </c>
      <c r="J1921" s="8"/>
      <c r="K1921" s="8">
        <v>61595004554</v>
      </c>
      <c r="L1921" s="8">
        <v>188114337193</v>
      </c>
      <c r="M1921" s="8">
        <v>97200000000</v>
      </c>
      <c r="N1921" s="8">
        <v>92664000000</v>
      </c>
      <c r="O1921" s="8">
        <v>83592000000</v>
      </c>
      <c r="P1921" s="8">
        <v>96552000000</v>
      </c>
      <c r="Q1921" s="18">
        <f>(Table1[[#This Row],[A. TÀI SẢN NGẮN HẠN]]-Table1[[#This Row],[I. Nợ ngắn hạn]])/Table1[[#This Row],[TỔNG CỘNG TÀI SẢN]]</f>
        <v>-0.20990431685139121</v>
      </c>
      <c r="R1921" s="18">
        <f>Table1[[#This Row],[- LNST chưa phân phối kỳ này]]/Table1[[#This Row],[TỔNG CỘNG TÀI SẢN]]</f>
        <v>0.10350910415193602</v>
      </c>
      <c r="S1921" s="21">
        <f>Table1[[#This Row],[5. Lợi nhuận gộp về bán hàng và cung cấp dịch vụ]]/Table1[[#This Row],[TỔNG CỘNG TÀI SẢN]]</f>
        <v>0.30490345948716296</v>
      </c>
      <c r="T192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1.501777630666526</v>
      </c>
      <c r="U1921" s="23">
        <f>Table1[[#This Row],[1. Doanh thu bán hàng và cung cấp dịch vụ ]]/Table1[[#This Row],[TỔNG CỘNG TÀI SẢN]]</f>
        <v>1.624404930708911</v>
      </c>
      <c r="V1921" s="23">
        <f>1.2*Table1[[#This Row],[X1]] + 1.4*Table1[[#This Row],[X2]] + 3.3*Table1[[#This Row],[x3]] + 0.6*Table1[[#This Row],[x4]] + 1*Table1[[#This Row],[x5]]</f>
        <v>3.4246804910075053</v>
      </c>
      <c r="W1921" s="23">
        <f>IF(Table1[[#This Row],[Zscore]]&lt;1.81,1,0)</f>
        <v>0</v>
      </c>
    </row>
    <row r="1922" spans="1:23" ht="26.25" x14ac:dyDescent="0.45">
      <c r="A1922" s="7">
        <v>1916</v>
      </c>
      <c r="B1922" s="5" t="s">
        <v>3843</v>
      </c>
      <c r="C1922" s="6" t="s">
        <v>3844</v>
      </c>
      <c r="D1922" s="6" t="s">
        <v>36</v>
      </c>
      <c r="E1922" s="8">
        <v>60516076768</v>
      </c>
      <c r="F1922" s="8">
        <v>44412952117</v>
      </c>
      <c r="G1922" s="8">
        <v>18218862665</v>
      </c>
      <c r="H1922" s="8">
        <v>2934371226</v>
      </c>
      <c r="I1922" s="8">
        <v>10132727496</v>
      </c>
      <c r="J1922" s="8"/>
      <c r="K1922" s="8">
        <v>19234281665</v>
      </c>
      <c r="L1922" s="8">
        <v>88085201802</v>
      </c>
      <c r="M1922" s="8">
        <v>47250000000</v>
      </c>
      <c r="N1922" s="8">
        <v>78300000000</v>
      </c>
      <c r="O1922" s="8">
        <v>44550000000</v>
      </c>
      <c r="P1922" s="8">
        <v>55080000000</v>
      </c>
      <c r="Q1922" s="18">
        <f>(Table1[[#This Row],[A. TÀI SẢN NGẮN HẠN]]-Table1[[#This Row],[I. Nợ ngắn hạn]])/Table1[[#This Row],[TỔNG CỘNG TÀI SẢN]]</f>
        <v>0.43284513555662357</v>
      </c>
      <c r="R1922" s="18">
        <f>Table1[[#This Row],[- LNST chưa phân phối kỳ này]]/Table1[[#This Row],[TỔNG CỘNG TÀI SẢN]]</f>
        <v>4.8489118639489397E-2</v>
      </c>
      <c r="S1922" s="21">
        <f>Table1[[#This Row],[5. Lợi nhuận gộp về bán hàng và cung cấp dịch vụ]]/Table1[[#This Row],[TỔNG CỘNG TÀI SẢN]]</f>
        <v>0.16743860536177446</v>
      </c>
      <c r="T192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2.9268054289980681</v>
      </c>
      <c r="U1922" s="23">
        <f>Table1[[#This Row],[1. Doanh thu bán hàng và cung cấp dịch vụ ]]/Table1[[#This Row],[TỔNG CỘNG TÀI SẢN]]</f>
        <v>1.4555669585074316</v>
      </c>
      <c r="V1922" s="23">
        <f>1.2*Table1[[#This Row],[X1]] + 1.4*Table1[[#This Row],[X2]] + 3.3*Table1[[#This Row],[x3]] + 0.6*Table1[[#This Row],[x4]] + 1*Table1[[#This Row],[x5]]</f>
        <v>4.3514965423633614</v>
      </c>
      <c r="W1922" s="23">
        <f>IF(Table1[[#This Row],[Zscore]]&lt;1.81,1,0)</f>
        <v>0</v>
      </c>
    </row>
    <row r="1923" spans="1:23" x14ac:dyDescent="0.45">
      <c r="A1923" s="7">
        <v>1917</v>
      </c>
      <c r="B1923" s="5" t="s">
        <v>3845</v>
      </c>
      <c r="C1923" s="6" t="s">
        <v>3846</v>
      </c>
      <c r="D1923" s="6" t="s">
        <v>18</v>
      </c>
      <c r="E1923" s="8">
        <v>7775430649164</v>
      </c>
      <c r="F1923" s="8">
        <v>5588844129990</v>
      </c>
      <c r="G1923" s="8">
        <v>1795184177010</v>
      </c>
      <c r="H1923" s="8">
        <v>655090555747</v>
      </c>
      <c r="I1923" s="8">
        <v>1525837483765</v>
      </c>
      <c r="J1923" s="8"/>
      <c r="K1923" s="8">
        <v>1830310118610</v>
      </c>
      <c r="L1923" s="8">
        <v>10785792298804</v>
      </c>
      <c r="M1923" s="8">
        <v>6300000000000</v>
      </c>
      <c r="N1923" s="8">
        <v>5625000000000</v>
      </c>
      <c r="O1923" s="8">
        <v>5985000000000</v>
      </c>
      <c r="P1923" s="8">
        <v>5940000000000</v>
      </c>
      <c r="Q1923" s="18">
        <f>(Table1[[#This Row],[A. TÀI SẢN NGẮN HẠN]]-Table1[[#This Row],[I. Nợ ngắn hạn]])/Table1[[#This Row],[TỔNG CỘNG TÀI SẢN]]</f>
        <v>0.48790351610786825</v>
      </c>
      <c r="R1923" s="18">
        <f>Table1[[#This Row],[- LNST chưa phân phối kỳ này]]/Table1[[#This Row],[TỔNG CỘNG TÀI SẢN]]</f>
        <v>8.4251353436923027E-2</v>
      </c>
      <c r="S1923" s="21">
        <f>Table1[[#This Row],[5. Lợi nhuận gộp về bán hàng và cung cấp dịch vụ]]/Table1[[#This Row],[TỔNG CỘNG TÀI SẢN]]</f>
        <v>0.19623832461666355</v>
      </c>
      <c r="T192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3.257644668723203</v>
      </c>
      <c r="U1923" s="23">
        <f>Table1[[#This Row],[1. Doanh thu bán hàng và cung cấp dịch vụ ]]/Table1[[#This Row],[TỔNG CỘNG TÀI SẢN]]</f>
        <v>1.3871633335143525</v>
      </c>
      <c r="V1923" s="23">
        <f>1.2*Table1[[#This Row],[X1]] + 1.4*Table1[[#This Row],[X2]] + 3.3*Table1[[#This Row],[x3]] + 0.6*Table1[[#This Row],[x4]] + 1*Table1[[#This Row],[x5]]</f>
        <v>4.6927727201243981</v>
      </c>
      <c r="W1923" s="23">
        <f>IF(Table1[[#This Row],[Zscore]]&lt;1.81,1,0)</f>
        <v>0</v>
      </c>
    </row>
    <row r="1924" spans="1:23" ht="26.25" hidden="1" x14ac:dyDescent="0.45">
      <c r="A1924" s="7">
        <v>1918</v>
      </c>
      <c r="B1924" s="5" t="s">
        <v>3847</v>
      </c>
      <c r="C1924" s="6" t="s">
        <v>3848</v>
      </c>
      <c r="D1924" s="6" t="s">
        <v>13</v>
      </c>
      <c r="E1924" s="6"/>
      <c r="F1924" s="6"/>
      <c r="G1924" s="6"/>
      <c r="H1924" s="6"/>
      <c r="I1924" s="6"/>
      <c r="J1924" s="8"/>
      <c r="K1924" s="6"/>
      <c r="L1924" s="6"/>
      <c r="M1924" s="8"/>
      <c r="N1924" s="8"/>
      <c r="O1924" s="8"/>
      <c r="P1924" s="8"/>
      <c r="Q1924" s="18" t="e">
        <f>(Table1[[#This Row],[A. TÀI SẢN NGẮN HẠN]]-Table1[[#This Row],[I. Nợ ngắn hạn]])/Table1[[#This Row],[TỔNG CỘNG TÀI SẢN]]</f>
        <v>#DIV/0!</v>
      </c>
      <c r="R1924" s="18" t="e">
        <f>Table1[[#This Row],[- LNST chưa phân phối kỳ này]]/Table1[[#This Row],[TỔNG CỘNG TÀI SẢN]]</f>
        <v>#DIV/0!</v>
      </c>
      <c r="S1924" s="21" t="e">
        <f>Table1[[#This Row],[5. Lợi nhuận gộp về bán hàng và cung cấp dịch vụ]]/Table1[[#This Row],[TỔNG CỘNG TÀI SẢN]]</f>
        <v>#DIV/0!</v>
      </c>
      <c r="T192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924" s="23" t="e">
        <f>Table1[[#This Row],[1. Doanh thu bán hàng và cung cấp dịch vụ ]]/Table1[[#This Row],[TỔNG CỘNG TÀI SẢN]]</f>
        <v>#DIV/0!</v>
      </c>
      <c r="V1924" s="23" t="e">
        <f>1.2*Table1[[#This Row],[X1]] + 1.4*Table1[[#This Row],[X2]] + 3.3*Table1[[#This Row],[x3]] + 0.6*Table1[[#This Row],[x4]] + 1*Table1[[#This Row],[x5]]</f>
        <v>#DIV/0!</v>
      </c>
      <c r="W1924" s="23" t="e">
        <f>IF(Table1[[#This Row],[Zscore]]&lt;1.81,1,0)</f>
        <v>#DIV/0!</v>
      </c>
    </row>
    <row r="1925" spans="1:23" ht="26.25" hidden="1" x14ac:dyDescent="0.45">
      <c r="A1925" s="7">
        <v>1919</v>
      </c>
      <c r="B1925" s="5" t="s">
        <v>3849</v>
      </c>
      <c r="C1925" s="6" t="s">
        <v>3850</v>
      </c>
      <c r="D1925" s="6" t="s">
        <v>13</v>
      </c>
      <c r="E1925" s="6"/>
      <c r="F1925" s="6"/>
      <c r="G1925" s="6"/>
      <c r="H1925" s="6"/>
      <c r="I1925" s="6"/>
      <c r="J1925" s="8"/>
      <c r="K1925" s="6"/>
      <c r="L1925" s="6"/>
      <c r="M1925" s="8"/>
      <c r="N1925" s="8"/>
      <c r="O1925" s="8"/>
      <c r="P1925" s="8"/>
      <c r="Q1925" s="18" t="e">
        <f>(Table1[[#This Row],[A. TÀI SẢN NGẮN HẠN]]-Table1[[#This Row],[I. Nợ ngắn hạn]])/Table1[[#This Row],[TỔNG CỘNG TÀI SẢN]]</f>
        <v>#DIV/0!</v>
      </c>
      <c r="R1925" s="18" t="e">
        <f>Table1[[#This Row],[- LNST chưa phân phối kỳ này]]/Table1[[#This Row],[TỔNG CỘNG TÀI SẢN]]</f>
        <v>#DIV/0!</v>
      </c>
      <c r="S1925" s="21" t="e">
        <f>Table1[[#This Row],[5. Lợi nhuận gộp về bán hàng và cung cấp dịch vụ]]/Table1[[#This Row],[TỔNG CỘNG TÀI SẢN]]</f>
        <v>#DIV/0!</v>
      </c>
      <c r="T192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925" s="23" t="e">
        <f>Table1[[#This Row],[1. Doanh thu bán hàng và cung cấp dịch vụ ]]/Table1[[#This Row],[TỔNG CỘNG TÀI SẢN]]</f>
        <v>#DIV/0!</v>
      </c>
      <c r="V1925" s="23" t="e">
        <f>1.2*Table1[[#This Row],[X1]] + 1.4*Table1[[#This Row],[X2]] + 3.3*Table1[[#This Row],[x3]] + 0.6*Table1[[#This Row],[x4]] + 1*Table1[[#This Row],[x5]]</f>
        <v>#DIV/0!</v>
      </c>
      <c r="W1925" s="23" t="e">
        <f>IF(Table1[[#This Row],[Zscore]]&lt;1.81,1,0)</f>
        <v>#DIV/0!</v>
      </c>
    </row>
    <row r="1926" spans="1:23" hidden="1" x14ac:dyDescent="0.45">
      <c r="A1926" s="7">
        <v>1920</v>
      </c>
      <c r="B1926" s="5" t="s">
        <v>3851</v>
      </c>
      <c r="C1926" s="6" t="s">
        <v>3852</v>
      </c>
      <c r="D1926" s="6" t="s">
        <v>13</v>
      </c>
      <c r="E1926" s="6"/>
      <c r="F1926" s="6"/>
      <c r="G1926" s="6"/>
      <c r="H1926" s="6"/>
      <c r="I1926" s="6"/>
      <c r="J1926" s="8"/>
      <c r="K1926" s="6"/>
      <c r="L1926" s="6"/>
      <c r="M1926" s="8"/>
      <c r="N1926" s="8"/>
      <c r="O1926" s="8"/>
      <c r="P1926" s="8"/>
      <c r="Q1926" s="18" t="e">
        <f>(Table1[[#This Row],[A. TÀI SẢN NGẮN HẠN]]-Table1[[#This Row],[I. Nợ ngắn hạn]])/Table1[[#This Row],[TỔNG CỘNG TÀI SẢN]]</f>
        <v>#DIV/0!</v>
      </c>
      <c r="R1926" s="18" t="e">
        <f>Table1[[#This Row],[- LNST chưa phân phối kỳ này]]/Table1[[#This Row],[TỔNG CỘNG TÀI SẢN]]</f>
        <v>#DIV/0!</v>
      </c>
      <c r="S1926" s="21" t="e">
        <f>Table1[[#This Row],[5. Lợi nhuận gộp về bán hàng và cung cấp dịch vụ]]/Table1[[#This Row],[TỔNG CỘNG TÀI SẢN]]</f>
        <v>#DIV/0!</v>
      </c>
      <c r="T192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926" s="23" t="e">
        <f>Table1[[#This Row],[1. Doanh thu bán hàng và cung cấp dịch vụ ]]/Table1[[#This Row],[TỔNG CỘNG TÀI SẢN]]</f>
        <v>#DIV/0!</v>
      </c>
      <c r="V1926" s="23" t="e">
        <f>1.2*Table1[[#This Row],[X1]] + 1.4*Table1[[#This Row],[X2]] + 3.3*Table1[[#This Row],[x3]] + 0.6*Table1[[#This Row],[x4]] + 1*Table1[[#This Row],[x5]]</f>
        <v>#DIV/0!</v>
      </c>
      <c r="W1926" s="23" t="e">
        <f>IF(Table1[[#This Row],[Zscore]]&lt;1.81,1,0)</f>
        <v>#DIV/0!</v>
      </c>
    </row>
    <row r="1927" spans="1:23" ht="26.25" x14ac:dyDescent="0.45">
      <c r="A1927" s="7">
        <v>1921</v>
      </c>
      <c r="B1927" s="5" t="s">
        <v>3853</v>
      </c>
      <c r="C1927" s="6" t="s">
        <v>3854</v>
      </c>
      <c r="D1927" s="6" t="s">
        <v>21</v>
      </c>
      <c r="E1927" s="8">
        <v>8079814754084</v>
      </c>
      <c r="F1927" s="8">
        <v>7376349348048</v>
      </c>
      <c r="G1927" s="8">
        <v>4680298727216</v>
      </c>
      <c r="H1927" s="8">
        <v>302264676062</v>
      </c>
      <c r="I1927" s="8">
        <v>1431871950210</v>
      </c>
      <c r="J1927" s="8"/>
      <c r="K1927" s="8">
        <v>4681136213610</v>
      </c>
      <c r="L1927" s="8">
        <v>6441201673780</v>
      </c>
      <c r="M1927" s="8">
        <v>3023488599600</v>
      </c>
      <c r="N1927" s="8">
        <v>2189909967000</v>
      </c>
      <c r="O1927" s="8">
        <v>2251133256400</v>
      </c>
      <c r="P1927" s="8">
        <v>2215812127900</v>
      </c>
      <c r="Q1927" s="18">
        <f>(Table1[[#This Row],[A. TÀI SẢN NGẮN HẠN]]-Table1[[#This Row],[I. Nợ ngắn hạn]])/Table1[[#This Row],[TỔNG CỘNG TÀI SẢN]]</f>
        <v>0.33367728133485508</v>
      </c>
      <c r="R1927" s="18">
        <f>Table1[[#This Row],[- LNST chưa phân phối kỳ này]]/Table1[[#This Row],[TỔNG CỘNG TÀI SẢN]]</f>
        <v>3.7409852238161546E-2</v>
      </c>
      <c r="S1927" s="21">
        <f>Table1[[#This Row],[5. Lợi nhuận gộp về bán hàng và cung cấp dịch vụ]]/Table1[[#This Row],[TỔNG CỘNG TÀI SẢN]]</f>
        <v>0.17721593796271753</v>
      </c>
      <c r="T192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0.51698687611114769</v>
      </c>
      <c r="U1927" s="23">
        <f>Table1[[#This Row],[1. Doanh thu bán hàng và cung cấp dịch vụ ]]/Table1[[#This Row],[TỔNG CỘNG TÀI SẢN]]</f>
        <v>0.79719670188283076</v>
      </c>
      <c r="V1927" s="23">
        <f>1.2*Table1[[#This Row],[X1]] + 1.4*Table1[[#This Row],[X2]] + 3.3*Table1[[#This Row],[x3]] + 0.6*Table1[[#This Row],[x4]] + 1*Table1[[#This Row],[x5]]</f>
        <v>2.1449879535617393</v>
      </c>
      <c r="W1927" s="23">
        <f>IF(Table1[[#This Row],[Zscore]]&lt;1.81,1,0)</f>
        <v>0</v>
      </c>
    </row>
    <row r="1928" spans="1:23" ht="26.25" hidden="1" x14ac:dyDescent="0.45">
      <c r="A1928" s="7">
        <v>1922</v>
      </c>
      <c r="B1928" s="5" t="s">
        <v>3855</v>
      </c>
      <c r="C1928" s="6" t="s">
        <v>3856</v>
      </c>
      <c r="D1928" s="6" t="s">
        <v>18</v>
      </c>
      <c r="E1928" s="6"/>
      <c r="F1928" s="6"/>
      <c r="G1928" s="6"/>
      <c r="H1928" s="6"/>
      <c r="I1928" s="6"/>
      <c r="J1928" s="8"/>
      <c r="K1928" s="6"/>
      <c r="L1928" s="6"/>
      <c r="M1928" s="8"/>
      <c r="N1928" s="8"/>
      <c r="O1928" s="8"/>
      <c r="P1928" s="8"/>
      <c r="Q1928" s="18" t="e">
        <f>(Table1[[#This Row],[A. TÀI SẢN NGẮN HẠN]]-Table1[[#This Row],[I. Nợ ngắn hạn]])/Table1[[#This Row],[TỔNG CỘNG TÀI SẢN]]</f>
        <v>#DIV/0!</v>
      </c>
      <c r="R1928" s="18" t="e">
        <f>Table1[[#This Row],[- LNST chưa phân phối kỳ này]]/Table1[[#This Row],[TỔNG CỘNG TÀI SẢN]]</f>
        <v>#DIV/0!</v>
      </c>
      <c r="S1928" s="21" t="e">
        <f>Table1[[#This Row],[5. Lợi nhuận gộp về bán hàng và cung cấp dịch vụ]]/Table1[[#This Row],[TỔNG CỘNG TÀI SẢN]]</f>
        <v>#DIV/0!</v>
      </c>
      <c r="T192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928" s="23" t="e">
        <f>Table1[[#This Row],[1. Doanh thu bán hàng và cung cấp dịch vụ ]]/Table1[[#This Row],[TỔNG CỘNG TÀI SẢN]]</f>
        <v>#DIV/0!</v>
      </c>
      <c r="V1928" s="23" t="e">
        <f>1.2*Table1[[#This Row],[X1]] + 1.4*Table1[[#This Row],[X2]] + 3.3*Table1[[#This Row],[x3]] + 0.6*Table1[[#This Row],[x4]] + 1*Table1[[#This Row],[x5]]</f>
        <v>#DIV/0!</v>
      </c>
      <c r="W1928" s="23" t="e">
        <f>IF(Table1[[#This Row],[Zscore]]&lt;1.81,1,0)</f>
        <v>#DIV/0!</v>
      </c>
    </row>
    <row r="1929" spans="1:23" hidden="1" x14ac:dyDescent="0.45">
      <c r="A1929" s="7">
        <v>1923</v>
      </c>
      <c r="B1929" s="5" t="s">
        <v>3857</v>
      </c>
      <c r="C1929" s="6" t="s">
        <v>3858</v>
      </c>
      <c r="D1929" s="6" t="s">
        <v>13</v>
      </c>
      <c r="E1929" s="6"/>
      <c r="F1929" s="6"/>
      <c r="G1929" s="6"/>
      <c r="H1929" s="6"/>
      <c r="I1929" s="6"/>
      <c r="J1929" s="8"/>
      <c r="K1929" s="6"/>
      <c r="L1929" s="6"/>
      <c r="M1929" s="8"/>
      <c r="N1929" s="8"/>
      <c r="O1929" s="8"/>
      <c r="P1929" s="8"/>
      <c r="Q1929" s="18" t="e">
        <f>(Table1[[#This Row],[A. TÀI SẢN NGẮN HẠN]]-Table1[[#This Row],[I. Nợ ngắn hạn]])/Table1[[#This Row],[TỔNG CỘNG TÀI SẢN]]</f>
        <v>#DIV/0!</v>
      </c>
      <c r="R1929" s="18" t="e">
        <f>Table1[[#This Row],[- LNST chưa phân phối kỳ này]]/Table1[[#This Row],[TỔNG CỘNG TÀI SẢN]]</f>
        <v>#DIV/0!</v>
      </c>
      <c r="S1929" s="21" t="e">
        <f>Table1[[#This Row],[5. Lợi nhuận gộp về bán hàng và cung cấp dịch vụ]]/Table1[[#This Row],[TỔNG CỘNG TÀI SẢN]]</f>
        <v>#DIV/0!</v>
      </c>
      <c r="T192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929" s="23" t="e">
        <f>Table1[[#This Row],[1. Doanh thu bán hàng và cung cấp dịch vụ ]]/Table1[[#This Row],[TỔNG CỘNG TÀI SẢN]]</f>
        <v>#DIV/0!</v>
      </c>
      <c r="V1929" s="23" t="e">
        <f>1.2*Table1[[#This Row],[X1]] + 1.4*Table1[[#This Row],[X2]] + 3.3*Table1[[#This Row],[x3]] + 0.6*Table1[[#This Row],[x4]] + 1*Table1[[#This Row],[x5]]</f>
        <v>#DIV/0!</v>
      </c>
      <c r="W1929" s="23" t="e">
        <f>IF(Table1[[#This Row],[Zscore]]&lt;1.81,1,0)</f>
        <v>#DIV/0!</v>
      </c>
    </row>
    <row r="1930" spans="1:23" ht="26.25" hidden="1" x14ac:dyDescent="0.45">
      <c r="A1930" s="7">
        <v>1924</v>
      </c>
      <c r="B1930" s="5" t="s">
        <v>3859</v>
      </c>
      <c r="C1930" s="6" t="s">
        <v>3860</v>
      </c>
      <c r="D1930" s="6" t="s">
        <v>18</v>
      </c>
      <c r="E1930" s="8">
        <v>224788093073</v>
      </c>
      <c r="F1930" s="8">
        <v>177601269648</v>
      </c>
      <c r="G1930" s="8">
        <v>64921294505</v>
      </c>
      <c r="H1930" s="8">
        <v>2428920487</v>
      </c>
      <c r="I1930" s="8">
        <v>22962432131</v>
      </c>
      <c r="J1930" s="8"/>
      <c r="K1930" s="8">
        <v>78445068317</v>
      </c>
      <c r="L1930" s="8">
        <v>336637614555</v>
      </c>
      <c r="M1930" s="8"/>
      <c r="N1930" s="8"/>
      <c r="O1930" s="8"/>
      <c r="P1930" s="8"/>
      <c r="Q1930" s="18">
        <f>(Table1[[#This Row],[A. TÀI SẢN NGẮN HẠN]]-Table1[[#This Row],[I. Nợ ngắn hạn]])/Table1[[#This Row],[TỔNG CỘNG TÀI SẢN]]</f>
        <v>0.50127199177941839</v>
      </c>
      <c r="R1930" s="18">
        <f>Table1[[#This Row],[- LNST chưa phân phối kỳ này]]/Table1[[#This Row],[TỔNG CỘNG TÀI SẢN]]</f>
        <v>1.0805378762705226E-2</v>
      </c>
      <c r="S1930" s="21">
        <f>Table1[[#This Row],[5. Lợi nhuận gộp về bán hàng và cung cấp dịch vụ]]/Table1[[#This Row],[TỔNG CỘNG TÀI SẢN]]</f>
        <v>0.10215146103643018</v>
      </c>
      <c r="T193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930" s="23">
        <f>Table1[[#This Row],[1. Doanh thu bán hàng và cung cấp dịch vụ ]]/Table1[[#This Row],[TỔNG CỘNG TÀI SẢN]]</f>
        <v>1.4975776072163967</v>
      </c>
      <c r="V1930" s="23" t="e">
        <f>1.2*Table1[[#This Row],[X1]] + 1.4*Table1[[#This Row],[X2]] + 3.3*Table1[[#This Row],[x3]] + 0.6*Table1[[#This Row],[x4]] + 1*Table1[[#This Row],[x5]]</f>
        <v>#DIV/0!</v>
      </c>
      <c r="W1930" s="23" t="e">
        <f>IF(Table1[[#This Row],[Zscore]]&lt;1.81,1,0)</f>
        <v>#DIV/0!</v>
      </c>
    </row>
    <row r="1931" spans="1:23" ht="26.25" x14ac:dyDescent="0.45">
      <c r="A1931" s="7">
        <v>1925</v>
      </c>
      <c r="B1931" s="5" t="s">
        <v>3861</v>
      </c>
      <c r="C1931" s="6" t="s">
        <v>3862</v>
      </c>
      <c r="D1931" s="6" t="s">
        <v>18</v>
      </c>
      <c r="E1931" s="8">
        <v>1169404018668</v>
      </c>
      <c r="F1931" s="8">
        <v>911701737585</v>
      </c>
      <c r="G1931" s="8">
        <v>748924905380</v>
      </c>
      <c r="H1931" s="8">
        <v>1326746013</v>
      </c>
      <c r="I1931" s="8">
        <v>43327479501</v>
      </c>
      <c r="J1931" s="8"/>
      <c r="K1931" s="8">
        <v>759584755510</v>
      </c>
      <c r="L1931" s="8">
        <v>654661848043</v>
      </c>
      <c r="M1931" s="8">
        <v>795205775200</v>
      </c>
      <c r="N1931" s="8">
        <v>497003609500</v>
      </c>
      <c r="O1931" s="8">
        <v>573959007100</v>
      </c>
      <c r="P1931" s="8">
        <v>817651099500</v>
      </c>
      <c r="Q1931" s="18">
        <f>(Table1[[#This Row],[A. TÀI SẢN NGẮN HẠN]]-Table1[[#This Row],[I. Nợ ngắn hạn]])/Table1[[#This Row],[TỔNG CỘNG TÀI SẢN]]</f>
        <v>0.13919640227541685</v>
      </c>
      <c r="R1931" s="18">
        <f>Table1[[#This Row],[- LNST chưa phân phối kỳ này]]/Table1[[#This Row],[TỔNG CỘNG TÀI SẢN]]</f>
        <v>1.13454887431567E-3</v>
      </c>
      <c r="S1931" s="21">
        <f>Table1[[#This Row],[5. Lợi nhuận gộp về bán hàng và cung cấp dịch vụ]]/Table1[[#This Row],[TỔNG CỘNG TÀI SẢN]]</f>
        <v>3.7050906965713878E-2</v>
      </c>
      <c r="T193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0.88331798124951555</v>
      </c>
      <c r="U1931" s="23">
        <f>Table1[[#This Row],[1. Doanh thu bán hàng và cung cấp dịch vụ ]]/Table1[[#This Row],[TỔNG CỘNG TÀI SẢN]]</f>
        <v>0.55982520804801683</v>
      </c>
      <c r="V1931" s="23">
        <f>1.2*Table1[[#This Row],[X1]] + 1.4*Table1[[#This Row],[X2]] + 3.3*Table1[[#This Row],[x3]] + 0.6*Table1[[#This Row],[x4]] + 1*Table1[[#This Row],[x5]]</f>
        <v>1.3807080409391241</v>
      </c>
      <c r="W1931" s="23">
        <f>IF(Table1[[#This Row],[Zscore]]&lt;1.81,1,0)</f>
        <v>1</v>
      </c>
    </row>
    <row r="1932" spans="1:23" hidden="1" x14ac:dyDescent="0.45">
      <c r="A1932" s="7">
        <v>1926</v>
      </c>
      <c r="B1932" s="5" t="s">
        <v>3863</v>
      </c>
      <c r="C1932" s="6" t="s">
        <v>3864</v>
      </c>
      <c r="D1932" s="6" t="s">
        <v>18</v>
      </c>
      <c r="E1932" s="6"/>
      <c r="F1932" s="6"/>
      <c r="G1932" s="6"/>
      <c r="H1932" s="6"/>
      <c r="I1932" s="6"/>
      <c r="J1932" s="8"/>
      <c r="K1932" s="6"/>
      <c r="L1932" s="6"/>
      <c r="M1932" s="8"/>
      <c r="N1932" s="8"/>
      <c r="O1932" s="8"/>
      <c r="P1932" s="8"/>
      <c r="Q1932" s="18" t="e">
        <f>(Table1[[#This Row],[A. TÀI SẢN NGẮN HẠN]]-Table1[[#This Row],[I. Nợ ngắn hạn]])/Table1[[#This Row],[TỔNG CỘNG TÀI SẢN]]</f>
        <v>#DIV/0!</v>
      </c>
      <c r="R1932" s="18" t="e">
        <f>Table1[[#This Row],[- LNST chưa phân phối kỳ này]]/Table1[[#This Row],[TỔNG CỘNG TÀI SẢN]]</f>
        <v>#DIV/0!</v>
      </c>
      <c r="S1932" s="21" t="e">
        <f>Table1[[#This Row],[5. Lợi nhuận gộp về bán hàng và cung cấp dịch vụ]]/Table1[[#This Row],[TỔNG CỘNG TÀI SẢN]]</f>
        <v>#DIV/0!</v>
      </c>
      <c r="T193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932" s="23" t="e">
        <f>Table1[[#This Row],[1. Doanh thu bán hàng và cung cấp dịch vụ ]]/Table1[[#This Row],[TỔNG CỘNG TÀI SẢN]]</f>
        <v>#DIV/0!</v>
      </c>
      <c r="V1932" s="23" t="e">
        <f>1.2*Table1[[#This Row],[X1]] + 1.4*Table1[[#This Row],[X2]] + 3.3*Table1[[#This Row],[x3]] + 0.6*Table1[[#This Row],[x4]] + 1*Table1[[#This Row],[x5]]</f>
        <v>#DIV/0!</v>
      </c>
      <c r="W1932" s="23" t="e">
        <f>IF(Table1[[#This Row],[Zscore]]&lt;1.81,1,0)</f>
        <v>#DIV/0!</v>
      </c>
    </row>
    <row r="1933" spans="1:23" x14ac:dyDescent="0.45">
      <c r="A1933" s="7">
        <v>1927</v>
      </c>
      <c r="B1933" s="5" t="s">
        <v>3865</v>
      </c>
      <c r="C1933" s="6" t="s">
        <v>3866</v>
      </c>
      <c r="D1933" s="6" t="s">
        <v>36</v>
      </c>
      <c r="E1933" s="8">
        <v>498583974515</v>
      </c>
      <c r="F1933" s="8">
        <v>336014513427</v>
      </c>
      <c r="G1933" s="8">
        <v>193308948514</v>
      </c>
      <c r="H1933" s="8">
        <v>7962350694</v>
      </c>
      <c r="I1933" s="8">
        <v>17694593565</v>
      </c>
      <c r="J1933" s="8"/>
      <c r="K1933" s="8">
        <v>205051031847</v>
      </c>
      <c r="L1933" s="8">
        <v>23852055670</v>
      </c>
      <c r="M1933" s="8">
        <v>191250253200</v>
      </c>
      <c r="N1933" s="8">
        <v>175283312400</v>
      </c>
      <c r="O1933" s="8">
        <v>191250253200</v>
      </c>
      <c r="P1933" s="8">
        <v>184320896200</v>
      </c>
      <c r="Q1933" s="18">
        <f>(Table1[[#This Row],[A. TÀI SẢN NGẮN HẠN]]-Table1[[#This Row],[I. Nợ ngắn hạn]])/Table1[[#This Row],[TỔNG CỘNG TÀI SẢN]]</f>
        <v>0.28622172433804666</v>
      </c>
      <c r="R1933" s="18">
        <f>Table1[[#This Row],[- LNST chưa phân phối kỳ này]]/Table1[[#This Row],[TỔNG CỘNG TÀI SẢN]]</f>
        <v>1.5969929041031485E-2</v>
      </c>
      <c r="S1933" s="21">
        <f>Table1[[#This Row],[5. Lợi nhuận gộp về bán hàng và cung cấp dịch vụ]]/Table1[[#This Row],[TỔNG CỘNG TÀI SẢN]]</f>
        <v>3.5489695757294451E-2</v>
      </c>
      <c r="T193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0.90478051770269274</v>
      </c>
      <c r="U1933" s="23">
        <f>Table1[[#This Row],[1. Doanh thu bán hàng và cung cấp dịch vụ ]]/Table1[[#This Row],[TỔNG CỘNG TÀI SẢN]]</f>
        <v>4.783959551287665E-2</v>
      </c>
      <c r="V1933" s="23">
        <f>1.2*Table1[[#This Row],[X1]] + 1.4*Table1[[#This Row],[X2]] + 3.3*Table1[[#This Row],[x3]] + 0.6*Table1[[#This Row],[x4]] + 1*Table1[[#This Row],[x5]]</f>
        <v>1.0736478719966642</v>
      </c>
      <c r="W1933" s="23">
        <f>IF(Table1[[#This Row],[Zscore]]&lt;1.81,1,0)</f>
        <v>1</v>
      </c>
    </row>
    <row r="1934" spans="1:23" hidden="1" x14ac:dyDescent="0.45">
      <c r="A1934" s="7">
        <v>1928</v>
      </c>
      <c r="B1934" s="5" t="s">
        <v>3867</v>
      </c>
      <c r="C1934" s="6" t="s">
        <v>3868</v>
      </c>
      <c r="D1934" s="6" t="s">
        <v>18</v>
      </c>
      <c r="E1934" s="6"/>
      <c r="F1934" s="6"/>
      <c r="G1934" s="6"/>
      <c r="H1934" s="6"/>
      <c r="I1934" s="6"/>
      <c r="J1934" s="8"/>
      <c r="K1934" s="6"/>
      <c r="L1934" s="6"/>
      <c r="M1934" s="8"/>
      <c r="N1934" s="8"/>
      <c r="O1934" s="8"/>
      <c r="P1934" s="8"/>
      <c r="Q1934" s="18" t="e">
        <f>(Table1[[#This Row],[A. TÀI SẢN NGẮN HẠN]]-Table1[[#This Row],[I. Nợ ngắn hạn]])/Table1[[#This Row],[TỔNG CỘNG TÀI SẢN]]</f>
        <v>#DIV/0!</v>
      </c>
      <c r="R1934" s="18" t="e">
        <f>Table1[[#This Row],[- LNST chưa phân phối kỳ này]]/Table1[[#This Row],[TỔNG CỘNG TÀI SẢN]]</f>
        <v>#DIV/0!</v>
      </c>
      <c r="S1934" s="21" t="e">
        <f>Table1[[#This Row],[5. Lợi nhuận gộp về bán hàng và cung cấp dịch vụ]]/Table1[[#This Row],[TỔNG CỘNG TÀI SẢN]]</f>
        <v>#DIV/0!</v>
      </c>
      <c r="T193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934" s="23" t="e">
        <f>Table1[[#This Row],[1. Doanh thu bán hàng và cung cấp dịch vụ ]]/Table1[[#This Row],[TỔNG CỘNG TÀI SẢN]]</f>
        <v>#DIV/0!</v>
      </c>
      <c r="V1934" s="23" t="e">
        <f>1.2*Table1[[#This Row],[X1]] + 1.4*Table1[[#This Row],[X2]] + 3.3*Table1[[#This Row],[x3]] + 0.6*Table1[[#This Row],[x4]] + 1*Table1[[#This Row],[x5]]</f>
        <v>#DIV/0!</v>
      </c>
      <c r="W1934" s="23" t="e">
        <f>IF(Table1[[#This Row],[Zscore]]&lt;1.81,1,0)</f>
        <v>#DIV/0!</v>
      </c>
    </row>
    <row r="1935" spans="1:23" hidden="1" x14ac:dyDescent="0.45">
      <c r="A1935" s="7">
        <v>1929</v>
      </c>
      <c r="B1935" s="5" t="s">
        <v>3869</v>
      </c>
      <c r="C1935" s="6" t="s">
        <v>3870</v>
      </c>
      <c r="D1935" s="6" t="s">
        <v>13</v>
      </c>
      <c r="E1935" s="6"/>
      <c r="F1935" s="6"/>
      <c r="G1935" s="6"/>
      <c r="H1935" s="6"/>
      <c r="I1935" s="6"/>
      <c r="J1935" s="8"/>
      <c r="K1935" s="6"/>
      <c r="L1935" s="6"/>
      <c r="M1935" s="8"/>
      <c r="N1935" s="8"/>
      <c r="O1935" s="8"/>
      <c r="P1935" s="8"/>
      <c r="Q1935" s="18" t="e">
        <f>(Table1[[#This Row],[A. TÀI SẢN NGẮN HẠN]]-Table1[[#This Row],[I. Nợ ngắn hạn]])/Table1[[#This Row],[TỔNG CỘNG TÀI SẢN]]</f>
        <v>#DIV/0!</v>
      </c>
      <c r="R1935" s="18" t="e">
        <f>Table1[[#This Row],[- LNST chưa phân phối kỳ này]]/Table1[[#This Row],[TỔNG CỘNG TÀI SẢN]]</f>
        <v>#DIV/0!</v>
      </c>
      <c r="S1935" s="21" t="e">
        <f>Table1[[#This Row],[5. Lợi nhuận gộp về bán hàng và cung cấp dịch vụ]]/Table1[[#This Row],[TỔNG CỘNG TÀI SẢN]]</f>
        <v>#DIV/0!</v>
      </c>
      <c r="T193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935" s="23" t="e">
        <f>Table1[[#This Row],[1. Doanh thu bán hàng và cung cấp dịch vụ ]]/Table1[[#This Row],[TỔNG CỘNG TÀI SẢN]]</f>
        <v>#DIV/0!</v>
      </c>
      <c r="V1935" s="23" t="e">
        <f>1.2*Table1[[#This Row],[X1]] + 1.4*Table1[[#This Row],[X2]] + 3.3*Table1[[#This Row],[x3]] + 0.6*Table1[[#This Row],[x4]] + 1*Table1[[#This Row],[x5]]</f>
        <v>#DIV/0!</v>
      </c>
      <c r="W1935" s="23" t="e">
        <f>IF(Table1[[#This Row],[Zscore]]&lt;1.81,1,0)</f>
        <v>#DIV/0!</v>
      </c>
    </row>
    <row r="1936" spans="1:23" x14ac:dyDescent="0.45">
      <c r="A1936" s="7">
        <v>1930</v>
      </c>
      <c r="B1936" s="5" t="s">
        <v>3871</v>
      </c>
      <c r="C1936" s="6" t="s">
        <v>3872</v>
      </c>
      <c r="D1936" s="6" t="s">
        <v>21</v>
      </c>
      <c r="E1936" s="8">
        <v>40074851708537</v>
      </c>
      <c r="F1936" s="8">
        <v>13701485517767</v>
      </c>
      <c r="G1936" s="8">
        <v>5147199579595</v>
      </c>
      <c r="H1936" s="8">
        <v>2529125816261</v>
      </c>
      <c r="I1936" s="8">
        <v>3775204691185</v>
      </c>
      <c r="J1936" s="8"/>
      <c r="K1936" s="8">
        <v>15278313579883</v>
      </c>
      <c r="L1936" s="8">
        <v>10025550895018</v>
      </c>
      <c r="M1936" s="8">
        <v>33630356760000</v>
      </c>
      <c r="N1936" s="8">
        <v>33041146479000</v>
      </c>
      <c r="O1936" s="8">
        <v>32076012540000</v>
      </c>
      <c r="P1936" s="8">
        <v>35478608104500</v>
      </c>
      <c r="Q1936" s="18">
        <f>(Table1[[#This Row],[A. TÀI SẢN NGẮN HẠN]]-Table1[[#This Row],[I. Nợ ngắn hạn]])/Table1[[#This Row],[TỔNG CỘNG TÀI SẢN]]</f>
        <v>0.21345770660330882</v>
      </c>
      <c r="R1936" s="18">
        <f>Table1[[#This Row],[- LNST chưa phân phối kỳ này]]/Table1[[#This Row],[TỔNG CỘNG TÀI SẢN]]</f>
        <v>6.3110048033496013E-2</v>
      </c>
      <c r="S1936" s="21">
        <f>Table1[[#This Row],[5. Lợi nhuận gộp về bán hàng và cung cấp dịch vụ]]/Table1[[#This Row],[TỔNG CỘNG TÀI SẢN]]</f>
        <v>9.4203834330864961E-2</v>
      </c>
      <c r="T193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2.1963504542189121</v>
      </c>
      <c r="U1936" s="23">
        <f>Table1[[#This Row],[1. Doanh thu bán hàng và cung cấp dịch vụ ]]/Table1[[#This Row],[TỔNG CỘNG TÀI SẢN]]</f>
        <v>0.25017062989860778</v>
      </c>
      <c r="V1936" s="23">
        <f>1.2*Table1[[#This Row],[X1]] + 1.4*Table1[[#This Row],[X2]] + 3.3*Table1[[#This Row],[x3]] + 0.6*Table1[[#This Row],[x4]] + 1*Table1[[#This Row],[x5]]</f>
        <v>2.2233568708926743</v>
      </c>
      <c r="W1936" s="23">
        <f>IF(Table1[[#This Row],[Zscore]]&lt;1.81,1,0)</f>
        <v>0</v>
      </c>
    </row>
    <row r="1937" spans="1:23" ht="26.25" hidden="1" x14ac:dyDescent="0.45">
      <c r="A1937" s="7">
        <v>1931</v>
      </c>
      <c r="B1937" s="5" t="s">
        <v>3873</v>
      </c>
      <c r="C1937" s="6" t="s">
        <v>3874</v>
      </c>
      <c r="D1937" s="6" t="s">
        <v>13</v>
      </c>
      <c r="E1937" s="6"/>
      <c r="F1937" s="6"/>
      <c r="G1937" s="6"/>
      <c r="H1937" s="6"/>
      <c r="I1937" s="6"/>
      <c r="J1937" s="8"/>
      <c r="K1937" s="6"/>
      <c r="L1937" s="6"/>
      <c r="M1937" s="8"/>
      <c r="N1937" s="8"/>
      <c r="O1937" s="8"/>
      <c r="P1937" s="8"/>
      <c r="Q1937" s="18" t="e">
        <f>(Table1[[#This Row],[A. TÀI SẢN NGẮN HẠN]]-Table1[[#This Row],[I. Nợ ngắn hạn]])/Table1[[#This Row],[TỔNG CỘNG TÀI SẢN]]</f>
        <v>#DIV/0!</v>
      </c>
      <c r="R1937" s="18" t="e">
        <f>Table1[[#This Row],[- LNST chưa phân phối kỳ này]]/Table1[[#This Row],[TỔNG CỘNG TÀI SẢN]]</f>
        <v>#DIV/0!</v>
      </c>
      <c r="S1937" s="21" t="e">
        <f>Table1[[#This Row],[5. Lợi nhuận gộp về bán hàng và cung cấp dịch vụ]]/Table1[[#This Row],[TỔNG CỘNG TÀI SẢN]]</f>
        <v>#DIV/0!</v>
      </c>
      <c r="T193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937" s="23" t="e">
        <f>Table1[[#This Row],[1. Doanh thu bán hàng và cung cấp dịch vụ ]]/Table1[[#This Row],[TỔNG CỘNG TÀI SẢN]]</f>
        <v>#DIV/0!</v>
      </c>
      <c r="V1937" s="23" t="e">
        <f>1.2*Table1[[#This Row],[X1]] + 1.4*Table1[[#This Row],[X2]] + 3.3*Table1[[#This Row],[x3]] + 0.6*Table1[[#This Row],[x4]] + 1*Table1[[#This Row],[x5]]</f>
        <v>#DIV/0!</v>
      </c>
      <c r="W1937" s="23" t="e">
        <f>IF(Table1[[#This Row],[Zscore]]&lt;1.81,1,0)</f>
        <v>#DIV/0!</v>
      </c>
    </row>
    <row r="1938" spans="1:23" ht="26.25" hidden="1" x14ac:dyDescent="0.45">
      <c r="A1938" s="7">
        <v>1932</v>
      </c>
      <c r="B1938" s="5" t="s">
        <v>3875</v>
      </c>
      <c r="C1938" s="6" t="s">
        <v>3876</v>
      </c>
      <c r="D1938" s="6" t="s">
        <v>13</v>
      </c>
      <c r="E1938" s="6"/>
      <c r="F1938" s="6"/>
      <c r="G1938" s="6"/>
      <c r="H1938" s="6"/>
      <c r="I1938" s="6"/>
      <c r="J1938" s="8"/>
      <c r="K1938" s="6"/>
      <c r="L1938" s="6"/>
      <c r="M1938" s="8"/>
      <c r="N1938" s="8"/>
      <c r="O1938" s="8"/>
      <c r="P1938" s="8"/>
      <c r="Q1938" s="18" t="e">
        <f>(Table1[[#This Row],[A. TÀI SẢN NGẮN HẠN]]-Table1[[#This Row],[I. Nợ ngắn hạn]])/Table1[[#This Row],[TỔNG CỘNG TÀI SẢN]]</f>
        <v>#DIV/0!</v>
      </c>
      <c r="R1938" s="18" t="e">
        <f>Table1[[#This Row],[- LNST chưa phân phối kỳ này]]/Table1[[#This Row],[TỔNG CỘNG TÀI SẢN]]</f>
        <v>#DIV/0!</v>
      </c>
      <c r="S1938" s="21" t="e">
        <f>Table1[[#This Row],[5. Lợi nhuận gộp về bán hàng và cung cấp dịch vụ]]/Table1[[#This Row],[TỔNG CỘNG TÀI SẢN]]</f>
        <v>#DIV/0!</v>
      </c>
      <c r="T193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938" s="23" t="e">
        <f>Table1[[#This Row],[1. Doanh thu bán hàng và cung cấp dịch vụ ]]/Table1[[#This Row],[TỔNG CỘNG TÀI SẢN]]</f>
        <v>#DIV/0!</v>
      </c>
      <c r="V1938" s="23" t="e">
        <f>1.2*Table1[[#This Row],[X1]] + 1.4*Table1[[#This Row],[X2]] + 3.3*Table1[[#This Row],[x3]] + 0.6*Table1[[#This Row],[x4]] + 1*Table1[[#This Row],[x5]]</f>
        <v>#DIV/0!</v>
      </c>
      <c r="W1938" s="23" t="e">
        <f>IF(Table1[[#This Row],[Zscore]]&lt;1.81,1,0)</f>
        <v>#DIV/0!</v>
      </c>
    </row>
    <row r="1939" spans="1:23" hidden="1" x14ac:dyDescent="0.45">
      <c r="A1939" s="7">
        <v>1933</v>
      </c>
      <c r="B1939" s="5" t="s">
        <v>3877</v>
      </c>
      <c r="C1939" s="6" t="s">
        <v>3878</v>
      </c>
      <c r="D1939" s="6" t="s">
        <v>13</v>
      </c>
      <c r="E1939" s="6"/>
      <c r="F1939" s="6"/>
      <c r="G1939" s="6"/>
      <c r="H1939" s="6"/>
      <c r="I1939" s="6"/>
      <c r="J1939" s="8"/>
      <c r="K1939" s="6"/>
      <c r="L1939" s="6"/>
      <c r="M1939" s="8"/>
      <c r="N1939" s="8"/>
      <c r="O1939" s="8"/>
      <c r="P1939" s="8"/>
      <c r="Q1939" s="18" t="e">
        <f>(Table1[[#This Row],[A. TÀI SẢN NGẮN HẠN]]-Table1[[#This Row],[I. Nợ ngắn hạn]])/Table1[[#This Row],[TỔNG CỘNG TÀI SẢN]]</f>
        <v>#DIV/0!</v>
      </c>
      <c r="R1939" s="18" t="e">
        <f>Table1[[#This Row],[- LNST chưa phân phối kỳ này]]/Table1[[#This Row],[TỔNG CỘNG TÀI SẢN]]</f>
        <v>#DIV/0!</v>
      </c>
      <c r="S1939" s="21" t="e">
        <f>Table1[[#This Row],[5. Lợi nhuận gộp về bán hàng và cung cấp dịch vụ]]/Table1[[#This Row],[TỔNG CỘNG TÀI SẢN]]</f>
        <v>#DIV/0!</v>
      </c>
      <c r="T193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939" s="23" t="e">
        <f>Table1[[#This Row],[1. Doanh thu bán hàng và cung cấp dịch vụ ]]/Table1[[#This Row],[TỔNG CỘNG TÀI SẢN]]</f>
        <v>#DIV/0!</v>
      </c>
      <c r="V1939" s="23" t="e">
        <f>1.2*Table1[[#This Row],[X1]] + 1.4*Table1[[#This Row],[X2]] + 3.3*Table1[[#This Row],[x3]] + 0.6*Table1[[#This Row],[x4]] + 1*Table1[[#This Row],[x5]]</f>
        <v>#DIV/0!</v>
      </c>
      <c r="W1939" s="23" t="e">
        <f>IF(Table1[[#This Row],[Zscore]]&lt;1.81,1,0)</f>
        <v>#DIV/0!</v>
      </c>
    </row>
    <row r="1940" spans="1:23" hidden="1" x14ac:dyDescent="0.45">
      <c r="A1940" s="7">
        <v>1934</v>
      </c>
      <c r="B1940" s="5" t="s">
        <v>3879</v>
      </c>
      <c r="C1940" s="6" t="s">
        <v>3880</v>
      </c>
      <c r="D1940" s="6" t="s">
        <v>13</v>
      </c>
      <c r="E1940" s="6"/>
      <c r="F1940" s="6"/>
      <c r="G1940" s="6"/>
      <c r="H1940" s="6"/>
      <c r="I1940" s="6"/>
      <c r="J1940" s="8"/>
      <c r="K1940" s="6"/>
      <c r="L1940" s="6"/>
      <c r="M1940" s="8"/>
      <c r="N1940" s="8"/>
      <c r="O1940" s="8"/>
      <c r="P1940" s="8"/>
      <c r="Q1940" s="18" t="e">
        <f>(Table1[[#This Row],[A. TÀI SẢN NGẮN HẠN]]-Table1[[#This Row],[I. Nợ ngắn hạn]])/Table1[[#This Row],[TỔNG CỘNG TÀI SẢN]]</f>
        <v>#DIV/0!</v>
      </c>
      <c r="R1940" s="18" t="e">
        <f>Table1[[#This Row],[- LNST chưa phân phối kỳ này]]/Table1[[#This Row],[TỔNG CỘNG TÀI SẢN]]</f>
        <v>#DIV/0!</v>
      </c>
      <c r="S1940" s="21" t="e">
        <f>Table1[[#This Row],[5. Lợi nhuận gộp về bán hàng và cung cấp dịch vụ]]/Table1[[#This Row],[TỔNG CỘNG TÀI SẢN]]</f>
        <v>#DIV/0!</v>
      </c>
      <c r="T194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940" s="23" t="e">
        <f>Table1[[#This Row],[1. Doanh thu bán hàng và cung cấp dịch vụ ]]/Table1[[#This Row],[TỔNG CỘNG TÀI SẢN]]</f>
        <v>#DIV/0!</v>
      </c>
      <c r="V1940" s="23" t="e">
        <f>1.2*Table1[[#This Row],[X1]] + 1.4*Table1[[#This Row],[X2]] + 3.3*Table1[[#This Row],[x3]] + 0.6*Table1[[#This Row],[x4]] + 1*Table1[[#This Row],[x5]]</f>
        <v>#DIV/0!</v>
      </c>
      <c r="W1940" s="23" t="e">
        <f>IF(Table1[[#This Row],[Zscore]]&lt;1.81,1,0)</f>
        <v>#DIV/0!</v>
      </c>
    </row>
    <row r="1941" spans="1:23" hidden="1" x14ac:dyDescent="0.45">
      <c r="A1941" s="7">
        <v>1935</v>
      </c>
      <c r="B1941" s="5" t="s">
        <v>3881</v>
      </c>
      <c r="C1941" s="6" t="s">
        <v>3882</v>
      </c>
      <c r="D1941" s="6" t="s">
        <v>13</v>
      </c>
      <c r="E1941" s="6"/>
      <c r="F1941" s="6"/>
      <c r="G1941" s="6"/>
      <c r="H1941" s="6"/>
      <c r="I1941" s="6"/>
      <c r="J1941" s="8"/>
      <c r="K1941" s="6"/>
      <c r="L1941" s="6"/>
      <c r="M1941" s="8"/>
      <c r="N1941" s="8"/>
      <c r="O1941" s="8"/>
      <c r="P1941" s="8"/>
      <c r="Q1941" s="18" t="e">
        <f>(Table1[[#This Row],[A. TÀI SẢN NGẮN HẠN]]-Table1[[#This Row],[I. Nợ ngắn hạn]])/Table1[[#This Row],[TỔNG CỘNG TÀI SẢN]]</f>
        <v>#DIV/0!</v>
      </c>
      <c r="R1941" s="18" t="e">
        <f>Table1[[#This Row],[- LNST chưa phân phối kỳ này]]/Table1[[#This Row],[TỔNG CỘNG TÀI SẢN]]</f>
        <v>#DIV/0!</v>
      </c>
      <c r="S1941" s="21" t="e">
        <f>Table1[[#This Row],[5. Lợi nhuận gộp về bán hàng và cung cấp dịch vụ]]/Table1[[#This Row],[TỔNG CỘNG TÀI SẢN]]</f>
        <v>#DIV/0!</v>
      </c>
      <c r="T194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941" s="23" t="e">
        <f>Table1[[#This Row],[1. Doanh thu bán hàng và cung cấp dịch vụ ]]/Table1[[#This Row],[TỔNG CỘNG TÀI SẢN]]</f>
        <v>#DIV/0!</v>
      </c>
      <c r="V1941" s="23" t="e">
        <f>1.2*Table1[[#This Row],[X1]] + 1.4*Table1[[#This Row],[X2]] + 3.3*Table1[[#This Row],[x3]] + 0.6*Table1[[#This Row],[x4]] + 1*Table1[[#This Row],[x5]]</f>
        <v>#DIV/0!</v>
      </c>
      <c r="W1941" s="23" t="e">
        <f>IF(Table1[[#This Row],[Zscore]]&lt;1.81,1,0)</f>
        <v>#DIV/0!</v>
      </c>
    </row>
    <row r="1942" spans="1:23" x14ac:dyDescent="0.45">
      <c r="A1942" s="7">
        <v>1936</v>
      </c>
      <c r="B1942" s="5" t="s">
        <v>3883</v>
      </c>
      <c r="C1942" s="6" t="s">
        <v>3884</v>
      </c>
      <c r="D1942" s="6" t="s">
        <v>18</v>
      </c>
      <c r="E1942" s="8">
        <v>5293175758924</v>
      </c>
      <c r="F1942" s="8">
        <v>5188757375739</v>
      </c>
      <c r="G1942" s="8">
        <v>2126988691391</v>
      </c>
      <c r="H1942" s="8">
        <v>147173752674</v>
      </c>
      <c r="I1942" s="8">
        <v>363363809553</v>
      </c>
      <c r="J1942" s="8"/>
      <c r="K1942" s="8">
        <v>2774920685032</v>
      </c>
      <c r="L1942" s="8">
        <v>713047034404</v>
      </c>
      <c r="M1942" s="8"/>
      <c r="N1942" s="8">
        <v>5760000000000</v>
      </c>
      <c r="O1942" s="8"/>
      <c r="P1942" s="8"/>
      <c r="Q1942" s="18">
        <f>(Table1[[#This Row],[A. TÀI SẢN NGẮN HẠN]]-Table1[[#This Row],[I. Nợ ngắn hạn]])/Table1[[#This Row],[TỔNG CỘNG TÀI SẢN]]</f>
        <v>0.57843699582165364</v>
      </c>
      <c r="R1942" s="18">
        <f>Table1[[#This Row],[- LNST chưa phân phối kỳ này]]/Table1[[#This Row],[TỔNG CỘNG TÀI SẢN]]</f>
        <v>2.7804433364199788E-2</v>
      </c>
      <c r="S1942" s="21">
        <f>Table1[[#This Row],[5. Lợi nhuận gộp về bán hàng và cung cấp dịch vụ]]/Table1[[#This Row],[TỔNG CỘNG TÀI SẢN]]</f>
        <v>6.8647599494573525E-2</v>
      </c>
      <c r="T194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2.0757350042722309</v>
      </c>
      <c r="U1942" s="23">
        <f>Table1[[#This Row],[1. Doanh thu bán hàng và cung cấp dịch vụ ]]/Table1[[#This Row],[TỔNG CỘNG TÀI SẢN]]</f>
        <v>0.1347106287188447</v>
      </c>
      <c r="V1942" s="23">
        <f>1.2*Table1[[#This Row],[X1]] + 1.4*Table1[[#This Row],[X2]] + 3.3*Table1[[#This Row],[x3]] + 0.6*Table1[[#This Row],[x4]] + 1*Table1[[#This Row],[x5]]</f>
        <v>2.3397393113101397</v>
      </c>
      <c r="W1942" s="23">
        <f>IF(Table1[[#This Row],[Zscore]]&lt;1.81,1,0)</f>
        <v>0</v>
      </c>
    </row>
    <row r="1943" spans="1:23" hidden="1" x14ac:dyDescent="0.45">
      <c r="A1943" s="7">
        <v>1937</v>
      </c>
      <c r="B1943" s="5" t="s">
        <v>3885</v>
      </c>
      <c r="C1943" s="6" t="s">
        <v>3886</v>
      </c>
      <c r="D1943" s="6" t="s">
        <v>13</v>
      </c>
      <c r="E1943" s="6"/>
      <c r="F1943" s="6"/>
      <c r="G1943" s="6"/>
      <c r="H1943" s="6"/>
      <c r="I1943" s="6"/>
      <c r="J1943" s="8"/>
      <c r="K1943" s="6"/>
      <c r="L1943" s="6"/>
      <c r="M1943" s="8"/>
      <c r="N1943" s="8"/>
      <c r="O1943" s="8"/>
      <c r="P1943" s="8"/>
      <c r="Q1943" s="18" t="e">
        <f>(Table1[[#This Row],[A. TÀI SẢN NGẮN HẠN]]-Table1[[#This Row],[I. Nợ ngắn hạn]])/Table1[[#This Row],[TỔNG CỘNG TÀI SẢN]]</f>
        <v>#DIV/0!</v>
      </c>
      <c r="R1943" s="18" t="e">
        <f>Table1[[#This Row],[- LNST chưa phân phối kỳ này]]/Table1[[#This Row],[TỔNG CỘNG TÀI SẢN]]</f>
        <v>#DIV/0!</v>
      </c>
      <c r="S1943" s="21" t="e">
        <f>Table1[[#This Row],[5. Lợi nhuận gộp về bán hàng và cung cấp dịch vụ]]/Table1[[#This Row],[TỔNG CỘNG TÀI SẢN]]</f>
        <v>#DIV/0!</v>
      </c>
      <c r="T194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943" s="23" t="e">
        <f>Table1[[#This Row],[1. Doanh thu bán hàng và cung cấp dịch vụ ]]/Table1[[#This Row],[TỔNG CỘNG TÀI SẢN]]</f>
        <v>#DIV/0!</v>
      </c>
      <c r="V1943" s="23" t="e">
        <f>1.2*Table1[[#This Row],[X1]] + 1.4*Table1[[#This Row],[X2]] + 3.3*Table1[[#This Row],[x3]] + 0.6*Table1[[#This Row],[x4]] + 1*Table1[[#This Row],[x5]]</f>
        <v>#DIV/0!</v>
      </c>
      <c r="W1943" s="23" t="e">
        <f>IF(Table1[[#This Row],[Zscore]]&lt;1.81,1,0)</f>
        <v>#DIV/0!</v>
      </c>
    </row>
    <row r="1944" spans="1:23" x14ac:dyDescent="0.45">
      <c r="A1944" s="7">
        <v>1938</v>
      </c>
      <c r="B1944" s="5" t="s">
        <v>3887</v>
      </c>
      <c r="C1944" s="6" t="s">
        <v>3888</v>
      </c>
      <c r="D1944" s="6" t="s">
        <v>18</v>
      </c>
      <c r="E1944" s="8">
        <v>926807768092</v>
      </c>
      <c r="F1944" s="8">
        <v>57544767825</v>
      </c>
      <c r="G1944" s="8">
        <v>221568524131</v>
      </c>
      <c r="H1944" s="8">
        <v>7338836323</v>
      </c>
      <c r="I1944" s="8">
        <v>57812329684</v>
      </c>
      <c r="J1944" s="8"/>
      <c r="K1944" s="8">
        <v>342818516338</v>
      </c>
      <c r="L1944" s="8">
        <v>157124428273</v>
      </c>
      <c r="M1944" s="8">
        <v>232216888200</v>
      </c>
      <c r="N1944" s="8">
        <v>350239661800</v>
      </c>
      <c r="O1944" s="8">
        <v>132057577400</v>
      </c>
      <c r="P1944" s="8">
        <v>235406985800</v>
      </c>
      <c r="Q1944" s="18">
        <f>(Table1[[#This Row],[A. TÀI SẢN NGẮN HẠN]]-Table1[[#This Row],[I. Nợ ngắn hạn]])/Table1[[#This Row],[TỔNG CỘNG TÀI SẢN]]</f>
        <v>-0.17697710566633718</v>
      </c>
      <c r="R1944" s="18">
        <f>Table1[[#This Row],[- LNST chưa phân phối kỳ này]]/Table1[[#This Row],[TỔNG CỘNG TÀI SẢN]]</f>
        <v>7.9184018257726849E-3</v>
      </c>
      <c r="S1944" s="21">
        <f>Table1[[#This Row],[5. Lợi nhuận gộp về bán hàng và cung cấp dịch vụ]]/Table1[[#This Row],[TỔNG CỘNG TÀI SẢN]]</f>
        <v>6.2377907991661583E-2</v>
      </c>
      <c r="T194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0.69272885501277193</v>
      </c>
      <c r="U1944" s="23">
        <f>Table1[[#This Row],[1. Doanh thu bán hàng và cung cấp dịch vụ ]]/Table1[[#This Row],[TỔNG CỘNG TÀI SẢN]]</f>
        <v>0.16953292115415564</v>
      </c>
      <c r="V1944" s="23">
        <f>1.2*Table1[[#This Row],[X1]] + 1.4*Table1[[#This Row],[X2]] + 3.3*Table1[[#This Row],[x3]] + 0.6*Table1[[#This Row],[x4]] + 1*Table1[[#This Row],[x5]]</f>
        <v>0.58973056629077913</v>
      </c>
      <c r="W1944" s="23">
        <f>IF(Table1[[#This Row],[Zscore]]&lt;1.81,1,0)</f>
        <v>1</v>
      </c>
    </row>
    <row r="1945" spans="1:23" hidden="1" x14ac:dyDescent="0.45">
      <c r="A1945" s="7">
        <v>1939</v>
      </c>
      <c r="B1945" s="5" t="s">
        <v>3889</v>
      </c>
      <c r="C1945" s="6" t="s">
        <v>3890</v>
      </c>
      <c r="D1945" s="6" t="s">
        <v>13</v>
      </c>
      <c r="E1945" s="8">
        <v>7688286654255</v>
      </c>
      <c r="F1945" s="8">
        <v>6647597843473</v>
      </c>
      <c r="G1945" s="8">
        <v>4763190884834</v>
      </c>
      <c r="H1945" s="8">
        <v>377139166475</v>
      </c>
      <c r="I1945" s="8">
        <v>522721287822</v>
      </c>
      <c r="J1945" s="8"/>
      <c r="K1945" s="8">
        <v>4766435103484</v>
      </c>
      <c r="L1945" s="8">
        <v>9042047614003</v>
      </c>
      <c r="M1945" s="8"/>
      <c r="N1945" s="8"/>
      <c r="O1945" s="8"/>
      <c r="P1945" s="8"/>
      <c r="Q1945" s="18">
        <f>(Table1[[#This Row],[A. TÀI SẢN NGẮN HẠN]]-Table1[[#This Row],[I. Nợ ngắn hạn]])/Table1[[#This Row],[TỔNG CỘNG TÀI SẢN]]</f>
        <v>0.24510102749565083</v>
      </c>
      <c r="R1945" s="18">
        <f>Table1[[#This Row],[- LNST chưa phân phối kỳ này]]/Table1[[#This Row],[TỔNG CỘNG TÀI SẢN]]</f>
        <v>4.9053733742650756E-2</v>
      </c>
      <c r="S1945" s="21">
        <f>Table1[[#This Row],[5. Lợi nhuận gộp về bán hàng và cung cấp dịch vụ]]/Table1[[#This Row],[TỔNG CỘNG TÀI SẢN]]</f>
        <v>6.798930780406133E-2</v>
      </c>
      <c r="T194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945" s="23">
        <f>Table1[[#This Row],[1. Doanh thu bán hàng và cung cấp dịch vụ ]]/Table1[[#This Row],[TỔNG CỘNG TÀI SẢN]]</f>
        <v>1.1760809684429203</v>
      </c>
      <c r="V1945" s="23" t="e">
        <f>1.2*Table1[[#This Row],[X1]] + 1.4*Table1[[#This Row],[X2]] + 3.3*Table1[[#This Row],[x3]] + 0.6*Table1[[#This Row],[x4]] + 1*Table1[[#This Row],[x5]]</f>
        <v>#DIV/0!</v>
      </c>
      <c r="W1945" s="23" t="e">
        <f>IF(Table1[[#This Row],[Zscore]]&lt;1.81,1,0)</f>
        <v>#DIV/0!</v>
      </c>
    </row>
    <row r="1946" spans="1:23" hidden="1" x14ac:dyDescent="0.45">
      <c r="A1946" s="7">
        <v>1940</v>
      </c>
      <c r="B1946" s="5" t="s">
        <v>3891</v>
      </c>
      <c r="C1946" s="6" t="s">
        <v>3892</v>
      </c>
      <c r="D1946" s="6" t="s">
        <v>13</v>
      </c>
      <c r="E1946" s="6"/>
      <c r="F1946" s="6"/>
      <c r="G1946" s="6"/>
      <c r="H1946" s="6"/>
      <c r="I1946" s="6"/>
      <c r="J1946" s="8"/>
      <c r="K1946" s="6"/>
      <c r="L1946" s="6"/>
      <c r="M1946" s="8"/>
      <c r="N1946" s="8"/>
      <c r="O1946" s="8"/>
      <c r="P1946" s="8"/>
      <c r="Q1946" s="18" t="e">
        <f>(Table1[[#This Row],[A. TÀI SẢN NGẮN HẠN]]-Table1[[#This Row],[I. Nợ ngắn hạn]])/Table1[[#This Row],[TỔNG CỘNG TÀI SẢN]]</f>
        <v>#DIV/0!</v>
      </c>
      <c r="R1946" s="18" t="e">
        <f>Table1[[#This Row],[- LNST chưa phân phối kỳ này]]/Table1[[#This Row],[TỔNG CỘNG TÀI SẢN]]</f>
        <v>#DIV/0!</v>
      </c>
      <c r="S1946" s="21" t="e">
        <f>Table1[[#This Row],[5. Lợi nhuận gộp về bán hàng và cung cấp dịch vụ]]/Table1[[#This Row],[TỔNG CỘNG TÀI SẢN]]</f>
        <v>#DIV/0!</v>
      </c>
      <c r="T194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946" s="23" t="e">
        <f>Table1[[#This Row],[1. Doanh thu bán hàng và cung cấp dịch vụ ]]/Table1[[#This Row],[TỔNG CỘNG TÀI SẢN]]</f>
        <v>#DIV/0!</v>
      </c>
      <c r="V1946" s="23" t="e">
        <f>1.2*Table1[[#This Row],[X1]] + 1.4*Table1[[#This Row],[X2]] + 3.3*Table1[[#This Row],[x3]] + 0.6*Table1[[#This Row],[x4]] + 1*Table1[[#This Row],[x5]]</f>
        <v>#DIV/0!</v>
      </c>
      <c r="W1946" s="23" t="e">
        <f>IF(Table1[[#This Row],[Zscore]]&lt;1.81,1,0)</f>
        <v>#DIV/0!</v>
      </c>
    </row>
    <row r="1947" spans="1:23" hidden="1" x14ac:dyDescent="0.45">
      <c r="A1947" s="7">
        <v>1941</v>
      </c>
      <c r="B1947" s="5" t="s">
        <v>3893</v>
      </c>
      <c r="C1947" s="6" t="s">
        <v>3894</v>
      </c>
      <c r="D1947" s="6" t="s">
        <v>13</v>
      </c>
      <c r="E1947" s="6"/>
      <c r="F1947" s="6"/>
      <c r="G1947" s="6"/>
      <c r="H1947" s="6"/>
      <c r="I1947" s="6"/>
      <c r="J1947" s="8"/>
      <c r="K1947" s="6"/>
      <c r="L1947" s="6"/>
      <c r="M1947" s="8"/>
      <c r="N1947" s="8"/>
      <c r="O1947" s="8"/>
      <c r="P1947" s="8"/>
      <c r="Q1947" s="18" t="e">
        <f>(Table1[[#This Row],[A. TÀI SẢN NGẮN HẠN]]-Table1[[#This Row],[I. Nợ ngắn hạn]])/Table1[[#This Row],[TỔNG CỘNG TÀI SẢN]]</f>
        <v>#DIV/0!</v>
      </c>
      <c r="R1947" s="18" t="e">
        <f>Table1[[#This Row],[- LNST chưa phân phối kỳ này]]/Table1[[#This Row],[TỔNG CỘNG TÀI SẢN]]</f>
        <v>#DIV/0!</v>
      </c>
      <c r="S1947" s="21" t="e">
        <f>Table1[[#This Row],[5. Lợi nhuận gộp về bán hàng và cung cấp dịch vụ]]/Table1[[#This Row],[TỔNG CỘNG TÀI SẢN]]</f>
        <v>#DIV/0!</v>
      </c>
      <c r="T194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947" s="23" t="e">
        <f>Table1[[#This Row],[1. Doanh thu bán hàng và cung cấp dịch vụ ]]/Table1[[#This Row],[TỔNG CỘNG TÀI SẢN]]</f>
        <v>#DIV/0!</v>
      </c>
      <c r="V1947" s="23" t="e">
        <f>1.2*Table1[[#This Row],[X1]] + 1.4*Table1[[#This Row],[X2]] + 3.3*Table1[[#This Row],[x3]] + 0.6*Table1[[#This Row],[x4]] + 1*Table1[[#This Row],[x5]]</f>
        <v>#DIV/0!</v>
      </c>
      <c r="W1947" s="23" t="e">
        <f>IF(Table1[[#This Row],[Zscore]]&lt;1.81,1,0)</f>
        <v>#DIV/0!</v>
      </c>
    </row>
    <row r="1948" spans="1:23" x14ac:dyDescent="0.45">
      <c r="A1948" s="7">
        <v>1942</v>
      </c>
      <c r="B1948" s="5" t="s">
        <v>3895</v>
      </c>
      <c r="C1948" s="6" t="s">
        <v>3896</v>
      </c>
      <c r="D1948" s="6" t="s">
        <v>18</v>
      </c>
      <c r="E1948" s="8">
        <v>3271530366893</v>
      </c>
      <c r="F1948" s="8">
        <v>1055017372965</v>
      </c>
      <c r="G1948" s="8">
        <v>242773416420</v>
      </c>
      <c r="H1948" s="8">
        <v>389553785618</v>
      </c>
      <c r="I1948" s="8">
        <v>502010064656</v>
      </c>
      <c r="J1948" s="8"/>
      <c r="K1948" s="8">
        <v>260103058121</v>
      </c>
      <c r="L1948" s="8">
        <v>1232750281434</v>
      </c>
      <c r="M1948" s="8">
        <v>3341910000000</v>
      </c>
      <c r="N1948" s="8">
        <v>2550405000000</v>
      </c>
      <c r="O1948" s="8">
        <v>2743884000000</v>
      </c>
      <c r="P1948" s="8">
        <v>2559199500000</v>
      </c>
      <c r="Q1948" s="18">
        <f>(Table1[[#This Row],[A. TÀI SẢN NGẮN HẠN]]-Table1[[#This Row],[I. Nợ ngắn hạn]])/Table1[[#This Row],[TỔNG CỘNG TÀI SẢN]]</f>
        <v>0.24827645335794177</v>
      </c>
      <c r="R1948" s="18">
        <f>Table1[[#This Row],[- LNST chưa phân phối kỳ này]]/Table1[[#This Row],[TỔNG CỘNG TÀI SẢN]]</f>
        <v>0.11907387122558258</v>
      </c>
      <c r="S1948" s="21">
        <f>Table1[[#This Row],[5. Lợi nhuận gộp về bán hàng và cung cấp dịch vụ]]/Table1[[#This Row],[TỔNG CỘNG TÀI SẢN]]</f>
        <v>0.15344808342181557</v>
      </c>
      <c r="T194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10.760541014854098</v>
      </c>
      <c r="U1948" s="23">
        <f>Table1[[#This Row],[1. Doanh thu bán hàng và cung cấp dịch vụ ]]/Table1[[#This Row],[TỔNG CỘNG TÀI SẢN]]</f>
        <v>0.37681150507086791</v>
      </c>
      <c r="V1948" s="23">
        <f>1.2*Table1[[#This Row],[X1]] + 1.4*Table1[[#This Row],[X2]] + 3.3*Table1[[#This Row],[x3]] + 0.6*Table1[[#This Row],[x4]] + 1*Table1[[#This Row],[x5]]</f>
        <v>7.8041499530206631</v>
      </c>
      <c r="W1948" s="23">
        <f>IF(Table1[[#This Row],[Zscore]]&lt;1.81,1,0)</f>
        <v>0</v>
      </c>
    </row>
    <row r="1949" spans="1:23" hidden="1" x14ac:dyDescent="0.45">
      <c r="A1949" s="7">
        <v>1943</v>
      </c>
      <c r="B1949" s="5" t="s">
        <v>3897</v>
      </c>
      <c r="C1949" s="6" t="s">
        <v>3898</v>
      </c>
      <c r="D1949" s="6" t="s">
        <v>13</v>
      </c>
      <c r="E1949" s="6"/>
      <c r="F1949" s="6"/>
      <c r="G1949" s="6"/>
      <c r="H1949" s="6"/>
      <c r="I1949" s="6"/>
      <c r="J1949" s="8"/>
      <c r="K1949" s="6"/>
      <c r="L1949" s="6"/>
      <c r="M1949" s="8"/>
      <c r="N1949" s="8"/>
      <c r="O1949" s="8"/>
      <c r="P1949" s="8"/>
      <c r="Q1949" s="18" t="e">
        <f>(Table1[[#This Row],[A. TÀI SẢN NGẮN HẠN]]-Table1[[#This Row],[I. Nợ ngắn hạn]])/Table1[[#This Row],[TỔNG CỘNG TÀI SẢN]]</f>
        <v>#DIV/0!</v>
      </c>
      <c r="R1949" s="18" t="e">
        <f>Table1[[#This Row],[- LNST chưa phân phối kỳ này]]/Table1[[#This Row],[TỔNG CỘNG TÀI SẢN]]</f>
        <v>#DIV/0!</v>
      </c>
      <c r="S1949" s="21" t="e">
        <f>Table1[[#This Row],[5. Lợi nhuận gộp về bán hàng và cung cấp dịch vụ]]/Table1[[#This Row],[TỔNG CỘNG TÀI SẢN]]</f>
        <v>#DIV/0!</v>
      </c>
      <c r="T194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949" s="23" t="e">
        <f>Table1[[#This Row],[1. Doanh thu bán hàng và cung cấp dịch vụ ]]/Table1[[#This Row],[TỔNG CỘNG TÀI SẢN]]</f>
        <v>#DIV/0!</v>
      </c>
      <c r="V1949" s="23" t="e">
        <f>1.2*Table1[[#This Row],[X1]] + 1.4*Table1[[#This Row],[X2]] + 3.3*Table1[[#This Row],[x3]] + 0.6*Table1[[#This Row],[x4]] + 1*Table1[[#This Row],[x5]]</f>
        <v>#DIV/0!</v>
      </c>
      <c r="W1949" s="23" t="e">
        <f>IF(Table1[[#This Row],[Zscore]]&lt;1.81,1,0)</f>
        <v>#DIV/0!</v>
      </c>
    </row>
    <row r="1950" spans="1:23" ht="26.25" hidden="1" x14ac:dyDescent="0.45">
      <c r="A1950" s="7">
        <v>1944</v>
      </c>
      <c r="B1950" s="5" t="s">
        <v>3899</v>
      </c>
      <c r="C1950" s="6" t="s">
        <v>3900</v>
      </c>
      <c r="D1950" s="6" t="s">
        <v>13</v>
      </c>
      <c r="E1950" s="6"/>
      <c r="F1950" s="6"/>
      <c r="G1950" s="6"/>
      <c r="H1950" s="6"/>
      <c r="I1950" s="6"/>
      <c r="J1950" s="8"/>
      <c r="K1950" s="6"/>
      <c r="L1950" s="6"/>
      <c r="M1950" s="8"/>
      <c r="N1950" s="8"/>
      <c r="O1950" s="8"/>
      <c r="P1950" s="8"/>
      <c r="Q1950" s="18" t="e">
        <f>(Table1[[#This Row],[A. TÀI SẢN NGẮN HẠN]]-Table1[[#This Row],[I. Nợ ngắn hạn]])/Table1[[#This Row],[TỔNG CỘNG TÀI SẢN]]</f>
        <v>#DIV/0!</v>
      </c>
      <c r="R1950" s="18" t="e">
        <f>Table1[[#This Row],[- LNST chưa phân phối kỳ này]]/Table1[[#This Row],[TỔNG CỘNG TÀI SẢN]]</f>
        <v>#DIV/0!</v>
      </c>
      <c r="S1950" s="21" t="e">
        <f>Table1[[#This Row],[5. Lợi nhuận gộp về bán hàng và cung cấp dịch vụ]]/Table1[[#This Row],[TỔNG CỘNG TÀI SẢN]]</f>
        <v>#DIV/0!</v>
      </c>
      <c r="T195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950" s="23" t="e">
        <f>Table1[[#This Row],[1. Doanh thu bán hàng và cung cấp dịch vụ ]]/Table1[[#This Row],[TỔNG CỘNG TÀI SẢN]]</f>
        <v>#DIV/0!</v>
      </c>
      <c r="V1950" s="23" t="e">
        <f>1.2*Table1[[#This Row],[X1]] + 1.4*Table1[[#This Row],[X2]] + 3.3*Table1[[#This Row],[x3]] + 0.6*Table1[[#This Row],[x4]] + 1*Table1[[#This Row],[x5]]</f>
        <v>#DIV/0!</v>
      </c>
      <c r="W1950" s="23" t="e">
        <f>IF(Table1[[#This Row],[Zscore]]&lt;1.81,1,0)</f>
        <v>#DIV/0!</v>
      </c>
    </row>
    <row r="1951" spans="1:23" ht="26.25" hidden="1" x14ac:dyDescent="0.45">
      <c r="A1951" s="7">
        <v>1945</v>
      </c>
      <c r="B1951" s="5" t="s">
        <v>3901</v>
      </c>
      <c r="C1951" s="6" t="s">
        <v>3902</v>
      </c>
      <c r="D1951" s="6" t="s">
        <v>13</v>
      </c>
      <c r="E1951" s="6"/>
      <c r="F1951" s="6"/>
      <c r="G1951" s="6"/>
      <c r="H1951" s="6"/>
      <c r="I1951" s="6"/>
      <c r="J1951" s="8"/>
      <c r="K1951" s="6"/>
      <c r="L1951" s="6"/>
      <c r="M1951" s="8"/>
      <c r="N1951" s="8"/>
      <c r="O1951" s="8"/>
      <c r="P1951" s="8"/>
      <c r="Q1951" s="18" t="e">
        <f>(Table1[[#This Row],[A. TÀI SẢN NGẮN HẠN]]-Table1[[#This Row],[I. Nợ ngắn hạn]])/Table1[[#This Row],[TỔNG CỘNG TÀI SẢN]]</f>
        <v>#DIV/0!</v>
      </c>
      <c r="R1951" s="18" t="e">
        <f>Table1[[#This Row],[- LNST chưa phân phối kỳ này]]/Table1[[#This Row],[TỔNG CỘNG TÀI SẢN]]</f>
        <v>#DIV/0!</v>
      </c>
      <c r="S1951" s="21" t="e">
        <f>Table1[[#This Row],[5. Lợi nhuận gộp về bán hàng và cung cấp dịch vụ]]/Table1[[#This Row],[TỔNG CỘNG TÀI SẢN]]</f>
        <v>#DIV/0!</v>
      </c>
      <c r="T195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951" s="23" t="e">
        <f>Table1[[#This Row],[1. Doanh thu bán hàng và cung cấp dịch vụ ]]/Table1[[#This Row],[TỔNG CỘNG TÀI SẢN]]</f>
        <v>#DIV/0!</v>
      </c>
      <c r="V1951" s="23" t="e">
        <f>1.2*Table1[[#This Row],[X1]] + 1.4*Table1[[#This Row],[X2]] + 3.3*Table1[[#This Row],[x3]] + 0.6*Table1[[#This Row],[x4]] + 1*Table1[[#This Row],[x5]]</f>
        <v>#DIV/0!</v>
      </c>
      <c r="W1951" s="23" t="e">
        <f>IF(Table1[[#This Row],[Zscore]]&lt;1.81,1,0)</f>
        <v>#DIV/0!</v>
      </c>
    </row>
    <row r="1952" spans="1:23" ht="26.25" hidden="1" x14ac:dyDescent="0.45">
      <c r="A1952" s="7">
        <v>1946</v>
      </c>
      <c r="B1952" s="5" t="s">
        <v>3903</v>
      </c>
      <c r="C1952" s="6" t="s">
        <v>3904</v>
      </c>
      <c r="D1952" s="6" t="s">
        <v>13</v>
      </c>
      <c r="E1952" s="6"/>
      <c r="F1952" s="6"/>
      <c r="G1952" s="6"/>
      <c r="H1952" s="6"/>
      <c r="I1952" s="6"/>
      <c r="J1952" s="8"/>
      <c r="K1952" s="6"/>
      <c r="L1952" s="6"/>
      <c r="M1952" s="8"/>
      <c r="N1952" s="8"/>
      <c r="O1952" s="8"/>
      <c r="P1952" s="8"/>
      <c r="Q1952" s="18" t="e">
        <f>(Table1[[#This Row],[A. TÀI SẢN NGẮN HẠN]]-Table1[[#This Row],[I. Nợ ngắn hạn]])/Table1[[#This Row],[TỔNG CỘNG TÀI SẢN]]</f>
        <v>#DIV/0!</v>
      </c>
      <c r="R1952" s="18" t="e">
        <f>Table1[[#This Row],[- LNST chưa phân phối kỳ này]]/Table1[[#This Row],[TỔNG CỘNG TÀI SẢN]]</f>
        <v>#DIV/0!</v>
      </c>
      <c r="S1952" s="21" t="e">
        <f>Table1[[#This Row],[5. Lợi nhuận gộp về bán hàng và cung cấp dịch vụ]]/Table1[[#This Row],[TỔNG CỘNG TÀI SẢN]]</f>
        <v>#DIV/0!</v>
      </c>
      <c r="T195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952" s="23" t="e">
        <f>Table1[[#This Row],[1. Doanh thu bán hàng và cung cấp dịch vụ ]]/Table1[[#This Row],[TỔNG CỘNG TÀI SẢN]]</f>
        <v>#DIV/0!</v>
      </c>
      <c r="V1952" s="23" t="e">
        <f>1.2*Table1[[#This Row],[X1]] + 1.4*Table1[[#This Row],[X2]] + 3.3*Table1[[#This Row],[x3]] + 0.6*Table1[[#This Row],[x4]] + 1*Table1[[#This Row],[x5]]</f>
        <v>#DIV/0!</v>
      </c>
      <c r="W1952" s="23" t="e">
        <f>IF(Table1[[#This Row],[Zscore]]&lt;1.81,1,0)</f>
        <v>#DIV/0!</v>
      </c>
    </row>
    <row r="1953" spans="1:23" ht="26.25" hidden="1" x14ac:dyDescent="0.45">
      <c r="A1953" s="7">
        <v>1947</v>
      </c>
      <c r="B1953" s="5" t="s">
        <v>3905</v>
      </c>
      <c r="C1953" s="6" t="s">
        <v>3906</v>
      </c>
      <c r="D1953" s="6" t="s">
        <v>13</v>
      </c>
      <c r="E1953" s="6"/>
      <c r="F1953" s="6"/>
      <c r="G1953" s="6"/>
      <c r="H1953" s="6"/>
      <c r="I1953" s="6"/>
      <c r="J1953" s="8"/>
      <c r="K1953" s="6"/>
      <c r="L1953" s="6"/>
      <c r="M1953" s="8"/>
      <c r="N1953" s="8"/>
      <c r="O1953" s="8"/>
      <c r="P1953" s="8"/>
      <c r="Q1953" s="18" t="e">
        <f>(Table1[[#This Row],[A. TÀI SẢN NGẮN HẠN]]-Table1[[#This Row],[I. Nợ ngắn hạn]])/Table1[[#This Row],[TỔNG CỘNG TÀI SẢN]]</f>
        <v>#DIV/0!</v>
      </c>
      <c r="R1953" s="18" t="e">
        <f>Table1[[#This Row],[- LNST chưa phân phối kỳ này]]/Table1[[#This Row],[TỔNG CỘNG TÀI SẢN]]</f>
        <v>#DIV/0!</v>
      </c>
      <c r="S1953" s="21" t="e">
        <f>Table1[[#This Row],[5. Lợi nhuận gộp về bán hàng và cung cấp dịch vụ]]/Table1[[#This Row],[TỔNG CỘNG TÀI SẢN]]</f>
        <v>#DIV/0!</v>
      </c>
      <c r="T195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953" s="23" t="e">
        <f>Table1[[#This Row],[1. Doanh thu bán hàng và cung cấp dịch vụ ]]/Table1[[#This Row],[TỔNG CỘNG TÀI SẢN]]</f>
        <v>#DIV/0!</v>
      </c>
      <c r="V1953" s="23" t="e">
        <f>1.2*Table1[[#This Row],[X1]] + 1.4*Table1[[#This Row],[X2]] + 3.3*Table1[[#This Row],[x3]] + 0.6*Table1[[#This Row],[x4]] + 1*Table1[[#This Row],[x5]]</f>
        <v>#DIV/0!</v>
      </c>
      <c r="W1953" s="23" t="e">
        <f>IF(Table1[[#This Row],[Zscore]]&lt;1.81,1,0)</f>
        <v>#DIV/0!</v>
      </c>
    </row>
    <row r="1954" spans="1:23" ht="26.25" x14ac:dyDescent="0.45">
      <c r="A1954" s="7">
        <v>1948</v>
      </c>
      <c r="B1954" s="5" t="s">
        <v>3907</v>
      </c>
      <c r="C1954" s="6" t="s">
        <v>3908</v>
      </c>
      <c r="D1954" s="6" t="s">
        <v>21</v>
      </c>
      <c r="E1954" s="8">
        <v>3004231176675</v>
      </c>
      <c r="F1954" s="8">
        <v>1836520487182</v>
      </c>
      <c r="G1954" s="8">
        <v>1832417336041</v>
      </c>
      <c r="H1954" s="8">
        <v>32800834416</v>
      </c>
      <c r="I1954" s="8">
        <v>270872165767</v>
      </c>
      <c r="J1954" s="8"/>
      <c r="K1954" s="8">
        <v>2238478435081</v>
      </c>
      <c r="L1954" s="8">
        <v>2100963084116</v>
      </c>
      <c r="M1954" s="8">
        <v>537750000000</v>
      </c>
      <c r="N1954" s="8">
        <v>463500000000</v>
      </c>
      <c r="O1954" s="8">
        <v>567000000000</v>
      </c>
      <c r="P1954" s="8">
        <v>540000000000</v>
      </c>
      <c r="Q1954" s="18">
        <f>(Table1[[#This Row],[A. TÀI SẢN NGẮN HẠN]]-Table1[[#This Row],[I. Nợ ngắn hạn]])/Table1[[#This Row],[TỔNG CỘNG TÀI SẢN]]</f>
        <v>1.3657907463503706E-3</v>
      </c>
      <c r="R1954" s="18">
        <f>Table1[[#This Row],[- LNST chưa phân phối kỳ này]]/Table1[[#This Row],[TỔNG CỘNG TÀI SẢN]]</f>
        <v>1.0918212509965048E-2</v>
      </c>
      <c r="S1954" s="21">
        <f>Table1[[#This Row],[5. Lợi nhuận gộp về bán hàng và cung cấp dịch vụ]]/Table1[[#This Row],[TỔNG CỘNG TÀI SẢN]]</f>
        <v>9.0163555944051496E-2</v>
      </c>
      <c r="T195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0.23545569693233523</v>
      </c>
      <c r="U1954" s="23">
        <f>Table1[[#This Row],[1. Doanh thu bán hàng và cung cấp dịch vụ ]]/Table1[[#This Row],[TỔNG CỘNG TÀI SẢN]]</f>
        <v>0.69933469182664165</v>
      </c>
      <c r="V1954" s="23">
        <f>1.2*Table1[[#This Row],[X1]] + 1.4*Table1[[#This Row],[X2]] + 3.3*Table1[[#This Row],[x3]] + 0.6*Table1[[#This Row],[x4]] + 1*Table1[[#This Row],[x5]]</f>
        <v>1.1550722910109843</v>
      </c>
      <c r="W1954" s="23">
        <f>IF(Table1[[#This Row],[Zscore]]&lt;1.81,1,0)</f>
        <v>1</v>
      </c>
    </row>
    <row r="1955" spans="1:23" hidden="1" x14ac:dyDescent="0.45">
      <c r="A1955" s="7">
        <v>1949</v>
      </c>
      <c r="B1955" s="5" t="s">
        <v>3909</v>
      </c>
      <c r="C1955" s="6" t="s">
        <v>3910</v>
      </c>
      <c r="D1955" s="6" t="s">
        <v>18</v>
      </c>
      <c r="E1955" s="6"/>
      <c r="F1955" s="6"/>
      <c r="G1955" s="6"/>
      <c r="H1955" s="6"/>
      <c r="I1955" s="6"/>
      <c r="J1955" s="8"/>
      <c r="K1955" s="6"/>
      <c r="L1955" s="6"/>
      <c r="M1955" s="8"/>
      <c r="N1955" s="8"/>
      <c r="O1955" s="8"/>
      <c r="P1955" s="8"/>
      <c r="Q1955" s="18" t="e">
        <f>(Table1[[#This Row],[A. TÀI SẢN NGẮN HẠN]]-Table1[[#This Row],[I. Nợ ngắn hạn]])/Table1[[#This Row],[TỔNG CỘNG TÀI SẢN]]</f>
        <v>#DIV/0!</v>
      </c>
      <c r="R1955" s="18" t="e">
        <f>Table1[[#This Row],[- LNST chưa phân phối kỳ này]]/Table1[[#This Row],[TỔNG CỘNG TÀI SẢN]]</f>
        <v>#DIV/0!</v>
      </c>
      <c r="S1955" s="21" t="e">
        <f>Table1[[#This Row],[5. Lợi nhuận gộp về bán hàng và cung cấp dịch vụ]]/Table1[[#This Row],[TỔNG CỘNG TÀI SẢN]]</f>
        <v>#DIV/0!</v>
      </c>
      <c r="T195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955" s="23" t="e">
        <f>Table1[[#This Row],[1. Doanh thu bán hàng và cung cấp dịch vụ ]]/Table1[[#This Row],[TỔNG CỘNG TÀI SẢN]]</f>
        <v>#DIV/0!</v>
      </c>
      <c r="V1955" s="23" t="e">
        <f>1.2*Table1[[#This Row],[X1]] + 1.4*Table1[[#This Row],[X2]] + 3.3*Table1[[#This Row],[x3]] + 0.6*Table1[[#This Row],[x4]] + 1*Table1[[#This Row],[x5]]</f>
        <v>#DIV/0!</v>
      </c>
      <c r="W1955" s="23" t="e">
        <f>IF(Table1[[#This Row],[Zscore]]&lt;1.81,1,0)</f>
        <v>#DIV/0!</v>
      </c>
    </row>
    <row r="1956" spans="1:23" hidden="1" x14ac:dyDescent="0.45">
      <c r="A1956" s="7">
        <v>1950</v>
      </c>
      <c r="B1956" s="5" t="s">
        <v>3911</v>
      </c>
      <c r="C1956" s="6" t="s">
        <v>3912</v>
      </c>
      <c r="D1956" s="6" t="s">
        <v>13</v>
      </c>
      <c r="E1956" s="6"/>
      <c r="F1956" s="6"/>
      <c r="G1956" s="6"/>
      <c r="H1956" s="6"/>
      <c r="I1956" s="6"/>
      <c r="J1956" s="8"/>
      <c r="K1956" s="6"/>
      <c r="L1956" s="6"/>
      <c r="M1956" s="8"/>
      <c r="N1956" s="8"/>
      <c r="O1956" s="8"/>
      <c r="P1956" s="8"/>
      <c r="Q1956" s="18" t="e">
        <f>(Table1[[#This Row],[A. TÀI SẢN NGẮN HẠN]]-Table1[[#This Row],[I. Nợ ngắn hạn]])/Table1[[#This Row],[TỔNG CỘNG TÀI SẢN]]</f>
        <v>#DIV/0!</v>
      </c>
      <c r="R1956" s="18" t="e">
        <f>Table1[[#This Row],[- LNST chưa phân phối kỳ này]]/Table1[[#This Row],[TỔNG CỘNG TÀI SẢN]]</f>
        <v>#DIV/0!</v>
      </c>
      <c r="S1956" s="21" t="e">
        <f>Table1[[#This Row],[5. Lợi nhuận gộp về bán hàng và cung cấp dịch vụ]]/Table1[[#This Row],[TỔNG CỘNG TÀI SẢN]]</f>
        <v>#DIV/0!</v>
      </c>
      <c r="T195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956" s="23" t="e">
        <f>Table1[[#This Row],[1. Doanh thu bán hàng và cung cấp dịch vụ ]]/Table1[[#This Row],[TỔNG CỘNG TÀI SẢN]]</f>
        <v>#DIV/0!</v>
      </c>
      <c r="V1956" s="23" t="e">
        <f>1.2*Table1[[#This Row],[X1]] + 1.4*Table1[[#This Row],[X2]] + 3.3*Table1[[#This Row],[x3]] + 0.6*Table1[[#This Row],[x4]] + 1*Table1[[#This Row],[x5]]</f>
        <v>#DIV/0!</v>
      </c>
      <c r="W1956" s="23" t="e">
        <f>IF(Table1[[#This Row],[Zscore]]&lt;1.81,1,0)</f>
        <v>#DIV/0!</v>
      </c>
    </row>
    <row r="1957" spans="1:23" hidden="1" x14ac:dyDescent="0.45">
      <c r="A1957" s="7">
        <v>1951</v>
      </c>
      <c r="B1957" s="5" t="s">
        <v>3913</v>
      </c>
      <c r="C1957" s="6" t="s">
        <v>3914</v>
      </c>
      <c r="D1957" s="6" t="s">
        <v>13</v>
      </c>
      <c r="E1957" s="6"/>
      <c r="F1957" s="6"/>
      <c r="G1957" s="6"/>
      <c r="H1957" s="6"/>
      <c r="I1957" s="6"/>
      <c r="J1957" s="8"/>
      <c r="K1957" s="6"/>
      <c r="L1957" s="6"/>
      <c r="M1957" s="8"/>
      <c r="N1957" s="8"/>
      <c r="O1957" s="8"/>
      <c r="P1957" s="8"/>
      <c r="Q1957" s="18" t="e">
        <f>(Table1[[#This Row],[A. TÀI SẢN NGẮN HẠN]]-Table1[[#This Row],[I. Nợ ngắn hạn]])/Table1[[#This Row],[TỔNG CỘNG TÀI SẢN]]</f>
        <v>#DIV/0!</v>
      </c>
      <c r="R1957" s="18" t="e">
        <f>Table1[[#This Row],[- LNST chưa phân phối kỳ này]]/Table1[[#This Row],[TỔNG CỘNG TÀI SẢN]]</f>
        <v>#DIV/0!</v>
      </c>
      <c r="S1957" s="21" t="e">
        <f>Table1[[#This Row],[5. Lợi nhuận gộp về bán hàng và cung cấp dịch vụ]]/Table1[[#This Row],[TỔNG CỘNG TÀI SẢN]]</f>
        <v>#DIV/0!</v>
      </c>
      <c r="T195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957" s="23" t="e">
        <f>Table1[[#This Row],[1. Doanh thu bán hàng và cung cấp dịch vụ ]]/Table1[[#This Row],[TỔNG CỘNG TÀI SẢN]]</f>
        <v>#DIV/0!</v>
      </c>
      <c r="V1957" s="23" t="e">
        <f>1.2*Table1[[#This Row],[X1]] + 1.4*Table1[[#This Row],[X2]] + 3.3*Table1[[#This Row],[x3]] + 0.6*Table1[[#This Row],[x4]] + 1*Table1[[#This Row],[x5]]</f>
        <v>#DIV/0!</v>
      </c>
      <c r="W1957" s="23" t="e">
        <f>IF(Table1[[#This Row],[Zscore]]&lt;1.81,1,0)</f>
        <v>#DIV/0!</v>
      </c>
    </row>
    <row r="1958" spans="1:23" x14ac:dyDescent="0.45">
      <c r="A1958" s="7">
        <v>1952</v>
      </c>
      <c r="B1958" s="5" t="s">
        <v>3915</v>
      </c>
      <c r="C1958" s="6" t="s">
        <v>3916</v>
      </c>
      <c r="D1958" s="6" t="s">
        <v>21</v>
      </c>
      <c r="E1958" s="8">
        <v>1047332595519</v>
      </c>
      <c r="F1958" s="8">
        <v>319692608281</v>
      </c>
      <c r="G1958" s="8">
        <v>262509382418</v>
      </c>
      <c r="H1958" s="8">
        <v>82416067723</v>
      </c>
      <c r="I1958" s="8">
        <v>192328190984</v>
      </c>
      <c r="J1958" s="8"/>
      <c r="K1958" s="8">
        <v>448411091818</v>
      </c>
      <c r="L1958" s="8">
        <v>326598606459</v>
      </c>
      <c r="M1958" s="8">
        <v>1538190000000</v>
      </c>
      <c r="N1958" s="8">
        <v>1371500000000</v>
      </c>
      <c r="O1958" s="8">
        <v>1523420000000</v>
      </c>
      <c r="P1958" s="8">
        <v>1455900000000</v>
      </c>
      <c r="Q1958" s="18">
        <f>(Table1[[#This Row],[A. TÀI SẢN NGẮN HẠN]]-Table1[[#This Row],[I. Nợ ngắn hạn]])/Table1[[#This Row],[TỔNG CỘNG TÀI SẢN]]</f>
        <v>5.4598917390385582E-2</v>
      </c>
      <c r="R1958" s="18">
        <f>Table1[[#This Row],[- LNST chưa phân phối kỳ này]]/Table1[[#This Row],[TỔNG CỘNG TÀI SẢN]]</f>
        <v>7.8691399537850884E-2</v>
      </c>
      <c r="S1958" s="21">
        <f>Table1[[#This Row],[5. Lợi nhuận gộp về bán hàng và cung cấp dịch vụ]]/Table1[[#This Row],[TỔNG CỘNG TÀI SẢN]]</f>
        <v>0.18363621241893346</v>
      </c>
      <c r="T195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3.2832651262729118</v>
      </c>
      <c r="U1958" s="23">
        <f>Table1[[#This Row],[1. Doanh thu bán hàng và cung cấp dịch vụ ]]/Table1[[#This Row],[TỔNG CỘNG TÀI SẢN]]</f>
        <v>0.31183848173574302</v>
      </c>
      <c r="V1958" s="23">
        <f>1.2*Table1[[#This Row],[X1]] + 1.4*Table1[[#This Row],[X2]] + 3.3*Table1[[#This Row],[x3]] + 0.6*Table1[[#This Row],[x4]] + 1*Table1[[#This Row],[x5]]</f>
        <v>3.0634837187034245</v>
      </c>
      <c r="W1958" s="23">
        <f>IF(Table1[[#This Row],[Zscore]]&lt;1.81,1,0)</f>
        <v>0</v>
      </c>
    </row>
    <row r="1959" spans="1:23" x14ac:dyDescent="0.45">
      <c r="A1959" s="7">
        <v>1953</v>
      </c>
      <c r="B1959" s="5" t="s">
        <v>3917</v>
      </c>
      <c r="C1959" s="6" t="s">
        <v>3918</v>
      </c>
      <c r="D1959" s="6" t="s">
        <v>36</v>
      </c>
      <c r="E1959" s="8">
        <v>2062975870411</v>
      </c>
      <c r="F1959" s="8">
        <v>341804538758</v>
      </c>
      <c r="G1959" s="8">
        <v>282244015574</v>
      </c>
      <c r="H1959" s="8">
        <v>100958366768</v>
      </c>
      <c r="I1959" s="8">
        <v>192243494771</v>
      </c>
      <c r="J1959" s="8"/>
      <c r="K1959" s="8">
        <v>996432633826</v>
      </c>
      <c r="L1959" s="8">
        <v>364631311608</v>
      </c>
      <c r="M1959" s="8">
        <v>590000000000</v>
      </c>
      <c r="N1959" s="8">
        <v>557000000000</v>
      </c>
      <c r="O1959" s="8">
        <v>600000000000</v>
      </c>
      <c r="P1959" s="8">
        <v>570000000000</v>
      </c>
      <c r="Q1959" s="18">
        <f>(Table1[[#This Row],[A. TÀI SẢN NGẮN HẠN]]-Table1[[#This Row],[I. Nợ ngắn hạn]])/Table1[[#This Row],[TỔNG CỘNG TÀI SẢN]]</f>
        <v>2.8871168120901944E-2</v>
      </c>
      <c r="R1959" s="18">
        <f>Table1[[#This Row],[- LNST chưa phân phối kỳ này]]/Table1[[#This Row],[TỔNG CỘNG TÀI SẢN]]</f>
        <v>4.8938219887121798E-2</v>
      </c>
      <c r="S1959" s="21">
        <f>Table1[[#This Row],[5. Lợi nhuận gộp về bán hàng và cung cấp dịch vụ]]/Table1[[#This Row],[TỔNG CỘNG TÀI SẢN]]</f>
        <v>9.3187466479043191E-2</v>
      </c>
      <c r="T195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0.58132379484186014</v>
      </c>
      <c r="U1959" s="23">
        <f>Table1[[#This Row],[1. Doanh thu bán hàng và cung cấp dịch vụ ]]/Table1[[#This Row],[TỔNG CỘNG TÀI SẢN]]</f>
        <v>0.1767501582727459</v>
      </c>
      <c r="V1959" s="23">
        <f>1.2*Table1[[#This Row],[X1]] + 1.4*Table1[[#This Row],[X2]] + 3.3*Table1[[#This Row],[x3]] + 0.6*Table1[[#This Row],[x4]] + 1*Table1[[#This Row],[x5]]</f>
        <v>0.93622198414575719</v>
      </c>
      <c r="W1959" s="23">
        <f>IF(Table1[[#This Row],[Zscore]]&lt;1.81,1,0)</f>
        <v>1</v>
      </c>
    </row>
    <row r="1960" spans="1:23" x14ac:dyDescent="0.45">
      <c r="A1960" s="7">
        <v>1954</v>
      </c>
      <c r="B1960" s="5" t="s">
        <v>3919</v>
      </c>
      <c r="C1960" s="6" t="s">
        <v>3920</v>
      </c>
      <c r="D1960" s="6" t="s">
        <v>18</v>
      </c>
      <c r="E1960" s="8">
        <v>208148749338</v>
      </c>
      <c r="F1960" s="8">
        <v>11707355548</v>
      </c>
      <c r="G1960" s="8">
        <v>30405744178</v>
      </c>
      <c r="H1960" s="8">
        <v>8025019193</v>
      </c>
      <c r="I1960" s="8">
        <v>15428802491</v>
      </c>
      <c r="J1960" s="8"/>
      <c r="K1960" s="8">
        <v>80432876426</v>
      </c>
      <c r="L1960" s="8">
        <v>37374898959</v>
      </c>
      <c r="M1960" s="8">
        <v>82800000000</v>
      </c>
      <c r="N1960" s="8">
        <v>84000000000</v>
      </c>
      <c r="O1960" s="8">
        <v>82800000000</v>
      </c>
      <c r="P1960" s="8">
        <v>84000000000</v>
      </c>
      <c r="Q1960" s="18">
        <f>(Table1[[#This Row],[A. TÀI SẢN NGẮN HẠN]]-Table1[[#This Row],[I. Nợ ngắn hạn]])/Table1[[#This Row],[TỔNG CỘNG TÀI SẢN]]</f>
        <v>-8.9831856734516491E-2</v>
      </c>
      <c r="R1960" s="18">
        <f>Table1[[#This Row],[- LNST chưa phân phối kỳ này]]/Table1[[#This Row],[TỔNG CỘNG TÀI SẢN]]</f>
        <v>3.8554251315575591E-2</v>
      </c>
      <c r="S1960" s="21">
        <f>Table1[[#This Row],[5. Lợi nhuận gộp về bán hàng và cung cấp dịch vụ]]/Table1[[#This Row],[TỔNG CỘNG TÀI SẢN]]</f>
        <v>7.4123925990764006E-2</v>
      </c>
      <c r="T196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1.0368894375763102</v>
      </c>
      <c r="U1960" s="23">
        <f>Table1[[#This Row],[1. Doanh thu bán hàng và cung cấp dịch vụ ]]/Table1[[#This Row],[TỔNG CỘNG TÀI SẢN]]</f>
        <v>0.17955860449735006</v>
      </c>
      <c r="V1960" s="23">
        <f>1.2*Table1[[#This Row],[X1]] + 1.4*Table1[[#This Row],[X2]] + 3.3*Table1[[#This Row],[x3]] + 0.6*Table1[[#This Row],[x4]] + 1*Table1[[#This Row],[x5]]</f>
        <v>0.99247894657304347</v>
      </c>
      <c r="W1960" s="23">
        <f>IF(Table1[[#This Row],[Zscore]]&lt;1.81,1,0)</f>
        <v>1</v>
      </c>
    </row>
    <row r="1961" spans="1:23" hidden="1" x14ac:dyDescent="0.45">
      <c r="A1961" s="7">
        <v>1955</v>
      </c>
      <c r="B1961" s="5" t="s">
        <v>3921</v>
      </c>
      <c r="C1961" s="6" t="s">
        <v>3922</v>
      </c>
      <c r="D1961" s="6" t="s">
        <v>18</v>
      </c>
      <c r="E1961" s="6"/>
      <c r="F1961" s="6"/>
      <c r="G1961" s="6"/>
      <c r="H1961" s="6"/>
      <c r="I1961" s="6"/>
      <c r="J1961" s="8"/>
      <c r="K1961" s="6"/>
      <c r="L1961" s="6"/>
      <c r="M1961" s="8"/>
      <c r="N1961" s="8"/>
      <c r="O1961" s="8"/>
      <c r="P1961" s="8"/>
      <c r="Q1961" s="18" t="e">
        <f>(Table1[[#This Row],[A. TÀI SẢN NGẮN HẠN]]-Table1[[#This Row],[I. Nợ ngắn hạn]])/Table1[[#This Row],[TỔNG CỘNG TÀI SẢN]]</f>
        <v>#DIV/0!</v>
      </c>
      <c r="R1961" s="18" t="e">
        <f>Table1[[#This Row],[- LNST chưa phân phối kỳ này]]/Table1[[#This Row],[TỔNG CỘNG TÀI SẢN]]</f>
        <v>#DIV/0!</v>
      </c>
      <c r="S1961" s="21" t="e">
        <f>Table1[[#This Row],[5. Lợi nhuận gộp về bán hàng và cung cấp dịch vụ]]/Table1[[#This Row],[TỔNG CỘNG TÀI SẢN]]</f>
        <v>#DIV/0!</v>
      </c>
      <c r="T196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961" s="23" t="e">
        <f>Table1[[#This Row],[1. Doanh thu bán hàng và cung cấp dịch vụ ]]/Table1[[#This Row],[TỔNG CỘNG TÀI SẢN]]</f>
        <v>#DIV/0!</v>
      </c>
      <c r="V1961" s="23" t="e">
        <f>1.2*Table1[[#This Row],[X1]] + 1.4*Table1[[#This Row],[X2]] + 3.3*Table1[[#This Row],[x3]] + 0.6*Table1[[#This Row],[x4]] + 1*Table1[[#This Row],[x5]]</f>
        <v>#DIV/0!</v>
      </c>
      <c r="W1961" s="23" t="e">
        <f>IF(Table1[[#This Row],[Zscore]]&lt;1.81,1,0)</f>
        <v>#DIV/0!</v>
      </c>
    </row>
    <row r="1962" spans="1:23" hidden="1" x14ac:dyDescent="0.45">
      <c r="A1962" s="7">
        <v>1956</v>
      </c>
      <c r="B1962" s="5" t="s">
        <v>3923</v>
      </c>
      <c r="C1962" s="6" t="s">
        <v>3924</v>
      </c>
      <c r="D1962" s="6" t="s">
        <v>13</v>
      </c>
      <c r="E1962" s="6"/>
      <c r="F1962" s="6"/>
      <c r="G1962" s="6"/>
      <c r="H1962" s="6"/>
      <c r="I1962" s="6"/>
      <c r="J1962" s="8"/>
      <c r="K1962" s="6"/>
      <c r="L1962" s="6"/>
      <c r="M1962" s="8"/>
      <c r="N1962" s="8"/>
      <c r="O1962" s="8"/>
      <c r="P1962" s="8"/>
      <c r="Q1962" s="18" t="e">
        <f>(Table1[[#This Row],[A. TÀI SẢN NGẮN HẠN]]-Table1[[#This Row],[I. Nợ ngắn hạn]])/Table1[[#This Row],[TỔNG CỘNG TÀI SẢN]]</f>
        <v>#DIV/0!</v>
      </c>
      <c r="R1962" s="18" t="e">
        <f>Table1[[#This Row],[- LNST chưa phân phối kỳ này]]/Table1[[#This Row],[TỔNG CỘNG TÀI SẢN]]</f>
        <v>#DIV/0!</v>
      </c>
      <c r="S1962" s="21" t="e">
        <f>Table1[[#This Row],[5. Lợi nhuận gộp về bán hàng và cung cấp dịch vụ]]/Table1[[#This Row],[TỔNG CỘNG TÀI SẢN]]</f>
        <v>#DIV/0!</v>
      </c>
      <c r="T196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962" s="23" t="e">
        <f>Table1[[#This Row],[1. Doanh thu bán hàng và cung cấp dịch vụ ]]/Table1[[#This Row],[TỔNG CỘNG TÀI SẢN]]</f>
        <v>#DIV/0!</v>
      </c>
      <c r="V1962" s="23" t="e">
        <f>1.2*Table1[[#This Row],[X1]] + 1.4*Table1[[#This Row],[X2]] + 3.3*Table1[[#This Row],[x3]] + 0.6*Table1[[#This Row],[x4]] + 1*Table1[[#This Row],[x5]]</f>
        <v>#DIV/0!</v>
      </c>
      <c r="W1962" s="23" t="e">
        <f>IF(Table1[[#This Row],[Zscore]]&lt;1.81,1,0)</f>
        <v>#DIV/0!</v>
      </c>
    </row>
    <row r="1963" spans="1:23" x14ac:dyDescent="0.45">
      <c r="A1963" s="7">
        <v>1957</v>
      </c>
      <c r="B1963" s="5" t="s">
        <v>3925</v>
      </c>
      <c r="C1963" s="6" t="s">
        <v>3926</v>
      </c>
      <c r="D1963" s="6" t="s">
        <v>36</v>
      </c>
      <c r="E1963" s="8">
        <v>4700788649052</v>
      </c>
      <c r="F1963" s="8">
        <v>2181798519175</v>
      </c>
      <c r="G1963" s="8">
        <v>1180470308257</v>
      </c>
      <c r="H1963" s="8">
        <v>98078942439</v>
      </c>
      <c r="I1963" s="8">
        <v>312750694259</v>
      </c>
      <c r="J1963" s="8"/>
      <c r="K1963" s="8">
        <v>2820978208660</v>
      </c>
      <c r="L1963" s="8">
        <v>1427250252937</v>
      </c>
      <c r="M1963" s="8">
        <v>743507482500</v>
      </c>
      <c r="N1963" s="8">
        <v>947209827200</v>
      </c>
      <c r="O1963" s="8">
        <v>713767183200</v>
      </c>
      <c r="P1963" s="8">
        <v>971516443800</v>
      </c>
      <c r="Q1963" s="18">
        <f>(Table1[[#This Row],[A. TÀI SẢN NGẮN HẠN]]-Table1[[#This Row],[I. Nợ ngắn hạn]])/Table1[[#This Row],[TỔNG CỘNG TÀI SẢN]]</f>
        <v>0.21301281246072107</v>
      </c>
      <c r="R1963" s="18">
        <f>Table1[[#This Row],[- LNST chưa phân phối kỳ này]]/Table1[[#This Row],[TỔNG CỘNG TÀI SẢN]]</f>
        <v>2.0864359102547487E-2</v>
      </c>
      <c r="S1963" s="21">
        <f>Table1[[#This Row],[5. Lợi nhuận gộp về bán hàng và cung cấp dịch vụ]]/Table1[[#This Row],[TỔNG CỘNG TÀI SẢN]]</f>
        <v>6.6531537069226016E-2</v>
      </c>
      <c r="T196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0.29918708041913966</v>
      </c>
      <c r="U1963" s="23">
        <f>Table1[[#This Row],[1. Doanh thu bán hàng và cung cấp dịch vụ ]]/Table1[[#This Row],[TỔNG CỘNG TÀI SẢN]]</f>
        <v>0.30361931996768904</v>
      </c>
      <c r="V1963" s="23">
        <f>1.2*Table1[[#This Row],[X1]] + 1.4*Table1[[#This Row],[X2]] + 3.3*Table1[[#This Row],[x3]] + 0.6*Table1[[#This Row],[x4]] + 1*Table1[[#This Row],[x5]]</f>
        <v>0.98751111824405058</v>
      </c>
      <c r="W1963" s="23">
        <f>IF(Table1[[#This Row],[Zscore]]&lt;1.81,1,0)</f>
        <v>1</v>
      </c>
    </row>
    <row r="1964" spans="1:23" ht="26.25" x14ac:dyDescent="0.45">
      <c r="A1964" s="7">
        <v>1958</v>
      </c>
      <c r="B1964" s="5" t="s">
        <v>3927</v>
      </c>
      <c r="C1964" s="6" t="s">
        <v>3928</v>
      </c>
      <c r="D1964" s="6" t="s">
        <v>21</v>
      </c>
      <c r="E1964" s="8">
        <v>32597353623714</v>
      </c>
      <c r="F1964" s="8">
        <v>22140977869887</v>
      </c>
      <c r="G1964" s="8">
        <v>8880281129189</v>
      </c>
      <c r="H1964" s="8">
        <v>4254965475395</v>
      </c>
      <c r="I1964" s="8">
        <v>9300560824792</v>
      </c>
      <c r="J1964" s="8"/>
      <c r="K1964" s="8">
        <v>9597538547160</v>
      </c>
      <c r="L1964" s="8">
        <v>26249006889260</v>
      </c>
      <c r="M1964" s="8">
        <v>62717299990800</v>
      </c>
      <c r="N1964" s="8">
        <v>62845556228000</v>
      </c>
      <c r="O1964" s="8">
        <v>60280431484000</v>
      </c>
      <c r="P1964" s="8">
        <v>57971819214400</v>
      </c>
      <c r="Q1964" s="18">
        <f>(Table1[[#This Row],[A. TÀI SẢN NGẮN HẠN]]-Table1[[#This Row],[I. Nợ ngắn hạn]])/Table1[[#This Row],[TỔNG CỘNG TÀI SẢN]]</f>
        <v>0.40680286178357367</v>
      </c>
      <c r="R1964" s="18">
        <f>Table1[[#This Row],[- LNST chưa phân phối kỳ này]]/Table1[[#This Row],[TỔNG CỘNG TÀI SẢN]]</f>
        <v>0.13053100949580115</v>
      </c>
      <c r="S1964" s="21">
        <f>Table1[[#This Row],[5. Lợi nhuận gộp về bán hàng và cung cấp dịch vụ]]/Table1[[#This Row],[TỔNG CỘNG TÀI SẢN]]</f>
        <v>0.28531643801986445</v>
      </c>
      <c r="T196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6.3509801424383738</v>
      </c>
      <c r="U1964" s="23">
        <f>Table1[[#This Row],[1. Doanh thu bán hàng và cung cấp dịch vụ ]]/Table1[[#This Row],[TỔNG CỘNG TÀI SẢN]]</f>
        <v>0.80524962830615521</v>
      </c>
      <c r="V1964" s="23">
        <f>1.2*Table1[[#This Row],[X1]] + 1.4*Table1[[#This Row],[X2]] + 3.3*Table1[[#This Row],[x3]] + 0.6*Table1[[#This Row],[x4]] + 1*Table1[[#This Row],[x5]]</f>
        <v>6.2282888066691422</v>
      </c>
      <c r="W1964" s="23">
        <f>IF(Table1[[#This Row],[Zscore]]&lt;1.81,1,0)</f>
        <v>0</v>
      </c>
    </row>
    <row r="1965" spans="1:23" ht="26.25" hidden="1" x14ac:dyDescent="0.45">
      <c r="A1965" s="7">
        <v>1959</v>
      </c>
      <c r="B1965" s="5" t="s">
        <v>3929</v>
      </c>
      <c r="C1965" s="6" t="s">
        <v>3930</v>
      </c>
      <c r="D1965" s="6" t="s">
        <v>13</v>
      </c>
      <c r="E1965" s="6"/>
      <c r="F1965" s="6"/>
      <c r="G1965" s="6"/>
      <c r="H1965" s="6"/>
      <c r="I1965" s="6"/>
      <c r="J1965" s="8"/>
      <c r="K1965" s="6"/>
      <c r="L1965" s="6"/>
      <c r="M1965" s="8"/>
      <c r="N1965" s="8"/>
      <c r="O1965" s="8"/>
      <c r="P1965" s="8"/>
      <c r="Q1965" s="18" t="e">
        <f>(Table1[[#This Row],[A. TÀI SẢN NGẮN HẠN]]-Table1[[#This Row],[I. Nợ ngắn hạn]])/Table1[[#This Row],[TỔNG CỘNG TÀI SẢN]]</f>
        <v>#DIV/0!</v>
      </c>
      <c r="R1965" s="18" t="e">
        <f>Table1[[#This Row],[- LNST chưa phân phối kỳ này]]/Table1[[#This Row],[TỔNG CỘNG TÀI SẢN]]</f>
        <v>#DIV/0!</v>
      </c>
      <c r="S1965" s="21" t="e">
        <f>Table1[[#This Row],[5. Lợi nhuận gộp về bán hàng và cung cấp dịch vụ]]/Table1[[#This Row],[TỔNG CỘNG TÀI SẢN]]</f>
        <v>#DIV/0!</v>
      </c>
      <c r="T196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965" s="23" t="e">
        <f>Table1[[#This Row],[1. Doanh thu bán hàng và cung cấp dịch vụ ]]/Table1[[#This Row],[TỔNG CỘNG TÀI SẢN]]</f>
        <v>#DIV/0!</v>
      </c>
      <c r="V1965" s="23" t="e">
        <f>1.2*Table1[[#This Row],[X1]] + 1.4*Table1[[#This Row],[X2]] + 3.3*Table1[[#This Row],[x3]] + 0.6*Table1[[#This Row],[x4]] + 1*Table1[[#This Row],[x5]]</f>
        <v>#DIV/0!</v>
      </c>
      <c r="W1965" s="23" t="e">
        <f>IF(Table1[[#This Row],[Zscore]]&lt;1.81,1,0)</f>
        <v>#DIV/0!</v>
      </c>
    </row>
    <row r="1966" spans="1:23" ht="26.25" hidden="1" x14ac:dyDescent="0.45">
      <c r="A1966" s="7">
        <v>1960</v>
      </c>
      <c r="B1966" s="5" t="s">
        <v>3931</v>
      </c>
      <c r="C1966" s="6" t="s">
        <v>3932</v>
      </c>
      <c r="D1966" s="6" t="s">
        <v>13</v>
      </c>
      <c r="E1966" s="6"/>
      <c r="F1966" s="6"/>
      <c r="G1966" s="6"/>
      <c r="H1966" s="6"/>
      <c r="I1966" s="6"/>
      <c r="J1966" s="8"/>
      <c r="K1966" s="6"/>
      <c r="L1966" s="6"/>
      <c r="M1966" s="8"/>
      <c r="N1966" s="8"/>
      <c r="O1966" s="8"/>
      <c r="P1966" s="8"/>
      <c r="Q1966" s="18" t="e">
        <f>(Table1[[#This Row],[A. TÀI SẢN NGẮN HẠN]]-Table1[[#This Row],[I. Nợ ngắn hạn]])/Table1[[#This Row],[TỔNG CỘNG TÀI SẢN]]</f>
        <v>#DIV/0!</v>
      </c>
      <c r="R1966" s="18" t="e">
        <f>Table1[[#This Row],[- LNST chưa phân phối kỳ này]]/Table1[[#This Row],[TỔNG CỘNG TÀI SẢN]]</f>
        <v>#DIV/0!</v>
      </c>
      <c r="S1966" s="21" t="e">
        <f>Table1[[#This Row],[5. Lợi nhuận gộp về bán hàng và cung cấp dịch vụ]]/Table1[[#This Row],[TỔNG CỘNG TÀI SẢN]]</f>
        <v>#DIV/0!</v>
      </c>
      <c r="T196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966" s="23" t="e">
        <f>Table1[[#This Row],[1. Doanh thu bán hàng và cung cấp dịch vụ ]]/Table1[[#This Row],[TỔNG CỘNG TÀI SẢN]]</f>
        <v>#DIV/0!</v>
      </c>
      <c r="V1966" s="23" t="e">
        <f>1.2*Table1[[#This Row],[X1]] + 1.4*Table1[[#This Row],[X2]] + 3.3*Table1[[#This Row],[x3]] + 0.6*Table1[[#This Row],[x4]] + 1*Table1[[#This Row],[x5]]</f>
        <v>#DIV/0!</v>
      </c>
      <c r="W1966" s="23" t="e">
        <f>IF(Table1[[#This Row],[Zscore]]&lt;1.81,1,0)</f>
        <v>#DIV/0!</v>
      </c>
    </row>
    <row r="1967" spans="1:23" ht="26.25" hidden="1" x14ac:dyDescent="0.45">
      <c r="A1967" s="7">
        <v>1961</v>
      </c>
      <c r="B1967" s="5" t="s">
        <v>3933</v>
      </c>
      <c r="C1967" s="6" t="s">
        <v>3934</v>
      </c>
      <c r="D1967" s="6" t="s">
        <v>13</v>
      </c>
      <c r="E1967" s="6"/>
      <c r="F1967" s="6"/>
      <c r="G1967" s="6"/>
      <c r="H1967" s="6"/>
      <c r="I1967" s="6"/>
      <c r="J1967" s="8"/>
      <c r="K1967" s="6"/>
      <c r="L1967" s="6"/>
      <c r="M1967" s="8"/>
      <c r="N1967" s="8"/>
      <c r="O1967" s="8"/>
      <c r="P1967" s="8"/>
      <c r="Q1967" s="18" t="e">
        <f>(Table1[[#This Row],[A. TÀI SẢN NGẮN HẠN]]-Table1[[#This Row],[I. Nợ ngắn hạn]])/Table1[[#This Row],[TỔNG CỘNG TÀI SẢN]]</f>
        <v>#DIV/0!</v>
      </c>
      <c r="R1967" s="18" t="e">
        <f>Table1[[#This Row],[- LNST chưa phân phối kỳ này]]/Table1[[#This Row],[TỔNG CỘNG TÀI SẢN]]</f>
        <v>#DIV/0!</v>
      </c>
      <c r="S1967" s="21" t="e">
        <f>Table1[[#This Row],[5. Lợi nhuận gộp về bán hàng và cung cấp dịch vụ]]/Table1[[#This Row],[TỔNG CỘNG TÀI SẢN]]</f>
        <v>#DIV/0!</v>
      </c>
      <c r="T196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967" s="23" t="e">
        <f>Table1[[#This Row],[1. Doanh thu bán hàng và cung cấp dịch vụ ]]/Table1[[#This Row],[TỔNG CỘNG TÀI SẢN]]</f>
        <v>#DIV/0!</v>
      </c>
      <c r="V1967" s="23" t="e">
        <f>1.2*Table1[[#This Row],[X1]] + 1.4*Table1[[#This Row],[X2]] + 3.3*Table1[[#This Row],[x3]] + 0.6*Table1[[#This Row],[x4]] + 1*Table1[[#This Row],[x5]]</f>
        <v>#DIV/0!</v>
      </c>
      <c r="W1967" s="23" t="e">
        <f>IF(Table1[[#This Row],[Zscore]]&lt;1.81,1,0)</f>
        <v>#DIV/0!</v>
      </c>
    </row>
    <row r="1968" spans="1:23" ht="26.25" hidden="1" x14ac:dyDescent="0.45">
      <c r="A1968" s="7">
        <v>1962</v>
      </c>
      <c r="B1968" s="5" t="s">
        <v>3935</v>
      </c>
      <c r="C1968" s="6" t="s">
        <v>3936</v>
      </c>
      <c r="D1968" s="6" t="s">
        <v>13</v>
      </c>
      <c r="E1968" s="6"/>
      <c r="F1968" s="6"/>
      <c r="G1968" s="6"/>
      <c r="H1968" s="6"/>
      <c r="I1968" s="6"/>
      <c r="J1968" s="8"/>
      <c r="K1968" s="6"/>
      <c r="L1968" s="6"/>
      <c r="M1968" s="8"/>
      <c r="N1968" s="8"/>
      <c r="O1968" s="8"/>
      <c r="P1968" s="8"/>
      <c r="Q1968" s="18" t="e">
        <f>(Table1[[#This Row],[A. TÀI SẢN NGẮN HẠN]]-Table1[[#This Row],[I. Nợ ngắn hạn]])/Table1[[#This Row],[TỔNG CỘNG TÀI SẢN]]</f>
        <v>#DIV/0!</v>
      </c>
      <c r="R1968" s="18" t="e">
        <f>Table1[[#This Row],[- LNST chưa phân phối kỳ này]]/Table1[[#This Row],[TỔNG CỘNG TÀI SẢN]]</f>
        <v>#DIV/0!</v>
      </c>
      <c r="S1968" s="21" t="e">
        <f>Table1[[#This Row],[5. Lợi nhuận gộp về bán hàng và cung cấp dịch vụ]]/Table1[[#This Row],[TỔNG CỘNG TÀI SẢN]]</f>
        <v>#DIV/0!</v>
      </c>
      <c r="T196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968" s="23" t="e">
        <f>Table1[[#This Row],[1. Doanh thu bán hàng và cung cấp dịch vụ ]]/Table1[[#This Row],[TỔNG CỘNG TÀI SẢN]]</f>
        <v>#DIV/0!</v>
      </c>
      <c r="V1968" s="23" t="e">
        <f>1.2*Table1[[#This Row],[X1]] + 1.4*Table1[[#This Row],[X2]] + 3.3*Table1[[#This Row],[x3]] + 0.6*Table1[[#This Row],[x4]] + 1*Table1[[#This Row],[x5]]</f>
        <v>#DIV/0!</v>
      </c>
      <c r="W1968" s="23" t="e">
        <f>IF(Table1[[#This Row],[Zscore]]&lt;1.81,1,0)</f>
        <v>#DIV/0!</v>
      </c>
    </row>
    <row r="1969" spans="1:23" ht="26.25" hidden="1" x14ac:dyDescent="0.45">
      <c r="A1969" s="7">
        <v>1963</v>
      </c>
      <c r="B1969" s="5" t="s">
        <v>3937</v>
      </c>
      <c r="C1969" s="6" t="s">
        <v>3938</v>
      </c>
      <c r="D1969" s="6" t="s">
        <v>18</v>
      </c>
      <c r="E1969" s="8">
        <v>64477545984</v>
      </c>
      <c r="F1969" s="8">
        <v>57313558833</v>
      </c>
      <c r="G1969" s="8">
        <v>14701935379</v>
      </c>
      <c r="H1969" s="8">
        <v>6288217215</v>
      </c>
      <c r="I1969" s="8">
        <v>15372692785</v>
      </c>
      <c r="J1969" s="8"/>
      <c r="K1969" s="8">
        <v>14701935379</v>
      </c>
      <c r="L1969" s="8">
        <v>105630693335</v>
      </c>
      <c r="M1969" s="8"/>
      <c r="N1969" s="8"/>
      <c r="O1969" s="8"/>
      <c r="P1969" s="8"/>
      <c r="Q1969" s="18">
        <f>(Table1[[#This Row],[A. TÀI SẢN NGẮN HẠN]]-Table1[[#This Row],[I. Nợ ngắn hạn]])/Table1[[#This Row],[TỔNG CỘNG TÀI SẢN]]</f>
        <v>0.66087539163748577</v>
      </c>
      <c r="R1969" s="18">
        <f>Table1[[#This Row],[- LNST chưa phân phối kỳ này]]/Table1[[#This Row],[TỔNG CỘNG TÀI SẢN]]</f>
        <v>9.7525690828252229E-2</v>
      </c>
      <c r="S1969" s="21">
        <f>Table1[[#This Row],[5. Lợi nhuận gộp về bán hàng và cung cấp dịch vụ]]/Table1[[#This Row],[TỔNG CỘNG TÀI SẢN]]</f>
        <v>0.23841932180258085</v>
      </c>
      <c r="T196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969" s="23">
        <f>Table1[[#This Row],[1. Doanh thu bán hàng và cung cấp dịch vụ ]]/Table1[[#This Row],[TỔNG CỘNG TÀI SẢN]]</f>
        <v>1.6382554844939676</v>
      </c>
      <c r="V1969" s="23" t="e">
        <f>1.2*Table1[[#This Row],[X1]] + 1.4*Table1[[#This Row],[X2]] + 3.3*Table1[[#This Row],[x3]] + 0.6*Table1[[#This Row],[x4]] + 1*Table1[[#This Row],[x5]]</f>
        <v>#DIV/0!</v>
      </c>
      <c r="W1969" s="23" t="e">
        <f>IF(Table1[[#This Row],[Zscore]]&lt;1.81,1,0)</f>
        <v>#DIV/0!</v>
      </c>
    </row>
    <row r="1970" spans="1:23" ht="26.25" hidden="1" x14ac:dyDescent="0.45">
      <c r="A1970" s="7">
        <v>1964</v>
      </c>
      <c r="B1970" s="5" t="s">
        <v>3939</v>
      </c>
      <c r="C1970" s="6" t="s">
        <v>3940</v>
      </c>
      <c r="D1970" s="6" t="s">
        <v>13</v>
      </c>
      <c r="E1970" s="6"/>
      <c r="F1970" s="6"/>
      <c r="G1970" s="6"/>
      <c r="H1970" s="6"/>
      <c r="I1970" s="6"/>
      <c r="J1970" s="8"/>
      <c r="K1970" s="6"/>
      <c r="L1970" s="6"/>
      <c r="M1970" s="8"/>
      <c r="N1970" s="8"/>
      <c r="O1970" s="8"/>
      <c r="P1970" s="8"/>
      <c r="Q1970" s="18" t="e">
        <f>(Table1[[#This Row],[A. TÀI SẢN NGẮN HẠN]]-Table1[[#This Row],[I. Nợ ngắn hạn]])/Table1[[#This Row],[TỔNG CỘNG TÀI SẢN]]</f>
        <v>#DIV/0!</v>
      </c>
      <c r="R1970" s="18" t="e">
        <f>Table1[[#This Row],[- LNST chưa phân phối kỳ này]]/Table1[[#This Row],[TỔNG CỘNG TÀI SẢN]]</f>
        <v>#DIV/0!</v>
      </c>
      <c r="S1970" s="21" t="e">
        <f>Table1[[#This Row],[5. Lợi nhuận gộp về bán hàng và cung cấp dịch vụ]]/Table1[[#This Row],[TỔNG CỘNG TÀI SẢN]]</f>
        <v>#DIV/0!</v>
      </c>
      <c r="T197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970" s="23" t="e">
        <f>Table1[[#This Row],[1. Doanh thu bán hàng và cung cấp dịch vụ ]]/Table1[[#This Row],[TỔNG CỘNG TÀI SẢN]]</f>
        <v>#DIV/0!</v>
      </c>
      <c r="V1970" s="23" t="e">
        <f>1.2*Table1[[#This Row],[X1]] + 1.4*Table1[[#This Row],[X2]] + 3.3*Table1[[#This Row],[x3]] + 0.6*Table1[[#This Row],[x4]] + 1*Table1[[#This Row],[x5]]</f>
        <v>#DIV/0!</v>
      </c>
      <c r="W1970" s="23" t="e">
        <f>IF(Table1[[#This Row],[Zscore]]&lt;1.81,1,0)</f>
        <v>#DIV/0!</v>
      </c>
    </row>
    <row r="1971" spans="1:23" ht="26.25" hidden="1" x14ac:dyDescent="0.45">
      <c r="A1971" s="7">
        <v>1965</v>
      </c>
      <c r="B1971" s="5" t="s">
        <v>3941</v>
      </c>
      <c r="C1971" s="6" t="s">
        <v>3942</v>
      </c>
      <c r="D1971" s="6" t="s">
        <v>13</v>
      </c>
      <c r="E1971" s="6"/>
      <c r="F1971" s="6"/>
      <c r="G1971" s="6"/>
      <c r="H1971" s="6"/>
      <c r="I1971" s="6"/>
      <c r="J1971" s="8"/>
      <c r="K1971" s="6"/>
      <c r="L1971" s="6"/>
      <c r="M1971" s="8"/>
      <c r="N1971" s="8"/>
      <c r="O1971" s="8"/>
      <c r="P1971" s="8"/>
      <c r="Q1971" s="18" t="e">
        <f>(Table1[[#This Row],[A. TÀI SẢN NGẮN HẠN]]-Table1[[#This Row],[I. Nợ ngắn hạn]])/Table1[[#This Row],[TỔNG CỘNG TÀI SẢN]]</f>
        <v>#DIV/0!</v>
      </c>
      <c r="R1971" s="18" t="e">
        <f>Table1[[#This Row],[- LNST chưa phân phối kỳ này]]/Table1[[#This Row],[TỔNG CỘNG TÀI SẢN]]</f>
        <v>#DIV/0!</v>
      </c>
      <c r="S1971" s="21" t="e">
        <f>Table1[[#This Row],[5. Lợi nhuận gộp về bán hàng và cung cấp dịch vụ]]/Table1[[#This Row],[TỔNG CỘNG TÀI SẢN]]</f>
        <v>#DIV/0!</v>
      </c>
      <c r="T197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971" s="23" t="e">
        <f>Table1[[#This Row],[1. Doanh thu bán hàng và cung cấp dịch vụ ]]/Table1[[#This Row],[TỔNG CỘNG TÀI SẢN]]</f>
        <v>#DIV/0!</v>
      </c>
      <c r="V1971" s="23" t="e">
        <f>1.2*Table1[[#This Row],[X1]] + 1.4*Table1[[#This Row],[X2]] + 3.3*Table1[[#This Row],[x3]] + 0.6*Table1[[#This Row],[x4]] + 1*Table1[[#This Row],[x5]]</f>
        <v>#DIV/0!</v>
      </c>
      <c r="W1971" s="23" t="e">
        <f>IF(Table1[[#This Row],[Zscore]]&lt;1.81,1,0)</f>
        <v>#DIV/0!</v>
      </c>
    </row>
    <row r="1972" spans="1:23" ht="26.25" hidden="1" x14ac:dyDescent="0.45">
      <c r="A1972" s="7">
        <v>1966</v>
      </c>
      <c r="B1972" s="5" t="s">
        <v>3943</v>
      </c>
      <c r="C1972" s="6" t="s">
        <v>3944</v>
      </c>
      <c r="D1972" s="6" t="s">
        <v>13</v>
      </c>
      <c r="E1972" s="6"/>
      <c r="F1972" s="6"/>
      <c r="G1972" s="6"/>
      <c r="H1972" s="6"/>
      <c r="I1972" s="6"/>
      <c r="J1972" s="8"/>
      <c r="K1972" s="6"/>
      <c r="L1972" s="6"/>
      <c r="M1972" s="8"/>
      <c r="N1972" s="8"/>
      <c r="O1972" s="8"/>
      <c r="P1972" s="8"/>
      <c r="Q1972" s="18" t="e">
        <f>(Table1[[#This Row],[A. TÀI SẢN NGẮN HẠN]]-Table1[[#This Row],[I. Nợ ngắn hạn]])/Table1[[#This Row],[TỔNG CỘNG TÀI SẢN]]</f>
        <v>#DIV/0!</v>
      </c>
      <c r="R1972" s="18" t="e">
        <f>Table1[[#This Row],[- LNST chưa phân phối kỳ này]]/Table1[[#This Row],[TỔNG CỘNG TÀI SẢN]]</f>
        <v>#DIV/0!</v>
      </c>
      <c r="S1972" s="21" t="e">
        <f>Table1[[#This Row],[5. Lợi nhuận gộp về bán hàng và cung cấp dịch vụ]]/Table1[[#This Row],[TỔNG CỘNG TÀI SẢN]]</f>
        <v>#DIV/0!</v>
      </c>
      <c r="T197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972" s="23" t="e">
        <f>Table1[[#This Row],[1. Doanh thu bán hàng và cung cấp dịch vụ ]]/Table1[[#This Row],[TỔNG CỘNG TÀI SẢN]]</f>
        <v>#DIV/0!</v>
      </c>
      <c r="V1972" s="23" t="e">
        <f>1.2*Table1[[#This Row],[X1]] + 1.4*Table1[[#This Row],[X2]] + 3.3*Table1[[#This Row],[x3]] + 0.6*Table1[[#This Row],[x4]] + 1*Table1[[#This Row],[x5]]</f>
        <v>#DIV/0!</v>
      </c>
      <c r="W1972" s="23" t="e">
        <f>IF(Table1[[#This Row],[Zscore]]&lt;1.81,1,0)</f>
        <v>#DIV/0!</v>
      </c>
    </row>
    <row r="1973" spans="1:23" ht="26.25" hidden="1" x14ac:dyDescent="0.45">
      <c r="A1973" s="7">
        <v>1967</v>
      </c>
      <c r="B1973" s="5" t="s">
        <v>3945</v>
      </c>
      <c r="C1973" s="6" t="s">
        <v>3946</v>
      </c>
      <c r="D1973" s="6" t="s">
        <v>13</v>
      </c>
      <c r="E1973" s="6"/>
      <c r="F1973" s="6"/>
      <c r="G1973" s="6"/>
      <c r="H1973" s="6"/>
      <c r="I1973" s="6"/>
      <c r="J1973" s="8"/>
      <c r="K1973" s="6"/>
      <c r="L1973" s="6"/>
      <c r="M1973" s="8"/>
      <c r="N1973" s="8"/>
      <c r="O1973" s="8"/>
      <c r="P1973" s="8"/>
      <c r="Q1973" s="18" t="e">
        <f>(Table1[[#This Row],[A. TÀI SẢN NGẮN HẠN]]-Table1[[#This Row],[I. Nợ ngắn hạn]])/Table1[[#This Row],[TỔNG CỘNG TÀI SẢN]]</f>
        <v>#DIV/0!</v>
      </c>
      <c r="R1973" s="18" t="e">
        <f>Table1[[#This Row],[- LNST chưa phân phối kỳ này]]/Table1[[#This Row],[TỔNG CỘNG TÀI SẢN]]</f>
        <v>#DIV/0!</v>
      </c>
      <c r="S1973" s="21" t="e">
        <f>Table1[[#This Row],[5. Lợi nhuận gộp về bán hàng và cung cấp dịch vụ]]/Table1[[#This Row],[TỔNG CỘNG TÀI SẢN]]</f>
        <v>#DIV/0!</v>
      </c>
      <c r="T197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973" s="23" t="e">
        <f>Table1[[#This Row],[1. Doanh thu bán hàng và cung cấp dịch vụ ]]/Table1[[#This Row],[TỔNG CỘNG TÀI SẢN]]</f>
        <v>#DIV/0!</v>
      </c>
      <c r="V1973" s="23" t="e">
        <f>1.2*Table1[[#This Row],[X1]] + 1.4*Table1[[#This Row],[X2]] + 3.3*Table1[[#This Row],[x3]] + 0.6*Table1[[#This Row],[x4]] + 1*Table1[[#This Row],[x5]]</f>
        <v>#DIV/0!</v>
      </c>
      <c r="W1973" s="23" t="e">
        <f>IF(Table1[[#This Row],[Zscore]]&lt;1.81,1,0)</f>
        <v>#DIV/0!</v>
      </c>
    </row>
    <row r="1974" spans="1:23" ht="26.25" x14ac:dyDescent="0.45">
      <c r="A1974" s="7">
        <v>1968</v>
      </c>
      <c r="B1974" s="5" t="s">
        <v>3947</v>
      </c>
      <c r="C1974" s="6" t="s">
        <v>3948</v>
      </c>
      <c r="D1974" s="6" t="s">
        <v>36</v>
      </c>
      <c r="E1974" s="8">
        <v>258972002748</v>
      </c>
      <c r="F1974" s="8">
        <v>235480639486</v>
      </c>
      <c r="G1974" s="8">
        <v>78907957526</v>
      </c>
      <c r="H1974" s="8">
        <v>48608545962</v>
      </c>
      <c r="I1974" s="8">
        <v>148132576359</v>
      </c>
      <c r="J1974" s="8"/>
      <c r="K1974" s="8">
        <v>78907957526</v>
      </c>
      <c r="L1974" s="8">
        <v>743749284952</v>
      </c>
      <c r="M1974" s="8">
        <v>638469270000</v>
      </c>
      <c r="N1974" s="8">
        <v>627627339000</v>
      </c>
      <c r="O1974" s="8">
        <v>625218021000</v>
      </c>
      <c r="P1974" s="8">
        <v>661357791000</v>
      </c>
      <c r="Q1974" s="18">
        <f>(Table1[[#This Row],[A. TÀI SẢN NGẮN HẠN]]-Table1[[#This Row],[I. Nợ ngắn hạn]])/Table1[[#This Row],[TỔNG CỘNG TÀI SẢN]]</f>
        <v>0.60459308457508221</v>
      </c>
      <c r="R1974" s="18">
        <f>Table1[[#This Row],[- LNST chưa phân phối kỳ này]]/Table1[[#This Row],[TỔNG CỘNG TÀI SẢN]]</f>
        <v>0.18769807332918498</v>
      </c>
      <c r="S1974" s="21">
        <f>Table1[[#This Row],[5. Lợi nhuận gộp về bán hàng và cung cấp dịch vụ]]/Table1[[#This Row],[TỔNG CỘNG TÀI SẢN]]</f>
        <v>0.57200228127804442</v>
      </c>
      <c r="T197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8.087499984266163</v>
      </c>
      <c r="U1974" s="23">
        <f>Table1[[#This Row],[1. Doanh thu bán hàng và cung cấp dịch vụ ]]/Table1[[#This Row],[TỔNG CỘNG TÀI SẢN]]</f>
        <v>2.871929309191489</v>
      </c>
      <c r="V1974" s="23">
        <f>1.2*Table1[[#This Row],[X1]] + 1.4*Table1[[#This Row],[X2]] + 3.3*Table1[[#This Row],[x3]] + 0.6*Table1[[#This Row],[x4]] + 1*Table1[[#This Row],[x5]]</f>
        <v>10.60032583211969</v>
      </c>
      <c r="W1974" s="23">
        <f>IF(Table1[[#This Row],[Zscore]]&lt;1.81,1,0)</f>
        <v>0</v>
      </c>
    </row>
    <row r="1975" spans="1:23" ht="26.25" hidden="1" x14ac:dyDescent="0.45">
      <c r="A1975" s="7">
        <v>1969</v>
      </c>
      <c r="B1975" s="5" t="s">
        <v>3949</v>
      </c>
      <c r="C1975" s="6" t="s">
        <v>3950</v>
      </c>
      <c r="D1975" s="6" t="s">
        <v>13</v>
      </c>
      <c r="E1975" s="6"/>
      <c r="F1975" s="6"/>
      <c r="G1975" s="6"/>
      <c r="H1975" s="6"/>
      <c r="I1975" s="6"/>
      <c r="J1975" s="8"/>
      <c r="K1975" s="6"/>
      <c r="L1975" s="6"/>
      <c r="M1975" s="8"/>
      <c r="N1975" s="8"/>
      <c r="O1975" s="8"/>
      <c r="P1975" s="8"/>
      <c r="Q1975" s="18" t="e">
        <f>(Table1[[#This Row],[A. TÀI SẢN NGẮN HẠN]]-Table1[[#This Row],[I. Nợ ngắn hạn]])/Table1[[#This Row],[TỔNG CỘNG TÀI SẢN]]</f>
        <v>#DIV/0!</v>
      </c>
      <c r="R1975" s="18" t="e">
        <f>Table1[[#This Row],[- LNST chưa phân phối kỳ này]]/Table1[[#This Row],[TỔNG CỘNG TÀI SẢN]]</f>
        <v>#DIV/0!</v>
      </c>
      <c r="S1975" s="21" t="e">
        <f>Table1[[#This Row],[5. Lợi nhuận gộp về bán hàng và cung cấp dịch vụ]]/Table1[[#This Row],[TỔNG CỘNG TÀI SẢN]]</f>
        <v>#DIV/0!</v>
      </c>
      <c r="T197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975" s="23" t="e">
        <f>Table1[[#This Row],[1. Doanh thu bán hàng và cung cấp dịch vụ ]]/Table1[[#This Row],[TỔNG CỘNG TÀI SẢN]]</f>
        <v>#DIV/0!</v>
      </c>
      <c r="V1975" s="23" t="e">
        <f>1.2*Table1[[#This Row],[X1]] + 1.4*Table1[[#This Row],[X2]] + 3.3*Table1[[#This Row],[x3]] + 0.6*Table1[[#This Row],[x4]] + 1*Table1[[#This Row],[x5]]</f>
        <v>#DIV/0!</v>
      </c>
      <c r="W1975" s="23" t="e">
        <f>IF(Table1[[#This Row],[Zscore]]&lt;1.81,1,0)</f>
        <v>#DIV/0!</v>
      </c>
    </row>
    <row r="1976" spans="1:23" ht="26.25" hidden="1" x14ac:dyDescent="0.45">
      <c r="A1976" s="7">
        <v>1970</v>
      </c>
      <c r="B1976" s="5" t="s">
        <v>3951</v>
      </c>
      <c r="C1976" s="6" t="s">
        <v>3952</v>
      </c>
      <c r="D1976" s="6" t="s">
        <v>13</v>
      </c>
      <c r="E1976" s="6"/>
      <c r="F1976" s="6"/>
      <c r="G1976" s="6"/>
      <c r="H1976" s="6"/>
      <c r="I1976" s="6"/>
      <c r="J1976" s="8"/>
      <c r="K1976" s="6"/>
      <c r="L1976" s="6"/>
      <c r="M1976" s="8"/>
      <c r="N1976" s="8"/>
      <c r="O1976" s="8"/>
      <c r="P1976" s="8"/>
      <c r="Q1976" s="18" t="e">
        <f>(Table1[[#This Row],[A. TÀI SẢN NGẮN HẠN]]-Table1[[#This Row],[I. Nợ ngắn hạn]])/Table1[[#This Row],[TỔNG CỘNG TÀI SẢN]]</f>
        <v>#DIV/0!</v>
      </c>
      <c r="R1976" s="18" t="e">
        <f>Table1[[#This Row],[- LNST chưa phân phối kỳ này]]/Table1[[#This Row],[TỔNG CỘNG TÀI SẢN]]</f>
        <v>#DIV/0!</v>
      </c>
      <c r="S1976" s="21" t="e">
        <f>Table1[[#This Row],[5. Lợi nhuận gộp về bán hàng và cung cấp dịch vụ]]/Table1[[#This Row],[TỔNG CỘNG TÀI SẢN]]</f>
        <v>#DIV/0!</v>
      </c>
      <c r="T197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976" s="23" t="e">
        <f>Table1[[#This Row],[1. Doanh thu bán hàng và cung cấp dịch vụ ]]/Table1[[#This Row],[TỔNG CỘNG TÀI SẢN]]</f>
        <v>#DIV/0!</v>
      </c>
      <c r="V1976" s="23" t="e">
        <f>1.2*Table1[[#This Row],[X1]] + 1.4*Table1[[#This Row],[X2]] + 3.3*Table1[[#This Row],[x3]] + 0.6*Table1[[#This Row],[x4]] + 1*Table1[[#This Row],[x5]]</f>
        <v>#DIV/0!</v>
      </c>
      <c r="W1976" s="23" t="e">
        <f>IF(Table1[[#This Row],[Zscore]]&lt;1.81,1,0)</f>
        <v>#DIV/0!</v>
      </c>
    </row>
    <row r="1977" spans="1:23" hidden="1" x14ac:dyDescent="0.45">
      <c r="A1977" s="7">
        <v>1971</v>
      </c>
      <c r="B1977" s="5" t="s">
        <v>3953</v>
      </c>
      <c r="C1977" s="6" t="s">
        <v>3954</v>
      </c>
      <c r="D1977" s="6" t="s">
        <v>13</v>
      </c>
      <c r="E1977" s="6"/>
      <c r="F1977" s="6"/>
      <c r="G1977" s="6"/>
      <c r="H1977" s="6"/>
      <c r="I1977" s="6"/>
      <c r="J1977" s="8"/>
      <c r="K1977" s="6"/>
      <c r="L1977" s="6"/>
      <c r="M1977" s="8"/>
      <c r="N1977" s="8"/>
      <c r="O1977" s="8"/>
      <c r="P1977" s="8"/>
      <c r="Q1977" s="18" t="e">
        <f>(Table1[[#This Row],[A. TÀI SẢN NGẮN HẠN]]-Table1[[#This Row],[I. Nợ ngắn hạn]])/Table1[[#This Row],[TỔNG CỘNG TÀI SẢN]]</f>
        <v>#DIV/0!</v>
      </c>
      <c r="R1977" s="18" t="e">
        <f>Table1[[#This Row],[- LNST chưa phân phối kỳ này]]/Table1[[#This Row],[TỔNG CỘNG TÀI SẢN]]</f>
        <v>#DIV/0!</v>
      </c>
      <c r="S1977" s="21" t="e">
        <f>Table1[[#This Row],[5. Lợi nhuận gộp về bán hàng và cung cấp dịch vụ]]/Table1[[#This Row],[TỔNG CỘNG TÀI SẢN]]</f>
        <v>#DIV/0!</v>
      </c>
      <c r="T197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977" s="23" t="e">
        <f>Table1[[#This Row],[1. Doanh thu bán hàng và cung cấp dịch vụ ]]/Table1[[#This Row],[TỔNG CỘNG TÀI SẢN]]</f>
        <v>#DIV/0!</v>
      </c>
      <c r="V1977" s="23" t="e">
        <f>1.2*Table1[[#This Row],[X1]] + 1.4*Table1[[#This Row],[X2]] + 3.3*Table1[[#This Row],[x3]] + 0.6*Table1[[#This Row],[x4]] + 1*Table1[[#This Row],[x5]]</f>
        <v>#DIV/0!</v>
      </c>
      <c r="W1977" s="23" t="e">
        <f>IF(Table1[[#This Row],[Zscore]]&lt;1.81,1,0)</f>
        <v>#DIV/0!</v>
      </c>
    </row>
    <row r="1978" spans="1:23" hidden="1" x14ac:dyDescent="0.45">
      <c r="A1978" s="7">
        <v>1972</v>
      </c>
      <c r="B1978" s="5" t="s">
        <v>3955</v>
      </c>
      <c r="C1978" s="6" t="s">
        <v>3956</v>
      </c>
      <c r="D1978" s="6" t="s">
        <v>13</v>
      </c>
      <c r="E1978" s="6"/>
      <c r="F1978" s="6"/>
      <c r="G1978" s="6"/>
      <c r="H1978" s="6"/>
      <c r="I1978" s="6"/>
      <c r="J1978" s="8"/>
      <c r="K1978" s="6"/>
      <c r="L1978" s="6"/>
      <c r="M1978" s="8"/>
      <c r="N1978" s="8"/>
      <c r="O1978" s="8"/>
      <c r="P1978" s="8"/>
      <c r="Q1978" s="18" t="e">
        <f>(Table1[[#This Row],[A. TÀI SẢN NGẮN HẠN]]-Table1[[#This Row],[I. Nợ ngắn hạn]])/Table1[[#This Row],[TỔNG CỘNG TÀI SẢN]]</f>
        <v>#DIV/0!</v>
      </c>
      <c r="R1978" s="18" t="e">
        <f>Table1[[#This Row],[- LNST chưa phân phối kỳ này]]/Table1[[#This Row],[TỔNG CỘNG TÀI SẢN]]</f>
        <v>#DIV/0!</v>
      </c>
      <c r="S1978" s="21" t="e">
        <f>Table1[[#This Row],[5. Lợi nhuận gộp về bán hàng và cung cấp dịch vụ]]/Table1[[#This Row],[TỔNG CỘNG TÀI SẢN]]</f>
        <v>#DIV/0!</v>
      </c>
      <c r="T197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978" s="23" t="e">
        <f>Table1[[#This Row],[1. Doanh thu bán hàng và cung cấp dịch vụ ]]/Table1[[#This Row],[TỔNG CỘNG TÀI SẢN]]</f>
        <v>#DIV/0!</v>
      </c>
      <c r="V1978" s="23" t="e">
        <f>1.2*Table1[[#This Row],[X1]] + 1.4*Table1[[#This Row],[X2]] + 3.3*Table1[[#This Row],[x3]] + 0.6*Table1[[#This Row],[x4]] + 1*Table1[[#This Row],[x5]]</f>
        <v>#DIV/0!</v>
      </c>
      <c r="W1978" s="23" t="e">
        <f>IF(Table1[[#This Row],[Zscore]]&lt;1.81,1,0)</f>
        <v>#DIV/0!</v>
      </c>
    </row>
    <row r="1979" spans="1:23" hidden="1" x14ac:dyDescent="0.45">
      <c r="A1979" s="7">
        <v>1973</v>
      </c>
      <c r="B1979" s="5" t="s">
        <v>3957</v>
      </c>
      <c r="C1979" s="6" t="s">
        <v>3958</v>
      </c>
      <c r="D1979" s="6" t="s">
        <v>13</v>
      </c>
      <c r="E1979" s="6"/>
      <c r="F1979" s="6"/>
      <c r="G1979" s="6"/>
      <c r="H1979" s="6"/>
      <c r="I1979" s="6"/>
      <c r="J1979" s="8"/>
      <c r="K1979" s="6"/>
      <c r="L1979" s="6"/>
      <c r="M1979" s="8"/>
      <c r="N1979" s="8"/>
      <c r="O1979" s="8"/>
      <c r="P1979" s="8"/>
      <c r="Q1979" s="18" t="e">
        <f>(Table1[[#This Row],[A. TÀI SẢN NGẮN HẠN]]-Table1[[#This Row],[I. Nợ ngắn hạn]])/Table1[[#This Row],[TỔNG CỘNG TÀI SẢN]]</f>
        <v>#DIV/0!</v>
      </c>
      <c r="R1979" s="18" t="e">
        <f>Table1[[#This Row],[- LNST chưa phân phối kỳ này]]/Table1[[#This Row],[TỔNG CỘNG TÀI SẢN]]</f>
        <v>#DIV/0!</v>
      </c>
      <c r="S1979" s="21" t="e">
        <f>Table1[[#This Row],[5. Lợi nhuận gộp về bán hàng và cung cấp dịch vụ]]/Table1[[#This Row],[TỔNG CỘNG TÀI SẢN]]</f>
        <v>#DIV/0!</v>
      </c>
      <c r="T197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979" s="23" t="e">
        <f>Table1[[#This Row],[1. Doanh thu bán hàng và cung cấp dịch vụ ]]/Table1[[#This Row],[TỔNG CỘNG TÀI SẢN]]</f>
        <v>#DIV/0!</v>
      </c>
      <c r="V1979" s="23" t="e">
        <f>1.2*Table1[[#This Row],[X1]] + 1.4*Table1[[#This Row],[X2]] + 3.3*Table1[[#This Row],[x3]] + 0.6*Table1[[#This Row],[x4]] + 1*Table1[[#This Row],[x5]]</f>
        <v>#DIV/0!</v>
      </c>
      <c r="W1979" s="23" t="e">
        <f>IF(Table1[[#This Row],[Zscore]]&lt;1.81,1,0)</f>
        <v>#DIV/0!</v>
      </c>
    </row>
    <row r="1980" spans="1:23" hidden="1" x14ac:dyDescent="0.45">
      <c r="A1980" s="7">
        <v>1974</v>
      </c>
      <c r="B1980" s="5" t="s">
        <v>3959</v>
      </c>
      <c r="C1980" s="6" t="s">
        <v>3960</v>
      </c>
      <c r="D1980" s="6" t="s">
        <v>13</v>
      </c>
      <c r="E1980" s="6"/>
      <c r="F1980" s="6"/>
      <c r="G1980" s="6"/>
      <c r="H1980" s="6"/>
      <c r="I1980" s="6"/>
      <c r="J1980" s="8"/>
      <c r="K1980" s="6"/>
      <c r="L1980" s="6"/>
      <c r="M1980" s="8"/>
      <c r="N1980" s="8"/>
      <c r="O1980" s="8"/>
      <c r="P1980" s="8"/>
      <c r="Q1980" s="18" t="e">
        <f>(Table1[[#This Row],[A. TÀI SẢN NGẮN HẠN]]-Table1[[#This Row],[I. Nợ ngắn hạn]])/Table1[[#This Row],[TỔNG CỘNG TÀI SẢN]]</f>
        <v>#DIV/0!</v>
      </c>
      <c r="R1980" s="18" t="e">
        <f>Table1[[#This Row],[- LNST chưa phân phối kỳ này]]/Table1[[#This Row],[TỔNG CỘNG TÀI SẢN]]</f>
        <v>#DIV/0!</v>
      </c>
      <c r="S1980" s="21" t="e">
        <f>Table1[[#This Row],[5. Lợi nhuận gộp về bán hàng và cung cấp dịch vụ]]/Table1[[#This Row],[TỔNG CỘNG TÀI SẢN]]</f>
        <v>#DIV/0!</v>
      </c>
      <c r="T198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980" s="23" t="e">
        <f>Table1[[#This Row],[1. Doanh thu bán hàng và cung cấp dịch vụ ]]/Table1[[#This Row],[TỔNG CỘNG TÀI SẢN]]</f>
        <v>#DIV/0!</v>
      </c>
      <c r="V1980" s="23" t="e">
        <f>1.2*Table1[[#This Row],[X1]] + 1.4*Table1[[#This Row],[X2]] + 3.3*Table1[[#This Row],[x3]] + 0.6*Table1[[#This Row],[x4]] + 1*Table1[[#This Row],[x5]]</f>
        <v>#DIV/0!</v>
      </c>
      <c r="W1980" s="23" t="e">
        <f>IF(Table1[[#This Row],[Zscore]]&lt;1.81,1,0)</f>
        <v>#DIV/0!</v>
      </c>
    </row>
    <row r="1981" spans="1:23" hidden="1" x14ac:dyDescent="0.45">
      <c r="A1981" s="7">
        <v>1975</v>
      </c>
      <c r="B1981" s="5" t="s">
        <v>3961</v>
      </c>
      <c r="C1981" s="6" t="s">
        <v>3962</v>
      </c>
      <c r="D1981" s="6" t="s">
        <v>13</v>
      </c>
      <c r="E1981" s="6"/>
      <c r="F1981" s="6"/>
      <c r="G1981" s="6"/>
      <c r="H1981" s="6"/>
      <c r="I1981" s="6"/>
      <c r="J1981" s="8"/>
      <c r="K1981" s="6"/>
      <c r="L1981" s="6"/>
      <c r="M1981" s="8"/>
      <c r="N1981" s="8"/>
      <c r="O1981" s="8"/>
      <c r="P1981" s="8"/>
      <c r="Q1981" s="18" t="e">
        <f>(Table1[[#This Row],[A. TÀI SẢN NGẮN HẠN]]-Table1[[#This Row],[I. Nợ ngắn hạn]])/Table1[[#This Row],[TỔNG CỘNG TÀI SẢN]]</f>
        <v>#DIV/0!</v>
      </c>
      <c r="R1981" s="18" t="e">
        <f>Table1[[#This Row],[- LNST chưa phân phối kỳ này]]/Table1[[#This Row],[TỔNG CỘNG TÀI SẢN]]</f>
        <v>#DIV/0!</v>
      </c>
      <c r="S1981" s="21" t="e">
        <f>Table1[[#This Row],[5. Lợi nhuận gộp về bán hàng và cung cấp dịch vụ]]/Table1[[#This Row],[TỔNG CỘNG TÀI SẢN]]</f>
        <v>#DIV/0!</v>
      </c>
      <c r="T198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981" s="23" t="e">
        <f>Table1[[#This Row],[1. Doanh thu bán hàng và cung cấp dịch vụ ]]/Table1[[#This Row],[TỔNG CỘNG TÀI SẢN]]</f>
        <v>#DIV/0!</v>
      </c>
      <c r="V1981" s="23" t="e">
        <f>1.2*Table1[[#This Row],[X1]] + 1.4*Table1[[#This Row],[X2]] + 3.3*Table1[[#This Row],[x3]] + 0.6*Table1[[#This Row],[x4]] + 1*Table1[[#This Row],[x5]]</f>
        <v>#DIV/0!</v>
      </c>
      <c r="W1981" s="23" t="e">
        <f>IF(Table1[[#This Row],[Zscore]]&lt;1.81,1,0)</f>
        <v>#DIV/0!</v>
      </c>
    </row>
    <row r="1982" spans="1:23" hidden="1" x14ac:dyDescent="0.45">
      <c r="A1982" s="7">
        <v>1976</v>
      </c>
      <c r="B1982" s="5" t="s">
        <v>3963</v>
      </c>
      <c r="C1982" s="6" t="s">
        <v>3964</v>
      </c>
      <c r="D1982" s="6" t="s">
        <v>13</v>
      </c>
      <c r="E1982" s="6"/>
      <c r="F1982" s="6"/>
      <c r="G1982" s="6"/>
      <c r="H1982" s="6"/>
      <c r="I1982" s="6"/>
      <c r="J1982" s="8"/>
      <c r="K1982" s="6"/>
      <c r="L1982" s="6"/>
      <c r="M1982" s="8"/>
      <c r="N1982" s="8"/>
      <c r="O1982" s="8"/>
      <c r="P1982" s="8"/>
      <c r="Q1982" s="18" t="e">
        <f>(Table1[[#This Row],[A. TÀI SẢN NGẮN HẠN]]-Table1[[#This Row],[I. Nợ ngắn hạn]])/Table1[[#This Row],[TỔNG CỘNG TÀI SẢN]]</f>
        <v>#DIV/0!</v>
      </c>
      <c r="R1982" s="18" t="e">
        <f>Table1[[#This Row],[- LNST chưa phân phối kỳ này]]/Table1[[#This Row],[TỔNG CỘNG TÀI SẢN]]</f>
        <v>#DIV/0!</v>
      </c>
      <c r="S1982" s="21" t="e">
        <f>Table1[[#This Row],[5. Lợi nhuận gộp về bán hàng và cung cấp dịch vụ]]/Table1[[#This Row],[TỔNG CỘNG TÀI SẢN]]</f>
        <v>#DIV/0!</v>
      </c>
      <c r="T198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982" s="23" t="e">
        <f>Table1[[#This Row],[1. Doanh thu bán hàng và cung cấp dịch vụ ]]/Table1[[#This Row],[TỔNG CỘNG TÀI SẢN]]</f>
        <v>#DIV/0!</v>
      </c>
      <c r="V1982" s="23" t="e">
        <f>1.2*Table1[[#This Row],[X1]] + 1.4*Table1[[#This Row],[X2]] + 3.3*Table1[[#This Row],[x3]] + 0.6*Table1[[#This Row],[x4]] + 1*Table1[[#This Row],[x5]]</f>
        <v>#DIV/0!</v>
      </c>
      <c r="W1982" s="23" t="e">
        <f>IF(Table1[[#This Row],[Zscore]]&lt;1.81,1,0)</f>
        <v>#DIV/0!</v>
      </c>
    </row>
    <row r="1983" spans="1:23" ht="26.25" hidden="1" x14ac:dyDescent="0.45">
      <c r="A1983" s="7">
        <v>1977</v>
      </c>
      <c r="B1983" s="5" t="s">
        <v>3965</v>
      </c>
      <c r="C1983" s="6" t="s">
        <v>3966</v>
      </c>
      <c r="D1983" s="6" t="s">
        <v>13</v>
      </c>
      <c r="E1983" s="6"/>
      <c r="F1983" s="6"/>
      <c r="G1983" s="6"/>
      <c r="H1983" s="6"/>
      <c r="I1983" s="6"/>
      <c r="J1983" s="8"/>
      <c r="K1983" s="6"/>
      <c r="L1983" s="6"/>
      <c r="M1983" s="8"/>
      <c r="N1983" s="8"/>
      <c r="O1983" s="8"/>
      <c r="P1983" s="8"/>
      <c r="Q1983" s="18" t="e">
        <f>(Table1[[#This Row],[A. TÀI SẢN NGẮN HẠN]]-Table1[[#This Row],[I. Nợ ngắn hạn]])/Table1[[#This Row],[TỔNG CỘNG TÀI SẢN]]</f>
        <v>#DIV/0!</v>
      </c>
      <c r="R1983" s="18" t="e">
        <f>Table1[[#This Row],[- LNST chưa phân phối kỳ này]]/Table1[[#This Row],[TỔNG CỘNG TÀI SẢN]]</f>
        <v>#DIV/0!</v>
      </c>
      <c r="S1983" s="21" t="e">
        <f>Table1[[#This Row],[5. Lợi nhuận gộp về bán hàng và cung cấp dịch vụ]]/Table1[[#This Row],[TỔNG CỘNG TÀI SẢN]]</f>
        <v>#DIV/0!</v>
      </c>
      <c r="T198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983" s="23" t="e">
        <f>Table1[[#This Row],[1. Doanh thu bán hàng và cung cấp dịch vụ ]]/Table1[[#This Row],[TỔNG CỘNG TÀI SẢN]]</f>
        <v>#DIV/0!</v>
      </c>
      <c r="V1983" s="23" t="e">
        <f>1.2*Table1[[#This Row],[X1]] + 1.4*Table1[[#This Row],[X2]] + 3.3*Table1[[#This Row],[x3]] + 0.6*Table1[[#This Row],[x4]] + 1*Table1[[#This Row],[x5]]</f>
        <v>#DIV/0!</v>
      </c>
      <c r="W1983" s="23" t="e">
        <f>IF(Table1[[#This Row],[Zscore]]&lt;1.81,1,0)</f>
        <v>#DIV/0!</v>
      </c>
    </row>
    <row r="1984" spans="1:23" ht="26.25" hidden="1" x14ac:dyDescent="0.45">
      <c r="A1984" s="7">
        <v>1978</v>
      </c>
      <c r="B1984" s="5" t="s">
        <v>3967</v>
      </c>
      <c r="C1984" s="6" t="s">
        <v>3968</v>
      </c>
      <c r="D1984" s="6" t="s">
        <v>13</v>
      </c>
      <c r="E1984" s="6"/>
      <c r="F1984" s="6"/>
      <c r="G1984" s="6"/>
      <c r="H1984" s="6"/>
      <c r="I1984" s="6"/>
      <c r="J1984" s="8"/>
      <c r="K1984" s="6"/>
      <c r="L1984" s="6"/>
      <c r="M1984" s="8"/>
      <c r="N1984" s="8"/>
      <c r="O1984" s="8"/>
      <c r="P1984" s="8"/>
      <c r="Q1984" s="18" t="e">
        <f>(Table1[[#This Row],[A. TÀI SẢN NGẮN HẠN]]-Table1[[#This Row],[I. Nợ ngắn hạn]])/Table1[[#This Row],[TỔNG CỘNG TÀI SẢN]]</f>
        <v>#DIV/0!</v>
      </c>
      <c r="R1984" s="18" t="e">
        <f>Table1[[#This Row],[- LNST chưa phân phối kỳ này]]/Table1[[#This Row],[TỔNG CỘNG TÀI SẢN]]</f>
        <v>#DIV/0!</v>
      </c>
      <c r="S1984" s="21" t="e">
        <f>Table1[[#This Row],[5. Lợi nhuận gộp về bán hàng và cung cấp dịch vụ]]/Table1[[#This Row],[TỔNG CỘNG TÀI SẢN]]</f>
        <v>#DIV/0!</v>
      </c>
      <c r="T198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984" s="23" t="e">
        <f>Table1[[#This Row],[1. Doanh thu bán hàng và cung cấp dịch vụ ]]/Table1[[#This Row],[TỔNG CỘNG TÀI SẢN]]</f>
        <v>#DIV/0!</v>
      </c>
      <c r="V1984" s="23" t="e">
        <f>1.2*Table1[[#This Row],[X1]] + 1.4*Table1[[#This Row],[X2]] + 3.3*Table1[[#This Row],[x3]] + 0.6*Table1[[#This Row],[x4]] + 1*Table1[[#This Row],[x5]]</f>
        <v>#DIV/0!</v>
      </c>
      <c r="W1984" s="23" t="e">
        <f>IF(Table1[[#This Row],[Zscore]]&lt;1.81,1,0)</f>
        <v>#DIV/0!</v>
      </c>
    </row>
    <row r="1985" spans="1:23" hidden="1" x14ac:dyDescent="0.45">
      <c r="A1985" s="7">
        <v>1979</v>
      </c>
      <c r="B1985" s="5" t="s">
        <v>3969</v>
      </c>
      <c r="C1985" s="6" t="s">
        <v>3970</v>
      </c>
      <c r="D1985" s="6" t="s">
        <v>18</v>
      </c>
      <c r="E1985" s="6"/>
      <c r="F1985" s="6"/>
      <c r="G1985" s="6"/>
      <c r="H1985" s="6"/>
      <c r="I1985" s="6"/>
      <c r="J1985" s="8"/>
      <c r="K1985" s="6"/>
      <c r="L1985" s="6"/>
      <c r="M1985" s="8"/>
      <c r="N1985" s="8"/>
      <c r="O1985" s="8"/>
      <c r="P1985" s="8"/>
      <c r="Q1985" s="18" t="e">
        <f>(Table1[[#This Row],[A. TÀI SẢN NGẮN HẠN]]-Table1[[#This Row],[I. Nợ ngắn hạn]])/Table1[[#This Row],[TỔNG CỘNG TÀI SẢN]]</f>
        <v>#DIV/0!</v>
      </c>
      <c r="R1985" s="18" t="e">
        <f>Table1[[#This Row],[- LNST chưa phân phối kỳ này]]/Table1[[#This Row],[TỔNG CỘNG TÀI SẢN]]</f>
        <v>#DIV/0!</v>
      </c>
      <c r="S1985" s="21" t="e">
        <f>Table1[[#This Row],[5. Lợi nhuận gộp về bán hàng và cung cấp dịch vụ]]/Table1[[#This Row],[TỔNG CỘNG TÀI SẢN]]</f>
        <v>#DIV/0!</v>
      </c>
      <c r="T198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985" s="23" t="e">
        <f>Table1[[#This Row],[1. Doanh thu bán hàng và cung cấp dịch vụ ]]/Table1[[#This Row],[TỔNG CỘNG TÀI SẢN]]</f>
        <v>#DIV/0!</v>
      </c>
      <c r="V1985" s="23" t="e">
        <f>1.2*Table1[[#This Row],[X1]] + 1.4*Table1[[#This Row],[X2]] + 3.3*Table1[[#This Row],[x3]] + 0.6*Table1[[#This Row],[x4]] + 1*Table1[[#This Row],[x5]]</f>
        <v>#DIV/0!</v>
      </c>
      <c r="W1985" s="23" t="e">
        <f>IF(Table1[[#This Row],[Zscore]]&lt;1.81,1,0)</f>
        <v>#DIV/0!</v>
      </c>
    </row>
    <row r="1986" spans="1:23" x14ac:dyDescent="0.45">
      <c r="A1986" s="7">
        <v>1980</v>
      </c>
      <c r="B1986" s="5" t="s">
        <v>3971</v>
      </c>
      <c r="C1986" s="6" t="s">
        <v>3972</v>
      </c>
      <c r="D1986" s="6" t="s">
        <v>21</v>
      </c>
      <c r="E1986" s="8">
        <v>7167636169271</v>
      </c>
      <c r="F1986" s="8">
        <v>2913753658322</v>
      </c>
      <c r="G1986" s="8">
        <v>1659516601537</v>
      </c>
      <c r="H1986" s="8">
        <v>92891240354</v>
      </c>
      <c r="I1986" s="8">
        <v>208991042634</v>
      </c>
      <c r="J1986" s="8"/>
      <c r="K1986" s="8">
        <v>2405346922826</v>
      </c>
      <c r="L1986" s="8">
        <v>6126192800005</v>
      </c>
      <c r="M1986" s="8">
        <v>2747117820330</v>
      </c>
      <c r="N1986" s="8">
        <v>3039687768000</v>
      </c>
      <c r="O1986" s="8">
        <v>2492543969760</v>
      </c>
      <c r="P1986" s="8">
        <v>2868705331050</v>
      </c>
      <c r="Q1986" s="18">
        <f>(Table1[[#This Row],[A. TÀI SẢN NGẮN HẠN]]-Table1[[#This Row],[I. Nợ ngắn hạn]])/Table1[[#This Row],[TỔNG CỘNG TÀI SẢN]]</f>
        <v>0.17498614984981373</v>
      </c>
      <c r="R1986" s="18">
        <f>Table1[[#This Row],[- LNST chưa phân phối kỳ này]]/Table1[[#This Row],[TỔNG CỘNG TÀI SẢN]]</f>
        <v>1.2959815225030836E-2</v>
      </c>
      <c r="S1986" s="21">
        <f>Table1[[#This Row],[5. Lợi nhuận gộp về bán hàng và cung cấp dịch vụ]]/Table1[[#This Row],[TỔNG CỘNG TÀI SẢN]]</f>
        <v>2.9157596409536492E-2</v>
      </c>
      <c r="T198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1.1586743250369</v>
      </c>
      <c r="U1986" s="23">
        <f>Table1[[#This Row],[1. Doanh thu bán hàng và cung cấp dịch vụ ]]/Table1[[#This Row],[TỔNG CỘNG TÀI SẢN]]</f>
        <v>0.8547019764018069</v>
      </c>
      <c r="V1986" s="23">
        <f>1.2*Table1[[#This Row],[X1]] + 1.4*Table1[[#This Row],[X2]] + 3.3*Table1[[#This Row],[x3]] + 0.6*Table1[[#This Row],[x4]] + 1*Table1[[#This Row],[x5]]</f>
        <v>1.874253760710237</v>
      </c>
      <c r="W1986" s="23">
        <f>IF(Table1[[#This Row],[Zscore]]&lt;1.81,1,0)</f>
        <v>0</v>
      </c>
    </row>
    <row r="1987" spans="1:23" ht="26.25" hidden="1" x14ac:dyDescent="0.45">
      <c r="A1987" s="7">
        <v>1981</v>
      </c>
      <c r="B1987" s="5" t="s">
        <v>3973</v>
      </c>
      <c r="C1987" s="6" t="s">
        <v>3974</v>
      </c>
      <c r="D1987" s="6" t="s">
        <v>13</v>
      </c>
      <c r="E1987" s="6"/>
      <c r="F1987" s="6"/>
      <c r="G1987" s="6"/>
      <c r="H1987" s="6"/>
      <c r="I1987" s="6"/>
      <c r="J1987" s="8"/>
      <c r="K1987" s="6"/>
      <c r="L1987" s="6"/>
      <c r="M1987" s="8"/>
      <c r="N1987" s="8"/>
      <c r="O1987" s="8"/>
      <c r="P1987" s="8"/>
      <c r="Q1987" s="18" t="e">
        <f>(Table1[[#This Row],[A. TÀI SẢN NGẮN HẠN]]-Table1[[#This Row],[I. Nợ ngắn hạn]])/Table1[[#This Row],[TỔNG CỘNG TÀI SẢN]]</f>
        <v>#DIV/0!</v>
      </c>
      <c r="R1987" s="18" t="e">
        <f>Table1[[#This Row],[- LNST chưa phân phối kỳ này]]/Table1[[#This Row],[TỔNG CỘNG TÀI SẢN]]</f>
        <v>#DIV/0!</v>
      </c>
      <c r="S1987" s="21" t="e">
        <f>Table1[[#This Row],[5. Lợi nhuận gộp về bán hàng và cung cấp dịch vụ]]/Table1[[#This Row],[TỔNG CỘNG TÀI SẢN]]</f>
        <v>#DIV/0!</v>
      </c>
      <c r="T198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987" s="23" t="e">
        <f>Table1[[#This Row],[1. Doanh thu bán hàng và cung cấp dịch vụ ]]/Table1[[#This Row],[TỔNG CỘNG TÀI SẢN]]</f>
        <v>#DIV/0!</v>
      </c>
      <c r="V1987" s="23" t="e">
        <f>1.2*Table1[[#This Row],[X1]] + 1.4*Table1[[#This Row],[X2]] + 3.3*Table1[[#This Row],[x3]] + 0.6*Table1[[#This Row],[x4]] + 1*Table1[[#This Row],[x5]]</f>
        <v>#DIV/0!</v>
      </c>
      <c r="W1987" s="23" t="e">
        <f>IF(Table1[[#This Row],[Zscore]]&lt;1.81,1,0)</f>
        <v>#DIV/0!</v>
      </c>
    </row>
    <row r="1988" spans="1:23" ht="26.25" hidden="1" x14ac:dyDescent="0.45">
      <c r="A1988" s="7">
        <v>1982</v>
      </c>
      <c r="B1988" s="5" t="s">
        <v>3975</v>
      </c>
      <c r="C1988" s="6" t="s">
        <v>3976</v>
      </c>
      <c r="D1988" s="6" t="s">
        <v>13</v>
      </c>
      <c r="E1988" s="6"/>
      <c r="F1988" s="6"/>
      <c r="G1988" s="6"/>
      <c r="H1988" s="6"/>
      <c r="I1988" s="6"/>
      <c r="J1988" s="8"/>
      <c r="K1988" s="6"/>
      <c r="L1988" s="6"/>
      <c r="M1988" s="8"/>
      <c r="N1988" s="8"/>
      <c r="O1988" s="8"/>
      <c r="P1988" s="8"/>
      <c r="Q1988" s="18" t="e">
        <f>(Table1[[#This Row],[A. TÀI SẢN NGẮN HẠN]]-Table1[[#This Row],[I. Nợ ngắn hạn]])/Table1[[#This Row],[TỔNG CỘNG TÀI SẢN]]</f>
        <v>#DIV/0!</v>
      </c>
      <c r="R1988" s="18" t="e">
        <f>Table1[[#This Row],[- LNST chưa phân phối kỳ này]]/Table1[[#This Row],[TỔNG CỘNG TÀI SẢN]]</f>
        <v>#DIV/0!</v>
      </c>
      <c r="S1988" s="21" t="e">
        <f>Table1[[#This Row],[5. Lợi nhuận gộp về bán hàng và cung cấp dịch vụ]]/Table1[[#This Row],[TỔNG CỘNG TÀI SẢN]]</f>
        <v>#DIV/0!</v>
      </c>
      <c r="T198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988" s="23" t="e">
        <f>Table1[[#This Row],[1. Doanh thu bán hàng và cung cấp dịch vụ ]]/Table1[[#This Row],[TỔNG CỘNG TÀI SẢN]]</f>
        <v>#DIV/0!</v>
      </c>
      <c r="V1988" s="23" t="e">
        <f>1.2*Table1[[#This Row],[X1]] + 1.4*Table1[[#This Row],[X2]] + 3.3*Table1[[#This Row],[x3]] + 0.6*Table1[[#This Row],[x4]] + 1*Table1[[#This Row],[x5]]</f>
        <v>#DIV/0!</v>
      </c>
      <c r="W1988" s="23" t="e">
        <f>IF(Table1[[#This Row],[Zscore]]&lt;1.81,1,0)</f>
        <v>#DIV/0!</v>
      </c>
    </row>
    <row r="1989" spans="1:23" hidden="1" x14ac:dyDescent="0.45">
      <c r="A1989" s="7">
        <v>1983</v>
      </c>
      <c r="B1989" s="5" t="s">
        <v>3977</v>
      </c>
      <c r="C1989" s="6" t="s">
        <v>3978</v>
      </c>
      <c r="D1989" s="6" t="s">
        <v>13</v>
      </c>
      <c r="E1989" s="6"/>
      <c r="F1989" s="6"/>
      <c r="G1989" s="6"/>
      <c r="H1989" s="6"/>
      <c r="I1989" s="6"/>
      <c r="J1989" s="8"/>
      <c r="K1989" s="6"/>
      <c r="L1989" s="6"/>
      <c r="M1989" s="8"/>
      <c r="N1989" s="8"/>
      <c r="O1989" s="8"/>
      <c r="P1989" s="8"/>
      <c r="Q1989" s="18" t="e">
        <f>(Table1[[#This Row],[A. TÀI SẢN NGẮN HẠN]]-Table1[[#This Row],[I. Nợ ngắn hạn]])/Table1[[#This Row],[TỔNG CỘNG TÀI SẢN]]</f>
        <v>#DIV/0!</v>
      </c>
      <c r="R1989" s="18" t="e">
        <f>Table1[[#This Row],[- LNST chưa phân phối kỳ này]]/Table1[[#This Row],[TỔNG CỘNG TÀI SẢN]]</f>
        <v>#DIV/0!</v>
      </c>
      <c r="S1989" s="21" t="e">
        <f>Table1[[#This Row],[5. Lợi nhuận gộp về bán hàng và cung cấp dịch vụ]]/Table1[[#This Row],[TỔNG CỘNG TÀI SẢN]]</f>
        <v>#DIV/0!</v>
      </c>
      <c r="T198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989" s="23" t="e">
        <f>Table1[[#This Row],[1. Doanh thu bán hàng và cung cấp dịch vụ ]]/Table1[[#This Row],[TỔNG CỘNG TÀI SẢN]]</f>
        <v>#DIV/0!</v>
      </c>
      <c r="V1989" s="23" t="e">
        <f>1.2*Table1[[#This Row],[X1]] + 1.4*Table1[[#This Row],[X2]] + 3.3*Table1[[#This Row],[x3]] + 0.6*Table1[[#This Row],[x4]] + 1*Table1[[#This Row],[x5]]</f>
        <v>#DIV/0!</v>
      </c>
      <c r="W1989" s="23" t="e">
        <f>IF(Table1[[#This Row],[Zscore]]&lt;1.81,1,0)</f>
        <v>#DIV/0!</v>
      </c>
    </row>
    <row r="1990" spans="1:23" ht="26.25" x14ac:dyDescent="0.45">
      <c r="A1990" s="7">
        <v>1984</v>
      </c>
      <c r="B1990" s="5" t="s">
        <v>3979</v>
      </c>
      <c r="C1990" s="6" t="s">
        <v>3980</v>
      </c>
      <c r="D1990" s="6" t="s">
        <v>18</v>
      </c>
      <c r="E1990" s="8">
        <v>2464248613353</v>
      </c>
      <c r="F1990" s="8">
        <v>1627905363144</v>
      </c>
      <c r="G1990" s="8">
        <v>581494188741</v>
      </c>
      <c r="H1990" s="8">
        <v>534050201881</v>
      </c>
      <c r="I1990" s="8">
        <v>2087637819485</v>
      </c>
      <c r="J1990" s="8"/>
      <c r="K1990" s="8">
        <v>585435385741</v>
      </c>
      <c r="L1990" s="8">
        <v>3315595019376</v>
      </c>
      <c r="M1990" s="8">
        <v>5364766782000</v>
      </c>
      <c r="N1990" s="8">
        <v>4203735165000</v>
      </c>
      <c r="O1990" s="8">
        <v>5845193658000</v>
      </c>
      <c r="P1990" s="8">
        <v>4857649524000</v>
      </c>
      <c r="Q1990" s="18">
        <f>(Table1[[#This Row],[A. TÀI SẢN NGẮN HẠN]]-Table1[[#This Row],[I. Nợ ngắn hạn]])/Table1[[#This Row],[TỔNG CỘNG TÀI SẢN]]</f>
        <v>0.42463701459861719</v>
      </c>
      <c r="R1990" s="18">
        <f>Table1[[#This Row],[- LNST chưa phân phối kỳ này]]/Table1[[#This Row],[TỔNG CỘNG TÀI SẢN]]</f>
        <v>0.21671928675830326</v>
      </c>
      <c r="S1990" s="21">
        <f>Table1[[#This Row],[5. Lợi nhuận gộp về bán hàng và cung cấp dịch vụ]]/Table1[[#This Row],[TỔNG CỘNG TÀI SẢN]]</f>
        <v>0.8471701305512509</v>
      </c>
      <c r="T199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8.6565253923548102</v>
      </c>
      <c r="U1990" s="23">
        <f>Table1[[#This Row],[1. Doanh thu bán hàng và cung cấp dịch vụ ]]/Table1[[#This Row],[TỔNG CỘNG TÀI SẢN]]</f>
        <v>1.3454791052371167</v>
      </c>
      <c r="V1990" s="23">
        <f>1.2*Table1[[#This Row],[X1]] + 1.4*Table1[[#This Row],[X2]] + 3.3*Table1[[#This Row],[x3]] + 0.6*Table1[[#This Row],[x4]] + 1*Table1[[#This Row],[x5]]</f>
        <v>10.148027190449096</v>
      </c>
      <c r="W1990" s="23">
        <f>IF(Table1[[#This Row],[Zscore]]&lt;1.81,1,0)</f>
        <v>0</v>
      </c>
    </row>
    <row r="1991" spans="1:23" ht="26.25" x14ac:dyDescent="0.45">
      <c r="A1991" s="7">
        <v>1985</v>
      </c>
      <c r="B1991" s="5" t="s">
        <v>3981</v>
      </c>
      <c r="C1991" s="6" t="s">
        <v>3982</v>
      </c>
      <c r="D1991" s="6" t="s">
        <v>21</v>
      </c>
      <c r="E1991" s="8">
        <v>725961798671</v>
      </c>
      <c r="F1991" s="8">
        <v>495351214456</v>
      </c>
      <c r="G1991" s="8">
        <v>369893242872</v>
      </c>
      <c r="H1991" s="8">
        <v>9602194673</v>
      </c>
      <c r="I1991" s="8">
        <v>180603285246</v>
      </c>
      <c r="J1991" s="8"/>
      <c r="K1991" s="8">
        <v>374901816045</v>
      </c>
      <c r="L1991" s="8">
        <v>1062848439610</v>
      </c>
      <c r="M1991" s="8">
        <v>495883900000</v>
      </c>
      <c r="N1991" s="8">
        <v>352753518500</v>
      </c>
      <c r="O1991" s="8">
        <v>428250581500</v>
      </c>
      <c r="P1991" s="8">
        <v>406122132000</v>
      </c>
      <c r="Q1991" s="18">
        <f>(Table1[[#This Row],[A. TÀI SẢN NGẮN HẠN]]-Table1[[#This Row],[I. Nợ ngắn hạn]])/Table1[[#This Row],[TỔNG CỘNG TÀI SẢN]]</f>
        <v>0.17281621679497841</v>
      </c>
      <c r="R1991" s="18">
        <f>Table1[[#This Row],[- LNST chưa phân phối kỳ này]]/Table1[[#This Row],[TỔNG CỘNG TÀI SẢN]]</f>
        <v>1.3226859444365387E-2</v>
      </c>
      <c r="S1991" s="21">
        <f>Table1[[#This Row],[5. Lợi nhuận gộp về bán hàng và cung cấp dịch vụ]]/Table1[[#This Row],[TỔNG CỘNG TÀI SẢN]]</f>
        <v>0.24877794613521798</v>
      </c>
      <c r="T199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1.1223005997642233</v>
      </c>
      <c r="U1991" s="23">
        <f>Table1[[#This Row],[1. Doanh thu bán hàng và cung cấp dịch vụ ]]/Table1[[#This Row],[TỔNG CỘNG TÀI SẢN]]</f>
        <v>1.4640556039666686</v>
      </c>
      <c r="V1991" s="23">
        <f>1.2*Table1[[#This Row],[X1]] + 1.4*Table1[[#This Row],[X2]] + 3.3*Table1[[#This Row],[x3]] + 0.6*Table1[[#This Row],[x4]] + 1*Table1[[#This Row],[x5]]</f>
        <v>3.1843002494475074</v>
      </c>
      <c r="W1991" s="23">
        <f>IF(Table1[[#This Row],[Zscore]]&lt;1.81,1,0)</f>
        <v>0</v>
      </c>
    </row>
    <row r="1992" spans="1:23" ht="26.25" hidden="1" x14ac:dyDescent="0.45">
      <c r="A1992" s="7">
        <v>1986</v>
      </c>
      <c r="B1992" s="5" t="s">
        <v>3983</v>
      </c>
      <c r="C1992" s="6" t="s">
        <v>3984</v>
      </c>
      <c r="D1992" s="6" t="s">
        <v>13</v>
      </c>
      <c r="E1992" s="6"/>
      <c r="F1992" s="6"/>
      <c r="G1992" s="6"/>
      <c r="H1992" s="6"/>
      <c r="I1992" s="6"/>
      <c r="J1992" s="8"/>
      <c r="K1992" s="6"/>
      <c r="L1992" s="6"/>
      <c r="M1992" s="8"/>
      <c r="N1992" s="8"/>
      <c r="O1992" s="8"/>
      <c r="P1992" s="8"/>
      <c r="Q1992" s="18" t="e">
        <f>(Table1[[#This Row],[A. TÀI SẢN NGẮN HẠN]]-Table1[[#This Row],[I. Nợ ngắn hạn]])/Table1[[#This Row],[TỔNG CỘNG TÀI SẢN]]</f>
        <v>#DIV/0!</v>
      </c>
      <c r="R1992" s="18" t="e">
        <f>Table1[[#This Row],[- LNST chưa phân phối kỳ này]]/Table1[[#This Row],[TỔNG CỘNG TÀI SẢN]]</f>
        <v>#DIV/0!</v>
      </c>
      <c r="S1992" s="21" t="e">
        <f>Table1[[#This Row],[5. Lợi nhuận gộp về bán hàng và cung cấp dịch vụ]]/Table1[[#This Row],[TỔNG CỘNG TÀI SẢN]]</f>
        <v>#DIV/0!</v>
      </c>
      <c r="T199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992" s="23" t="e">
        <f>Table1[[#This Row],[1. Doanh thu bán hàng và cung cấp dịch vụ ]]/Table1[[#This Row],[TỔNG CỘNG TÀI SẢN]]</f>
        <v>#DIV/0!</v>
      </c>
      <c r="V1992" s="23" t="e">
        <f>1.2*Table1[[#This Row],[X1]] + 1.4*Table1[[#This Row],[X2]] + 3.3*Table1[[#This Row],[x3]] + 0.6*Table1[[#This Row],[x4]] + 1*Table1[[#This Row],[x5]]</f>
        <v>#DIV/0!</v>
      </c>
      <c r="W1992" s="23" t="e">
        <f>IF(Table1[[#This Row],[Zscore]]&lt;1.81,1,0)</f>
        <v>#DIV/0!</v>
      </c>
    </row>
    <row r="1993" spans="1:23" hidden="1" x14ac:dyDescent="0.45">
      <c r="A1993" s="7">
        <v>1987</v>
      </c>
      <c r="B1993" s="5" t="s">
        <v>3985</v>
      </c>
      <c r="C1993" s="6" t="s">
        <v>3986</v>
      </c>
      <c r="D1993" s="6" t="s">
        <v>18</v>
      </c>
      <c r="E1993" s="8">
        <v>205532788702</v>
      </c>
      <c r="F1993" s="8">
        <v>140667584799</v>
      </c>
      <c r="G1993" s="8">
        <v>56655965641</v>
      </c>
      <c r="H1993" s="8">
        <v>12908856945</v>
      </c>
      <c r="I1993" s="8">
        <v>47959569255</v>
      </c>
      <c r="J1993" s="8"/>
      <c r="K1993" s="8">
        <v>65180897878</v>
      </c>
      <c r="L1993" s="8">
        <v>337725987416</v>
      </c>
      <c r="M1993" s="8"/>
      <c r="N1993" s="8"/>
      <c r="O1993" s="8"/>
      <c r="P1993" s="8"/>
      <c r="Q1993" s="18">
        <f>(Table1[[#This Row],[A. TÀI SẢN NGẮN HẠN]]-Table1[[#This Row],[I. Nợ ngắn hạn]])/Table1[[#This Row],[TỔNG CỘNG TÀI SẢN]]</f>
        <v>0.40875044652757392</v>
      </c>
      <c r="R1993" s="18">
        <f>Table1[[#This Row],[- LNST chưa phân phối kỳ này]]/Table1[[#This Row],[TỔNG CỘNG TÀI SẢN]]</f>
        <v>6.2806800931974049E-2</v>
      </c>
      <c r="S1993" s="21">
        <f>Table1[[#This Row],[5. Lợi nhuận gộp về bán hàng và cung cấp dịch vụ]]/Table1[[#This Row],[TỔNG CỘNG TÀI SẢN]]</f>
        <v>0.23334266789196401</v>
      </c>
      <c r="T199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993" s="23">
        <f>Table1[[#This Row],[1. Doanh thu bán hàng và cung cấp dịch vụ ]]/Table1[[#This Row],[TỔNG CỘNG TÀI SẢN]]</f>
        <v>1.6431732841695912</v>
      </c>
      <c r="V1993" s="23" t="e">
        <f>1.2*Table1[[#This Row],[X1]] + 1.4*Table1[[#This Row],[X2]] + 3.3*Table1[[#This Row],[x3]] + 0.6*Table1[[#This Row],[x4]] + 1*Table1[[#This Row],[x5]]</f>
        <v>#DIV/0!</v>
      </c>
      <c r="W1993" s="23" t="e">
        <f>IF(Table1[[#This Row],[Zscore]]&lt;1.81,1,0)</f>
        <v>#DIV/0!</v>
      </c>
    </row>
    <row r="1994" spans="1:23" x14ac:dyDescent="0.45">
      <c r="A1994" s="7">
        <v>1988</v>
      </c>
      <c r="B1994" s="5" t="s">
        <v>3987</v>
      </c>
      <c r="C1994" s="6" t="s">
        <v>3988</v>
      </c>
      <c r="D1994" s="6" t="s">
        <v>21</v>
      </c>
      <c r="E1994" s="8">
        <v>1162368115625</v>
      </c>
      <c r="F1994" s="8">
        <v>189228728551</v>
      </c>
      <c r="G1994" s="8">
        <v>77508131880</v>
      </c>
      <c r="H1994" s="8">
        <v>169595746251</v>
      </c>
      <c r="I1994" s="8">
        <v>241579645770</v>
      </c>
      <c r="J1994" s="8"/>
      <c r="K1994" s="8">
        <v>110137465210</v>
      </c>
      <c r="L1994" s="8">
        <v>396567595823</v>
      </c>
      <c r="M1994" s="8">
        <v>1814647830000</v>
      </c>
      <c r="N1994" s="8">
        <v>1745086329850</v>
      </c>
      <c r="O1994" s="8">
        <v>1802550177800</v>
      </c>
      <c r="P1994" s="8">
        <v>1754159569000</v>
      </c>
      <c r="Q1994" s="18">
        <f>(Table1[[#This Row],[A. TÀI SẢN NGẮN HẠN]]-Table1[[#This Row],[I. Nợ ngắn hạn]])/Table1[[#This Row],[TỔNG CỘNG TÀI SẢN]]</f>
        <v>9.611464317474705E-2</v>
      </c>
      <c r="R1994" s="18">
        <f>Table1[[#This Row],[- LNST chưa phân phối kỳ này]]/Table1[[#This Row],[TỔNG CỘNG TÀI SẢN]]</f>
        <v>0.14590536678632926</v>
      </c>
      <c r="S1994" s="21">
        <f>Table1[[#This Row],[5. Lợi nhuận gộp về bán hàng và cung cấp dịch vụ]]/Table1[[#This Row],[TỔNG CỘNG TÀI SẢN]]</f>
        <v>0.20783402652102492</v>
      </c>
      <c r="T199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16.153549323749687</v>
      </c>
      <c r="U1994" s="23">
        <f>Table1[[#This Row],[1. Doanh thu bán hàng và cung cấp dịch vụ ]]/Table1[[#This Row],[TỔNG CỘNG TÀI SẢN]]</f>
        <v>0.34117212137203834</v>
      </c>
      <c r="V1994" s="23">
        <f>1.2*Table1[[#This Row],[X1]] + 1.4*Table1[[#This Row],[X2]] + 3.3*Table1[[#This Row],[x3]] + 0.6*Table1[[#This Row],[x4]] + 1*Table1[[#This Row],[x5]]</f>
        <v>11.038759088451789</v>
      </c>
      <c r="W1994" s="23">
        <f>IF(Table1[[#This Row],[Zscore]]&lt;1.81,1,0)</f>
        <v>0</v>
      </c>
    </row>
    <row r="1995" spans="1:23" ht="26.25" x14ac:dyDescent="0.45">
      <c r="A1995" s="7">
        <v>1989</v>
      </c>
      <c r="B1995" s="5" t="s">
        <v>3989</v>
      </c>
      <c r="C1995" s="6" t="s">
        <v>3990</v>
      </c>
      <c r="D1995" s="6" t="s">
        <v>18</v>
      </c>
      <c r="E1995" s="8">
        <v>2132552929745</v>
      </c>
      <c r="F1995" s="8">
        <v>905170951249</v>
      </c>
      <c r="G1995" s="8">
        <v>703645187770</v>
      </c>
      <c r="H1995" s="8">
        <v>182210687030</v>
      </c>
      <c r="I1995" s="8">
        <v>289591019055</v>
      </c>
      <c r="J1995" s="8"/>
      <c r="K1995" s="8">
        <v>826017238059</v>
      </c>
      <c r="L1995" s="8">
        <v>3176068853812</v>
      </c>
      <c r="M1995" s="8">
        <v>1321620493600</v>
      </c>
      <c r="N1995" s="8">
        <v>1444154844000</v>
      </c>
      <c r="O1995" s="8">
        <v>1286610679200</v>
      </c>
      <c r="P1995" s="8">
        <v>1400392576000</v>
      </c>
      <c r="Q1995" s="18">
        <f>(Table1[[#This Row],[A. TÀI SẢN NGẮN HẠN]]-Table1[[#This Row],[I. Nợ ngắn hạn]])/Table1[[#This Row],[TỔNG CỘNG TÀI SẢN]]</f>
        <v>9.4499770987207077E-2</v>
      </c>
      <c r="R1995" s="18">
        <f>Table1[[#This Row],[- LNST chưa phân phối kỳ này]]/Table1[[#This Row],[TỔNG CỘNG TÀI SẢN]]</f>
        <v>8.5442515629278112E-2</v>
      </c>
      <c r="S1995" s="21">
        <f>Table1[[#This Row],[5. Lợi nhuận gộp về bán hàng và cung cấp dịch vụ]]/Table1[[#This Row],[TỔNG CỘNG TÀI SẢN]]</f>
        <v>0.13579546608938228</v>
      </c>
      <c r="T199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1.6503222758441163</v>
      </c>
      <c r="U1995" s="23">
        <f>Table1[[#This Row],[1. Doanh thu bán hàng và cung cấp dịch vụ ]]/Table1[[#This Row],[TỔNG CỘNG TÀI SẢN]]</f>
        <v>1.4893270921963837</v>
      </c>
      <c r="V1995" s="23">
        <f>1.2*Table1[[#This Row],[X1]] + 1.4*Table1[[#This Row],[X2]] + 3.3*Table1[[#This Row],[x3]] + 0.6*Table1[[#This Row],[x4]] + 1*Table1[[#This Row],[x5]]</f>
        <v>3.1606647428634527</v>
      </c>
      <c r="W1995" s="23">
        <f>IF(Table1[[#This Row],[Zscore]]&lt;1.81,1,0)</f>
        <v>0</v>
      </c>
    </row>
    <row r="1996" spans="1:23" hidden="1" x14ac:dyDescent="0.45">
      <c r="A1996" s="7">
        <v>1990</v>
      </c>
      <c r="B1996" s="5" t="s">
        <v>3991</v>
      </c>
      <c r="C1996" s="6" t="s">
        <v>3992</v>
      </c>
      <c r="D1996" s="6" t="s">
        <v>13</v>
      </c>
      <c r="E1996" s="8">
        <v>89527294936</v>
      </c>
      <c r="F1996" s="8">
        <v>77104058600</v>
      </c>
      <c r="G1996" s="8">
        <v>3858992033</v>
      </c>
      <c r="H1996" s="8">
        <v>-183422022005</v>
      </c>
      <c r="I1996" s="8">
        <v>4039367369</v>
      </c>
      <c r="J1996" s="8"/>
      <c r="K1996" s="8">
        <v>3858992033</v>
      </c>
      <c r="L1996" s="8">
        <v>14195119281</v>
      </c>
      <c r="M1996" s="8"/>
      <c r="N1996" s="8"/>
      <c r="O1996" s="8"/>
      <c r="P1996" s="8"/>
      <c r="Q1996" s="18">
        <f>(Table1[[#This Row],[A. TÀI SẢN NGẮN HẠN]]-Table1[[#This Row],[I. Nợ ngắn hạn]])/Table1[[#This Row],[TỔNG CỘNG TÀI SẢN]]</f>
        <v>0.81813112547810574</v>
      </c>
      <c r="R1996" s="18">
        <f>Table1[[#This Row],[- LNST chưa phân phối kỳ này]]/Table1[[#This Row],[TỔNG CỘNG TÀI SẢN]]</f>
        <v>-2.048783246898302</v>
      </c>
      <c r="S1996" s="21">
        <f>Table1[[#This Row],[5. Lợi nhuận gộp về bán hàng và cung cấp dịch vụ]]/Table1[[#This Row],[TỔNG CỘNG TÀI SẢN]]</f>
        <v>4.5118836349155922E-2</v>
      </c>
      <c r="T199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996" s="23">
        <f>Table1[[#This Row],[1. Doanh thu bán hàng và cung cấp dịch vụ ]]/Table1[[#This Row],[TỔNG CỘNG TÀI SẢN]]</f>
        <v>0.15855632956572188</v>
      </c>
      <c r="V1996" s="23" t="e">
        <f>1.2*Table1[[#This Row],[X1]] + 1.4*Table1[[#This Row],[X2]] + 3.3*Table1[[#This Row],[x3]] + 0.6*Table1[[#This Row],[x4]] + 1*Table1[[#This Row],[x5]]</f>
        <v>#DIV/0!</v>
      </c>
      <c r="W1996" s="23" t="e">
        <f>IF(Table1[[#This Row],[Zscore]]&lt;1.81,1,0)</f>
        <v>#DIV/0!</v>
      </c>
    </row>
    <row r="1997" spans="1:23" ht="26.25" hidden="1" x14ac:dyDescent="0.45">
      <c r="A1997" s="7">
        <v>1991</v>
      </c>
      <c r="B1997" s="5" t="s">
        <v>3993</v>
      </c>
      <c r="C1997" s="6" t="s">
        <v>3994</v>
      </c>
      <c r="D1997" s="6" t="s">
        <v>13</v>
      </c>
      <c r="E1997" s="6"/>
      <c r="F1997" s="6"/>
      <c r="G1997" s="6"/>
      <c r="H1997" s="6"/>
      <c r="I1997" s="6"/>
      <c r="J1997" s="8"/>
      <c r="K1997" s="6"/>
      <c r="L1997" s="6"/>
      <c r="M1997" s="8"/>
      <c r="N1997" s="8"/>
      <c r="O1997" s="8"/>
      <c r="P1997" s="8"/>
      <c r="Q1997" s="18" t="e">
        <f>(Table1[[#This Row],[A. TÀI SẢN NGẮN HẠN]]-Table1[[#This Row],[I. Nợ ngắn hạn]])/Table1[[#This Row],[TỔNG CỘNG TÀI SẢN]]</f>
        <v>#DIV/0!</v>
      </c>
      <c r="R1997" s="18" t="e">
        <f>Table1[[#This Row],[- LNST chưa phân phối kỳ này]]/Table1[[#This Row],[TỔNG CỘNG TÀI SẢN]]</f>
        <v>#DIV/0!</v>
      </c>
      <c r="S1997" s="21" t="e">
        <f>Table1[[#This Row],[5. Lợi nhuận gộp về bán hàng và cung cấp dịch vụ]]/Table1[[#This Row],[TỔNG CỘNG TÀI SẢN]]</f>
        <v>#DIV/0!</v>
      </c>
      <c r="T199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997" s="23" t="e">
        <f>Table1[[#This Row],[1. Doanh thu bán hàng và cung cấp dịch vụ ]]/Table1[[#This Row],[TỔNG CỘNG TÀI SẢN]]</f>
        <v>#DIV/0!</v>
      </c>
      <c r="V1997" s="23" t="e">
        <f>1.2*Table1[[#This Row],[X1]] + 1.4*Table1[[#This Row],[X2]] + 3.3*Table1[[#This Row],[x3]] + 0.6*Table1[[#This Row],[x4]] + 1*Table1[[#This Row],[x5]]</f>
        <v>#DIV/0!</v>
      </c>
      <c r="W1997" s="23" t="e">
        <f>IF(Table1[[#This Row],[Zscore]]&lt;1.81,1,0)</f>
        <v>#DIV/0!</v>
      </c>
    </row>
    <row r="1998" spans="1:23" hidden="1" x14ac:dyDescent="0.45">
      <c r="A1998" s="7">
        <v>1992</v>
      </c>
      <c r="B1998" s="5" t="s">
        <v>3995</v>
      </c>
      <c r="C1998" s="6" t="s">
        <v>3996</v>
      </c>
      <c r="D1998" s="6" t="s">
        <v>18</v>
      </c>
      <c r="E1998" s="6"/>
      <c r="F1998" s="6"/>
      <c r="G1998" s="6"/>
      <c r="H1998" s="6"/>
      <c r="I1998" s="6"/>
      <c r="J1998" s="8"/>
      <c r="K1998" s="6"/>
      <c r="L1998" s="6"/>
      <c r="M1998" s="8">
        <v>108548544000</v>
      </c>
      <c r="N1998" s="8"/>
      <c r="O1998" s="8">
        <v>109940192000</v>
      </c>
      <c r="P1998" s="8">
        <v>112723488000</v>
      </c>
      <c r="Q1998" s="18" t="e">
        <f>(Table1[[#This Row],[A. TÀI SẢN NGẮN HẠN]]-Table1[[#This Row],[I. Nợ ngắn hạn]])/Table1[[#This Row],[TỔNG CỘNG TÀI SẢN]]</f>
        <v>#DIV/0!</v>
      </c>
      <c r="R1998" s="18" t="e">
        <f>Table1[[#This Row],[- LNST chưa phân phối kỳ này]]/Table1[[#This Row],[TỔNG CỘNG TÀI SẢN]]</f>
        <v>#DIV/0!</v>
      </c>
      <c r="S1998" s="21" t="e">
        <f>Table1[[#This Row],[5. Lợi nhuận gộp về bán hàng và cung cấp dịch vụ]]/Table1[[#This Row],[TỔNG CỘNG TÀI SẢN]]</f>
        <v>#DIV/0!</v>
      </c>
      <c r="T199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1998" s="23" t="e">
        <f>Table1[[#This Row],[1. Doanh thu bán hàng và cung cấp dịch vụ ]]/Table1[[#This Row],[TỔNG CỘNG TÀI SẢN]]</f>
        <v>#DIV/0!</v>
      </c>
      <c r="V1998" s="23" t="e">
        <f>1.2*Table1[[#This Row],[X1]] + 1.4*Table1[[#This Row],[X2]] + 3.3*Table1[[#This Row],[x3]] + 0.6*Table1[[#This Row],[x4]] + 1*Table1[[#This Row],[x5]]</f>
        <v>#DIV/0!</v>
      </c>
      <c r="W1998" s="23" t="e">
        <f>IF(Table1[[#This Row],[Zscore]]&lt;1.81,1,0)</f>
        <v>#DIV/0!</v>
      </c>
    </row>
    <row r="1999" spans="1:23" ht="26.25" x14ac:dyDescent="0.45">
      <c r="A1999" s="7">
        <v>1993</v>
      </c>
      <c r="B1999" s="5" t="s">
        <v>3997</v>
      </c>
      <c r="C1999" s="6" t="s">
        <v>3998</v>
      </c>
      <c r="D1999" s="6" t="s">
        <v>21</v>
      </c>
      <c r="E1999" s="8">
        <v>1551830409648</v>
      </c>
      <c r="F1999" s="8">
        <v>746547910072</v>
      </c>
      <c r="G1999" s="8">
        <v>674415789437</v>
      </c>
      <c r="H1999" s="8">
        <v>38363619953</v>
      </c>
      <c r="I1999" s="8">
        <v>119149958949</v>
      </c>
      <c r="J1999" s="8"/>
      <c r="K1999" s="8">
        <v>933531777632</v>
      </c>
      <c r="L1999" s="8">
        <v>1618061263528</v>
      </c>
      <c r="M1999" s="8">
        <v>632499531950</v>
      </c>
      <c r="N1999" s="8">
        <v>752499443150</v>
      </c>
      <c r="O1999" s="8">
        <v>629999533800</v>
      </c>
      <c r="P1999" s="8">
        <v>622499539350</v>
      </c>
      <c r="Q1999" s="18">
        <f>(Table1[[#This Row],[A. TÀI SẢN NGẮN HẠN]]-Table1[[#This Row],[I. Nợ ngắn hạn]])/Table1[[#This Row],[TỔNG CỘNG TÀI SẢN]]</f>
        <v>4.6481961035524266E-2</v>
      </c>
      <c r="R1999" s="18">
        <f>Table1[[#This Row],[- LNST chưa phân phối kỳ này]]/Table1[[#This Row],[TỔNG CỘNG TÀI SẢN]]</f>
        <v>2.4721528663497437E-2</v>
      </c>
      <c r="S1999" s="21">
        <f>Table1[[#This Row],[5. Lợi nhuận gộp về bán hàng và cung cấp dịch vụ]]/Table1[[#This Row],[TỔNG CỘNG TÀI SẢN]]</f>
        <v>7.6780270710139431E-2</v>
      </c>
      <c r="T199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0.70632251398562107</v>
      </c>
      <c r="U1999" s="23">
        <f>Table1[[#This Row],[1. Doanh thu bán hàng và cung cấp dịch vụ ]]/Table1[[#This Row],[TỔNG CỘNG TÀI SẢN]]</f>
        <v>1.0426791828979709</v>
      </c>
      <c r="V1999" s="23">
        <f>1.2*Table1[[#This Row],[X1]] + 1.4*Table1[[#This Row],[X2]] + 3.3*Table1[[#This Row],[x3]] + 0.6*Table1[[#This Row],[x4]] + 1*Table1[[#This Row],[x5]]</f>
        <v>1.8102360780043292</v>
      </c>
      <c r="W1999" s="23">
        <f>IF(Table1[[#This Row],[Zscore]]&lt;1.81,1,0)</f>
        <v>0</v>
      </c>
    </row>
    <row r="2000" spans="1:23" x14ac:dyDescent="0.45">
      <c r="A2000" s="7">
        <v>1994</v>
      </c>
      <c r="B2000" s="5" t="s">
        <v>3999</v>
      </c>
      <c r="C2000" s="6" t="s">
        <v>4000</v>
      </c>
      <c r="D2000" s="6" t="s">
        <v>18</v>
      </c>
      <c r="E2000" s="8">
        <v>2215701943945</v>
      </c>
      <c r="F2000" s="8">
        <v>1584556082460</v>
      </c>
      <c r="G2000" s="8">
        <v>209632209102</v>
      </c>
      <c r="H2000" s="8">
        <v>216681703063</v>
      </c>
      <c r="I2000" s="8">
        <v>706910992188</v>
      </c>
      <c r="J2000" s="8"/>
      <c r="K2000" s="8">
        <v>209632209102</v>
      </c>
      <c r="L2000" s="8">
        <v>989975570703</v>
      </c>
      <c r="M2000" s="8">
        <v>6149137500000</v>
      </c>
      <c r="N2000" s="8">
        <v>4993845000000</v>
      </c>
      <c r="O2000" s="8">
        <v>5888265000000</v>
      </c>
      <c r="P2000" s="8">
        <v>5254717500000</v>
      </c>
      <c r="Q2000" s="18">
        <f>(Table1[[#This Row],[A. TÀI SẢN NGẮN HẠN]]-Table1[[#This Row],[I. Nợ ngắn hạn]])/Table1[[#This Row],[TỔNG CỘNG TÀI SẢN]]</f>
        <v>0.62053647473449591</v>
      </c>
      <c r="R2000" s="18">
        <f>Table1[[#This Row],[- LNST chưa phân phối kỳ này]]/Table1[[#This Row],[TỔNG CỘNG TÀI SẢN]]</f>
        <v>9.779370535605697E-2</v>
      </c>
      <c r="S2000" s="21">
        <f>Table1[[#This Row],[5. Lợi nhuận gộp về bán hàng và cung cấp dịch vụ]]/Table1[[#This Row],[TỔNG CỘNG TÀI SẢN]]</f>
        <v>0.31904606759940068</v>
      </c>
      <c r="T200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26.577458081783124</v>
      </c>
      <c r="U2000" s="23">
        <f>Table1[[#This Row],[1. Doanh thu bán hàng và cung cấp dịch vụ ]]/Table1[[#This Row],[TỔNG CỘNG TÀI SẢN]]</f>
        <v>0.44679997389015874</v>
      </c>
      <c r="V2000" s="23">
        <f>1.2*Table1[[#This Row],[X1]] + 1.4*Table1[[#This Row],[X2]] + 3.3*Table1[[#This Row],[x3]] + 0.6*Table1[[#This Row],[x4]] + 1*Table1[[#This Row],[x5]]</f>
        <v>18.327681803217928</v>
      </c>
      <c r="W2000" s="23">
        <f>IF(Table1[[#This Row],[Zscore]]&lt;1.81,1,0)</f>
        <v>0</v>
      </c>
    </row>
    <row r="2001" spans="1:23" hidden="1" x14ac:dyDescent="0.45">
      <c r="A2001" s="7">
        <v>1995</v>
      </c>
      <c r="B2001" s="5" t="s">
        <v>4001</v>
      </c>
      <c r="C2001" s="6" t="s">
        <v>4002</v>
      </c>
      <c r="D2001" s="6" t="s">
        <v>13</v>
      </c>
      <c r="E2001" s="6"/>
      <c r="F2001" s="6"/>
      <c r="G2001" s="6"/>
      <c r="H2001" s="6"/>
      <c r="I2001" s="6"/>
      <c r="J2001" s="8"/>
      <c r="K2001" s="6"/>
      <c r="L2001" s="6"/>
      <c r="M2001" s="8"/>
      <c r="N2001" s="8"/>
      <c r="O2001" s="8"/>
      <c r="P2001" s="8"/>
      <c r="Q2001" s="18" t="e">
        <f>(Table1[[#This Row],[A. TÀI SẢN NGẮN HẠN]]-Table1[[#This Row],[I. Nợ ngắn hạn]])/Table1[[#This Row],[TỔNG CỘNG TÀI SẢN]]</f>
        <v>#DIV/0!</v>
      </c>
      <c r="R2001" s="18" t="e">
        <f>Table1[[#This Row],[- LNST chưa phân phối kỳ này]]/Table1[[#This Row],[TỔNG CỘNG TÀI SẢN]]</f>
        <v>#DIV/0!</v>
      </c>
      <c r="S2001" s="21" t="e">
        <f>Table1[[#This Row],[5. Lợi nhuận gộp về bán hàng và cung cấp dịch vụ]]/Table1[[#This Row],[TỔNG CỘNG TÀI SẢN]]</f>
        <v>#DIV/0!</v>
      </c>
      <c r="T200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001" s="23" t="e">
        <f>Table1[[#This Row],[1. Doanh thu bán hàng và cung cấp dịch vụ ]]/Table1[[#This Row],[TỔNG CỘNG TÀI SẢN]]</f>
        <v>#DIV/0!</v>
      </c>
      <c r="V2001" s="23" t="e">
        <f>1.2*Table1[[#This Row],[X1]] + 1.4*Table1[[#This Row],[X2]] + 3.3*Table1[[#This Row],[x3]] + 0.6*Table1[[#This Row],[x4]] + 1*Table1[[#This Row],[x5]]</f>
        <v>#DIV/0!</v>
      </c>
      <c r="W2001" s="23" t="e">
        <f>IF(Table1[[#This Row],[Zscore]]&lt;1.81,1,0)</f>
        <v>#DIV/0!</v>
      </c>
    </row>
    <row r="2002" spans="1:23" x14ac:dyDescent="0.45">
      <c r="A2002" s="7">
        <v>1996</v>
      </c>
      <c r="B2002" s="5" t="s">
        <v>4003</v>
      </c>
      <c r="C2002" s="6" t="s">
        <v>4004</v>
      </c>
      <c r="D2002" s="6" t="s">
        <v>18</v>
      </c>
      <c r="E2002" s="8">
        <v>223268566406</v>
      </c>
      <c r="F2002" s="8">
        <v>67123498302</v>
      </c>
      <c r="G2002" s="8">
        <v>43758987993</v>
      </c>
      <c r="H2002" s="8">
        <v>646887688</v>
      </c>
      <c r="I2002" s="8">
        <v>12595154603</v>
      </c>
      <c r="J2002" s="8"/>
      <c r="K2002" s="8">
        <v>44803464999</v>
      </c>
      <c r="L2002" s="8">
        <v>115997309667</v>
      </c>
      <c r="M2002" s="8">
        <v>78078000000</v>
      </c>
      <c r="N2002" s="8">
        <v>78078000000</v>
      </c>
      <c r="O2002" s="8">
        <v>79279200000</v>
      </c>
      <c r="P2002" s="8">
        <v>64864800000</v>
      </c>
      <c r="Q2002" s="18">
        <f>(Table1[[#This Row],[A. TÀI SẢN NGẮN HẠN]]-Table1[[#This Row],[I. Nợ ngắn hạn]])/Table1[[#This Row],[TỔNG CỘNG TÀI SẢN]]</f>
        <v>0.10464755825284018</v>
      </c>
      <c r="R2002" s="18">
        <f>Table1[[#This Row],[- LNST chưa phân phối kỳ này]]/Table1[[#This Row],[TỔNG CỘNG TÀI SẢN]]</f>
        <v>2.8973522713612761E-3</v>
      </c>
      <c r="S2002" s="21">
        <f>Table1[[#This Row],[5. Lợi nhuận gộp về bán hàng và cung cấp dịch vụ]]/Table1[[#This Row],[TỔNG CỘNG TÀI SẢN]]</f>
        <v>5.6412574352703526E-2</v>
      </c>
      <c r="T200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1.6756516488551867</v>
      </c>
      <c r="U2002" s="23">
        <f>Table1[[#This Row],[1. Doanh thu bán hàng và cung cấp dịch vụ ]]/Table1[[#This Row],[TỔNG CỘNG TÀI SẢN]]</f>
        <v>0.51954160647973213</v>
      </c>
      <c r="V2002" s="23">
        <f>1.2*Table1[[#This Row],[X1]] + 1.4*Table1[[#This Row],[X2]] + 3.3*Table1[[#This Row],[x3]] + 0.6*Table1[[#This Row],[x4]] + 1*Table1[[#This Row],[x5]]</f>
        <v>1.8407274542400796</v>
      </c>
      <c r="W2002" s="23">
        <f>IF(Table1[[#This Row],[Zscore]]&lt;1.81,1,0)</f>
        <v>0</v>
      </c>
    </row>
    <row r="2003" spans="1:23" x14ac:dyDescent="0.45">
      <c r="A2003" s="7">
        <v>1997</v>
      </c>
      <c r="B2003" s="5" t="s">
        <v>4005</v>
      </c>
      <c r="C2003" s="6" t="s">
        <v>4006</v>
      </c>
      <c r="D2003" s="6" t="s">
        <v>18</v>
      </c>
      <c r="E2003" s="8">
        <v>662917965802</v>
      </c>
      <c r="F2003" s="8">
        <v>129199109190</v>
      </c>
      <c r="G2003" s="8">
        <v>71656518990</v>
      </c>
      <c r="H2003" s="8">
        <v>56410393191</v>
      </c>
      <c r="I2003" s="8">
        <v>169391928312</v>
      </c>
      <c r="J2003" s="8"/>
      <c r="K2003" s="8">
        <v>74653985777</v>
      </c>
      <c r="L2003" s="8">
        <v>287455913851</v>
      </c>
      <c r="M2003" s="8">
        <v>1581077850300</v>
      </c>
      <c r="N2003" s="8">
        <v>1567564364400</v>
      </c>
      <c r="O2003" s="8">
        <v>1536032897300</v>
      </c>
      <c r="P2003" s="8">
        <v>1531528402000</v>
      </c>
      <c r="Q2003" s="18">
        <f>(Table1[[#This Row],[A. TÀI SẢN NGẮN HẠN]]-Table1[[#This Row],[I. Nợ ngắn hạn]])/Table1[[#This Row],[TỔNG CỘNG TÀI SẢN]]</f>
        <v>8.6801977270875158E-2</v>
      </c>
      <c r="R2003" s="18">
        <f>Table1[[#This Row],[- LNST chưa phân phối kỳ này]]/Table1[[#This Row],[TỔNG CỘNG TÀI SẢN]]</f>
        <v>8.5094078153025388E-2</v>
      </c>
      <c r="S2003" s="21">
        <f>Table1[[#This Row],[5. Lợi nhuận gộp về bán hàng và cung cấp dịch vụ]]/Table1[[#This Row],[TỔNG CỘNG TÀI SẢN]]</f>
        <v>0.2555247210822974</v>
      </c>
      <c r="T200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20.816716781098975</v>
      </c>
      <c r="U2003" s="23">
        <f>Table1[[#This Row],[1. Doanh thu bán hàng và cung cấp dịch vụ ]]/Table1[[#This Row],[TỔNG CỘNG TÀI SẢN]]</f>
        <v>0.43362215037155472</v>
      </c>
      <c r="V2003" s="23">
        <f>1.2*Table1[[#This Row],[X1]] + 1.4*Table1[[#This Row],[X2]] + 3.3*Table1[[#This Row],[x3]] + 0.6*Table1[[#This Row],[x4]] + 1*Table1[[#This Row],[x5]]</f>
        <v>13.990177880741808</v>
      </c>
      <c r="W2003" s="23">
        <f>IF(Table1[[#This Row],[Zscore]]&lt;1.81,1,0)</f>
        <v>0</v>
      </c>
    </row>
    <row r="2004" spans="1:23" x14ac:dyDescent="0.45">
      <c r="A2004" s="7">
        <v>1998</v>
      </c>
      <c r="B2004" s="5" t="s">
        <v>4007</v>
      </c>
      <c r="C2004" s="6" t="s">
        <v>4008</v>
      </c>
      <c r="D2004" s="6" t="s">
        <v>18</v>
      </c>
      <c r="E2004" s="8">
        <v>1070371422237</v>
      </c>
      <c r="F2004" s="8">
        <v>601663452118</v>
      </c>
      <c r="G2004" s="8">
        <v>256409502237</v>
      </c>
      <c r="H2004" s="6"/>
      <c r="I2004" s="8">
        <v>30716566680</v>
      </c>
      <c r="J2004" s="8"/>
      <c r="K2004" s="8">
        <v>256409502237</v>
      </c>
      <c r="L2004" s="8">
        <v>326330160345</v>
      </c>
      <c r="M2004" s="8">
        <v>765124204800</v>
      </c>
      <c r="N2004" s="8">
        <v>691867632000</v>
      </c>
      <c r="O2004" s="8">
        <v>659309155200</v>
      </c>
      <c r="P2004" s="8">
        <v>691867632000</v>
      </c>
      <c r="Q2004" s="18">
        <f>(Table1[[#This Row],[A. TÀI SẢN NGẮN HẠN]]-Table1[[#This Row],[I. Nợ ngắn hạn]])/Table1[[#This Row],[TỔNG CỘNG TÀI SẢN]]</f>
        <v>0.32255527633524056</v>
      </c>
      <c r="R2004" s="18">
        <f>Table1[[#This Row],[- LNST chưa phân phối kỳ này]]/Table1[[#This Row],[TỔNG CỘNG TÀI SẢN]]</f>
        <v>0</v>
      </c>
      <c r="S2004" s="21">
        <f>Table1[[#This Row],[5. Lợi nhuận gộp về bán hàng và cung cấp dịch vụ]]/Table1[[#This Row],[TỔNG CỘNG TÀI SẢN]]</f>
        <v>2.8697110219744623E-2</v>
      </c>
      <c r="T200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2.7379724615318684</v>
      </c>
      <c r="U2004" s="23">
        <f>Table1[[#This Row],[1. Doanh thu bán hàng và cung cấp dịch vụ ]]/Table1[[#This Row],[TỔNG CỘNG TÀI SẢN]]</f>
        <v>0.30487562874482693</v>
      </c>
      <c r="V2004" s="23">
        <f>1.2*Table1[[#This Row],[X1]] + 1.4*Table1[[#This Row],[X2]] + 3.3*Table1[[#This Row],[x3]] + 0.6*Table1[[#This Row],[x4]] + 1*Table1[[#This Row],[x5]]</f>
        <v>2.4294259009913937</v>
      </c>
      <c r="W2004" s="23">
        <f>IF(Table1[[#This Row],[Zscore]]&lt;1.81,1,0)</f>
        <v>0</v>
      </c>
    </row>
    <row r="2005" spans="1:23" x14ac:dyDescent="0.45">
      <c r="A2005" s="7">
        <v>1999</v>
      </c>
      <c r="B2005" s="5" t="s">
        <v>4009</v>
      </c>
      <c r="C2005" s="6" t="s">
        <v>4010</v>
      </c>
      <c r="D2005" s="6" t="s">
        <v>18</v>
      </c>
      <c r="E2005" s="8">
        <v>635567529478</v>
      </c>
      <c r="F2005" s="8">
        <v>609630664180</v>
      </c>
      <c r="G2005" s="8">
        <v>403052349572</v>
      </c>
      <c r="H2005" s="8">
        <v>-28297219946</v>
      </c>
      <c r="I2005" s="8">
        <v>46940448265</v>
      </c>
      <c r="J2005" s="8"/>
      <c r="K2005" s="8">
        <v>403106395544</v>
      </c>
      <c r="L2005" s="8">
        <v>138154117726</v>
      </c>
      <c r="M2005" s="8">
        <v>733038000000</v>
      </c>
      <c r="N2005" s="8">
        <v>894306360000</v>
      </c>
      <c r="O2005" s="8">
        <v>659734200000</v>
      </c>
      <c r="P2005" s="8">
        <v>923627880000</v>
      </c>
      <c r="Q2005" s="18">
        <f>(Table1[[#This Row],[A. TÀI SẢN NGẮN HẠN]]-Table1[[#This Row],[I. Nợ ngắn hạn]])/Table1[[#This Row],[TỔNG CỘNG TÀI SẢN]]</f>
        <v>0.32502968611009048</v>
      </c>
      <c r="R2005" s="18">
        <f>Table1[[#This Row],[- LNST chưa phân phối kỳ này]]/Table1[[#This Row],[TỔNG CỘNG TÀI SẢN]]</f>
        <v>-4.4522759004445807E-2</v>
      </c>
      <c r="S2005" s="21">
        <f>Table1[[#This Row],[5. Lợi nhuận gộp về bán hàng và cung cấp dịch vụ]]/Table1[[#This Row],[TỔNG CỘNG TÀI SẢN]]</f>
        <v>7.3855957215990586E-2</v>
      </c>
      <c r="T200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1.9912276730731899</v>
      </c>
      <c r="U2005" s="23">
        <f>Table1[[#This Row],[1. Doanh thu bán hàng và cung cấp dịch vụ ]]/Table1[[#This Row],[TỔNG CỘNG TÀI SẢN]]</f>
        <v>0.21737126476468646</v>
      </c>
      <c r="V2005" s="23">
        <f>1.2*Table1[[#This Row],[X1]] + 1.4*Table1[[#This Row],[X2]] + 3.3*Table1[[#This Row],[x3]] + 0.6*Table1[[#This Row],[x4]] + 1*Table1[[#This Row],[x5]]</f>
        <v>1.9835362881472538</v>
      </c>
      <c r="W2005" s="23">
        <f>IF(Table1[[#This Row],[Zscore]]&lt;1.81,1,0)</f>
        <v>0</v>
      </c>
    </row>
    <row r="2006" spans="1:23" ht="26.25" hidden="1" x14ac:dyDescent="0.45">
      <c r="A2006" s="7">
        <v>2000</v>
      </c>
      <c r="B2006" s="5" t="s">
        <v>4011</v>
      </c>
      <c r="C2006" s="6" t="s">
        <v>4012</v>
      </c>
      <c r="D2006" s="6" t="s">
        <v>21</v>
      </c>
      <c r="E2006" s="6"/>
      <c r="F2006" s="6"/>
      <c r="G2006" s="6"/>
      <c r="H2006" s="6"/>
      <c r="I2006" s="6"/>
      <c r="J2006" s="8"/>
      <c r="K2006" s="6"/>
      <c r="L2006" s="6"/>
      <c r="M2006" s="8">
        <v>12095993814300</v>
      </c>
      <c r="N2006" s="8"/>
      <c r="O2006" s="8">
        <v>16514088327250</v>
      </c>
      <c r="P2006" s="8"/>
      <c r="Q2006" s="18" t="e">
        <f>(Table1[[#This Row],[A. TÀI SẢN NGẮN HẠN]]-Table1[[#This Row],[I. Nợ ngắn hạn]])/Table1[[#This Row],[TỔNG CỘNG TÀI SẢN]]</f>
        <v>#DIV/0!</v>
      </c>
      <c r="R2006" s="18" t="e">
        <f>Table1[[#This Row],[- LNST chưa phân phối kỳ này]]/Table1[[#This Row],[TỔNG CỘNG TÀI SẢN]]</f>
        <v>#DIV/0!</v>
      </c>
      <c r="S2006" s="21" t="e">
        <f>Table1[[#This Row],[5. Lợi nhuận gộp về bán hàng và cung cấp dịch vụ]]/Table1[[#This Row],[TỔNG CỘNG TÀI SẢN]]</f>
        <v>#DIV/0!</v>
      </c>
      <c r="T200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006" s="23" t="e">
        <f>Table1[[#This Row],[1. Doanh thu bán hàng và cung cấp dịch vụ ]]/Table1[[#This Row],[TỔNG CỘNG TÀI SẢN]]</f>
        <v>#DIV/0!</v>
      </c>
      <c r="V2006" s="23" t="e">
        <f>1.2*Table1[[#This Row],[X1]] + 1.4*Table1[[#This Row],[X2]] + 3.3*Table1[[#This Row],[x3]] + 0.6*Table1[[#This Row],[x4]] + 1*Table1[[#This Row],[x5]]</f>
        <v>#DIV/0!</v>
      </c>
      <c r="W2006" s="23" t="e">
        <f>IF(Table1[[#This Row],[Zscore]]&lt;1.81,1,0)</f>
        <v>#DIV/0!</v>
      </c>
    </row>
    <row r="2007" spans="1:23" x14ac:dyDescent="0.45">
      <c r="A2007" s="7">
        <v>2001</v>
      </c>
      <c r="B2007" s="5" t="s">
        <v>4013</v>
      </c>
      <c r="C2007" s="6" t="s">
        <v>4014</v>
      </c>
      <c r="D2007" s="6" t="s">
        <v>21</v>
      </c>
      <c r="E2007" s="8">
        <v>916858320354</v>
      </c>
      <c r="F2007" s="8">
        <v>632355344165</v>
      </c>
      <c r="G2007" s="8">
        <v>453194531371</v>
      </c>
      <c r="H2007" s="8">
        <v>2157837937</v>
      </c>
      <c r="I2007" s="8">
        <v>153517898399</v>
      </c>
      <c r="J2007" s="8"/>
      <c r="K2007" s="8">
        <v>467109744264</v>
      </c>
      <c r="L2007" s="8">
        <v>605301087164</v>
      </c>
      <c r="M2007" s="8">
        <v>249741140640</v>
      </c>
      <c r="N2007" s="8">
        <v>212580533280</v>
      </c>
      <c r="O2007" s="8">
        <v>234439714080</v>
      </c>
      <c r="P2007" s="8">
        <v>231980556240</v>
      </c>
      <c r="Q2007" s="18">
        <f>(Table1[[#This Row],[A. TÀI SẢN NGẮN HẠN]]-Table1[[#This Row],[I. Nợ ngắn hạn]])/Table1[[#This Row],[TỔNG CỘNG TÀI SẢN]]</f>
        <v>0.1954073042875652</v>
      </c>
      <c r="R2007" s="18">
        <f>Table1[[#This Row],[- LNST chưa phân phối kỳ này]]/Table1[[#This Row],[TỔNG CỘNG TÀI SẢN]]</f>
        <v>2.3535129573420423E-3</v>
      </c>
      <c r="S2007" s="21">
        <f>Table1[[#This Row],[5. Lợi nhuận gộp về bán hàng và cung cấp dịch vụ]]/Table1[[#This Row],[TỔNG CỘNG TÀI SẢN]]</f>
        <v>0.16743906336556619</v>
      </c>
      <c r="T200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0.4970683847022766</v>
      </c>
      <c r="U2007" s="23">
        <f>Table1[[#This Row],[1. Doanh thu bán hàng và cung cấp dịch vụ ]]/Table1[[#This Row],[TỔNG CỘNG TÀI SẢN]]</f>
        <v>0.66019042825536289</v>
      </c>
      <c r="V2007" s="23">
        <f>1.2*Table1[[#This Row],[X1]] + 1.4*Table1[[#This Row],[X2]] + 3.3*Table1[[#This Row],[x3]] + 0.6*Table1[[#This Row],[x4]] + 1*Table1[[#This Row],[x5]]</f>
        <v>1.7487640514684544</v>
      </c>
      <c r="W2007" s="23">
        <f>IF(Table1[[#This Row],[Zscore]]&lt;1.81,1,0)</f>
        <v>1</v>
      </c>
    </row>
    <row r="2008" spans="1:23" x14ac:dyDescent="0.45">
      <c r="A2008" s="7">
        <v>2002</v>
      </c>
      <c r="B2008" s="5" t="s">
        <v>4015</v>
      </c>
      <c r="C2008" s="6" t="s">
        <v>4016</v>
      </c>
      <c r="D2008" s="6" t="s">
        <v>21</v>
      </c>
      <c r="E2008" s="8">
        <v>2753038322605</v>
      </c>
      <c r="F2008" s="8">
        <v>2680763804754</v>
      </c>
      <c r="G2008" s="8">
        <v>2304658065223</v>
      </c>
      <c r="H2008" s="8">
        <v>41116915778</v>
      </c>
      <c r="I2008" s="8">
        <v>143879863109</v>
      </c>
      <c r="J2008" s="8"/>
      <c r="K2008" s="8">
        <v>2329692928556</v>
      </c>
      <c r="L2008" s="8">
        <v>2503867163033</v>
      </c>
      <c r="M2008" s="8">
        <v>277194731500</v>
      </c>
      <c r="N2008" s="8">
        <v>232244234500</v>
      </c>
      <c r="O2008" s="8">
        <v>250224433300</v>
      </c>
      <c r="P2008" s="8">
        <v>243481858750</v>
      </c>
      <c r="Q2008" s="18">
        <f>(Table1[[#This Row],[A. TÀI SẢN NGẮN HẠN]]-Table1[[#This Row],[I. Nợ ngắn hạn]])/Table1[[#This Row],[TỔNG CỘNG TÀI SẢN]]</f>
        <v>0.13661478536016836</v>
      </c>
      <c r="R2008" s="18">
        <f>Table1[[#This Row],[- LNST chưa phân phối kỳ này]]/Table1[[#This Row],[TỔNG CỘNG TÀI SẢN]]</f>
        <v>1.493510476784575E-2</v>
      </c>
      <c r="S2008" s="21">
        <f>Table1[[#This Row],[5. Lợi nhuận gộp về bán hàng và cung cấp dịch vụ]]/Table1[[#This Row],[TỔNG CỘNG TÀI SẢN]]</f>
        <v>5.2262208603350263E-2</v>
      </c>
      <c r="T200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0.10764779831646887</v>
      </c>
      <c r="U2008" s="23">
        <f>Table1[[#This Row],[1. Doanh thu bán hàng và cung cấp dịch vụ ]]/Table1[[#This Row],[TỔNG CỘNG TÀI SẢN]]</f>
        <v>0.90949230254948743</v>
      </c>
      <c r="V2008" s="23">
        <f>1.2*Table1[[#This Row],[X1]] + 1.4*Table1[[#This Row],[X2]] + 3.3*Table1[[#This Row],[x3]] + 0.6*Table1[[#This Row],[x4]] + 1*Table1[[#This Row],[x5]]</f>
        <v>1.3313931590376107</v>
      </c>
      <c r="W2008" s="23">
        <f>IF(Table1[[#This Row],[Zscore]]&lt;1.81,1,0)</f>
        <v>1</v>
      </c>
    </row>
    <row r="2009" spans="1:23" hidden="1" x14ac:dyDescent="0.45">
      <c r="A2009" s="7">
        <v>2003</v>
      </c>
      <c r="B2009" s="5" t="s">
        <v>4017</v>
      </c>
      <c r="C2009" s="6" t="s">
        <v>4018</v>
      </c>
      <c r="D2009" s="6" t="s">
        <v>13</v>
      </c>
      <c r="E2009" s="6"/>
      <c r="F2009" s="6"/>
      <c r="G2009" s="6"/>
      <c r="H2009" s="6"/>
      <c r="I2009" s="6"/>
      <c r="J2009" s="8"/>
      <c r="K2009" s="6"/>
      <c r="L2009" s="6"/>
      <c r="M2009" s="8"/>
      <c r="N2009" s="8"/>
      <c r="O2009" s="8"/>
      <c r="P2009" s="8"/>
      <c r="Q2009" s="18" t="e">
        <f>(Table1[[#This Row],[A. TÀI SẢN NGẮN HẠN]]-Table1[[#This Row],[I. Nợ ngắn hạn]])/Table1[[#This Row],[TỔNG CỘNG TÀI SẢN]]</f>
        <v>#DIV/0!</v>
      </c>
      <c r="R2009" s="18" t="e">
        <f>Table1[[#This Row],[- LNST chưa phân phối kỳ này]]/Table1[[#This Row],[TỔNG CỘNG TÀI SẢN]]</f>
        <v>#DIV/0!</v>
      </c>
      <c r="S2009" s="21" t="e">
        <f>Table1[[#This Row],[5. Lợi nhuận gộp về bán hàng và cung cấp dịch vụ]]/Table1[[#This Row],[TỔNG CỘNG TÀI SẢN]]</f>
        <v>#DIV/0!</v>
      </c>
      <c r="T200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009" s="23" t="e">
        <f>Table1[[#This Row],[1. Doanh thu bán hàng và cung cấp dịch vụ ]]/Table1[[#This Row],[TỔNG CỘNG TÀI SẢN]]</f>
        <v>#DIV/0!</v>
      </c>
      <c r="V2009" s="23" t="e">
        <f>1.2*Table1[[#This Row],[X1]] + 1.4*Table1[[#This Row],[X2]] + 3.3*Table1[[#This Row],[x3]] + 0.6*Table1[[#This Row],[x4]] + 1*Table1[[#This Row],[x5]]</f>
        <v>#DIV/0!</v>
      </c>
      <c r="W2009" s="23" t="e">
        <f>IF(Table1[[#This Row],[Zscore]]&lt;1.81,1,0)</f>
        <v>#DIV/0!</v>
      </c>
    </row>
    <row r="2010" spans="1:23" hidden="1" x14ac:dyDescent="0.45">
      <c r="A2010" s="7">
        <v>2004</v>
      </c>
      <c r="B2010" s="5" t="s">
        <v>4019</v>
      </c>
      <c r="C2010" s="6" t="s">
        <v>4020</v>
      </c>
      <c r="D2010" s="6" t="s">
        <v>13</v>
      </c>
      <c r="E2010" s="6"/>
      <c r="F2010" s="6"/>
      <c r="G2010" s="6"/>
      <c r="H2010" s="6"/>
      <c r="I2010" s="6"/>
      <c r="J2010" s="8"/>
      <c r="K2010" s="6"/>
      <c r="L2010" s="6"/>
      <c r="M2010" s="8"/>
      <c r="N2010" s="8"/>
      <c r="O2010" s="8"/>
      <c r="P2010" s="8"/>
      <c r="Q2010" s="18" t="e">
        <f>(Table1[[#This Row],[A. TÀI SẢN NGẮN HẠN]]-Table1[[#This Row],[I. Nợ ngắn hạn]])/Table1[[#This Row],[TỔNG CỘNG TÀI SẢN]]</f>
        <v>#DIV/0!</v>
      </c>
      <c r="R2010" s="18" t="e">
        <f>Table1[[#This Row],[- LNST chưa phân phối kỳ này]]/Table1[[#This Row],[TỔNG CỘNG TÀI SẢN]]</f>
        <v>#DIV/0!</v>
      </c>
      <c r="S2010" s="21" t="e">
        <f>Table1[[#This Row],[5. Lợi nhuận gộp về bán hàng và cung cấp dịch vụ]]/Table1[[#This Row],[TỔNG CỘNG TÀI SẢN]]</f>
        <v>#DIV/0!</v>
      </c>
      <c r="T201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010" s="23" t="e">
        <f>Table1[[#This Row],[1. Doanh thu bán hàng và cung cấp dịch vụ ]]/Table1[[#This Row],[TỔNG CỘNG TÀI SẢN]]</f>
        <v>#DIV/0!</v>
      </c>
      <c r="V2010" s="23" t="e">
        <f>1.2*Table1[[#This Row],[X1]] + 1.4*Table1[[#This Row],[X2]] + 3.3*Table1[[#This Row],[x3]] + 0.6*Table1[[#This Row],[x4]] + 1*Table1[[#This Row],[x5]]</f>
        <v>#DIV/0!</v>
      </c>
      <c r="W2010" s="23" t="e">
        <f>IF(Table1[[#This Row],[Zscore]]&lt;1.81,1,0)</f>
        <v>#DIV/0!</v>
      </c>
    </row>
    <row r="2011" spans="1:23" hidden="1" x14ac:dyDescent="0.45">
      <c r="A2011" s="7">
        <v>2005</v>
      </c>
      <c r="B2011" s="5" t="s">
        <v>4021</v>
      </c>
      <c r="C2011" s="6" t="s">
        <v>4022</v>
      </c>
      <c r="D2011" s="6" t="s">
        <v>18</v>
      </c>
      <c r="E2011" s="6"/>
      <c r="F2011" s="6"/>
      <c r="G2011" s="6"/>
      <c r="H2011" s="6"/>
      <c r="I2011" s="6"/>
      <c r="J2011" s="8"/>
      <c r="K2011" s="6"/>
      <c r="L2011" s="6"/>
      <c r="M2011" s="8"/>
      <c r="N2011" s="8"/>
      <c r="O2011" s="8"/>
      <c r="P2011" s="8"/>
      <c r="Q2011" s="18" t="e">
        <f>(Table1[[#This Row],[A. TÀI SẢN NGẮN HẠN]]-Table1[[#This Row],[I. Nợ ngắn hạn]])/Table1[[#This Row],[TỔNG CỘNG TÀI SẢN]]</f>
        <v>#DIV/0!</v>
      </c>
      <c r="R2011" s="18" t="e">
        <f>Table1[[#This Row],[- LNST chưa phân phối kỳ này]]/Table1[[#This Row],[TỔNG CỘNG TÀI SẢN]]</f>
        <v>#DIV/0!</v>
      </c>
      <c r="S2011" s="21" t="e">
        <f>Table1[[#This Row],[5. Lợi nhuận gộp về bán hàng và cung cấp dịch vụ]]/Table1[[#This Row],[TỔNG CỘNG TÀI SẢN]]</f>
        <v>#DIV/0!</v>
      </c>
      <c r="T201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011" s="23" t="e">
        <f>Table1[[#This Row],[1. Doanh thu bán hàng và cung cấp dịch vụ ]]/Table1[[#This Row],[TỔNG CỘNG TÀI SẢN]]</f>
        <v>#DIV/0!</v>
      </c>
      <c r="V2011" s="23" t="e">
        <f>1.2*Table1[[#This Row],[X1]] + 1.4*Table1[[#This Row],[X2]] + 3.3*Table1[[#This Row],[x3]] + 0.6*Table1[[#This Row],[x4]] + 1*Table1[[#This Row],[x5]]</f>
        <v>#DIV/0!</v>
      </c>
      <c r="W2011" s="23" t="e">
        <f>IF(Table1[[#This Row],[Zscore]]&lt;1.81,1,0)</f>
        <v>#DIV/0!</v>
      </c>
    </row>
    <row r="2012" spans="1:23" hidden="1" x14ac:dyDescent="0.45">
      <c r="A2012" s="7">
        <v>2006</v>
      </c>
      <c r="B2012" s="5" t="s">
        <v>4023</v>
      </c>
      <c r="C2012" s="6" t="s">
        <v>4024</v>
      </c>
      <c r="D2012" s="6" t="s">
        <v>13</v>
      </c>
      <c r="E2012" s="6"/>
      <c r="F2012" s="6"/>
      <c r="G2012" s="6"/>
      <c r="H2012" s="6"/>
      <c r="I2012" s="6"/>
      <c r="J2012" s="8"/>
      <c r="K2012" s="6"/>
      <c r="L2012" s="6"/>
      <c r="M2012" s="8"/>
      <c r="N2012" s="8"/>
      <c r="O2012" s="8"/>
      <c r="P2012" s="8"/>
      <c r="Q2012" s="18" t="e">
        <f>(Table1[[#This Row],[A. TÀI SẢN NGẮN HẠN]]-Table1[[#This Row],[I. Nợ ngắn hạn]])/Table1[[#This Row],[TỔNG CỘNG TÀI SẢN]]</f>
        <v>#DIV/0!</v>
      </c>
      <c r="R2012" s="18" t="e">
        <f>Table1[[#This Row],[- LNST chưa phân phối kỳ này]]/Table1[[#This Row],[TỔNG CỘNG TÀI SẢN]]</f>
        <v>#DIV/0!</v>
      </c>
      <c r="S2012" s="21" t="e">
        <f>Table1[[#This Row],[5. Lợi nhuận gộp về bán hàng và cung cấp dịch vụ]]/Table1[[#This Row],[TỔNG CỘNG TÀI SẢN]]</f>
        <v>#DIV/0!</v>
      </c>
      <c r="T201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012" s="23" t="e">
        <f>Table1[[#This Row],[1. Doanh thu bán hàng và cung cấp dịch vụ ]]/Table1[[#This Row],[TỔNG CỘNG TÀI SẢN]]</f>
        <v>#DIV/0!</v>
      </c>
      <c r="V2012" s="23" t="e">
        <f>1.2*Table1[[#This Row],[X1]] + 1.4*Table1[[#This Row],[X2]] + 3.3*Table1[[#This Row],[x3]] + 0.6*Table1[[#This Row],[x4]] + 1*Table1[[#This Row],[x5]]</f>
        <v>#DIV/0!</v>
      </c>
      <c r="W2012" s="23" t="e">
        <f>IF(Table1[[#This Row],[Zscore]]&lt;1.81,1,0)</f>
        <v>#DIV/0!</v>
      </c>
    </row>
    <row r="2013" spans="1:23" ht="26.25" x14ac:dyDescent="0.45">
      <c r="A2013" s="7">
        <v>2007</v>
      </c>
      <c r="B2013" s="5" t="s">
        <v>4025</v>
      </c>
      <c r="C2013" s="6" t="s">
        <v>4026</v>
      </c>
      <c r="D2013" s="6" t="s">
        <v>18</v>
      </c>
      <c r="E2013" s="8">
        <v>601887612542</v>
      </c>
      <c r="F2013" s="8">
        <v>105776537831</v>
      </c>
      <c r="G2013" s="8">
        <v>563813543962</v>
      </c>
      <c r="H2013" s="8">
        <v>-80361684494</v>
      </c>
      <c r="I2013" s="8">
        <v>41408347804</v>
      </c>
      <c r="J2013" s="8"/>
      <c r="K2013" s="8">
        <v>759567163733</v>
      </c>
      <c r="L2013" s="8">
        <v>166812395373</v>
      </c>
      <c r="M2013" s="8">
        <v>140250000000</v>
      </c>
      <c r="N2013" s="8">
        <v>83080872000</v>
      </c>
      <c r="O2013" s="8">
        <v>109361556000</v>
      </c>
      <c r="P2013" s="8">
        <v>111057084000</v>
      </c>
      <c r="Q2013" s="18">
        <f>(Table1[[#This Row],[A. TÀI SẢN NGẮN HẠN]]-Table1[[#This Row],[I. Nợ ngắn hạn]])/Table1[[#This Row],[TỔNG CỘNG TÀI SẢN]]</f>
        <v>-0.76100088552501644</v>
      </c>
      <c r="R2013" s="18">
        <f>Table1[[#This Row],[- LNST chưa phân phối kỳ này]]/Table1[[#This Row],[TỔNG CỘNG TÀI SẢN]]</f>
        <v>-0.13351609639314901</v>
      </c>
      <c r="S2013" s="21">
        <f>Table1[[#This Row],[5. Lợi nhuận gộp về bán hàng và cung cấp dịch vụ]]/Table1[[#This Row],[TỔNG CỘNG TÀI SẢN]]</f>
        <v>6.8797474713122642E-2</v>
      </c>
      <c r="T201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0.14605341475634967</v>
      </c>
      <c r="U2013" s="23">
        <f>Table1[[#This Row],[1. Doanh thu bán hàng và cung cấp dịch vụ ]]/Table1[[#This Row],[TỔNG CỘNG TÀI SẢN]]</f>
        <v>0.27714874321551142</v>
      </c>
      <c r="V2013" s="23">
        <f>1.2*Table1[[#This Row],[X1]] + 1.4*Table1[[#This Row],[X2]] + 3.3*Table1[[#This Row],[x3]] + 0.6*Table1[[#This Row],[x4]] + 1*Table1[[#This Row],[x5]]</f>
        <v>-0.50831113895780222</v>
      </c>
      <c r="W2013" s="23">
        <f>IF(Table1[[#This Row],[Zscore]]&lt;1.81,1,0)</f>
        <v>1</v>
      </c>
    </row>
    <row r="2014" spans="1:23" hidden="1" x14ac:dyDescent="0.45">
      <c r="A2014" s="7">
        <v>2008</v>
      </c>
      <c r="B2014" s="5" t="s">
        <v>4027</v>
      </c>
      <c r="C2014" s="6" t="s">
        <v>4028</v>
      </c>
      <c r="D2014" s="6" t="s">
        <v>13</v>
      </c>
      <c r="E2014" s="6"/>
      <c r="F2014" s="6"/>
      <c r="G2014" s="6"/>
      <c r="H2014" s="6"/>
      <c r="I2014" s="6"/>
      <c r="J2014" s="8"/>
      <c r="K2014" s="6"/>
      <c r="L2014" s="6"/>
      <c r="M2014" s="8"/>
      <c r="N2014" s="8"/>
      <c r="O2014" s="8"/>
      <c r="P2014" s="8"/>
      <c r="Q2014" s="18" t="e">
        <f>(Table1[[#This Row],[A. TÀI SẢN NGẮN HẠN]]-Table1[[#This Row],[I. Nợ ngắn hạn]])/Table1[[#This Row],[TỔNG CỘNG TÀI SẢN]]</f>
        <v>#DIV/0!</v>
      </c>
      <c r="R2014" s="18" t="e">
        <f>Table1[[#This Row],[- LNST chưa phân phối kỳ này]]/Table1[[#This Row],[TỔNG CỘNG TÀI SẢN]]</f>
        <v>#DIV/0!</v>
      </c>
      <c r="S2014" s="21" t="e">
        <f>Table1[[#This Row],[5. Lợi nhuận gộp về bán hàng và cung cấp dịch vụ]]/Table1[[#This Row],[TỔNG CỘNG TÀI SẢN]]</f>
        <v>#DIV/0!</v>
      </c>
      <c r="T201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014" s="23" t="e">
        <f>Table1[[#This Row],[1. Doanh thu bán hàng và cung cấp dịch vụ ]]/Table1[[#This Row],[TỔNG CỘNG TÀI SẢN]]</f>
        <v>#DIV/0!</v>
      </c>
      <c r="V2014" s="23" t="e">
        <f>1.2*Table1[[#This Row],[X1]] + 1.4*Table1[[#This Row],[X2]] + 3.3*Table1[[#This Row],[x3]] + 0.6*Table1[[#This Row],[x4]] + 1*Table1[[#This Row],[x5]]</f>
        <v>#DIV/0!</v>
      </c>
      <c r="W2014" s="23" t="e">
        <f>IF(Table1[[#This Row],[Zscore]]&lt;1.81,1,0)</f>
        <v>#DIV/0!</v>
      </c>
    </row>
    <row r="2015" spans="1:23" x14ac:dyDescent="0.45">
      <c r="A2015" s="7">
        <v>2009</v>
      </c>
      <c r="B2015" s="5" t="s">
        <v>4029</v>
      </c>
      <c r="C2015" s="6" t="s">
        <v>4030</v>
      </c>
      <c r="D2015" s="6" t="s">
        <v>36</v>
      </c>
      <c r="E2015" s="8">
        <v>11769811011569</v>
      </c>
      <c r="F2015" s="8">
        <v>11757779227453</v>
      </c>
      <c r="G2015" s="8">
        <v>9435503320061</v>
      </c>
      <c r="H2015" s="8">
        <v>317746691265</v>
      </c>
      <c r="I2015" s="8">
        <v>504812218117</v>
      </c>
      <c r="J2015" s="8"/>
      <c r="K2015" s="8">
        <v>10092521086713</v>
      </c>
      <c r="L2015" s="8">
        <v>6520580662435</v>
      </c>
      <c r="M2015" s="8">
        <v>6069000000000</v>
      </c>
      <c r="N2015" s="8">
        <v>5457000000000</v>
      </c>
      <c r="O2015" s="8">
        <v>5618500000000</v>
      </c>
      <c r="P2015" s="8">
        <v>5576000000000</v>
      </c>
      <c r="Q2015" s="18">
        <f>(Table1[[#This Row],[A. TÀI SẢN NGẮN HẠN]]-Table1[[#This Row],[I. Nợ ngắn hạn]])/Table1[[#This Row],[TỔNG CỘNG TÀI SẢN]]</f>
        <v>0.19730783315971223</v>
      </c>
      <c r="R2015" s="18">
        <f>Table1[[#This Row],[- LNST chưa phân phối kỳ này]]/Table1[[#This Row],[TỔNG CỘNG TÀI SẢN]]</f>
        <v>2.6996753894576096E-2</v>
      </c>
      <c r="S2015" s="21">
        <f>Table1[[#This Row],[5. Lợi nhuận gộp về bán hàng và cung cấp dịch vụ]]/Table1[[#This Row],[TỔNG CỘNG TÀI SẢN]]</f>
        <v>4.2890426840397067E-2</v>
      </c>
      <c r="T201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0.56280536361504307</v>
      </c>
      <c r="U2015" s="23">
        <f>Table1[[#This Row],[1. Doanh thu bán hàng và cung cấp dịch vụ ]]/Table1[[#This Row],[TỔNG CỘNG TÀI SẢN]]</f>
        <v>0.55400895188764465</v>
      </c>
      <c r="V2015" s="23">
        <f>1.2*Table1[[#This Row],[X1]] + 1.4*Table1[[#This Row],[X2]] + 3.3*Table1[[#This Row],[x3]] + 0.6*Table1[[#This Row],[x4]] + 1*Table1[[#This Row],[x5]]</f>
        <v>1.3077954338740421</v>
      </c>
      <c r="W2015" s="23">
        <f>IF(Table1[[#This Row],[Zscore]]&lt;1.81,1,0)</f>
        <v>1</v>
      </c>
    </row>
    <row r="2016" spans="1:23" hidden="1" x14ac:dyDescent="0.45">
      <c r="A2016" s="7">
        <v>2010</v>
      </c>
      <c r="B2016" s="5" t="s">
        <v>4031</v>
      </c>
      <c r="C2016" s="6" t="s">
        <v>4032</v>
      </c>
      <c r="D2016" s="6" t="s">
        <v>13</v>
      </c>
      <c r="E2016" s="6"/>
      <c r="F2016" s="6"/>
      <c r="G2016" s="6"/>
      <c r="H2016" s="6"/>
      <c r="I2016" s="6"/>
      <c r="J2016" s="8"/>
      <c r="K2016" s="6"/>
      <c r="L2016" s="6"/>
      <c r="M2016" s="8"/>
      <c r="N2016" s="8"/>
      <c r="O2016" s="8"/>
      <c r="P2016" s="8"/>
      <c r="Q2016" s="18" t="e">
        <f>(Table1[[#This Row],[A. TÀI SẢN NGẮN HẠN]]-Table1[[#This Row],[I. Nợ ngắn hạn]])/Table1[[#This Row],[TỔNG CỘNG TÀI SẢN]]</f>
        <v>#DIV/0!</v>
      </c>
      <c r="R2016" s="18" t="e">
        <f>Table1[[#This Row],[- LNST chưa phân phối kỳ này]]/Table1[[#This Row],[TỔNG CỘNG TÀI SẢN]]</f>
        <v>#DIV/0!</v>
      </c>
      <c r="S2016" s="21" t="e">
        <f>Table1[[#This Row],[5. Lợi nhuận gộp về bán hàng và cung cấp dịch vụ]]/Table1[[#This Row],[TỔNG CỘNG TÀI SẢN]]</f>
        <v>#DIV/0!</v>
      </c>
      <c r="T201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016" s="23" t="e">
        <f>Table1[[#This Row],[1. Doanh thu bán hàng và cung cấp dịch vụ ]]/Table1[[#This Row],[TỔNG CỘNG TÀI SẢN]]</f>
        <v>#DIV/0!</v>
      </c>
      <c r="V2016" s="23" t="e">
        <f>1.2*Table1[[#This Row],[X1]] + 1.4*Table1[[#This Row],[X2]] + 3.3*Table1[[#This Row],[x3]] + 0.6*Table1[[#This Row],[x4]] + 1*Table1[[#This Row],[x5]]</f>
        <v>#DIV/0!</v>
      </c>
      <c r="W2016" s="23" t="e">
        <f>IF(Table1[[#This Row],[Zscore]]&lt;1.81,1,0)</f>
        <v>#DIV/0!</v>
      </c>
    </row>
    <row r="2017" spans="1:23" x14ac:dyDescent="0.45">
      <c r="A2017" s="7">
        <v>2011</v>
      </c>
      <c r="B2017" s="5" t="s">
        <v>4033</v>
      </c>
      <c r="C2017" s="6" t="s">
        <v>4034</v>
      </c>
      <c r="D2017" s="6" t="s">
        <v>36</v>
      </c>
      <c r="E2017" s="8">
        <v>1609674964223</v>
      </c>
      <c r="F2017" s="8">
        <v>1519817492673</v>
      </c>
      <c r="G2017" s="8">
        <v>1070460508878</v>
      </c>
      <c r="H2017" s="8">
        <v>1064334654</v>
      </c>
      <c r="I2017" s="8">
        <v>75199972762</v>
      </c>
      <c r="J2017" s="8"/>
      <c r="K2017" s="8">
        <v>1111571620687</v>
      </c>
      <c r="L2017" s="8">
        <v>846341217253</v>
      </c>
      <c r="M2017" s="8">
        <v>253078694700</v>
      </c>
      <c r="N2017" s="8">
        <v>286619244600</v>
      </c>
      <c r="O2017" s="8">
        <v>219538144800</v>
      </c>
      <c r="P2017" s="8">
        <v>295766667300</v>
      </c>
      <c r="Q2017" s="18">
        <f>(Table1[[#This Row],[A. TÀI SẢN NGẮN HẠN]]-Table1[[#This Row],[I. Nợ ngắn hạn]])/Table1[[#This Row],[TỔNG CỘNG TÀI SẢN]]</f>
        <v>0.27916007503533946</v>
      </c>
      <c r="R2017" s="18">
        <f>Table1[[#This Row],[- LNST chưa phân phối kỳ này]]/Table1[[#This Row],[TỔNG CỘNG TÀI SẢN]]</f>
        <v>6.612109137907608E-4</v>
      </c>
      <c r="S2017" s="21">
        <f>Table1[[#This Row],[5. Lợi nhuận gộp về bán hàng và cung cấp dịch vụ]]/Table1[[#This Row],[TỔNG CỘNG TÀI SẢN]]</f>
        <v>4.6717489203355715E-2</v>
      </c>
      <c r="T201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0.23727727745243307</v>
      </c>
      <c r="U2017" s="23">
        <f>Table1[[#This Row],[1. Doanh thu bán hàng và cung cấp dịch vụ ]]/Table1[[#This Row],[TỔNG CỘNG TÀI SẢN]]</f>
        <v>0.52578392288130926</v>
      </c>
      <c r="V2017" s="23">
        <f>1.2*Table1[[#This Row],[X1]] + 1.4*Table1[[#This Row],[X2]] + 3.3*Table1[[#This Row],[x3]] + 0.6*Table1[[#This Row],[x4]] + 1*Table1[[#This Row],[x5]]</f>
        <v>1.1582357890455572</v>
      </c>
      <c r="W2017" s="23">
        <f>IF(Table1[[#This Row],[Zscore]]&lt;1.81,1,0)</f>
        <v>1</v>
      </c>
    </row>
    <row r="2018" spans="1:23" x14ac:dyDescent="0.45">
      <c r="A2018" s="7">
        <v>2012</v>
      </c>
      <c r="B2018" s="5" t="s">
        <v>4035</v>
      </c>
      <c r="C2018" s="6" t="s">
        <v>4036</v>
      </c>
      <c r="D2018" s="6" t="s">
        <v>18</v>
      </c>
      <c r="E2018" s="8">
        <v>1660855114874</v>
      </c>
      <c r="F2018" s="8">
        <v>350028675156</v>
      </c>
      <c r="G2018" s="8">
        <v>666780215129</v>
      </c>
      <c r="H2018" s="8">
        <v>11344379931</v>
      </c>
      <c r="I2018" s="8">
        <v>105328321431</v>
      </c>
      <c r="J2018" s="8"/>
      <c r="K2018" s="8">
        <v>955974202419</v>
      </c>
      <c r="L2018" s="8">
        <v>1128199798961</v>
      </c>
      <c r="M2018" s="8">
        <v>225572100000</v>
      </c>
      <c r="N2018" s="8">
        <v>214004300000</v>
      </c>
      <c r="O2018" s="8">
        <v>214004300000</v>
      </c>
      <c r="P2018" s="8">
        <v>219788200000</v>
      </c>
      <c r="Q2018" s="18">
        <f>(Table1[[#This Row],[A. TÀI SẢN NGẮN HẠN]]-Table1[[#This Row],[I. Nợ ngắn hạn]])/Table1[[#This Row],[TỔNG CỘNG TÀI SẢN]]</f>
        <v>-0.19071593731222619</v>
      </c>
      <c r="R2018" s="18">
        <f>Table1[[#This Row],[- LNST chưa phân phối kỳ này]]/Table1[[#This Row],[TỔNG CỘNG TÀI SẢN]]</f>
        <v>6.8304452504038176E-3</v>
      </c>
      <c r="S2018" s="21">
        <f>Table1[[#This Row],[5. Lợi nhuận gộp về bán hàng và cung cấp dịch vụ]]/Table1[[#This Row],[TỔNG CỘNG TÀI SẢN]]</f>
        <v>6.3418127498129598E-2</v>
      </c>
      <c r="T201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0.22839761203545678</v>
      </c>
      <c r="U2018" s="23">
        <f>Table1[[#This Row],[1. Doanh thu bán hàng và cung cấp dịch vụ ]]/Table1[[#This Row],[TỔNG CỘNG TÀI SẢN]]</f>
        <v>0.67928851159698556</v>
      </c>
      <c r="V2018" s="23">
        <f>1.2*Table1[[#This Row],[X1]] + 1.4*Table1[[#This Row],[X2]] + 3.3*Table1[[#This Row],[x3]] + 0.6*Table1[[#This Row],[x4]] + 1*Table1[[#This Row],[x5]]</f>
        <v>0.80631039813798122</v>
      </c>
      <c r="W2018" s="23">
        <f>IF(Table1[[#This Row],[Zscore]]&lt;1.81,1,0)</f>
        <v>1</v>
      </c>
    </row>
    <row r="2019" spans="1:23" hidden="1" x14ac:dyDescent="0.45">
      <c r="A2019" s="7">
        <v>2013</v>
      </c>
      <c r="B2019" s="5" t="s">
        <v>4037</v>
      </c>
      <c r="C2019" s="6" t="s">
        <v>4038</v>
      </c>
      <c r="D2019" s="6" t="s">
        <v>13</v>
      </c>
      <c r="E2019" s="6"/>
      <c r="F2019" s="6"/>
      <c r="G2019" s="6"/>
      <c r="H2019" s="6"/>
      <c r="I2019" s="6"/>
      <c r="J2019" s="8"/>
      <c r="K2019" s="6"/>
      <c r="L2019" s="6"/>
      <c r="M2019" s="8"/>
      <c r="N2019" s="8"/>
      <c r="O2019" s="8"/>
      <c r="P2019" s="8"/>
      <c r="Q2019" s="18" t="e">
        <f>(Table1[[#This Row],[A. TÀI SẢN NGẮN HẠN]]-Table1[[#This Row],[I. Nợ ngắn hạn]])/Table1[[#This Row],[TỔNG CỘNG TÀI SẢN]]</f>
        <v>#DIV/0!</v>
      </c>
      <c r="R2019" s="18" t="e">
        <f>Table1[[#This Row],[- LNST chưa phân phối kỳ này]]/Table1[[#This Row],[TỔNG CỘNG TÀI SẢN]]</f>
        <v>#DIV/0!</v>
      </c>
      <c r="S2019" s="21" t="e">
        <f>Table1[[#This Row],[5. Lợi nhuận gộp về bán hàng và cung cấp dịch vụ]]/Table1[[#This Row],[TỔNG CỘNG TÀI SẢN]]</f>
        <v>#DIV/0!</v>
      </c>
      <c r="T201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019" s="23" t="e">
        <f>Table1[[#This Row],[1. Doanh thu bán hàng và cung cấp dịch vụ ]]/Table1[[#This Row],[TỔNG CỘNG TÀI SẢN]]</f>
        <v>#DIV/0!</v>
      </c>
      <c r="V2019" s="23" t="e">
        <f>1.2*Table1[[#This Row],[X1]] + 1.4*Table1[[#This Row],[X2]] + 3.3*Table1[[#This Row],[x3]] + 0.6*Table1[[#This Row],[x4]] + 1*Table1[[#This Row],[x5]]</f>
        <v>#DIV/0!</v>
      </c>
      <c r="W2019" s="23" t="e">
        <f>IF(Table1[[#This Row],[Zscore]]&lt;1.81,1,0)</f>
        <v>#DIV/0!</v>
      </c>
    </row>
    <row r="2020" spans="1:23" x14ac:dyDescent="0.45">
      <c r="A2020" s="7">
        <v>2014</v>
      </c>
      <c r="B2020" s="5" t="s">
        <v>4039</v>
      </c>
      <c r="C2020" s="6" t="s">
        <v>4040</v>
      </c>
      <c r="D2020" s="6" t="s">
        <v>18</v>
      </c>
      <c r="E2020" s="8">
        <v>876866647783</v>
      </c>
      <c r="F2020" s="8">
        <v>376114936192</v>
      </c>
      <c r="G2020" s="8">
        <v>331920926502</v>
      </c>
      <c r="H2020" s="8">
        <v>23327292111</v>
      </c>
      <c r="I2020" s="8">
        <v>202158021878</v>
      </c>
      <c r="J2020" s="8"/>
      <c r="K2020" s="8">
        <v>444066857738</v>
      </c>
      <c r="L2020" s="8">
        <v>618581915292</v>
      </c>
      <c r="M2020" s="8">
        <v>541165955000</v>
      </c>
      <c r="N2020" s="8">
        <v>456427262500</v>
      </c>
      <c r="O2020" s="8">
        <v>582213814000</v>
      </c>
      <c r="P2020" s="8">
        <v>526231716500</v>
      </c>
      <c r="Q2020" s="18">
        <f>(Table1[[#This Row],[A. TÀI SẢN NGẮN HẠN]]-Table1[[#This Row],[I. Nợ ngắn hạn]])/Table1[[#This Row],[TỔNG CỘNG TÀI SẢN]]</f>
        <v>5.0399920902153852E-2</v>
      </c>
      <c r="R2020" s="18">
        <f>Table1[[#This Row],[- LNST chưa phân phối kỳ này]]/Table1[[#This Row],[TỔNG CỘNG TÀI SẢN]]</f>
        <v>2.6603009898915501E-2</v>
      </c>
      <c r="S2020" s="21">
        <f>Table1[[#This Row],[5. Lợi nhuận gộp về bán hàng và cung cấp dịch vụ]]/Table1[[#This Row],[TỔNG CỘNG TÀI SẢN]]</f>
        <v>0.23054591298359939</v>
      </c>
      <c r="T202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1.1856540920030592</v>
      </c>
      <c r="U2020" s="23">
        <f>Table1[[#This Row],[1. Doanh thu bán hàng và cung cấp dịch vụ ]]/Table1[[#This Row],[TỔNG CỘNG TÀI SẢN]]</f>
        <v>0.7054458244659817</v>
      </c>
      <c r="V2020" s="23">
        <f>1.2*Table1[[#This Row],[X1]] + 1.4*Table1[[#This Row],[X2]] + 3.3*Table1[[#This Row],[x3]] + 0.6*Table1[[#This Row],[x4]] + 1*Table1[[#This Row],[x5]]</f>
        <v>2.2753639114547615</v>
      </c>
      <c r="W2020" s="23">
        <f>IF(Table1[[#This Row],[Zscore]]&lt;1.81,1,0)</f>
        <v>0</v>
      </c>
    </row>
    <row r="2021" spans="1:23" hidden="1" x14ac:dyDescent="0.45">
      <c r="A2021" s="7">
        <v>2015</v>
      </c>
      <c r="B2021" s="5" t="s">
        <v>4041</v>
      </c>
      <c r="C2021" s="6" t="s">
        <v>4042</v>
      </c>
      <c r="D2021" s="6" t="s">
        <v>18</v>
      </c>
      <c r="E2021" s="8">
        <v>13755418054</v>
      </c>
      <c r="F2021" s="8">
        <v>6015253676</v>
      </c>
      <c r="G2021" s="8">
        <v>86703360543</v>
      </c>
      <c r="H2021" s="8">
        <v>6051519868</v>
      </c>
      <c r="I2021" s="8">
        <v>12693847677</v>
      </c>
      <c r="J2021" s="8"/>
      <c r="K2021" s="8">
        <v>86703360543</v>
      </c>
      <c r="L2021" s="8">
        <v>24319474038</v>
      </c>
      <c r="M2021" s="8"/>
      <c r="N2021" s="8"/>
      <c r="O2021" s="8"/>
      <c r="P2021" s="8"/>
      <c r="Q2021" s="18">
        <f>(Table1[[#This Row],[A. TÀI SẢN NGẮN HẠN]]-Table1[[#This Row],[I. Nợ ngắn hạn]])/Table1[[#This Row],[TỔNG CỘNG TÀI SẢN]]</f>
        <v>-5.8659145472889751</v>
      </c>
      <c r="R2021" s="18">
        <f>Table1[[#This Row],[- LNST chưa phân phối kỳ này]]/Table1[[#This Row],[TỔNG CỘNG TÀI SẢN]]</f>
        <v>0.43993718287902206</v>
      </c>
      <c r="S2021" s="21">
        <f>Table1[[#This Row],[5. Lợi nhuận gộp về bán hàng và cung cấp dịch vụ]]/Table1[[#This Row],[TỔNG CỘNG TÀI SẢN]]</f>
        <v>0.92282529161726923</v>
      </c>
      <c r="T202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021" s="23">
        <f>Table1[[#This Row],[1. Doanh thu bán hàng và cung cấp dịch vụ ]]/Table1[[#This Row],[TỔNG CỘNG TÀI SẢN]]</f>
        <v>1.7679923607213108</v>
      </c>
      <c r="V2021" s="23" t="e">
        <f>1.2*Table1[[#This Row],[X1]] + 1.4*Table1[[#This Row],[X2]] + 3.3*Table1[[#This Row],[x3]] + 0.6*Table1[[#This Row],[x4]] + 1*Table1[[#This Row],[x5]]</f>
        <v>#DIV/0!</v>
      </c>
      <c r="W2021" s="23" t="e">
        <f>IF(Table1[[#This Row],[Zscore]]&lt;1.81,1,0)</f>
        <v>#DIV/0!</v>
      </c>
    </row>
    <row r="2022" spans="1:23" x14ac:dyDescent="0.45">
      <c r="A2022" s="7">
        <v>2016</v>
      </c>
      <c r="B2022" s="5" t="s">
        <v>4043</v>
      </c>
      <c r="C2022" s="6" t="s">
        <v>4044</v>
      </c>
      <c r="D2022" s="6" t="s">
        <v>21</v>
      </c>
      <c r="E2022" s="8">
        <v>12911651495968</v>
      </c>
      <c r="F2022" s="8">
        <v>6896280690828</v>
      </c>
      <c r="G2022" s="8">
        <v>3269173905414</v>
      </c>
      <c r="H2022" s="8">
        <v>76330105485</v>
      </c>
      <c r="I2022" s="8">
        <v>404601321732</v>
      </c>
      <c r="J2022" s="8"/>
      <c r="K2022" s="8">
        <v>7554329599588</v>
      </c>
      <c r="L2022" s="8">
        <v>1214945629097</v>
      </c>
      <c r="M2022" s="8">
        <v>2902210542640</v>
      </c>
      <c r="N2022" s="8">
        <v>3238074670720</v>
      </c>
      <c r="O2022" s="8">
        <v>3091672358480</v>
      </c>
      <c r="P2022" s="8">
        <v>4107876643440</v>
      </c>
      <c r="Q2022" s="18">
        <f>(Table1[[#This Row],[A. TÀI SẢN NGẮN HẠN]]-Table1[[#This Row],[I. Nợ ngắn hạn]])/Table1[[#This Row],[TỔNG CỘNG TÀI SẢN]]</f>
        <v>0.28091733939276931</v>
      </c>
      <c r="R2022" s="18">
        <f>Table1[[#This Row],[- LNST chưa phân phối kỳ này]]/Table1[[#This Row],[TỔNG CỘNG TÀI SẢN]]</f>
        <v>5.9117228736258924E-3</v>
      </c>
      <c r="S2022" s="21">
        <f>Table1[[#This Row],[5. Lợi nhuận gộp về bán hàng và cung cấp dịch vụ]]/Table1[[#This Row],[TỔNG CỘNG TÀI SẢN]]</f>
        <v>3.1336140218650367E-2</v>
      </c>
      <c r="T202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0.44146320462399241</v>
      </c>
      <c r="U2022" s="23">
        <f>Table1[[#This Row],[1. Doanh thu bán hàng và cung cấp dịch vụ ]]/Table1[[#This Row],[TỔNG CỘNG TÀI SẢN]]</f>
        <v>9.409684187002712E-2</v>
      </c>
      <c r="V2022" s="23">
        <f>1.2*Table1[[#This Row],[X1]] + 1.4*Table1[[#This Row],[X2]] + 3.3*Table1[[#This Row],[x3]] + 0.6*Table1[[#This Row],[x4]] + 1*Table1[[#This Row],[x5]]</f>
        <v>0.80776124666036819</v>
      </c>
      <c r="W2022" s="23">
        <f>IF(Table1[[#This Row],[Zscore]]&lt;1.81,1,0)</f>
        <v>1</v>
      </c>
    </row>
    <row r="2023" spans="1:23" x14ac:dyDescent="0.45">
      <c r="A2023" s="7">
        <v>2017</v>
      </c>
      <c r="B2023" s="5" t="s">
        <v>4045</v>
      </c>
      <c r="C2023" s="6" t="s">
        <v>4046</v>
      </c>
      <c r="D2023" s="6" t="s">
        <v>21</v>
      </c>
      <c r="E2023" s="8">
        <v>2165877347046</v>
      </c>
      <c r="F2023" s="8">
        <v>1693959725464</v>
      </c>
      <c r="G2023" s="8">
        <v>600266397451</v>
      </c>
      <c r="H2023" s="8">
        <v>526236698605</v>
      </c>
      <c r="I2023" s="8">
        <v>938752523412</v>
      </c>
      <c r="J2023" s="8"/>
      <c r="K2023" s="8">
        <v>604218648441</v>
      </c>
      <c r="L2023" s="8">
        <v>1196643419789</v>
      </c>
      <c r="M2023" s="8">
        <v>6547201758000</v>
      </c>
      <c r="N2023" s="8">
        <v>5246756874800</v>
      </c>
      <c r="O2023" s="8">
        <v>6859573190400</v>
      </c>
      <c r="P2023" s="8">
        <v>6328772884000</v>
      </c>
      <c r="Q2023" s="18">
        <f>(Table1[[#This Row],[A. TÀI SẢN NGẮN HẠN]]-Table1[[#This Row],[I. Nợ ngắn hạn]])/Table1[[#This Row],[TỔNG CỘNG TÀI SẢN]]</f>
        <v>0.5049654956245182</v>
      </c>
      <c r="R2023" s="18">
        <f>Table1[[#This Row],[- LNST chưa phân phối kỳ này]]/Table1[[#This Row],[TỔNG CỘNG TÀI SẢN]]</f>
        <v>0.24296698948475753</v>
      </c>
      <c r="S2023" s="21">
        <f>Table1[[#This Row],[5. Lợi nhuận gộp về bán hàng và cung cấp dịch vụ]]/Table1[[#This Row],[TỔNG CỘNG TÀI SẢN]]</f>
        <v>0.43342829393933463</v>
      </c>
      <c r="T202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10.336616046053502</v>
      </c>
      <c r="U2023" s="23">
        <f>Table1[[#This Row],[1. Doanh thu bán hàng và cung cấp dịch vụ ]]/Table1[[#This Row],[TỔNG CỘNG TÀI SẢN]]</f>
        <v>0.55249823884121596</v>
      </c>
      <c r="V2023" s="23">
        <f>1.2*Table1[[#This Row],[X1]] + 1.4*Table1[[#This Row],[X2]] + 3.3*Table1[[#This Row],[x3]] + 0.6*Table1[[#This Row],[x4]] + 1*Table1[[#This Row],[x5]]</f>
        <v>9.1308936165012025</v>
      </c>
      <c r="W2023" s="23">
        <f>IF(Table1[[#This Row],[Zscore]]&lt;1.81,1,0)</f>
        <v>0</v>
      </c>
    </row>
    <row r="2024" spans="1:23" hidden="1" x14ac:dyDescent="0.45">
      <c r="A2024" s="7">
        <v>2018</v>
      </c>
      <c r="B2024" s="5" t="s">
        <v>4047</v>
      </c>
      <c r="C2024" s="6" t="s">
        <v>4048</v>
      </c>
      <c r="D2024" s="6" t="s">
        <v>13</v>
      </c>
      <c r="E2024" s="6"/>
      <c r="F2024" s="6"/>
      <c r="G2024" s="6"/>
      <c r="H2024" s="6"/>
      <c r="I2024" s="6"/>
      <c r="J2024" s="8"/>
      <c r="K2024" s="6"/>
      <c r="L2024" s="6"/>
      <c r="M2024" s="8"/>
      <c r="N2024" s="8"/>
      <c r="O2024" s="8"/>
      <c r="P2024" s="8"/>
      <c r="Q2024" s="18" t="e">
        <f>(Table1[[#This Row],[A. TÀI SẢN NGẮN HẠN]]-Table1[[#This Row],[I. Nợ ngắn hạn]])/Table1[[#This Row],[TỔNG CỘNG TÀI SẢN]]</f>
        <v>#DIV/0!</v>
      </c>
      <c r="R2024" s="18" t="e">
        <f>Table1[[#This Row],[- LNST chưa phân phối kỳ này]]/Table1[[#This Row],[TỔNG CỘNG TÀI SẢN]]</f>
        <v>#DIV/0!</v>
      </c>
      <c r="S2024" s="21" t="e">
        <f>Table1[[#This Row],[5. Lợi nhuận gộp về bán hàng và cung cấp dịch vụ]]/Table1[[#This Row],[TỔNG CỘNG TÀI SẢN]]</f>
        <v>#DIV/0!</v>
      </c>
      <c r="T202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024" s="23" t="e">
        <f>Table1[[#This Row],[1. Doanh thu bán hàng và cung cấp dịch vụ ]]/Table1[[#This Row],[TỔNG CỘNG TÀI SẢN]]</f>
        <v>#DIV/0!</v>
      </c>
      <c r="V2024" s="23" t="e">
        <f>1.2*Table1[[#This Row],[X1]] + 1.4*Table1[[#This Row],[X2]] + 3.3*Table1[[#This Row],[x3]] + 0.6*Table1[[#This Row],[x4]] + 1*Table1[[#This Row],[x5]]</f>
        <v>#DIV/0!</v>
      </c>
      <c r="W2024" s="23" t="e">
        <f>IF(Table1[[#This Row],[Zscore]]&lt;1.81,1,0)</f>
        <v>#DIV/0!</v>
      </c>
    </row>
    <row r="2025" spans="1:23" hidden="1" x14ac:dyDescent="0.45">
      <c r="A2025" s="7">
        <v>2019</v>
      </c>
      <c r="B2025" s="5" t="s">
        <v>4049</v>
      </c>
      <c r="C2025" s="6" t="s">
        <v>4050</v>
      </c>
      <c r="D2025" s="6" t="s">
        <v>13</v>
      </c>
      <c r="E2025" s="6"/>
      <c r="F2025" s="6"/>
      <c r="G2025" s="6"/>
      <c r="H2025" s="6"/>
      <c r="I2025" s="6"/>
      <c r="J2025" s="8"/>
      <c r="K2025" s="6"/>
      <c r="L2025" s="6"/>
      <c r="M2025" s="8">
        <v>1010093493800</v>
      </c>
      <c r="N2025" s="8"/>
      <c r="O2025" s="8"/>
      <c r="P2025" s="8"/>
      <c r="Q2025" s="18" t="e">
        <f>(Table1[[#This Row],[A. TÀI SẢN NGẮN HẠN]]-Table1[[#This Row],[I. Nợ ngắn hạn]])/Table1[[#This Row],[TỔNG CỘNG TÀI SẢN]]</f>
        <v>#DIV/0!</v>
      </c>
      <c r="R2025" s="18" t="e">
        <f>Table1[[#This Row],[- LNST chưa phân phối kỳ này]]/Table1[[#This Row],[TỔNG CỘNG TÀI SẢN]]</f>
        <v>#DIV/0!</v>
      </c>
      <c r="S2025" s="21" t="e">
        <f>Table1[[#This Row],[5. Lợi nhuận gộp về bán hàng và cung cấp dịch vụ]]/Table1[[#This Row],[TỔNG CỘNG TÀI SẢN]]</f>
        <v>#DIV/0!</v>
      </c>
      <c r="T202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025" s="23" t="e">
        <f>Table1[[#This Row],[1. Doanh thu bán hàng và cung cấp dịch vụ ]]/Table1[[#This Row],[TỔNG CỘNG TÀI SẢN]]</f>
        <v>#DIV/0!</v>
      </c>
      <c r="V2025" s="23" t="e">
        <f>1.2*Table1[[#This Row],[X1]] + 1.4*Table1[[#This Row],[X2]] + 3.3*Table1[[#This Row],[x3]] + 0.6*Table1[[#This Row],[x4]] + 1*Table1[[#This Row],[x5]]</f>
        <v>#DIV/0!</v>
      </c>
      <c r="W2025" s="23" t="e">
        <f>IF(Table1[[#This Row],[Zscore]]&lt;1.81,1,0)</f>
        <v>#DIV/0!</v>
      </c>
    </row>
    <row r="2026" spans="1:23" hidden="1" x14ac:dyDescent="0.45">
      <c r="A2026" s="7">
        <v>2020</v>
      </c>
      <c r="B2026" s="5" t="s">
        <v>4051</v>
      </c>
      <c r="C2026" s="6" t="s">
        <v>4052</v>
      </c>
      <c r="D2026" s="6" t="s">
        <v>13</v>
      </c>
      <c r="E2026" s="6"/>
      <c r="F2026" s="6"/>
      <c r="G2026" s="6"/>
      <c r="H2026" s="6"/>
      <c r="I2026" s="6"/>
      <c r="J2026" s="8"/>
      <c r="K2026" s="6"/>
      <c r="L2026" s="6"/>
      <c r="M2026" s="8"/>
      <c r="N2026" s="8"/>
      <c r="O2026" s="8"/>
      <c r="P2026" s="8"/>
      <c r="Q2026" s="18" t="e">
        <f>(Table1[[#This Row],[A. TÀI SẢN NGẮN HẠN]]-Table1[[#This Row],[I. Nợ ngắn hạn]])/Table1[[#This Row],[TỔNG CỘNG TÀI SẢN]]</f>
        <v>#DIV/0!</v>
      </c>
      <c r="R2026" s="18" t="e">
        <f>Table1[[#This Row],[- LNST chưa phân phối kỳ này]]/Table1[[#This Row],[TỔNG CỘNG TÀI SẢN]]</f>
        <v>#DIV/0!</v>
      </c>
      <c r="S2026" s="21" t="e">
        <f>Table1[[#This Row],[5. Lợi nhuận gộp về bán hàng và cung cấp dịch vụ]]/Table1[[#This Row],[TỔNG CỘNG TÀI SẢN]]</f>
        <v>#DIV/0!</v>
      </c>
      <c r="T202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026" s="23" t="e">
        <f>Table1[[#This Row],[1. Doanh thu bán hàng và cung cấp dịch vụ ]]/Table1[[#This Row],[TỔNG CỘNG TÀI SẢN]]</f>
        <v>#DIV/0!</v>
      </c>
      <c r="V2026" s="23" t="e">
        <f>1.2*Table1[[#This Row],[X1]] + 1.4*Table1[[#This Row],[X2]] + 3.3*Table1[[#This Row],[x3]] + 0.6*Table1[[#This Row],[x4]] + 1*Table1[[#This Row],[x5]]</f>
        <v>#DIV/0!</v>
      </c>
      <c r="W2026" s="23" t="e">
        <f>IF(Table1[[#This Row],[Zscore]]&lt;1.81,1,0)</f>
        <v>#DIV/0!</v>
      </c>
    </row>
    <row r="2027" spans="1:23" x14ac:dyDescent="0.45">
      <c r="A2027" s="7">
        <v>2021</v>
      </c>
      <c r="B2027" s="5" t="s">
        <v>4053</v>
      </c>
      <c r="C2027" s="6" t="s">
        <v>4054</v>
      </c>
      <c r="D2027" s="6" t="s">
        <v>18</v>
      </c>
      <c r="E2027" s="8">
        <v>222847566217</v>
      </c>
      <c r="F2027" s="8">
        <v>215938917622</v>
      </c>
      <c r="G2027" s="8">
        <v>141621025191</v>
      </c>
      <c r="H2027" s="8">
        <v>7572788081</v>
      </c>
      <c r="I2027" s="8">
        <v>17600229349</v>
      </c>
      <c r="J2027" s="8"/>
      <c r="K2027" s="8">
        <v>141621025191</v>
      </c>
      <c r="L2027" s="8">
        <v>104497142807</v>
      </c>
      <c r="M2027" s="8">
        <v>77887094400</v>
      </c>
      <c r="N2027" s="8">
        <v>53367083200</v>
      </c>
      <c r="O2027" s="8">
        <v>56251790400</v>
      </c>
      <c r="P2027" s="8">
        <v>59136497600</v>
      </c>
      <c r="Q2027" s="18">
        <f>(Table1[[#This Row],[A. TÀI SẢN NGẮN HẠN]]-Table1[[#This Row],[I. Nợ ngắn hạn]])/Table1[[#This Row],[TỔNG CỘNG TÀI SẢN]]</f>
        <v>0.33349205330172743</v>
      </c>
      <c r="R2027" s="18">
        <f>Table1[[#This Row],[- LNST chưa phân phối kỳ này]]/Table1[[#This Row],[TỔNG CỘNG TÀI SẢN]]</f>
        <v>3.3981919612377204E-2</v>
      </c>
      <c r="S2027" s="21">
        <f>Table1[[#This Row],[5. Lợi nhuận gộp về bán hàng và cung cấp dịch vụ]]/Table1[[#This Row],[TỔNG CỘNG TÀI SẢN]]</f>
        <v>7.8978781988857827E-2</v>
      </c>
      <c r="T202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0.43539168225085356</v>
      </c>
      <c r="U2027" s="23">
        <f>Table1[[#This Row],[1. Doanh thu bán hàng và cung cấp dịch vụ ]]/Table1[[#This Row],[TỔNG CỘNG TÀI SẢN]]</f>
        <v>0.46891758604733824</v>
      </c>
      <c r="V2027" s="23">
        <f>1.2*Table1[[#This Row],[X1]] + 1.4*Table1[[#This Row],[X2]] + 3.3*Table1[[#This Row],[x3]] + 0.6*Table1[[#This Row],[x4]] + 1*Table1[[#This Row],[x5]]</f>
        <v>1.4385477273804823</v>
      </c>
      <c r="W2027" s="23">
        <f>IF(Table1[[#This Row],[Zscore]]&lt;1.81,1,0)</f>
        <v>1</v>
      </c>
    </row>
    <row r="2028" spans="1:23" x14ac:dyDescent="0.45">
      <c r="A2028" s="7">
        <v>2022</v>
      </c>
      <c r="B2028" s="5" t="s">
        <v>4055</v>
      </c>
      <c r="C2028" s="6" t="s">
        <v>4056</v>
      </c>
      <c r="D2028" s="6" t="s">
        <v>18</v>
      </c>
      <c r="E2028" s="8">
        <v>974588881405</v>
      </c>
      <c r="F2028" s="8">
        <v>366464949391</v>
      </c>
      <c r="G2028" s="8">
        <v>490930760655</v>
      </c>
      <c r="H2028" s="8">
        <v>29262121751</v>
      </c>
      <c r="I2028" s="8">
        <v>108456724780</v>
      </c>
      <c r="J2028" s="8"/>
      <c r="K2028" s="8">
        <v>892314771968</v>
      </c>
      <c r="L2028" s="8">
        <v>169403953594</v>
      </c>
      <c r="M2028" s="8">
        <v>94396200400</v>
      </c>
      <c r="N2028" s="8">
        <v>115195363200</v>
      </c>
      <c r="O2028" s="8">
        <v>105595749600</v>
      </c>
      <c r="P2028" s="8">
        <v>108795620800</v>
      </c>
      <c r="Q2028" s="18">
        <f>(Table1[[#This Row],[A. TÀI SẢN NGẮN HẠN]]-Table1[[#This Row],[I. Nợ ngắn hạn]])/Table1[[#This Row],[TỔNG CỘNG TÀI SẢN]]</f>
        <v>-0.12771109299396677</v>
      </c>
      <c r="R2028" s="18">
        <f>Table1[[#This Row],[- LNST chưa phân phối kỳ này]]/Table1[[#This Row],[TỔNG CỘNG TÀI SẢN]]</f>
        <v>3.0025092948746494E-2</v>
      </c>
      <c r="S2028" s="21">
        <f>Table1[[#This Row],[5. Lợi nhuận gộp về bán hàng và cung cấp dịch vụ]]/Table1[[#This Row],[TỔNG CỘNG TÀI SẢN]]</f>
        <v>0.11128459071238854</v>
      </c>
      <c r="T202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0.11878737955466817</v>
      </c>
      <c r="U2028" s="23">
        <f>Table1[[#This Row],[1. Doanh thu bán hàng và cung cấp dịch vụ ]]/Table1[[#This Row],[TỔNG CỘNG TÀI SẢN]]</f>
        <v>0.17382093806547597</v>
      </c>
      <c r="V2028" s="23">
        <f>1.2*Table1[[#This Row],[X1]] + 1.4*Table1[[#This Row],[X2]] + 3.3*Table1[[#This Row],[x3]] + 0.6*Table1[[#This Row],[x4]] + 1*Table1[[#This Row],[x5]]</f>
        <v>0.50111433368464398</v>
      </c>
      <c r="W2028" s="23">
        <f>IF(Table1[[#This Row],[Zscore]]&lt;1.81,1,0)</f>
        <v>1</v>
      </c>
    </row>
    <row r="2029" spans="1:23" x14ac:dyDescent="0.45">
      <c r="A2029" s="7">
        <v>2023</v>
      </c>
      <c r="B2029" s="5" t="s">
        <v>4057</v>
      </c>
      <c r="C2029" s="6" t="s">
        <v>4058</v>
      </c>
      <c r="D2029" s="6" t="s">
        <v>18</v>
      </c>
      <c r="E2029" s="8">
        <v>624246942063</v>
      </c>
      <c r="F2029" s="8">
        <v>566429256499</v>
      </c>
      <c r="G2029" s="8">
        <v>587484147738</v>
      </c>
      <c r="H2029" s="8">
        <v>-5438916705</v>
      </c>
      <c r="I2029" s="8">
        <v>33174048512</v>
      </c>
      <c r="J2029" s="8"/>
      <c r="K2029" s="8">
        <v>637463706468</v>
      </c>
      <c r="L2029" s="8">
        <v>116960552764</v>
      </c>
      <c r="M2029" s="8">
        <v>29870000000</v>
      </c>
      <c r="N2029" s="8">
        <v>18540000000</v>
      </c>
      <c r="O2029" s="8">
        <v>21630000000</v>
      </c>
      <c r="P2029" s="8">
        <v>23690000000</v>
      </c>
      <c r="Q2029" s="18">
        <f>(Table1[[#This Row],[A. TÀI SẢN NGẮN HẠN]]-Table1[[#This Row],[I. Nợ ngắn hạn]])/Table1[[#This Row],[TỔNG CỘNG TÀI SẢN]]</f>
        <v>-3.3728465163831121E-2</v>
      </c>
      <c r="R2029" s="18">
        <f>Table1[[#This Row],[- LNST chưa phân phối kỳ này]]/Table1[[#This Row],[TỔNG CỘNG TÀI SẢN]]</f>
        <v>-8.7127646745462084E-3</v>
      </c>
      <c r="S2029" s="21">
        <f>Table1[[#This Row],[5. Lợi nhuận gộp về bán hàng và cung cấp dịch vụ]]/Table1[[#This Row],[TỔNG CỘNG TÀI SẢN]]</f>
        <v>5.3142508639877364E-2</v>
      </c>
      <c r="T202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3.675895547031631E-2</v>
      </c>
      <c r="U2029" s="23">
        <f>Table1[[#This Row],[1. Doanh thu bán hàng và cung cấp dịch vụ ]]/Table1[[#This Row],[TỔNG CỘNG TÀI SẢN]]</f>
        <v>0.18736263629497468</v>
      </c>
      <c r="V2029" s="23">
        <f>1.2*Table1[[#This Row],[X1]] + 1.4*Table1[[#This Row],[X2]] + 3.3*Table1[[#This Row],[x3]] + 0.6*Table1[[#This Row],[x4]] + 1*Table1[[#This Row],[x5]]</f>
        <v>0.3321162593477977</v>
      </c>
      <c r="W2029" s="23">
        <f>IF(Table1[[#This Row],[Zscore]]&lt;1.81,1,0)</f>
        <v>1</v>
      </c>
    </row>
    <row r="2030" spans="1:23" x14ac:dyDescent="0.45">
      <c r="A2030" s="7">
        <v>2024</v>
      </c>
      <c r="B2030" s="5" t="s">
        <v>4059</v>
      </c>
      <c r="C2030" s="6" t="s">
        <v>4060</v>
      </c>
      <c r="D2030" s="6" t="s">
        <v>36</v>
      </c>
      <c r="E2030" s="8">
        <v>1388358412576</v>
      </c>
      <c r="F2030" s="8">
        <v>991460735445</v>
      </c>
      <c r="G2030" s="8">
        <v>820812157949</v>
      </c>
      <c r="H2030" s="8">
        <v>23759364007</v>
      </c>
      <c r="I2030" s="8">
        <v>87792754299</v>
      </c>
      <c r="J2030" s="8"/>
      <c r="K2030" s="8">
        <v>906770579765</v>
      </c>
      <c r="L2030" s="8">
        <v>3258783588356</v>
      </c>
      <c r="M2030" s="8">
        <v>213198753600</v>
      </c>
      <c r="N2030" s="8">
        <v>239198601600</v>
      </c>
      <c r="O2030" s="8">
        <v>228798662400</v>
      </c>
      <c r="P2030" s="8">
        <v>257398495200</v>
      </c>
      <c r="Q2030" s="18">
        <f>(Table1[[#This Row],[A. TÀI SẢN NGẮN HẠN]]-Table1[[#This Row],[I. Nợ ngắn hạn]])/Table1[[#This Row],[TỔNG CỘNG TÀI SẢN]]</f>
        <v>0.12291392190246735</v>
      </c>
      <c r="R2030" s="18">
        <f>Table1[[#This Row],[- LNST chưa phân phối kỳ này]]/Table1[[#This Row],[TỔNG CỘNG TÀI SẢN]]</f>
        <v>1.711327838098823E-2</v>
      </c>
      <c r="S2030" s="21">
        <f>Table1[[#This Row],[5. Lợi nhuận gộp về bán hàng và cung cấp dịch vụ]]/Table1[[#This Row],[TỔNG CỘNG TÀI SẢN]]</f>
        <v>6.3234935232687361E-2</v>
      </c>
      <c r="T203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0.25877397594969598</v>
      </c>
      <c r="U2030" s="23">
        <f>Table1[[#This Row],[1. Doanh thu bán hàng và cung cấp dịch vụ ]]/Table1[[#This Row],[TỔNG CỘNG TÀI SẢN]]</f>
        <v>2.3472206879991164</v>
      </c>
      <c r="V2030" s="23">
        <f>1.2*Table1[[#This Row],[X1]] + 1.4*Table1[[#This Row],[X2]] + 3.3*Table1[[#This Row],[x3]] + 0.6*Table1[[#This Row],[x4]] + 1*Table1[[#This Row],[x5]]</f>
        <v>2.8826156558531464</v>
      </c>
      <c r="W2030" s="23">
        <f>IF(Table1[[#This Row],[Zscore]]&lt;1.81,1,0)</f>
        <v>0</v>
      </c>
    </row>
    <row r="2031" spans="1:23" x14ac:dyDescent="0.45">
      <c r="A2031" s="7">
        <v>2025</v>
      </c>
      <c r="B2031" s="5" t="s">
        <v>4061</v>
      </c>
      <c r="C2031" s="6" t="s">
        <v>4062</v>
      </c>
      <c r="D2031" s="6" t="s">
        <v>18</v>
      </c>
      <c r="E2031" s="8">
        <v>721694221051</v>
      </c>
      <c r="F2031" s="8">
        <v>661484675011</v>
      </c>
      <c r="G2031" s="8">
        <v>607871609421</v>
      </c>
      <c r="H2031" s="8">
        <v>-67046947984</v>
      </c>
      <c r="I2031" s="8">
        <v>-30464060997</v>
      </c>
      <c r="J2031" s="8"/>
      <c r="K2031" s="8">
        <v>607951609421</v>
      </c>
      <c r="L2031" s="8">
        <v>35786613330</v>
      </c>
      <c r="M2031" s="8">
        <v>118223477400</v>
      </c>
      <c r="N2031" s="8">
        <v>79974705300</v>
      </c>
      <c r="O2031" s="8">
        <v>79974705300</v>
      </c>
      <c r="P2031" s="8">
        <v>83451866400</v>
      </c>
      <c r="Q2031" s="18">
        <f>(Table1[[#This Row],[A. TÀI SẢN NGẮN HẠN]]-Table1[[#This Row],[I. Nợ ngắn hạn]])/Table1[[#This Row],[TỔNG CỘNG TÀI SẢN]]</f>
        <v>7.4287785638526435E-2</v>
      </c>
      <c r="R2031" s="18">
        <f>Table1[[#This Row],[- LNST chưa phân phối kỳ này]]/Table1[[#This Row],[TỔNG CỘNG TÀI SẢN]]</f>
        <v>-9.2902154442029247E-2</v>
      </c>
      <c r="S2031" s="21">
        <f>Table1[[#This Row],[5. Lợi nhuận gộp về bán hàng và cung cấp dịch vụ]]/Table1[[#This Row],[TỔNG CỘNG TÀI SẢN]]</f>
        <v>-4.2211867725136173E-2</v>
      </c>
      <c r="T203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0.1487062246386697</v>
      </c>
      <c r="U2031" s="23">
        <f>Table1[[#This Row],[1. Doanh thu bán hàng và cung cấp dịch vụ ]]/Table1[[#This Row],[TỔNG CỘNG TÀI SẢN]]</f>
        <v>4.9586947333295973E-2</v>
      </c>
      <c r="V2031" s="23">
        <f>1.2*Table1[[#This Row],[X1]] + 1.4*Table1[[#This Row],[X2]] + 3.3*Table1[[#This Row],[x3]] + 0.6*Table1[[#This Row],[x4]] + 1*Table1[[#This Row],[x5]]</f>
        <v>-4.1406154829060772E-2</v>
      </c>
      <c r="W2031" s="23">
        <f>IF(Table1[[#This Row],[Zscore]]&lt;1.81,1,0)</f>
        <v>1</v>
      </c>
    </row>
    <row r="2032" spans="1:23" hidden="1" x14ac:dyDescent="0.45">
      <c r="A2032" s="7">
        <v>2026</v>
      </c>
      <c r="B2032" s="5" t="s">
        <v>4063</v>
      </c>
      <c r="C2032" s="6" t="s">
        <v>4064</v>
      </c>
      <c r="D2032" s="6" t="s">
        <v>18</v>
      </c>
      <c r="E2032" s="6"/>
      <c r="F2032" s="6"/>
      <c r="G2032" s="6"/>
      <c r="H2032" s="6"/>
      <c r="I2032" s="6"/>
      <c r="J2032" s="8"/>
      <c r="K2032" s="6"/>
      <c r="L2032" s="6"/>
      <c r="M2032" s="8"/>
      <c r="N2032" s="8"/>
      <c r="O2032" s="8"/>
      <c r="P2032" s="8"/>
      <c r="Q2032" s="18" t="e">
        <f>(Table1[[#This Row],[A. TÀI SẢN NGẮN HẠN]]-Table1[[#This Row],[I. Nợ ngắn hạn]])/Table1[[#This Row],[TỔNG CỘNG TÀI SẢN]]</f>
        <v>#DIV/0!</v>
      </c>
      <c r="R2032" s="18" t="e">
        <f>Table1[[#This Row],[- LNST chưa phân phối kỳ này]]/Table1[[#This Row],[TỔNG CỘNG TÀI SẢN]]</f>
        <v>#DIV/0!</v>
      </c>
      <c r="S2032" s="21" t="e">
        <f>Table1[[#This Row],[5. Lợi nhuận gộp về bán hàng và cung cấp dịch vụ]]/Table1[[#This Row],[TỔNG CỘNG TÀI SẢN]]</f>
        <v>#DIV/0!</v>
      </c>
      <c r="T203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032" s="23" t="e">
        <f>Table1[[#This Row],[1. Doanh thu bán hàng và cung cấp dịch vụ ]]/Table1[[#This Row],[TỔNG CỘNG TÀI SẢN]]</f>
        <v>#DIV/0!</v>
      </c>
      <c r="V2032" s="23" t="e">
        <f>1.2*Table1[[#This Row],[X1]] + 1.4*Table1[[#This Row],[X2]] + 3.3*Table1[[#This Row],[x3]] + 0.6*Table1[[#This Row],[x4]] + 1*Table1[[#This Row],[x5]]</f>
        <v>#DIV/0!</v>
      </c>
      <c r="W2032" s="23" t="e">
        <f>IF(Table1[[#This Row],[Zscore]]&lt;1.81,1,0)</f>
        <v>#DIV/0!</v>
      </c>
    </row>
    <row r="2033" spans="1:23" hidden="1" x14ac:dyDescent="0.45">
      <c r="A2033" s="7">
        <v>2027</v>
      </c>
      <c r="B2033" s="5" t="s">
        <v>4065</v>
      </c>
      <c r="C2033" s="6" t="s">
        <v>4066</v>
      </c>
      <c r="D2033" s="6" t="s">
        <v>18</v>
      </c>
      <c r="E2033" s="6"/>
      <c r="F2033" s="6"/>
      <c r="G2033" s="6"/>
      <c r="H2033" s="6"/>
      <c r="I2033" s="6"/>
      <c r="J2033" s="8"/>
      <c r="K2033" s="6"/>
      <c r="L2033" s="6"/>
      <c r="M2033" s="8"/>
      <c r="N2033" s="8"/>
      <c r="O2033" s="8"/>
      <c r="P2033" s="8"/>
      <c r="Q2033" s="18" t="e">
        <f>(Table1[[#This Row],[A. TÀI SẢN NGẮN HẠN]]-Table1[[#This Row],[I. Nợ ngắn hạn]])/Table1[[#This Row],[TỔNG CỘNG TÀI SẢN]]</f>
        <v>#DIV/0!</v>
      </c>
      <c r="R2033" s="18" t="e">
        <f>Table1[[#This Row],[- LNST chưa phân phối kỳ này]]/Table1[[#This Row],[TỔNG CỘNG TÀI SẢN]]</f>
        <v>#DIV/0!</v>
      </c>
      <c r="S2033" s="21" t="e">
        <f>Table1[[#This Row],[5. Lợi nhuận gộp về bán hàng và cung cấp dịch vụ]]/Table1[[#This Row],[TỔNG CỘNG TÀI SẢN]]</f>
        <v>#DIV/0!</v>
      </c>
      <c r="T203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033" s="23" t="e">
        <f>Table1[[#This Row],[1. Doanh thu bán hàng và cung cấp dịch vụ ]]/Table1[[#This Row],[TỔNG CỘNG TÀI SẢN]]</f>
        <v>#DIV/0!</v>
      </c>
      <c r="V2033" s="23" t="e">
        <f>1.2*Table1[[#This Row],[X1]] + 1.4*Table1[[#This Row],[X2]] + 3.3*Table1[[#This Row],[x3]] + 0.6*Table1[[#This Row],[x4]] + 1*Table1[[#This Row],[x5]]</f>
        <v>#DIV/0!</v>
      </c>
      <c r="W2033" s="23" t="e">
        <f>IF(Table1[[#This Row],[Zscore]]&lt;1.81,1,0)</f>
        <v>#DIV/0!</v>
      </c>
    </row>
    <row r="2034" spans="1:23" x14ac:dyDescent="0.45">
      <c r="A2034" s="7">
        <v>2028</v>
      </c>
      <c r="B2034" s="5" t="s">
        <v>4067</v>
      </c>
      <c r="C2034" s="6" t="s">
        <v>4068</v>
      </c>
      <c r="D2034" s="6" t="s">
        <v>36</v>
      </c>
      <c r="E2034" s="8">
        <v>1678156758185</v>
      </c>
      <c r="F2034" s="8">
        <v>737245682159</v>
      </c>
      <c r="G2034" s="8">
        <v>475423812820</v>
      </c>
      <c r="H2034" s="8">
        <v>31055550280</v>
      </c>
      <c r="I2034" s="8">
        <v>172397716134</v>
      </c>
      <c r="J2034" s="8"/>
      <c r="K2034" s="8">
        <v>827026915155</v>
      </c>
      <c r="L2034" s="8">
        <v>487723830258</v>
      </c>
      <c r="M2034" s="8">
        <v>421078200000</v>
      </c>
      <c r="N2034" s="8">
        <v>386844200000</v>
      </c>
      <c r="O2034" s="8">
        <v>400537800000</v>
      </c>
      <c r="P2034" s="8">
        <v>417654800000</v>
      </c>
      <c r="Q2034" s="18">
        <f>(Table1[[#This Row],[A. TÀI SẢN NGẮN HẠN]]-Table1[[#This Row],[I. Nợ ngắn hạn]])/Table1[[#This Row],[TỔNG CỘNG TÀI SẢN]]</f>
        <v>0.15601752819693185</v>
      </c>
      <c r="R2034" s="18">
        <f>Table1[[#This Row],[- LNST chưa phân phối kỳ này]]/Table1[[#This Row],[TỔNG CỘNG TÀI SẢN]]</f>
        <v>1.8505750507829755E-2</v>
      </c>
      <c r="S2034" s="21">
        <f>Table1[[#This Row],[5. Lợi nhuận gộp về bán hàng và cung cấp dịch vụ]]/Table1[[#This Row],[TỔNG CỘNG TÀI SẢN]]</f>
        <v>0.10273040065723996</v>
      </c>
      <c r="T203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0.49155443740764965</v>
      </c>
      <c r="U2034" s="23">
        <f>Table1[[#This Row],[1. Doanh thu bán hàng và cung cấp dịch vụ ]]/Table1[[#This Row],[TỔNG CỘNG TÀI SẢN]]</f>
        <v>0.29063067432716755</v>
      </c>
      <c r="V2034" s="23">
        <f>1.2*Table1[[#This Row],[X1]] + 1.4*Table1[[#This Row],[X2]] + 3.3*Table1[[#This Row],[x3]] + 0.6*Table1[[#This Row],[x4]] + 1*Table1[[#This Row],[x5]]</f>
        <v>1.137702743487929</v>
      </c>
      <c r="W2034" s="23">
        <f>IF(Table1[[#This Row],[Zscore]]&lt;1.81,1,0)</f>
        <v>1</v>
      </c>
    </row>
    <row r="2035" spans="1:23" x14ac:dyDescent="0.45">
      <c r="A2035" s="7">
        <v>2029</v>
      </c>
      <c r="B2035" s="5" t="s">
        <v>4069</v>
      </c>
      <c r="C2035" s="6" t="s">
        <v>4070</v>
      </c>
      <c r="D2035" s="6" t="s">
        <v>36</v>
      </c>
      <c r="E2035" s="8">
        <v>155952051472</v>
      </c>
      <c r="F2035" s="8">
        <v>33001493057</v>
      </c>
      <c r="G2035" s="8">
        <v>50878963650</v>
      </c>
      <c r="H2035" s="8">
        <v>2582805880</v>
      </c>
      <c r="I2035" s="8">
        <v>1849307838</v>
      </c>
      <c r="J2035" s="8"/>
      <c r="K2035" s="8">
        <v>66989339749</v>
      </c>
      <c r="L2035" s="8">
        <v>21467867808</v>
      </c>
      <c r="M2035" s="8">
        <v>123168153000</v>
      </c>
      <c r="N2035" s="8">
        <v>60273777000</v>
      </c>
      <c r="O2035" s="8">
        <v>73376772000</v>
      </c>
      <c r="P2035" s="8">
        <v>83859168000</v>
      </c>
      <c r="Q2035" s="18">
        <f>(Table1[[#This Row],[A. TÀI SẢN NGẮN HẠN]]-Table1[[#This Row],[I. Nợ ngắn hạn]])/Table1[[#This Row],[TỔNG CỘNG TÀI SẢN]]</f>
        <v>-0.11463440476901815</v>
      </c>
      <c r="R2035" s="18">
        <f>Table1[[#This Row],[- LNST chưa phân phối kỳ này]]/Table1[[#This Row],[TỔNG CỘNG TÀI SẢN]]</f>
        <v>1.6561538342211055E-2</v>
      </c>
      <c r="S2035" s="21">
        <f>Table1[[#This Row],[5. Lợi nhuận gộp về bán hàng và cung cấp dịch vụ]]/Table1[[#This Row],[TỔNG CỘNG TÀI SẢN]]</f>
        <v>1.1858182181925508E-2</v>
      </c>
      <c r="T203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1.2713883704350346</v>
      </c>
      <c r="U2035" s="23">
        <f>Table1[[#This Row],[1. Doanh thu bán hàng và cung cấp dịch vụ ]]/Table1[[#This Row],[TỔNG CỘNG TÀI SẢN]]</f>
        <v>0.13765684776422701</v>
      </c>
      <c r="V2035" s="23">
        <f>1.2*Table1[[#This Row],[X1]] + 1.4*Table1[[#This Row],[X2]] + 3.3*Table1[[#This Row],[x3]] + 0.6*Table1[[#This Row],[x4]] + 1*Table1[[#This Row],[x5]]</f>
        <v>0.82524673918187563</v>
      </c>
      <c r="W2035" s="23">
        <f>IF(Table1[[#This Row],[Zscore]]&lt;1.81,1,0)</f>
        <v>1</v>
      </c>
    </row>
    <row r="2036" spans="1:23" hidden="1" x14ac:dyDescent="0.45">
      <c r="A2036" s="7">
        <v>2030</v>
      </c>
      <c r="B2036" s="5" t="s">
        <v>4071</v>
      </c>
      <c r="C2036" s="6" t="s">
        <v>4072</v>
      </c>
      <c r="D2036" s="6" t="s">
        <v>13</v>
      </c>
      <c r="E2036" s="6"/>
      <c r="F2036" s="6"/>
      <c r="G2036" s="6"/>
      <c r="H2036" s="6"/>
      <c r="I2036" s="6"/>
      <c r="J2036" s="8"/>
      <c r="K2036" s="6"/>
      <c r="L2036" s="6"/>
      <c r="M2036" s="8"/>
      <c r="N2036" s="8"/>
      <c r="O2036" s="8"/>
      <c r="P2036" s="8"/>
      <c r="Q2036" s="18" t="e">
        <f>(Table1[[#This Row],[A. TÀI SẢN NGẮN HẠN]]-Table1[[#This Row],[I. Nợ ngắn hạn]])/Table1[[#This Row],[TỔNG CỘNG TÀI SẢN]]</f>
        <v>#DIV/0!</v>
      </c>
      <c r="R2036" s="18" t="e">
        <f>Table1[[#This Row],[- LNST chưa phân phối kỳ này]]/Table1[[#This Row],[TỔNG CỘNG TÀI SẢN]]</f>
        <v>#DIV/0!</v>
      </c>
      <c r="S2036" s="21" t="e">
        <f>Table1[[#This Row],[5. Lợi nhuận gộp về bán hàng và cung cấp dịch vụ]]/Table1[[#This Row],[TỔNG CỘNG TÀI SẢN]]</f>
        <v>#DIV/0!</v>
      </c>
      <c r="T203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036" s="23" t="e">
        <f>Table1[[#This Row],[1. Doanh thu bán hàng và cung cấp dịch vụ ]]/Table1[[#This Row],[TỔNG CỘNG TÀI SẢN]]</f>
        <v>#DIV/0!</v>
      </c>
      <c r="V2036" s="23" t="e">
        <f>1.2*Table1[[#This Row],[X1]] + 1.4*Table1[[#This Row],[X2]] + 3.3*Table1[[#This Row],[x3]] + 0.6*Table1[[#This Row],[x4]] + 1*Table1[[#This Row],[x5]]</f>
        <v>#DIV/0!</v>
      </c>
      <c r="W2036" s="23" t="e">
        <f>IF(Table1[[#This Row],[Zscore]]&lt;1.81,1,0)</f>
        <v>#DIV/0!</v>
      </c>
    </row>
    <row r="2037" spans="1:23" hidden="1" x14ac:dyDescent="0.45">
      <c r="A2037" s="7">
        <v>2031</v>
      </c>
      <c r="B2037" s="5" t="s">
        <v>4073</v>
      </c>
      <c r="C2037" s="6" t="s">
        <v>4074</v>
      </c>
      <c r="D2037" s="6" t="s">
        <v>13</v>
      </c>
      <c r="E2037" s="6"/>
      <c r="F2037" s="6"/>
      <c r="G2037" s="6"/>
      <c r="H2037" s="6"/>
      <c r="I2037" s="6"/>
      <c r="J2037" s="8"/>
      <c r="K2037" s="6"/>
      <c r="L2037" s="6"/>
      <c r="M2037" s="8"/>
      <c r="N2037" s="8"/>
      <c r="O2037" s="8"/>
      <c r="P2037" s="8"/>
      <c r="Q2037" s="18" t="e">
        <f>(Table1[[#This Row],[A. TÀI SẢN NGẮN HẠN]]-Table1[[#This Row],[I. Nợ ngắn hạn]])/Table1[[#This Row],[TỔNG CỘNG TÀI SẢN]]</f>
        <v>#DIV/0!</v>
      </c>
      <c r="R2037" s="18" t="e">
        <f>Table1[[#This Row],[- LNST chưa phân phối kỳ này]]/Table1[[#This Row],[TỔNG CỘNG TÀI SẢN]]</f>
        <v>#DIV/0!</v>
      </c>
      <c r="S2037" s="21" t="e">
        <f>Table1[[#This Row],[5. Lợi nhuận gộp về bán hàng và cung cấp dịch vụ]]/Table1[[#This Row],[TỔNG CỘNG TÀI SẢN]]</f>
        <v>#DIV/0!</v>
      </c>
      <c r="T203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037" s="23" t="e">
        <f>Table1[[#This Row],[1. Doanh thu bán hàng và cung cấp dịch vụ ]]/Table1[[#This Row],[TỔNG CỘNG TÀI SẢN]]</f>
        <v>#DIV/0!</v>
      </c>
      <c r="V2037" s="23" t="e">
        <f>1.2*Table1[[#This Row],[X1]] + 1.4*Table1[[#This Row],[X2]] + 3.3*Table1[[#This Row],[x3]] + 0.6*Table1[[#This Row],[x4]] + 1*Table1[[#This Row],[x5]]</f>
        <v>#DIV/0!</v>
      </c>
      <c r="W2037" s="23" t="e">
        <f>IF(Table1[[#This Row],[Zscore]]&lt;1.81,1,0)</f>
        <v>#DIV/0!</v>
      </c>
    </row>
    <row r="2038" spans="1:23" x14ac:dyDescent="0.45">
      <c r="A2038" s="7">
        <v>2032</v>
      </c>
      <c r="B2038" s="5" t="s">
        <v>4075</v>
      </c>
      <c r="C2038" s="6" t="s">
        <v>4076</v>
      </c>
      <c r="D2038" s="6" t="s">
        <v>36</v>
      </c>
      <c r="E2038" s="8">
        <v>96094509410</v>
      </c>
      <c r="F2038" s="8">
        <v>69954860510</v>
      </c>
      <c r="G2038" s="8">
        <v>37413791790</v>
      </c>
      <c r="H2038" s="8">
        <v>2139494104</v>
      </c>
      <c r="I2038" s="8">
        <v>13973711097</v>
      </c>
      <c r="J2038" s="8"/>
      <c r="K2038" s="8">
        <v>43458009574</v>
      </c>
      <c r="L2038" s="8">
        <v>65981351102</v>
      </c>
      <c r="M2038" s="8">
        <v>18789465600</v>
      </c>
      <c r="N2038" s="8">
        <v>19050430400</v>
      </c>
      <c r="O2038" s="8">
        <v>20094289600</v>
      </c>
      <c r="P2038" s="8">
        <v>22182008000</v>
      </c>
      <c r="Q2038" s="18">
        <f>(Table1[[#This Row],[A. TÀI SẢN NGẮN HẠN]]-Table1[[#This Row],[I. Nợ ngắn hạn]])/Table1[[#This Row],[TỔNG CỘNG TÀI SẢN]]</f>
        <v>0.33863608774107168</v>
      </c>
      <c r="R2038" s="18">
        <f>Table1[[#This Row],[- LNST chưa phân phối kỳ này]]/Table1[[#This Row],[TỔNG CỘNG TÀI SẢN]]</f>
        <v>2.2264478138616265E-2</v>
      </c>
      <c r="S2038" s="21">
        <f>Table1[[#This Row],[5. Lợi nhuận gộp về bán hàng và cung cấp dịch vụ]]/Table1[[#This Row],[TỔNG CỘNG TÀI SẢN]]</f>
        <v>0.14541633213797162</v>
      </c>
      <c r="T203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0.46088278308960917</v>
      </c>
      <c r="U2038" s="23">
        <f>Table1[[#This Row],[1. Doanh thu bán hàng và cung cấp dịch vụ ]]/Table1[[#This Row],[TỔNG CỘNG TÀI SẢN]]</f>
        <v>0.686629772159841</v>
      </c>
      <c r="V2038" s="23">
        <f>1.2*Table1[[#This Row],[X1]] + 1.4*Table1[[#This Row],[X2]] + 3.3*Table1[[#This Row],[x3]] + 0.6*Table1[[#This Row],[x4]] + 1*Table1[[#This Row],[x5]]</f>
        <v>1.8805669127522613</v>
      </c>
      <c r="W2038" s="23">
        <f>IF(Table1[[#This Row],[Zscore]]&lt;1.81,1,0)</f>
        <v>0</v>
      </c>
    </row>
    <row r="2039" spans="1:23" x14ac:dyDescent="0.45">
      <c r="A2039" s="7">
        <v>2033</v>
      </c>
      <c r="B2039" s="5" t="s">
        <v>4077</v>
      </c>
      <c r="C2039" s="6" t="s">
        <v>4078</v>
      </c>
      <c r="D2039" s="6" t="s">
        <v>18</v>
      </c>
      <c r="E2039" s="8">
        <v>200313399104</v>
      </c>
      <c r="F2039" s="8">
        <v>2538063390</v>
      </c>
      <c r="G2039" s="8">
        <v>39504688980</v>
      </c>
      <c r="H2039" s="8">
        <v>-11248033762</v>
      </c>
      <c r="I2039" s="8">
        <v>-2220951316</v>
      </c>
      <c r="J2039" s="8"/>
      <c r="K2039" s="8">
        <v>120133688980</v>
      </c>
      <c r="L2039" s="8">
        <v>11323127075</v>
      </c>
      <c r="M2039" s="8">
        <v>24011001000</v>
      </c>
      <c r="N2039" s="8">
        <v>20809534200</v>
      </c>
      <c r="O2039" s="8">
        <v>19208800800</v>
      </c>
      <c r="P2039" s="8">
        <v>17608067400</v>
      </c>
      <c r="Q2039" s="18">
        <f>(Table1[[#This Row],[A. TÀI SẢN NGẮN HẠN]]-Table1[[#This Row],[I. Nợ ngắn hạn]])/Table1[[#This Row],[TỔNG CỘNG TÀI SẢN]]</f>
        <v>-0.18454394840959903</v>
      </c>
      <c r="R2039" s="18">
        <f>Table1[[#This Row],[- LNST chưa phân phối kỳ này]]/Table1[[#This Row],[TỔNG CỘNG TÀI SẢN]]</f>
        <v>-5.6152178597699165E-2</v>
      </c>
      <c r="S2039" s="21">
        <f>Table1[[#This Row],[5. Lợi nhuận gộp về bán hàng và cung cấp dịch vụ]]/Table1[[#This Row],[TỔNG CỘNG TÀI SẢN]]</f>
        <v>-1.108738270097904E-2</v>
      </c>
      <c r="T203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0.16988865507491219</v>
      </c>
      <c r="U2039" s="23">
        <f>Table1[[#This Row],[1. Doanh thu bán hàng và cung cấp dịch vụ ]]/Table1[[#This Row],[TỔNG CỘNG TÀI SẢN]]</f>
        <v>5.6527057728780222E-2</v>
      </c>
      <c r="V2039" s="23">
        <f>1.2*Table1[[#This Row],[X1]] + 1.4*Table1[[#This Row],[X2]] + 3.3*Table1[[#This Row],[x3]] + 0.6*Table1[[#This Row],[x4]] + 1*Table1[[#This Row],[x5]]</f>
        <v>-0.17819390026780094</v>
      </c>
      <c r="W2039" s="23">
        <f>IF(Table1[[#This Row],[Zscore]]&lt;1.81,1,0)</f>
        <v>1</v>
      </c>
    </row>
    <row r="2040" spans="1:23" hidden="1" x14ac:dyDescent="0.45">
      <c r="A2040" s="7">
        <v>2034</v>
      </c>
      <c r="B2040" s="5" t="s">
        <v>4079</v>
      </c>
      <c r="C2040" s="6" t="s">
        <v>4080</v>
      </c>
      <c r="D2040" s="6" t="s">
        <v>13</v>
      </c>
      <c r="E2040" s="6"/>
      <c r="F2040" s="6"/>
      <c r="G2040" s="6"/>
      <c r="H2040" s="6"/>
      <c r="I2040" s="6"/>
      <c r="J2040" s="8"/>
      <c r="K2040" s="6"/>
      <c r="L2040" s="6"/>
      <c r="M2040" s="8"/>
      <c r="N2040" s="8"/>
      <c r="O2040" s="8"/>
      <c r="P2040" s="8"/>
      <c r="Q2040" s="18" t="e">
        <f>(Table1[[#This Row],[A. TÀI SẢN NGẮN HẠN]]-Table1[[#This Row],[I. Nợ ngắn hạn]])/Table1[[#This Row],[TỔNG CỘNG TÀI SẢN]]</f>
        <v>#DIV/0!</v>
      </c>
      <c r="R2040" s="18" t="e">
        <f>Table1[[#This Row],[- LNST chưa phân phối kỳ này]]/Table1[[#This Row],[TỔNG CỘNG TÀI SẢN]]</f>
        <v>#DIV/0!</v>
      </c>
      <c r="S2040" s="21" t="e">
        <f>Table1[[#This Row],[5. Lợi nhuận gộp về bán hàng và cung cấp dịch vụ]]/Table1[[#This Row],[TỔNG CỘNG TÀI SẢN]]</f>
        <v>#DIV/0!</v>
      </c>
      <c r="T204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040" s="23" t="e">
        <f>Table1[[#This Row],[1. Doanh thu bán hàng và cung cấp dịch vụ ]]/Table1[[#This Row],[TỔNG CỘNG TÀI SẢN]]</f>
        <v>#DIV/0!</v>
      </c>
      <c r="V2040" s="23" t="e">
        <f>1.2*Table1[[#This Row],[X1]] + 1.4*Table1[[#This Row],[X2]] + 3.3*Table1[[#This Row],[x3]] + 0.6*Table1[[#This Row],[x4]] + 1*Table1[[#This Row],[x5]]</f>
        <v>#DIV/0!</v>
      </c>
      <c r="W2040" s="23" t="e">
        <f>IF(Table1[[#This Row],[Zscore]]&lt;1.81,1,0)</f>
        <v>#DIV/0!</v>
      </c>
    </row>
    <row r="2041" spans="1:23" x14ac:dyDescent="0.45">
      <c r="A2041" s="7">
        <v>2035</v>
      </c>
      <c r="B2041" s="5" t="s">
        <v>4081</v>
      </c>
      <c r="C2041" s="6" t="s">
        <v>4082</v>
      </c>
      <c r="D2041" s="6" t="s">
        <v>36</v>
      </c>
      <c r="E2041" s="8">
        <v>727837205230</v>
      </c>
      <c r="F2041" s="8">
        <v>373824203620</v>
      </c>
      <c r="G2041" s="8">
        <v>390505148229</v>
      </c>
      <c r="H2041" s="8">
        <v>-45635929337</v>
      </c>
      <c r="I2041" s="8">
        <v>-15807597050</v>
      </c>
      <c r="J2041" s="8"/>
      <c r="K2041" s="8">
        <v>509945720216</v>
      </c>
      <c r="L2041" s="8">
        <v>1077156955472</v>
      </c>
      <c r="M2041" s="8">
        <v>158183953200</v>
      </c>
      <c r="N2041" s="8">
        <v>94301972100</v>
      </c>
      <c r="O2041" s="8">
        <v>158183953200</v>
      </c>
      <c r="P2041" s="8">
        <v>141959958000</v>
      </c>
      <c r="Q2041" s="18">
        <f>(Table1[[#This Row],[A. TÀI SẢN NGẮN HẠN]]-Table1[[#This Row],[I. Nợ ngắn hạn]])/Table1[[#This Row],[TỔNG CỘNG TÀI SẢN]]</f>
        <v>-2.2918510470660458E-2</v>
      </c>
      <c r="R2041" s="18">
        <f>Table1[[#This Row],[- LNST chưa phân phối kỳ này]]/Table1[[#This Row],[TỔNG CỘNG TÀI SẢN]]</f>
        <v>-6.2700737210292554E-2</v>
      </c>
      <c r="S2041" s="21">
        <f>Table1[[#This Row],[5. Lợi nhuận gộp về bán hàng và cung cấp dịch vụ]]/Table1[[#This Row],[TỔNG CỘNG TÀI SẢN]]</f>
        <v>-2.1718588904787745E-2</v>
      </c>
      <c r="T204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0.27092581356792256</v>
      </c>
      <c r="U2041" s="23">
        <f>Table1[[#This Row],[1. Doanh thu bán hàng và cung cấp dịch vụ ]]/Table1[[#This Row],[TỔNG CỘNG TÀI SẢN]]</f>
        <v>1.4799421460347213</v>
      </c>
      <c r="V2041" s="23">
        <f>1.2*Table1[[#This Row],[X1]] + 1.4*Table1[[#This Row],[X2]] + 3.3*Table1[[#This Row],[x3]] + 0.6*Table1[[#This Row],[x4]] + 1*Table1[[#This Row],[x5]]</f>
        <v>1.4555430461304733</v>
      </c>
      <c r="W2041" s="23">
        <f>IF(Table1[[#This Row],[Zscore]]&lt;1.81,1,0)</f>
        <v>1</v>
      </c>
    </row>
    <row r="2042" spans="1:23" hidden="1" x14ac:dyDescent="0.45">
      <c r="A2042" s="7">
        <v>2036</v>
      </c>
      <c r="B2042" s="5" t="s">
        <v>4083</v>
      </c>
      <c r="C2042" s="6" t="s">
        <v>4084</v>
      </c>
      <c r="D2042" s="6" t="s">
        <v>13</v>
      </c>
      <c r="E2042" s="6"/>
      <c r="F2042" s="6"/>
      <c r="G2042" s="6"/>
      <c r="H2042" s="6"/>
      <c r="I2042" s="6"/>
      <c r="J2042" s="8"/>
      <c r="K2042" s="6"/>
      <c r="L2042" s="6"/>
      <c r="M2042" s="8"/>
      <c r="N2042" s="8"/>
      <c r="O2042" s="8"/>
      <c r="P2042" s="8"/>
      <c r="Q2042" s="18" t="e">
        <f>(Table1[[#This Row],[A. TÀI SẢN NGẮN HẠN]]-Table1[[#This Row],[I. Nợ ngắn hạn]])/Table1[[#This Row],[TỔNG CỘNG TÀI SẢN]]</f>
        <v>#DIV/0!</v>
      </c>
      <c r="R2042" s="18" t="e">
        <f>Table1[[#This Row],[- LNST chưa phân phối kỳ này]]/Table1[[#This Row],[TỔNG CỘNG TÀI SẢN]]</f>
        <v>#DIV/0!</v>
      </c>
      <c r="S2042" s="21" t="e">
        <f>Table1[[#This Row],[5. Lợi nhuận gộp về bán hàng và cung cấp dịch vụ]]/Table1[[#This Row],[TỔNG CỘNG TÀI SẢN]]</f>
        <v>#DIV/0!</v>
      </c>
      <c r="T204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042" s="23" t="e">
        <f>Table1[[#This Row],[1. Doanh thu bán hàng và cung cấp dịch vụ ]]/Table1[[#This Row],[TỔNG CỘNG TÀI SẢN]]</f>
        <v>#DIV/0!</v>
      </c>
      <c r="V2042" s="23" t="e">
        <f>1.2*Table1[[#This Row],[X1]] + 1.4*Table1[[#This Row],[X2]] + 3.3*Table1[[#This Row],[x3]] + 0.6*Table1[[#This Row],[x4]] + 1*Table1[[#This Row],[x5]]</f>
        <v>#DIV/0!</v>
      </c>
      <c r="W2042" s="23" t="e">
        <f>IF(Table1[[#This Row],[Zscore]]&lt;1.81,1,0)</f>
        <v>#DIV/0!</v>
      </c>
    </row>
    <row r="2043" spans="1:23" hidden="1" x14ac:dyDescent="0.45">
      <c r="A2043" s="7">
        <v>2037</v>
      </c>
      <c r="B2043" s="5" t="s">
        <v>4085</v>
      </c>
      <c r="C2043" s="6" t="s">
        <v>4086</v>
      </c>
      <c r="D2043" s="6" t="s">
        <v>13</v>
      </c>
      <c r="E2043" s="6"/>
      <c r="F2043" s="6"/>
      <c r="G2043" s="6"/>
      <c r="H2043" s="6"/>
      <c r="I2043" s="6"/>
      <c r="J2043" s="8"/>
      <c r="K2043" s="6"/>
      <c r="L2043" s="6"/>
      <c r="M2043" s="8"/>
      <c r="N2043" s="8"/>
      <c r="O2043" s="8"/>
      <c r="P2043" s="8"/>
      <c r="Q2043" s="18" t="e">
        <f>(Table1[[#This Row],[A. TÀI SẢN NGẮN HẠN]]-Table1[[#This Row],[I. Nợ ngắn hạn]])/Table1[[#This Row],[TỔNG CỘNG TÀI SẢN]]</f>
        <v>#DIV/0!</v>
      </c>
      <c r="R2043" s="18" t="e">
        <f>Table1[[#This Row],[- LNST chưa phân phối kỳ này]]/Table1[[#This Row],[TỔNG CỘNG TÀI SẢN]]</f>
        <v>#DIV/0!</v>
      </c>
      <c r="S2043" s="21" t="e">
        <f>Table1[[#This Row],[5. Lợi nhuận gộp về bán hàng và cung cấp dịch vụ]]/Table1[[#This Row],[TỔNG CỘNG TÀI SẢN]]</f>
        <v>#DIV/0!</v>
      </c>
      <c r="T204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043" s="23" t="e">
        <f>Table1[[#This Row],[1. Doanh thu bán hàng và cung cấp dịch vụ ]]/Table1[[#This Row],[TỔNG CỘNG TÀI SẢN]]</f>
        <v>#DIV/0!</v>
      </c>
      <c r="V2043" s="23" t="e">
        <f>1.2*Table1[[#This Row],[X1]] + 1.4*Table1[[#This Row],[X2]] + 3.3*Table1[[#This Row],[x3]] + 0.6*Table1[[#This Row],[x4]] + 1*Table1[[#This Row],[x5]]</f>
        <v>#DIV/0!</v>
      </c>
      <c r="W2043" s="23" t="e">
        <f>IF(Table1[[#This Row],[Zscore]]&lt;1.81,1,0)</f>
        <v>#DIV/0!</v>
      </c>
    </row>
    <row r="2044" spans="1:23" hidden="1" x14ac:dyDescent="0.45">
      <c r="A2044" s="7">
        <v>2038</v>
      </c>
      <c r="B2044" s="5" t="s">
        <v>4087</v>
      </c>
      <c r="C2044" s="6" t="s">
        <v>4088</v>
      </c>
      <c r="D2044" s="6" t="s">
        <v>18</v>
      </c>
      <c r="E2044" s="8">
        <v>79441312714</v>
      </c>
      <c r="F2044" s="8">
        <v>63330866015</v>
      </c>
      <c r="G2044" s="8">
        <v>32818174303</v>
      </c>
      <c r="H2044" s="8">
        <v>1195369381</v>
      </c>
      <c r="I2044" s="8">
        <v>23545329568</v>
      </c>
      <c r="J2044" s="8"/>
      <c r="K2044" s="8">
        <v>32818174303</v>
      </c>
      <c r="L2044" s="8">
        <v>170148943516</v>
      </c>
      <c r="M2044" s="8"/>
      <c r="N2044" s="8"/>
      <c r="O2044" s="8"/>
      <c r="P2044" s="8"/>
      <c r="Q2044" s="18">
        <f>(Table1[[#This Row],[A. TÀI SẢN NGẮN HẠN]]-Table1[[#This Row],[I. Nợ ngắn hạn]])/Table1[[#This Row],[TỔNG CỘNG TÀI SẢN]]</f>
        <v>0.3840909807451196</v>
      </c>
      <c r="R2044" s="18">
        <f>Table1[[#This Row],[- LNST chưa phân phối kỳ này]]/Table1[[#This Row],[TỔNG CỘNG TÀI SẢN]]</f>
        <v>1.5047200759427269E-2</v>
      </c>
      <c r="S2044" s="21">
        <f>Table1[[#This Row],[5. Lợi nhuận gộp về bán hàng và cung cấp dịch vụ]]/Table1[[#This Row],[TỔNG CỘNG TÀI SẢN]]</f>
        <v>0.2963864614469115</v>
      </c>
      <c r="T204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044" s="23">
        <f>Table1[[#This Row],[1. Doanh thu bán hàng và cung cấp dịch vụ ]]/Table1[[#This Row],[TỔNG CỘNG TÀI SẢN]]</f>
        <v>2.1418193846891773</v>
      </c>
      <c r="V2044" s="23" t="e">
        <f>1.2*Table1[[#This Row],[X1]] + 1.4*Table1[[#This Row],[X2]] + 3.3*Table1[[#This Row],[x3]] + 0.6*Table1[[#This Row],[x4]] + 1*Table1[[#This Row],[x5]]</f>
        <v>#DIV/0!</v>
      </c>
      <c r="W2044" s="23" t="e">
        <f>IF(Table1[[#This Row],[Zscore]]&lt;1.81,1,0)</f>
        <v>#DIV/0!</v>
      </c>
    </row>
    <row r="2045" spans="1:23" hidden="1" x14ac:dyDescent="0.45">
      <c r="A2045" s="7">
        <v>2039</v>
      </c>
      <c r="B2045" s="5" t="s">
        <v>4089</v>
      </c>
      <c r="C2045" s="6" t="s">
        <v>4090</v>
      </c>
      <c r="D2045" s="6" t="s">
        <v>13</v>
      </c>
      <c r="E2045" s="6"/>
      <c r="F2045" s="6"/>
      <c r="G2045" s="6"/>
      <c r="H2045" s="6"/>
      <c r="I2045" s="6"/>
      <c r="J2045" s="8"/>
      <c r="K2045" s="6"/>
      <c r="L2045" s="6"/>
      <c r="M2045" s="8"/>
      <c r="N2045" s="8"/>
      <c r="O2045" s="8"/>
      <c r="P2045" s="8"/>
      <c r="Q2045" s="18" t="e">
        <f>(Table1[[#This Row],[A. TÀI SẢN NGẮN HẠN]]-Table1[[#This Row],[I. Nợ ngắn hạn]])/Table1[[#This Row],[TỔNG CỘNG TÀI SẢN]]</f>
        <v>#DIV/0!</v>
      </c>
      <c r="R2045" s="18" t="e">
        <f>Table1[[#This Row],[- LNST chưa phân phối kỳ này]]/Table1[[#This Row],[TỔNG CỘNG TÀI SẢN]]</f>
        <v>#DIV/0!</v>
      </c>
      <c r="S2045" s="21" t="e">
        <f>Table1[[#This Row],[5. Lợi nhuận gộp về bán hàng và cung cấp dịch vụ]]/Table1[[#This Row],[TỔNG CỘNG TÀI SẢN]]</f>
        <v>#DIV/0!</v>
      </c>
      <c r="T204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045" s="23" t="e">
        <f>Table1[[#This Row],[1. Doanh thu bán hàng và cung cấp dịch vụ ]]/Table1[[#This Row],[TỔNG CỘNG TÀI SẢN]]</f>
        <v>#DIV/0!</v>
      </c>
      <c r="V2045" s="23" t="e">
        <f>1.2*Table1[[#This Row],[X1]] + 1.4*Table1[[#This Row],[X2]] + 3.3*Table1[[#This Row],[x3]] + 0.6*Table1[[#This Row],[x4]] + 1*Table1[[#This Row],[x5]]</f>
        <v>#DIV/0!</v>
      </c>
      <c r="W2045" s="23" t="e">
        <f>IF(Table1[[#This Row],[Zscore]]&lt;1.81,1,0)</f>
        <v>#DIV/0!</v>
      </c>
    </row>
    <row r="2046" spans="1:23" x14ac:dyDescent="0.45">
      <c r="A2046" s="7">
        <v>2040</v>
      </c>
      <c r="B2046" s="5" t="s">
        <v>4091</v>
      </c>
      <c r="C2046" s="6" t="s">
        <v>4092</v>
      </c>
      <c r="D2046" s="6" t="s">
        <v>36</v>
      </c>
      <c r="E2046" s="8">
        <v>106148107138</v>
      </c>
      <c r="F2046" s="8">
        <v>51075213910</v>
      </c>
      <c r="G2046" s="8">
        <v>39098766212</v>
      </c>
      <c r="H2046" s="8">
        <v>3677602497</v>
      </c>
      <c r="I2046" s="8">
        <v>30820755776</v>
      </c>
      <c r="J2046" s="8"/>
      <c r="K2046" s="8">
        <v>39328766212</v>
      </c>
      <c r="L2046" s="8">
        <v>117214432741</v>
      </c>
      <c r="M2046" s="8">
        <v>84412920800</v>
      </c>
      <c r="N2046" s="8">
        <v>78947336000</v>
      </c>
      <c r="O2046" s="8">
        <v>71659889600</v>
      </c>
      <c r="P2046" s="8">
        <v>85020208000</v>
      </c>
      <c r="Q2046" s="18">
        <f>(Table1[[#This Row],[A. TÀI SẢN NGẮN HẠN]]-Table1[[#This Row],[I. Nợ ngắn hạn]])/Table1[[#This Row],[TỔNG CỘNG TÀI SẢN]]</f>
        <v>0.11282770857543202</v>
      </c>
      <c r="R2046" s="18">
        <f>Table1[[#This Row],[- LNST chưa phân phối kỳ này]]/Table1[[#This Row],[TỔNG CỘNG TÀI SẢN]]</f>
        <v>3.4645954564398007E-2</v>
      </c>
      <c r="S2046" s="21">
        <f>Table1[[#This Row],[5. Lợi nhuận gộp về bán hàng và cung cấp dịch vụ]]/Table1[[#This Row],[TỔNG CỘNG TÀI SẢN]]</f>
        <v>0.29035615054285285</v>
      </c>
      <c r="T204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2.0343910146763595</v>
      </c>
      <c r="U2046" s="23">
        <f>Table1[[#This Row],[1. Doanh thu bán hàng và cung cấp dịch vụ ]]/Table1[[#This Row],[TỔNG CỘNG TÀI SẢN]]</f>
        <v>1.1042536310950226</v>
      </c>
      <c r="V2046" s="23">
        <f>1.2*Table1[[#This Row],[X1]] + 1.4*Table1[[#This Row],[X2]] + 3.3*Table1[[#This Row],[x3]] + 0.6*Table1[[#This Row],[x4]] + 1*Table1[[#This Row],[x5]]</f>
        <v>3.4669611233729283</v>
      </c>
      <c r="W2046" s="23">
        <f>IF(Table1[[#This Row],[Zscore]]&lt;1.81,1,0)</f>
        <v>0</v>
      </c>
    </row>
    <row r="2047" spans="1:23" hidden="1" x14ac:dyDescent="0.45">
      <c r="A2047" s="7">
        <v>2041</v>
      </c>
      <c r="B2047" s="5" t="s">
        <v>4093</v>
      </c>
      <c r="C2047" s="6" t="s">
        <v>4094</v>
      </c>
      <c r="D2047" s="6" t="s">
        <v>13</v>
      </c>
      <c r="E2047" s="6"/>
      <c r="F2047" s="6"/>
      <c r="G2047" s="6"/>
      <c r="H2047" s="6"/>
      <c r="I2047" s="6"/>
      <c r="J2047" s="8"/>
      <c r="K2047" s="6"/>
      <c r="L2047" s="6"/>
      <c r="M2047" s="8"/>
      <c r="N2047" s="8"/>
      <c r="O2047" s="8"/>
      <c r="P2047" s="8"/>
      <c r="Q2047" s="18" t="e">
        <f>(Table1[[#This Row],[A. TÀI SẢN NGẮN HẠN]]-Table1[[#This Row],[I. Nợ ngắn hạn]])/Table1[[#This Row],[TỔNG CỘNG TÀI SẢN]]</f>
        <v>#DIV/0!</v>
      </c>
      <c r="R2047" s="18" t="e">
        <f>Table1[[#This Row],[- LNST chưa phân phối kỳ này]]/Table1[[#This Row],[TỔNG CỘNG TÀI SẢN]]</f>
        <v>#DIV/0!</v>
      </c>
      <c r="S2047" s="21" t="e">
        <f>Table1[[#This Row],[5. Lợi nhuận gộp về bán hàng và cung cấp dịch vụ]]/Table1[[#This Row],[TỔNG CỘNG TÀI SẢN]]</f>
        <v>#DIV/0!</v>
      </c>
      <c r="T204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047" s="23" t="e">
        <f>Table1[[#This Row],[1. Doanh thu bán hàng và cung cấp dịch vụ ]]/Table1[[#This Row],[TỔNG CỘNG TÀI SẢN]]</f>
        <v>#DIV/0!</v>
      </c>
      <c r="V2047" s="23" t="e">
        <f>1.2*Table1[[#This Row],[X1]] + 1.4*Table1[[#This Row],[X2]] + 3.3*Table1[[#This Row],[x3]] + 0.6*Table1[[#This Row],[x4]] + 1*Table1[[#This Row],[x5]]</f>
        <v>#DIV/0!</v>
      </c>
      <c r="W2047" s="23" t="e">
        <f>IF(Table1[[#This Row],[Zscore]]&lt;1.81,1,0)</f>
        <v>#DIV/0!</v>
      </c>
    </row>
    <row r="2048" spans="1:23" hidden="1" x14ac:dyDescent="0.45">
      <c r="A2048" s="7">
        <v>2042</v>
      </c>
      <c r="B2048" s="5" t="s">
        <v>4095</v>
      </c>
      <c r="C2048" s="6" t="s">
        <v>4096</v>
      </c>
      <c r="D2048" s="6" t="s">
        <v>18</v>
      </c>
      <c r="E2048" s="6"/>
      <c r="F2048" s="6"/>
      <c r="G2048" s="6"/>
      <c r="H2048" s="6"/>
      <c r="I2048" s="6"/>
      <c r="J2048" s="8"/>
      <c r="K2048" s="6"/>
      <c r="L2048" s="6"/>
      <c r="M2048" s="8"/>
      <c r="N2048" s="8"/>
      <c r="O2048" s="8"/>
      <c r="P2048" s="8"/>
      <c r="Q2048" s="18" t="e">
        <f>(Table1[[#This Row],[A. TÀI SẢN NGẮN HẠN]]-Table1[[#This Row],[I. Nợ ngắn hạn]])/Table1[[#This Row],[TỔNG CỘNG TÀI SẢN]]</f>
        <v>#DIV/0!</v>
      </c>
      <c r="R2048" s="18" t="e">
        <f>Table1[[#This Row],[- LNST chưa phân phối kỳ này]]/Table1[[#This Row],[TỔNG CỘNG TÀI SẢN]]</f>
        <v>#DIV/0!</v>
      </c>
      <c r="S2048" s="21" t="e">
        <f>Table1[[#This Row],[5. Lợi nhuận gộp về bán hàng và cung cấp dịch vụ]]/Table1[[#This Row],[TỔNG CỘNG TÀI SẢN]]</f>
        <v>#DIV/0!</v>
      </c>
      <c r="T204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048" s="23" t="e">
        <f>Table1[[#This Row],[1. Doanh thu bán hàng và cung cấp dịch vụ ]]/Table1[[#This Row],[TỔNG CỘNG TÀI SẢN]]</f>
        <v>#DIV/0!</v>
      </c>
      <c r="V2048" s="23" t="e">
        <f>1.2*Table1[[#This Row],[X1]] + 1.4*Table1[[#This Row],[X2]] + 3.3*Table1[[#This Row],[x3]] + 0.6*Table1[[#This Row],[x4]] + 1*Table1[[#This Row],[x5]]</f>
        <v>#DIV/0!</v>
      </c>
      <c r="W2048" s="23" t="e">
        <f>IF(Table1[[#This Row],[Zscore]]&lt;1.81,1,0)</f>
        <v>#DIV/0!</v>
      </c>
    </row>
    <row r="2049" spans="1:23" hidden="1" x14ac:dyDescent="0.45">
      <c r="A2049" s="7">
        <v>2043</v>
      </c>
      <c r="B2049" s="5" t="s">
        <v>4097</v>
      </c>
      <c r="C2049" s="6" t="s">
        <v>4098</v>
      </c>
      <c r="D2049" s="6" t="s">
        <v>13</v>
      </c>
      <c r="E2049" s="6"/>
      <c r="F2049" s="6"/>
      <c r="G2049" s="6"/>
      <c r="H2049" s="6"/>
      <c r="I2049" s="6"/>
      <c r="J2049" s="8"/>
      <c r="K2049" s="6"/>
      <c r="L2049" s="6"/>
      <c r="M2049" s="8"/>
      <c r="N2049" s="8"/>
      <c r="O2049" s="8"/>
      <c r="P2049" s="8"/>
      <c r="Q2049" s="18" t="e">
        <f>(Table1[[#This Row],[A. TÀI SẢN NGẮN HẠN]]-Table1[[#This Row],[I. Nợ ngắn hạn]])/Table1[[#This Row],[TỔNG CỘNG TÀI SẢN]]</f>
        <v>#DIV/0!</v>
      </c>
      <c r="R2049" s="18" t="e">
        <f>Table1[[#This Row],[- LNST chưa phân phối kỳ này]]/Table1[[#This Row],[TỔNG CỘNG TÀI SẢN]]</f>
        <v>#DIV/0!</v>
      </c>
      <c r="S2049" s="21" t="e">
        <f>Table1[[#This Row],[5. Lợi nhuận gộp về bán hàng và cung cấp dịch vụ]]/Table1[[#This Row],[TỔNG CỘNG TÀI SẢN]]</f>
        <v>#DIV/0!</v>
      </c>
      <c r="T204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049" s="23" t="e">
        <f>Table1[[#This Row],[1. Doanh thu bán hàng và cung cấp dịch vụ ]]/Table1[[#This Row],[TỔNG CỘNG TÀI SẢN]]</f>
        <v>#DIV/0!</v>
      </c>
      <c r="V2049" s="23" t="e">
        <f>1.2*Table1[[#This Row],[X1]] + 1.4*Table1[[#This Row],[X2]] + 3.3*Table1[[#This Row],[x3]] + 0.6*Table1[[#This Row],[x4]] + 1*Table1[[#This Row],[x5]]</f>
        <v>#DIV/0!</v>
      </c>
      <c r="W2049" s="23" t="e">
        <f>IF(Table1[[#This Row],[Zscore]]&lt;1.81,1,0)</f>
        <v>#DIV/0!</v>
      </c>
    </row>
    <row r="2050" spans="1:23" x14ac:dyDescent="0.45">
      <c r="A2050" s="7">
        <v>2044</v>
      </c>
      <c r="B2050" s="5" t="s">
        <v>4099</v>
      </c>
      <c r="C2050" s="6" t="s">
        <v>4100</v>
      </c>
      <c r="D2050" s="6" t="s">
        <v>18</v>
      </c>
      <c r="E2050" s="8">
        <v>2021253376031</v>
      </c>
      <c r="F2050" s="8">
        <v>1497279081473</v>
      </c>
      <c r="G2050" s="8">
        <v>959423916190</v>
      </c>
      <c r="H2050" s="8">
        <v>66109512348</v>
      </c>
      <c r="I2050" s="8">
        <v>75299275936</v>
      </c>
      <c r="J2050" s="8"/>
      <c r="K2050" s="8">
        <v>1160209155410</v>
      </c>
      <c r="L2050" s="8">
        <v>773154762688</v>
      </c>
      <c r="M2050" s="8">
        <v>252120634900</v>
      </c>
      <c r="N2050" s="8">
        <v>175202475100</v>
      </c>
      <c r="O2050" s="8">
        <v>217934786100</v>
      </c>
      <c r="P2050" s="8">
        <v>213661555000</v>
      </c>
      <c r="Q2050" s="18">
        <f>(Table1[[#This Row],[A. TÀI SẢN NGẮN HẠN]]-Table1[[#This Row],[I. Nợ ngắn hạn]])/Table1[[#This Row],[TỔNG CỘNG TÀI SẢN]]</f>
        <v>0.26609982284316586</v>
      </c>
      <c r="R2050" s="18">
        <f>Table1[[#This Row],[- LNST chưa phân phối kỳ này]]/Table1[[#This Row],[TỔNG CỘNG TÀI SẢN]]</f>
        <v>3.2707187100815049E-2</v>
      </c>
      <c r="S2050" s="21">
        <f>Table1[[#This Row],[5. Lợi nhuận gộp về bán hàng và cung cấp dịch vụ]]/Table1[[#This Row],[TỔNG CỘNG TÀI SẢN]]</f>
        <v>3.7253753947394837E-2</v>
      </c>
      <c r="T205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0.18507857981789308</v>
      </c>
      <c r="U2050" s="23">
        <f>Table1[[#This Row],[1. Doanh thu bán hàng và cung cấp dịch vụ ]]/Table1[[#This Row],[TỔNG CỘNG TÀI SẢN]]</f>
        <v>0.38251253992025103</v>
      </c>
      <c r="V2050" s="23">
        <f>1.2*Table1[[#This Row],[X1]] + 1.4*Table1[[#This Row],[X2]] + 3.3*Table1[[#This Row],[x3]] + 0.6*Table1[[#This Row],[x4]] + 1*Table1[[#This Row],[x5]]</f>
        <v>0.98160692519032988</v>
      </c>
      <c r="W2050" s="23">
        <f>IF(Table1[[#This Row],[Zscore]]&lt;1.81,1,0)</f>
        <v>1</v>
      </c>
    </row>
    <row r="2051" spans="1:23" ht="26.25" x14ac:dyDescent="0.45">
      <c r="A2051" s="7">
        <v>2045</v>
      </c>
      <c r="B2051" s="5" t="s">
        <v>4101</v>
      </c>
      <c r="C2051" s="6" t="s">
        <v>4102</v>
      </c>
      <c r="D2051" s="6" t="s">
        <v>36</v>
      </c>
      <c r="E2051" s="8">
        <v>1017045770367</v>
      </c>
      <c r="F2051" s="8">
        <v>825772357113</v>
      </c>
      <c r="G2051" s="8">
        <v>633620235444</v>
      </c>
      <c r="H2051" s="8">
        <v>21898680318</v>
      </c>
      <c r="I2051" s="8">
        <v>90305240949</v>
      </c>
      <c r="J2051" s="8"/>
      <c r="K2051" s="8">
        <v>641287624532</v>
      </c>
      <c r="L2051" s="8">
        <v>445427893420</v>
      </c>
      <c r="M2051" s="8">
        <v>380000000000</v>
      </c>
      <c r="N2051" s="8">
        <v>340000000000</v>
      </c>
      <c r="O2051" s="8">
        <v>306000000000</v>
      </c>
      <c r="P2051" s="8">
        <v>382000000000</v>
      </c>
      <c r="Q2051" s="18">
        <f>(Table1[[#This Row],[A. TÀI SẢN NGẮN HẠN]]-Table1[[#This Row],[I. Nợ ngắn hạn]])/Table1[[#This Row],[TỔNG CỘNG TÀI SẢN]]</f>
        <v>0.18893163638020155</v>
      </c>
      <c r="R2051" s="18">
        <f>Table1[[#This Row],[- LNST chưa phân phối kỳ này]]/Table1[[#This Row],[TỔNG CỘNG TÀI SẢN]]</f>
        <v>2.1531656643238271E-2</v>
      </c>
      <c r="S2051" s="21">
        <f>Table1[[#This Row],[5. Lợi nhuận gộp về bán hàng và cung cấp dịch vụ]]/Table1[[#This Row],[TỔNG CỘNG TÀI SẢN]]</f>
        <v>8.8791717718282662E-2</v>
      </c>
      <c r="T205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0.54889566948509749</v>
      </c>
      <c r="U2051" s="23">
        <f>Table1[[#This Row],[1. Doanh thu bán hàng và cung cấp dịch vụ ]]/Table1[[#This Row],[TỔNG CỘNG TÀI SẢN]]</f>
        <v>0.43796248546342981</v>
      </c>
      <c r="V2051" s="23">
        <f>1.2*Table1[[#This Row],[X1]] + 1.4*Table1[[#This Row],[X2]] + 3.3*Table1[[#This Row],[x3]] + 0.6*Table1[[#This Row],[x4]] + 1*Table1[[#This Row],[x5]]</f>
        <v>1.3171748385815965</v>
      </c>
      <c r="W2051" s="23">
        <f>IF(Table1[[#This Row],[Zscore]]&lt;1.81,1,0)</f>
        <v>1</v>
      </c>
    </row>
    <row r="2052" spans="1:23" hidden="1" x14ac:dyDescent="0.45">
      <c r="A2052" s="7">
        <v>2046</v>
      </c>
      <c r="B2052" s="5" t="s">
        <v>4103</v>
      </c>
      <c r="C2052" s="6" t="s">
        <v>4104</v>
      </c>
      <c r="D2052" s="6" t="s">
        <v>18</v>
      </c>
      <c r="E2052" s="8">
        <v>629780770456</v>
      </c>
      <c r="F2052" s="8">
        <v>276152333914</v>
      </c>
      <c r="G2052" s="8">
        <v>356404030266</v>
      </c>
      <c r="H2052" s="8">
        <v>39040902439</v>
      </c>
      <c r="I2052" s="8">
        <v>70757471370</v>
      </c>
      <c r="J2052" s="8"/>
      <c r="K2052" s="8">
        <v>457441191219</v>
      </c>
      <c r="L2052" s="8">
        <v>541651756973</v>
      </c>
      <c r="M2052" s="8"/>
      <c r="N2052" s="8"/>
      <c r="O2052" s="8"/>
      <c r="P2052" s="8"/>
      <c r="Q2052" s="18">
        <f>(Table1[[#This Row],[A. TÀI SẢN NGẮN HẠN]]-Table1[[#This Row],[I. Nợ ngắn hạn]])/Table1[[#This Row],[TỔNG CỘNG TÀI SẢN]]</f>
        <v>-0.12742798782803869</v>
      </c>
      <c r="R2052" s="18">
        <f>Table1[[#This Row],[- LNST chưa phân phối kỳ này]]/Table1[[#This Row],[TỔNG CỘNG TÀI SẢN]]</f>
        <v>6.1991258340155397E-2</v>
      </c>
      <c r="S2052" s="21">
        <f>Table1[[#This Row],[5. Lợi nhuận gộp về bán hàng và cung cấp dịch vụ]]/Table1[[#This Row],[TỔNG CỘNG TÀI SẢN]]</f>
        <v>0.112352543439469</v>
      </c>
      <c r="T205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052" s="23">
        <f>Table1[[#This Row],[1. Doanh thu bán hàng và cung cấp dịch vụ ]]/Table1[[#This Row],[TỔNG CỘNG TÀI SẢN]]</f>
        <v>0.86006398159920128</v>
      </c>
      <c r="V2052" s="23" t="e">
        <f>1.2*Table1[[#This Row],[X1]] + 1.4*Table1[[#This Row],[X2]] + 3.3*Table1[[#This Row],[x3]] + 0.6*Table1[[#This Row],[x4]] + 1*Table1[[#This Row],[x5]]</f>
        <v>#DIV/0!</v>
      </c>
      <c r="W2052" s="23" t="e">
        <f>IF(Table1[[#This Row],[Zscore]]&lt;1.81,1,0)</f>
        <v>#DIV/0!</v>
      </c>
    </row>
    <row r="2053" spans="1:23" ht="26.25" hidden="1" x14ac:dyDescent="0.45">
      <c r="A2053" s="7">
        <v>2047</v>
      </c>
      <c r="B2053" s="5" t="s">
        <v>4105</v>
      </c>
      <c r="C2053" s="6" t="s">
        <v>4106</v>
      </c>
      <c r="D2053" s="6" t="s">
        <v>13</v>
      </c>
      <c r="E2053" s="6"/>
      <c r="F2053" s="6"/>
      <c r="G2053" s="6"/>
      <c r="H2053" s="6"/>
      <c r="I2053" s="6"/>
      <c r="J2053" s="8"/>
      <c r="K2053" s="6"/>
      <c r="L2053" s="6"/>
      <c r="M2053" s="8"/>
      <c r="N2053" s="8"/>
      <c r="O2053" s="8"/>
      <c r="P2053" s="8"/>
      <c r="Q2053" s="18" t="e">
        <f>(Table1[[#This Row],[A. TÀI SẢN NGẮN HẠN]]-Table1[[#This Row],[I. Nợ ngắn hạn]])/Table1[[#This Row],[TỔNG CỘNG TÀI SẢN]]</f>
        <v>#DIV/0!</v>
      </c>
      <c r="R2053" s="18" t="e">
        <f>Table1[[#This Row],[- LNST chưa phân phối kỳ này]]/Table1[[#This Row],[TỔNG CỘNG TÀI SẢN]]</f>
        <v>#DIV/0!</v>
      </c>
      <c r="S2053" s="21" t="e">
        <f>Table1[[#This Row],[5. Lợi nhuận gộp về bán hàng và cung cấp dịch vụ]]/Table1[[#This Row],[TỔNG CỘNG TÀI SẢN]]</f>
        <v>#DIV/0!</v>
      </c>
      <c r="T205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053" s="23" t="e">
        <f>Table1[[#This Row],[1. Doanh thu bán hàng và cung cấp dịch vụ ]]/Table1[[#This Row],[TỔNG CỘNG TÀI SẢN]]</f>
        <v>#DIV/0!</v>
      </c>
      <c r="V2053" s="23" t="e">
        <f>1.2*Table1[[#This Row],[X1]] + 1.4*Table1[[#This Row],[X2]] + 3.3*Table1[[#This Row],[x3]] + 0.6*Table1[[#This Row],[x4]] + 1*Table1[[#This Row],[x5]]</f>
        <v>#DIV/0!</v>
      </c>
      <c r="W2053" s="23" t="e">
        <f>IF(Table1[[#This Row],[Zscore]]&lt;1.81,1,0)</f>
        <v>#DIV/0!</v>
      </c>
    </row>
    <row r="2054" spans="1:23" hidden="1" x14ac:dyDescent="0.45">
      <c r="A2054" s="7">
        <v>2048</v>
      </c>
      <c r="B2054" s="5" t="s">
        <v>4107</v>
      </c>
      <c r="C2054" s="6" t="s">
        <v>4108</v>
      </c>
      <c r="D2054" s="6" t="s">
        <v>18</v>
      </c>
      <c r="E2054" s="6"/>
      <c r="F2054" s="6"/>
      <c r="G2054" s="6"/>
      <c r="H2054" s="6"/>
      <c r="I2054" s="6"/>
      <c r="J2054" s="8"/>
      <c r="K2054" s="6"/>
      <c r="L2054" s="6"/>
      <c r="M2054" s="8"/>
      <c r="N2054" s="8"/>
      <c r="O2054" s="8"/>
      <c r="P2054" s="8"/>
      <c r="Q2054" s="18" t="e">
        <f>(Table1[[#This Row],[A. TÀI SẢN NGẮN HẠN]]-Table1[[#This Row],[I. Nợ ngắn hạn]])/Table1[[#This Row],[TỔNG CỘNG TÀI SẢN]]</f>
        <v>#DIV/0!</v>
      </c>
      <c r="R2054" s="18" t="e">
        <f>Table1[[#This Row],[- LNST chưa phân phối kỳ này]]/Table1[[#This Row],[TỔNG CỘNG TÀI SẢN]]</f>
        <v>#DIV/0!</v>
      </c>
      <c r="S2054" s="21" t="e">
        <f>Table1[[#This Row],[5. Lợi nhuận gộp về bán hàng và cung cấp dịch vụ]]/Table1[[#This Row],[TỔNG CỘNG TÀI SẢN]]</f>
        <v>#DIV/0!</v>
      </c>
      <c r="T205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054" s="23" t="e">
        <f>Table1[[#This Row],[1. Doanh thu bán hàng và cung cấp dịch vụ ]]/Table1[[#This Row],[TỔNG CỘNG TÀI SẢN]]</f>
        <v>#DIV/0!</v>
      </c>
      <c r="V2054" s="23" t="e">
        <f>1.2*Table1[[#This Row],[X1]] + 1.4*Table1[[#This Row],[X2]] + 3.3*Table1[[#This Row],[x3]] + 0.6*Table1[[#This Row],[x4]] + 1*Table1[[#This Row],[x5]]</f>
        <v>#DIV/0!</v>
      </c>
      <c r="W2054" s="23" t="e">
        <f>IF(Table1[[#This Row],[Zscore]]&lt;1.81,1,0)</f>
        <v>#DIV/0!</v>
      </c>
    </row>
    <row r="2055" spans="1:23" ht="26.25" x14ac:dyDescent="0.45">
      <c r="A2055" s="7">
        <v>2049</v>
      </c>
      <c r="B2055" s="5" t="s">
        <v>4109</v>
      </c>
      <c r="C2055" s="6" t="s">
        <v>4110</v>
      </c>
      <c r="D2055" s="6" t="s">
        <v>18</v>
      </c>
      <c r="E2055" s="8">
        <v>2763989542699</v>
      </c>
      <c r="F2055" s="8">
        <v>661757569551</v>
      </c>
      <c r="G2055" s="8">
        <v>163457066935</v>
      </c>
      <c r="H2055" s="8">
        <v>210511314787</v>
      </c>
      <c r="I2055" s="8">
        <v>143809067957</v>
      </c>
      <c r="J2055" s="8"/>
      <c r="K2055" s="8">
        <v>193431097597</v>
      </c>
      <c r="L2055" s="8">
        <v>757351629565</v>
      </c>
      <c r="M2055" s="8">
        <v>5624572500000</v>
      </c>
      <c r="N2055" s="8">
        <v>4999620000000</v>
      </c>
      <c r="O2055" s="8">
        <v>4999620000000</v>
      </c>
      <c r="P2055" s="8">
        <v>5999544000000</v>
      </c>
      <c r="Q2055" s="18">
        <f>(Table1[[#This Row],[A. TÀI SẢN NGẮN HẠN]]-Table1[[#This Row],[I. Nợ ngắn hạn]])/Table1[[#This Row],[TỔNG CỘNG TÀI SẢN]]</f>
        <v>0.18028306363612939</v>
      </c>
      <c r="R2055" s="18">
        <f>Table1[[#This Row],[- LNST chưa phân phối kỳ này]]/Table1[[#This Row],[TỔNG CỘNG TÀI SẢN]]</f>
        <v>7.6162124181352153E-2</v>
      </c>
      <c r="S2055" s="21">
        <f>Table1[[#This Row],[5. Lợi nhuận gộp về bán hàng và cung cấp dịch vụ]]/Table1[[#This Row],[TỔNG CỘNG TÀI SẢN]]</f>
        <v>5.202952678922667E-2</v>
      </c>
      <c r="T205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27.947104639103497</v>
      </c>
      <c r="U2055" s="23">
        <f>Table1[[#This Row],[1. Doanh thu bán hàng và cung cấp dịch vụ ]]/Table1[[#This Row],[TỔNG CỘNG TÀI SẢN]]</f>
        <v>0.27400669136593619</v>
      </c>
      <c r="V2055" s="23">
        <f>1.2*Table1[[#This Row],[X1]] + 1.4*Table1[[#This Row],[X2]] + 3.3*Table1[[#This Row],[x3]] + 0.6*Table1[[#This Row],[x4]] + 1*Table1[[#This Row],[x5]]</f>
        <v>17.536933563449733</v>
      </c>
      <c r="W2055" s="23">
        <f>IF(Table1[[#This Row],[Zscore]]&lt;1.81,1,0)</f>
        <v>0</v>
      </c>
    </row>
    <row r="2056" spans="1:23" hidden="1" x14ac:dyDescent="0.45">
      <c r="A2056" s="7">
        <v>2050</v>
      </c>
      <c r="B2056" s="5" t="s">
        <v>4111</v>
      </c>
      <c r="C2056" s="6" t="s">
        <v>4112</v>
      </c>
      <c r="D2056" s="6" t="s">
        <v>13</v>
      </c>
      <c r="E2056" s="8">
        <v>1020404927271</v>
      </c>
      <c r="F2056" s="8">
        <v>558974833590</v>
      </c>
      <c r="G2056" s="8">
        <v>555286541717</v>
      </c>
      <c r="H2056" s="8">
        <v>2756958496</v>
      </c>
      <c r="I2056" s="8">
        <v>69832109870</v>
      </c>
      <c r="J2056" s="8"/>
      <c r="K2056" s="8">
        <v>577845455404</v>
      </c>
      <c r="L2056" s="8">
        <v>697956961358</v>
      </c>
      <c r="M2056" s="8"/>
      <c r="N2056" s="8"/>
      <c r="O2056" s="8"/>
      <c r="P2056" s="8"/>
      <c r="Q2056" s="18">
        <f>(Table1[[#This Row],[A. TÀI SẢN NGẮN HẠN]]-Table1[[#This Row],[I. Nợ ngắn hạn]])/Table1[[#This Row],[TỔNG CỘNG TÀI SẢN]]</f>
        <v>3.6145374982303083E-3</v>
      </c>
      <c r="R2056" s="18">
        <f>Table1[[#This Row],[- LNST chưa phân phối kỳ này]]/Table1[[#This Row],[TỔNG CỘNG TÀI SẢN]]</f>
        <v>2.7018278943176884E-3</v>
      </c>
      <c r="S2056" s="21">
        <f>Table1[[#This Row],[5. Lợi nhuận gộp về bán hàng và cung cấp dịch vụ]]/Table1[[#This Row],[TỔNG CỘNG TÀI SẢN]]</f>
        <v>6.8435684700936306E-2</v>
      </c>
      <c r="T205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056" s="23">
        <f>Table1[[#This Row],[1. Doanh thu bán hàng và cung cấp dịch vụ ]]/Table1[[#This Row],[TỔNG CỘNG TÀI SẢN]]</f>
        <v>0.68399999128251565</v>
      </c>
      <c r="V2056" s="23" t="e">
        <f>1.2*Table1[[#This Row],[X1]] + 1.4*Table1[[#This Row],[X2]] + 3.3*Table1[[#This Row],[x3]] + 0.6*Table1[[#This Row],[x4]] + 1*Table1[[#This Row],[x5]]</f>
        <v>#DIV/0!</v>
      </c>
      <c r="W2056" s="23" t="e">
        <f>IF(Table1[[#This Row],[Zscore]]&lt;1.81,1,0)</f>
        <v>#DIV/0!</v>
      </c>
    </row>
    <row r="2057" spans="1:23" hidden="1" x14ac:dyDescent="0.45">
      <c r="A2057" s="7">
        <v>2051</v>
      </c>
      <c r="B2057" s="5" t="s">
        <v>4113</v>
      </c>
      <c r="C2057" s="6" t="s">
        <v>4114</v>
      </c>
      <c r="D2057" s="6" t="s">
        <v>13</v>
      </c>
      <c r="E2057" s="8">
        <v>3727334260077</v>
      </c>
      <c r="F2057" s="8">
        <v>3683257839365</v>
      </c>
      <c r="G2057" s="8">
        <v>1705789842579</v>
      </c>
      <c r="H2057" s="8">
        <v>190070988615</v>
      </c>
      <c r="I2057" s="8">
        <v>151015129170</v>
      </c>
      <c r="J2057" s="8"/>
      <c r="K2057" s="8">
        <v>1753307589733</v>
      </c>
      <c r="L2057" s="8">
        <v>195345069131</v>
      </c>
      <c r="M2057" s="8"/>
      <c r="N2057" s="8"/>
      <c r="O2057" s="8"/>
      <c r="P2057" s="8"/>
      <c r="Q2057" s="18">
        <f>(Table1[[#This Row],[A. TÀI SẢN NGẮN HẠN]]-Table1[[#This Row],[I. Nợ ngắn hạn]])/Table1[[#This Row],[TỔNG CỘNG TÀI SẢN]]</f>
        <v>0.53053143582168272</v>
      </c>
      <c r="R2057" s="18">
        <f>Table1[[#This Row],[- LNST chưa phân phối kỳ này]]/Table1[[#This Row],[TỔNG CỘNG TÀI SẢN]]</f>
        <v>5.0993813635344172E-2</v>
      </c>
      <c r="S2057" s="21">
        <f>Table1[[#This Row],[5. Lợi nhuận gộp về bán hàng và cung cấp dịch vụ]]/Table1[[#This Row],[TỔNG CỘNG TÀI SẢN]]</f>
        <v>4.0515585303819865E-2</v>
      </c>
      <c r="T205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057" s="23">
        <f>Table1[[#This Row],[1. Doanh thu bán hàng và cung cấp dịch vụ ]]/Table1[[#This Row],[TỔNG CỘNG TÀI SẢN]]</f>
        <v>5.2408787487431975E-2</v>
      </c>
      <c r="V2057" s="23" t="e">
        <f>1.2*Table1[[#This Row],[X1]] + 1.4*Table1[[#This Row],[X2]] + 3.3*Table1[[#This Row],[x3]] + 0.6*Table1[[#This Row],[x4]] + 1*Table1[[#This Row],[x5]]</f>
        <v>#DIV/0!</v>
      </c>
      <c r="W2057" s="23" t="e">
        <f>IF(Table1[[#This Row],[Zscore]]&lt;1.81,1,0)</f>
        <v>#DIV/0!</v>
      </c>
    </row>
    <row r="2058" spans="1:23" ht="26.25" x14ac:dyDescent="0.45">
      <c r="A2058" s="7">
        <v>2052</v>
      </c>
      <c r="B2058" s="5" t="s">
        <v>4115</v>
      </c>
      <c r="C2058" s="6" t="s">
        <v>4116</v>
      </c>
      <c r="D2058" s="6" t="s">
        <v>36</v>
      </c>
      <c r="E2058" s="8">
        <v>703508564945</v>
      </c>
      <c r="F2058" s="8">
        <v>235427782626</v>
      </c>
      <c r="G2058" s="8">
        <v>37661747657</v>
      </c>
      <c r="H2058" s="8">
        <v>38980577558</v>
      </c>
      <c r="I2058" s="8">
        <v>186648627188</v>
      </c>
      <c r="J2058" s="8"/>
      <c r="K2058" s="8">
        <v>37661747657</v>
      </c>
      <c r="L2058" s="8">
        <v>290229927943</v>
      </c>
      <c r="M2058" s="8">
        <v>1577598471700</v>
      </c>
      <c r="N2058" s="8">
        <v>1507198539900</v>
      </c>
      <c r="O2058" s="8">
        <v>1475198570900</v>
      </c>
      <c r="P2058" s="8">
        <v>1551998496500</v>
      </c>
      <c r="Q2058" s="18">
        <f>(Table1[[#This Row],[A. TÀI SẢN NGẮN HẠN]]-Table1[[#This Row],[I. Nợ ngắn hạn]])/Table1[[#This Row],[TỔNG CỘNG TÀI SẢN]]</f>
        <v>0.2811138980013147</v>
      </c>
      <c r="R2058" s="18">
        <f>Table1[[#This Row],[- LNST chưa phân phối kỳ này]]/Table1[[#This Row],[TỔNG CỘNG TÀI SẢN]]</f>
        <v>5.5408817319868006E-2</v>
      </c>
      <c r="S2058" s="21">
        <f>Table1[[#This Row],[5. Lợi nhuận gộp về bán hàng và cung cấp dịch vụ]]/Table1[[#This Row],[TỔNG CỘNG TÀI SẢN]]</f>
        <v>0.26531109426164856</v>
      </c>
      <c r="T205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40.571630760900142</v>
      </c>
      <c r="U2058" s="23">
        <f>Table1[[#This Row],[1. Doanh thu bán hàng và cung cấp dịch vụ ]]/Table1[[#This Row],[TỔNG CỘNG TÀI SẢN]]</f>
        <v>0.4125464029932458</v>
      </c>
      <c r="V2058" s="23">
        <f>1.2*Table1[[#This Row],[X1]] + 1.4*Table1[[#This Row],[X2]] + 3.3*Table1[[#This Row],[x3]] + 0.6*Table1[[#This Row],[x4]] + 1*Table1[[#This Row],[x5]]</f>
        <v>26.045960492446163</v>
      </c>
      <c r="W2058" s="23">
        <f>IF(Table1[[#This Row],[Zscore]]&lt;1.81,1,0)</f>
        <v>0</v>
      </c>
    </row>
    <row r="2059" spans="1:23" ht="26.25" x14ac:dyDescent="0.45">
      <c r="A2059" s="7">
        <v>2053</v>
      </c>
      <c r="B2059" s="5" t="s">
        <v>4117</v>
      </c>
      <c r="C2059" s="6" t="s">
        <v>4118</v>
      </c>
      <c r="D2059" s="6" t="s">
        <v>36</v>
      </c>
      <c r="E2059" s="8">
        <v>568001109078</v>
      </c>
      <c r="F2059" s="8">
        <v>473028861324</v>
      </c>
      <c r="G2059" s="8">
        <v>216473332138</v>
      </c>
      <c r="H2059" s="8">
        <v>36202584606</v>
      </c>
      <c r="I2059" s="8">
        <v>271428855172</v>
      </c>
      <c r="J2059" s="8"/>
      <c r="K2059" s="8">
        <v>216473332138</v>
      </c>
      <c r="L2059" s="8">
        <v>1110880261808</v>
      </c>
      <c r="M2059" s="8">
        <v>242921160000</v>
      </c>
      <c r="N2059" s="8">
        <v>198000000000</v>
      </c>
      <c r="O2059" s="8">
        <v>248000000000</v>
      </c>
      <c r="P2059" s="8">
        <v>260000000000</v>
      </c>
      <c r="Q2059" s="18">
        <f>(Table1[[#This Row],[A. TÀI SẢN NGẮN HẠN]]-Table1[[#This Row],[I. Nợ ngắn hạn]])/Table1[[#This Row],[TỔNG CỘNG TÀI SẢN]]</f>
        <v>0.45168138773963001</v>
      </c>
      <c r="R2059" s="18">
        <f>Table1[[#This Row],[- LNST chưa phân phối kỳ này]]/Table1[[#This Row],[TỔNG CỘNG TÀI SẢN]]</f>
        <v>6.3736820276223308E-2</v>
      </c>
      <c r="S2059" s="21">
        <f>Table1[[#This Row],[5. Lợi nhuận gộp về bán hàng và cung cấp dịch vụ]]/Table1[[#This Row],[TỔNG CỘNG TÀI SẢN]]</f>
        <v>0.47786676968394159</v>
      </c>
      <c r="T205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1.0958869051305018</v>
      </c>
      <c r="U2059" s="23">
        <f>Table1[[#This Row],[1. Doanh thu bán hàng và cung cấp dịch vụ ]]/Table1[[#This Row],[TỔNG CỘNG TÀI SẢN]]</f>
        <v>1.9557712899737487</v>
      </c>
      <c r="V2059" s="23">
        <f>1.2*Table1[[#This Row],[X1]] + 1.4*Table1[[#This Row],[X2]] + 3.3*Table1[[#This Row],[x3]] + 0.6*Table1[[#This Row],[x4]] + 1*Table1[[#This Row],[x5]]</f>
        <v>4.8215129866833255</v>
      </c>
      <c r="W2059" s="23">
        <f>IF(Table1[[#This Row],[Zscore]]&lt;1.81,1,0)</f>
        <v>0</v>
      </c>
    </row>
    <row r="2060" spans="1:23" ht="26.25" hidden="1" x14ac:dyDescent="0.45">
      <c r="A2060" s="7">
        <v>2054</v>
      </c>
      <c r="B2060" s="5" t="s">
        <v>4119</v>
      </c>
      <c r="C2060" s="6" t="s">
        <v>4120</v>
      </c>
      <c r="D2060" s="6" t="s">
        <v>18</v>
      </c>
      <c r="E2060" s="6"/>
      <c r="F2060" s="6"/>
      <c r="G2060" s="6"/>
      <c r="H2060" s="6"/>
      <c r="I2060" s="6"/>
      <c r="J2060" s="8"/>
      <c r="K2060" s="6"/>
      <c r="L2060" s="6"/>
      <c r="M2060" s="8"/>
      <c r="N2060" s="8"/>
      <c r="O2060" s="8"/>
      <c r="P2060" s="8"/>
      <c r="Q2060" s="18" t="e">
        <f>(Table1[[#This Row],[A. TÀI SẢN NGẮN HẠN]]-Table1[[#This Row],[I. Nợ ngắn hạn]])/Table1[[#This Row],[TỔNG CỘNG TÀI SẢN]]</f>
        <v>#DIV/0!</v>
      </c>
      <c r="R2060" s="18" t="e">
        <f>Table1[[#This Row],[- LNST chưa phân phối kỳ này]]/Table1[[#This Row],[TỔNG CỘNG TÀI SẢN]]</f>
        <v>#DIV/0!</v>
      </c>
      <c r="S2060" s="21" t="e">
        <f>Table1[[#This Row],[5. Lợi nhuận gộp về bán hàng và cung cấp dịch vụ]]/Table1[[#This Row],[TỔNG CỘNG TÀI SẢN]]</f>
        <v>#DIV/0!</v>
      </c>
      <c r="T206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060" s="23" t="e">
        <f>Table1[[#This Row],[1. Doanh thu bán hàng và cung cấp dịch vụ ]]/Table1[[#This Row],[TỔNG CỘNG TÀI SẢN]]</f>
        <v>#DIV/0!</v>
      </c>
      <c r="V2060" s="23" t="e">
        <f>1.2*Table1[[#This Row],[X1]] + 1.4*Table1[[#This Row],[X2]] + 3.3*Table1[[#This Row],[x3]] + 0.6*Table1[[#This Row],[x4]] + 1*Table1[[#This Row],[x5]]</f>
        <v>#DIV/0!</v>
      </c>
      <c r="W2060" s="23" t="e">
        <f>IF(Table1[[#This Row],[Zscore]]&lt;1.81,1,0)</f>
        <v>#DIV/0!</v>
      </c>
    </row>
    <row r="2061" spans="1:23" hidden="1" x14ac:dyDescent="0.45">
      <c r="A2061" s="7">
        <v>2055</v>
      </c>
      <c r="B2061" s="5" t="s">
        <v>4121</v>
      </c>
      <c r="C2061" s="6" t="s">
        <v>4122</v>
      </c>
      <c r="D2061" s="6" t="s">
        <v>13</v>
      </c>
      <c r="E2061" s="6"/>
      <c r="F2061" s="6"/>
      <c r="G2061" s="6"/>
      <c r="H2061" s="6"/>
      <c r="I2061" s="6"/>
      <c r="J2061" s="8"/>
      <c r="K2061" s="6"/>
      <c r="L2061" s="6"/>
      <c r="M2061" s="8"/>
      <c r="N2061" s="8"/>
      <c r="O2061" s="8"/>
      <c r="P2061" s="8"/>
      <c r="Q2061" s="18" t="e">
        <f>(Table1[[#This Row],[A. TÀI SẢN NGẮN HẠN]]-Table1[[#This Row],[I. Nợ ngắn hạn]])/Table1[[#This Row],[TỔNG CỘNG TÀI SẢN]]</f>
        <v>#DIV/0!</v>
      </c>
      <c r="R2061" s="18" t="e">
        <f>Table1[[#This Row],[- LNST chưa phân phối kỳ này]]/Table1[[#This Row],[TỔNG CỘNG TÀI SẢN]]</f>
        <v>#DIV/0!</v>
      </c>
      <c r="S2061" s="21" t="e">
        <f>Table1[[#This Row],[5. Lợi nhuận gộp về bán hàng và cung cấp dịch vụ]]/Table1[[#This Row],[TỔNG CỘNG TÀI SẢN]]</f>
        <v>#DIV/0!</v>
      </c>
      <c r="T206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061" s="23" t="e">
        <f>Table1[[#This Row],[1. Doanh thu bán hàng và cung cấp dịch vụ ]]/Table1[[#This Row],[TỔNG CỘNG TÀI SẢN]]</f>
        <v>#DIV/0!</v>
      </c>
      <c r="V2061" s="23" t="e">
        <f>1.2*Table1[[#This Row],[X1]] + 1.4*Table1[[#This Row],[X2]] + 3.3*Table1[[#This Row],[x3]] + 0.6*Table1[[#This Row],[x4]] + 1*Table1[[#This Row],[x5]]</f>
        <v>#DIV/0!</v>
      </c>
      <c r="W2061" s="23" t="e">
        <f>IF(Table1[[#This Row],[Zscore]]&lt;1.81,1,0)</f>
        <v>#DIV/0!</v>
      </c>
    </row>
    <row r="2062" spans="1:23" x14ac:dyDescent="0.45">
      <c r="A2062" s="7">
        <v>2056</v>
      </c>
      <c r="B2062" s="5" t="s">
        <v>4123</v>
      </c>
      <c r="C2062" s="6" t="s">
        <v>4124</v>
      </c>
      <c r="D2062" s="6" t="s">
        <v>21</v>
      </c>
      <c r="E2062" s="8">
        <v>277781200890</v>
      </c>
      <c r="F2062" s="8">
        <v>167381378146</v>
      </c>
      <c r="G2062" s="8">
        <v>90283705140</v>
      </c>
      <c r="H2062" s="8">
        <v>19841533501</v>
      </c>
      <c r="I2062" s="8">
        <v>94318272692</v>
      </c>
      <c r="J2062" s="8"/>
      <c r="K2062" s="8">
        <v>94760209240</v>
      </c>
      <c r="L2062" s="8">
        <v>1435402844680</v>
      </c>
      <c r="M2062" s="8">
        <v>287367631550</v>
      </c>
      <c r="N2062" s="8">
        <v>203246262000</v>
      </c>
      <c r="O2062" s="8">
        <v>232604055400</v>
      </c>
      <c r="P2062" s="8">
        <v>219618877550</v>
      </c>
      <c r="Q2062" s="18">
        <f>(Table1[[#This Row],[A. TÀI SẢN NGẮN HẠN]]-Table1[[#This Row],[I. Nợ ngắn hạn]])/Table1[[#This Row],[TỔNG CỘNG TÀI SẢN]]</f>
        <v>0.27754820253848028</v>
      </c>
      <c r="R2062" s="18">
        <f>Table1[[#This Row],[- LNST chưa phân phối kỳ này]]/Table1[[#This Row],[TỔNG CỘNG TÀI SẢN]]</f>
        <v>7.1428640373893224E-2</v>
      </c>
      <c r="S2062" s="21">
        <f>Table1[[#This Row],[5. Lợi nhuận gộp về bán hàng và cung cấp dịch vụ]]/Table1[[#This Row],[TỔNG CỘNG TÀI SẢN]]</f>
        <v>0.33954159745082813</v>
      </c>
      <c r="T206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2.4874280936634201</v>
      </c>
      <c r="U2062" s="23">
        <f>Table1[[#This Row],[1. Doanh thu bán hàng và cung cấp dịch vụ ]]/Table1[[#This Row],[TỔNG CỘNG TÀI SẢN]]</f>
        <v>5.1673865620892485</v>
      </c>
      <c r="V2062" s="23">
        <f>1.2*Table1[[#This Row],[X1]] + 1.4*Table1[[#This Row],[X2]] + 3.3*Table1[[#This Row],[x3]] + 0.6*Table1[[#This Row],[x4]] + 1*Table1[[#This Row],[x5]]</f>
        <v>8.2133886294446601</v>
      </c>
      <c r="W2062" s="23">
        <f>IF(Table1[[#This Row],[Zscore]]&lt;1.81,1,0)</f>
        <v>0</v>
      </c>
    </row>
    <row r="2063" spans="1:23" x14ac:dyDescent="0.45">
      <c r="A2063" s="7">
        <v>2057</v>
      </c>
      <c r="B2063" s="5" t="s">
        <v>4125</v>
      </c>
      <c r="C2063" s="6" t="s">
        <v>4126</v>
      </c>
      <c r="D2063" s="6" t="s">
        <v>21</v>
      </c>
      <c r="E2063" s="8">
        <v>1775404888248</v>
      </c>
      <c r="F2063" s="8">
        <v>1545883810748</v>
      </c>
      <c r="G2063" s="8">
        <v>1116165149392</v>
      </c>
      <c r="H2063" s="8">
        <v>32039828526</v>
      </c>
      <c r="I2063" s="8">
        <v>166864712488</v>
      </c>
      <c r="J2063" s="8"/>
      <c r="K2063" s="8">
        <v>1116621556205</v>
      </c>
      <c r="L2063" s="8">
        <v>2075581338475</v>
      </c>
      <c r="M2063" s="8">
        <v>510106596450</v>
      </c>
      <c r="N2063" s="8">
        <v>498132263200</v>
      </c>
      <c r="O2063" s="8">
        <v>519686063050</v>
      </c>
      <c r="P2063" s="8">
        <v>493342529900</v>
      </c>
      <c r="Q2063" s="18">
        <f>(Table1[[#This Row],[A. TÀI SẢN NGẮN HẠN]]-Table1[[#This Row],[I. Nợ ngắn hạn]])/Table1[[#This Row],[TỔNG CỘNG TÀI SẢN]]</f>
        <v>0.24203980973605055</v>
      </c>
      <c r="R2063" s="18">
        <f>Table1[[#This Row],[- LNST chưa phân phối kỳ này]]/Table1[[#This Row],[TỔNG CỘNG TÀI SẢN]]</f>
        <v>1.8046491106385006E-2</v>
      </c>
      <c r="S2063" s="21">
        <f>Table1[[#This Row],[5. Lợi nhuận gộp về bán hàng và cung cấp dịch vụ]]/Table1[[#This Row],[TỔNG CỘNG TÀI SẢN]]</f>
        <v>9.3986849756094212E-2</v>
      </c>
      <c r="T206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0.45254084550131068</v>
      </c>
      <c r="U2063" s="23">
        <f>Table1[[#This Row],[1. Doanh thu bán hàng và cung cấp dịch vụ ]]/Table1[[#This Row],[TỔNG CỘNG TÀI SẢN]]</f>
        <v>1.1690749260712126</v>
      </c>
      <c r="V2063" s="23">
        <f>1.2*Table1[[#This Row],[X1]] + 1.4*Table1[[#This Row],[X2]] + 3.3*Table1[[#This Row],[x3]] + 0.6*Table1[[#This Row],[x4]] + 1*Table1[[#This Row],[x5]]</f>
        <v>2.0664688967993095</v>
      </c>
      <c r="W2063" s="23">
        <f>IF(Table1[[#This Row],[Zscore]]&lt;1.81,1,0)</f>
        <v>0</v>
      </c>
    </row>
    <row r="2064" spans="1:23" x14ac:dyDescent="0.45">
      <c r="A2064" s="7">
        <v>2058</v>
      </c>
      <c r="B2064" s="5" t="s">
        <v>4127</v>
      </c>
      <c r="C2064" s="6" t="s">
        <v>4128</v>
      </c>
      <c r="D2064" s="6" t="s">
        <v>21</v>
      </c>
      <c r="E2064" s="8">
        <v>903914773998</v>
      </c>
      <c r="F2064" s="8">
        <v>610147491824</v>
      </c>
      <c r="G2064" s="8">
        <v>132785216659</v>
      </c>
      <c r="H2064" s="8">
        <v>43224019861</v>
      </c>
      <c r="I2064" s="8">
        <v>180582600891</v>
      </c>
      <c r="J2064" s="8"/>
      <c r="K2064" s="8">
        <v>134140111659</v>
      </c>
      <c r="L2064" s="8">
        <v>1106411137698</v>
      </c>
      <c r="M2064" s="8">
        <v>683132503000</v>
      </c>
      <c r="N2064" s="8">
        <v>607800850000</v>
      </c>
      <c r="O2064" s="8">
        <v>641449841800</v>
      </c>
      <c r="P2064" s="8">
        <v>619956867000</v>
      </c>
      <c r="Q2064" s="18">
        <f>(Table1[[#This Row],[A. TÀI SẢN NGẮN HẠN]]-Table1[[#This Row],[I. Nợ ngắn hạn]])/Table1[[#This Row],[TỔNG CỘNG TÀI SẢN]]</f>
        <v>0.52810540207638668</v>
      </c>
      <c r="R2064" s="18">
        <f>Table1[[#This Row],[- LNST chưa phân phối kỳ này]]/Table1[[#This Row],[TỔNG CỘNG TÀI SẢN]]</f>
        <v>4.7818689443276691E-2</v>
      </c>
      <c r="S2064" s="21">
        <f>Table1[[#This Row],[5. Lợi nhuận gộp về bán hàng và cung cấp dịch vụ]]/Table1[[#This Row],[TỔNG CỘNG TÀI SẢN]]</f>
        <v>0.19977834867361019</v>
      </c>
      <c r="T206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4.7568546615801797</v>
      </c>
      <c r="U2064" s="23">
        <f>Table1[[#This Row],[1. Doanh thu bán hàng và cung cấp dịch vụ ]]/Table1[[#This Row],[TỔNG CỘNG TÀI SẢN]]</f>
        <v>1.2240215222994553</v>
      </c>
      <c r="V2064" s="23">
        <f>1.2*Table1[[#This Row],[X1]] + 1.4*Table1[[#This Row],[X2]] + 3.3*Table1[[#This Row],[x3]] + 0.6*Table1[[#This Row],[x4]] + 1*Table1[[#This Row],[x5]]</f>
        <v>5.4380755175827282</v>
      </c>
      <c r="W2064" s="23">
        <f>IF(Table1[[#This Row],[Zscore]]&lt;1.81,1,0)</f>
        <v>0</v>
      </c>
    </row>
    <row r="2065" spans="1:23" x14ac:dyDescent="0.45">
      <c r="A2065" s="7">
        <v>2059</v>
      </c>
      <c r="B2065" s="5" t="s">
        <v>4129</v>
      </c>
      <c r="C2065" s="6" t="s">
        <v>4130</v>
      </c>
      <c r="D2065" s="6" t="s">
        <v>36</v>
      </c>
      <c r="E2065" s="8">
        <v>131186864819</v>
      </c>
      <c r="F2065" s="8">
        <v>83585737141</v>
      </c>
      <c r="G2065" s="8">
        <v>9692108759</v>
      </c>
      <c r="H2065" s="8">
        <v>10519769046</v>
      </c>
      <c r="I2065" s="8">
        <v>23645271335</v>
      </c>
      <c r="J2065" s="8"/>
      <c r="K2065" s="8">
        <v>46692094509</v>
      </c>
      <c r="L2065" s="8">
        <v>148629275606</v>
      </c>
      <c r="M2065" s="8">
        <v>65302620000</v>
      </c>
      <c r="N2065" s="8">
        <v>61865640000</v>
      </c>
      <c r="O2065" s="8">
        <v>56710170000</v>
      </c>
      <c r="P2065" s="8">
        <v>70171675000</v>
      </c>
      <c r="Q2065" s="18">
        <f>(Table1[[#This Row],[A. TÀI SẢN NGẮN HẠN]]-Table1[[#This Row],[I. Nợ ngắn hạn]])/Table1[[#This Row],[TỔNG CỘNG TÀI SẢN]]</f>
        <v>0.56327002313800145</v>
      </c>
      <c r="R2065" s="18">
        <f>Table1[[#This Row],[- LNST chưa phân phối kỳ này]]/Table1[[#This Row],[TỔNG CỘNG TÀI SẢN]]</f>
        <v>8.0189194707215875E-2</v>
      </c>
      <c r="S2065" s="21">
        <f>Table1[[#This Row],[5. Lợi nhuận gộp về bán hàng và cung cấp dịch vụ]]/Table1[[#This Row],[TỔNG CỘNG TÀI SẢN]]</f>
        <v>0.1802411496579604</v>
      </c>
      <c r="T206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1.3602415337730851</v>
      </c>
      <c r="U2065" s="23">
        <f>Table1[[#This Row],[1. Doanh thu bán hàng và cung cấp dịch vụ ]]/Table1[[#This Row],[TỔNG CỘNG TÀI SẢN]]</f>
        <v>1.1329585154052235</v>
      </c>
      <c r="V2065" s="23">
        <f>1.2*Table1[[#This Row],[X1]] + 1.4*Table1[[#This Row],[X2]] + 3.3*Table1[[#This Row],[x3]] + 0.6*Table1[[#This Row],[x4]] + 1*Table1[[#This Row],[x5]]</f>
        <v>3.3320881298960474</v>
      </c>
      <c r="W2065" s="23">
        <f>IF(Table1[[#This Row],[Zscore]]&lt;1.81,1,0)</f>
        <v>0</v>
      </c>
    </row>
    <row r="2066" spans="1:23" hidden="1" x14ac:dyDescent="0.45">
      <c r="A2066" s="7">
        <v>2060</v>
      </c>
      <c r="B2066" s="5" t="s">
        <v>4131</v>
      </c>
      <c r="C2066" s="6" t="s">
        <v>4132</v>
      </c>
      <c r="D2066" s="6" t="s">
        <v>13</v>
      </c>
      <c r="E2066" s="6"/>
      <c r="F2066" s="6"/>
      <c r="G2066" s="6"/>
      <c r="H2066" s="6"/>
      <c r="I2066" s="6"/>
      <c r="J2066" s="8"/>
      <c r="K2066" s="6"/>
      <c r="L2066" s="6"/>
      <c r="M2066" s="8"/>
      <c r="N2066" s="8"/>
      <c r="O2066" s="8"/>
      <c r="P2066" s="8"/>
      <c r="Q2066" s="18" t="e">
        <f>(Table1[[#This Row],[A. TÀI SẢN NGẮN HẠN]]-Table1[[#This Row],[I. Nợ ngắn hạn]])/Table1[[#This Row],[TỔNG CỘNG TÀI SẢN]]</f>
        <v>#DIV/0!</v>
      </c>
      <c r="R2066" s="18" t="e">
        <f>Table1[[#This Row],[- LNST chưa phân phối kỳ này]]/Table1[[#This Row],[TỔNG CỘNG TÀI SẢN]]</f>
        <v>#DIV/0!</v>
      </c>
      <c r="S2066" s="21" t="e">
        <f>Table1[[#This Row],[5. Lợi nhuận gộp về bán hàng và cung cấp dịch vụ]]/Table1[[#This Row],[TỔNG CỘNG TÀI SẢN]]</f>
        <v>#DIV/0!</v>
      </c>
      <c r="T206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066" s="23" t="e">
        <f>Table1[[#This Row],[1. Doanh thu bán hàng và cung cấp dịch vụ ]]/Table1[[#This Row],[TỔNG CỘNG TÀI SẢN]]</f>
        <v>#DIV/0!</v>
      </c>
      <c r="V2066" s="23" t="e">
        <f>1.2*Table1[[#This Row],[X1]] + 1.4*Table1[[#This Row],[X2]] + 3.3*Table1[[#This Row],[x3]] + 0.6*Table1[[#This Row],[x4]] + 1*Table1[[#This Row],[x5]]</f>
        <v>#DIV/0!</v>
      </c>
      <c r="W2066" s="23" t="e">
        <f>IF(Table1[[#This Row],[Zscore]]&lt;1.81,1,0)</f>
        <v>#DIV/0!</v>
      </c>
    </row>
    <row r="2067" spans="1:23" ht="26.25" x14ac:dyDescent="0.45">
      <c r="A2067" s="7">
        <v>2061</v>
      </c>
      <c r="B2067" s="5" t="s">
        <v>4133</v>
      </c>
      <c r="C2067" s="6" t="s">
        <v>4134</v>
      </c>
      <c r="D2067" s="6" t="s">
        <v>18</v>
      </c>
      <c r="E2067" s="8">
        <v>35377029000000</v>
      </c>
      <c r="F2067" s="6"/>
      <c r="G2067" s="6"/>
      <c r="H2067" s="6"/>
      <c r="I2067" s="6"/>
      <c r="J2067" s="8"/>
      <c r="K2067" s="8">
        <v>31182886000000</v>
      </c>
      <c r="L2067" s="8">
        <v>2211933000000</v>
      </c>
      <c r="M2067" s="8">
        <v>4506028575300</v>
      </c>
      <c r="N2067" s="8">
        <v>4201109348400</v>
      </c>
      <c r="O2067" s="8">
        <v>4302749090700</v>
      </c>
      <c r="P2067" s="8">
        <v>4438268747100</v>
      </c>
      <c r="Q2067" s="18">
        <f>(Table1[[#This Row],[A. TÀI SẢN NGẮN HẠN]]-Table1[[#This Row],[I. Nợ ngắn hạn]])/Table1[[#This Row],[TỔNG CỘNG TÀI SẢN]]</f>
        <v>0</v>
      </c>
      <c r="R2067" s="18">
        <f>Table1[[#This Row],[- LNST chưa phân phối kỳ này]]/Table1[[#This Row],[TỔNG CỘNG TÀI SẢN]]</f>
        <v>0</v>
      </c>
      <c r="S2067" s="21">
        <f>Table1[[#This Row],[5. Lợi nhuận gộp về bán hàng và cung cấp dịch vụ]]/Table1[[#This Row],[TỔNG CỘNG TÀI SẢN]]</f>
        <v>0</v>
      </c>
      <c r="T206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0.13988567127414056</v>
      </c>
      <c r="U2067" s="23">
        <f>Table1[[#This Row],[1. Doanh thu bán hàng và cung cấp dịch vụ ]]/Table1[[#This Row],[TỔNG CỘNG TÀI SẢN]]</f>
        <v>6.2524555128696646E-2</v>
      </c>
      <c r="V2067" s="23">
        <f>1.2*Table1[[#This Row],[X1]] + 1.4*Table1[[#This Row],[X2]] + 3.3*Table1[[#This Row],[x3]] + 0.6*Table1[[#This Row],[x4]] + 1*Table1[[#This Row],[x5]]</f>
        <v>0.146455957893181</v>
      </c>
      <c r="W2067" s="23">
        <f>IF(Table1[[#This Row],[Zscore]]&lt;1.81,1,0)</f>
        <v>1</v>
      </c>
    </row>
    <row r="2068" spans="1:23" x14ac:dyDescent="0.45">
      <c r="A2068" s="7">
        <v>2062</v>
      </c>
      <c r="B2068" s="5" t="s">
        <v>4135</v>
      </c>
      <c r="C2068" s="6" t="s">
        <v>4136</v>
      </c>
      <c r="D2068" s="6" t="s">
        <v>36</v>
      </c>
      <c r="E2068" s="8">
        <v>635236017937</v>
      </c>
      <c r="F2068" s="8">
        <v>259486853274</v>
      </c>
      <c r="G2068" s="8">
        <v>117638701344</v>
      </c>
      <c r="H2068" s="8">
        <v>128378968108</v>
      </c>
      <c r="I2068" s="8">
        <v>222369441823</v>
      </c>
      <c r="J2068" s="8"/>
      <c r="K2068" s="8">
        <v>142565756690</v>
      </c>
      <c r="L2068" s="8">
        <v>747097164984</v>
      </c>
      <c r="M2068" s="8">
        <v>914890240000</v>
      </c>
      <c r="N2068" s="8">
        <v>586101560000</v>
      </c>
      <c r="O2068" s="8">
        <v>821971700000</v>
      </c>
      <c r="P2068" s="8">
        <v>774797672000</v>
      </c>
      <c r="Q2068" s="18">
        <f>(Table1[[#This Row],[A. TÀI SẢN NGẮN HẠN]]-Table1[[#This Row],[I. Nợ ngắn hạn]])/Table1[[#This Row],[TỔNG CỘNG TÀI SẢN]]</f>
        <v>0.22329991991113435</v>
      </c>
      <c r="R2068" s="18">
        <f>Table1[[#This Row],[- LNST chưa phân phối kỳ này]]/Table1[[#This Row],[TỔNG CỘNG TÀI SẢN]]</f>
        <v>0.20209648773525948</v>
      </c>
      <c r="S2068" s="21">
        <f>Table1[[#This Row],[5. Lợi nhuận gộp về bán hàng và cung cấp dịch vụ]]/Table1[[#This Row],[TỔNG CỘNG TÀI SẢN]]</f>
        <v>0.35005798717958347</v>
      </c>
      <c r="T206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5.4321620491516081</v>
      </c>
      <c r="U2068" s="23">
        <f>Table1[[#This Row],[1. Doanh thu bán hàng và cung cấp dịch vụ ]]/Table1[[#This Row],[TỔNG CỘNG TÀI SẢN]]</f>
        <v>1.1760938358159878</v>
      </c>
      <c r="V2068" s="23">
        <f>1.2*Table1[[#This Row],[X1]] + 1.4*Table1[[#This Row],[X2]] + 3.3*Table1[[#This Row],[x3]] + 0.6*Table1[[#This Row],[x4]] + 1*Table1[[#This Row],[x5]]</f>
        <v>6.1414774097223024</v>
      </c>
      <c r="W2068" s="23">
        <f>IF(Table1[[#This Row],[Zscore]]&lt;1.81,1,0)</f>
        <v>0</v>
      </c>
    </row>
    <row r="2069" spans="1:23" ht="26.25" hidden="1" x14ac:dyDescent="0.45">
      <c r="A2069" s="7">
        <v>2063</v>
      </c>
      <c r="B2069" s="5" t="s">
        <v>4137</v>
      </c>
      <c r="C2069" s="6" t="s">
        <v>12</v>
      </c>
      <c r="D2069" s="6" t="s">
        <v>13</v>
      </c>
      <c r="E2069" s="6"/>
      <c r="F2069" s="6"/>
      <c r="G2069" s="6"/>
      <c r="H2069" s="6"/>
      <c r="I2069" s="6"/>
      <c r="J2069" s="8"/>
      <c r="K2069" s="6"/>
      <c r="L2069" s="6"/>
      <c r="M2069" s="8"/>
      <c r="N2069" s="8"/>
      <c r="O2069" s="8"/>
      <c r="P2069" s="8"/>
      <c r="Q2069" s="18" t="e">
        <f>(Table1[[#This Row],[A. TÀI SẢN NGẮN HẠN]]-Table1[[#This Row],[I. Nợ ngắn hạn]])/Table1[[#This Row],[TỔNG CỘNG TÀI SẢN]]</f>
        <v>#DIV/0!</v>
      </c>
      <c r="R2069" s="18" t="e">
        <f>Table1[[#This Row],[- LNST chưa phân phối kỳ này]]/Table1[[#This Row],[TỔNG CỘNG TÀI SẢN]]</f>
        <v>#DIV/0!</v>
      </c>
      <c r="S2069" s="21" t="e">
        <f>Table1[[#This Row],[5. Lợi nhuận gộp về bán hàng và cung cấp dịch vụ]]/Table1[[#This Row],[TỔNG CỘNG TÀI SẢN]]</f>
        <v>#DIV/0!</v>
      </c>
      <c r="T206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069" s="23" t="e">
        <f>Table1[[#This Row],[1. Doanh thu bán hàng và cung cấp dịch vụ ]]/Table1[[#This Row],[TỔNG CỘNG TÀI SẢN]]</f>
        <v>#DIV/0!</v>
      </c>
      <c r="V2069" s="23" t="e">
        <f>1.2*Table1[[#This Row],[X1]] + 1.4*Table1[[#This Row],[X2]] + 3.3*Table1[[#This Row],[x3]] + 0.6*Table1[[#This Row],[x4]] + 1*Table1[[#This Row],[x5]]</f>
        <v>#DIV/0!</v>
      </c>
      <c r="W2069" s="23" t="e">
        <f>IF(Table1[[#This Row],[Zscore]]&lt;1.81,1,0)</f>
        <v>#DIV/0!</v>
      </c>
    </row>
    <row r="2070" spans="1:23" ht="26.25" hidden="1" x14ac:dyDescent="0.45">
      <c r="A2070" s="7">
        <v>2064</v>
      </c>
      <c r="B2070" s="5" t="s">
        <v>4138</v>
      </c>
      <c r="C2070" s="6" t="s">
        <v>4139</v>
      </c>
      <c r="D2070" s="6" t="s">
        <v>13</v>
      </c>
      <c r="E2070" s="6"/>
      <c r="F2070" s="6"/>
      <c r="G2070" s="6"/>
      <c r="H2070" s="6"/>
      <c r="I2070" s="6"/>
      <c r="J2070" s="8"/>
      <c r="K2070" s="6"/>
      <c r="L2070" s="6"/>
      <c r="M2070" s="8"/>
      <c r="N2070" s="8"/>
      <c r="O2070" s="8"/>
      <c r="P2070" s="8"/>
      <c r="Q2070" s="18" t="e">
        <f>(Table1[[#This Row],[A. TÀI SẢN NGẮN HẠN]]-Table1[[#This Row],[I. Nợ ngắn hạn]])/Table1[[#This Row],[TỔNG CỘNG TÀI SẢN]]</f>
        <v>#DIV/0!</v>
      </c>
      <c r="R2070" s="18" t="e">
        <f>Table1[[#This Row],[- LNST chưa phân phối kỳ này]]/Table1[[#This Row],[TỔNG CỘNG TÀI SẢN]]</f>
        <v>#DIV/0!</v>
      </c>
      <c r="S2070" s="21" t="e">
        <f>Table1[[#This Row],[5. Lợi nhuận gộp về bán hàng và cung cấp dịch vụ]]/Table1[[#This Row],[TỔNG CỘNG TÀI SẢN]]</f>
        <v>#DIV/0!</v>
      </c>
      <c r="T207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070" s="23" t="e">
        <f>Table1[[#This Row],[1. Doanh thu bán hàng và cung cấp dịch vụ ]]/Table1[[#This Row],[TỔNG CỘNG TÀI SẢN]]</f>
        <v>#DIV/0!</v>
      </c>
      <c r="V2070" s="23" t="e">
        <f>1.2*Table1[[#This Row],[X1]] + 1.4*Table1[[#This Row],[X2]] + 3.3*Table1[[#This Row],[x3]] + 0.6*Table1[[#This Row],[x4]] + 1*Table1[[#This Row],[x5]]</f>
        <v>#DIV/0!</v>
      </c>
      <c r="W2070" s="23" t="e">
        <f>IF(Table1[[#This Row],[Zscore]]&lt;1.81,1,0)</f>
        <v>#DIV/0!</v>
      </c>
    </row>
    <row r="2071" spans="1:23" ht="26.25" x14ac:dyDescent="0.45">
      <c r="A2071" s="7">
        <v>2065</v>
      </c>
      <c r="B2071" s="5" t="s">
        <v>4140</v>
      </c>
      <c r="C2071" s="6" t="s">
        <v>4141</v>
      </c>
      <c r="D2071" s="6" t="s">
        <v>36</v>
      </c>
      <c r="E2071" s="8">
        <v>76849892200</v>
      </c>
      <c r="F2071" s="8">
        <v>39263269479</v>
      </c>
      <c r="G2071" s="8">
        <v>14913985222</v>
      </c>
      <c r="H2071" s="8">
        <v>-1063516088</v>
      </c>
      <c r="I2071" s="8">
        <v>15584573263</v>
      </c>
      <c r="J2071" s="8"/>
      <c r="K2071" s="8">
        <v>19913985205</v>
      </c>
      <c r="L2071" s="8">
        <v>140188982357</v>
      </c>
      <c r="M2071" s="8">
        <v>41238600000</v>
      </c>
      <c r="N2071" s="8">
        <v>79242800000</v>
      </c>
      <c r="O2071" s="8">
        <v>84498700000</v>
      </c>
      <c r="P2071" s="8">
        <v>105118000000</v>
      </c>
      <c r="Q2071" s="18">
        <f>(Table1[[#This Row],[A. TÀI SẢN NGẮN HẠN]]-Table1[[#This Row],[I. Nợ ngắn hạn]])/Table1[[#This Row],[TỔNG CỘNG TÀI SẢN]]</f>
        <v>0.31684213939600037</v>
      </c>
      <c r="R2071" s="18">
        <f>Table1[[#This Row],[- LNST chưa phân phối kỳ này]]/Table1[[#This Row],[TỔNG CỘNG TÀI SẢN]]</f>
        <v>-1.3838875469496104E-2</v>
      </c>
      <c r="S2071" s="21">
        <f>Table1[[#This Row],[5. Lợi nhuận gộp về bán hàng và cung cấp dịch vụ]]/Table1[[#This Row],[TỔNG CỘNG TÀI SẢN]]</f>
        <v>0.20279238938216754</v>
      </c>
      <c r="T207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3.8929688960768716</v>
      </c>
      <c r="U2071" s="23">
        <f>Table1[[#This Row],[1. Doanh thu bán hàng và cung cấp dịch vụ ]]/Table1[[#This Row],[TỔNG CỘNG TÀI SẢN]]</f>
        <v>1.8241923097583734</v>
      </c>
      <c r="V2071" s="23">
        <f>1.2*Table1[[#This Row],[X1]] + 1.4*Table1[[#This Row],[X2]] + 3.3*Table1[[#This Row],[x3]] + 0.6*Table1[[#This Row],[x4]] + 1*Table1[[#This Row],[x5]]</f>
        <v>5.1900246739835554</v>
      </c>
      <c r="W2071" s="23">
        <f>IF(Table1[[#This Row],[Zscore]]&lt;1.81,1,0)</f>
        <v>0</v>
      </c>
    </row>
    <row r="2072" spans="1:23" hidden="1" x14ac:dyDescent="0.45">
      <c r="A2072" s="7">
        <v>2066</v>
      </c>
      <c r="B2072" s="5" t="s">
        <v>4142</v>
      </c>
      <c r="C2072" s="6" t="s">
        <v>4143</v>
      </c>
      <c r="D2072" s="6" t="s">
        <v>13</v>
      </c>
      <c r="E2072" s="6"/>
      <c r="F2072" s="6"/>
      <c r="G2072" s="6"/>
      <c r="H2072" s="6"/>
      <c r="I2072" s="6"/>
      <c r="J2072" s="8"/>
      <c r="K2072" s="6"/>
      <c r="L2072" s="6"/>
      <c r="M2072" s="8"/>
      <c r="N2072" s="8"/>
      <c r="O2072" s="8"/>
      <c r="P2072" s="8"/>
      <c r="Q2072" s="18" t="e">
        <f>(Table1[[#This Row],[A. TÀI SẢN NGẮN HẠN]]-Table1[[#This Row],[I. Nợ ngắn hạn]])/Table1[[#This Row],[TỔNG CỘNG TÀI SẢN]]</f>
        <v>#DIV/0!</v>
      </c>
      <c r="R2072" s="18" t="e">
        <f>Table1[[#This Row],[- LNST chưa phân phối kỳ này]]/Table1[[#This Row],[TỔNG CỘNG TÀI SẢN]]</f>
        <v>#DIV/0!</v>
      </c>
      <c r="S2072" s="21" t="e">
        <f>Table1[[#This Row],[5. Lợi nhuận gộp về bán hàng và cung cấp dịch vụ]]/Table1[[#This Row],[TỔNG CỘNG TÀI SẢN]]</f>
        <v>#DIV/0!</v>
      </c>
      <c r="T207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072" s="23" t="e">
        <f>Table1[[#This Row],[1. Doanh thu bán hàng và cung cấp dịch vụ ]]/Table1[[#This Row],[TỔNG CỘNG TÀI SẢN]]</f>
        <v>#DIV/0!</v>
      </c>
      <c r="V2072" s="23" t="e">
        <f>1.2*Table1[[#This Row],[X1]] + 1.4*Table1[[#This Row],[X2]] + 3.3*Table1[[#This Row],[x3]] + 0.6*Table1[[#This Row],[x4]] + 1*Table1[[#This Row],[x5]]</f>
        <v>#DIV/0!</v>
      </c>
      <c r="W2072" s="23" t="e">
        <f>IF(Table1[[#This Row],[Zscore]]&lt;1.81,1,0)</f>
        <v>#DIV/0!</v>
      </c>
    </row>
    <row r="2073" spans="1:23" x14ac:dyDescent="0.45">
      <c r="A2073" s="7">
        <v>2067</v>
      </c>
      <c r="B2073" s="5" t="s">
        <v>4144</v>
      </c>
      <c r="C2073" s="6" t="s">
        <v>4145</v>
      </c>
      <c r="D2073" s="6" t="s">
        <v>36</v>
      </c>
      <c r="E2073" s="8">
        <v>172635741817</v>
      </c>
      <c r="F2073" s="8">
        <v>147994227061</v>
      </c>
      <c r="G2073" s="8">
        <v>25857510527</v>
      </c>
      <c r="H2073" s="8">
        <v>16265743684</v>
      </c>
      <c r="I2073" s="8">
        <v>23767945854</v>
      </c>
      <c r="J2073" s="8"/>
      <c r="K2073" s="8">
        <v>27320010527</v>
      </c>
      <c r="L2073" s="8">
        <v>49560792656</v>
      </c>
      <c r="M2073" s="8">
        <v>370923000000</v>
      </c>
      <c r="N2073" s="8">
        <v>333830700000</v>
      </c>
      <c r="O2073" s="8">
        <v>272010200000</v>
      </c>
      <c r="P2073" s="8">
        <v>373395820000</v>
      </c>
      <c r="Q2073" s="18">
        <f>(Table1[[#This Row],[A. TÀI SẢN NGẮN HẠN]]-Table1[[#This Row],[I. Nợ ngắn hạn]])/Table1[[#This Row],[TỔNG CỘNG TÀI SẢN]]</f>
        <v>0.70748221224935703</v>
      </c>
      <c r="R2073" s="18">
        <f>Table1[[#This Row],[- LNST chưa phân phối kỳ này]]/Table1[[#This Row],[TỔNG CỘNG TÀI SẢN]]</f>
        <v>9.4220023691514956E-2</v>
      </c>
      <c r="S2073" s="21">
        <f>Table1[[#This Row],[5. Lợi nhuận gộp về bán hàng và cung cấp dịch vụ]]/Table1[[#This Row],[TỔNG CỘNG TÀI SẢN]]</f>
        <v>0.13767685418929565</v>
      </c>
      <c r="T207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12.355043921612468</v>
      </c>
      <c r="U2073" s="23">
        <f>Table1[[#This Row],[1. Doanh thu bán hàng và cung cấp dịch vụ ]]/Table1[[#This Row],[TỔNG CỘNG TÀI SẢN]]</f>
        <v>0.28708303468546043</v>
      </c>
      <c r="V2073" s="23">
        <f>1.2*Table1[[#This Row],[X1]] + 1.4*Table1[[#This Row],[X2]] + 3.3*Table1[[#This Row],[x3]] + 0.6*Table1[[#This Row],[x4]] + 1*Table1[[#This Row],[x5]]</f>
        <v>9.135329694344966</v>
      </c>
      <c r="W2073" s="23">
        <f>IF(Table1[[#This Row],[Zscore]]&lt;1.81,1,0)</f>
        <v>0</v>
      </c>
    </row>
    <row r="2074" spans="1:23" x14ac:dyDescent="0.45">
      <c r="A2074" s="7">
        <v>2068</v>
      </c>
      <c r="B2074" s="5" t="s">
        <v>4146</v>
      </c>
      <c r="C2074" s="6" t="s">
        <v>4147</v>
      </c>
      <c r="D2074" s="6" t="s">
        <v>18</v>
      </c>
      <c r="E2074" s="8">
        <v>6417219204625</v>
      </c>
      <c r="F2074" s="8">
        <v>5219014763616</v>
      </c>
      <c r="G2074" s="8">
        <v>3363695054888</v>
      </c>
      <c r="H2074" s="8">
        <v>1341984927</v>
      </c>
      <c r="I2074" s="8">
        <v>360038331264</v>
      </c>
      <c r="J2074" s="8"/>
      <c r="K2074" s="8">
        <v>3542664078018</v>
      </c>
      <c r="L2074" s="8">
        <v>2427208639976</v>
      </c>
      <c r="M2074" s="8">
        <v>973494630000</v>
      </c>
      <c r="N2074" s="8">
        <v>965948160000</v>
      </c>
      <c r="O2074" s="8">
        <v>981041100000</v>
      </c>
      <c r="P2074" s="8">
        <v>981041100000</v>
      </c>
      <c r="Q2074" s="18">
        <f>(Table1[[#This Row],[A. TÀI SẢN NGẮN HẠN]]-Table1[[#This Row],[I. Nợ ngắn hạn]])/Table1[[#This Row],[TỔNG CỘNG TÀI SẢN]]</f>
        <v>0.28911583811736385</v>
      </c>
      <c r="R2074" s="18">
        <f>Table1[[#This Row],[- LNST chưa phân phối kỳ này]]/Table1[[#This Row],[TỔNG CỘNG TÀI SẢN]]</f>
        <v>2.0912250060474923E-4</v>
      </c>
      <c r="S2074" s="21">
        <f>Table1[[#This Row],[5. Lợi nhuận gộp về bán hàng và cung cấp dịch vụ]]/Table1[[#This Row],[TỔNG CỘNG TÀI SẢN]]</f>
        <v>5.6105038613066885E-2</v>
      </c>
      <c r="T207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0.27532422663276973</v>
      </c>
      <c r="U2074" s="23">
        <f>Table1[[#This Row],[1. Doanh thu bán hàng và cung cấp dịch vụ ]]/Table1[[#This Row],[TỔNG CỘNG TÀI SẢN]]</f>
        <v>0.37823371192099359</v>
      </c>
      <c r="V2074" s="23">
        <f>1.2*Table1[[#This Row],[X1]] + 1.4*Table1[[#This Row],[X2]] + 3.3*Table1[[#This Row],[x3]] + 0.6*Table1[[#This Row],[x4]] + 1*Table1[[#This Row],[x5]]</f>
        <v>1.0758066525654595</v>
      </c>
      <c r="W2074" s="23">
        <f>IF(Table1[[#This Row],[Zscore]]&lt;1.81,1,0)</f>
        <v>1</v>
      </c>
    </row>
    <row r="2075" spans="1:23" hidden="1" x14ac:dyDescent="0.45">
      <c r="A2075" s="7">
        <v>2069</v>
      </c>
      <c r="B2075" s="5" t="s">
        <v>4148</v>
      </c>
      <c r="C2075" s="6" t="s">
        <v>4149</v>
      </c>
      <c r="D2075" s="6" t="s">
        <v>13</v>
      </c>
      <c r="E2075" s="6"/>
      <c r="F2075" s="6"/>
      <c r="G2075" s="6"/>
      <c r="H2075" s="6"/>
      <c r="I2075" s="6"/>
      <c r="J2075" s="8"/>
      <c r="K2075" s="6"/>
      <c r="L2075" s="6"/>
      <c r="M2075" s="8"/>
      <c r="N2075" s="8"/>
      <c r="O2075" s="8"/>
      <c r="P2075" s="8"/>
      <c r="Q2075" s="18" t="e">
        <f>(Table1[[#This Row],[A. TÀI SẢN NGẮN HẠN]]-Table1[[#This Row],[I. Nợ ngắn hạn]])/Table1[[#This Row],[TỔNG CỘNG TÀI SẢN]]</f>
        <v>#DIV/0!</v>
      </c>
      <c r="R2075" s="18" t="e">
        <f>Table1[[#This Row],[- LNST chưa phân phối kỳ này]]/Table1[[#This Row],[TỔNG CỘNG TÀI SẢN]]</f>
        <v>#DIV/0!</v>
      </c>
      <c r="S2075" s="21" t="e">
        <f>Table1[[#This Row],[5. Lợi nhuận gộp về bán hàng và cung cấp dịch vụ]]/Table1[[#This Row],[TỔNG CỘNG TÀI SẢN]]</f>
        <v>#DIV/0!</v>
      </c>
      <c r="T207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075" s="23" t="e">
        <f>Table1[[#This Row],[1. Doanh thu bán hàng và cung cấp dịch vụ ]]/Table1[[#This Row],[TỔNG CỘNG TÀI SẢN]]</f>
        <v>#DIV/0!</v>
      </c>
      <c r="V2075" s="23" t="e">
        <f>1.2*Table1[[#This Row],[X1]] + 1.4*Table1[[#This Row],[X2]] + 3.3*Table1[[#This Row],[x3]] + 0.6*Table1[[#This Row],[x4]] + 1*Table1[[#This Row],[x5]]</f>
        <v>#DIV/0!</v>
      </c>
      <c r="W2075" s="23" t="e">
        <f>IF(Table1[[#This Row],[Zscore]]&lt;1.81,1,0)</f>
        <v>#DIV/0!</v>
      </c>
    </row>
    <row r="2076" spans="1:23" x14ac:dyDescent="0.45">
      <c r="A2076" s="7">
        <v>2070</v>
      </c>
      <c r="B2076" s="5" t="s">
        <v>4150</v>
      </c>
      <c r="C2076" s="6" t="s">
        <v>4151</v>
      </c>
      <c r="D2076" s="6" t="s">
        <v>21</v>
      </c>
      <c r="E2076" s="8">
        <v>1732756091809</v>
      </c>
      <c r="F2076" s="8">
        <v>1528067051009</v>
      </c>
      <c r="G2076" s="8">
        <v>323201004092</v>
      </c>
      <c r="H2076" s="8">
        <v>208179895462</v>
      </c>
      <c r="I2076" s="8">
        <v>426554806742</v>
      </c>
      <c r="J2076" s="8"/>
      <c r="K2076" s="8">
        <v>359998170842</v>
      </c>
      <c r="L2076" s="8">
        <v>1480707944056</v>
      </c>
      <c r="M2076" s="8">
        <v>2783288053000</v>
      </c>
      <c r="N2076" s="8">
        <v>1986466446300</v>
      </c>
      <c r="O2076" s="8">
        <v>2129383028500</v>
      </c>
      <c r="P2076" s="8">
        <v>2167358837700</v>
      </c>
      <c r="Q2076" s="18">
        <f>(Table1[[#This Row],[A. TÀI SẢN NGẮN HẠN]]-Table1[[#This Row],[I. Nợ ngắn hạn]])/Table1[[#This Row],[TỔNG CỘNG TÀI SẢN]]</f>
        <v>0.69534659414131272</v>
      </c>
      <c r="R2076" s="18">
        <f>Table1[[#This Row],[- LNST chưa phân phối kỳ này]]/Table1[[#This Row],[TỔNG CỘNG TÀI SẢN]]</f>
        <v>0.1201437966059377</v>
      </c>
      <c r="S2076" s="21">
        <f>Table1[[#This Row],[5. Lợi nhuận gộp về bán hàng và cung cấp dịch vụ]]/Table1[[#This Row],[TỔNG CỘNG TÀI SẢN]]</f>
        <v>0.24617129251969683</v>
      </c>
      <c r="T207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6.2962100226053686</v>
      </c>
      <c r="U2076" s="23">
        <f>Table1[[#This Row],[1. Doanh thu bán hàng và cung cấp dịch vụ ]]/Table1[[#This Row],[TỔNG CỘNG TÀI SẢN]]</f>
        <v>0.85453916512285277</v>
      </c>
      <c r="V2076" s="23">
        <f>1.2*Table1[[#This Row],[X1]] + 1.4*Table1[[#This Row],[X2]] + 3.3*Table1[[#This Row],[x3]] + 0.6*Table1[[#This Row],[x4]] + 1*Table1[[#This Row],[x5]]</f>
        <v>6.4472476722189622</v>
      </c>
      <c r="W2076" s="23">
        <f>IF(Table1[[#This Row],[Zscore]]&lt;1.81,1,0)</f>
        <v>0</v>
      </c>
    </row>
    <row r="2077" spans="1:23" hidden="1" x14ac:dyDescent="0.45">
      <c r="A2077" s="7">
        <v>2071</v>
      </c>
      <c r="B2077" s="5" t="s">
        <v>4152</v>
      </c>
      <c r="C2077" s="6" t="s">
        <v>4153</v>
      </c>
      <c r="D2077" s="6" t="s">
        <v>13</v>
      </c>
      <c r="E2077" s="6"/>
      <c r="F2077" s="6"/>
      <c r="G2077" s="6"/>
      <c r="H2077" s="6"/>
      <c r="I2077" s="6"/>
      <c r="J2077" s="8"/>
      <c r="K2077" s="6"/>
      <c r="L2077" s="6"/>
      <c r="M2077" s="8"/>
      <c r="N2077" s="8"/>
      <c r="O2077" s="8"/>
      <c r="P2077" s="8"/>
      <c r="Q2077" s="18" t="e">
        <f>(Table1[[#This Row],[A. TÀI SẢN NGẮN HẠN]]-Table1[[#This Row],[I. Nợ ngắn hạn]])/Table1[[#This Row],[TỔNG CỘNG TÀI SẢN]]</f>
        <v>#DIV/0!</v>
      </c>
      <c r="R2077" s="18" t="e">
        <f>Table1[[#This Row],[- LNST chưa phân phối kỳ này]]/Table1[[#This Row],[TỔNG CỘNG TÀI SẢN]]</f>
        <v>#DIV/0!</v>
      </c>
      <c r="S2077" s="21" t="e">
        <f>Table1[[#This Row],[5. Lợi nhuận gộp về bán hàng và cung cấp dịch vụ]]/Table1[[#This Row],[TỔNG CỘNG TÀI SẢN]]</f>
        <v>#DIV/0!</v>
      </c>
      <c r="T207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077" s="23" t="e">
        <f>Table1[[#This Row],[1. Doanh thu bán hàng và cung cấp dịch vụ ]]/Table1[[#This Row],[TỔNG CỘNG TÀI SẢN]]</f>
        <v>#DIV/0!</v>
      </c>
      <c r="V2077" s="23" t="e">
        <f>1.2*Table1[[#This Row],[X1]] + 1.4*Table1[[#This Row],[X2]] + 3.3*Table1[[#This Row],[x3]] + 0.6*Table1[[#This Row],[x4]] + 1*Table1[[#This Row],[x5]]</f>
        <v>#DIV/0!</v>
      </c>
      <c r="W2077" s="23" t="e">
        <f>IF(Table1[[#This Row],[Zscore]]&lt;1.81,1,0)</f>
        <v>#DIV/0!</v>
      </c>
    </row>
    <row r="2078" spans="1:23" x14ac:dyDescent="0.45">
      <c r="A2078" s="7">
        <v>2072</v>
      </c>
      <c r="B2078" s="5" t="s">
        <v>4154</v>
      </c>
      <c r="C2078" s="6" t="s">
        <v>4155</v>
      </c>
      <c r="D2078" s="6" t="s">
        <v>18</v>
      </c>
      <c r="E2078" s="8">
        <v>6097399146195</v>
      </c>
      <c r="F2078" s="8">
        <v>2047710696399</v>
      </c>
      <c r="G2078" s="8">
        <v>891738594407</v>
      </c>
      <c r="H2078" s="8">
        <v>363048159937</v>
      </c>
      <c r="I2078" s="8">
        <v>384640053346</v>
      </c>
      <c r="J2078" s="8"/>
      <c r="K2078" s="8">
        <v>2878662295233</v>
      </c>
      <c r="L2078" s="8">
        <v>1226033438832</v>
      </c>
      <c r="M2078" s="8">
        <v>6250924372900</v>
      </c>
      <c r="N2078" s="8">
        <v>5558356447700</v>
      </c>
      <c r="O2078" s="8">
        <v>5882774139200</v>
      </c>
      <c r="P2078" s="8">
        <v>5904401985300</v>
      </c>
      <c r="Q2078" s="18">
        <f>(Table1[[#This Row],[A. TÀI SẢN NGẮN HẠN]]-Table1[[#This Row],[I. Nợ ngắn hạn]])/Table1[[#This Row],[TỔNG CỘNG TÀI SẢN]]</f>
        <v>0.18958445630271209</v>
      </c>
      <c r="R2078" s="18">
        <f>Table1[[#This Row],[- LNST chưa phân phối kỳ này]]/Table1[[#This Row],[TỔNG CỘNG TÀI SẢN]]</f>
        <v>5.9541478461936567E-2</v>
      </c>
      <c r="S2078" s="21">
        <f>Table1[[#This Row],[5. Lợi nhuận gộp về bán hàng và cung cấp dịch vụ]]/Table1[[#This Row],[TỔNG CỘNG TÀI SẢN]]</f>
        <v>6.3082642963603497E-2</v>
      </c>
      <c r="T207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2.0492553940918325</v>
      </c>
      <c r="U2078" s="23">
        <f>Table1[[#This Row],[1. Doanh thu bán hàng và cung cấp dịch vụ ]]/Table1[[#This Row],[TỔNG CỘNG TÀI SẢN]]</f>
        <v>0.20107482049901387</v>
      </c>
      <c r="V2078" s="23">
        <f>1.2*Table1[[#This Row],[X1]] + 1.4*Table1[[#This Row],[X2]] + 3.3*Table1[[#This Row],[x3]] + 0.6*Table1[[#This Row],[x4]] + 1*Table1[[#This Row],[x5]]</f>
        <v>1.9496601961439706</v>
      </c>
      <c r="W2078" s="23">
        <f>IF(Table1[[#This Row],[Zscore]]&lt;1.81,1,0)</f>
        <v>0</v>
      </c>
    </row>
    <row r="2079" spans="1:23" hidden="1" x14ac:dyDescent="0.45">
      <c r="A2079" s="7">
        <v>2073</v>
      </c>
      <c r="B2079" s="5" t="s">
        <v>4156</v>
      </c>
      <c r="C2079" s="6" t="s">
        <v>4157</v>
      </c>
      <c r="D2079" s="6" t="s">
        <v>13</v>
      </c>
      <c r="E2079" s="6"/>
      <c r="F2079" s="6"/>
      <c r="G2079" s="6"/>
      <c r="H2079" s="6"/>
      <c r="I2079" s="6"/>
      <c r="J2079" s="8"/>
      <c r="K2079" s="6"/>
      <c r="L2079" s="6"/>
      <c r="M2079" s="8"/>
      <c r="N2079" s="8"/>
      <c r="O2079" s="8"/>
      <c r="P2079" s="8"/>
      <c r="Q2079" s="18" t="e">
        <f>(Table1[[#This Row],[A. TÀI SẢN NGẮN HẠN]]-Table1[[#This Row],[I. Nợ ngắn hạn]])/Table1[[#This Row],[TỔNG CỘNG TÀI SẢN]]</f>
        <v>#DIV/0!</v>
      </c>
      <c r="R2079" s="18" t="e">
        <f>Table1[[#This Row],[- LNST chưa phân phối kỳ này]]/Table1[[#This Row],[TỔNG CỘNG TÀI SẢN]]</f>
        <v>#DIV/0!</v>
      </c>
      <c r="S2079" s="21" t="e">
        <f>Table1[[#This Row],[5. Lợi nhuận gộp về bán hàng và cung cấp dịch vụ]]/Table1[[#This Row],[TỔNG CỘNG TÀI SẢN]]</f>
        <v>#DIV/0!</v>
      </c>
      <c r="T207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079" s="23" t="e">
        <f>Table1[[#This Row],[1. Doanh thu bán hàng và cung cấp dịch vụ ]]/Table1[[#This Row],[TỔNG CỘNG TÀI SẢN]]</f>
        <v>#DIV/0!</v>
      </c>
      <c r="V2079" s="23" t="e">
        <f>1.2*Table1[[#This Row],[X1]] + 1.4*Table1[[#This Row],[X2]] + 3.3*Table1[[#This Row],[x3]] + 0.6*Table1[[#This Row],[x4]] + 1*Table1[[#This Row],[x5]]</f>
        <v>#DIV/0!</v>
      </c>
      <c r="W2079" s="23" t="e">
        <f>IF(Table1[[#This Row],[Zscore]]&lt;1.81,1,0)</f>
        <v>#DIV/0!</v>
      </c>
    </row>
    <row r="2080" spans="1:23" x14ac:dyDescent="0.45">
      <c r="A2080" s="7">
        <v>2074</v>
      </c>
      <c r="B2080" s="5" t="s">
        <v>4158</v>
      </c>
      <c r="C2080" s="6" t="s">
        <v>4159</v>
      </c>
      <c r="D2080" s="6" t="s">
        <v>21</v>
      </c>
      <c r="E2080" s="8">
        <v>2755594305208</v>
      </c>
      <c r="F2080" s="8">
        <v>1967856418986</v>
      </c>
      <c r="G2080" s="8">
        <v>1052325796060</v>
      </c>
      <c r="H2080" s="8">
        <v>94423249682</v>
      </c>
      <c r="I2080" s="8">
        <v>143166929850</v>
      </c>
      <c r="J2080" s="8"/>
      <c r="K2080" s="8">
        <v>1305444678547</v>
      </c>
      <c r="L2080" s="8">
        <v>220633789332</v>
      </c>
      <c r="M2080" s="8">
        <v>2177999600700</v>
      </c>
      <c r="N2080" s="8">
        <v>1299674795400</v>
      </c>
      <c r="O2080" s="8">
        <v>2103237168900</v>
      </c>
      <c r="P2080" s="8">
        <v>1666518487650</v>
      </c>
      <c r="Q2080" s="18">
        <f>(Table1[[#This Row],[A. TÀI SẢN NGẮN HẠN]]-Table1[[#This Row],[I. Nợ ngắn hạn]])/Table1[[#This Row],[TỔNG CỘNG TÀI SẢN]]</f>
        <v>0.33224434424025029</v>
      </c>
      <c r="R2080" s="18">
        <f>Table1[[#This Row],[- LNST chưa phân phối kỳ này]]/Table1[[#This Row],[TỔNG CỘNG TÀI SẢN]]</f>
        <v>3.4266020039140949E-2</v>
      </c>
      <c r="S2080" s="21">
        <f>Table1[[#This Row],[5. Lợi nhuận gộp về bán hàng và cung cấp dịch vụ]]/Table1[[#This Row],[TỔNG CỘNG TÀI SẢN]]</f>
        <v>5.1955010060595025E-2</v>
      </c>
      <c r="T208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1.3879236270503266</v>
      </c>
      <c r="U2080" s="23">
        <f>Table1[[#This Row],[1. Doanh thu bán hàng và cung cấp dịch vụ ]]/Table1[[#This Row],[TỔNG CỘNG TÀI SẢN]]</f>
        <v>8.0067587930127457E-2</v>
      </c>
      <c r="V2080" s="23">
        <f>1.2*Table1[[#This Row],[X1]] + 1.4*Table1[[#This Row],[X2]] + 3.3*Table1[[#This Row],[x3]] + 0.6*Table1[[#This Row],[x4]] + 1*Table1[[#This Row],[x5]]</f>
        <v>1.5309389385033845</v>
      </c>
      <c r="W2080" s="23">
        <f>IF(Table1[[#This Row],[Zscore]]&lt;1.81,1,0)</f>
        <v>1</v>
      </c>
    </row>
    <row r="2081" spans="1:23" x14ac:dyDescent="0.45">
      <c r="A2081" s="7">
        <v>2075</v>
      </c>
      <c r="B2081" s="5" t="s">
        <v>4160</v>
      </c>
      <c r="C2081" s="6" t="s">
        <v>4161</v>
      </c>
      <c r="D2081" s="6" t="s">
        <v>18</v>
      </c>
      <c r="E2081" s="8">
        <v>358242424949</v>
      </c>
      <c r="F2081" s="8">
        <v>280824906741</v>
      </c>
      <c r="G2081" s="8">
        <v>27504592509</v>
      </c>
      <c r="H2081" s="8">
        <v>11843546225</v>
      </c>
      <c r="I2081" s="8">
        <v>21752202508</v>
      </c>
      <c r="J2081" s="8"/>
      <c r="K2081" s="8">
        <v>35622592509</v>
      </c>
      <c r="L2081" s="8">
        <v>125582238303</v>
      </c>
      <c r="M2081" s="8">
        <v>261002000000</v>
      </c>
      <c r="N2081" s="8">
        <v>320124000000</v>
      </c>
      <c r="O2081" s="8">
        <v>248024000000</v>
      </c>
      <c r="P2081" s="8">
        <v>262444000000</v>
      </c>
      <c r="Q2081" s="18">
        <f>(Table1[[#This Row],[A. TÀI SẢN NGẮN HẠN]]-Table1[[#This Row],[I. Nợ ngắn hạn]])/Table1[[#This Row],[TỔNG CỘNG TÀI SẢN]]</f>
        <v>0.70711980656133377</v>
      </c>
      <c r="R2081" s="18">
        <f>Table1[[#This Row],[- LNST chưa phân phối kỳ này]]/Table1[[#This Row],[TỔNG CỘNG TÀI SẢN]]</f>
        <v>3.3060144193379853E-2</v>
      </c>
      <c r="S2081" s="21">
        <f>Table1[[#This Row],[5. Lợi nhuận gộp về bán hàng và cung cấp dịch vụ]]/Table1[[#This Row],[TỔNG CỘNG TÀI SẢN]]</f>
        <v>6.0719225287447963E-2</v>
      </c>
      <c r="T208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7.6608264805839879</v>
      </c>
      <c r="U2081" s="23">
        <f>Table1[[#This Row],[1. Doanh thu bán hàng và cung cấp dịch vụ ]]/Table1[[#This Row],[TỔNG CỘNG TÀI SẢN]]</f>
        <v>0.3505509944024025</v>
      </c>
      <c r="V2081" s="23">
        <f>1.2*Table1[[#This Row],[X1]] + 1.4*Table1[[#This Row],[X2]] + 3.3*Table1[[#This Row],[x3]] + 0.6*Table1[[#This Row],[x4]] + 1*Table1[[#This Row],[x5]]</f>
        <v>6.0422482959457051</v>
      </c>
      <c r="W2081" s="23">
        <f>IF(Table1[[#This Row],[Zscore]]&lt;1.81,1,0)</f>
        <v>0</v>
      </c>
    </row>
    <row r="2082" spans="1:23" ht="26.25" x14ac:dyDescent="0.45">
      <c r="A2082" s="7">
        <v>2076</v>
      </c>
      <c r="B2082" s="5" t="s">
        <v>4162</v>
      </c>
      <c r="C2082" s="6" t="s">
        <v>4163</v>
      </c>
      <c r="D2082" s="6" t="s">
        <v>21</v>
      </c>
      <c r="E2082" s="8">
        <v>7685359475670</v>
      </c>
      <c r="F2082" s="8">
        <v>5552773838440</v>
      </c>
      <c r="G2082" s="8">
        <v>3285717980974</v>
      </c>
      <c r="H2082" s="8">
        <v>375473454274</v>
      </c>
      <c r="I2082" s="8">
        <v>885926146196</v>
      </c>
      <c r="J2082" s="8"/>
      <c r="K2082" s="8">
        <v>5224117183588</v>
      </c>
      <c r="L2082" s="8">
        <v>1857617280059</v>
      </c>
      <c r="M2082" s="8">
        <v>2960064160000</v>
      </c>
      <c r="N2082" s="8">
        <v>2419852450800</v>
      </c>
      <c r="O2082" s="8">
        <v>2590056140000</v>
      </c>
      <c r="P2082" s="8">
        <v>2553055338000</v>
      </c>
      <c r="Q2082" s="18">
        <f>(Table1[[#This Row],[A. TÀI SẢN NGẮN HẠN]]-Table1[[#This Row],[I. Nợ ngắn hạn]])/Table1[[#This Row],[TỔNG CỘNG TÀI SẢN]]</f>
        <v>0.29498371086517861</v>
      </c>
      <c r="R2082" s="18">
        <f>Table1[[#This Row],[- LNST chưa phân phối kỳ này]]/Table1[[#This Row],[TỔNG CỘNG TÀI SẢN]]</f>
        <v>4.8855678834888422E-2</v>
      </c>
      <c r="S2082" s="21">
        <f>Table1[[#This Row],[5. Lợi nhuận gộp về bán hàng và cung cấp dịch vụ]]/Table1[[#This Row],[TỔNG CỘNG TÀI SẢN]]</f>
        <v>0.1152745228119295</v>
      </c>
      <c r="T208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0.50357925171830809</v>
      </c>
      <c r="U2082" s="23">
        <f>Table1[[#This Row],[1. Doanh thu bán hàng và cung cấp dịch vụ ]]/Table1[[#This Row],[TỔNG CỘNG TÀI SẢN]]</f>
        <v>0.24170857406732496</v>
      </c>
      <c r="V2082" s="23">
        <f>1.2*Table1[[#This Row],[X1]] + 1.4*Table1[[#This Row],[X2]] + 3.3*Table1[[#This Row],[x3]] + 0.6*Table1[[#This Row],[x4]] + 1*Table1[[#This Row],[x5]]</f>
        <v>1.3466404537847352</v>
      </c>
      <c r="W2082" s="23">
        <f>IF(Table1[[#This Row],[Zscore]]&lt;1.81,1,0)</f>
        <v>1</v>
      </c>
    </row>
    <row r="2083" spans="1:23" x14ac:dyDescent="0.45">
      <c r="A2083" s="7">
        <v>2077</v>
      </c>
      <c r="B2083" s="5" t="s">
        <v>4164</v>
      </c>
      <c r="C2083" s="6" t="s">
        <v>4165</v>
      </c>
      <c r="D2083" s="6" t="s">
        <v>21</v>
      </c>
      <c r="E2083" s="8">
        <v>1113592329714</v>
      </c>
      <c r="F2083" s="8">
        <v>919327537008</v>
      </c>
      <c r="G2083" s="8">
        <v>671023329466</v>
      </c>
      <c r="H2083" s="8">
        <v>16029595939</v>
      </c>
      <c r="I2083" s="8">
        <v>141388365457</v>
      </c>
      <c r="J2083" s="8"/>
      <c r="K2083" s="8">
        <v>671548166978</v>
      </c>
      <c r="L2083" s="8">
        <v>1190908583412</v>
      </c>
      <c r="M2083" s="8">
        <v>138803701250</v>
      </c>
      <c r="N2083" s="8">
        <v>137665037440</v>
      </c>
      <c r="O2083" s="8">
        <v>135459033750</v>
      </c>
      <c r="P2083" s="8">
        <v>144489636000</v>
      </c>
      <c r="Q2083" s="18">
        <f>(Table1[[#This Row],[A. TÀI SẢN NGẮN HẠN]]-Table1[[#This Row],[I. Nợ ngắn hạn]])/Table1[[#This Row],[TỔNG CỘNG TÀI SẢN]]</f>
        <v>0.22297586012088561</v>
      </c>
      <c r="R2083" s="18">
        <f>Table1[[#This Row],[- LNST chưa phân phối kỳ này]]/Table1[[#This Row],[TỔNG CỘNG TÀI SẢN]]</f>
        <v>1.439449205178777E-2</v>
      </c>
      <c r="S2083" s="21">
        <f>Table1[[#This Row],[5. Lợi nhuận gộp về bán hàng và cung cấp dịch vụ]]/Table1[[#This Row],[TỔNG CỘNG TÀI SẢN]]</f>
        <v>0.12696600154682483</v>
      </c>
      <c r="T208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0.20713979867740012</v>
      </c>
      <c r="U2083" s="23">
        <f>Table1[[#This Row],[1. Doanh thu bán hàng và cung cấp dịch vụ ]]/Table1[[#This Row],[TỔNG CỘNG TÀI SẢN]]</f>
        <v>1.0694295853473208</v>
      </c>
      <c r="V2083" s="23">
        <f>1.2*Table1[[#This Row],[X1]] + 1.4*Table1[[#This Row],[X2]] + 3.3*Table1[[#This Row],[x3]] + 0.6*Table1[[#This Row],[x4]] + 1*Table1[[#This Row],[x5]]</f>
        <v>1.9004245906758483</v>
      </c>
      <c r="W2083" s="23">
        <f>IF(Table1[[#This Row],[Zscore]]&lt;1.81,1,0)</f>
        <v>0</v>
      </c>
    </row>
    <row r="2084" spans="1:23" x14ac:dyDescent="0.45">
      <c r="A2084" s="7">
        <v>2078</v>
      </c>
      <c r="B2084" s="5" t="s">
        <v>4166</v>
      </c>
      <c r="C2084" s="6" t="s">
        <v>4167</v>
      </c>
      <c r="D2084" s="6" t="s">
        <v>21</v>
      </c>
      <c r="E2084" s="8">
        <v>892570602000000</v>
      </c>
      <c r="F2084" s="6"/>
      <c r="G2084" s="6"/>
      <c r="H2084" s="6"/>
      <c r="I2084" s="6"/>
      <c r="J2084" s="8"/>
      <c r="K2084" s="8">
        <v>824574893000000</v>
      </c>
      <c r="L2084" s="8">
        <v>57355183000000</v>
      </c>
      <c r="M2084" s="8">
        <v>50612372659200</v>
      </c>
      <c r="N2084" s="8">
        <v>75107057751300</v>
      </c>
      <c r="O2084" s="8">
        <v>52441735526400</v>
      </c>
      <c r="P2084" s="8">
        <v>77633594862200</v>
      </c>
      <c r="Q2084" s="18">
        <f>(Table1[[#This Row],[A. TÀI SẢN NGẮN HẠN]]-Table1[[#This Row],[I. Nợ ngắn hạn]])/Table1[[#This Row],[TỔNG CỘNG TÀI SẢN]]</f>
        <v>0</v>
      </c>
      <c r="R2084" s="18">
        <f>Table1[[#This Row],[- LNST chưa phân phối kỳ này]]/Table1[[#This Row],[TỔNG CỘNG TÀI SẢN]]</f>
        <v>0</v>
      </c>
      <c r="S2084" s="21">
        <f>Table1[[#This Row],[5. Lợi nhuận gộp về bán hàng và cung cấp dịch vụ]]/Table1[[#This Row],[TỔNG CỘNG TÀI SẢN]]</f>
        <v>0</v>
      </c>
      <c r="T208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7.755352575326957E-2</v>
      </c>
      <c r="U2084" s="23">
        <f>Table1[[#This Row],[1. Doanh thu bán hàng và cung cấp dịch vụ ]]/Table1[[#This Row],[TỔNG CỘNG TÀI SẢN]]</f>
        <v>6.4258427144567781E-2</v>
      </c>
      <c r="V2084" s="23">
        <f>1.2*Table1[[#This Row],[X1]] + 1.4*Table1[[#This Row],[X2]] + 3.3*Table1[[#This Row],[x3]] + 0.6*Table1[[#This Row],[x4]] + 1*Table1[[#This Row],[x5]]</f>
        <v>0.11079054259652951</v>
      </c>
      <c r="W2084" s="23">
        <f>IF(Table1[[#This Row],[Zscore]]&lt;1.81,1,0)</f>
        <v>1</v>
      </c>
    </row>
    <row r="2085" spans="1:23" hidden="1" x14ac:dyDescent="0.45">
      <c r="A2085" s="7">
        <v>2079</v>
      </c>
      <c r="B2085" s="5" t="s">
        <v>4168</v>
      </c>
      <c r="C2085" s="6" t="s">
        <v>4169</v>
      </c>
      <c r="D2085" s="6" t="s">
        <v>13</v>
      </c>
      <c r="E2085" s="6"/>
      <c r="F2085" s="6"/>
      <c r="G2085" s="6"/>
      <c r="H2085" s="6"/>
      <c r="I2085" s="6"/>
      <c r="J2085" s="8"/>
      <c r="K2085" s="6"/>
      <c r="L2085" s="6"/>
      <c r="M2085" s="8"/>
      <c r="N2085" s="8"/>
      <c r="O2085" s="8"/>
      <c r="P2085" s="8"/>
      <c r="Q2085" s="18" t="e">
        <f>(Table1[[#This Row],[A. TÀI SẢN NGẮN HẠN]]-Table1[[#This Row],[I. Nợ ngắn hạn]])/Table1[[#This Row],[TỔNG CỘNG TÀI SẢN]]</f>
        <v>#DIV/0!</v>
      </c>
      <c r="R2085" s="18" t="e">
        <f>Table1[[#This Row],[- LNST chưa phân phối kỳ này]]/Table1[[#This Row],[TỔNG CỘNG TÀI SẢN]]</f>
        <v>#DIV/0!</v>
      </c>
      <c r="S2085" s="21" t="e">
        <f>Table1[[#This Row],[5. Lợi nhuận gộp về bán hàng và cung cấp dịch vụ]]/Table1[[#This Row],[TỔNG CỘNG TÀI SẢN]]</f>
        <v>#DIV/0!</v>
      </c>
      <c r="T208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085" s="23" t="e">
        <f>Table1[[#This Row],[1. Doanh thu bán hàng và cung cấp dịch vụ ]]/Table1[[#This Row],[TỔNG CỘNG TÀI SẢN]]</f>
        <v>#DIV/0!</v>
      </c>
      <c r="V2085" s="23" t="e">
        <f>1.2*Table1[[#This Row],[X1]] + 1.4*Table1[[#This Row],[X2]] + 3.3*Table1[[#This Row],[x3]] + 0.6*Table1[[#This Row],[x4]] + 1*Table1[[#This Row],[x5]]</f>
        <v>#DIV/0!</v>
      </c>
      <c r="W2085" s="23" t="e">
        <f>IF(Table1[[#This Row],[Zscore]]&lt;1.81,1,0)</f>
        <v>#DIV/0!</v>
      </c>
    </row>
    <row r="2086" spans="1:23" hidden="1" x14ac:dyDescent="0.45">
      <c r="A2086" s="7">
        <v>2080</v>
      </c>
      <c r="B2086" s="5" t="s">
        <v>4170</v>
      </c>
      <c r="C2086" s="6" t="s">
        <v>4171</v>
      </c>
      <c r="D2086" s="6" t="s">
        <v>18</v>
      </c>
      <c r="E2086" s="6"/>
      <c r="F2086" s="6"/>
      <c r="G2086" s="6"/>
      <c r="H2086" s="6"/>
      <c r="I2086" s="6"/>
      <c r="J2086" s="8"/>
      <c r="K2086" s="6"/>
      <c r="L2086" s="6"/>
      <c r="M2086" s="8"/>
      <c r="N2086" s="8"/>
      <c r="O2086" s="8"/>
      <c r="P2086" s="8"/>
      <c r="Q2086" s="18" t="e">
        <f>(Table1[[#This Row],[A. TÀI SẢN NGẮN HẠN]]-Table1[[#This Row],[I. Nợ ngắn hạn]])/Table1[[#This Row],[TỔNG CỘNG TÀI SẢN]]</f>
        <v>#DIV/0!</v>
      </c>
      <c r="R2086" s="18" t="e">
        <f>Table1[[#This Row],[- LNST chưa phân phối kỳ này]]/Table1[[#This Row],[TỔNG CỘNG TÀI SẢN]]</f>
        <v>#DIV/0!</v>
      </c>
      <c r="S2086" s="21" t="e">
        <f>Table1[[#This Row],[5. Lợi nhuận gộp về bán hàng và cung cấp dịch vụ]]/Table1[[#This Row],[TỔNG CỘNG TÀI SẢN]]</f>
        <v>#DIV/0!</v>
      </c>
      <c r="T208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086" s="23" t="e">
        <f>Table1[[#This Row],[1. Doanh thu bán hàng và cung cấp dịch vụ ]]/Table1[[#This Row],[TỔNG CỘNG TÀI SẢN]]</f>
        <v>#DIV/0!</v>
      </c>
      <c r="V2086" s="23" t="e">
        <f>1.2*Table1[[#This Row],[X1]] + 1.4*Table1[[#This Row],[X2]] + 3.3*Table1[[#This Row],[x3]] + 0.6*Table1[[#This Row],[x4]] + 1*Table1[[#This Row],[x5]]</f>
        <v>#DIV/0!</v>
      </c>
      <c r="W2086" s="23" t="e">
        <f>IF(Table1[[#This Row],[Zscore]]&lt;1.81,1,0)</f>
        <v>#DIV/0!</v>
      </c>
    </row>
    <row r="2087" spans="1:23" ht="26.25" x14ac:dyDescent="0.45">
      <c r="A2087" s="7">
        <v>2081</v>
      </c>
      <c r="B2087" s="5" t="s">
        <v>4172</v>
      </c>
      <c r="C2087" s="6" t="s">
        <v>4173</v>
      </c>
      <c r="D2087" s="6" t="s">
        <v>36</v>
      </c>
      <c r="E2087" s="8">
        <v>303381585647</v>
      </c>
      <c r="F2087" s="8">
        <v>281773726084</v>
      </c>
      <c r="G2087" s="8">
        <v>138160320005</v>
      </c>
      <c r="H2087" s="8">
        <v>12531431580</v>
      </c>
      <c r="I2087" s="8">
        <v>28670599346</v>
      </c>
      <c r="J2087" s="8"/>
      <c r="K2087" s="8">
        <v>140540025082</v>
      </c>
      <c r="L2087" s="8">
        <v>376795816979</v>
      </c>
      <c r="M2087" s="8">
        <v>103522644000</v>
      </c>
      <c r="N2087" s="8">
        <v>101681460800</v>
      </c>
      <c r="O2087" s="8">
        <v>108123650400</v>
      </c>
      <c r="P2087" s="8">
        <v>104672092000</v>
      </c>
      <c r="Q2087" s="18">
        <f>(Table1[[#This Row],[A. TÀI SẢN NGẮN HẠN]]-Table1[[#This Row],[I. Nợ ngắn hạn]])/Table1[[#This Row],[TỔNG CỘNG TÀI SẢN]]</f>
        <v>0.47337548774664773</v>
      </c>
      <c r="R2087" s="18">
        <f>Table1[[#This Row],[- LNST chưa phân phối kỳ này]]/Table1[[#This Row],[TỔNG CỘNG TÀI SẢN]]</f>
        <v>4.1305841134936128E-2</v>
      </c>
      <c r="S2087" s="21">
        <f>Table1[[#This Row],[5. Lợi nhuận gộp về bán hàng và cung cấp dịch vụ]]/Table1[[#This Row],[TỔNG CỘNG TÀI SẢN]]</f>
        <v>9.4503426385804806E-2</v>
      </c>
      <c r="T208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0.74356014764497214</v>
      </c>
      <c r="U2087" s="23">
        <f>Table1[[#This Row],[1. Doanh thu bán hàng và cung cấp dịch vụ ]]/Table1[[#This Row],[TỔNG CỘNG TÀI SẢN]]</f>
        <v>1.2419864448115228</v>
      </c>
      <c r="V2087" s="23">
        <f>1.2*Table1[[#This Row],[X1]] + 1.4*Table1[[#This Row],[X2]] + 3.3*Table1[[#This Row],[x3]] + 0.6*Table1[[#This Row],[x4]] + 1*Table1[[#This Row],[x5]]</f>
        <v>2.6258626033565498</v>
      </c>
      <c r="W2087" s="23">
        <f>IF(Table1[[#This Row],[Zscore]]&lt;1.81,1,0)</f>
        <v>0</v>
      </c>
    </row>
    <row r="2088" spans="1:23" x14ac:dyDescent="0.45">
      <c r="A2088" s="7">
        <v>2082</v>
      </c>
      <c r="B2088" s="5" t="s">
        <v>4174</v>
      </c>
      <c r="C2088" s="6" t="s">
        <v>4175</v>
      </c>
      <c r="D2088" s="6" t="s">
        <v>18</v>
      </c>
      <c r="E2088" s="8">
        <v>483256285900</v>
      </c>
      <c r="F2088" s="8">
        <v>416872975533</v>
      </c>
      <c r="G2088" s="8">
        <v>1576901519437</v>
      </c>
      <c r="H2088" s="8">
        <v>-74954554379</v>
      </c>
      <c r="I2088" s="8">
        <v>-15742148019</v>
      </c>
      <c r="J2088" s="8"/>
      <c r="K2088" s="8">
        <v>1577275724533</v>
      </c>
      <c r="L2088" s="8">
        <v>22334403860</v>
      </c>
      <c r="M2088" s="8">
        <v>64800000000</v>
      </c>
      <c r="N2088" s="8">
        <v>70200000000</v>
      </c>
      <c r="O2088" s="8">
        <v>70200000000</v>
      </c>
      <c r="P2088" s="8">
        <v>62100000000</v>
      </c>
      <c r="Q2088" s="18">
        <f>(Table1[[#This Row],[A. TÀI SẢN NGẮN HẠN]]-Table1[[#This Row],[I. Nợ ngắn hạn]])/Table1[[#This Row],[TỔNG CỘNG TÀI SẢN]]</f>
        <v>-2.4004417071235866</v>
      </c>
      <c r="R2088" s="18">
        <f>Table1[[#This Row],[- LNST chưa phân phối kỳ này]]/Table1[[#This Row],[TỔNG CỘNG TÀI SẢN]]</f>
        <v>-0.15510311312227879</v>
      </c>
      <c r="S2088" s="21">
        <f>Table1[[#This Row],[5. Lợi nhuận gộp về bán hàng và cung cấp dịch vụ]]/Table1[[#This Row],[TỔNG CỘNG TÀI SẢN]]</f>
        <v>-3.257515417452328E-2</v>
      </c>
      <c r="T208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4.2367354648652537E-2</v>
      </c>
      <c r="U2088" s="23">
        <f>Table1[[#This Row],[1. Doanh thu bán hàng và cung cấp dịch vụ ]]/Table1[[#This Row],[TỔNG CỘNG TÀI SẢN]]</f>
        <v>4.6216478733236067E-2</v>
      </c>
      <c r="V2088" s="23">
        <f>1.2*Table1[[#This Row],[X1]] + 1.4*Table1[[#This Row],[X2]] + 3.3*Table1[[#This Row],[x3]] + 0.6*Table1[[#This Row],[x4]] + 1*Table1[[#This Row],[x5]]</f>
        <v>-3.1335355241729932</v>
      </c>
      <c r="W2088" s="23">
        <f>IF(Table1[[#This Row],[Zscore]]&lt;1.81,1,0)</f>
        <v>1</v>
      </c>
    </row>
    <row r="2089" spans="1:23" x14ac:dyDescent="0.45">
      <c r="A2089" s="7">
        <v>2083</v>
      </c>
      <c r="B2089" s="5" t="s">
        <v>4176</v>
      </c>
      <c r="C2089" s="6" t="s">
        <v>4177</v>
      </c>
      <c r="D2089" s="6" t="s">
        <v>21</v>
      </c>
      <c r="E2089" s="8">
        <v>10304618362534</v>
      </c>
      <c r="F2089" s="8">
        <v>7924291409324</v>
      </c>
      <c r="G2089" s="8">
        <v>7133099500931</v>
      </c>
      <c r="H2089" s="8">
        <v>50867233260</v>
      </c>
      <c r="I2089" s="8">
        <v>1004760814873</v>
      </c>
      <c r="J2089" s="8"/>
      <c r="K2089" s="8">
        <v>8128560443563</v>
      </c>
      <c r="L2089" s="8">
        <v>12041842635859</v>
      </c>
      <c r="M2089" s="8">
        <v>2541164147300</v>
      </c>
      <c r="N2089" s="8">
        <v>2464268460500</v>
      </c>
      <c r="O2089" s="8">
        <v>2363120799400</v>
      </c>
      <c r="P2089" s="8">
        <v>2404786118350</v>
      </c>
      <c r="Q2089" s="18">
        <f>(Table1[[#This Row],[A. TÀI SẢN NGẮN HẠN]]-Table1[[#This Row],[I. Nợ ngắn hạn]])/Table1[[#This Row],[TỔNG CỘNG TÀI SẢN]]</f>
        <v>7.6780321265429052E-2</v>
      </c>
      <c r="R2089" s="18">
        <f>Table1[[#This Row],[- LNST chưa phân phối kỳ này]]/Table1[[#This Row],[TỔNG CỘNG TÀI SẢN]]</f>
        <v>4.9363529507259968E-3</v>
      </c>
      <c r="S2089" s="21">
        <f>Table1[[#This Row],[5. Lợi nhuận gộp về bán hàng và cung cấp dịch vụ]]/Table1[[#This Row],[TỔNG CỘNG TÀI SẢN]]</f>
        <v>9.7505873533963672E-2</v>
      </c>
      <c r="T208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0.30058641974205591</v>
      </c>
      <c r="U2089" s="23">
        <f>Table1[[#This Row],[1. Doanh thu bán hàng và cung cấp dịch vụ ]]/Table1[[#This Row],[TỔNG CỘNG TÀI SẢN]]</f>
        <v>1.1685869589931908</v>
      </c>
      <c r="V2089" s="23">
        <f>1.2*Table1[[#This Row],[X1]] + 1.4*Table1[[#This Row],[X2]] + 3.3*Table1[[#This Row],[x3]] + 0.6*Table1[[#This Row],[x4]] + 1*Table1[[#This Row],[x5]]</f>
        <v>1.7697554731500356</v>
      </c>
      <c r="W2089" s="23">
        <f>IF(Table1[[#This Row],[Zscore]]&lt;1.81,1,0)</f>
        <v>1</v>
      </c>
    </row>
    <row r="2090" spans="1:23" ht="26.25" hidden="1" x14ac:dyDescent="0.45">
      <c r="A2090" s="7">
        <v>2084</v>
      </c>
      <c r="B2090" s="5" t="s">
        <v>4178</v>
      </c>
      <c r="C2090" s="6" t="s">
        <v>4179</v>
      </c>
      <c r="D2090" s="6" t="s">
        <v>13</v>
      </c>
      <c r="E2090" s="6"/>
      <c r="F2090" s="6"/>
      <c r="G2090" s="6"/>
      <c r="H2090" s="6"/>
      <c r="I2090" s="6"/>
      <c r="J2090" s="8"/>
      <c r="K2090" s="6"/>
      <c r="L2090" s="6"/>
      <c r="M2090" s="8"/>
      <c r="N2090" s="8"/>
      <c r="O2090" s="8"/>
      <c r="P2090" s="8"/>
      <c r="Q2090" s="18" t="e">
        <f>(Table1[[#This Row],[A. TÀI SẢN NGẮN HẠN]]-Table1[[#This Row],[I. Nợ ngắn hạn]])/Table1[[#This Row],[TỔNG CỘNG TÀI SẢN]]</f>
        <v>#DIV/0!</v>
      </c>
      <c r="R2090" s="18" t="e">
        <f>Table1[[#This Row],[- LNST chưa phân phối kỳ này]]/Table1[[#This Row],[TỔNG CỘNG TÀI SẢN]]</f>
        <v>#DIV/0!</v>
      </c>
      <c r="S2090" s="21" t="e">
        <f>Table1[[#This Row],[5. Lợi nhuận gộp về bán hàng và cung cấp dịch vụ]]/Table1[[#This Row],[TỔNG CỘNG TÀI SẢN]]</f>
        <v>#DIV/0!</v>
      </c>
      <c r="T209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090" s="23" t="e">
        <f>Table1[[#This Row],[1. Doanh thu bán hàng và cung cấp dịch vụ ]]/Table1[[#This Row],[TỔNG CỘNG TÀI SẢN]]</f>
        <v>#DIV/0!</v>
      </c>
      <c r="V2090" s="23" t="e">
        <f>1.2*Table1[[#This Row],[X1]] + 1.4*Table1[[#This Row],[X2]] + 3.3*Table1[[#This Row],[x3]] + 0.6*Table1[[#This Row],[x4]] + 1*Table1[[#This Row],[x5]]</f>
        <v>#DIV/0!</v>
      </c>
      <c r="W2090" s="23" t="e">
        <f>IF(Table1[[#This Row],[Zscore]]&lt;1.81,1,0)</f>
        <v>#DIV/0!</v>
      </c>
    </row>
    <row r="2091" spans="1:23" ht="26.25" hidden="1" x14ac:dyDescent="0.45">
      <c r="A2091" s="7">
        <v>2085</v>
      </c>
      <c r="B2091" s="5" t="s">
        <v>4180</v>
      </c>
      <c r="C2091" s="6" t="s">
        <v>4181</v>
      </c>
      <c r="D2091" s="6" t="s">
        <v>13</v>
      </c>
      <c r="E2091" s="6"/>
      <c r="F2091" s="6"/>
      <c r="G2091" s="6"/>
      <c r="H2091" s="6"/>
      <c r="I2091" s="6"/>
      <c r="J2091" s="8"/>
      <c r="K2091" s="6"/>
      <c r="L2091" s="6"/>
      <c r="M2091" s="8"/>
      <c r="N2091" s="8"/>
      <c r="O2091" s="8"/>
      <c r="P2091" s="8"/>
      <c r="Q2091" s="18" t="e">
        <f>(Table1[[#This Row],[A. TÀI SẢN NGẮN HẠN]]-Table1[[#This Row],[I. Nợ ngắn hạn]])/Table1[[#This Row],[TỔNG CỘNG TÀI SẢN]]</f>
        <v>#DIV/0!</v>
      </c>
      <c r="R2091" s="18" t="e">
        <f>Table1[[#This Row],[- LNST chưa phân phối kỳ này]]/Table1[[#This Row],[TỔNG CỘNG TÀI SẢN]]</f>
        <v>#DIV/0!</v>
      </c>
      <c r="S2091" s="21" t="e">
        <f>Table1[[#This Row],[5. Lợi nhuận gộp về bán hàng và cung cấp dịch vụ]]/Table1[[#This Row],[TỔNG CỘNG TÀI SẢN]]</f>
        <v>#DIV/0!</v>
      </c>
      <c r="T209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091" s="23" t="e">
        <f>Table1[[#This Row],[1. Doanh thu bán hàng và cung cấp dịch vụ ]]/Table1[[#This Row],[TỔNG CỘNG TÀI SẢN]]</f>
        <v>#DIV/0!</v>
      </c>
      <c r="V2091" s="23" t="e">
        <f>1.2*Table1[[#This Row],[X1]] + 1.4*Table1[[#This Row],[X2]] + 3.3*Table1[[#This Row],[x3]] + 0.6*Table1[[#This Row],[x4]] + 1*Table1[[#This Row],[x5]]</f>
        <v>#DIV/0!</v>
      </c>
      <c r="W2091" s="23" t="e">
        <f>IF(Table1[[#This Row],[Zscore]]&lt;1.81,1,0)</f>
        <v>#DIV/0!</v>
      </c>
    </row>
    <row r="2092" spans="1:23" x14ac:dyDescent="0.45">
      <c r="A2092" s="7">
        <v>2086</v>
      </c>
      <c r="B2092" s="5" t="s">
        <v>4182</v>
      </c>
      <c r="C2092" s="6" t="s">
        <v>4183</v>
      </c>
      <c r="D2092" s="6" t="s">
        <v>36</v>
      </c>
      <c r="E2092" s="8">
        <v>5097752534678</v>
      </c>
      <c r="F2092" s="8">
        <v>3507083887807</v>
      </c>
      <c r="G2092" s="8">
        <v>3490730460177</v>
      </c>
      <c r="H2092" s="8">
        <v>3399948557</v>
      </c>
      <c r="I2092" s="8">
        <v>48085425135</v>
      </c>
      <c r="J2092" s="8"/>
      <c r="K2092" s="8">
        <v>3490730460177</v>
      </c>
      <c r="L2092" s="8">
        <v>3515255453052</v>
      </c>
      <c r="M2092" s="8">
        <v>790603596700</v>
      </c>
      <c r="N2092" s="8">
        <v>622114305600</v>
      </c>
      <c r="O2092" s="8">
        <v>790603596700</v>
      </c>
      <c r="P2092" s="8">
        <v>725800023200</v>
      </c>
      <c r="Q2092" s="18">
        <f>(Table1[[#This Row],[A. TÀI SẢN NGẮN HẠN]]-Table1[[#This Row],[I. Nợ ngắn hạn]])/Table1[[#This Row],[TỔNG CỘNG TÀI SẢN]]</f>
        <v>3.2079681229628316E-3</v>
      </c>
      <c r="R2092" s="18">
        <f>Table1[[#This Row],[- LNST chưa phân phối kỳ này]]/Table1[[#This Row],[TỔNG CỘNG TÀI SẢN]]</f>
        <v>6.6695049119616754E-4</v>
      </c>
      <c r="S2092" s="21">
        <f>Table1[[#This Row],[5. Lợi nhuận gộp về bán hàng và cung cấp dịch vụ]]/Table1[[#This Row],[TỔNG CỘNG TÀI SẢN]]</f>
        <v>9.4326715170840129E-3</v>
      </c>
      <c r="T209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0.20977855176846544</v>
      </c>
      <c r="U2092" s="23">
        <f>Table1[[#This Row],[1. Doanh thu bán hàng và cung cấp dịch vụ ]]/Table1[[#This Row],[TỔNG CỘNG TÀI SẢN]]</f>
        <v>0.68956965430140116</v>
      </c>
      <c r="V2092" s="23">
        <f>1.2*Table1[[#This Row],[X1]] + 1.4*Table1[[#This Row],[X2]] + 3.3*Table1[[#This Row],[x3]] + 0.6*Table1[[#This Row],[x4]] + 1*Table1[[#This Row],[x5]]</f>
        <v>0.85134789380408771</v>
      </c>
      <c r="W2092" s="23">
        <f>IF(Table1[[#This Row],[Zscore]]&lt;1.81,1,0)</f>
        <v>1</v>
      </c>
    </row>
    <row r="2093" spans="1:23" hidden="1" x14ac:dyDescent="0.45">
      <c r="A2093" s="7">
        <v>2087</v>
      </c>
      <c r="B2093" s="5" t="s">
        <v>4184</v>
      </c>
      <c r="C2093" s="6" t="s">
        <v>4185</v>
      </c>
      <c r="D2093" s="6" t="s">
        <v>13</v>
      </c>
      <c r="E2093" s="6"/>
      <c r="F2093" s="6"/>
      <c r="G2093" s="6"/>
      <c r="H2093" s="6"/>
      <c r="I2093" s="6"/>
      <c r="J2093" s="8"/>
      <c r="K2093" s="6"/>
      <c r="L2093" s="6"/>
      <c r="M2093" s="8"/>
      <c r="N2093" s="8"/>
      <c r="O2093" s="8"/>
      <c r="P2093" s="8"/>
      <c r="Q2093" s="18" t="e">
        <f>(Table1[[#This Row],[A. TÀI SẢN NGẮN HẠN]]-Table1[[#This Row],[I. Nợ ngắn hạn]])/Table1[[#This Row],[TỔNG CỘNG TÀI SẢN]]</f>
        <v>#DIV/0!</v>
      </c>
      <c r="R2093" s="18" t="e">
        <f>Table1[[#This Row],[- LNST chưa phân phối kỳ này]]/Table1[[#This Row],[TỔNG CỘNG TÀI SẢN]]</f>
        <v>#DIV/0!</v>
      </c>
      <c r="S2093" s="21" t="e">
        <f>Table1[[#This Row],[5. Lợi nhuận gộp về bán hàng và cung cấp dịch vụ]]/Table1[[#This Row],[TỔNG CỘNG TÀI SẢN]]</f>
        <v>#DIV/0!</v>
      </c>
      <c r="T209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093" s="23" t="e">
        <f>Table1[[#This Row],[1. Doanh thu bán hàng và cung cấp dịch vụ ]]/Table1[[#This Row],[TỔNG CỘNG TÀI SẢN]]</f>
        <v>#DIV/0!</v>
      </c>
      <c r="V2093" s="23" t="e">
        <f>1.2*Table1[[#This Row],[X1]] + 1.4*Table1[[#This Row],[X2]] + 3.3*Table1[[#This Row],[x3]] + 0.6*Table1[[#This Row],[x4]] + 1*Table1[[#This Row],[x5]]</f>
        <v>#DIV/0!</v>
      </c>
      <c r="W2093" s="23" t="e">
        <f>IF(Table1[[#This Row],[Zscore]]&lt;1.81,1,0)</f>
        <v>#DIV/0!</v>
      </c>
    </row>
    <row r="2094" spans="1:23" x14ac:dyDescent="0.45">
      <c r="A2094" s="7">
        <v>2088</v>
      </c>
      <c r="B2094" s="5" t="s">
        <v>4186</v>
      </c>
      <c r="C2094" s="6" t="s">
        <v>4187</v>
      </c>
      <c r="D2094" s="6" t="s">
        <v>21</v>
      </c>
      <c r="E2094" s="8">
        <v>1469965043983</v>
      </c>
      <c r="F2094" s="8">
        <v>438334894813</v>
      </c>
      <c r="G2094" s="8">
        <v>100888053462</v>
      </c>
      <c r="H2094" s="8">
        <v>298288604232</v>
      </c>
      <c r="I2094" s="8">
        <v>378702365114</v>
      </c>
      <c r="J2094" s="8"/>
      <c r="K2094" s="8">
        <v>100888053462</v>
      </c>
      <c r="L2094" s="8">
        <v>647670821083</v>
      </c>
      <c r="M2094" s="8">
        <v>3683911212800</v>
      </c>
      <c r="N2094" s="8">
        <v>3446076285600</v>
      </c>
      <c r="O2094" s="8">
        <v>3643428672000</v>
      </c>
      <c r="P2094" s="8">
        <v>3688971530400</v>
      </c>
      <c r="Q2094" s="18">
        <f>(Table1[[#This Row],[A. TÀI SẢN NGẮN HẠN]]-Table1[[#This Row],[I. Nợ ngắn hạn]])/Table1[[#This Row],[TỔNG CỘNG TÀI SẢN]]</f>
        <v>0.22956113326114069</v>
      </c>
      <c r="R2094" s="18">
        <f>Table1[[#This Row],[- LNST chưa phân phối kỳ này]]/Table1[[#This Row],[TỔNG CỘNG TÀI SẢN]]</f>
        <v>0.2029222432553639</v>
      </c>
      <c r="S2094" s="21">
        <f>Table1[[#This Row],[5. Lợi nhuận gộp về bán hàng và cung cấp dịch vụ]]/Table1[[#This Row],[TỔNG CỘNG TÀI SẢN]]</f>
        <v>0.25762678280285667</v>
      </c>
      <c r="T209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35.837711216837313</v>
      </c>
      <c r="U2094" s="23">
        <f>Table1[[#This Row],[1. Doanh thu bán hàng và cung cấp dịch vụ ]]/Table1[[#This Row],[TỔNG CỘNG TÀI SẢN]]</f>
        <v>0.44060287265612708</v>
      </c>
      <c r="V2094" s="23">
        <f>1.2*Table1[[#This Row],[X1]] + 1.4*Table1[[#This Row],[X2]] + 3.3*Table1[[#This Row],[x3]] + 0.6*Table1[[#This Row],[x4]] + 1*Table1[[#This Row],[x5]]</f>
        <v>23.352962486478823</v>
      </c>
      <c r="W2094" s="23">
        <f>IF(Table1[[#This Row],[Zscore]]&lt;1.81,1,0)</f>
        <v>0</v>
      </c>
    </row>
    <row r="2095" spans="1:23" ht="26.25" x14ac:dyDescent="0.45">
      <c r="A2095" s="7">
        <v>2089</v>
      </c>
      <c r="B2095" s="5" t="s">
        <v>4188</v>
      </c>
      <c r="C2095" s="6" t="s">
        <v>4189</v>
      </c>
      <c r="D2095" s="6" t="s">
        <v>36</v>
      </c>
      <c r="E2095" s="8">
        <v>23031836181781</v>
      </c>
      <c r="F2095" s="8">
        <v>22932677930843</v>
      </c>
      <c r="G2095" s="8">
        <v>10230847942484</v>
      </c>
      <c r="H2095" s="8">
        <v>963825356518</v>
      </c>
      <c r="I2095" s="8">
        <v>2101522469514</v>
      </c>
      <c r="J2095" s="8"/>
      <c r="K2095" s="8">
        <v>10427977181613</v>
      </c>
      <c r="L2095" s="8">
        <v>3667145264040</v>
      </c>
      <c r="M2095" s="8">
        <v>11709457171200</v>
      </c>
      <c r="N2095" s="8">
        <v>18528921732000</v>
      </c>
      <c r="O2095" s="8">
        <v>11538562638000</v>
      </c>
      <c r="P2095" s="8">
        <v>22987679054000</v>
      </c>
      <c r="Q2095" s="18">
        <f>(Table1[[#This Row],[A. TÀI SẢN NGẮN HẠN]]-Table1[[#This Row],[I. Nợ ngắn hạn]])/Table1[[#This Row],[TỔNG CỘNG TÀI SẢN]]</f>
        <v>0.55149011516531188</v>
      </c>
      <c r="R2095" s="18">
        <f>Table1[[#This Row],[- LNST chưa phân phối kỳ này]]/Table1[[#This Row],[TỔNG CỘNG TÀI SẢN]]</f>
        <v>4.1847525699250154E-2</v>
      </c>
      <c r="S2095" s="21">
        <f>Table1[[#This Row],[5. Lợi nhuận gộp về bán hàng và cung cấp dịch vụ]]/Table1[[#This Row],[TỔNG CỘNG TÀI SẢN]]</f>
        <v>9.1244243530022098E-2</v>
      </c>
      <c r="T209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1.5526649959830034</v>
      </c>
      <c r="U2095" s="23">
        <f>Table1[[#This Row],[1. Doanh thu bán hàng và cung cấp dịch vụ ]]/Table1[[#This Row],[TỔNG CỘNG TÀI SẢN]]</f>
        <v>0.15922070802764923</v>
      </c>
      <c r="V2095" s="23">
        <f>1.2*Table1[[#This Row],[X1]] + 1.4*Table1[[#This Row],[X2]] + 3.3*Table1[[#This Row],[x3]] + 0.6*Table1[[#This Row],[x4]] + 1*Table1[[#This Row],[x5]]</f>
        <v>2.1123003834438485</v>
      </c>
      <c r="W2095" s="23">
        <f>IF(Table1[[#This Row],[Zscore]]&lt;1.81,1,0)</f>
        <v>0</v>
      </c>
    </row>
    <row r="2096" spans="1:23" hidden="1" x14ac:dyDescent="0.45">
      <c r="A2096" s="7">
        <v>2090</v>
      </c>
      <c r="B2096" s="5" t="s">
        <v>4190</v>
      </c>
      <c r="C2096" s="6" t="s">
        <v>4191</v>
      </c>
      <c r="D2096" s="6" t="s">
        <v>13</v>
      </c>
      <c r="E2096" s="6"/>
      <c r="F2096" s="6"/>
      <c r="G2096" s="6"/>
      <c r="H2096" s="6"/>
      <c r="I2096" s="6"/>
      <c r="J2096" s="8"/>
      <c r="K2096" s="6"/>
      <c r="L2096" s="6"/>
      <c r="M2096" s="8"/>
      <c r="N2096" s="8"/>
      <c r="O2096" s="8"/>
      <c r="P2096" s="8"/>
      <c r="Q2096" s="18" t="e">
        <f>(Table1[[#This Row],[A. TÀI SẢN NGẮN HẠN]]-Table1[[#This Row],[I. Nợ ngắn hạn]])/Table1[[#This Row],[TỔNG CỘNG TÀI SẢN]]</f>
        <v>#DIV/0!</v>
      </c>
      <c r="R2096" s="18" t="e">
        <f>Table1[[#This Row],[- LNST chưa phân phối kỳ này]]/Table1[[#This Row],[TỔNG CỘNG TÀI SẢN]]</f>
        <v>#DIV/0!</v>
      </c>
      <c r="S2096" s="21" t="e">
        <f>Table1[[#This Row],[5. Lợi nhuận gộp về bán hàng và cung cấp dịch vụ]]/Table1[[#This Row],[TỔNG CỘNG TÀI SẢN]]</f>
        <v>#DIV/0!</v>
      </c>
      <c r="T209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096" s="23" t="e">
        <f>Table1[[#This Row],[1. Doanh thu bán hàng và cung cấp dịch vụ ]]/Table1[[#This Row],[TỔNG CỘNG TÀI SẢN]]</f>
        <v>#DIV/0!</v>
      </c>
      <c r="V2096" s="23" t="e">
        <f>1.2*Table1[[#This Row],[X1]] + 1.4*Table1[[#This Row],[X2]] + 3.3*Table1[[#This Row],[x3]] + 0.6*Table1[[#This Row],[x4]] + 1*Table1[[#This Row],[x5]]</f>
        <v>#DIV/0!</v>
      </c>
      <c r="W2096" s="23" t="e">
        <f>IF(Table1[[#This Row],[Zscore]]&lt;1.81,1,0)</f>
        <v>#DIV/0!</v>
      </c>
    </row>
    <row r="2097" spans="1:23" hidden="1" x14ac:dyDescent="0.45">
      <c r="A2097" s="7">
        <v>2091</v>
      </c>
      <c r="B2097" s="5" t="s">
        <v>4192</v>
      </c>
      <c r="C2097" s="6" t="s">
        <v>4193</v>
      </c>
      <c r="D2097" s="6" t="s">
        <v>13</v>
      </c>
      <c r="E2097" s="6"/>
      <c r="F2097" s="6"/>
      <c r="G2097" s="6"/>
      <c r="H2097" s="6"/>
      <c r="I2097" s="6"/>
      <c r="J2097" s="8"/>
      <c r="K2097" s="6"/>
      <c r="L2097" s="6"/>
      <c r="M2097" s="8"/>
      <c r="N2097" s="8"/>
      <c r="O2097" s="8"/>
      <c r="P2097" s="8"/>
      <c r="Q2097" s="18" t="e">
        <f>(Table1[[#This Row],[A. TÀI SẢN NGẮN HẠN]]-Table1[[#This Row],[I. Nợ ngắn hạn]])/Table1[[#This Row],[TỔNG CỘNG TÀI SẢN]]</f>
        <v>#DIV/0!</v>
      </c>
      <c r="R2097" s="18" t="e">
        <f>Table1[[#This Row],[- LNST chưa phân phối kỳ này]]/Table1[[#This Row],[TỔNG CỘNG TÀI SẢN]]</f>
        <v>#DIV/0!</v>
      </c>
      <c r="S2097" s="21" t="e">
        <f>Table1[[#This Row],[5. Lợi nhuận gộp về bán hàng và cung cấp dịch vụ]]/Table1[[#This Row],[TỔNG CỘNG TÀI SẢN]]</f>
        <v>#DIV/0!</v>
      </c>
      <c r="T209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097" s="23" t="e">
        <f>Table1[[#This Row],[1. Doanh thu bán hàng và cung cấp dịch vụ ]]/Table1[[#This Row],[TỔNG CỘNG TÀI SẢN]]</f>
        <v>#DIV/0!</v>
      </c>
      <c r="V2097" s="23" t="e">
        <f>1.2*Table1[[#This Row],[X1]] + 1.4*Table1[[#This Row],[X2]] + 3.3*Table1[[#This Row],[x3]] + 0.6*Table1[[#This Row],[x4]] + 1*Table1[[#This Row],[x5]]</f>
        <v>#DIV/0!</v>
      </c>
      <c r="W2097" s="23" t="e">
        <f>IF(Table1[[#This Row],[Zscore]]&lt;1.81,1,0)</f>
        <v>#DIV/0!</v>
      </c>
    </row>
    <row r="2098" spans="1:23" x14ac:dyDescent="0.45">
      <c r="A2098" s="7">
        <v>2092</v>
      </c>
      <c r="B2098" s="5" t="s">
        <v>4194</v>
      </c>
      <c r="C2098" s="6" t="s">
        <v>4195</v>
      </c>
      <c r="D2098" s="6" t="s">
        <v>13</v>
      </c>
      <c r="E2098" s="8">
        <v>4651074199733</v>
      </c>
      <c r="F2098" s="8">
        <v>1532235069967</v>
      </c>
      <c r="G2098" s="8">
        <v>957002796928</v>
      </c>
      <c r="H2098" s="8">
        <v>246603938456</v>
      </c>
      <c r="I2098" s="8">
        <v>420543384738</v>
      </c>
      <c r="J2098" s="8"/>
      <c r="K2098" s="8">
        <v>3690886064415</v>
      </c>
      <c r="L2098" s="8">
        <v>663617930738</v>
      </c>
      <c r="M2098" s="8"/>
      <c r="N2098" s="8">
        <v>527983808000</v>
      </c>
      <c r="O2098" s="8"/>
      <c r="P2098" s="8"/>
      <c r="Q2098" s="18">
        <f>(Table1[[#This Row],[A. TÀI SẢN NGẮN HẠN]]-Table1[[#This Row],[I. Nợ ngắn hạn]])/Table1[[#This Row],[TỔNG CỘNG TÀI SẢN]]</f>
        <v>0.12367729439191098</v>
      </c>
      <c r="R2098" s="18">
        <f>Table1[[#This Row],[- LNST chưa phân phối kỳ này]]/Table1[[#This Row],[TỔNG CỘNG TÀI SẢN]]</f>
        <v>5.3020856659340455E-2</v>
      </c>
      <c r="S2098" s="21">
        <f>Table1[[#This Row],[5. Lợi nhuận gộp về bán hàng và cung cấp dịch vụ]]/Table1[[#This Row],[TỔNG CỘNG TÀI SẢN]]</f>
        <v>9.0418549925980918E-2</v>
      </c>
      <c r="T209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0.14305069264815809</v>
      </c>
      <c r="U2098" s="23">
        <f>Table1[[#This Row],[1. Doanh thu bán hàng và cung cấp dịch vụ ]]/Table1[[#This Row],[TỔNG CỘNG TÀI SẢN]]</f>
        <v>0.14268057275372981</v>
      </c>
      <c r="V2098" s="23">
        <f>1.2*Table1[[#This Row],[X1]] + 1.4*Table1[[#This Row],[X2]] + 3.3*Table1[[#This Row],[x3]] + 0.6*Table1[[#This Row],[x4]] + 1*Table1[[#This Row],[x5]]</f>
        <v>0.74953415569173143</v>
      </c>
      <c r="W2098" s="23">
        <f>IF(Table1[[#This Row],[Zscore]]&lt;1.81,1,0)</f>
        <v>1</v>
      </c>
    </row>
    <row r="2099" spans="1:23" ht="26.25" x14ac:dyDescent="0.45">
      <c r="A2099" s="7">
        <v>2093</v>
      </c>
      <c r="B2099" s="5" t="s">
        <v>4196</v>
      </c>
      <c r="C2099" s="6" t="s">
        <v>4197</v>
      </c>
      <c r="D2099" s="6" t="s">
        <v>18</v>
      </c>
      <c r="E2099" s="8">
        <v>2651140225845</v>
      </c>
      <c r="F2099" s="8">
        <v>512454556770</v>
      </c>
      <c r="G2099" s="8">
        <v>51688709364</v>
      </c>
      <c r="H2099" s="8">
        <v>20015243049</v>
      </c>
      <c r="I2099" s="8">
        <v>65090221328</v>
      </c>
      <c r="J2099" s="8"/>
      <c r="K2099" s="8">
        <v>167265501826</v>
      </c>
      <c r="L2099" s="8">
        <v>100610252626</v>
      </c>
      <c r="M2099" s="8">
        <v>1500000000000</v>
      </c>
      <c r="N2099" s="8">
        <v>1520000000000</v>
      </c>
      <c r="O2099" s="8">
        <v>1830000000000</v>
      </c>
      <c r="P2099" s="8">
        <v>2090000000000</v>
      </c>
      <c r="Q2099" s="18">
        <f>(Table1[[#This Row],[A. TÀI SẢN NGẮN HẠN]]-Table1[[#This Row],[I. Nợ ngắn hạn]])/Table1[[#This Row],[TỔNG CỘNG TÀI SẢN]]</f>
        <v>0.17379912345418838</v>
      </c>
      <c r="R2099" s="18">
        <f>Table1[[#This Row],[- LNST chưa phân phối kỳ này]]/Table1[[#This Row],[TỔNG CỘNG TÀI SẢN]]</f>
        <v>7.5496734778035084E-3</v>
      </c>
      <c r="S2099" s="21">
        <f>Table1[[#This Row],[5. Lợi nhuận gộp về bán hàng và cung cấp dịch vụ]]/Table1[[#This Row],[TỔNG CỘNG TÀI SẢN]]</f>
        <v>2.4551783679135169E-2</v>
      </c>
      <c r="T209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10.372730665076743</v>
      </c>
      <c r="U2099" s="23">
        <f>Table1[[#This Row],[1. Doanh thu bán hàng và cung cấp dịch vụ ]]/Table1[[#This Row],[TỔNG CỘNG TÀI SẢN]]</f>
        <v>3.7949804255990427E-2</v>
      </c>
      <c r="V2099" s="23">
        <f>1.2*Table1[[#This Row],[X1]] + 1.4*Table1[[#This Row],[X2]] + 3.3*Table1[[#This Row],[x3]] + 0.6*Table1[[#This Row],[x4]] + 1*Table1[[#This Row],[x5]]</f>
        <v>6.5617375804571321</v>
      </c>
      <c r="W2099" s="23">
        <f>IF(Table1[[#This Row],[Zscore]]&lt;1.81,1,0)</f>
        <v>0</v>
      </c>
    </row>
    <row r="2100" spans="1:23" ht="26.25" hidden="1" x14ac:dyDescent="0.45">
      <c r="A2100" s="7">
        <v>2094</v>
      </c>
      <c r="B2100" s="5" t="s">
        <v>4198</v>
      </c>
      <c r="C2100" s="6" t="s">
        <v>4199</v>
      </c>
      <c r="D2100" s="6" t="s">
        <v>18</v>
      </c>
      <c r="E2100" s="6"/>
      <c r="F2100" s="6"/>
      <c r="G2100" s="6"/>
      <c r="H2100" s="6"/>
      <c r="I2100" s="6"/>
      <c r="J2100" s="8"/>
      <c r="K2100" s="6"/>
      <c r="L2100" s="6"/>
      <c r="M2100" s="8"/>
      <c r="N2100" s="8"/>
      <c r="O2100" s="8"/>
      <c r="P2100" s="8"/>
      <c r="Q2100" s="18" t="e">
        <f>(Table1[[#This Row],[A. TÀI SẢN NGẮN HẠN]]-Table1[[#This Row],[I. Nợ ngắn hạn]])/Table1[[#This Row],[TỔNG CỘNG TÀI SẢN]]</f>
        <v>#DIV/0!</v>
      </c>
      <c r="R2100" s="18" t="e">
        <f>Table1[[#This Row],[- LNST chưa phân phối kỳ này]]/Table1[[#This Row],[TỔNG CỘNG TÀI SẢN]]</f>
        <v>#DIV/0!</v>
      </c>
      <c r="S2100" s="21" t="e">
        <f>Table1[[#This Row],[5. Lợi nhuận gộp về bán hàng và cung cấp dịch vụ]]/Table1[[#This Row],[TỔNG CỘNG TÀI SẢN]]</f>
        <v>#DIV/0!</v>
      </c>
      <c r="T210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100" s="23" t="e">
        <f>Table1[[#This Row],[1. Doanh thu bán hàng và cung cấp dịch vụ ]]/Table1[[#This Row],[TỔNG CỘNG TÀI SẢN]]</f>
        <v>#DIV/0!</v>
      </c>
      <c r="V2100" s="23" t="e">
        <f>1.2*Table1[[#This Row],[X1]] + 1.4*Table1[[#This Row],[X2]] + 3.3*Table1[[#This Row],[x3]] + 0.6*Table1[[#This Row],[x4]] + 1*Table1[[#This Row],[x5]]</f>
        <v>#DIV/0!</v>
      </c>
      <c r="W2100" s="23" t="e">
        <f>IF(Table1[[#This Row],[Zscore]]&lt;1.81,1,0)</f>
        <v>#DIV/0!</v>
      </c>
    </row>
    <row r="2101" spans="1:23" x14ac:dyDescent="0.45">
      <c r="A2101" s="7">
        <v>2095</v>
      </c>
      <c r="B2101" s="5" t="s">
        <v>4200</v>
      </c>
      <c r="C2101" s="6" t="s">
        <v>4201</v>
      </c>
      <c r="D2101" s="6" t="s">
        <v>18</v>
      </c>
      <c r="E2101" s="8">
        <v>2930965330334</v>
      </c>
      <c r="F2101" s="8">
        <v>1054280740135</v>
      </c>
      <c r="G2101" s="8">
        <v>484324128016</v>
      </c>
      <c r="H2101" s="8">
        <v>2487385826</v>
      </c>
      <c r="I2101" s="8">
        <v>12936893384</v>
      </c>
      <c r="J2101" s="8"/>
      <c r="K2101" s="8">
        <v>1451823180252</v>
      </c>
      <c r="L2101" s="8">
        <v>286075604660</v>
      </c>
      <c r="M2101" s="8">
        <v>1613052600000</v>
      </c>
      <c r="N2101" s="8">
        <v>1142041240800</v>
      </c>
      <c r="O2101" s="8">
        <v>987188191200</v>
      </c>
      <c r="P2101" s="8">
        <v>1148493451200</v>
      </c>
      <c r="Q2101" s="18">
        <f>(Table1[[#This Row],[A. TÀI SẢN NGẮN HẠN]]-Table1[[#This Row],[I. Nợ ngắn hạn]])/Table1[[#This Row],[TỔNG CỘNG TÀI SẢN]]</f>
        <v>0.19446037324980922</v>
      </c>
      <c r="R2101" s="18">
        <f>Table1[[#This Row],[- LNST chưa phân phối kỳ này]]/Table1[[#This Row],[TỔNG CỘNG TÀI SẢN]]</f>
        <v>8.4865753963611309E-4</v>
      </c>
      <c r="S2101" s="21">
        <f>Table1[[#This Row],[5. Lợi nhuận gộp về bán hàng và cung cấp dịch vụ]]/Table1[[#This Row],[TỔNG CỘNG TÀI SẢN]]</f>
        <v>4.4138677623067508E-3</v>
      </c>
      <c r="T210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0.84217822626841587</v>
      </c>
      <c r="U2101" s="23">
        <f>Table1[[#This Row],[1. Doanh thu bán hàng và cung cấp dịch vụ ]]/Table1[[#This Row],[TỔNG CỘNG TÀI SẢN]]</f>
        <v>9.7604567921449989E-2</v>
      </c>
      <c r="V2101" s="23">
        <f>1.2*Table1[[#This Row],[X1]] + 1.4*Table1[[#This Row],[X2]] + 3.3*Table1[[#This Row],[x3]] + 0.6*Table1[[#This Row],[x4]] + 1*Table1[[#This Row],[x5]]</f>
        <v>0.85201783575337331</v>
      </c>
      <c r="W2101" s="23">
        <f>IF(Table1[[#This Row],[Zscore]]&lt;1.81,1,0)</f>
        <v>1</v>
      </c>
    </row>
    <row r="2102" spans="1:23" x14ac:dyDescent="0.45">
      <c r="A2102" s="7">
        <v>2096</v>
      </c>
      <c r="B2102" s="5" t="s">
        <v>4202</v>
      </c>
      <c r="C2102" s="6" t="s">
        <v>4203</v>
      </c>
      <c r="D2102" s="6" t="s">
        <v>21</v>
      </c>
      <c r="E2102" s="8">
        <v>28745929477858</v>
      </c>
      <c r="F2102" s="8">
        <v>15761651221750</v>
      </c>
      <c r="G2102" s="8">
        <v>5523136674556</v>
      </c>
      <c r="H2102" s="8">
        <v>1113879109198</v>
      </c>
      <c r="I2102" s="8">
        <v>1366044700556</v>
      </c>
      <c r="J2102" s="8"/>
      <c r="K2102" s="8">
        <v>22891302593951</v>
      </c>
      <c r="L2102" s="8">
        <v>8605801635868</v>
      </c>
      <c r="M2102" s="8">
        <v>18147979338600</v>
      </c>
      <c r="N2102" s="8">
        <v>12735140801800</v>
      </c>
      <c r="O2102" s="8">
        <v>14484698126400</v>
      </c>
      <c r="P2102" s="8">
        <v>13364634453600</v>
      </c>
      <c r="Q2102" s="18">
        <f>(Table1[[#This Row],[A. TÀI SẢN NGẮN HẠN]]-Table1[[#This Row],[I. Nợ ngắn hạn]])/Table1[[#This Row],[TỔNG CỘNG TÀI SẢN]]</f>
        <v>0.35617267325032492</v>
      </c>
      <c r="R2102" s="18">
        <f>Table1[[#This Row],[- LNST chưa phân phối kỳ này]]/Table1[[#This Row],[TỔNG CỘNG TÀI SẢN]]</f>
        <v>3.8749107419051548E-2</v>
      </c>
      <c r="S2102" s="21">
        <f>Table1[[#This Row],[5. Lợi nhuận gộp về bán hàng và cung cấp dịch vụ]]/Table1[[#This Row],[TỔNG CỘNG TÀI SẢN]]</f>
        <v>4.7521326510183544E-2</v>
      </c>
      <c r="T210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0.64142759547374972</v>
      </c>
      <c r="U2102" s="23">
        <f>Table1[[#This Row],[1. Doanh thu bán hàng và cung cấp dịch vụ ]]/Table1[[#This Row],[TỔNG CỘNG TÀI SẢN]]</f>
        <v>0.29937461728265746</v>
      </c>
      <c r="V2102" s="23">
        <f>1.2*Table1[[#This Row],[X1]] + 1.4*Table1[[#This Row],[X2]] + 3.3*Table1[[#This Row],[x3]] + 0.6*Table1[[#This Row],[x4]] + 1*Table1[[#This Row],[x5]]</f>
        <v>1.3227075103375749</v>
      </c>
      <c r="W2102" s="23">
        <f>IF(Table1[[#This Row],[Zscore]]&lt;1.81,1,0)</f>
        <v>1</v>
      </c>
    </row>
    <row r="2103" spans="1:23" hidden="1" x14ac:dyDescent="0.45">
      <c r="A2103" s="7">
        <v>2097</v>
      </c>
      <c r="B2103" s="5" t="s">
        <v>4204</v>
      </c>
      <c r="C2103" s="6" t="s">
        <v>4205</v>
      </c>
      <c r="D2103" s="6" t="s">
        <v>13</v>
      </c>
      <c r="E2103" s="6"/>
      <c r="F2103" s="6"/>
      <c r="G2103" s="6"/>
      <c r="H2103" s="6"/>
      <c r="I2103" s="6"/>
      <c r="J2103" s="8"/>
      <c r="K2103" s="6"/>
      <c r="L2103" s="6"/>
      <c r="M2103" s="8"/>
      <c r="N2103" s="8"/>
      <c r="O2103" s="8"/>
      <c r="P2103" s="8"/>
      <c r="Q2103" s="18" t="e">
        <f>(Table1[[#This Row],[A. TÀI SẢN NGẮN HẠN]]-Table1[[#This Row],[I. Nợ ngắn hạn]])/Table1[[#This Row],[TỔNG CỘNG TÀI SẢN]]</f>
        <v>#DIV/0!</v>
      </c>
      <c r="R2103" s="18" t="e">
        <f>Table1[[#This Row],[- LNST chưa phân phối kỳ này]]/Table1[[#This Row],[TỔNG CỘNG TÀI SẢN]]</f>
        <v>#DIV/0!</v>
      </c>
      <c r="S2103" s="21" t="e">
        <f>Table1[[#This Row],[5. Lợi nhuận gộp về bán hàng và cung cấp dịch vụ]]/Table1[[#This Row],[TỔNG CỘNG TÀI SẢN]]</f>
        <v>#DIV/0!</v>
      </c>
      <c r="T210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103" s="23" t="e">
        <f>Table1[[#This Row],[1. Doanh thu bán hàng và cung cấp dịch vụ ]]/Table1[[#This Row],[TỔNG CỘNG TÀI SẢN]]</f>
        <v>#DIV/0!</v>
      </c>
      <c r="V2103" s="23" t="e">
        <f>1.2*Table1[[#This Row],[X1]] + 1.4*Table1[[#This Row],[X2]] + 3.3*Table1[[#This Row],[x3]] + 0.6*Table1[[#This Row],[x4]] + 1*Table1[[#This Row],[x5]]</f>
        <v>#DIV/0!</v>
      </c>
      <c r="W2103" s="23" t="e">
        <f>IF(Table1[[#This Row],[Zscore]]&lt;1.81,1,0)</f>
        <v>#DIV/0!</v>
      </c>
    </row>
    <row r="2104" spans="1:23" hidden="1" x14ac:dyDescent="0.45">
      <c r="A2104" s="7">
        <v>2098</v>
      </c>
      <c r="B2104" s="5" t="s">
        <v>4206</v>
      </c>
      <c r="C2104" s="6" t="s">
        <v>4207</v>
      </c>
      <c r="D2104" s="6" t="s">
        <v>18</v>
      </c>
      <c r="E2104" s="6"/>
      <c r="F2104" s="6"/>
      <c r="G2104" s="6"/>
      <c r="H2104" s="6"/>
      <c r="I2104" s="6"/>
      <c r="J2104" s="8"/>
      <c r="K2104" s="6"/>
      <c r="L2104" s="6"/>
      <c r="M2104" s="8"/>
      <c r="N2104" s="8"/>
      <c r="O2104" s="8"/>
      <c r="P2104" s="8"/>
      <c r="Q2104" s="18" t="e">
        <f>(Table1[[#This Row],[A. TÀI SẢN NGẮN HẠN]]-Table1[[#This Row],[I. Nợ ngắn hạn]])/Table1[[#This Row],[TỔNG CỘNG TÀI SẢN]]</f>
        <v>#DIV/0!</v>
      </c>
      <c r="R2104" s="18" t="e">
        <f>Table1[[#This Row],[- LNST chưa phân phối kỳ này]]/Table1[[#This Row],[TỔNG CỘNG TÀI SẢN]]</f>
        <v>#DIV/0!</v>
      </c>
      <c r="S2104" s="21" t="e">
        <f>Table1[[#This Row],[5. Lợi nhuận gộp về bán hàng và cung cấp dịch vụ]]/Table1[[#This Row],[TỔNG CỘNG TÀI SẢN]]</f>
        <v>#DIV/0!</v>
      </c>
      <c r="T210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104" s="23" t="e">
        <f>Table1[[#This Row],[1. Doanh thu bán hàng và cung cấp dịch vụ ]]/Table1[[#This Row],[TỔNG CỘNG TÀI SẢN]]</f>
        <v>#DIV/0!</v>
      </c>
      <c r="V2104" s="23" t="e">
        <f>1.2*Table1[[#This Row],[X1]] + 1.4*Table1[[#This Row],[X2]] + 3.3*Table1[[#This Row],[x3]] + 0.6*Table1[[#This Row],[x4]] + 1*Table1[[#This Row],[x5]]</f>
        <v>#DIV/0!</v>
      </c>
      <c r="W2104" s="23" t="e">
        <f>IF(Table1[[#This Row],[Zscore]]&lt;1.81,1,0)</f>
        <v>#DIV/0!</v>
      </c>
    </row>
    <row r="2105" spans="1:23" x14ac:dyDescent="0.45">
      <c r="A2105" s="7">
        <v>2099</v>
      </c>
      <c r="B2105" s="5" t="s">
        <v>4208</v>
      </c>
      <c r="C2105" s="6" t="s">
        <v>4209</v>
      </c>
      <c r="D2105" s="6" t="s">
        <v>36</v>
      </c>
      <c r="E2105" s="8">
        <v>1991624599159</v>
      </c>
      <c r="F2105" s="8">
        <v>1165914019548</v>
      </c>
      <c r="G2105" s="8">
        <v>1156442136450</v>
      </c>
      <c r="H2105" s="8">
        <v>32116382705</v>
      </c>
      <c r="I2105" s="8">
        <v>163838231499</v>
      </c>
      <c r="J2105" s="8"/>
      <c r="K2105" s="8">
        <v>1365956716773</v>
      </c>
      <c r="L2105" s="8">
        <v>2408435169088</v>
      </c>
      <c r="M2105" s="8">
        <v>473841595400</v>
      </c>
      <c r="N2105" s="8">
        <v>573839851200</v>
      </c>
      <c r="O2105" s="8">
        <v>456463518000</v>
      </c>
      <c r="P2105" s="8">
        <v>521672592000</v>
      </c>
      <c r="Q2105" s="18">
        <f>(Table1[[#This Row],[A. TÀI SẢN NGẮN HẠN]]-Table1[[#This Row],[I. Nợ ngắn hạn]])/Table1[[#This Row],[TỔNG CỘNG TÀI SẢN]]</f>
        <v>4.7558576561063147E-3</v>
      </c>
      <c r="R2105" s="18">
        <f>Table1[[#This Row],[- LNST chưa phân phối kỳ này]]/Table1[[#This Row],[TỔNG CỘNG TÀI SẢN]]</f>
        <v>1.6125721041285457E-2</v>
      </c>
      <c r="S2105" s="21">
        <f>Table1[[#This Row],[5. Lợi nhuận gộp về bán hàng và cung cấp dịch vụ]]/Table1[[#This Row],[TỔNG CỘNG TÀI SẢN]]</f>
        <v>8.2263611108330206E-2</v>
      </c>
      <c r="T210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0.37076898772200595</v>
      </c>
      <c r="U2105" s="23">
        <f>Table1[[#This Row],[1. Doanh thu bán hàng và cung cấp dịch vụ ]]/Table1[[#This Row],[TỔNG CỘNG TÀI SẢN]]</f>
        <v>1.2092816940024771</v>
      </c>
      <c r="V2105" s="23">
        <f>1.2*Table1[[#This Row],[X1]] + 1.4*Table1[[#This Row],[X2]] + 3.3*Table1[[#This Row],[x3]] + 0.6*Table1[[#This Row],[x4]] + 1*Table1[[#This Row],[x5]]</f>
        <v>1.7314960419382976</v>
      </c>
      <c r="W2105" s="23">
        <f>IF(Table1[[#This Row],[Zscore]]&lt;1.81,1,0)</f>
        <v>1</v>
      </c>
    </row>
    <row r="2106" spans="1:23" hidden="1" x14ac:dyDescent="0.45">
      <c r="A2106" s="7">
        <v>2100</v>
      </c>
      <c r="B2106" s="5" t="s">
        <v>4210</v>
      </c>
      <c r="C2106" s="6" t="s">
        <v>4211</v>
      </c>
      <c r="D2106" s="6" t="s">
        <v>13</v>
      </c>
      <c r="E2106" s="6"/>
      <c r="F2106" s="6"/>
      <c r="G2106" s="6"/>
      <c r="H2106" s="6"/>
      <c r="I2106" s="6"/>
      <c r="J2106" s="8"/>
      <c r="K2106" s="6"/>
      <c r="L2106" s="6"/>
      <c r="M2106" s="8"/>
      <c r="N2106" s="8"/>
      <c r="O2106" s="8"/>
      <c r="P2106" s="8"/>
      <c r="Q2106" s="18" t="e">
        <f>(Table1[[#This Row],[A. TÀI SẢN NGẮN HẠN]]-Table1[[#This Row],[I. Nợ ngắn hạn]])/Table1[[#This Row],[TỔNG CỘNG TÀI SẢN]]</f>
        <v>#DIV/0!</v>
      </c>
      <c r="R2106" s="18" t="e">
        <f>Table1[[#This Row],[- LNST chưa phân phối kỳ này]]/Table1[[#This Row],[TỔNG CỘNG TÀI SẢN]]</f>
        <v>#DIV/0!</v>
      </c>
      <c r="S2106" s="21" t="e">
        <f>Table1[[#This Row],[5. Lợi nhuận gộp về bán hàng và cung cấp dịch vụ]]/Table1[[#This Row],[TỔNG CỘNG TÀI SẢN]]</f>
        <v>#DIV/0!</v>
      </c>
      <c r="T210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106" s="23" t="e">
        <f>Table1[[#This Row],[1. Doanh thu bán hàng và cung cấp dịch vụ ]]/Table1[[#This Row],[TỔNG CỘNG TÀI SẢN]]</f>
        <v>#DIV/0!</v>
      </c>
      <c r="V2106" s="23" t="e">
        <f>1.2*Table1[[#This Row],[X1]] + 1.4*Table1[[#This Row],[X2]] + 3.3*Table1[[#This Row],[x3]] + 0.6*Table1[[#This Row],[x4]] + 1*Table1[[#This Row],[x5]]</f>
        <v>#DIV/0!</v>
      </c>
      <c r="W2106" s="23" t="e">
        <f>IF(Table1[[#This Row],[Zscore]]&lt;1.81,1,0)</f>
        <v>#DIV/0!</v>
      </c>
    </row>
    <row r="2107" spans="1:23" ht="26.25" hidden="1" x14ac:dyDescent="0.45">
      <c r="A2107" s="7">
        <v>2101</v>
      </c>
      <c r="B2107" s="5" t="s">
        <v>4212</v>
      </c>
      <c r="C2107" s="6" t="s">
        <v>4213</v>
      </c>
      <c r="D2107" s="6" t="s">
        <v>13</v>
      </c>
      <c r="E2107" s="6"/>
      <c r="F2107" s="6"/>
      <c r="G2107" s="6"/>
      <c r="H2107" s="6"/>
      <c r="I2107" s="6"/>
      <c r="J2107" s="8"/>
      <c r="K2107" s="6"/>
      <c r="L2107" s="6"/>
      <c r="M2107" s="8"/>
      <c r="N2107" s="8"/>
      <c r="O2107" s="8"/>
      <c r="P2107" s="8"/>
      <c r="Q2107" s="18" t="e">
        <f>(Table1[[#This Row],[A. TÀI SẢN NGẮN HẠN]]-Table1[[#This Row],[I. Nợ ngắn hạn]])/Table1[[#This Row],[TỔNG CỘNG TÀI SẢN]]</f>
        <v>#DIV/0!</v>
      </c>
      <c r="R2107" s="18" t="e">
        <f>Table1[[#This Row],[- LNST chưa phân phối kỳ này]]/Table1[[#This Row],[TỔNG CỘNG TÀI SẢN]]</f>
        <v>#DIV/0!</v>
      </c>
      <c r="S2107" s="21" t="e">
        <f>Table1[[#This Row],[5. Lợi nhuận gộp về bán hàng và cung cấp dịch vụ]]/Table1[[#This Row],[TỔNG CỘNG TÀI SẢN]]</f>
        <v>#DIV/0!</v>
      </c>
      <c r="T210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107" s="23" t="e">
        <f>Table1[[#This Row],[1. Doanh thu bán hàng và cung cấp dịch vụ ]]/Table1[[#This Row],[TỔNG CỘNG TÀI SẢN]]</f>
        <v>#DIV/0!</v>
      </c>
      <c r="V2107" s="23" t="e">
        <f>1.2*Table1[[#This Row],[X1]] + 1.4*Table1[[#This Row],[X2]] + 3.3*Table1[[#This Row],[x3]] + 0.6*Table1[[#This Row],[x4]] + 1*Table1[[#This Row],[x5]]</f>
        <v>#DIV/0!</v>
      </c>
      <c r="W2107" s="23" t="e">
        <f>IF(Table1[[#This Row],[Zscore]]&lt;1.81,1,0)</f>
        <v>#DIV/0!</v>
      </c>
    </row>
    <row r="2108" spans="1:23" x14ac:dyDescent="0.45">
      <c r="A2108" s="7">
        <v>2102</v>
      </c>
      <c r="B2108" s="5" t="s">
        <v>4214</v>
      </c>
      <c r="C2108" s="6" t="s">
        <v>4215</v>
      </c>
      <c r="D2108" s="6" t="s">
        <v>21</v>
      </c>
      <c r="E2108" s="8">
        <v>1379818710609</v>
      </c>
      <c r="F2108" s="8">
        <v>1126442695980</v>
      </c>
      <c r="G2108" s="8">
        <v>125191896896</v>
      </c>
      <c r="H2108" s="8">
        <v>160624722255</v>
      </c>
      <c r="I2108" s="8">
        <v>245312433537</v>
      </c>
      <c r="J2108" s="8"/>
      <c r="K2108" s="8">
        <v>317521711674</v>
      </c>
      <c r="L2108" s="8">
        <v>449390670910</v>
      </c>
      <c r="M2108" s="8">
        <v>1021179576000</v>
      </c>
      <c r="N2108" s="8">
        <v>969430611000</v>
      </c>
      <c r="O2108" s="8">
        <v>1017729645000</v>
      </c>
      <c r="P2108" s="8">
        <v>976330473000</v>
      </c>
      <c r="Q2108" s="18">
        <f>(Table1[[#This Row],[A. TÀI SẢN NGẮN HẠN]]-Table1[[#This Row],[I. Nợ ngắn hạn]])/Table1[[#This Row],[TỔNG CỘNG TÀI SẢN]]</f>
        <v>0.72563938391738836</v>
      </c>
      <c r="R2108" s="18">
        <f>Table1[[#This Row],[- LNST chưa phân phối kỳ này]]/Table1[[#This Row],[TỔNG CỘNG TÀI SẢN]]</f>
        <v>0.11641001895394382</v>
      </c>
      <c r="S2108" s="21">
        <f>Table1[[#This Row],[5. Lợi nhuận gộp về bán hàng và cung cấp dịch vụ]]/Table1[[#This Row],[TỔNG CỘNG TÀI SẢN]]</f>
        <v>0.17778598858739084</v>
      </c>
      <c r="T210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3.1373211330907873</v>
      </c>
      <c r="U2108" s="23">
        <f>Table1[[#This Row],[1. Doanh thu bán hàng và cung cấp dịch vụ ]]/Table1[[#This Row],[TỔNG CỘNG TÀI SẢN]]</f>
        <v>0.32568819907627999</v>
      </c>
      <c r="V2108" s="23">
        <f>1.2*Table1[[#This Row],[X1]] + 1.4*Table1[[#This Row],[X2]] + 3.3*Table1[[#This Row],[x3]] + 0.6*Table1[[#This Row],[x4]] + 1*Table1[[#This Row],[x5]]</f>
        <v>3.8285159285055292</v>
      </c>
      <c r="W2108" s="23">
        <f>IF(Table1[[#This Row],[Zscore]]&lt;1.81,1,0)</f>
        <v>0</v>
      </c>
    </row>
    <row r="2109" spans="1:23" x14ac:dyDescent="0.45">
      <c r="A2109" s="7">
        <v>2103</v>
      </c>
      <c r="B2109" s="5" t="s">
        <v>4216</v>
      </c>
      <c r="C2109" s="6" t="s">
        <v>4217</v>
      </c>
      <c r="D2109" s="6" t="s">
        <v>36</v>
      </c>
      <c r="E2109" s="8">
        <v>4133248319793</v>
      </c>
      <c r="F2109" s="8">
        <v>1825675688797</v>
      </c>
      <c r="G2109" s="8">
        <v>1551190057155</v>
      </c>
      <c r="H2109" s="8">
        <v>138635548521</v>
      </c>
      <c r="I2109" s="8">
        <v>367493567366</v>
      </c>
      <c r="J2109" s="8"/>
      <c r="K2109" s="8">
        <v>2691309250137</v>
      </c>
      <c r="L2109" s="8">
        <v>1671870615104</v>
      </c>
      <c r="M2109" s="8">
        <v>633220228200</v>
      </c>
      <c r="N2109" s="8">
        <v>732000000000</v>
      </c>
      <c r="O2109" s="8">
        <v>442287411300</v>
      </c>
      <c r="P2109" s="8">
        <v>451954895700</v>
      </c>
      <c r="Q2109" s="18">
        <f>(Table1[[#This Row],[A. TÀI SẢN NGẮN HẠN]]-Table1[[#This Row],[I. Nợ ngắn hạn]])/Table1[[#This Row],[TỔNG CỘNG TÀI SẢN]]</f>
        <v>6.6409179997137621E-2</v>
      </c>
      <c r="R2109" s="18">
        <f>Table1[[#This Row],[- LNST chưa phân phối kỳ này]]/Table1[[#This Row],[TỔNG CỘNG TÀI SẢN]]</f>
        <v>3.3541548388736318E-2</v>
      </c>
      <c r="S2109" s="21">
        <f>Table1[[#This Row],[5. Lợi nhuận gộp về bán hàng và cung cấp dịch vụ]]/Table1[[#This Row],[TỔNG CỘNG TÀI SẢN]]</f>
        <v>8.8911562754691864E-2</v>
      </c>
      <c r="T210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0.2098850712794324</v>
      </c>
      <c r="U2109" s="23">
        <f>Table1[[#This Row],[1. Doanh thu bán hàng và cung cấp dịch vụ ]]/Table1[[#This Row],[TỔNG CỘNG TÀI SẢN]]</f>
        <v>0.40449314576573275</v>
      </c>
      <c r="V2109" s="23">
        <f>1.2*Table1[[#This Row],[X1]] + 1.4*Table1[[#This Row],[X2]] + 3.3*Table1[[#This Row],[x3]] + 0.6*Table1[[#This Row],[x4]] + 1*Table1[[#This Row],[x5]]</f>
        <v>0.95048152936467134</v>
      </c>
      <c r="W2109" s="23">
        <f>IF(Table1[[#This Row],[Zscore]]&lt;1.81,1,0)</f>
        <v>1</v>
      </c>
    </row>
    <row r="2110" spans="1:23" x14ac:dyDescent="0.45">
      <c r="A2110" s="7">
        <v>2104</v>
      </c>
      <c r="B2110" s="5" t="s">
        <v>4218</v>
      </c>
      <c r="C2110" s="6" t="s">
        <v>4219</v>
      </c>
      <c r="D2110" s="6" t="s">
        <v>18</v>
      </c>
      <c r="E2110" s="8">
        <v>855822299473</v>
      </c>
      <c r="F2110" s="8">
        <v>698511395812</v>
      </c>
      <c r="G2110" s="8">
        <v>183199860659</v>
      </c>
      <c r="H2110" s="8">
        <v>-22234727659</v>
      </c>
      <c r="I2110" s="8">
        <v>1250915411</v>
      </c>
      <c r="J2110" s="8"/>
      <c r="K2110" s="8">
        <v>361551143218</v>
      </c>
      <c r="L2110" s="8">
        <v>32106587949</v>
      </c>
      <c r="M2110" s="8">
        <v>134640000000</v>
      </c>
      <c r="N2110" s="8">
        <v>134640000000</v>
      </c>
      <c r="O2110" s="8">
        <v>134640000000</v>
      </c>
      <c r="P2110" s="8">
        <v>134640000000</v>
      </c>
      <c r="Q2110" s="18">
        <f>(Table1[[#This Row],[A. TÀI SẢN NGẮN HẠN]]-Table1[[#This Row],[I. Nợ ngắn hạn]])/Table1[[#This Row],[TỔNG CỘNG TÀI SẢN]]</f>
        <v>0.60212445442274587</v>
      </c>
      <c r="R2110" s="18">
        <f>Table1[[#This Row],[- LNST chưa phân phối kỳ này]]/Table1[[#This Row],[TỔNG CỘNG TÀI SẢN]]</f>
        <v>-2.5980542541006173E-2</v>
      </c>
      <c r="S2110" s="21">
        <f>Table1[[#This Row],[5. Lợi nhuận gộp về bán hàng và cung cấp dịch vụ]]/Table1[[#This Row],[TỔNG CỘNG TÀI SẢN]]</f>
        <v>1.4616532097496073E-3</v>
      </c>
      <c r="T211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0.37239544812839326</v>
      </c>
      <c r="U2110" s="23">
        <f>Table1[[#This Row],[1. Doanh thu bán hàng và cung cấp dịch vụ ]]/Table1[[#This Row],[TỔNG CỘNG TÀI SẢN]]</f>
        <v>3.7515484194289704E-2</v>
      </c>
      <c r="V2110" s="23">
        <f>1.2*Table1[[#This Row],[X1]] + 1.4*Table1[[#This Row],[X2]] + 3.3*Table1[[#This Row],[x3]] + 0.6*Table1[[#This Row],[x4]] + 1*Table1[[#This Row],[x5]]</f>
        <v>0.95195279441338576</v>
      </c>
      <c r="W2110" s="23">
        <f>IF(Table1[[#This Row],[Zscore]]&lt;1.81,1,0)</f>
        <v>1</v>
      </c>
    </row>
    <row r="2111" spans="1:23" x14ac:dyDescent="0.45">
      <c r="A2111" s="7">
        <v>2105</v>
      </c>
      <c r="B2111" s="5" t="s">
        <v>4220</v>
      </c>
      <c r="C2111" s="6" t="s">
        <v>4221</v>
      </c>
      <c r="D2111" s="6" t="s">
        <v>18</v>
      </c>
      <c r="E2111" s="8">
        <v>22713734411439</v>
      </c>
      <c r="F2111" s="8">
        <v>11287809675502</v>
      </c>
      <c r="G2111" s="8">
        <v>8033783682330</v>
      </c>
      <c r="H2111" s="8">
        <v>1227010234820</v>
      </c>
      <c r="I2111" s="8">
        <v>1357818459034</v>
      </c>
      <c r="J2111" s="8"/>
      <c r="K2111" s="8">
        <v>12262965019554</v>
      </c>
      <c r="L2111" s="8">
        <v>6640252162546</v>
      </c>
      <c r="M2111" s="8">
        <v>9395325640800</v>
      </c>
      <c r="N2111" s="8">
        <v>8001760593600</v>
      </c>
      <c r="O2111" s="8">
        <v>7866899460000</v>
      </c>
      <c r="P2111" s="8">
        <v>8541205128000</v>
      </c>
      <c r="Q2111" s="18">
        <f>(Table1[[#This Row],[A. TÀI SẢN NGẮN HẠN]]-Table1[[#This Row],[I. Nợ ngắn hạn]])/Table1[[#This Row],[TỔNG CỘNG TÀI SẢN]]</f>
        <v>0.1432624831402986</v>
      </c>
      <c r="R2111" s="18">
        <f>Table1[[#This Row],[- LNST chưa phân phối kỳ này]]/Table1[[#This Row],[TỔNG CỘNG TÀI SẢN]]</f>
        <v>5.4020629659298033E-2</v>
      </c>
      <c r="S2111" s="21">
        <f>Table1[[#This Row],[5. Lợi nhuận gộp về bán hàng và cung cấp dịch vụ]]/Table1[[#This Row],[TỔNG CỘNG TÀI SẢN]]</f>
        <v>5.9779622075275339E-2</v>
      </c>
      <c r="T211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0.68917245479571387</v>
      </c>
      <c r="U2111" s="23">
        <f>Table1[[#This Row],[1. Doanh thu bán hàng và cung cấp dịch vụ ]]/Table1[[#This Row],[TỔNG CỘNG TÀI SẢN]]</f>
        <v>0.29234524108910348</v>
      </c>
      <c r="V2111" s="23">
        <f>1.2*Table1[[#This Row],[X1]] + 1.4*Table1[[#This Row],[X2]] + 3.3*Table1[[#This Row],[x3]] + 0.6*Table1[[#This Row],[x4]] + 1*Table1[[#This Row],[x5]]</f>
        <v>1.1506653281063159</v>
      </c>
      <c r="W2111" s="23">
        <f>IF(Table1[[#This Row],[Zscore]]&lt;1.81,1,0)</f>
        <v>1</v>
      </c>
    </row>
    <row r="2112" spans="1:23" hidden="1" x14ac:dyDescent="0.45">
      <c r="A2112" s="7">
        <v>2106</v>
      </c>
      <c r="B2112" s="5" t="s">
        <v>4222</v>
      </c>
      <c r="C2112" s="6" t="s">
        <v>4223</v>
      </c>
      <c r="D2112" s="6" t="s">
        <v>18</v>
      </c>
      <c r="E2112" s="6"/>
      <c r="F2112" s="6"/>
      <c r="G2112" s="6"/>
      <c r="H2112" s="6"/>
      <c r="I2112" s="6"/>
      <c r="J2112" s="8"/>
      <c r="K2112" s="6"/>
      <c r="L2112" s="6"/>
      <c r="M2112" s="8"/>
      <c r="N2112" s="8"/>
      <c r="O2112" s="8"/>
      <c r="P2112" s="8"/>
      <c r="Q2112" s="18" t="e">
        <f>(Table1[[#This Row],[A. TÀI SẢN NGẮN HẠN]]-Table1[[#This Row],[I. Nợ ngắn hạn]])/Table1[[#This Row],[TỔNG CỘNG TÀI SẢN]]</f>
        <v>#DIV/0!</v>
      </c>
      <c r="R2112" s="18" t="e">
        <f>Table1[[#This Row],[- LNST chưa phân phối kỳ này]]/Table1[[#This Row],[TỔNG CỘNG TÀI SẢN]]</f>
        <v>#DIV/0!</v>
      </c>
      <c r="S2112" s="21" t="e">
        <f>Table1[[#This Row],[5. Lợi nhuận gộp về bán hàng và cung cấp dịch vụ]]/Table1[[#This Row],[TỔNG CỘNG TÀI SẢN]]</f>
        <v>#DIV/0!</v>
      </c>
      <c r="T211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112" s="23" t="e">
        <f>Table1[[#This Row],[1. Doanh thu bán hàng và cung cấp dịch vụ ]]/Table1[[#This Row],[TỔNG CỘNG TÀI SẢN]]</f>
        <v>#DIV/0!</v>
      </c>
      <c r="V2112" s="23" t="e">
        <f>1.2*Table1[[#This Row],[X1]] + 1.4*Table1[[#This Row],[X2]] + 3.3*Table1[[#This Row],[x3]] + 0.6*Table1[[#This Row],[x4]] + 1*Table1[[#This Row],[x5]]</f>
        <v>#DIV/0!</v>
      </c>
      <c r="W2112" s="23" t="e">
        <f>IF(Table1[[#This Row],[Zscore]]&lt;1.81,1,0)</f>
        <v>#DIV/0!</v>
      </c>
    </row>
    <row r="2113" spans="1:23" x14ac:dyDescent="0.45">
      <c r="A2113" s="7">
        <v>2107</v>
      </c>
      <c r="B2113" s="5" t="s">
        <v>4224</v>
      </c>
      <c r="C2113" s="6" t="s">
        <v>4225</v>
      </c>
      <c r="D2113" s="6" t="s">
        <v>21</v>
      </c>
      <c r="E2113" s="8">
        <v>7878222242663</v>
      </c>
      <c r="F2113" s="8">
        <v>5083716506686</v>
      </c>
      <c r="G2113" s="8">
        <v>2070821784736</v>
      </c>
      <c r="H2113" s="8">
        <v>122279304719</v>
      </c>
      <c r="I2113" s="8">
        <v>395313698887</v>
      </c>
      <c r="J2113" s="8"/>
      <c r="K2113" s="8">
        <v>4887288594988</v>
      </c>
      <c r="L2113" s="8">
        <v>643025047001</v>
      </c>
      <c r="M2113" s="8">
        <v>11947845652000</v>
      </c>
      <c r="N2113" s="8">
        <v>18383944370400</v>
      </c>
      <c r="O2113" s="8">
        <v>11278820520000</v>
      </c>
      <c r="P2113" s="8">
        <v>20020055924400</v>
      </c>
      <c r="Q2113" s="18">
        <f>(Table1[[#This Row],[A. TÀI SẢN NGẮN HẠN]]-Table1[[#This Row],[I. Nợ ngắn hạn]])/Table1[[#This Row],[TỔNG CỘNG TÀI SẢN]]</f>
        <v>0.38243332431449406</v>
      </c>
      <c r="R2113" s="18">
        <f>Table1[[#This Row],[- LNST chưa phân phối kỳ này]]/Table1[[#This Row],[TỔNG CỘNG TÀI SẢN]]</f>
        <v>1.5521179899802763E-2</v>
      </c>
      <c r="S2113" s="21">
        <f>Table1[[#This Row],[5. Lợi nhuận gộp về bán hàng và cung cấp dịch vụ]]/Table1[[#This Row],[TỔNG CỘNG TÀI SẢN]]</f>
        <v>5.0178033407873995E-2</v>
      </c>
      <c r="T211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3.152600121159375</v>
      </c>
      <c r="U2113" s="23">
        <f>Table1[[#This Row],[1. Doanh thu bán hàng và cung cấp dịch vụ ]]/Table1[[#This Row],[TỔNG CỘNG TÀI SẢN]]</f>
        <v>8.1620577231094255E-2</v>
      </c>
      <c r="V2113" s="23">
        <f>1.2*Table1[[#This Row],[X1]] + 1.4*Table1[[#This Row],[X2]] + 3.3*Table1[[#This Row],[x3]] + 0.6*Table1[[#This Row],[x4]] + 1*Table1[[#This Row],[x5]]</f>
        <v>2.6194178012098197</v>
      </c>
      <c r="W2113" s="23">
        <f>IF(Table1[[#This Row],[Zscore]]&lt;1.81,1,0)</f>
        <v>0</v>
      </c>
    </row>
    <row r="2114" spans="1:23" ht="26.25" x14ac:dyDescent="0.45">
      <c r="A2114" s="7">
        <v>2108</v>
      </c>
      <c r="B2114" s="5" t="s">
        <v>4226</v>
      </c>
      <c r="C2114" s="6" t="s">
        <v>4227</v>
      </c>
      <c r="D2114" s="6" t="s">
        <v>21</v>
      </c>
      <c r="E2114" s="8">
        <v>917142627072</v>
      </c>
      <c r="F2114" s="8">
        <v>520650511566</v>
      </c>
      <c r="G2114" s="8">
        <v>18077230788</v>
      </c>
      <c r="H2114" s="8">
        <v>47918395232</v>
      </c>
      <c r="I2114" s="8">
        <v>111131936297</v>
      </c>
      <c r="J2114" s="8"/>
      <c r="K2114" s="8">
        <v>18137230788</v>
      </c>
      <c r="L2114" s="8">
        <v>421949439869</v>
      </c>
      <c r="M2114" s="8">
        <v>797972364000</v>
      </c>
      <c r="N2114" s="8">
        <v>664976970000</v>
      </c>
      <c r="O2114" s="8">
        <v>681601394250</v>
      </c>
      <c r="P2114" s="8">
        <v>721500012450</v>
      </c>
      <c r="Q2114" s="18">
        <f>(Table1[[#This Row],[A. TÀI SẢN NGẮN HẠN]]-Table1[[#This Row],[I. Nợ ngắn hạn]])/Table1[[#This Row],[TỔNG CỘNG TÀI SẢN]]</f>
        <v>0.54797723488491357</v>
      </c>
      <c r="R2114" s="18">
        <f>Table1[[#This Row],[- LNST chưa phân phối kỳ này]]/Table1[[#This Row],[TỔNG CỘNG TÀI SẢN]]</f>
        <v>5.2247484543359014E-2</v>
      </c>
      <c r="S2114" s="21">
        <f>Table1[[#This Row],[5. Lợi nhuận gộp về bán hàng và cung cấp dịch vụ]]/Table1[[#This Row],[TỔNG CỘNG TÀI SẢN]]</f>
        <v>0.12117192355543585</v>
      </c>
      <c r="T211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39.505076246207381</v>
      </c>
      <c r="U2114" s="23">
        <f>Table1[[#This Row],[1. Doanh thu bán hàng và cung cấp dịch vụ ]]/Table1[[#This Row],[TỔNG CỘNG TÀI SẢN]]</f>
        <v>0.46006959813446224</v>
      </c>
      <c r="V2114" s="23">
        <f>1.2*Table1[[#This Row],[X1]] + 1.4*Table1[[#This Row],[X2]] + 3.3*Table1[[#This Row],[x3]] + 0.6*Table1[[#This Row],[x4]] + 1*Table1[[#This Row],[x5]]</f>
        <v>25.293701853814429</v>
      </c>
      <c r="W2114" s="23">
        <f>IF(Table1[[#This Row],[Zscore]]&lt;1.81,1,0)</f>
        <v>0</v>
      </c>
    </row>
    <row r="2115" spans="1:23" ht="26.25" x14ac:dyDescent="0.45">
      <c r="A2115" s="7">
        <v>2109</v>
      </c>
      <c r="B2115" s="5" t="s">
        <v>4228</v>
      </c>
      <c r="C2115" s="6" t="s">
        <v>4229</v>
      </c>
      <c r="D2115" s="6" t="s">
        <v>18</v>
      </c>
      <c r="E2115" s="8">
        <v>689936501954</v>
      </c>
      <c r="F2115" s="8">
        <v>518623495146</v>
      </c>
      <c r="G2115" s="8">
        <v>247858317939</v>
      </c>
      <c r="H2115" s="8">
        <v>44355166446</v>
      </c>
      <c r="I2115" s="8">
        <v>250321637125</v>
      </c>
      <c r="J2115" s="8"/>
      <c r="K2115" s="8">
        <v>268904678550</v>
      </c>
      <c r="L2115" s="8">
        <v>1169816253646</v>
      </c>
      <c r="M2115" s="8">
        <v>874500000000</v>
      </c>
      <c r="N2115" s="8">
        <v>815100000000</v>
      </c>
      <c r="O2115" s="8">
        <v>854700000000</v>
      </c>
      <c r="P2115" s="8">
        <v>818400000000</v>
      </c>
      <c r="Q2115" s="18">
        <f>(Table1[[#This Row],[A. TÀI SẢN NGẮN HẠN]]-Table1[[#This Row],[I. Nợ ngắn hạn]])/Table1[[#This Row],[TỔNG CỘNG TÀI SẢN]]</f>
        <v>0.39244941591023791</v>
      </c>
      <c r="R2115" s="18">
        <f>Table1[[#This Row],[- LNST chưa phân phối kỳ này]]/Table1[[#This Row],[TỔNG CỘNG TÀI SẢN]]</f>
        <v>6.4288766169610906E-2</v>
      </c>
      <c r="S2115" s="21">
        <f>Table1[[#This Row],[5. Lợi nhuận gộp về bán hàng và cung cấp dịch vụ]]/Table1[[#This Row],[TỔNG CỘNG TÀI SẢN]]</f>
        <v>0.36281837011964563</v>
      </c>
      <c r="T211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3.1262936908837951</v>
      </c>
      <c r="U2115" s="23">
        <f>Table1[[#This Row],[1. Doanh thu bán hàng và cung cấp dịch vụ ]]/Table1[[#This Row],[TỔNG CỘNG TÀI SẢN]]</f>
        <v>1.6955419090494721</v>
      </c>
      <c r="V2115" s="23">
        <f>1.2*Table1[[#This Row],[X1]] + 1.4*Table1[[#This Row],[X2]] + 3.3*Table1[[#This Row],[x3]] + 0.6*Table1[[#This Row],[x4]] + 1*Table1[[#This Row],[x5]]</f>
        <v>5.3295623167043207</v>
      </c>
      <c r="W2115" s="23">
        <f>IF(Table1[[#This Row],[Zscore]]&lt;1.81,1,0)</f>
        <v>0</v>
      </c>
    </row>
    <row r="2116" spans="1:23" ht="26.25" hidden="1" x14ac:dyDescent="0.45">
      <c r="A2116" s="7">
        <v>2110</v>
      </c>
      <c r="B2116" s="5" t="s">
        <v>4230</v>
      </c>
      <c r="C2116" s="6" t="s">
        <v>4231</v>
      </c>
      <c r="D2116" s="6" t="s">
        <v>18</v>
      </c>
      <c r="E2116" s="6"/>
      <c r="F2116" s="6"/>
      <c r="G2116" s="6"/>
      <c r="H2116" s="6"/>
      <c r="I2116" s="6"/>
      <c r="J2116" s="8"/>
      <c r="K2116" s="6"/>
      <c r="L2116" s="6"/>
      <c r="M2116" s="8"/>
      <c r="N2116" s="8"/>
      <c r="O2116" s="8"/>
      <c r="P2116" s="8"/>
      <c r="Q2116" s="18" t="e">
        <f>(Table1[[#This Row],[A. TÀI SẢN NGẮN HẠN]]-Table1[[#This Row],[I. Nợ ngắn hạn]])/Table1[[#This Row],[TỔNG CỘNG TÀI SẢN]]</f>
        <v>#DIV/0!</v>
      </c>
      <c r="R2116" s="18" t="e">
        <f>Table1[[#This Row],[- LNST chưa phân phối kỳ này]]/Table1[[#This Row],[TỔNG CỘNG TÀI SẢN]]</f>
        <v>#DIV/0!</v>
      </c>
      <c r="S2116" s="21" t="e">
        <f>Table1[[#This Row],[5. Lợi nhuận gộp về bán hàng và cung cấp dịch vụ]]/Table1[[#This Row],[TỔNG CỘNG TÀI SẢN]]</f>
        <v>#DIV/0!</v>
      </c>
      <c r="T211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116" s="23" t="e">
        <f>Table1[[#This Row],[1. Doanh thu bán hàng và cung cấp dịch vụ ]]/Table1[[#This Row],[TỔNG CỘNG TÀI SẢN]]</f>
        <v>#DIV/0!</v>
      </c>
      <c r="V2116" s="23" t="e">
        <f>1.2*Table1[[#This Row],[X1]] + 1.4*Table1[[#This Row],[X2]] + 3.3*Table1[[#This Row],[x3]] + 0.6*Table1[[#This Row],[x4]] + 1*Table1[[#This Row],[x5]]</f>
        <v>#DIV/0!</v>
      </c>
      <c r="W2116" s="23" t="e">
        <f>IF(Table1[[#This Row],[Zscore]]&lt;1.81,1,0)</f>
        <v>#DIV/0!</v>
      </c>
    </row>
    <row r="2117" spans="1:23" ht="26.25" x14ac:dyDescent="0.45">
      <c r="A2117" s="7">
        <v>2111</v>
      </c>
      <c r="B2117" s="5" t="s">
        <v>4232</v>
      </c>
      <c r="C2117" s="6" t="s">
        <v>4233</v>
      </c>
      <c r="D2117" s="6" t="s">
        <v>18</v>
      </c>
      <c r="E2117" s="8">
        <v>734914734221</v>
      </c>
      <c r="F2117" s="8">
        <v>563377163580</v>
      </c>
      <c r="G2117" s="8">
        <v>338392571180</v>
      </c>
      <c r="H2117" s="8">
        <v>67299807089</v>
      </c>
      <c r="I2117" s="8">
        <v>245060062041</v>
      </c>
      <c r="J2117" s="8"/>
      <c r="K2117" s="8">
        <v>338392571180</v>
      </c>
      <c r="L2117" s="8">
        <v>1348279023483</v>
      </c>
      <c r="M2117" s="8">
        <v>724500000000</v>
      </c>
      <c r="N2117" s="8">
        <v>609500000000</v>
      </c>
      <c r="O2117" s="8">
        <v>710700000000</v>
      </c>
      <c r="P2117" s="8">
        <v>655500000000</v>
      </c>
      <c r="Q2117" s="18">
        <f>(Table1[[#This Row],[A. TÀI SẢN NGẮN HẠN]]-Table1[[#This Row],[I. Nợ ngắn hạn]])/Table1[[#This Row],[TỔNG CỘNG TÀI SẢN]]</f>
        <v>0.30613700055759629</v>
      </c>
      <c r="R2117" s="18">
        <f>Table1[[#This Row],[- LNST chưa phân phối kỳ này]]/Table1[[#This Row],[TỔNG CỘNG TÀI SẢN]]</f>
        <v>9.1574986804880049E-2</v>
      </c>
      <c r="S2117" s="21">
        <f>Table1[[#This Row],[5. Lợi nhuận gộp về bán hàng và cung cấp dịch vụ]]/Table1[[#This Row],[TỔNG CỘNG TÀI SẢN]]</f>
        <v>0.3334537336508302</v>
      </c>
      <c r="T211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1.9948723981913981</v>
      </c>
      <c r="U2117" s="23">
        <f>Table1[[#This Row],[1. Doanh thu bán hàng và cung cấp dịch vụ ]]/Table1[[#This Row],[TỔNG CỘNG TÀI SẢN]]</f>
        <v>1.8346060579560404</v>
      </c>
      <c r="V2117" s="23">
        <f>1.2*Table1[[#This Row],[X1]] + 1.4*Table1[[#This Row],[X2]] + 3.3*Table1[[#This Row],[x3]] + 0.6*Table1[[#This Row],[x4]] + 1*Table1[[#This Row],[x5]]</f>
        <v>4.6274962001145656</v>
      </c>
      <c r="W2117" s="23">
        <f>IF(Table1[[#This Row],[Zscore]]&lt;1.81,1,0)</f>
        <v>0</v>
      </c>
    </row>
    <row r="2118" spans="1:23" ht="26.25" hidden="1" x14ac:dyDescent="0.45">
      <c r="A2118" s="7">
        <v>2112</v>
      </c>
      <c r="B2118" s="5" t="s">
        <v>4234</v>
      </c>
      <c r="C2118" s="6" t="s">
        <v>4235</v>
      </c>
      <c r="D2118" s="6" t="s">
        <v>13</v>
      </c>
      <c r="E2118" s="6"/>
      <c r="F2118" s="6"/>
      <c r="G2118" s="6"/>
      <c r="H2118" s="6"/>
      <c r="I2118" s="6"/>
      <c r="J2118" s="8"/>
      <c r="K2118" s="6"/>
      <c r="L2118" s="6"/>
      <c r="M2118" s="8"/>
      <c r="N2118" s="8"/>
      <c r="O2118" s="8"/>
      <c r="P2118" s="8"/>
      <c r="Q2118" s="18" t="e">
        <f>(Table1[[#This Row],[A. TÀI SẢN NGẮN HẠN]]-Table1[[#This Row],[I. Nợ ngắn hạn]])/Table1[[#This Row],[TỔNG CỘNG TÀI SẢN]]</f>
        <v>#DIV/0!</v>
      </c>
      <c r="R2118" s="18" t="e">
        <f>Table1[[#This Row],[- LNST chưa phân phối kỳ này]]/Table1[[#This Row],[TỔNG CỘNG TÀI SẢN]]</f>
        <v>#DIV/0!</v>
      </c>
      <c r="S2118" s="21" t="e">
        <f>Table1[[#This Row],[5. Lợi nhuận gộp về bán hàng và cung cấp dịch vụ]]/Table1[[#This Row],[TỔNG CỘNG TÀI SẢN]]</f>
        <v>#DIV/0!</v>
      </c>
      <c r="T211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118" s="23" t="e">
        <f>Table1[[#This Row],[1. Doanh thu bán hàng và cung cấp dịch vụ ]]/Table1[[#This Row],[TỔNG CỘNG TÀI SẢN]]</f>
        <v>#DIV/0!</v>
      </c>
      <c r="V2118" s="23" t="e">
        <f>1.2*Table1[[#This Row],[X1]] + 1.4*Table1[[#This Row],[X2]] + 3.3*Table1[[#This Row],[x3]] + 0.6*Table1[[#This Row],[x4]] + 1*Table1[[#This Row],[x5]]</f>
        <v>#DIV/0!</v>
      </c>
      <c r="W2118" s="23" t="e">
        <f>IF(Table1[[#This Row],[Zscore]]&lt;1.81,1,0)</f>
        <v>#DIV/0!</v>
      </c>
    </row>
    <row r="2119" spans="1:23" x14ac:dyDescent="0.45">
      <c r="A2119" s="7">
        <v>2113</v>
      </c>
      <c r="B2119" s="5" t="s">
        <v>4236</v>
      </c>
      <c r="C2119" s="6" t="s">
        <v>4237</v>
      </c>
      <c r="D2119" s="6" t="s">
        <v>18</v>
      </c>
      <c r="E2119" s="8">
        <v>839026712762</v>
      </c>
      <c r="F2119" s="8">
        <v>95696298334</v>
      </c>
      <c r="G2119" s="8">
        <v>98863564057</v>
      </c>
      <c r="H2119" s="8">
        <v>226379162</v>
      </c>
      <c r="I2119" s="8">
        <v>10000000</v>
      </c>
      <c r="J2119" s="8"/>
      <c r="K2119" s="8">
        <v>98863564057</v>
      </c>
      <c r="L2119" s="6"/>
      <c r="M2119" s="8"/>
      <c r="N2119" s="8">
        <v>864304045000</v>
      </c>
      <c r="O2119" s="8"/>
      <c r="P2119" s="8">
        <v>864304045000</v>
      </c>
      <c r="Q2119" s="18">
        <f>(Table1[[#This Row],[A. TÀI SẢN NGẮN HẠN]]-Table1[[#This Row],[I. Nợ ngắn hạn]])/Table1[[#This Row],[TỔNG CỘNG TÀI SẢN]]</f>
        <v>-3.7749283483164055E-3</v>
      </c>
      <c r="R2119" s="18">
        <f>Table1[[#This Row],[- LNST chưa phân phối kỳ này]]/Table1[[#This Row],[TỔNG CỘNG TÀI SẢN]]</f>
        <v>2.6981162644366865E-4</v>
      </c>
      <c r="S2119" s="21">
        <f>Table1[[#This Row],[5. Lợi nhuận gộp về bán hàng và cung cấp dịch vụ]]/Table1[[#This Row],[TỔNG CỘNG TÀI SẢN]]</f>
        <v>1.1918571659156005E-5</v>
      </c>
      <c r="T211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8.74239213651739</v>
      </c>
      <c r="U2119" s="23">
        <f>Table1[[#This Row],[1. Doanh thu bán hàng và cung cấp dịch vụ ]]/Table1[[#This Row],[TỔNG CỘNG TÀI SẢN]]</f>
        <v>0</v>
      </c>
      <c r="V2119" s="23">
        <f>1.2*Table1[[#This Row],[X1]] + 1.4*Table1[[#This Row],[X2]] + 3.3*Table1[[#This Row],[x3]] + 0.6*Table1[[#This Row],[x4]] + 1*Table1[[#This Row],[x5]]</f>
        <v>5.2413224354559507</v>
      </c>
      <c r="W2119" s="23">
        <f>IF(Table1[[#This Row],[Zscore]]&lt;1.81,1,0)</f>
        <v>0</v>
      </c>
    </row>
    <row r="2120" spans="1:23" x14ac:dyDescent="0.45">
      <c r="A2120" s="7">
        <v>2114</v>
      </c>
      <c r="B2120" s="5" t="s">
        <v>4238</v>
      </c>
      <c r="C2120" s="6" t="s">
        <v>4239</v>
      </c>
      <c r="D2120" s="6" t="s">
        <v>36</v>
      </c>
      <c r="E2120" s="8">
        <v>2083458538369</v>
      </c>
      <c r="F2120" s="8">
        <v>1546611881697</v>
      </c>
      <c r="G2120" s="8">
        <v>355946782308</v>
      </c>
      <c r="H2120" s="8">
        <v>374220123919</v>
      </c>
      <c r="I2120" s="8">
        <v>380739108771</v>
      </c>
      <c r="J2120" s="8"/>
      <c r="K2120" s="8">
        <v>355946782308</v>
      </c>
      <c r="L2120" s="8">
        <v>1160883201236</v>
      </c>
      <c r="M2120" s="8">
        <v>2026932615000</v>
      </c>
      <c r="N2120" s="8">
        <v>1585315895500</v>
      </c>
      <c r="O2120" s="8">
        <v>1928033970500</v>
      </c>
      <c r="P2120" s="8">
        <v>1883970218000</v>
      </c>
      <c r="Q2120" s="18">
        <f>(Table1[[#This Row],[A. TÀI SẢN NGẮN HẠN]]-Table1[[#This Row],[I. Nợ ngắn hạn]])/Table1[[#This Row],[TỔNG CỘNG TÀI SẢN]]</f>
        <v>0.57148490236867966</v>
      </c>
      <c r="R2120" s="18">
        <f>Table1[[#This Row],[- LNST chưa phân phối kỳ này]]/Table1[[#This Row],[TỔNG CỘNG TÀI SẢN]]</f>
        <v>0.17961486491204756</v>
      </c>
      <c r="S2120" s="21">
        <f>Table1[[#This Row],[5. Lợi nhuận gộp về bán hàng và cung cấp dịch vụ]]/Table1[[#This Row],[TỔNG CỘNG TÀI SẢN]]</f>
        <v>0.18274378959758666</v>
      </c>
      <c r="T212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5.2144400989245421</v>
      </c>
      <c r="U2120" s="23">
        <f>Table1[[#This Row],[1. Doanh thu bán hàng và cung cấp dịch vụ ]]/Table1[[#This Row],[TỔNG CỘNG TÀI SẢN]]</f>
        <v>0.5571904503291808</v>
      </c>
      <c r="V2120" s="23">
        <f>1.2*Table1[[#This Row],[X1]] + 1.4*Table1[[#This Row],[X2]] + 3.3*Table1[[#This Row],[x3]] + 0.6*Table1[[#This Row],[x4]] + 1*Table1[[#This Row],[x5]]</f>
        <v>5.2261517090752241</v>
      </c>
      <c r="W2120" s="23">
        <f>IF(Table1[[#This Row],[Zscore]]&lt;1.81,1,0)</f>
        <v>0</v>
      </c>
    </row>
    <row r="2121" spans="1:23" x14ac:dyDescent="0.45">
      <c r="A2121" s="7">
        <v>2115</v>
      </c>
      <c r="B2121" s="5" t="s">
        <v>4240</v>
      </c>
      <c r="C2121" s="6" t="s">
        <v>4241</v>
      </c>
      <c r="D2121" s="6" t="s">
        <v>21</v>
      </c>
      <c r="E2121" s="8">
        <v>408353363492</v>
      </c>
      <c r="F2121" s="8">
        <v>108012390103</v>
      </c>
      <c r="G2121" s="8">
        <v>42596634793</v>
      </c>
      <c r="H2121" s="8">
        <v>13101053579</v>
      </c>
      <c r="I2121" s="8">
        <v>41198709563</v>
      </c>
      <c r="J2121" s="8"/>
      <c r="K2121" s="8">
        <v>165796634793</v>
      </c>
      <c r="L2121" s="8">
        <v>76246541181</v>
      </c>
      <c r="M2121" s="8">
        <v>199050736080</v>
      </c>
      <c r="N2121" s="8">
        <v>172999106000</v>
      </c>
      <c r="O2121" s="8">
        <v>207598927200</v>
      </c>
      <c r="P2121" s="8">
        <v>199457792800</v>
      </c>
      <c r="Q2121" s="18">
        <f>(Table1[[#This Row],[A. TÀI SẢN NGẮN HẠN]]-Table1[[#This Row],[I. Nợ ngắn hạn]])/Table1[[#This Row],[TỔNG CỘNG TÀI SẢN]]</f>
        <v>0.16019399167084747</v>
      </c>
      <c r="R2121" s="18">
        <f>Table1[[#This Row],[- LNST chưa phân phối kỳ này]]/Table1[[#This Row],[TỔNG CỘNG TÀI SẢN]]</f>
        <v>3.2082639082405065E-2</v>
      </c>
      <c r="S2121" s="21">
        <f>Table1[[#This Row],[5. Lợi nhuận gộp về bán hàng và cung cấp dịch vụ]]/Table1[[#This Row],[TỔNG CỘNG TÀI SẢN]]</f>
        <v>0.10088984993460723</v>
      </c>
      <c r="T212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1.1747924845590627</v>
      </c>
      <c r="U2121" s="23">
        <f>Table1[[#This Row],[1. Doanh thu bán hàng và cung cấp dịch vụ ]]/Table1[[#This Row],[TỔNG CỘNG TÀI SẢN]]</f>
        <v>0.18671706418427417</v>
      </c>
      <c r="V2121" s="23">
        <f>1.2*Table1[[#This Row],[X1]] + 1.4*Table1[[#This Row],[X2]] + 3.3*Table1[[#This Row],[x3]] + 0.6*Table1[[#This Row],[x4]] + 1*Table1[[#This Row],[x5]]</f>
        <v>1.4616775444242998</v>
      </c>
      <c r="W2121" s="23">
        <f>IF(Table1[[#This Row],[Zscore]]&lt;1.81,1,0)</f>
        <v>1</v>
      </c>
    </row>
    <row r="2122" spans="1:23" hidden="1" x14ac:dyDescent="0.45">
      <c r="A2122" s="7">
        <v>2116</v>
      </c>
      <c r="B2122" s="5" t="s">
        <v>4242</v>
      </c>
      <c r="C2122" s="6" t="s">
        <v>4243</v>
      </c>
      <c r="D2122" s="6" t="s">
        <v>13</v>
      </c>
      <c r="E2122" s="6"/>
      <c r="F2122" s="6"/>
      <c r="G2122" s="6"/>
      <c r="H2122" s="6"/>
      <c r="I2122" s="6"/>
      <c r="J2122" s="8"/>
      <c r="K2122" s="6"/>
      <c r="L2122" s="6"/>
      <c r="M2122" s="8"/>
      <c r="N2122" s="8"/>
      <c r="O2122" s="8"/>
      <c r="P2122" s="8"/>
      <c r="Q2122" s="18" t="e">
        <f>(Table1[[#This Row],[A. TÀI SẢN NGẮN HẠN]]-Table1[[#This Row],[I. Nợ ngắn hạn]])/Table1[[#This Row],[TỔNG CỘNG TÀI SẢN]]</f>
        <v>#DIV/0!</v>
      </c>
      <c r="R2122" s="18" t="e">
        <f>Table1[[#This Row],[- LNST chưa phân phối kỳ này]]/Table1[[#This Row],[TỔNG CỘNG TÀI SẢN]]</f>
        <v>#DIV/0!</v>
      </c>
      <c r="S2122" s="21" t="e">
        <f>Table1[[#This Row],[5. Lợi nhuận gộp về bán hàng và cung cấp dịch vụ]]/Table1[[#This Row],[TỔNG CỘNG TÀI SẢN]]</f>
        <v>#DIV/0!</v>
      </c>
      <c r="T212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122" s="23" t="e">
        <f>Table1[[#This Row],[1. Doanh thu bán hàng và cung cấp dịch vụ ]]/Table1[[#This Row],[TỔNG CỘNG TÀI SẢN]]</f>
        <v>#DIV/0!</v>
      </c>
      <c r="V2122" s="23" t="e">
        <f>1.2*Table1[[#This Row],[X1]] + 1.4*Table1[[#This Row],[X2]] + 3.3*Table1[[#This Row],[x3]] + 0.6*Table1[[#This Row],[x4]] + 1*Table1[[#This Row],[x5]]</f>
        <v>#DIV/0!</v>
      </c>
      <c r="W2122" s="23" t="e">
        <f>IF(Table1[[#This Row],[Zscore]]&lt;1.81,1,0)</f>
        <v>#DIV/0!</v>
      </c>
    </row>
    <row r="2123" spans="1:23" x14ac:dyDescent="0.45">
      <c r="A2123" s="7">
        <v>2117</v>
      </c>
      <c r="B2123" s="5" t="s">
        <v>4244</v>
      </c>
      <c r="C2123" s="6" t="s">
        <v>4245</v>
      </c>
      <c r="D2123" s="6" t="s">
        <v>21</v>
      </c>
      <c r="E2123" s="8">
        <v>1044769903636</v>
      </c>
      <c r="F2123" s="8">
        <v>684465643921</v>
      </c>
      <c r="G2123" s="8">
        <v>399766717477</v>
      </c>
      <c r="H2123" s="8">
        <v>52500633433</v>
      </c>
      <c r="I2123" s="8">
        <v>430050811562</v>
      </c>
      <c r="J2123" s="8"/>
      <c r="K2123" s="8">
        <v>416859195822</v>
      </c>
      <c r="L2123" s="8">
        <v>1365515823483</v>
      </c>
      <c r="M2123" s="8">
        <v>1250574551200</v>
      </c>
      <c r="N2123" s="8">
        <v>1189388922800</v>
      </c>
      <c r="O2123" s="8">
        <v>1217743238400</v>
      </c>
      <c r="P2123" s="8">
        <v>1199835249600</v>
      </c>
      <c r="Q2123" s="18">
        <f>(Table1[[#This Row],[A. TÀI SẢN NGẮN HẠN]]-Table1[[#This Row],[I. Nợ ngắn hạn]])/Table1[[#This Row],[TỔNG CỘNG TÀI SẢN]]</f>
        <v>0.27249916508237176</v>
      </c>
      <c r="R2123" s="18">
        <f>Table1[[#This Row],[- LNST chưa phân phối kỳ này]]/Table1[[#This Row],[TỔNG CỘNG TÀI SẢN]]</f>
        <v>5.0250905247449899E-2</v>
      </c>
      <c r="S2123" s="21">
        <f>Table1[[#This Row],[5. Lợi nhuận gộp về bán hàng và cung cấp dịch vụ]]/Table1[[#This Row],[TỔNG CỘNG TÀI SẢN]]</f>
        <v>0.41162251139254735</v>
      </c>
      <c r="T212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2.9131790846196082</v>
      </c>
      <c r="U2123" s="23">
        <f>Table1[[#This Row],[1. Doanh thu bán hàng và cung cấp dịch vụ ]]/Table1[[#This Row],[TỔNG CỘNG TÀI SẢN]]</f>
        <v>1.3070014926068818</v>
      </c>
      <c r="V2123" s="23">
        <f>1.2*Table1[[#This Row],[X1]] + 1.4*Table1[[#This Row],[X2]] + 3.3*Table1[[#This Row],[x3]] + 0.6*Table1[[#This Row],[x4]] + 1*Table1[[#This Row],[x5]]</f>
        <v>4.8106134964193288</v>
      </c>
      <c r="W2123" s="23">
        <f>IF(Table1[[#This Row],[Zscore]]&lt;1.81,1,0)</f>
        <v>0</v>
      </c>
    </row>
    <row r="2124" spans="1:23" x14ac:dyDescent="0.45">
      <c r="A2124" s="7">
        <v>2118</v>
      </c>
      <c r="B2124" s="5" t="s">
        <v>4246</v>
      </c>
      <c r="C2124" s="6" t="s">
        <v>4247</v>
      </c>
      <c r="D2124" s="6" t="s">
        <v>21</v>
      </c>
      <c r="E2124" s="8">
        <v>4453581492575</v>
      </c>
      <c r="F2124" s="8">
        <v>2689926149417</v>
      </c>
      <c r="G2124" s="8">
        <v>3267693696555</v>
      </c>
      <c r="H2124" s="8">
        <v>167447760171</v>
      </c>
      <c r="I2124" s="8">
        <v>4118405418</v>
      </c>
      <c r="J2124" s="8"/>
      <c r="K2124" s="8">
        <v>3458662563733</v>
      </c>
      <c r="L2124" s="8">
        <v>7009010311980</v>
      </c>
      <c r="M2124" s="8">
        <v>493901876270</v>
      </c>
      <c r="N2124" s="8">
        <v>967929906550</v>
      </c>
      <c r="O2124" s="8">
        <v>780232472200</v>
      </c>
      <c r="P2124" s="8">
        <v>1059938452800</v>
      </c>
      <c r="Q2124" s="18">
        <f>(Table1[[#This Row],[A. TÀI SẢN NGẮN HẠN]]-Table1[[#This Row],[I. Nợ ngắn hạn]])/Table1[[#This Row],[TỔNG CỘNG TÀI SẢN]]</f>
        <v>-0.12973099248352199</v>
      </c>
      <c r="R2124" s="18">
        <f>Table1[[#This Row],[- LNST chưa phân phối kỳ này]]/Table1[[#This Row],[TỔNG CỘNG TÀI SẢN]]</f>
        <v>3.7598449798250798E-2</v>
      </c>
      <c r="S2124" s="21">
        <f>Table1[[#This Row],[5. Lợi nhuận gộp về bán hàng và cung cấp dịch vụ]]/Table1[[#This Row],[TỔNG CỘNG TÀI SẢN]]</f>
        <v>9.2474010520885168E-4</v>
      </c>
      <c r="T212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0.23867626914839055</v>
      </c>
      <c r="U2124" s="23">
        <f>Table1[[#This Row],[1. Doanh thu bán hàng và cung cấp dịch vụ ]]/Table1[[#This Row],[TỔNG CỘNG TÀI SẢN]]</f>
        <v>1.5737918624966007</v>
      </c>
      <c r="V2124" s="23">
        <f>1.2*Table1[[#This Row],[X1]] + 1.4*Table1[[#This Row],[X2]] + 3.3*Table1[[#This Row],[x3]] + 0.6*Table1[[#This Row],[x4]] + 1*Table1[[#This Row],[x5]]</f>
        <v>1.617009905070149</v>
      </c>
      <c r="W2124" s="23">
        <f>IF(Table1[[#This Row],[Zscore]]&lt;1.81,1,0)</f>
        <v>1</v>
      </c>
    </row>
    <row r="2125" spans="1:23" hidden="1" x14ac:dyDescent="0.45">
      <c r="A2125" s="7">
        <v>2119</v>
      </c>
      <c r="B2125" s="5" t="s">
        <v>4248</v>
      </c>
      <c r="C2125" s="6" t="s">
        <v>4249</v>
      </c>
      <c r="D2125" s="6" t="s">
        <v>13</v>
      </c>
      <c r="E2125" s="6"/>
      <c r="F2125" s="6"/>
      <c r="G2125" s="6"/>
      <c r="H2125" s="6"/>
      <c r="I2125" s="6"/>
      <c r="J2125" s="8"/>
      <c r="K2125" s="6"/>
      <c r="L2125" s="6"/>
      <c r="M2125" s="8"/>
      <c r="N2125" s="8"/>
      <c r="O2125" s="8"/>
      <c r="P2125" s="8"/>
      <c r="Q2125" s="18" t="e">
        <f>(Table1[[#This Row],[A. TÀI SẢN NGẮN HẠN]]-Table1[[#This Row],[I. Nợ ngắn hạn]])/Table1[[#This Row],[TỔNG CỘNG TÀI SẢN]]</f>
        <v>#DIV/0!</v>
      </c>
      <c r="R2125" s="18" t="e">
        <f>Table1[[#This Row],[- LNST chưa phân phối kỳ này]]/Table1[[#This Row],[TỔNG CỘNG TÀI SẢN]]</f>
        <v>#DIV/0!</v>
      </c>
      <c r="S2125" s="21" t="e">
        <f>Table1[[#This Row],[5. Lợi nhuận gộp về bán hàng và cung cấp dịch vụ]]/Table1[[#This Row],[TỔNG CỘNG TÀI SẢN]]</f>
        <v>#DIV/0!</v>
      </c>
      <c r="T212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125" s="23" t="e">
        <f>Table1[[#This Row],[1. Doanh thu bán hàng và cung cấp dịch vụ ]]/Table1[[#This Row],[TỔNG CỘNG TÀI SẢN]]</f>
        <v>#DIV/0!</v>
      </c>
      <c r="V2125" s="23" t="e">
        <f>1.2*Table1[[#This Row],[X1]] + 1.4*Table1[[#This Row],[X2]] + 3.3*Table1[[#This Row],[x3]] + 0.6*Table1[[#This Row],[x4]] + 1*Table1[[#This Row],[x5]]</f>
        <v>#DIV/0!</v>
      </c>
      <c r="W2125" s="23" t="e">
        <f>IF(Table1[[#This Row],[Zscore]]&lt;1.81,1,0)</f>
        <v>#DIV/0!</v>
      </c>
    </row>
    <row r="2126" spans="1:23" hidden="1" x14ac:dyDescent="0.45">
      <c r="A2126" s="7">
        <v>2120</v>
      </c>
      <c r="B2126" s="5" t="s">
        <v>4250</v>
      </c>
      <c r="C2126" s="6" t="s">
        <v>4251</v>
      </c>
      <c r="D2126" s="6" t="s">
        <v>13</v>
      </c>
      <c r="E2126" s="6"/>
      <c r="F2126" s="6"/>
      <c r="G2126" s="6"/>
      <c r="H2126" s="6"/>
      <c r="I2126" s="6"/>
      <c r="J2126" s="8"/>
      <c r="K2126" s="6"/>
      <c r="L2126" s="6"/>
      <c r="M2126" s="8"/>
      <c r="N2126" s="8"/>
      <c r="O2126" s="8"/>
      <c r="P2126" s="8"/>
      <c r="Q2126" s="18" t="e">
        <f>(Table1[[#This Row],[A. TÀI SẢN NGẮN HẠN]]-Table1[[#This Row],[I. Nợ ngắn hạn]])/Table1[[#This Row],[TỔNG CỘNG TÀI SẢN]]</f>
        <v>#DIV/0!</v>
      </c>
      <c r="R2126" s="18" t="e">
        <f>Table1[[#This Row],[- LNST chưa phân phối kỳ này]]/Table1[[#This Row],[TỔNG CỘNG TÀI SẢN]]</f>
        <v>#DIV/0!</v>
      </c>
      <c r="S2126" s="21" t="e">
        <f>Table1[[#This Row],[5. Lợi nhuận gộp về bán hàng và cung cấp dịch vụ]]/Table1[[#This Row],[TỔNG CỘNG TÀI SẢN]]</f>
        <v>#DIV/0!</v>
      </c>
      <c r="T212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126" s="23" t="e">
        <f>Table1[[#This Row],[1. Doanh thu bán hàng và cung cấp dịch vụ ]]/Table1[[#This Row],[TỔNG CỘNG TÀI SẢN]]</f>
        <v>#DIV/0!</v>
      </c>
      <c r="V2126" s="23" t="e">
        <f>1.2*Table1[[#This Row],[X1]] + 1.4*Table1[[#This Row],[X2]] + 3.3*Table1[[#This Row],[x3]] + 0.6*Table1[[#This Row],[x4]] + 1*Table1[[#This Row],[x5]]</f>
        <v>#DIV/0!</v>
      </c>
      <c r="W2126" s="23" t="e">
        <f>IF(Table1[[#This Row],[Zscore]]&lt;1.81,1,0)</f>
        <v>#DIV/0!</v>
      </c>
    </row>
    <row r="2127" spans="1:23" ht="26.25" x14ac:dyDescent="0.45">
      <c r="A2127" s="7">
        <v>2121</v>
      </c>
      <c r="B2127" s="5" t="s">
        <v>4252</v>
      </c>
      <c r="C2127" s="6" t="s">
        <v>4253</v>
      </c>
      <c r="D2127" s="6" t="s">
        <v>36</v>
      </c>
      <c r="E2127" s="8">
        <v>143417193687</v>
      </c>
      <c r="F2127" s="8">
        <v>115238654154</v>
      </c>
      <c r="G2127" s="8">
        <v>66301672118</v>
      </c>
      <c r="H2127" s="8">
        <v>2258903335</v>
      </c>
      <c r="I2127" s="8">
        <v>44187772667</v>
      </c>
      <c r="J2127" s="8"/>
      <c r="K2127" s="8">
        <v>66301672118</v>
      </c>
      <c r="L2127" s="8">
        <v>334144804723</v>
      </c>
      <c r="M2127" s="8">
        <v>53300500000</v>
      </c>
      <c r="N2127" s="8">
        <v>46693000000</v>
      </c>
      <c r="O2127" s="8">
        <v>52860000000</v>
      </c>
      <c r="P2127" s="8">
        <v>52860000000</v>
      </c>
      <c r="Q2127" s="18">
        <f>(Table1[[#This Row],[A. TÀI SẢN NGẮN HẠN]]-Table1[[#This Row],[I. Nợ ngắn hạn]])/Table1[[#This Row],[TỔNG CỘNG TÀI SẢN]]</f>
        <v>0.34122116587221907</v>
      </c>
      <c r="R2127" s="18">
        <f>Table1[[#This Row],[- LNST chưa phân phối kỳ này]]/Table1[[#This Row],[TỔNG CỘNG TÀI SẢN]]</f>
        <v>1.5750575484902669E-2</v>
      </c>
      <c r="S2127" s="21">
        <f>Table1[[#This Row],[5. Lợi nhuận gộp về bán hàng và cung cấp dịch vụ]]/Table1[[#This Row],[TỔNG CỘNG TÀI SẢN]]</f>
        <v>0.30810652147773399</v>
      </c>
      <c r="T212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0.77567236778690374</v>
      </c>
      <c r="U2127" s="23">
        <f>Table1[[#This Row],[1. Doanh thu bán hàng và cung cấp dịch vụ ]]/Table1[[#This Row],[TỔNG CỘNG TÀI SẢN]]</f>
        <v>2.3298796757399418</v>
      </c>
      <c r="V2127" s="23">
        <f>1.2*Table1[[#This Row],[X1]] + 1.4*Table1[[#This Row],[X2]] + 3.3*Table1[[#This Row],[x3]] + 0.6*Table1[[#This Row],[x4]] + 1*Table1[[#This Row],[x5]]</f>
        <v>4.2435508220141323</v>
      </c>
      <c r="W2127" s="23">
        <f>IF(Table1[[#This Row],[Zscore]]&lt;1.81,1,0)</f>
        <v>0</v>
      </c>
    </row>
    <row r="2128" spans="1:23" x14ac:dyDescent="0.45">
      <c r="A2128" s="7">
        <v>2122</v>
      </c>
      <c r="B2128" s="5" t="s">
        <v>4254</v>
      </c>
      <c r="C2128" s="6" t="s">
        <v>4255</v>
      </c>
      <c r="D2128" s="6" t="s">
        <v>36</v>
      </c>
      <c r="E2128" s="8">
        <v>155642919016</v>
      </c>
      <c r="F2128" s="8">
        <v>83596037605</v>
      </c>
      <c r="G2128" s="8">
        <v>94254403979</v>
      </c>
      <c r="H2128" s="8">
        <v>-6072001925</v>
      </c>
      <c r="I2128" s="8">
        <v>-2470522639</v>
      </c>
      <c r="J2128" s="8"/>
      <c r="K2128" s="8">
        <v>97396445998</v>
      </c>
      <c r="L2128" s="8">
        <v>31138040360</v>
      </c>
      <c r="M2128" s="8">
        <v>46473172000</v>
      </c>
      <c r="N2128" s="8">
        <v>80697089700</v>
      </c>
      <c r="O2128" s="8">
        <v>50300374400</v>
      </c>
      <c r="P2128" s="8">
        <v>61781981600</v>
      </c>
      <c r="Q2128" s="18">
        <f>(Table1[[#This Row],[A. TÀI SẢN NGẮN HẠN]]-Table1[[#This Row],[I. Nợ ngắn hạn]])/Table1[[#This Row],[TỔNG CỘNG TÀI SẢN]]</f>
        <v>-6.8479609874859307E-2</v>
      </c>
      <c r="R2128" s="18">
        <f>Table1[[#This Row],[- LNST chưa phân phối kỳ này]]/Table1[[#This Row],[TỔNG CỘNG TÀI SẢN]]</f>
        <v>-3.9012387864402628E-2</v>
      </c>
      <c r="S2128" s="21">
        <f>Table1[[#This Row],[5. Lợi nhuận gộp về bán hàng và cung cấp dịch vụ]]/Table1[[#This Row],[TỔNG CỘNG TÀI SẢN]]</f>
        <v>-1.5873016611478687E-2</v>
      </c>
      <c r="T212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0.61412050318784983</v>
      </c>
      <c r="U2128" s="23">
        <f>Table1[[#This Row],[1. Doanh thu bán hàng và cung cấp dịch vụ ]]/Table1[[#This Row],[TỔNG CỘNG TÀI SẢN]]</f>
        <v>0.20006075802779713</v>
      </c>
      <c r="V2128" s="23">
        <f>1.2*Table1[[#This Row],[X1]] + 1.4*Table1[[#This Row],[X2]] + 3.3*Table1[[#This Row],[x3]] + 0.6*Table1[[#This Row],[x4]] + 1*Table1[[#This Row],[x5]]</f>
        <v>0.37935923026263252</v>
      </c>
      <c r="W2128" s="23">
        <f>IF(Table1[[#This Row],[Zscore]]&lt;1.81,1,0)</f>
        <v>1</v>
      </c>
    </row>
    <row r="2129" spans="1:23" hidden="1" x14ac:dyDescent="0.45">
      <c r="A2129" s="7">
        <v>2123</v>
      </c>
      <c r="B2129" s="5" t="s">
        <v>4256</v>
      </c>
      <c r="C2129" s="6" t="s">
        <v>4257</v>
      </c>
      <c r="D2129" s="6" t="s">
        <v>13</v>
      </c>
      <c r="E2129" s="8">
        <v>777243430024</v>
      </c>
      <c r="F2129" s="8">
        <v>420708127780</v>
      </c>
      <c r="G2129" s="8">
        <v>58864653274</v>
      </c>
      <c r="H2129" s="8">
        <v>62667324976</v>
      </c>
      <c r="I2129" s="8">
        <v>147006673733</v>
      </c>
      <c r="J2129" s="8"/>
      <c r="K2129" s="8">
        <v>66872405909</v>
      </c>
      <c r="L2129" s="8">
        <v>551711873303</v>
      </c>
      <c r="M2129" s="8"/>
      <c r="N2129" s="8"/>
      <c r="O2129" s="8"/>
      <c r="P2129" s="8"/>
      <c r="Q2129" s="18">
        <f>(Table1[[#This Row],[A. TÀI SẢN NGẮN HẠN]]-Table1[[#This Row],[I. Nợ ngắn hạn]])/Table1[[#This Row],[TỔNG CỘNG TÀI SẢN]]</f>
        <v>0.46554716389796547</v>
      </c>
      <c r="R2129" s="18">
        <f>Table1[[#This Row],[- LNST chưa phân phối kỳ này]]/Table1[[#This Row],[TỔNG CỘNG TÀI SẢN]]</f>
        <v>8.0627667671716363E-2</v>
      </c>
      <c r="S2129" s="21">
        <f>Table1[[#This Row],[5. Lợi nhuận gộp về bán hàng và cung cấp dịch vụ]]/Table1[[#This Row],[TỔNG CỘNG TÀI SẢN]]</f>
        <v>0.18913852218533475</v>
      </c>
      <c r="T212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129" s="23">
        <f>Table1[[#This Row],[1. Doanh thu bán hàng và cung cấp dịch vụ ]]/Table1[[#This Row],[TỔNG CỘNG TÀI SẢN]]</f>
        <v>0.70983150450813592</v>
      </c>
      <c r="V2129" s="23" t="e">
        <f>1.2*Table1[[#This Row],[X1]] + 1.4*Table1[[#This Row],[X2]] + 3.3*Table1[[#This Row],[x3]] + 0.6*Table1[[#This Row],[x4]] + 1*Table1[[#This Row],[x5]]</f>
        <v>#DIV/0!</v>
      </c>
      <c r="W2129" s="23" t="e">
        <f>IF(Table1[[#This Row],[Zscore]]&lt;1.81,1,0)</f>
        <v>#DIV/0!</v>
      </c>
    </row>
    <row r="2130" spans="1:23" ht="26.25" hidden="1" x14ac:dyDescent="0.45">
      <c r="A2130" s="7">
        <v>2124</v>
      </c>
      <c r="B2130" s="5" t="s">
        <v>4258</v>
      </c>
      <c r="C2130" s="6" t="s">
        <v>4259</v>
      </c>
      <c r="D2130" s="6" t="s">
        <v>18</v>
      </c>
      <c r="E2130" s="8">
        <v>205387405219</v>
      </c>
      <c r="F2130" s="8">
        <v>164303063212</v>
      </c>
      <c r="G2130" s="8">
        <v>100840945388</v>
      </c>
      <c r="H2130" s="8">
        <v>16165884024</v>
      </c>
      <c r="I2130" s="8">
        <v>59177871653</v>
      </c>
      <c r="J2130" s="8"/>
      <c r="K2130" s="8">
        <v>100840945388</v>
      </c>
      <c r="L2130" s="8">
        <v>602933553050</v>
      </c>
      <c r="M2130" s="8"/>
      <c r="N2130" s="8"/>
      <c r="O2130" s="8"/>
      <c r="P2130" s="8"/>
      <c r="Q2130" s="18">
        <f>(Table1[[#This Row],[A. TÀI SẢN NGẮN HẠN]]-Table1[[#This Row],[I. Nợ ngắn hạn]])/Table1[[#This Row],[TỔNG CỘNG TÀI SẢN]]</f>
        <v>0.30898738779202045</v>
      </c>
      <c r="R2130" s="18">
        <f>Table1[[#This Row],[- LNST chưa phân phối kỳ này]]/Table1[[#This Row],[TỔNG CỘNG TÀI SẢN]]</f>
        <v>7.8709227602163229E-2</v>
      </c>
      <c r="S2130" s="21">
        <f>Table1[[#This Row],[5. Lợi nhuận gộp về bán hàng và cung cấp dịch vụ]]/Table1[[#This Row],[TỔNG CỘNG TÀI SẢN]]</f>
        <v>0.28812804558244437</v>
      </c>
      <c r="T213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130" s="23">
        <f>Table1[[#This Row],[1. Doanh thu bán hàng và cung cấp dịch vụ ]]/Table1[[#This Row],[TỔNG CỘNG TÀI SẢN]]</f>
        <v>2.9355916562026061</v>
      </c>
      <c r="V2130" s="23" t="e">
        <f>1.2*Table1[[#This Row],[X1]] + 1.4*Table1[[#This Row],[X2]] + 3.3*Table1[[#This Row],[x3]] + 0.6*Table1[[#This Row],[x4]] + 1*Table1[[#This Row],[x5]]</f>
        <v>#DIV/0!</v>
      </c>
      <c r="W2130" s="23" t="e">
        <f>IF(Table1[[#This Row],[Zscore]]&lt;1.81,1,0)</f>
        <v>#DIV/0!</v>
      </c>
    </row>
    <row r="2131" spans="1:23" hidden="1" x14ac:dyDescent="0.45">
      <c r="A2131" s="7">
        <v>2125</v>
      </c>
      <c r="B2131" s="5" t="s">
        <v>4260</v>
      </c>
      <c r="C2131" s="6" t="s">
        <v>4261</v>
      </c>
      <c r="D2131" s="6" t="s">
        <v>13</v>
      </c>
      <c r="E2131" s="6"/>
      <c r="F2131" s="6"/>
      <c r="G2131" s="6"/>
      <c r="H2131" s="6"/>
      <c r="I2131" s="6"/>
      <c r="J2131" s="8"/>
      <c r="K2131" s="6"/>
      <c r="L2131" s="6"/>
      <c r="M2131" s="8"/>
      <c r="N2131" s="8"/>
      <c r="O2131" s="8"/>
      <c r="P2131" s="8"/>
      <c r="Q2131" s="18" t="e">
        <f>(Table1[[#This Row],[A. TÀI SẢN NGẮN HẠN]]-Table1[[#This Row],[I. Nợ ngắn hạn]])/Table1[[#This Row],[TỔNG CỘNG TÀI SẢN]]</f>
        <v>#DIV/0!</v>
      </c>
      <c r="R2131" s="18" t="e">
        <f>Table1[[#This Row],[- LNST chưa phân phối kỳ này]]/Table1[[#This Row],[TỔNG CỘNG TÀI SẢN]]</f>
        <v>#DIV/0!</v>
      </c>
      <c r="S2131" s="21" t="e">
        <f>Table1[[#This Row],[5. Lợi nhuận gộp về bán hàng và cung cấp dịch vụ]]/Table1[[#This Row],[TỔNG CỘNG TÀI SẢN]]</f>
        <v>#DIV/0!</v>
      </c>
      <c r="T213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131" s="23" t="e">
        <f>Table1[[#This Row],[1. Doanh thu bán hàng và cung cấp dịch vụ ]]/Table1[[#This Row],[TỔNG CỘNG TÀI SẢN]]</f>
        <v>#DIV/0!</v>
      </c>
      <c r="V2131" s="23" t="e">
        <f>1.2*Table1[[#This Row],[X1]] + 1.4*Table1[[#This Row],[X2]] + 3.3*Table1[[#This Row],[x3]] + 0.6*Table1[[#This Row],[x4]] + 1*Table1[[#This Row],[x5]]</f>
        <v>#DIV/0!</v>
      </c>
      <c r="W2131" s="23" t="e">
        <f>IF(Table1[[#This Row],[Zscore]]&lt;1.81,1,0)</f>
        <v>#DIV/0!</v>
      </c>
    </row>
    <row r="2132" spans="1:23" ht="26.25" x14ac:dyDescent="0.45">
      <c r="A2132" s="7">
        <v>2126</v>
      </c>
      <c r="B2132" s="5" t="s">
        <v>4262</v>
      </c>
      <c r="C2132" s="6" t="s">
        <v>4263</v>
      </c>
      <c r="D2132" s="6" t="s">
        <v>18</v>
      </c>
      <c r="E2132" s="8">
        <v>22297295509072</v>
      </c>
      <c r="F2132" s="8">
        <v>7132668080627</v>
      </c>
      <c r="G2132" s="8">
        <v>3433733132979</v>
      </c>
      <c r="H2132" s="8">
        <v>1283501259612</v>
      </c>
      <c r="I2132" s="8">
        <v>3050689099057</v>
      </c>
      <c r="J2132" s="8"/>
      <c r="K2132" s="8">
        <v>10378126790987</v>
      </c>
      <c r="L2132" s="8">
        <v>6823519719381</v>
      </c>
      <c r="M2132" s="8">
        <v>13177213000000</v>
      </c>
      <c r="N2132" s="8">
        <v>11294754000000</v>
      </c>
      <c r="O2132" s="8">
        <v>11181806460000</v>
      </c>
      <c r="P2132" s="8">
        <v>13553704800000</v>
      </c>
      <c r="Q2132" s="18">
        <f>(Table1[[#This Row],[A. TÀI SẢN NGẮN HẠN]]-Table1[[#This Row],[I. Nợ ngắn hạn]])/Table1[[#This Row],[TỔNG CỘNG TÀI SẢN]]</f>
        <v>0.16589164125949854</v>
      </c>
      <c r="R2132" s="18">
        <f>Table1[[#This Row],[- LNST chưa phân phối kỳ này]]/Table1[[#This Row],[TỔNG CỘNG TÀI SẢN]]</f>
        <v>5.75630914112336E-2</v>
      </c>
      <c r="S2132" s="21">
        <f>Table1[[#This Row],[5. Lợi nhuận gộp về bán hàng và cung cấp dịch vụ]]/Table1[[#This Row],[TỔNG CỘNG TÀI SẢN]]</f>
        <v>0.13681879480925299</v>
      </c>
      <c r="T213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1.1853651253985156</v>
      </c>
      <c r="U2132" s="23">
        <f>Table1[[#This Row],[1. Doanh thu bán hàng và cung cấp dịch vụ ]]/Table1[[#This Row],[TỔNG CỘNG TÀI SẢN]]</f>
        <v>0.3060245452909186</v>
      </c>
      <c r="V2132" s="23">
        <f>1.2*Table1[[#This Row],[X1]] + 1.4*Table1[[#This Row],[X2]] + 3.3*Table1[[#This Row],[x3]] + 0.6*Table1[[#This Row],[x4]] + 1*Table1[[#This Row],[x5]]</f>
        <v>1.7484039408876879</v>
      </c>
      <c r="W2132" s="23">
        <f>IF(Table1[[#This Row],[Zscore]]&lt;1.81,1,0)</f>
        <v>1</v>
      </c>
    </row>
    <row r="2133" spans="1:23" hidden="1" x14ac:dyDescent="0.45">
      <c r="A2133" s="7">
        <v>2127</v>
      </c>
      <c r="B2133" s="5" t="s">
        <v>4264</v>
      </c>
      <c r="C2133" s="6" t="s">
        <v>4265</v>
      </c>
      <c r="D2133" s="6" t="s">
        <v>13</v>
      </c>
      <c r="E2133" s="6"/>
      <c r="F2133" s="6"/>
      <c r="G2133" s="6"/>
      <c r="H2133" s="6"/>
      <c r="I2133" s="6"/>
      <c r="J2133" s="8"/>
      <c r="K2133" s="6"/>
      <c r="L2133" s="6"/>
      <c r="M2133" s="8"/>
      <c r="N2133" s="8"/>
      <c r="O2133" s="8"/>
      <c r="P2133" s="8"/>
      <c r="Q2133" s="18" t="e">
        <f>(Table1[[#This Row],[A. TÀI SẢN NGẮN HẠN]]-Table1[[#This Row],[I. Nợ ngắn hạn]])/Table1[[#This Row],[TỔNG CỘNG TÀI SẢN]]</f>
        <v>#DIV/0!</v>
      </c>
      <c r="R2133" s="18" t="e">
        <f>Table1[[#This Row],[- LNST chưa phân phối kỳ này]]/Table1[[#This Row],[TỔNG CỘNG TÀI SẢN]]</f>
        <v>#DIV/0!</v>
      </c>
      <c r="S2133" s="21" t="e">
        <f>Table1[[#This Row],[5. Lợi nhuận gộp về bán hàng và cung cấp dịch vụ]]/Table1[[#This Row],[TỔNG CỘNG TÀI SẢN]]</f>
        <v>#DIV/0!</v>
      </c>
      <c r="T213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133" s="23" t="e">
        <f>Table1[[#This Row],[1. Doanh thu bán hàng và cung cấp dịch vụ ]]/Table1[[#This Row],[TỔNG CỘNG TÀI SẢN]]</f>
        <v>#DIV/0!</v>
      </c>
      <c r="V2133" s="23" t="e">
        <f>1.2*Table1[[#This Row],[X1]] + 1.4*Table1[[#This Row],[X2]] + 3.3*Table1[[#This Row],[x3]] + 0.6*Table1[[#This Row],[x4]] + 1*Table1[[#This Row],[x5]]</f>
        <v>#DIV/0!</v>
      </c>
      <c r="W2133" s="23" t="e">
        <f>IF(Table1[[#This Row],[Zscore]]&lt;1.81,1,0)</f>
        <v>#DIV/0!</v>
      </c>
    </row>
    <row r="2134" spans="1:23" hidden="1" x14ac:dyDescent="0.45">
      <c r="A2134" s="7">
        <v>2128</v>
      </c>
      <c r="B2134" s="5" t="s">
        <v>4266</v>
      </c>
      <c r="C2134" s="6" t="s">
        <v>4267</v>
      </c>
      <c r="D2134" s="6" t="s">
        <v>13</v>
      </c>
      <c r="E2134" s="6"/>
      <c r="F2134" s="6"/>
      <c r="G2134" s="6"/>
      <c r="H2134" s="6"/>
      <c r="I2134" s="6"/>
      <c r="J2134" s="8"/>
      <c r="K2134" s="6"/>
      <c r="L2134" s="6"/>
      <c r="M2134" s="8"/>
      <c r="N2134" s="8"/>
      <c r="O2134" s="8"/>
      <c r="P2134" s="8"/>
      <c r="Q2134" s="18" t="e">
        <f>(Table1[[#This Row],[A. TÀI SẢN NGẮN HẠN]]-Table1[[#This Row],[I. Nợ ngắn hạn]])/Table1[[#This Row],[TỔNG CỘNG TÀI SẢN]]</f>
        <v>#DIV/0!</v>
      </c>
      <c r="R2134" s="18" t="e">
        <f>Table1[[#This Row],[- LNST chưa phân phối kỳ này]]/Table1[[#This Row],[TỔNG CỘNG TÀI SẢN]]</f>
        <v>#DIV/0!</v>
      </c>
      <c r="S2134" s="21" t="e">
        <f>Table1[[#This Row],[5. Lợi nhuận gộp về bán hàng và cung cấp dịch vụ]]/Table1[[#This Row],[TỔNG CỘNG TÀI SẢN]]</f>
        <v>#DIV/0!</v>
      </c>
      <c r="T213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134" s="23" t="e">
        <f>Table1[[#This Row],[1. Doanh thu bán hàng và cung cấp dịch vụ ]]/Table1[[#This Row],[TỔNG CỘNG TÀI SẢN]]</f>
        <v>#DIV/0!</v>
      </c>
      <c r="V2134" s="23" t="e">
        <f>1.2*Table1[[#This Row],[X1]] + 1.4*Table1[[#This Row],[X2]] + 3.3*Table1[[#This Row],[x3]] + 0.6*Table1[[#This Row],[x4]] + 1*Table1[[#This Row],[x5]]</f>
        <v>#DIV/0!</v>
      </c>
      <c r="W2134" s="23" t="e">
        <f>IF(Table1[[#This Row],[Zscore]]&lt;1.81,1,0)</f>
        <v>#DIV/0!</v>
      </c>
    </row>
    <row r="2135" spans="1:23" ht="26.25" hidden="1" x14ac:dyDescent="0.45">
      <c r="A2135" s="7">
        <v>2129</v>
      </c>
      <c r="B2135" s="5" t="s">
        <v>4268</v>
      </c>
      <c r="C2135" s="6" t="s">
        <v>4269</v>
      </c>
      <c r="D2135" s="6" t="s">
        <v>13</v>
      </c>
      <c r="E2135" s="6"/>
      <c r="F2135" s="6"/>
      <c r="G2135" s="6"/>
      <c r="H2135" s="6"/>
      <c r="I2135" s="6"/>
      <c r="J2135" s="8"/>
      <c r="K2135" s="6"/>
      <c r="L2135" s="6"/>
      <c r="M2135" s="8"/>
      <c r="N2135" s="8"/>
      <c r="O2135" s="8"/>
      <c r="P2135" s="8"/>
      <c r="Q2135" s="18" t="e">
        <f>(Table1[[#This Row],[A. TÀI SẢN NGẮN HẠN]]-Table1[[#This Row],[I. Nợ ngắn hạn]])/Table1[[#This Row],[TỔNG CỘNG TÀI SẢN]]</f>
        <v>#DIV/0!</v>
      </c>
      <c r="R2135" s="18" t="e">
        <f>Table1[[#This Row],[- LNST chưa phân phối kỳ này]]/Table1[[#This Row],[TỔNG CỘNG TÀI SẢN]]</f>
        <v>#DIV/0!</v>
      </c>
      <c r="S2135" s="21" t="e">
        <f>Table1[[#This Row],[5. Lợi nhuận gộp về bán hàng và cung cấp dịch vụ]]/Table1[[#This Row],[TỔNG CỘNG TÀI SẢN]]</f>
        <v>#DIV/0!</v>
      </c>
      <c r="T213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135" s="23" t="e">
        <f>Table1[[#This Row],[1. Doanh thu bán hàng và cung cấp dịch vụ ]]/Table1[[#This Row],[TỔNG CỘNG TÀI SẢN]]</f>
        <v>#DIV/0!</v>
      </c>
      <c r="V2135" s="23" t="e">
        <f>1.2*Table1[[#This Row],[X1]] + 1.4*Table1[[#This Row],[X2]] + 3.3*Table1[[#This Row],[x3]] + 0.6*Table1[[#This Row],[x4]] + 1*Table1[[#This Row],[x5]]</f>
        <v>#DIV/0!</v>
      </c>
      <c r="W2135" s="23" t="e">
        <f>IF(Table1[[#This Row],[Zscore]]&lt;1.81,1,0)</f>
        <v>#DIV/0!</v>
      </c>
    </row>
    <row r="2136" spans="1:23" hidden="1" x14ac:dyDescent="0.45">
      <c r="A2136" s="7">
        <v>2130</v>
      </c>
      <c r="B2136" s="5" t="s">
        <v>4270</v>
      </c>
      <c r="C2136" s="6" t="s">
        <v>4271</v>
      </c>
      <c r="D2136" s="6" t="s">
        <v>13</v>
      </c>
      <c r="E2136" s="6"/>
      <c r="F2136" s="6"/>
      <c r="G2136" s="6"/>
      <c r="H2136" s="6"/>
      <c r="I2136" s="6"/>
      <c r="J2136" s="8"/>
      <c r="K2136" s="6"/>
      <c r="L2136" s="6"/>
      <c r="M2136" s="8"/>
      <c r="N2136" s="8"/>
      <c r="O2136" s="8"/>
      <c r="P2136" s="8"/>
      <c r="Q2136" s="18" t="e">
        <f>(Table1[[#This Row],[A. TÀI SẢN NGẮN HẠN]]-Table1[[#This Row],[I. Nợ ngắn hạn]])/Table1[[#This Row],[TỔNG CỘNG TÀI SẢN]]</f>
        <v>#DIV/0!</v>
      </c>
      <c r="R2136" s="18" t="e">
        <f>Table1[[#This Row],[- LNST chưa phân phối kỳ này]]/Table1[[#This Row],[TỔNG CỘNG TÀI SẢN]]</f>
        <v>#DIV/0!</v>
      </c>
      <c r="S2136" s="21" t="e">
        <f>Table1[[#This Row],[5. Lợi nhuận gộp về bán hàng và cung cấp dịch vụ]]/Table1[[#This Row],[TỔNG CỘNG TÀI SẢN]]</f>
        <v>#DIV/0!</v>
      </c>
      <c r="T213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136" s="23" t="e">
        <f>Table1[[#This Row],[1. Doanh thu bán hàng và cung cấp dịch vụ ]]/Table1[[#This Row],[TỔNG CỘNG TÀI SẢN]]</f>
        <v>#DIV/0!</v>
      </c>
      <c r="V2136" s="23" t="e">
        <f>1.2*Table1[[#This Row],[X1]] + 1.4*Table1[[#This Row],[X2]] + 3.3*Table1[[#This Row],[x3]] + 0.6*Table1[[#This Row],[x4]] + 1*Table1[[#This Row],[x5]]</f>
        <v>#DIV/0!</v>
      </c>
      <c r="W2136" s="23" t="e">
        <f>IF(Table1[[#This Row],[Zscore]]&lt;1.81,1,0)</f>
        <v>#DIV/0!</v>
      </c>
    </row>
    <row r="2137" spans="1:23" hidden="1" x14ac:dyDescent="0.45">
      <c r="A2137" s="7">
        <v>2131</v>
      </c>
      <c r="B2137" s="5" t="s">
        <v>4272</v>
      </c>
      <c r="C2137" s="6" t="s">
        <v>4273</v>
      </c>
      <c r="D2137" s="6" t="s">
        <v>13</v>
      </c>
      <c r="E2137" s="6"/>
      <c r="F2137" s="6"/>
      <c r="G2137" s="6"/>
      <c r="H2137" s="6"/>
      <c r="I2137" s="6"/>
      <c r="J2137" s="8"/>
      <c r="K2137" s="6"/>
      <c r="L2137" s="6"/>
      <c r="M2137" s="8"/>
      <c r="N2137" s="8"/>
      <c r="O2137" s="8"/>
      <c r="P2137" s="8"/>
      <c r="Q2137" s="18" t="e">
        <f>(Table1[[#This Row],[A. TÀI SẢN NGẮN HẠN]]-Table1[[#This Row],[I. Nợ ngắn hạn]])/Table1[[#This Row],[TỔNG CỘNG TÀI SẢN]]</f>
        <v>#DIV/0!</v>
      </c>
      <c r="R2137" s="18" t="e">
        <f>Table1[[#This Row],[- LNST chưa phân phối kỳ này]]/Table1[[#This Row],[TỔNG CỘNG TÀI SẢN]]</f>
        <v>#DIV/0!</v>
      </c>
      <c r="S2137" s="21" t="e">
        <f>Table1[[#This Row],[5. Lợi nhuận gộp về bán hàng và cung cấp dịch vụ]]/Table1[[#This Row],[TỔNG CỘNG TÀI SẢN]]</f>
        <v>#DIV/0!</v>
      </c>
      <c r="T213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137" s="23" t="e">
        <f>Table1[[#This Row],[1. Doanh thu bán hàng và cung cấp dịch vụ ]]/Table1[[#This Row],[TỔNG CỘNG TÀI SẢN]]</f>
        <v>#DIV/0!</v>
      </c>
      <c r="V2137" s="23" t="e">
        <f>1.2*Table1[[#This Row],[X1]] + 1.4*Table1[[#This Row],[X2]] + 3.3*Table1[[#This Row],[x3]] + 0.6*Table1[[#This Row],[x4]] + 1*Table1[[#This Row],[x5]]</f>
        <v>#DIV/0!</v>
      </c>
      <c r="W2137" s="23" t="e">
        <f>IF(Table1[[#This Row],[Zscore]]&lt;1.81,1,0)</f>
        <v>#DIV/0!</v>
      </c>
    </row>
    <row r="2138" spans="1:23" hidden="1" x14ac:dyDescent="0.45">
      <c r="A2138" s="7">
        <v>2132</v>
      </c>
      <c r="B2138" s="5" t="s">
        <v>4274</v>
      </c>
      <c r="C2138" s="6" t="s">
        <v>4275</v>
      </c>
      <c r="D2138" s="6" t="s">
        <v>13</v>
      </c>
      <c r="E2138" s="6"/>
      <c r="F2138" s="6"/>
      <c r="G2138" s="6"/>
      <c r="H2138" s="6"/>
      <c r="I2138" s="6"/>
      <c r="J2138" s="8"/>
      <c r="K2138" s="6"/>
      <c r="L2138" s="6"/>
      <c r="M2138" s="8"/>
      <c r="N2138" s="8"/>
      <c r="O2138" s="8"/>
      <c r="P2138" s="8"/>
      <c r="Q2138" s="18" t="e">
        <f>(Table1[[#This Row],[A. TÀI SẢN NGẮN HẠN]]-Table1[[#This Row],[I. Nợ ngắn hạn]])/Table1[[#This Row],[TỔNG CỘNG TÀI SẢN]]</f>
        <v>#DIV/0!</v>
      </c>
      <c r="R2138" s="18" t="e">
        <f>Table1[[#This Row],[- LNST chưa phân phối kỳ này]]/Table1[[#This Row],[TỔNG CỘNG TÀI SẢN]]</f>
        <v>#DIV/0!</v>
      </c>
      <c r="S2138" s="21" t="e">
        <f>Table1[[#This Row],[5. Lợi nhuận gộp về bán hàng và cung cấp dịch vụ]]/Table1[[#This Row],[TỔNG CỘNG TÀI SẢN]]</f>
        <v>#DIV/0!</v>
      </c>
      <c r="T213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138" s="23" t="e">
        <f>Table1[[#This Row],[1. Doanh thu bán hàng và cung cấp dịch vụ ]]/Table1[[#This Row],[TỔNG CỘNG TÀI SẢN]]</f>
        <v>#DIV/0!</v>
      </c>
      <c r="V2138" s="23" t="e">
        <f>1.2*Table1[[#This Row],[X1]] + 1.4*Table1[[#This Row],[X2]] + 3.3*Table1[[#This Row],[x3]] + 0.6*Table1[[#This Row],[x4]] + 1*Table1[[#This Row],[x5]]</f>
        <v>#DIV/0!</v>
      </c>
      <c r="W2138" s="23" t="e">
        <f>IF(Table1[[#This Row],[Zscore]]&lt;1.81,1,0)</f>
        <v>#DIV/0!</v>
      </c>
    </row>
    <row r="2139" spans="1:23" hidden="1" x14ac:dyDescent="0.45">
      <c r="A2139" s="7">
        <v>2133</v>
      </c>
      <c r="B2139" s="5" t="s">
        <v>4276</v>
      </c>
      <c r="C2139" s="6" t="s">
        <v>4277</v>
      </c>
      <c r="D2139" s="6" t="s">
        <v>13</v>
      </c>
      <c r="E2139" s="6"/>
      <c r="F2139" s="6"/>
      <c r="G2139" s="6"/>
      <c r="H2139" s="6"/>
      <c r="I2139" s="6"/>
      <c r="J2139" s="8"/>
      <c r="K2139" s="6"/>
      <c r="L2139" s="6"/>
      <c r="M2139" s="8"/>
      <c r="N2139" s="8"/>
      <c r="O2139" s="8"/>
      <c r="P2139" s="8"/>
      <c r="Q2139" s="18" t="e">
        <f>(Table1[[#This Row],[A. TÀI SẢN NGẮN HẠN]]-Table1[[#This Row],[I. Nợ ngắn hạn]])/Table1[[#This Row],[TỔNG CỘNG TÀI SẢN]]</f>
        <v>#DIV/0!</v>
      </c>
      <c r="R2139" s="18" t="e">
        <f>Table1[[#This Row],[- LNST chưa phân phối kỳ này]]/Table1[[#This Row],[TỔNG CỘNG TÀI SẢN]]</f>
        <v>#DIV/0!</v>
      </c>
      <c r="S2139" s="21" t="e">
        <f>Table1[[#This Row],[5. Lợi nhuận gộp về bán hàng và cung cấp dịch vụ]]/Table1[[#This Row],[TỔNG CỘNG TÀI SẢN]]</f>
        <v>#DIV/0!</v>
      </c>
      <c r="T213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139" s="23" t="e">
        <f>Table1[[#This Row],[1. Doanh thu bán hàng và cung cấp dịch vụ ]]/Table1[[#This Row],[TỔNG CỘNG TÀI SẢN]]</f>
        <v>#DIV/0!</v>
      </c>
      <c r="V2139" s="23" t="e">
        <f>1.2*Table1[[#This Row],[X1]] + 1.4*Table1[[#This Row],[X2]] + 3.3*Table1[[#This Row],[x3]] + 0.6*Table1[[#This Row],[x4]] + 1*Table1[[#This Row],[x5]]</f>
        <v>#DIV/0!</v>
      </c>
      <c r="W2139" s="23" t="e">
        <f>IF(Table1[[#This Row],[Zscore]]&lt;1.81,1,0)</f>
        <v>#DIV/0!</v>
      </c>
    </row>
    <row r="2140" spans="1:23" hidden="1" x14ac:dyDescent="0.45">
      <c r="A2140" s="7">
        <v>2134</v>
      </c>
      <c r="B2140" s="5" t="s">
        <v>4278</v>
      </c>
      <c r="C2140" s="6" t="s">
        <v>4279</v>
      </c>
      <c r="D2140" s="6" t="s">
        <v>13</v>
      </c>
      <c r="E2140" s="6"/>
      <c r="F2140" s="6"/>
      <c r="G2140" s="6"/>
      <c r="H2140" s="6"/>
      <c r="I2140" s="6"/>
      <c r="J2140" s="8"/>
      <c r="K2140" s="6"/>
      <c r="L2140" s="6"/>
      <c r="M2140" s="8"/>
      <c r="N2140" s="8"/>
      <c r="O2140" s="8"/>
      <c r="P2140" s="8"/>
      <c r="Q2140" s="18" t="e">
        <f>(Table1[[#This Row],[A. TÀI SẢN NGẮN HẠN]]-Table1[[#This Row],[I. Nợ ngắn hạn]])/Table1[[#This Row],[TỔNG CỘNG TÀI SẢN]]</f>
        <v>#DIV/0!</v>
      </c>
      <c r="R2140" s="18" t="e">
        <f>Table1[[#This Row],[- LNST chưa phân phối kỳ này]]/Table1[[#This Row],[TỔNG CỘNG TÀI SẢN]]</f>
        <v>#DIV/0!</v>
      </c>
      <c r="S2140" s="21" t="e">
        <f>Table1[[#This Row],[5. Lợi nhuận gộp về bán hàng và cung cấp dịch vụ]]/Table1[[#This Row],[TỔNG CỘNG TÀI SẢN]]</f>
        <v>#DIV/0!</v>
      </c>
      <c r="T214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140" s="23" t="e">
        <f>Table1[[#This Row],[1. Doanh thu bán hàng và cung cấp dịch vụ ]]/Table1[[#This Row],[TỔNG CỘNG TÀI SẢN]]</f>
        <v>#DIV/0!</v>
      </c>
      <c r="V2140" s="23" t="e">
        <f>1.2*Table1[[#This Row],[X1]] + 1.4*Table1[[#This Row],[X2]] + 3.3*Table1[[#This Row],[x3]] + 0.6*Table1[[#This Row],[x4]] + 1*Table1[[#This Row],[x5]]</f>
        <v>#DIV/0!</v>
      </c>
      <c r="W2140" s="23" t="e">
        <f>IF(Table1[[#This Row],[Zscore]]&lt;1.81,1,0)</f>
        <v>#DIV/0!</v>
      </c>
    </row>
    <row r="2141" spans="1:23" hidden="1" x14ac:dyDescent="0.45">
      <c r="A2141" s="7">
        <v>2135</v>
      </c>
      <c r="B2141" s="5" t="s">
        <v>4280</v>
      </c>
      <c r="C2141" s="6" t="s">
        <v>4281</v>
      </c>
      <c r="D2141" s="6" t="s">
        <v>13</v>
      </c>
      <c r="E2141" s="6"/>
      <c r="F2141" s="6"/>
      <c r="G2141" s="6"/>
      <c r="H2141" s="6"/>
      <c r="I2141" s="6"/>
      <c r="J2141" s="8"/>
      <c r="K2141" s="6"/>
      <c r="L2141" s="6"/>
      <c r="M2141" s="8"/>
      <c r="N2141" s="8"/>
      <c r="O2141" s="8"/>
      <c r="P2141" s="8"/>
      <c r="Q2141" s="18" t="e">
        <f>(Table1[[#This Row],[A. TÀI SẢN NGẮN HẠN]]-Table1[[#This Row],[I. Nợ ngắn hạn]])/Table1[[#This Row],[TỔNG CỘNG TÀI SẢN]]</f>
        <v>#DIV/0!</v>
      </c>
      <c r="R2141" s="18" t="e">
        <f>Table1[[#This Row],[- LNST chưa phân phối kỳ này]]/Table1[[#This Row],[TỔNG CỘNG TÀI SẢN]]</f>
        <v>#DIV/0!</v>
      </c>
      <c r="S2141" s="21" t="e">
        <f>Table1[[#This Row],[5. Lợi nhuận gộp về bán hàng và cung cấp dịch vụ]]/Table1[[#This Row],[TỔNG CỘNG TÀI SẢN]]</f>
        <v>#DIV/0!</v>
      </c>
      <c r="T214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141" s="23" t="e">
        <f>Table1[[#This Row],[1. Doanh thu bán hàng và cung cấp dịch vụ ]]/Table1[[#This Row],[TỔNG CỘNG TÀI SẢN]]</f>
        <v>#DIV/0!</v>
      </c>
      <c r="V2141" s="23" t="e">
        <f>1.2*Table1[[#This Row],[X1]] + 1.4*Table1[[#This Row],[X2]] + 3.3*Table1[[#This Row],[x3]] + 0.6*Table1[[#This Row],[x4]] + 1*Table1[[#This Row],[x5]]</f>
        <v>#DIV/0!</v>
      </c>
      <c r="W2141" s="23" t="e">
        <f>IF(Table1[[#This Row],[Zscore]]&lt;1.81,1,0)</f>
        <v>#DIV/0!</v>
      </c>
    </row>
    <row r="2142" spans="1:23" ht="26.25" hidden="1" x14ac:dyDescent="0.45">
      <c r="A2142" s="7">
        <v>2136</v>
      </c>
      <c r="B2142" s="5" t="s">
        <v>4282</v>
      </c>
      <c r="C2142" s="6" t="s">
        <v>4283</v>
      </c>
      <c r="D2142" s="6" t="s">
        <v>13</v>
      </c>
      <c r="E2142" s="6"/>
      <c r="F2142" s="6"/>
      <c r="G2142" s="6"/>
      <c r="H2142" s="6"/>
      <c r="I2142" s="6"/>
      <c r="J2142" s="8"/>
      <c r="K2142" s="6"/>
      <c r="L2142" s="6"/>
      <c r="M2142" s="8"/>
      <c r="N2142" s="8"/>
      <c r="O2142" s="8"/>
      <c r="P2142" s="8"/>
      <c r="Q2142" s="18" t="e">
        <f>(Table1[[#This Row],[A. TÀI SẢN NGẮN HẠN]]-Table1[[#This Row],[I. Nợ ngắn hạn]])/Table1[[#This Row],[TỔNG CỘNG TÀI SẢN]]</f>
        <v>#DIV/0!</v>
      </c>
      <c r="R2142" s="18" t="e">
        <f>Table1[[#This Row],[- LNST chưa phân phối kỳ này]]/Table1[[#This Row],[TỔNG CỘNG TÀI SẢN]]</f>
        <v>#DIV/0!</v>
      </c>
      <c r="S2142" s="21" t="e">
        <f>Table1[[#This Row],[5. Lợi nhuận gộp về bán hàng và cung cấp dịch vụ]]/Table1[[#This Row],[TỔNG CỘNG TÀI SẢN]]</f>
        <v>#DIV/0!</v>
      </c>
      <c r="T214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142" s="23" t="e">
        <f>Table1[[#This Row],[1. Doanh thu bán hàng và cung cấp dịch vụ ]]/Table1[[#This Row],[TỔNG CỘNG TÀI SẢN]]</f>
        <v>#DIV/0!</v>
      </c>
      <c r="V2142" s="23" t="e">
        <f>1.2*Table1[[#This Row],[X1]] + 1.4*Table1[[#This Row],[X2]] + 3.3*Table1[[#This Row],[x3]] + 0.6*Table1[[#This Row],[x4]] + 1*Table1[[#This Row],[x5]]</f>
        <v>#DIV/0!</v>
      </c>
      <c r="W2142" s="23" t="e">
        <f>IF(Table1[[#This Row],[Zscore]]&lt;1.81,1,0)</f>
        <v>#DIV/0!</v>
      </c>
    </row>
    <row r="2143" spans="1:23" ht="26.25" hidden="1" x14ac:dyDescent="0.45">
      <c r="A2143" s="7">
        <v>2137</v>
      </c>
      <c r="B2143" s="5" t="s">
        <v>4284</v>
      </c>
      <c r="C2143" s="6" t="s">
        <v>4285</v>
      </c>
      <c r="D2143" s="6" t="s">
        <v>13</v>
      </c>
      <c r="E2143" s="6"/>
      <c r="F2143" s="6"/>
      <c r="G2143" s="6"/>
      <c r="H2143" s="6"/>
      <c r="I2143" s="6"/>
      <c r="J2143" s="8"/>
      <c r="K2143" s="6"/>
      <c r="L2143" s="6"/>
      <c r="M2143" s="8"/>
      <c r="N2143" s="8"/>
      <c r="O2143" s="8"/>
      <c r="P2143" s="8"/>
      <c r="Q2143" s="18" t="e">
        <f>(Table1[[#This Row],[A. TÀI SẢN NGẮN HẠN]]-Table1[[#This Row],[I. Nợ ngắn hạn]])/Table1[[#This Row],[TỔNG CỘNG TÀI SẢN]]</f>
        <v>#DIV/0!</v>
      </c>
      <c r="R2143" s="18" t="e">
        <f>Table1[[#This Row],[- LNST chưa phân phối kỳ này]]/Table1[[#This Row],[TỔNG CỘNG TÀI SẢN]]</f>
        <v>#DIV/0!</v>
      </c>
      <c r="S2143" s="21" t="e">
        <f>Table1[[#This Row],[5. Lợi nhuận gộp về bán hàng và cung cấp dịch vụ]]/Table1[[#This Row],[TỔNG CỘNG TÀI SẢN]]</f>
        <v>#DIV/0!</v>
      </c>
      <c r="T214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143" s="23" t="e">
        <f>Table1[[#This Row],[1. Doanh thu bán hàng và cung cấp dịch vụ ]]/Table1[[#This Row],[TỔNG CỘNG TÀI SẢN]]</f>
        <v>#DIV/0!</v>
      </c>
      <c r="V2143" s="23" t="e">
        <f>1.2*Table1[[#This Row],[X1]] + 1.4*Table1[[#This Row],[X2]] + 3.3*Table1[[#This Row],[x3]] + 0.6*Table1[[#This Row],[x4]] + 1*Table1[[#This Row],[x5]]</f>
        <v>#DIV/0!</v>
      </c>
      <c r="W2143" s="23" t="e">
        <f>IF(Table1[[#This Row],[Zscore]]&lt;1.81,1,0)</f>
        <v>#DIV/0!</v>
      </c>
    </row>
    <row r="2144" spans="1:23" hidden="1" x14ac:dyDescent="0.45">
      <c r="A2144" s="7">
        <v>2138</v>
      </c>
      <c r="B2144" s="5" t="s">
        <v>4286</v>
      </c>
      <c r="C2144" s="6" t="s">
        <v>4287</v>
      </c>
      <c r="D2144" s="6" t="s">
        <v>13</v>
      </c>
      <c r="E2144" s="6"/>
      <c r="F2144" s="6"/>
      <c r="G2144" s="6"/>
      <c r="H2144" s="6"/>
      <c r="I2144" s="6"/>
      <c r="J2144" s="8"/>
      <c r="K2144" s="6"/>
      <c r="L2144" s="6"/>
      <c r="M2144" s="8"/>
      <c r="N2144" s="8"/>
      <c r="O2144" s="8"/>
      <c r="P2144" s="8"/>
      <c r="Q2144" s="18" t="e">
        <f>(Table1[[#This Row],[A. TÀI SẢN NGẮN HẠN]]-Table1[[#This Row],[I. Nợ ngắn hạn]])/Table1[[#This Row],[TỔNG CỘNG TÀI SẢN]]</f>
        <v>#DIV/0!</v>
      </c>
      <c r="R2144" s="18" t="e">
        <f>Table1[[#This Row],[- LNST chưa phân phối kỳ này]]/Table1[[#This Row],[TỔNG CỘNG TÀI SẢN]]</f>
        <v>#DIV/0!</v>
      </c>
      <c r="S2144" s="21" t="e">
        <f>Table1[[#This Row],[5. Lợi nhuận gộp về bán hàng và cung cấp dịch vụ]]/Table1[[#This Row],[TỔNG CỘNG TÀI SẢN]]</f>
        <v>#DIV/0!</v>
      </c>
      <c r="T214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144" s="23" t="e">
        <f>Table1[[#This Row],[1. Doanh thu bán hàng và cung cấp dịch vụ ]]/Table1[[#This Row],[TỔNG CỘNG TÀI SẢN]]</f>
        <v>#DIV/0!</v>
      </c>
      <c r="V2144" s="23" t="e">
        <f>1.2*Table1[[#This Row],[X1]] + 1.4*Table1[[#This Row],[X2]] + 3.3*Table1[[#This Row],[x3]] + 0.6*Table1[[#This Row],[x4]] + 1*Table1[[#This Row],[x5]]</f>
        <v>#DIV/0!</v>
      </c>
      <c r="W2144" s="23" t="e">
        <f>IF(Table1[[#This Row],[Zscore]]&lt;1.81,1,0)</f>
        <v>#DIV/0!</v>
      </c>
    </row>
    <row r="2145" spans="1:23" hidden="1" x14ac:dyDescent="0.45">
      <c r="A2145" s="7">
        <v>2139</v>
      </c>
      <c r="B2145" s="5" t="s">
        <v>4288</v>
      </c>
      <c r="C2145" s="6" t="s">
        <v>4289</v>
      </c>
      <c r="D2145" s="6" t="s">
        <v>13</v>
      </c>
      <c r="E2145" s="6"/>
      <c r="F2145" s="6"/>
      <c r="G2145" s="6"/>
      <c r="H2145" s="6"/>
      <c r="I2145" s="6"/>
      <c r="J2145" s="8"/>
      <c r="K2145" s="6"/>
      <c r="L2145" s="6"/>
      <c r="M2145" s="8"/>
      <c r="N2145" s="8"/>
      <c r="O2145" s="8"/>
      <c r="P2145" s="8"/>
      <c r="Q2145" s="18" t="e">
        <f>(Table1[[#This Row],[A. TÀI SẢN NGẮN HẠN]]-Table1[[#This Row],[I. Nợ ngắn hạn]])/Table1[[#This Row],[TỔNG CỘNG TÀI SẢN]]</f>
        <v>#DIV/0!</v>
      </c>
      <c r="R2145" s="18" t="e">
        <f>Table1[[#This Row],[- LNST chưa phân phối kỳ này]]/Table1[[#This Row],[TỔNG CỘNG TÀI SẢN]]</f>
        <v>#DIV/0!</v>
      </c>
      <c r="S2145" s="21" t="e">
        <f>Table1[[#This Row],[5. Lợi nhuận gộp về bán hàng và cung cấp dịch vụ]]/Table1[[#This Row],[TỔNG CỘNG TÀI SẢN]]</f>
        <v>#DIV/0!</v>
      </c>
      <c r="T214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145" s="23" t="e">
        <f>Table1[[#This Row],[1. Doanh thu bán hàng và cung cấp dịch vụ ]]/Table1[[#This Row],[TỔNG CỘNG TÀI SẢN]]</f>
        <v>#DIV/0!</v>
      </c>
      <c r="V2145" s="23" t="e">
        <f>1.2*Table1[[#This Row],[X1]] + 1.4*Table1[[#This Row],[X2]] + 3.3*Table1[[#This Row],[x3]] + 0.6*Table1[[#This Row],[x4]] + 1*Table1[[#This Row],[x5]]</f>
        <v>#DIV/0!</v>
      </c>
      <c r="W2145" s="23" t="e">
        <f>IF(Table1[[#This Row],[Zscore]]&lt;1.81,1,0)</f>
        <v>#DIV/0!</v>
      </c>
    </row>
    <row r="2146" spans="1:23" hidden="1" x14ac:dyDescent="0.45">
      <c r="A2146" s="7">
        <v>2140</v>
      </c>
      <c r="B2146" s="5" t="s">
        <v>4290</v>
      </c>
      <c r="C2146" s="6" t="s">
        <v>4291</v>
      </c>
      <c r="D2146" s="6" t="s">
        <v>13</v>
      </c>
      <c r="E2146" s="6"/>
      <c r="F2146" s="6"/>
      <c r="G2146" s="6"/>
      <c r="H2146" s="6"/>
      <c r="I2146" s="6"/>
      <c r="J2146" s="8"/>
      <c r="K2146" s="6"/>
      <c r="L2146" s="6"/>
      <c r="M2146" s="8"/>
      <c r="N2146" s="8"/>
      <c r="O2146" s="8"/>
      <c r="P2146" s="8"/>
      <c r="Q2146" s="18" t="e">
        <f>(Table1[[#This Row],[A. TÀI SẢN NGẮN HẠN]]-Table1[[#This Row],[I. Nợ ngắn hạn]])/Table1[[#This Row],[TỔNG CỘNG TÀI SẢN]]</f>
        <v>#DIV/0!</v>
      </c>
      <c r="R2146" s="18" t="e">
        <f>Table1[[#This Row],[- LNST chưa phân phối kỳ này]]/Table1[[#This Row],[TỔNG CỘNG TÀI SẢN]]</f>
        <v>#DIV/0!</v>
      </c>
      <c r="S2146" s="21" t="e">
        <f>Table1[[#This Row],[5. Lợi nhuận gộp về bán hàng và cung cấp dịch vụ]]/Table1[[#This Row],[TỔNG CỘNG TÀI SẢN]]</f>
        <v>#DIV/0!</v>
      </c>
      <c r="T214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146" s="23" t="e">
        <f>Table1[[#This Row],[1. Doanh thu bán hàng và cung cấp dịch vụ ]]/Table1[[#This Row],[TỔNG CỘNG TÀI SẢN]]</f>
        <v>#DIV/0!</v>
      </c>
      <c r="V2146" s="23" t="e">
        <f>1.2*Table1[[#This Row],[X1]] + 1.4*Table1[[#This Row],[X2]] + 3.3*Table1[[#This Row],[x3]] + 0.6*Table1[[#This Row],[x4]] + 1*Table1[[#This Row],[x5]]</f>
        <v>#DIV/0!</v>
      </c>
      <c r="W2146" s="23" t="e">
        <f>IF(Table1[[#This Row],[Zscore]]&lt;1.81,1,0)</f>
        <v>#DIV/0!</v>
      </c>
    </row>
    <row r="2147" spans="1:23" hidden="1" x14ac:dyDescent="0.45">
      <c r="A2147" s="7">
        <v>2141</v>
      </c>
      <c r="B2147" s="5" t="s">
        <v>4292</v>
      </c>
      <c r="C2147" s="6" t="s">
        <v>4293</v>
      </c>
      <c r="D2147" s="6" t="s">
        <v>13</v>
      </c>
      <c r="E2147" s="6"/>
      <c r="F2147" s="6"/>
      <c r="G2147" s="6"/>
      <c r="H2147" s="6"/>
      <c r="I2147" s="6"/>
      <c r="J2147" s="8"/>
      <c r="K2147" s="6"/>
      <c r="L2147" s="6"/>
      <c r="M2147" s="8"/>
      <c r="N2147" s="8"/>
      <c r="O2147" s="8"/>
      <c r="P2147" s="8"/>
      <c r="Q2147" s="18" t="e">
        <f>(Table1[[#This Row],[A. TÀI SẢN NGẮN HẠN]]-Table1[[#This Row],[I. Nợ ngắn hạn]])/Table1[[#This Row],[TỔNG CỘNG TÀI SẢN]]</f>
        <v>#DIV/0!</v>
      </c>
      <c r="R2147" s="18" t="e">
        <f>Table1[[#This Row],[- LNST chưa phân phối kỳ này]]/Table1[[#This Row],[TỔNG CỘNG TÀI SẢN]]</f>
        <v>#DIV/0!</v>
      </c>
      <c r="S2147" s="21" t="e">
        <f>Table1[[#This Row],[5. Lợi nhuận gộp về bán hàng và cung cấp dịch vụ]]/Table1[[#This Row],[TỔNG CỘNG TÀI SẢN]]</f>
        <v>#DIV/0!</v>
      </c>
      <c r="T214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147" s="23" t="e">
        <f>Table1[[#This Row],[1. Doanh thu bán hàng và cung cấp dịch vụ ]]/Table1[[#This Row],[TỔNG CỘNG TÀI SẢN]]</f>
        <v>#DIV/0!</v>
      </c>
      <c r="V2147" s="23" t="e">
        <f>1.2*Table1[[#This Row],[X1]] + 1.4*Table1[[#This Row],[X2]] + 3.3*Table1[[#This Row],[x3]] + 0.6*Table1[[#This Row],[x4]] + 1*Table1[[#This Row],[x5]]</f>
        <v>#DIV/0!</v>
      </c>
      <c r="W2147" s="23" t="e">
        <f>IF(Table1[[#This Row],[Zscore]]&lt;1.81,1,0)</f>
        <v>#DIV/0!</v>
      </c>
    </row>
    <row r="2148" spans="1:23" hidden="1" x14ac:dyDescent="0.45">
      <c r="A2148" s="7">
        <v>2142</v>
      </c>
      <c r="B2148" s="5" t="s">
        <v>4294</v>
      </c>
      <c r="C2148" s="6" t="s">
        <v>4295</v>
      </c>
      <c r="D2148" s="6" t="s">
        <v>13</v>
      </c>
      <c r="E2148" s="6"/>
      <c r="F2148" s="6"/>
      <c r="G2148" s="6"/>
      <c r="H2148" s="6"/>
      <c r="I2148" s="6"/>
      <c r="J2148" s="8"/>
      <c r="K2148" s="6"/>
      <c r="L2148" s="6"/>
      <c r="M2148" s="8"/>
      <c r="N2148" s="8"/>
      <c r="O2148" s="8"/>
      <c r="P2148" s="8"/>
      <c r="Q2148" s="18" t="e">
        <f>(Table1[[#This Row],[A. TÀI SẢN NGẮN HẠN]]-Table1[[#This Row],[I. Nợ ngắn hạn]])/Table1[[#This Row],[TỔNG CỘNG TÀI SẢN]]</f>
        <v>#DIV/0!</v>
      </c>
      <c r="R2148" s="18" t="e">
        <f>Table1[[#This Row],[- LNST chưa phân phối kỳ này]]/Table1[[#This Row],[TỔNG CỘNG TÀI SẢN]]</f>
        <v>#DIV/0!</v>
      </c>
      <c r="S2148" s="21" t="e">
        <f>Table1[[#This Row],[5. Lợi nhuận gộp về bán hàng và cung cấp dịch vụ]]/Table1[[#This Row],[TỔNG CỘNG TÀI SẢN]]</f>
        <v>#DIV/0!</v>
      </c>
      <c r="T214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148" s="23" t="e">
        <f>Table1[[#This Row],[1. Doanh thu bán hàng và cung cấp dịch vụ ]]/Table1[[#This Row],[TỔNG CỘNG TÀI SẢN]]</f>
        <v>#DIV/0!</v>
      </c>
      <c r="V2148" s="23" t="e">
        <f>1.2*Table1[[#This Row],[X1]] + 1.4*Table1[[#This Row],[X2]] + 3.3*Table1[[#This Row],[x3]] + 0.6*Table1[[#This Row],[x4]] + 1*Table1[[#This Row],[x5]]</f>
        <v>#DIV/0!</v>
      </c>
      <c r="W2148" s="23" t="e">
        <f>IF(Table1[[#This Row],[Zscore]]&lt;1.81,1,0)</f>
        <v>#DIV/0!</v>
      </c>
    </row>
    <row r="2149" spans="1:23" hidden="1" x14ac:dyDescent="0.45">
      <c r="A2149" s="7">
        <v>2143</v>
      </c>
      <c r="B2149" s="5" t="s">
        <v>4296</v>
      </c>
      <c r="C2149" s="6" t="s">
        <v>4297</v>
      </c>
      <c r="D2149" s="6" t="s">
        <v>13</v>
      </c>
      <c r="E2149" s="6"/>
      <c r="F2149" s="6"/>
      <c r="G2149" s="6"/>
      <c r="H2149" s="6"/>
      <c r="I2149" s="6"/>
      <c r="J2149" s="8"/>
      <c r="K2149" s="6"/>
      <c r="L2149" s="6"/>
      <c r="M2149" s="8"/>
      <c r="N2149" s="8"/>
      <c r="O2149" s="8"/>
      <c r="P2149" s="8"/>
      <c r="Q2149" s="18" t="e">
        <f>(Table1[[#This Row],[A. TÀI SẢN NGẮN HẠN]]-Table1[[#This Row],[I. Nợ ngắn hạn]])/Table1[[#This Row],[TỔNG CỘNG TÀI SẢN]]</f>
        <v>#DIV/0!</v>
      </c>
      <c r="R2149" s="18" t="e">
        <f>Table1[[#This Row],[- LNST chưa phân phối kỳ này]]/Table1[[#This Row],[TỔNG CỘNG TÀI SẢN]]</f>
        <v>#DIV/0!</v>
      </c>
      <c r="S2149" s="21" t="e">
        <f>Table1[[#This Row],[5. Lợi nhuận gộp về bán hàng và cung cấp dịch vụ]]/Table1[[#This Row],[TỔNG CỘNG TÀI SẢN]]</f>
        <v>#DIV/0!</v>
      </c>
      <c r="T214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149" s="23" t="e">
        <f>Table1[[#This Row],[1. Doanh thu bán hàng và cung cấp dịch vụ ]]/Table1[[#This Row],[TỔNG CỘNG TÀI SẢN]]</f>
        <v>#DIV/0!</v>
      </c>
      <c r="V2149" s="23" t="e">
        <f>1.2*Table1[[#This Row],[X1]] + 1.4*Table1[[#This Row],[X2]] + 3.3*Table1[[#This Row],[x3]] + 0.6*Table1[[#This Row],[x4]] + 1*Table1[[#This Row],[x5]]</f>
        <v>#DIV/0!</v>
      </c>
      <c r="W2149" s="23" t="e">
        <f>IF(Table1[[#This Row],[Zscore]]&lt;1.81,1,0)</f>
        <v>#DIV/0!</v>
      </c>
    </row>
    <row r="2150" spans="1:23" x14ac:dyDescent="0.45">
      <c r="A2150" s="7">
        <v>2144</v>
      </c>
      <c r="B2150" s="5" t="s">
        <v>4298</v>
      </c>
      <c r="C2150" s="6" t="s">
        <v>4299</v>
      </c>
      <c r="D2150" s="6" t="s">
        <v>18</v>
      </c>
      <c r="E2150" s="8">
        <v>556992920292</v>
      </c>
      <c r="F2150" s="8">
        <v>102921667084</v>
      </c>
      <c r="G2150" s="8">
        <v>292589671849</v>
      </c>
      <c r="H2150" s="8">
        <v>59436600699</v>
      </c>
      <c r="I2150" s="8">
        <v>81980406143</v>
      </c>
      <c r="J2150" s="8"/>
      <c r="K2150" s="8">
        <v>378911723923</v>
      </c>
      <c r="L2150" s="8">
        <v>174415257169</v>
      </c>
      <c r="M2150" s="8">
        <v>497014300000</v>
      </c>
      <c r="N2150" s="8">
        <v>453706000000</v>
      </c>
      <c r="O2150" s="8">
        <v>494952000000</v>
      </c>
      <c r="P2150" s="8">
        <v>461955200000</v>
      </c>
      <c r="Q2150" s="18">
        <f>(Table1[[#This Row],[A. TÀI SẢN NGẮN HẠN]]-Table1[[#This Row],[I. Nợ ngắn hạn]])/Table1[[#This Row],[TỔNG CỘNG TÀI SẢN]]</f>
        <v>-0.3405213923824521</v>
      </c>
      <c r="R2150" s="18">
        <f>Table1[[#This Row],[- LNST chưa phân phối kỳ này]]/Table1[[#This Row],[TỔNG CỘNG TÀI SẢN]]</f>
        <v>0.106709795643077</v>
      </c>
      <c r="S2150" s="21">
        <f>Table1[[#This Row],[5. Lợi nhuận gộp về bán hàng và cung cấp dịch vụ]]/Table1[[#This Row],[TỔNG CỘNG TÀI SẢN]]</f>
        <v>0.1471839284779819</v>
      </c>
      <c r="T215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1.2586226418713662</v>
      </c>
      <c r="U2150" s="23">
        <f>Table1[[#This Row],[1. Doanh thu bán hàng và cung cấp dịch vụ ]]/Table1[[#This Row],[TỔNG CỘNG TÀI SẢN]]</f>
        <v>0.31313729639070442</v>
      </c>
      <c r="V2150" s="23">
        <f>1.2*Table1[[#This Row],[X1]] + 1.4*Table1[[#This Row],[X2]] + 3.3*Table1[[#This Row],[x3]] + 0.6*Table1[[#This Row],[x4]] + 1*Table1[[#This Row],[x5]]</f>
        <v>1.2947858885322296</v>
      </c>
      <c r="W2150" s="23">
        <f>IF(Table1[[#This Row],[Zscore]]&lt;1.81,1,0)</f>
        <v>1</v>
      </c>
    </row>
    <row r="2151" spans="1:23" hidden="1" x14ac:dyDescent="0.45">
      <c r="A2151" s="7">
        <v>2145</v>
      </c>
      <c r="B2151" s="5" t="s">
        <v>4300</v>
      </c>
      <c r="C2151" s="6" t="s">
        <v>4301</v>
      </c>
      <c r="D2151" s="6" t="s">
        <v>13</v>
      </c>
      <c r="E2151" s="6"/>
      <c r="F2151" s="6"/>
      <c r="G2151" s="6"/>
      <c r="H2151" s="6"/>
      <c r="I2151" s="6"/>
      <c r="J2151" s="8"/>
      <c r="K2151" s="6"/>
      <c r="L2151" s="6"/>
      <c r="M2151" s="8"/>
      <c r="N2151" s="8"/>
      <c r="O2151" s="8"/>
      <c r="P2151" s="8"/>
      <c r="Q2151" s="18" t="e">
        <f>(Table1[[#This Row],[A. TÀI SẢN NGẮN HẠN]]-Table1[[#This Row],[I. Nợ ngắn hạn]])/Table1[[#This Row],[TỔNG CỘNG TÀI SẢN]]</f>
        <v>#DIV/0!</v>
      </c>
      <c r="R2151" s="18" t="e">
        <f>Table1[[#This Row],[- LNST chưa phân phối kỳ này]]/Table1[[#This Row],[TỔNG CỘNG TÀI SẢN]]</f>
        <v>#DIV/0!</v>
      </c>
      <c r="S2151" s="21" t="e">
        <f>Table1[[#This Row],[5. Lợi nhuận gộp về bán hàng và cung cấp dịch vụ]]/Table1[[#This Row],[TỔNG CỘNG TÀI SẢN]]</f>
        <v>#DIV/0!</v>
      </c>
      <c r="T215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151" s="23" t="e">
        <f>Table1[[#This Row],[1. Doanh thu bán hàng và cung cấp dịch vụ ]]/Table1[[#This Row],[TỔNG CỘNG TÀI SẢN]]</f>
        <v>#DIV/0!</v>
      </c>
      <c r="V2151" s="23" t="e">
        <f>1.2*Table1[[#This Row],[X1]] + 1.4*Table1[[#This Row],[X2]] + 3.3*Table1[[#This Row],[x3]] + 0.6*Table1[[#This Row],[x4]] + 1*Table1[[#This Row],[x5]]</f>
        <v>#DIV/0!</v>
      </c>
      <c r="W2151" s="23" t="e">
        <f>IF(Table1[[#This Row],[Zscore]]&lt;1.81,1,0)</f>
        <v>#DIV/0!</v>
      </c>
    </row>
    <row r="2152" spans="1:23" x14ac:dyDescent="0.45">
      <c r="A2152" s="7">
        <v>2146</v>
      </c>
      <c r="B2152" s="5" t="s">
        <v>4302</v>
      </c>
      <c r="C2152" s="6" t="s">
        <v>4303</v>
      </c>
      <c r="D2152" s="6" t="s">
        <v>18</v>
      </c>
      <c r="E2152" s="8">
        <v>1013651656017</v>
      </c>
      <c r="F2152" s="8">
        <v>486311758867</v>
      </c>
      <c r="G2152" s="8">
        <v>423176517308</v>
      </c>
      <c r="H2152" s="8">
        <v>21935562373</v>
      </c>
      <c r="I2152" s="8">
        <v>120366478814</v>
      </c>
      <c r="J2152" s="8"/>
      <c r="K2152" s="8">
        <v>754642143177</v>
      </c>
      <c r="L2152" s="8">
        <v>1106889503843</v>
      </c>
      <c r="M2152" s="8">
        <v>183541200600</v>
      </c>
      <c r="N2152" s="8">
        <v>210141374600</v>
      </c>
      <c r="O2152" s="8">
        <v>248711626900</v>
      </c>
      <c r="P2152" s="8">
        <v>195511278900</v>
      </c>
      <c r="Q2152" s="18">
        <f>(Table1[[#This Row],[A. TÀI SẢN NGẮN HẠN]]-Table1[[#This Row],[I. Nợ ngắn hạn]])/Table1[[#This Row],[TỔNG CỘNG TÀI SẢN]]</f>
        <v>6.2284948862098198E-2</v>
      </c>
      <c r="R2152" s="18">
        <f>Table1[[#This Row],[- LNST chưa phân phối kỳ này]]/Table1[[#This Row],[TỔNG CỘNG TÀI SẢN]]</f>
        <v>2.1640138644070956E-2</v>
      </c>
      <c r="S2152" s="21">
        <f>Table1[[#This Row],[5. Lợi nhuận gộp về bán hàng và cung cấp dịch vụ]]/Table1[[#This Row],[TỔNG CỘNG TÀI SẢN]]</f>
        <v>0.11874540735913455</v>
      </c>
      <c r="T215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0.27758371586314612</v>
      </c>
      <c r="U2152" s="23">
        <f>Table1[[#This Row],[1. Doanh thu bán hàng và cung cấp dịch vụ ]]/Table1[[#This Row],[TỔNG CỘNG TÀI SẢN]]</f>
        <v>1.0919821393005609</v>
      </c>
      <c r="V2152" s="23">
        <f>1.2*Table1[[#This Row],[X1]] + 1.4*Table1[[#This Row],[X2]] + 3.3*Table1[[#This Row],[x3]] + 0.6*Table1[[#This Row],[x4]] + 1*Table1[[#This Row],[x5]]</f>
        <v>1.7554303458398097</v>
      </c>
      <c r="W2152" s="23">
        <f>IF(Table1[[#This Row],[Zscore]]&lt;1.81,1,0)</f>
        <v>1</v>
      </c>
    </row>
    <row r="2153" spans="1:23" x14ac:dyDescent="0.45">
      <c r="A2153" s="7">
        <v>2147</v>
      </c>
      <c r="B2153" s="5" t="s">
        <v>4304</v>
      </c>
      <c r="C2153" s="6" t="s">
        <v>4305</v>
      </c>
      <c r="D2153" s="6" t="s">
        <v>36</v>
      </c>
      <c r="E2153" s="8">
        <v>414877079116</v>
      </c>
      <c r="F2153" s="8">
        <v>358241532232</v>
      </c>
      <c r="G2153" s="8">
        <v>259549888838</v>
      </c>
      <c r="H2153" s="8">
        <v>21737475081</v>
      </c>
      <c r="I2153" s="8">
        <v>186221812617</v>
      </c>
      <c r="J2153" s="8"/>
      <c r="K2153" s="8">
        <v>265655037636</v>
      </c>
      <c r="L2153" s="8">
        <v>952378671584</v>
      </c>
      <c r="M2153" s="8">
        <v>105300000000</v>
      </c>
      <c r="N2153" s="8">
        <v>82134000000</v>
      </c>
      <c r="O2153" s="8">
        <v>103194000000</v>
      </c>
      <c r="P2153" s="8">
        <v>95823000000</v>
      </c>
      <c r="Q2153" s="18">
        <f>(Table1[[#This Row],[A. TÀI SẢN NGẮN HẠN]]-Table1[[#This Row],[I. Nợ ngắn hạn]])/Table1[[#This Row],[TỔNG CỘNG TÀI SẢN]]</f>
        <v>0.23788164823250149</v>
      </c>
      <c r="R2153" s="18">
        <f>Table1[[#This Row],[- LNST chưa phân phối kỳ này]]/Table1[[#This Row],[TỔNG CỘNG TÀI SẢN]]</f>
        <v>5.2394977151587065E-2</v>
      </c>
      <c r="S2153" s="21">
        <f>Table1[[#This Row],[5. Lợi nhuận gộp về bán hàng và cung cấp dịch vụ]]/Table1[[#This Row],[TỔNG CỘNG TÀI SẢN]]</f>
        <v>0.44886020942345722</v>
      </c>
      <c r="T215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0.36367746254591488</v>
      </c>
      <c r="U2153" s="23">
        <f>Table1[[#This Row],[1. Doanh thu bán hàng và cung cấp dịch vụ ]]/Table1[[#This Row],[TỔNG CỘNG TÀI SẢN]]</f>
        <v>2.2955683008887413</v>
      </c>
      <c r="V2153" s="23">
        <f>1.2*Table1[[#This Row],[X1]] + 1.4*Table1[[#This Row],[X2]] + 3.3*Table1[[#This Row],[x3]] + 0.6*Table1[[#This Row],[x4]] + 1*Table1[[#This Row],[x5]]</f>
        <v>4.3538244154049224</v>
      </c>
      <c r="W2153" s="23">
        <f>IF(Table1[[#This Row],[Zscore]]&lt;1.81,1,0)</f>
        <v>0</v>
      </c>
    </row>
    <row r="2154" spans="1:23" ht="26.25" x14ac:dyDescent="0.45">
      <c r="A2154" s="7">
        <v>2148</v>
      </c>
      <c r="B2154" s="5" t="s">
        <v>4306</v>
      </c>
      <c r="C2154" s="6" t="s">
        <v>4307</v>
      </c>
      <c r="D2154" s="6" t="s">
        <v>18</v>
      </c>
      <c r="E2154" s="8">
        <v>380733056919</v>
      </c>
      <c r="F2154" s="8">
        <v>297299237010</v>
      </c>
      <c r="G2154" s="8">
        <v>237927956305</v>
      </c>
      <c r="H2154" s="8">
        <v>7504558799</v>
      </c>
      <c r="I2154" s="8">
        <v>72236564100</v>
      </c>
      <c r="J2154" s="8"/>
      <c r="K2154" s="8">
        <v>241042860331</v>
      </c>
      <c r="L2154" s="8">
        <v>825442539090</v>
      </c>
      <c r="M2154" s="8">
        <v>96000000000</v>
      </c>
      <c r="N2154" s="8">
        <v>96000000000</v>
      </c>
      <c r="O2154" s="8">
        <v>96000000000</v>
      </c>
      <c r="P2154" s="8">
        <v>96000000000</v>
      </c>
      <c r="Q2154" s="18">
        <f>(Table1[[#This Row],[A. TÀI SẢN NGẮN HẠN]]-Table1[[#This Row],[I. Nợ ngắn hạn]])/Table1[[#This Row],[TỔNG CỘNG TÀI SẢN]]</f>
        <v>0.15593939014765165</v>
      </c>
      <c r="R2154" s="18">
        <f>Table1[[#This Row],[- LNST chưa phân phối kỳ này]]/Table1[[#This Row],[TỔNG CỘNG TÀI SẢN]]</f>
        <v>1.971081486784736E-2</v>
      </c>
      <c r="S2154" s="21">
        <f>Table1[[#This Row],[5. Lợi nhuận gộp về bán hàng và cung cấp dịch vụ]]/Table1[[#This Row],[TỔNG CỘNG TÀI SẢN]]</f>
        <v>0.18973021330104295</v>
      </c>
      <c r="T215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0.39826941925669496</v>
      </c>
      <c r="U2154" s="23">
        <f>Table1[[#This Row],[1. Doanh thu bán hàng và cung cấp dịch vụ ]]/Table1[[#This Row],[TỔNG CỘNG TÀI SẢN]]</f>
        <v>2.1680348582540097</v>
      </c>
      <c r="V2154" s="23">
        <f>1.2*Table1[[#This Row],[X1]] + 1.4*Table1[[#This Row],[X2]] + 3.3*Table1[[#This Row],[x3]] + 0.6*Table1[[#This Row],[x4]] + 1*Table1[[#This Row],[x5]]</f>
        <v>3.2478286226936364</v>
      </c>
      <c r="W2154" s="23">
        <f>IF(Table1[[#This Row],[Zscore]]&lt;1.81,1,0)</f>
        <v>0</v>
      </c>
    </row>
    <row r="2155" spans="1:23" ht="26.25" hidden="1" x14ac:dyDescent="0.45">
      <c r="A2155" s="7">
        <v>2149</v>
      </c>
      <c r="B2155" s="5" t="s">
        <v>4308</v>
      </c>
      <c r="C2155" s="6" t="s">
        <v>4309</v>
      </c>
      <c r="D2155" s="6" t="s">
        <v>18</v>
      </c>
      <c r="E2155" s="8">
        <v>107476438860</v>
      </c>
      <c r="F2155" s="8">
        <v>102237624323</v>
      </c>
      <c r="G2155" s="8">
        <v>15045322899</v>
      </c>
      <c r="H2155" s="8">
        <v>34036465606</v>
      </c>
      <c r="I2155" s="8">
        <v>37663073569</v>
      </c>
      <c r="J2155" s="8"/>
      <c r="K2155" s="8">
        <v>15045322899</v>
      </c>
      <c r="L2155" s="8">
        <v>82294597841</v>
      </c>
      <c r="M2155" s="8"/>
      <c r="N2155" s="8"/>
      <c r="O2155" s="8"/>
      <c r="P2155" s="8"/>
      <c r="Q2155" s="18">
        <f>(Table1[[#This Row],[A. TÀI SẢN NGẮN HẠN]]-Table1[[#This Row],[I. Nợ ngắn hạn]])/Table1[[#This Row],[TỔNG CỘNG TÀI SẢN]]</f>
        <v>0.81126898461510855</v>
      </c>
      <c r="R2155" s="18">
        <f>Table1[[#This Row],[- LNST chưa phân phối kỳ này]]/Table1[[#This Row],[TỔNG CỘNG TÀI SẢN]]</f>
        <v>0.31668769422418508</v>
      </c>
      <c r="S2155" s="21">
        <f>Table1[[#This Row],[5. Lợi nhuận gộp về bán hàng và cung cấp dịch vụ]]/Table1[[#This Row],[TỔNG CỘNG TÀI SẢN]]</f>
        <v>0.35043097788214156</v>
      </c>
      <c r="T215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155" s="23">
        <f>Table1[[#This Row],[1. Doanh thu bán hàng và cung cấp dịch vụ ]]/Table1[[#This Row],[TỔNG CỘNG TÀI SẢN]]</f>
        <v>0.76569896354863276</v>
      </c>
      <c r="V2155" s="23" t="e">
        <f>1.2*Table1[[#This Row],[X1]] + 1.4*Table1[[#This Row],[X2]] + 3.3*Table1[[#This Row],[x3]] + 0.6*Table1[[#This Row],[x4]] + 1*Table1[[#This Row],[x5]]</f>
        <v>#DIV/0!</v>
      </c>
      <c r="W2155" s="23" t="e">
        <f>IF(Table1[[#This Row],[Zscore]]&lt;1.81,1,0)</f>
        <v>#DIV/0!</v>
      </c>
    </row>
    <row r="2156" spans="1:23" x14ac:dyDescent="0.45">
      <c r="A2156" s="7">
        <v>2150</v>
      </c>
      <c r="B2156" s="5" t="s">
        <v>4310</v>
      </c>
      <c r="C2156" s="6" t="s">
        <v>4311</v>
      </c>
      <c r="D2156" s="6" t="s">
        <v>18</v>
      </c>
      <c r="E2156" s="8">
        <v>127826922193</v>
      </c>
      <c r="F2156" s="8">
        <v>9516935384</v>
      </c>
      <c r="G2156" s="8">
        <v>5115880676</v>
      </c>
      <c r="H2156" s="8">
        <v>-1907978</v>
      </c>
      <c r="I2156" s="6"/>
      <c r="J2156" s="8"/>
      <c r="K2156" s="8">
        <v>5115880676</v>
      </c>
      <c r="L2156" s="6"/>
      <c r="M2156" s="8">
        <v>30267000000</v>
      </c>
      <c r="N2156" s="8">
        <v>30267000000</v>
      </c>
      <c r="O2156" s="8">
        <v>30267000000</v>
      </c>
      <c r="P2156" s="8">
        <v>30267000000</v>
      </c>
      <c r="Q2156" s="18">
        <f>(Table1[[#This Row],[A. TÀI SẢN NGẮN HẠN]]-Table1[[#This Row],[I. Nợ ngắn hạn]])/Table1[[#This Row],[TỔNG CỘNG TÀI SẢN]]</f>
        <v>3.4429794854600737E-2</v>
      </c>
      <c r="R2156" s="18">
        <f>Table1[[#This Row],[- LNST chưa phân phối kỳ này]]/Table1[[#This Row],[TỔNG CỘNG TÀI SẢN]]</f>
        <v>-1.4926260972780301E-5</v>
      </c>
      <c r="S2156" s="21">
        <f>Table1[[#This Row],[5. Lợi nhuận gộp về bán hàng và cung cấp dịch vụ]]/Table1[[#This Row],[TỔNG CỘNG TÀI SẢN]]</f>
        <v>0</v>
      </c>
      <c r="T215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5.9162834156767579</v>
      </c>
      <c r="U2156" s="23">
        <f>Table1[[#This Row],[1. Doanh thu bán hàng và cung cấp dịch vụ ]]/Table1[[#This Row],[TỔNG CỘNG TÀI SẢN]]</f>
        <v>0</v>
      </c>
      <c r="V2156" s="23">
        <f>1.2*Table1[[#This Row],[X1]] + 1.4*Table1[[#This Row],[X2]] + 3.3*Table1[[#This Row],[x3]] + 0.6*Table1[[#This Row],[x4]] + 1*Table1[[#This Row],[x5]]</f>
        <v>3.5910649064662135</v>
      </c>
      <c r="W2156" s="23">
        <f>IF(Table1[[#This Row],[Zscore]]&lt;1.81,1,0)</f>
        <v>0</v>
      </c>
    </row>
    <row r="2157" spans="1:23" x14ac:dyDescent="0.45">
      <c r="A2157" s="7">
        <v>2151</v>
      </c>
      <c r="B2157" s="5" t="s">
        <v>4312</v>
      </c>
      <c r="C2157" s="6" t="s">
        <v>4313</v>
      </c>
      <c r="D2157" s="6" t="s">
        <v>21</v>
      </c>
      <c r="E2157" s="8">
        <v>938589373961</v>
      </c>
      <c r="F2157" s="8">
        <v>803588965167</v>
      </c>
      <c r="G2157" s="8">
        <v>118464062232</v>
      </c>
      <c r="H2157" s="8">
        <v>5255665294</v>
      </c>
      <c r="I2157" s="8">
        <v>60903975059</v>
      </c>
      <c r="J2157" s="8"/>
      <c r="K2157" s="8">
        <v>136464062232</v>
      </c>
      <c r="L2157" s="8">
        <v>302535922736</v>
      </c>
      <c r="M2157" s="8">
        <v>163174500000</v>
      </c>
      <c r="N2157" s="8">
        <v>139077000000</v>
      </c>
      <c r="O2157" s="8">
        <v>154224000000</v>
      </c>
      <c r="P2157" s="8">
        <v>153535500000</v>
      </c>
      <c r="Q2157" s="18">
        <f>(Table1[[#This Row],[A. TÀI SẢN NGẮN HẠN]]-Table1[[#This Row],[I. Nợ ngắn hạn]])/Table1[[#This Row],[TỔNG CỘNG TÀI SẢN]]</f>
        <v>0.72995169340524424</v>
      </c>
      <c r="R2157" s="18">
        <f>Table1[[#This Row],[- LNST chưa phân phối kỳ này]]/Table1[[#This Row],[TỔNG CỘNG TÀI SẢN]]</f>
        <v>5.599536325262491E-3</v>
      </c>
      <c r="S2157" s="21">
        <f>Table1[[#This Row],[5. Lợi nhuận gộp về bán hàng và cung cấp dịch vụ]]/Table1[[#This Row],[TỔNG CỘNG TÀI SẢN]]</f>
        <v>6.4888839303576709E-2</v>
      </c>
      <c r="T215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1.1175304875560053</v>
      </c>
      <c r="U2157" s="23">
        <f>Table1[[#This Row],[1. Doanh thu bán hàng và cung cấp dịch vụ ]]/Table1[[#This Row],[TỔNG CỘNG TÀI SẢN]]</f>
        <v>0.3223304366415839</v>
      </c>
      <c r="V2157" s="23">
        <f>1.2*Table1[[#This Row],[X1]] + 1.4*Table1[[#This Row],[X2]] + 3.3*Table1[[#This Row],[x3]] + 0.6*Table1[[#This Row],[x4]] + 1*Table1[[#This Row],[x5]]</f>
        <v>2.0907632818186506</v>
      </c>
      <c r="W2157" s="23">
        <f>IF(Table1[[#This Row],[Zscore]]&lt;1.81,1,0)</f>
        <v>0</v>
      </c>
    </row>
    <row r="2158" spans="1:23" hidden="1" x14ac:dyDescent="0.45">
      <c r="A2158" s="7">
        <v>2152</v>
      </c>
      <c r="B2158" s="5" t="s">
        <v>4314</v>
      </c>
      <c r="C2158" s="6" t="s">
        <v>4315</v>
      </c>
      <c r="D2158" s="6" t="s">
        <v>13</v>
      </c>
      <c r="E2158" s="6"/>
      <c r="F2158" s="6"/>
      <c r="G2158" s="6"/>
      <c r="H2158" s="6"/>
      <c r="I2158" s="6"/>
      <c r="J2158" s="8"/>
      <c r="K2158" s="6"/>
      <c r="L2158" s="6"/>
      <c r="M2158" s="8"/>
      <c r="N2158" s="8"/>
      <c r="O2158" s="8"/>
      <c r="P2158" s="8"/>
      <c r="Q2158" s="18" t="e">
        <f>(Table1[[#This Row],[A. TÀI SẢN NGẮN HẠN]]-Table1[[#This Row],[I. Nợ ngắn hạn]])/Table1[[#This Row],[TỔNG CỘNG TÀI SẢN]]</f>
        <v>#DIV/0!</v>
      </c>
      <c r="R2158" s="18" t="e">
        <f>Table1[[#This Row],[- LNST chưa phân phối kỳ này]]/Table1[[#This Row],[TỔNG CỘNG TÀI SẢN]]</f>
        <v>#DIV/0!</v>
      </c>
      <c r="S2158" s="21" t="e">
        <f>Table1[[#This Row],[5. Lợi nhuận gộp về bán hàng và cung cấp dịch vụ]]/Table1[[#This Row],[TỔNG CỘNG TÀI SẢN]]</f>
        <v>#DIV/0!</v>
      </c>
      <c r="T215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158" s="23" t="e">
        <f>Table1[[#This Row],[1. Doanh thu bán hàng và cung cấp dịch vụ ]]/Table1[[#This Row],[TỔNG CỘNG TÀI SẢN]]</f>
        <v>#DIV/0!</v>
      </c>
      <c r="V2158" s="23" t="e">
        <f>1.2*Table1[[#This Row],[X1]] + 1.4*Table1[[#This Row],[X2]] + 3.3*Table1[[#This Row],[x3]] + 0.6*Table1[[#This Row],[x4]] + 1*Table1[[#This Row],[x5]]</f>
        <v>#DIV/0!</v>
      </c>
      <c r="W2158" s="23" t="e">
        <f>IF(Table1[[#This Row],[Zscore]]&lt;1.81,1,0)</f>
        <v>#DIV/0!</v>
      </c>
    </row>
    <row r="2159" spans="1:23" hidden="1" x14ac:dyDescent="0.45">
      <c r="A2159" s="7">
        <v>2153</v>
      </c>
      <c r="B2159" s="5" t="s">
        <v>4316</v>
      </c>
      <c r="C2159" s="6" t="s">
        <v>4317</v>
      </c>
      <c r="D2159" s="6" t="s">
        <v>13</v>
      </c>
      <c r="E2159" s="6"/>
      <c r="F2159" s="6"/>
      <c r="G2159" s="6"/>
      <c r="H2159" s="6"/>
      <c r="I2159" s="6"/>
      <c r="J2159" s="8"/>
      <c r="K2159" s="6"/>
      <c r="L2159" s="6"/>
      <c r="M2159" s="8"/>
      <c r="N2159" s="8"/>
      <c r="O2159" s="8"/>
      <c r="P2159" s="8"/>
      <c r="Q2159" s="18" t="e">
        <f>(Table1[[#This Row],[A. TÀI SẢN NGẮN HẠN]]-Table1[[#This Row],[I. Nợ ngắn hạn]])/Table1[[#This Row],[TỔNG CỘNG TÀI SẢN]]</f>
        <v>#DIV/0!</v>
      </c>
      <c r="R2159" s="18" t="e">
        <f>Table1[[#This Row],[- LNST chưa phân phối kỳ này]]/Table1[[#This Row],[TỔNG CỘNG TÀI SẢN]]</f>
        <v>#DIV/0!</v>
      </c>
      <c r="S2159" s="21" t="e">
        <f>Table1[[#This Row],[5. Lợi nhuận gộp về bán hàng và cung cấp dịch vụ]]/Table1[[#This Row],[TỔNG CỘNG TÀI SẢN]]</f>
        <v>#DIV/0!</v>
      </c>
      <c r="T215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159" s="23" t="e">
        <f>Table1[[#This Row],[1. Doanh thu bán hàng và cung cấp dịch vụ ]]/Table1[[#This Row],[TỔNG CỘNG TÀI SẢN]]</f>
        <v>#DIV/0!</v>
      </c>
      <c r="V2159" s="23" t="e">
        <f>1.2*Table1[[#This Row],[X1]] + 1.4*Table1[[#This Row],[X2]] + 3.3*Table1[[#This Row],[x3]] + 0.6*Table1[[#This Row],[x4]] + 1*Table1[[#This Row],[x5]]</f>
        <v>#DIV/0!</v>
      </c>
      <c r="W2159" s="23" t="e">
        <f>IF(Table1[[#This Row],[Zscore]]&lt;1.81,1,0)</f>
        <v>#DIV/0!</v>
      </c>
    </row>
    <row r="2160" spans="1:23" ht="26.25" hidden="1" x14ac:dyDescent="0.45">
      <c r="A2160" s="7">
        <v>2154</v>
      </c>
      <c r="B2160" s="5" t="s">
        <v>4318</v>
      </c>
      <c r="C2160" s="6" t="s">
        <v>4319</v>
      </c>
      <c r="D2160" s="6" t="s">
        <v>13</v>
      </c>
      <c r="E2160" s="6"/>
      <c r="F2160" s="6"/>
      <c r="G2160" s="6"/>
      <c r="H2160" s="6"/>
      <c r="I2160" s="6"/>
      <c r="J2160" s="8"/>
      <c r="K2160" s="6"/>
      <c r="L2160" s="6"/>
      <c r="M2160" s="8"/>
      <c r="N2160" s="8"/>
      <c r="O2160" s="8"/>
      <c r="P2160" s="8"/>
      <c r="Q2160" s="18" t="e">
        <f>(Table1[[#This Row],[A. TÀI SẢN NGẮN HẠN]]-Table1[[#This Row],[I. Nợ ngắn hạn]])/Table1[[#This Row],[TỔNG CỘNG TÀI SẢN]]</f>
        <v>#DIV/0!</v>
      </c>
      <c r="R2160" s="18" t="e">
        <f>Table1[[#This Row],[- LNST chưa phân phối kỳ này]]/Table1[[#This Row],[TỔNG CỘNG TÀI SẢN]]</f>
        <v>#DIV/0!</v>
      </c>
      <c r="S2160" s="21" t="e">
        <f>Table1[[#This Row],[5. Lợi nhuận gộp về bán hàng và cung cấp dịch vụ]]/Table1[[#This Row],[TỔNG CỘNG TÀI SẢN]]</f>
        <v>#DIV/0!</v>
      </c>
      <c r="T216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160" s="23" t="e">
        <f>Table1[[#This Row],[1. Doanh thu bán hàng và cung cấp dịch vụ ]]/Table1[[#This Row],[TỔNG CỘNG TÀI SẢN]]</f>
        <v>#DIV/0!</v>
      </c>
      <c r="V2160" s="23" t="e">
        <f>1.2*Table1[[#This Row],[X1]] + 1.4*Table1[[#This Row],[X2]] + 3.3*Table1[[#This Row],[x3]] + 0.6*Table1[[#This Row],[x4]] + 1*Table1[[#This Row],[x5]]</f>
        <v>#DIV/0!</v>
      </c>
      <c r="W2160" s="23" t="e">
        <f>IF(Table1[[#This Row],[Zscore]]&lt;1.81,1,0)</f>
        <v>#DIV/0!</v>
      </c>
    </row>
    <row r="2161" spans="1:23" hidden="1" x14ac:dyDescent="0.45">
      <c r="A2161" s="7">
        <v>2155</v>
      </c>
      <c r="B2161" s="5" t="s">
        <v>4320</v>
      </c>
      <c r="C2161" s="6" t="s">
        <v>4321</v>
      </c>
      <c r="D2161" s="6" t="s">
        <v>18</v>
      </c>
      <c r="E2161" s="8">
        <v>449779203400</v>
      </c>
      <c r="F2161" s="8">
        <v>283753375442</v>
      </c>
      <c r="G2161" s="8">
        <v>227678681314</v>
      </c>
      <c r="H2161" s="8">
        <v>38681499794</v>
      </c>
      <c r="I2161" s="8">
        <v>144037595657</v>
      </c>
      <c r="J2161" s="8"/>
      <c r="K2161" s="8">
        <v>241134531166</v>
      </c>
      <c r="L2161" s="8">
        <v>708316947988</v>
      </c>
      <c r="M2161" s="8"/>
      <c r="N2161" s="8"/>
      <c r="O2161" s="8"/>
      <c r="P2161" s="8"/>
      <c r="Q2161" s="18">
        <f>(Table1[[#This Row],[A. TÀI SẢN NGẮN HẠN]]-Table1[[#This Row],[I. Nợ ngắn hạn]])/Table1[[#This Row],[TỔNG CỘNG TÀI SẢN]]</f>
        <v>0.12467160265329422</v>
      </c>
      <c r="R2161" s="18">
        <f>Table1[[#This Row],[- LNST chưa phân phối kỳ này]]/Table1[[#This Row],[TỔNG CỘNG TÀI SẢN]]</f>
        <v>8.6001085647349429E-2</v>
      </c>
      <c r="S2161" s="21">
        <f>Table1[[#This Row],[5. Lợi nhuận gộp về bán hàng và cung cấp dịch vụ]]/Table1[[#This Row],[TỔNG CỘNG TÀI SẢN]]</f>
        <v>0.32024067490933711</v>
      </c>
      <c r="T216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161" s="23">
        <f>Table1[[#This Row],[1. Doanh thu bán hàng và cung cấp dịch vụ ]]/Table1[[#This Row],[TỔNG CỘNG TÀI SẢN]]</f>
        <v>1.5748103572456102</v>
      </c>
      <c r="V2161" s="23" t="e">
        <f>1.2*Table1[[#This Row],[X1]] + 1.4*Table1[[#This Row],[X2]] + 3.3*Table1[[#This Row],[x3]] + 0.6*Table1[[#This Row],[x4]] + 1*Table1[[#This Row],[x5]]</f>
        <v>#DIV/0!</v>
      </c>
      <c r="W2161" s="23" t="e">
        <f>IF(Table1[[#This Row],[Zscore]]&lt;1.81,1,0)</f>
        <v>#DIV/0!</v>
      </c>
    </row>
    <row r="2162" spans="1:23" ht="26.25" hidden="1" x14ac:dyDescent="0.45">
      <c r="A2162" s="7">
        <v>2156</v>
      </c>
      <c r="B2162" s="5" t="s">
        <v>4322</v>
      </c>
      <c r="C2162" s="6" t="s">
        <v>4323</v>
      </c>
      <c r="D2162" s="6" t="s">
        <v>13</v>
      </c>
      <c r="E2162" s="6"/>
      <c r="F2162" s="6"/>
      <c r="G2162" s="6"/>
      <c r="H2162" s="6"/>
      <c r="I2162" s="6"/>
      <c r="J2162" s="8"/>
      <c r="K2162" s="6"/>
      <c r="L2162" s="6"/>
      <c r="M2162" s="8">
        <v>1309047800000</v>
      </c>
      <c r="N2162" s="8"/>
      <c r="O2162" s="8">
        <v>1824083000000</v>
      </c>
      <c r="P2162" s="8">
        <v>354086700000</v>
      </c>
      <c r="Q2162" s="18" t="e">
        <f>(Table1[[#This Row],[A. TÀI SẢN NGẮN HẠN]]-Table1[[#This Row],[I. Nợ ngắn hạn]])/Table1[[#This Row],[TỔNG CỘNG TÀI SẢN]]</f>
        <v>#DIV/0!</v>
      </c>
      <c r="R2162" s="18" t="e">
        <f>Table1[[#This Row],[- LNST chưa phân phối kỳ này]]/Table1[[#This Row],[TỔNG CỘNG TÀI SẢN]]</f>
        <v>#DIV/0!</v>
      </c>
      <c r="S2162" s="21" t="e">
        <f>Table1[[#This Row],[5. Lợi nhuận gộp về bán hàng và cung cấp dịch vụ]]/Table1[[#This Row],[TỔNG CỘNG TÀI SẢN]]</f>
        <v>#DIV/0!</v>
      </c>
      <c r="T216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162" s="23" t="e">
        <f>Table1[[#This Row],[1. Doanh thu bán hàng và cung cấp dịch vụ ]]/Table1[[#This Row],[TỔNG CỘNG TÀI SẢN]]</f>
        <v>#DIV/0!</v>
      </c>
      <c r="V2162" s="23" t="e">
        <f>1.2*Table1[[#This Row],[X1]] + 1.4*Table1[[#This Row],[X2]] + 3.3*Table1[[#This Row],[x3]] + 0.6*Table1[[#This Row],[x4]] + 1*Table1[[#This Row],[x5]]</f>
        <v>#DIV/0!</v>
      </c>
      <c r="W2162" s="23" t="e">
        <f>IF(Table1[[#This Row],[Zscore]]&lt;1.81,1,0)</f>
        <v>#DIV/0!</v>
      </c>
    </row>
    <row r="2163" spans="1:23" x14ac:dyDescent="0.45">
      <c r="A2163" s="7">
        <v>2157</v>
      </c>
      <c r="B2163" s="5" t="s">
        <v>4324</v>
      </c>
      <c r="C2163" s="6" t="s">
        <v>4325</v>
      </c>
      <c r="D2163" s="6" t="s">
        <v>36</v>
      </c>
      <c r="E2163" s="8">
        <v>774803311343</v>
      </c>
      <c r="F2163" s="8">
        <v>84258029779</v>
      </c>
      <c r="G2163" s="8">
        <v>109683343811</v>
      </c>
      <c r="H2163" s="8">
        <v>987551730</v>
      </c>
      <c r="I2163" s="8">
        <v>18100712867</v>
      </c>
      <c r="J2163" s="8"/>
      <c r="K2163" s="8">
        <v>109683343811</v>
      </c>
      <c r="L2163" s="8">
        <v>117275183029</v>
      </c>
      <c r="M2163" s="8">
        <v>151199909000</v>
      </c>
      <c r="N2163" s="8">
        <v>116639929800</v>
      </c>
      <c r="O2163" s="8">
        <v>142559914200</v>
      </c>
      <c r="P2163" s="8">
        <v>129599922000</v>
      </c>
      <c r="Q2163" s="18">
        <f>(Table1[[#This Row],[A. TÀI SẢN NGẮN HẠN]]-Table1[[#This Row],[I. Nợ ngắn hạn]])/Table1[[#This Row],[TỔNG CỘNG TÀI SẢN]]</f>
        <v>-3.2815185040870831E-2</v>
      </c>
      <c r="R2163" s="18">
        <f>Table1[[#This Row],[- LNST chưa phân phối kỳ này]]/Table1[[#This Row],[TỔNG CỘNG TÀI SẢN]]</f>
        <v>1.2745837757046159E-3</v>
      </c>
      <c r="S2163" s="21">
        <f>Table1[[#This Row],[5. Lợi nhuận gộp về bán hàng và cung cấp dịch vụ]]/Table1[[#This Row],[TỔNG CỘNG TÀI SẢN]]</f>
        <v>2.3361687543158861E-2</v>
      </c>
      <c r="T216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1.2308151270681906</v>
      </c>
      <c r="U2163" s="23">
        <f>Table1[[#This Row],[1. Doanh thu bán hàng và cung cấp dịch vụ ]]/Table1[[#This Row],[TỔNG CỘNG TÀI SẢN]]</f>
        <v>0.15136123105323579</v>
      </c>
      <c r="V2163" s="23">
        <f>1.2*Table1[[#This Row],[X1]] + 1.4*Table1[[#This Row],[X2]] + 3.3*Table1[[#This Row],[x3]] + 0.6*Table1[[#This Row],[x4]] + 1*Table1[[#This Row],[x5]]</f>
        <v>0.92935007142351589</v>
      </c>
      <c r="W2163" s="23">
        <f>IF(Table1[[#This Row],[Zscore]]&lt;1.81,1,0)</f>
        <v>1</v>
      </c>
    </row>
    <row r="2164" spans="1:23" hidden="1" x14ac:dyDescent="0.45">
      <c r="A2164" s="7">
        <v>2158</v>
      </c>
      <c r="B2164" s="5" t="s">
        <v>4326</v>
      </c>
      <c r="C2164" s="6" t="s">
        <v>4327</v>
      </c>
      <c r="D2164" s="6" t="s">
        <v>18</v>
      </c>
      <c r="E2164" s="6"/>
      <c r="F2164" s="6"/>
      <c r="G2164" s="6"/>
      <c r="H2164" s="6"/>
      <c r="I2164" s="6"/>
      <c r="J2164" s="8"/>
      <c r="K2164" s="6"/>
      <c r="L2164" s="6"/>
      <c r="M2164" s="8"/>
      <c r="N2164" s="8"/>
      <c r="O2164" s="8"/>
      <c r="P2164" s="8"/>
      <c r="Q2164" s="18" t="e">
        <f>(Table1[[#This Row],[A. TÀI SẢN NGẮN HẠN]]-Table1[[#This Row],[I. Nợ ngắn hạn]])/Table1[[#This Row],[TỔNG CỘNG TÀI SẢN]]</f>
        <v>#DIV/0!</v>
      </c>
      <c r="R2164" s="18" t="e">
        <f>Table1[[#This Row],[- LNST chưa phân phối kỳ này]]/Table1[[#This Row],[TỔNG CỘNG TÀI SẢN]]</f>
        <v>#DIV/0!</v>
      </c>
      <c r="S2164" s="21" t="e">
        <f>Table1[[#This Row],[5. Lợi nhuận gộp về bán hàng và cung cấp dịch vụ]]/Table1[[#This Row],[TỔNG CỘNG TÀI SẢN]]</f>
        <v>#DIV/0!</v>
      </c>
      <c r="T216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164" s="23" t="e">
        <f>Table1[[#This Row],[1. Doanh thu bán hàng và cung cấp dịch vụ ]]/Table1[[#This Row],[TỔNG CỘNG TÀI SẢN]]</f>
        <v>#DIV/0!</v>
      </c>
      <c r="V2164" s="23" t="e">
        <f>1.2*Table1[[#This Row],[X1]] + 1.4*Table1[[#This Row],[X2]] + 3.3*Table1[[#This Row],[x3]] + 0.6*Table1[[#This Row],[x4]] + 1*Table1[[#This Row],[x5]]</f>
        <v>#DIV/0!</v>
      </c>
      <c r="W2164" s="23" t="e">
        <f>IF(Table1[[#This Row],[Zscore]]&lt;1.81,1,0)</f>
        <v>#DIV/0!</v>
      </c>
    </row>
    <row r="2165" spans="1:23" x14ac:dyDescent="0.45">
      <c r="A2165" s="7">
        <v>2159</v>
      </c>
      <c r="B2165" s="5" t="s">
        <v>4328</v>
      </c>
      <c r="C2165" s="6" t="s">
        <v>4329</v>
      </c>
      <c r="D2165" s="6" t="s">
        <v>21</v>
      </c>
      <c r="E2165" s="8">
        <v>1341382127260</v>
      </c>
      <c r="F2165" s="8">
        <v>775180694485</v>
      </c>
      <c r="G2165" s="8">
        <v>620836712221</v>
      </c>
      <c r="H2165" s="8">
        <v>24619338188</v>
      </c>
      <c r="I2165" s="8">
        <v>143893105113</v>
      </c>
      <c r="J2165" s="8"/>
      <c r="K2165" s="8">
        <v>774011203102</v>
      </c>
      <c r="L2165" s="8">
        <v>1490284526110</v>
      </c>
      <c r="M2165" s="8">
        <v>707196873600</v>
      </c>
      <c r="N2165" s="8">
        <v>1450876125600</v>
      </c>
      <c r="O2165" s="8">
        <v>729647568000</v>
      </c>
      <c r="P2165" s="8">
        <v>1487358504000</v>
      </c>
      <c r="Q2165" s="18">
        <f>(Table1[[#This Row],[A. TÀI SẢN NGẮN HẠN]]-Table1[[#This Row],[I. Nợ ngắn hạn]])/Table1[[#This Row],[TỔNG CỘNG TÀI SẢN]]</f>
        <v>0.11506339552866543</v>
      </c>
      <c r="R2165" s="18">
        <f>Table1[[#This Row],[- LNST chưa phân phối kỳ này]]/Table1[[#This Row],[TỔNG CỘNG TÀI SẢN]]</f>
        <v>1.8353709720502362E-2</v>
      </c>
      <c r="S2165" s="21">
        <f>Table1[[#This Row],[5. Lợi nhuận gộp về bán hàng và cung cấp dịch vụ]]/Table1[[#This Row],[TỔNG CỘNG TÀI SẢN]]</f>
        <v>0.1072722695410636</v>
      </c>
      <c r="T216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1.4131187809898689</v>
      </c>
      <c r="U2165" s="23">
        <f>Table1[[#This Row],[1. Doanh thu bán hàng và cung cấp dịch vụ ]]/Table1[[#This Row],[TỔNG CỘNG TÀI SẢN]]</f>
        <v>1.1110066966183294</v>
      </c>
      <c r="V2165" s="23">
        <f>1.2*Table1[[#This Row],[X1]] + 1.4*Table1[[#This Row],[X2]] + 3.3*Table1[[#This Row],[x3]] + 0.6*Table1[[#This Row],[x4]] + 1*Table1[[#This Row],[x5]]</f>
        <v>2.4766477229408626</v>
      </c>
      <c r="W2165" s="23">
        <f>IF(Table1[[#This Row],[Zscore]]&lt;1.81,1,0)</f>
        <v>0</v>
      </c>
    </row>
    <row r="2166" spans="1:23" x14ac:dyDescent="0.45">
      <c r="A2166" s="7">
        <v>2160</v>
      </c>
      <c r="B2166" s="5" t="s">
        <v>4330</v>
      </c>
      <c r="C2166" s="6" t="s">
        <v>4331</v>
      </c>
      <c r="D2166" s="6" t="s">
        <v>21</v>
      </c>
      <c r="E2166" s="8">
        <v>1838954716909</v>
      </c>
      <c r="F2166" s="8">
        <v>1330360860375</v>
      </c>
      <c r="G2166" s="8">
        <v>1328581461947</v>
      </c>
      <c r="H2166" s="8">
        <v>17633245625</v>
      </c>
      <c r="I2166" s="8">
        <v>38834398423</v>
      </c>
      <c r="J2166" s="8"/>
      <c r="K2166" s="8">
        <v>1366547517570</v>
      </c>
      <c r="L2166" s="8">
        <v>1229522376492</v>
      </c>
      <c r="M2166" s="8">
        <v>337192064400</v>
      </c>
      <c r="N2166" s="8">
        <v>284484687600</v>
      </c>
      <c r="O2166" s="8">
        <v>294620721600</v>
      </c>
      <c r="P2166" s="8">
        <v>276713728200</v>
      </c>
      <c r="Q2166" s="18">
        <f>(Table1[[#This Row],[A. TÀI SẢN NGẮN HẠN]]-Table1[[#This Row],[I. Nợ ngắn hạn]])/Table1[[#This Row],[TỔNG CỘNG TÀI SẢN]]</f>
        <v>9.6761405359175733E-4</v>
      </c>
      <c r="R2166" s="18">
        <f>Table1[[#This Row],[- LNST chưa phân phối kỳ này]]/Table1[[#This Row],[TỔNG CỘNG TÀI SẢN]]</f>
        <v>9.5887329159680314E-3</v>
      </c>
      <c r="S2166" s="21">
        <f>Table1[[#This Row],[5. Lợi nhuận gộp về bán hàng và cung cấp dịch vụ]]/Table1[[#This Row],[TỔNG CỘNG TÀI SẢN]]</f>
        <v>2.1117648012711619E-2</v>
      </c>
      <c r="T216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0.21825278419908462</v>
      </c>
      <c r="U2166" s="23">
        <f>Table1[[#This Row],[1. Doanh thu bán hàng và cung cấp dịch vụ ]]/Table1[[#This Row],[TỔNG CỘNG TÀI SẢN]]</f>
        <v>0.66859850608971927</v>
      </c>
      <c r="V2166" s="23">
        <f>1.2*Table1[[#This Row],[X1]] + 1.4*Table1[[#This Row],[X2]] + 3.3*Table1[[#This Row],[x3]] + 0.6*Table1[[#This Row],[x4]] + 1*Table1[[#This Row],[x5]]</f>
        <v>0.88382377799778378</v>
      </c>
      <c r="W2166" s="23">
        <f>IF(Table1[[#This Row],[Zscore]]&lt;1.81,1,0)</f>
        <v>1</v>
      </c>
    </row>
    <row r="2167" spans="1:23" x14ac:dyDescent="0.45">
      <c r="A2167" s="7">
        <v>2161</v>
      </c>
      <c r="B2167" s="5" t="s">
        <v>4332</v>
      </c>
      <c r="C2167" s="6" t="s">
        <v>4333</v>
      </c>
      <c r="D2167" s="6" t="s">
        <v>21</v>
      </c>
      <c r="E2167" s="8">
        <v>396443131000000</v>
      </c>
      <c r="F2167" s="6"/>
      <c r="G2167" s="6"/>
      <c r="H2167" s="6"/>
      <c r="I2167" s="6"/>
      <c r="J2167" s="8"/>
      <c r="K2167" s="8">
        <v>356070537000000</v>
      </c>
      <c r="L2167" s="8">
        <v>24569893000000</v>
      </c>
      <c r="M2167" s="8">
        <v>55619750000000</v>
      </c>
      <c r="N2167" s="8">
        <v>49645250000000</v>
      </c>
      <c r="O2167" s="8">
        <v>51636750000000</v>
      </c>
      <c r="P2167" s="8">
        <v>54908500000000</v>
      </c>
      <c r="Q2167" s="18">
        <f>(Table1[[#This Row],[A. TÀI SẢN NGẮN HẠN]]-Table1[[#This Row],[I. Nợ ngắn hạn]])/Table1[[#This Row],[TỔNG CỘNG TÀI SẢN]]</f>
        <v>0</v>
      </c>
      <c r="R2167" s="18">
        <f>Table1[[#This Row],[- LNST chưa phân phối kỳ này]]/Table1[[#This Row],[TỔNG CỘNG TÀI SẢN]]</f>
        <v>0</v>
      </c>
      <c r="S2167" s="21">
        <f>Table1[[#This Row],[5. Lợi nhuận gộp về bán hàng và cung cấp dịch vụ]]/Table1[[#This Row],[TỔNG CỘNG TÀI SẢN]]</f>
        <v>0</v>
      </c>
      <c r="T216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0.14871368731078136</v>
      </c>
      <c r="U2167" s="23">
        <f>Table1[[#This Row],[1. Doanh thu bán hàng và cung cấp dịch vụ ]]/Table1[[#This Row],[TỔNG CỘNG TÀI SẢN]]</f>
        <v>6.1975832291567688E-2</v>
      </c>
      <c r="V2167" s="23">
        <f>1.2*Table1[[#This Row],[X1]] + 1.4*Table1[[#This Row],[X2]] + 3.3*Table1[[#This Row],[x3]] + 0.6*Table1[[#This Row],[x4]] + 1*Table1[[#This Row],[x5]]</f>
        <v>0.1512040446780365</v>
      </c>
      <c r="W2167" s="23">
        <f>IF(Table1[[#This Row],[Zscore]]&lt;1.81,1,0)</f>
        <v>1</v>
      </c>
    </row>
    <row r="2168" spans="1:23" x14ac:dyDescent="0.45">
      <c r="A2168" s="7">
        <v>2162</v>
      </c>
      <c r="B2168" s="5" t="s">
        <v>4334</v>
      </c>
      <c r="C2168" s="6" t="s">
        <v>4335</v>
      </c>
      <c r="D2168" s="6" t="s">
        <v>21</v>
      </c>
      <c r="E2168" s="8">
        <v>516654054121</v>
      </c>
      <c r="F2168" s="8">
        <v>319290350880</v>
      </c>
      <c r="G2168" s="8">
        <v>137115553129</v>
      </c>
      <c r="H2168" s="8">
        <v>25796025615</v>
      </c>
      <c r="I2168" s="8">
        <v>87429859239</v>
      </c>
      <c r="J2168" s="8"/>
      <c r="K2168" s="8">
        <v>137115553129</v>
      </c>
      <c r="L2168" s="8">
        <v>315062932986</v>
      </c>
      <c r="M2168" s="8">
        <v>464512475000</v>
      </c>
      <c r="N2168" s="8">
        <v>410761745750</v>
      </c>
      <c r="O2168" s="8">
        <v>461858118000</v>
      </c>
      <c r="P2168" s="8">
        <v>453895047000</v>
      </c>
      <c r="Q2168" s="18">
        <f>(Table1[[#This Row],[A. TÀI SẢN NGẮN HẠN]]-Table1[[#This Row],[I. Nợ ngắn hạn]])/Table1[[#This Row],[TỔNG CỘNG TÀI SẢN]]</f>
        <v>0.35260499031782455</v>
      </c>
      <c r="R2168" s="18">
        <f>Table1[[#This Row],[- LNST chưa phân phối kỳ này]]/Table1[[#This Row],[TỔNG CỘNG TÀI SẢN]]</f>
        <v>4.9929010348883453E-2</v>
      </c>
      <c r="S2168" s="21">
        <f>Table1[[#This Row],[5. Lợi nhuận gộp về bán hàng và cung cấp dịch vụ]]/Table1[[#This Row],[TỔNG CỘNG TÀI SẢN]]</f>
        <v>0.16922321337001256</v>
      </c>
      <c r="T216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3.2655438148307279</v>
      </c>
      <c r="U2168" s="23">
        <f>Table1[[#This Row],[1. Doanh thu bán hàng và cung cấp dịch vụ ]]/Table1[[#This Row],[TỔNG CỘNG TÀI SẢN]]</f>
        <v>0.60981411153741283</v>
      </c>
      <c r="V2168" s="23">
        <f>1.2*Table1[[#This Row],[X1]] + 1.4*Table1[[#This Row],[X2]] + 3.3*Table1[[#This Row],[x3]] + 0.6*Table1[[#This Row],[x4]] + 1*Table1[[#This Row],[x5]]</f>
        <v>3.6206036074267169</v>
      </c>
      <c r="W2168" s="23">
        <f>IF(Table1[[#This Row],[Zscore]]&lt;1.81,1,0)</f>
        <v>0</v>
      </c>
    </row>
    <row r="2169" spans="1:23" hidden="1" x14ac:dyDescent="0.45">
      <c r="A2169" s="7">
        <v>2163</v>
      </c>
      <c r="B2169" s="5" t="s">
        <v>4336</v>
      </c>
      <c r="C2169" s="6" t="s">
        <v>4337</v>
      </c>
      <c r="D2169" s="6" t="s">
        <v>18</v>
      </c>
      <c r="E2169" s="6"/>
      <c r="F2169" s="6"/>
      <c r="G2169" s="6"/>
      <c r="H2169" s="6"/>
      <c r="I2169" s="6"/>
      <c r="J2169" s="8"/>
      <c r="K2169" s="6"/>
      <c r="L2169" s="6"/>
      <c r="M2169" s="8"/>
      <c r="N2169" s="8"/>
      <c r="O2169" s="8"/>
      <c r="P2169" s="8"/>
      <c r="Q2169" s="18" t="e">
        <f>(Table1[[#This Row],[A. TÀI SẢN NGẮN HẠN]]-Table1[[#This Row],[I. Nợ ngắn hạn]])/Table1[[#This Row],[TỔNG CỘNG TÀI SẢN]]</f>
        <v>#DIV/0!</v>
      </c>
      <c r="R2169" s="18" t="e">
        <f>Table1[[#This Row],[- LNST chưa phân phối kỳ này]]/Table1[[#This Row],[TỔNG CỘNG TÀI SẢN]]</f>
        <v>#DIV/0!</v>
      </c>
      <c r="S2169" s="21" t="e">
        <f>Table1[[#This Row],[5. Lợi nhuận gộp về bán hàng và cung cấp dịch vụ]]/Table1[[#This Row],[TỔNG CỘNG TÀI SẢN]]</f>
        <v>#DIV/0!</v>
      </c>
      <c r="T216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169" s="23" t="e">
        <f>Table1[[#This Row],[1. Doanh thu bán hàng và cung cấp dịch vụ ]]/Table1[[#This Row],[TỔNG CỘNG TÀI SẢN]]</f>
        <v>#DIV/0!</v>
      </c>
      <c r="V2169" s="23" t="e">
        <f>1.2*Table1[[#This Row],[X1]] + 1.4*Table1[[#This Row],[X2]] + 3.3*Table1[[#This Row],[x3]] + 0.6*Table1[[#This Row],[x4]] + 1*Table1[[#This Row],[x5]]</f>
        <v>#DIV/0!</v>
      </c>
      <c r="W2169" s="23" t="e">
        <f>IF(Table1[[#This Row],[Zscore]]&lt;1.81,1,0)</f>
        <v>#DIV/0!</v>
      </c>
    </row>
    <row r="2170" spans="1:23" hidden="1" x14ac:dyDescent="0.45">
      <c r="A2170" s="7">
        <v>2164</v>
      </c>
      <c r="B2170" s="5" t="s">
        <v>4338</v>
      </c>
      <c r="C2170" s="6" t="s">
        <v>4339</v>
      </c>
      <c r="D2170" s="6" t="s">
        <v>18</v>
      </c>
      <c r="E2170" s="6"/>
      <c r="F2170" s="6"/>
      <c r="G2170" s="6"/>
      <c r="H2170" s="6"/>
      <c r="I2170" s="6"/>
      <c r="J2170" s="8"/>
      <c r="K2170" s="6"/>
      <c r="L2170" s="6"/>
      <c r="M2170" s="8"/>
      <c r="N2170" s="8"/>
      <c r="O2170" s="8"/>
      <c r="P2170" s="8"/>
      <c r="Q2170" s="18" t="e">
        <f>(Table1[[#This Row],[A. TÀI SẢN NGẮN HẠN]]-Table1[[#This Row],[I. Nợ ngắn hạn]])/Table1[[#This Row],[TỔNG CỘNG TÀI SẢN]]</f>
        <v>#DIV/0!</v>
      </c>
      <c r="R2170" s="18" t="e">
        <f>Table1[[#This Row],[- LNST chưa phân phối kỳ này]]/Table1[[#This Row],[TỔNG CỘNG TÀI SẢN]]</f>
        <v>#DIV/0!</v>
      </c>
      <c r="S2170" s="21" t="e">
        <f>Table1[[#This Row],[5. Lợi nhuận gộp về bán hàng và cung cấp dịch vụ]]/Table1[[#This Row],[TỔNG CỘNG TÀI SẢN]]</f>
        <v>#DIV/0!</v>
      </c>
      <c r="T217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170" s="23" t="e">
        <f>Table1[[#This Row],[1. Doanh thu bán hàng và cung cấp dịch vụ ]]/Table1[[#This Row],[TỔNG CỘNG TÀI SẢN]]</f>
        <v>#DIV/0!</v>
      </c>
      <c r="V2170" s="23" t="e">
        <f>1.2*Table1[[#This Row],[X1]] + 1.4*Table1[[#This Row],[X2]] + 3.3*Table1[[#This Row],[x3]] + 0.6*Table1[[#This Row],[x4]] + 1*Table1[[#This Row],[x5]]</f>
        <v>#DIV/0!</v>
      </c>
      <c r="W2170" s="23" t="e">
        <f>IF(Table1[[#This Row],[Zscore]]&lt;1.81,1,0)</f>
        <v>#DIV/0!</v>
      </c>
    </row>
    <row r="2171" spans="1:23" hidden="1" x14ac:dyDescent="0.45">
      <c r="A2171" s="7">
        <v>2165</v>
      </c>
      <c r="B2171" s="5" t="s">
        <v>4340</v>
      </c>
      <c r="C2171" s="6" t="s">
        <v>4341</v>
      </c>
      <c r="D2171" s="6" t="s">
        <v>13</v>
      </c>
      <c r="E2171" s="6"/>
      <c r="F2171" s="6"/>
      <c r="G2171" s="6"/>
      <c r="H2171" s="6"/>
      <c r="I2171" s="6"/>
      <c r="J2171" s="8"/>
      <c r="K2171" s="6"/>
      <c r="L2171" s="6"/>
      <c r="M2171" s="8"/>
      <c r="N2171" s="8"/>
      <c r="O2171" s="8"/>
      <c r="P2171" s="8"/>
      <c r="Q2171" s="18" t="e">
        <f>(Table1[[#This Row],[A. TÀI SẢN NGẮN HẠN]]-Table1[[#This Row],[I. Nợ ngắn hạn]])/Table1[[#This Row],[TỔNG CỘNG TÀI SẢN]]</f>
        <v>#DIV/0!</v>
      </c>
      <c r="R2171" s="18" t="e">
        <f>Table1[[#This Row],[- LNST chưa phân phối kỳ này]]/Table1[[#This Row],[TỔNG CỘNG TÀI SẢN]]</f>
        <v>#DIV/0!</v>
      </c>
      <c r="S2171" s="21" t="e">
        <f>Table1[[#This Row],[5. Lợi nhuận gộp về bán hàng và cung cấp dịch vụ]]/Table1[[#This Row],[TỔNG CỘNG TÀI SẢN]]</f>
        <v>#DIV/0!</v>
      </c>
      <c r="T217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171" s="23" t="e">
        <f>Table1[[#This Row],[1. Doanh thu bán hàng và cung cấp dịch vụ ]]/Table1[[#This Row],[TỔNG CỘNG TÀI SẢN]]</f>
        <v>#DIV/0!</v>
      </c>
      <c r="V2171" s="23" t="e">
        <f>1.2*Table1[[#This Row],[X1]] + 1.4*Table1[[#This Row],[X2]] + 3.3*Table1[[#This Row],[x3]] + 0.6*Table1[[#This Row],[x4]] + 1*Table1[[#This Row],[x5]]</f>
        <v>#DIV/0!</v>
      </c>
      <c r="W2171" s="23" t="e">
        <f>IF(Table1[[#This Row],[Zscore]]&lt;1.81,1,0)</f>
        <v>#DIV/0!</v>
      </c>
    </row>
    <row r="2172" spans="1:23" x14ac:dyDescent="0.45">
      <c r="A2172" s="7">
        <v>2166</v>
      </c>
      <c r="B2172" s="5" t="s">
        <v>4342</v>
      </c>
      <c r="C2172" s="6" t="s">
        <v>4343</v>
      </c>
      <c r="D2172" s="6" t="s">
        <v>18</v>
      </c>
      <c r="E2172" s="8">
        <v>12105486840952</v>
      </c>
      <c r="F2172" s="8">
        <v>8162934933393</v>
      </c>
      <c r="G2172" s="8">
        <v>3330738884108</v>
      </c>
      <c r="H2172" s="8">
        <v>-410746963983</v>
      </c>
      <c r="I2172" s="8">
        <v>273981188511</v>
      </c>
      <c r="J2172" s="8"/>
      <c r="K2172" s="8">
        <v>6009378829842</v>
      </c>
      <c r="L2172" s="8">
        <v>599172616330</v>
      </c>
      <c r="M2172" s="8">
        <v>34800000000000</v>
      </c>
      <c r="N2172" s="8">
        <v>29175000000000</v>
      </c>
      <c r="O2172" s="8">
        <v>33487500000000</v>
      </c>
      <c r="P2172" s="8">
        <v>33600000000000</v>
      </c>
      <c r="Q2172" s="18">
        <f>(Table1[[#This Row],[A. TÀI SẢN NGẮN HẠN]]-Table1[[#This Row],[I. Nợ ngắn hạn]])/Table1[[#This Row],[TỔNG CỘNG TÀI SẢN]]</f>
        <v>0.39917403676306723</v>
      </c>
      <c r="R2172" s="18">
        <f>Table1[[#This Row],[- LNST chưa phân phối kỳ này]]/Table1[[#This Row],[TỔNG CỘNG TÀI SẢN]]</f>
        <v>-3.3930643961668047E-2</v>
      </c>
      <c r="S2172" s="21">
        <f>Table1[[#This Row],[5. Lợi nhuận gộp về bán hàng và cung cấp dịch vụ]]/Table1[[#This Row],[TỔNG CỘNG TÀI SẢN]]</f>
        <v>2.263281040330746E-2</v>
      </c>
      <c r="T217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5.4524146218389564</v>
      </c>
      <c r="U2172" s="23">
        <f>Table1[[#This Row],[1. Doanh thu bán hàng và cung cấp dịch vụ ]]/Table1[[#This Row],[TỔNG CỘNG TÀI SẢN]]</f>
        <v>4.9495953711092534E-2</v>
      </c>
      <c r="V2172" s="23">
        <f>1.2*Table1[[#This Row],[X1]] + 1.4*Table1[[#This Row],[X2]] + 3.3*Table1[[#This Row],[x3]] + 0.6*Table1[[#This Row],[x4]] + 1*Table1[[#This Row],[x5]]</f>
        <v>3.8271389437147265</v>
      </c>
      <c r="W2172" s="23">
        <f>IF(Table1[[#This Row],[Zscore]]&lt;1.81,1,0)</f>
        <v>0</v>
      </c>
    </row>
    <row r="2173" spans="1:23" x14ac:dyDescent="0.45">
      <c r="A2173" s="7">
        <v>2167</v>
      </c>
      <c r="B2173" s="5" t="s">
        <v>4344</v>
      </c>
      <c r="C2173" s="6" t="s">
        <v>4345</v>
      </c>
      <c r="D2173" s="6" t="s">
        <v>21</v>
      </c>
      <c r="E2173" s="8">
        <v>94049979396183</v>
      </c>
      <c r="F2173" s="8">
        <v>89322786682359</v>
      </c>
      <c r="G2173" s="8">
        <v>61901661181462</v>
      </c>
      <c r="H2173" s="8">
        <v>-75542468149</v>
      </c>
      <c r="I2173" s="8">
        <v>7823566964232</v>
      </c>
      <c r="J2173" s="8"/>
      <c r="K2173" s="8">
        <v>61983660935421</v>
      </c>
      <c r="L2173" s="8">
        <v>12930736690184</v>
      </c>
      <c r="M2173" s="8">
        <v>51008683700000</v>
      </c>
      <c r="N2173" s="8">
        <v>62796422518500</v>
      </c>
      <c r="O2173" s="8">
        <v>48458249515000</v>
      </c>
      <c r="P2173" s="8">
        <v>80026515308700</v>
      </c>
      <c r="Q2173" s="18">
        <f>(Table1[[#This Row],[A. TÀI SẢN NGẮN HẠN]]-Table1[[#This Row],[I. Nợ ngắn hạn]])/Table1[[#This Row],[TỔNG CỘNG TÀI SẢN]]</f>
        <v>0.29155908036285949</v>
      </c>
      <c r="R2173" s="18">
        <f>Table1[[#This Row],[- LNST chưa phân phối kỳ này]]/Table1[[#This Row],[TỔNG CỘNG TÀI SẢN]]</f>
        <v>-8.0321621157171538E-4</v>
      </c>
      <c r="S2173" s="21">
        <f>Table1[[#This Row],[5. Lợi nhuận gộp về bán hàng và cung cấp dịch vụ]]/Table1[[#This Row],[TỔNG CỘNG TÀI SẢN]]</f>
        <v>8.3185206572724865E-2</v>
      </c>
      <c r="T217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0.97723281985003629</v>
      </c>
      <c r="U2173" s="23">
        <f>Table1[[#This Row],[1. Doanh thu bán hàng và cung cấp dịch vụ ]]/Table1[[#This Row],[TỔNG CỘNG TÀI SẢN]]</f>
        <v>0.13748792687889511</v>
      </c>
      <c r="V2173" s="23">
        <f>1.2*Table1[[#This Row],[X1]] + 1.4*Table1[[#This Row],[X2]] + 3.3*Table1[[#This Row],[x3]] + 0.6*Table1[[#This Row],[x4]] + 1*Table1[[#This Row],[x5]]</f>
        <v>1.3470851942181401</v>
      </c>
      <c r="W2173" s="23">
        <f>IF(Table1[[#This Row],[Zscore]]&lt;1.81,1,0)</f>
        <v>1</v>
      </c>
    </row>
    <row r="2174" spans="1:23" hidden="1" x14ac:dyDescent="0.45">
      <c r="A2174" s="7">
        <v>2168</v>
      </c>
      <c r="B2174" s="5" t="s">
        <v>4346</v>
      </c>
      <c r="C2174" s="6" t="s">
        <v>4347</v>
      </c>
      <c r="D2174" s="6" t="s">
        <v>13</v>
      </c>
      <c r="E2174" s="6"/>
      <c r="F2174" s="6"/>
      <c r="G2174" s="6"/>
      <c r="H2174" s="6"/>
      <c r="I2174" s="6"/>
      <c r="J2174" s="8"/>
      <c r="K2174" s="6"/>
      <c r="L2174" s="6"/>
      <c r="M2174" s="8"/>
      <c r="N2174" s="8"/>
      <c r="O2174" s="8"/>
      <c r="P2174" s="8"/>
      <c r="Q2174" s="18" t="e">
        <f>(Table1[[#This Row],[A. TÀI SẢN NGẮN HẠN]]-Table1[[#This Row],[I. Nợ ngắn hạn]])/Table1[[#This Row],[TỔNG CỘNG TÀI SẢN]]</f>
        <v>#DIV/0!</v>
      </c>
      <c r="R2174" s="18" t="e">
        <f>Table1[[#This Row],[- LNST chưa phân phối kỳ này]]/Table1[[#This Row],[TỔNG CỘNG TÀI SẢN]]</f>
        <v>#DIV/0!</v>
      </c>
      <c r="S2174" s="21" t="e">
        <f>Table1[[#This Row],[5. Lợi nhuận gộp về bán hàng và cung cấp dịch vụ]]/Table1[[#This Row],[TỔNG CỘNG TÀI SẢN]]</f>
        <v>#DIV/0!</v>
      </c>
      <c r="T217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174" s="23" t="e">
        <f>Table1[[#This Row],[1. Doanh thu bán hàng và cung cấp dịch vụ ]]/Table1[[#This Row],[TỔNG CỘNG TÀI SẢN]]</f>
        <v>#DIV/0!</v>
      </c>
      <c r="V2174" s="23" t="e">
        <f>1.2*Table1[[#This Row],[X1]] + 1.4*Table1[[#This Row],[X2]] + 3.3*Table1[[#This Row],[x3]] + 0.6*Table1[[#This Row],[x4]] + 1*Table1[[#This Row],[x5]]</f>
        <v>#DIV/0!</v>
      </c>
      <c r="W2174" s="23" t="e">
        <f>IF(Table1[[#This Row],[Zscore]]&lt;1.81,1,0)</f>
        <v>#DIV/0!</v>
      </c>
    </row>
    <row r="2175" spans="1:23" ht="26.25" hidden="1" x14ac:dyDescent="0.45">
      <c r="A2175" s="7">
        <v>2169</v>
      </c>
      <c r="B2175" s="5" t="s">
        <v>4348</v>
      </c>
      <c r="C2175" s="6" t="s">
        <v>4349</v>
      </c>
      <c r="D2175" s="6" t="s">
        <v>13</v>
      </c>
      <c r="E2175" s="6"/>
      <c r="F2175" s="6"/>
      <c r="G2175" s="6"/>
      <c r="H2175" s="6"/>
      <c r="I2175" s="6"/>
      <c r="J2175" s="8"/>
      <c r="K2175" s="6"/>
      <c r="L2175" s="6"/>
      <c r="M2175" s="8"/>
      <c r="N2175" s="8"/>
      <c r="O2175" s="8"/>
      <c r="P2175" s="8"/>
      <c r="Q2175" s="18" t="e">
        <f>(Table1[[#This Row],[A. TÀI SẢN NGẮN HẠN]]-Table1[[#This Row],[I. Nợ ngắn hạn]])/Table1[[#This Row],[TỔNG CỘNG TÀI SẢN]]</f>
        <v>#DIV/0!</v>
      </c>
      <c r="R2175" s="18" t="e">
        <f>Table1[[#This Row],[- LNST chưa phân phối kỳ này]]/Table1[[#This Row],[TỔNG CỘNG TÀI SẢN]]</f>
        <v>#DIV/0!</v>
      </c>
      <c r="S2175" s="21" t="e">
        <f>Table1[[#This Row],[5. Lợi nhuận gộp về bán hàng và cung cấp dịch vụ]]/Table1[[#This Row],[TỔNG CỘNG TÀI SẢN]]</f>
        <v>#DIV/0!</v>
      </c>
      <c r="T217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175" s="23" t="e">
        <f>Table1[[#This Row],[1. Doanh thu bán hàng và cung cấp dịch vụ ]]/Table1[[#This Row],[TỔNG CỘNG TÀI SẢN]]</f>
        <v>#DIV/0!</v>
      </c>
      <c r="V2175" s="23" t="e">
        <f>1.2*Table1[[#This Row],[X1]] + 1.4*Table1[[#This Row],[X2]] + 3.3*Table1[[#This Row],[x3]] + 0.6*Table1[[#This Row],[x4]] + 1*Table1[[#This Row],[x5]]</f>
        <v>#DIV/0!</v>
      </c>
      <c r="W2175" s="23" t="e">
        <f>IF(Table1[[#This Row],[Zscore]]&lt;1.81,1,0)</f>
        <v>#DIV/0!</v>
      </c>
    </row>
    <row r="2176" spans="1:23" ht="26.25" x14ac:dyDescent="0.45">
      <c r="A2176" s="7">
        <v>2170</v>
      </c>
      <c r="B2176" s="5" t="s">
        <v>4350</v>
      </c>
      <c r="C2176" s="6" t="s">
        <v>4351</v>
      </c>
      <c r="D2176" s="6" t="s">
        <v>36</v>
      </c>
      <c r="E2176" s="8">
        <v>108394832951</v>
      </c>
      <c r="F2176" s="8">
        <v>83647917862</v>
      </c>
      <c r="G2176" s="8">
        <v>53718943790</v>
      </c>
      <c r="H2176" s="8">
        <v>-9483506021</v>
      </c>
      <c r="I2176" s="8">
        <v>6964611897</v>
      </c>
      <c r="J2176" s="8"/>
      <c r="K2176" s="8">
        <v>53718943790</v>
      </c>
      <c r="L2176" s="8">
        <v>223048031214</v>
      </c>
      <c r="M2176" s="8">
        <v>27211123500</v>
      </c>
      <c r="N2176" s="8">
        <v>27211123500</v>
      </c>
      <c r="O2176" s="8">
        <v>27211123500</v>
      </c>
      <c r="P2176" s="8">
        <v>27705871200</v>
      </c>
      <c r="Q2176" s="18">
        <f>(Table1[[#This Row],[A. TÀI SẢN NGẮN HẠN]]-Table1[[#This Row],[I. Nợ ngắn hạn]])/Table1[[#This Row],[TỔNG CỘNG TÀI SẢN]]</f>
        <v>0.27611070802175069</v>
      </c>
      <c r="R2176" s="18">
        <f>Table1[[#This Row],[- LNST chưa phân phối kỳ này]]/Table1[[#This Row],[TỔNG CỘNG TÀI SẢN]]</f>
        <v>-8.7490388266819222E-2</v>
      </c>
      <c r="S2176" s="21">
        <f>Table1[[#This Row],[5. Lợi nhuận gộp về bán hàng và cung cấp dịch vụ]]/Table1[[#This Row],[TỔNG CỘNG TÀI SẢN]]</f>
        <v>6.4252249921805407E-2</v>
      </c>
      <c r="T217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0.50884862017872523</v>
      </c>
      <c r="U2176" s="23">
        <f>Table1[[#This Row],[1. Doanh thu bán hàng và cung cấp dịch vụ ]]/Table1[[#This Row],[TỔNG CỘNG TÀI SẢN]]</f>
        <v>2.0577367494521543</v>
      </c>
      <c r="V2176" s="23">
        <f>1.2*Table1[[#This Row],[X1]] + 1.4*Table1[[#This Row],[X2]] + 3.3*Table1[[#This Row],[x3]] + 0.6*Table1[[#This Row],[x4]] + 1*Table1[[#This Row],[x5]]</f>
        <v>2.7839246523539014</v>
      </c>
      <c r="W2176" s="23">
        <f>IF(Table1[[#This Row],[Zscore]]&lt;1.81,1,0)</f>
        <v>0</v>
      </c>
    </row>
    <row r="2177" spans="1:23" ht="26.25" hidden="1" x14ac:dyDescent="0.45">
      <c r="A2177" s="7">
        <v>2171</v>
      </c>
      <c r="B2177" s="5" t="s">
        <v>4352</v>
      </c>
      <c r="C2177" s="6" t="s">
        <v>4353</v>
      </c>
      <c r="D2177" s="6" t="s">
        <v>18</v>
      </c>
      <c r="E2177" s="6"/>
      <c r="F2177" s="6"/>
      <c r="G2177" s="6"/>
      <c r="H2177" s="6"/>
      <c r="I2177" s="6"/>
      <c r="J2177" s="8"/>
      <c r="K2177" s="6"/>
      <c r="L2177" s="6"/>
      <c r="M2177" s="8"/>
      <c r="N2177" s="8"/>
      <c r="O2177" s="8"/>
      <c r="P2177" s="8"/>
      <c r="Q2177" s="18" t="e">
        <f>(Table1[[#This Row],[A. TÀI SẢN NGẮN HẠN]]-Table1[[#This Row],[I. Nợ ngắn hạn]])/Table1[[#This Row],[TỔNG CỘNG TÀI SẢN]]</f>
        <v>#DIV/0!</v>
      </c>
      <c r="R2177" s="18" t="e">
        <f>Table1[[#This Row],[- LNST chưa phân phối kỳ này]]/Table1[[#This Row],[TỔNG CỘNG TÀI SẢN]]</f>
        <v>#DIV/0!</v>
      </c>
      <c r="S2177" s="21" t="e">
        <f>Table1[[#This Row],[5. Lợi nhuận gộp về bán hàng và cung cấp dịch vụ]]/Table1[[#This Row],[TỔNG CỘNG TÀI SẢN]]</f>
        <v>#DIV/0!</v>
      </c>
      <c r="T217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177" s="23" t="e">
        <f>Table1[[#This Row],[1. Doanh thu bán hàng và cung cấp dịch vụ ]]/Table1[[#This Row],[TỔNG CỘNG TÀI SẢN]]</f>
        <v>#DIV/0!</v>
      </c>
      <c r="V2177" s="23" t="e">
        <f>1.2*Table1[[#This Row],[X1]] + 1.4*Table1[[#This Row],[X2]] + 3.3*Table1[[#This Row],[x3]] + 0.6*Table1[[#This Row],[x4]] + 1*Table1[[#This Row],[x5]]</f>
        <v>#DIV/0!</v>
      </c>
      <c r="W2177" s="23" t="e">
        <f>IF(Table1[[#This Row],[Zscore]]&lt;1.81,1,0)</f>
        <v>#DIV/0!</v>
      </c>
    </row>
    <row r="2178" spans="1:23" ht="26.25" hidden="1" x14ac:dyDescent="0.45">
      <c r="A2178" s="7">
        <v>2172</v>
      </c>
      <c r="B2178" s="5" t="s">
        <v>4354</v>
      </c>
      <c r="C2178" s="6" t="s">
        <v>4355</v>
      </c>
      <c r="D2178" s="6" t="s">
        <v>13</v>
      </c>
      <c r="E2178" s="6"/>
      <c r="F2178" s="6"/>
      <c r="G2178" s="6"/>
      <c r="H2178" s="6"/>
      <c r="I2178" s="6"/>
      <c r="J2178" s="8"/>
      <c r="K2178" s="6"/>
      <c r="L2178" s="6"/>
      <c r="M2178" s="8"/>
      <c r="N2178" s="8"/>
      <c r="O2178" s="8"/>
      <c r="P2178" s="8"/>
      <c r="Q2178" s="18" t="e">
        <f>(Table1[[#This Row],[A. TÀI SẢN NGẮN HẠN]]-Table1[[#This Row],[I. Nợ ngắn hạn]])/Table1[[#This Row],[TỔNG CỘNG TÀI SẢN]]</f>
        <v>#DIV/0!</v>
      </c>
      <c r="R2178" s="18" t="e">
        <f>Table1[[#This Row],[- LNST chưa phân phối kỳ này]]/Table1[[#This Row],[TỔNG CỘNG TÀI SẢN]]</f>
        <v>#DIV/0!</v>
      </c>
      <c r="S2178" s="21" t="e">
        <f>Table1[[#This Row],[5. Lợi nhuận gộp về bán hàng và cung cấp dịch vụ]]/Table1[[#This Row],[TỔNG CỘNG TÀI SẢN]]</f>
        <v>#DIV/0!</v>
      </c>
      <c r="T217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178" s="23" t="e">
        <f>Table1[[#This Row],[1. Doanh thu bán hàng và cung cấp dịch vụ ]]/Table1[[#This Row],[TỔNG CỘNG TÀI SẢN]]</f>
        <v>#DIV/0!</v>
      </c>
      <c r="V2178" s="23" t="e">
        <f>1.2*Table1[[#This Row],[X1]] + 1.4*Table1[[#This Row],[X2]] + 3.3*Table1[[#This Row],[x3]] + 0.6*Table1[[#This Row],[x4]] + 1*Table1[[#This Row],[x5]]</f>
        <v>#DIV/0!</v>
      </c>
      <c r="W2178" s="23" t="e">
        <f>IF(Table1[[#This Row],[Zscore]]&lt;1.81,1,0)</f>
        <v>#DIV/0!</v>
      </c>
    </row>
    <row r="2179" spans="1:23" hidden="1" x14ac:dyDescent="0.45">
      <c r="A2179" s="7">
        <v>2173</v>
      </c>
      <c r="B2179" s="5" t="s">
        <v>4356</v>
      </c>
      <c r="C2179" s="6" t="s">
        <v>4357</v>
      </c>
      <c r="D2179" s="6" t="s">
        <v>13</v>
      </c>
      <c r="E2179" s="6"/>
      <c r="F2179" s="6"/>
      <c r="G2179" s="6"/>
      <c r="H2179" s="6"/>
      <c r="I2179" s="6"/>
      <c r="J2179" s="8"/>
      <c r="K2179" s="6"/>
      <c r="L2179" s="6"/>
      <c r="M2179" s="8"/>
      <c r="N2179" s="8"/>
      <c r="O2179" s="8"/>
      <c r="P2179" s="8"/>
      <c r="Q2179" s="18" t="e">
        <f>(Table1[[#This Row],[A. TÀI SẢN NGẮN HẠN]]-Table1[[#This Row],[I. Nợ ngắn hạn]])/Table1[[#This Row],[TỔNG CỘNG TÀI SẢN]]</f>
        <v>#DIV/0!</v>
      </c>
      <c r="R2179" s="18" t="e">
        <f>Table1[[#This Row],[- LNST chưa phân phối kỳ này]]/Table1[[#This Row],[TỔNG CỘNG TÀI SẢN]]</f>
        <v>#DIV/0!</v>
      </c>
      <c r="S2179" s="21" t="e">
        <f>Table1[[#This Row],[5. Lợi nhuận gộp về bán hàng và cung cấp dịch vụ]]/Table1[[#This Row],[TỔNG CỘNG TÀI SẢN]]</f>
        <v>#DIV/0!</v>
      </c>
      <c r="T217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179" s="23" t="e">
        <f>Table1[[#This Row],[1. Doanh thu bán hàng và cung cấp dịch vụ ]]/Table1[[#This Row],[TỔNG CỘNG TÀI SẢN]]</f>
        <v>#DIV/0!</v>
      </c>
      <c r="V2179" s="23" t="e">
        <f>1.2*Table1[[#This Row],[X1]] + 1.4*Table1[[#This Row],[X2]] + 3.3*Table1[[#This Row],[x3]] + 0.6*Table1[[#This Row],[x4]] + 1*Table1[[#This Row],[x5]]</f>
        <v>#DIV/0!</v>
      </c>
      <c r="W2179" s="23" t="e">
        <f>IF(Table1[[#This Row],[Zscore]]&lt;1.81,1,0)</f>
        <v>#DIV/0!</v>
      </c>
    </row>
    <row r="2180" spans="1:23" x14ac:dyDescent="0.45">
      <c r="A2180" s="7">
        <v>2174</v>
      </c>
      <c r="B2180" s="5" t="s">
        <v>4358</v>
      </c>
      <c r="C2180" s="6" t="s">
        <v>4359</v>
      </c>
      <c r="D2180" s="6" t="s">
        <v>21</v>
      </c>
      <c r="E2180" s="8">
        <v>367580559933</v>
      </c>
      <c r="F2180" s="8">
        <v>280253292723</v>
      </c>
      <c r="G2180" s="8">
        <v>69966073974</v>
      </c>
      <c r="H2180" s="8">
        <v>2188919957</v>
      </c>
      <c r="I2180" s="8">
        <v>5773903921</v>
      </c>
      <c r="J2180" s="8"/>
      <c r="K2180" s="8">
        <v>69966073974</v>
      </c>
      <c r="L2180" s="8">
        <v>315754615222</v>
      </c>
      <c r="M2180" s="8">
        <v>192906765000</v>
      </c>
      <c r="N2180" s="8">
        <v>122688702540</v>
      </c>
      <c r="O2180" s="8">
        <v>174387715560</v>
      </c>
      <c r="P2180" s="8">
        <v>170015162220</v>
      </c>
      <c r="Q2180" s="18">
        <f>(Table1[[#This Row],[A. TÀI SẢN NGẮN HẠN]]-Table1[[#This Row],[I. Nợ ngắn hạn]])/Table1[[#This Row],[TỔNG CỘNG TÀI SẢN]]</f>
        <v>0.57208471195356381</v>
      </c>
      <c r="R2180" s="18">
        <f>Table1[[#This Row],[- LNST chưa phân phối kỳ này]]/Table1[[#This Row],[TỔNG CỘNG TÀI SẢN]]</f>
        <v>5.9549393945071008E-3</v>
      </c>
      <c r="S2180" s="21">
        <f>Table1[[#This Row],[5. Lợi nhuận gộp về bán hàng và cung cấp dịch vụ]]/Table1[[#This Row],[TỔNG CỘNG TÀI SẢN]]</f>
        <v>1.5707859855408096E-2</v>
      </c>
      <c r="T218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2.35827990564849</v>
      </c>
      <c r="U2180" s="23">
        <f>Table1[[#This Row],[1. Doanh thu bán hàng và cung cấp dịch vụ ]]/Table1[[#This Row],[TỔNG CỘNG TÀI SẢN]]</f>
        <v>0.85900792816560678</v>
      </c>
      <c r="V2180" s="23">
        <f>1.2*Table1[[#This Row],[X1]] + 1.4*Table1[[#This Row],[X2]] + 3.3*Table1[[#This Row],[x3]] + 0.6*Table1[[#This Row],[x4]] + 1*Table1[[#This Row],[x5]]</f>
        <v>3.0206503785741341</v>
      </c>
      <c r="W2180" s="23">
        <f>IF(Table1[[#This Row],[Zscore]]&lt;1.81,1,0)</f>
        <v>0</v>
      </c>
    </row>
    <row r="2181" spans="1:23" ht="26.25" x14ac:dyDescent="0.45">
      <c r="A2181" s="7">
        <v>2175</v>
      </c>
      <c r="B2181" s="5" t="s">
        <v>4360</v>
      </c>
      <c r="C2181" s="6" t="s">
        <v>4361</v>
      </c>
      <c r="D2181" s="6" t="s">
        <v>21</v>
      </c>
      <c r="E2181" s="8">
        <v>917119803000000</v>
      </c>
      <c r="F2181" s="6"/>
      <c r="G2181" s="6"/>
      <c r="H2181" s="6"/>
      <c r="I2181" s="6"/>
      <c r="J2181" s="8"/>
      <c r="K2181" s="8">
        <v>857253059000000</v>
      </c>
      <c r="L2181" s="8">
        <v>57480853000000</v>
      </c>
      <c r="M2181" s="8">
        <v>72203761922800</v>
      </c>
      <c r="N2181" s="8">
        <v>109342511528000</v>
      </c>
      <c r="O2181" s="8">
        <v>88039573937200</v>
      </c>
      <c r="P2181" s="8">
        <v>107268774240400</v>
      </c>
      <c r="Q2181" s="18">
        <f>(Table1[[#This Row],[A. TÀI SẢN NGẮN HẠN]]-Table1[[#This Row],[I. Nợ ngắn hạn]])/Table1[[#This Row],[TỔNG CỘNG TÀI SẢN]]</f>
        <v>0</v>
      </c>
      <c r="R2181" s="18">
        <f>Table1[[#This Row],[- LNST chưa phân phối kỳ này]]/Table1[[#This Row],[TỔNG CỘNG TÀI SẢN]]</f>
        <v>0</v>
      </c>
      <c r="S2181" s="21">
        <f>Table1[[#This Row],[5. Lợi nhuận gộp về bán hàng và cung cấp dịch vụ]]/Table1[[#This Row],[TỔNG CỘNG TÀI SẢN]]</f>
        <v>0</v>
      </c>
      <c r="T218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0.109901801361901</v>
      </c>
      <c r="U2181" s="23">
        <f>Table1[[#This Row],[1. Doanh thu bán hàng và cung cấp dịch vụ ]]/Table1[[#This Row],[TỔNG CỘNG TÀI SẢN]]</f>
        <v>6.2675402724893511E-2</v>
      </c>
      <c r="V2181" s="23">
        <f>1.2*Table1[[#This Row],[X1]] + 1.4*Table1[[#This Row],[X2]] + 3.3*Table1[[#This Row],[x3]] + 0.6*Table1[[#This Row],[x4]] + 1*Table1[[#This Row],[x5]]</f>
        <v>0.12861648354203412</v>
      </c>
      <c r="W2181" s="23">
        <f>IF(Table1[[#This Row],[Zscore]]&lt;1.81,1,0)</f>
        <v>1</v>
      </c>
    </row>
    <row r="2182" spans="1:23" ht="26.25" x14ac:dyDescent="0.45">
      <c r="A2182" s="7">
        <v>2176</v>
      </c>
      <c r="B2182" s="5" t="s">
        <v>4362</v>
      </c>
      <c r="C2182" s="6" t="s">
        <v>4363</v>
      </c>
      <c r="D2182" s="6" t="s">
        <v>36</v>
      </c>
      <c r="E2182" s="8">
        <v>170516985385</v>
      </c>
      <c r="F2182" s="8">
        <v>127716531974</v>
      </c>
      <c r="G2182" s="8">
        <v>32641908663</v>
      </c>
      <c r="H2182" s="8">
        <v>7545342000</v>
      </c>
      <c r="I2182" s="8">
        <v>66155450524</v>
      </c>
      <c r="J2182" s="8"/>
      <c r="K2182" s="8">
        <v>32641908663</v>
      </c>
      <c r="L2182" s="8">
        <v>398459686999</v>
      </c>
      <c r="M2182" s="8">
        <v>92914692000</v>
      </c>
      <c r="N2182" s="8">
        <v>90648480000</v>
      </c>
      <c r="O2182" s="8">
        <v>92348139000</v>
      </c>
      <c r="P2182" s="8">
        <v>99146775000</v>
      </c>
      <c r="Q2182" s="18">
        <f>(Table1[[#This Row],[A. TÀI SẢN NGẮN HẠN]]-Table1[[#This Row],[I. Nợ ngắn hạn]])/Table1[[#This Row],[TỔNG CỘNG TÀI SẢN]]</f>
        <v>0.55756687872669553</v>
      </c>
      <c r="R2182" s="18">
        <f>Table1[[#This Row],[- LNST chưa phân phối kỳ này]]/Table1[[#This Row],[TỔNG CỘNG TÀI SẢN]]</f>
        <v>4.4249797068390745E-2</v>
      </c>
      <c r="S2182" s="21">
        <f>Table1[[#This Row],[5. Lợi nhuận gộp về bán hàng và cung cấp dịch vụ]]/Table1[[#This Row],[TỔNG CỘNG TÀI SẢN]]</f>
        <v>0.38796985751672541</v>
      </c>
      <c r="T218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2.8725195719416745</v>
      </c>
      <c r="U2182" s="23">
        <f>Table1[[#This Row],[1. Doanh thu bán hàng và cung cấp dịch vụ ]]/Table1[[#This Row],[TỔNG CỘNG TÀI SẢN]]</f>
        <v>2.3367741700297007</v>
      </c>
      <c r="V2182" s="23">
        <f>1.2*Table1[[#This Row],[X1]] + 1.4*Table1[[#This Row],[X2]] + 3.3*Table1[[#This Row],[x3]] + 0.6*Table1[[#This Row],[x4]] + 1*Table1[[#This Row],[x5]]</f>
        <v>6.0716164133676802</v>
      </c>
      <c r="W2182" s="23">
        <f>IF(Table1[[#This Row],[Zscore]]&lt;1.81,1,0)</f>
        <v>0</v>
      </c>
    </row>
    <row r="2183" spans="1:23" ht="26.25" hidden="1" x14ac:dyDescent="0.45">
      <c r="A2183" s="7">
        <v>2177</v>
      </c>
      <c r="B2183" s="5" t="s">
        <v>4364</v>
      </c>
      <c r="C2183" s="6" t="s">
        <v>4365</v>
      </c>
      <c r="D2183" s="6" t="s">
        <v>18</v>
      </c>
      <c r="E2183" s="6"/>
      <c r="F2183" s="6"/>
      <c r="G2183" s="6"/>
      <c r="H2183" s="6"/>
      <c r="I2183" s="6"/>
      <c r="J2183" s="8"/>
      <c r="K2183" s="6"/>
      <c r="L2183" s="6"/>
      <c r="M2183" s="8"/>
      <c r="N2183" s="8"/>
      <c r="O2183" s="8"/>
      <c r="P2183" s="8"/>
      <c r="Q2183" s="18" t="e">
        <f>(Table1[[#This Row],[A. TÀI SẢN NGẮN HẠN]]-Table1[[#This Row],[I. Nợ ngắn hạn]])/Table1[[#This Row],[TỔNG CỘNG TÀI SẢN]]</f>
        <v>#DIV/0!</v>
      </c>
      <c r="R2183" s="18" t="e">
        <f>Table1[[#This Row],[- LNST chưa phân phối kỳ này]]/Table1[[#This Row],[TỔNG CỘNG TÀI SẢN]]</f>
        <v>#DIV/0!</v>
      </c>
      <c r="S2183" s="21" t="e">
        <f>Table1[[#This Row],[5. Lợi nhuận gộp về bán hàng và cung cấp dịch vụ]]/Table1[[#This Row],[TỔNG CỘNG TÀI SẢN]]</f>
        <v>#DIV/0!</v>
      </c>
      <c r="T218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183" s="23" t="e">
        <f>Table1[[#This Row],[1. Doanh thu bán hàng và cung cấp dịch vụ ]]/Table1[[#This Row],[TỔNG CỘNG TÀI SẢN]]</f>
        <v>#DIV/0!</v>
      </c>
      <c r="V2183" s="23" t="e">
        <f>1.2*Table1[[#This Row],[X1]] + 1.4*Table1[[#This Row],[X2]] + 3.3*Table1[[#This Row],[x3]] + 0.6*Table1[[#This Row],[x4]] + 1*Table1[[#This Row],[x5]]</f>
        <v>#DIV/0!</v>
      </c>
      <c r="W2183" s="23" t="e">
        <f>IF(Table1[[#This Row],[Zscore]]&lt;1.81,1,0)</f>
        <v>#DIV/0!</v>
      </c>
    </row>
    <row r="2184" spans="1:23" x14ac:dyDescent="0.45">
      <c r="A2184" s="7">
        <v>2178</v>
      </c>
      <c r="B2184" s="5" t="s">
        <v>4366</v>
      </c>
      <c r="C2184" s="6" t="s">
        <v>4367</v>
      </c>
      <c r="D2184" s="6" t="s">
        <v>21</v>
      </c>
      <c r="E2184" s="8">
        <v>3629975427729</v>
      </c>
      <c r="F2184" s="8">
        <v>1270879727778</v>
      </c>
      <c r="G2184" s="8">
        <v>525887530313</v>
      </c>
      <c r="H2184" s="8">
        <v>293072081166</v>
      </c>
      <c r="I2184" s="8">
        <v>521182499598</v>
      </c>
      <c r="J2184" s="8"/>
      <c r="K2184" s="8">
        <v>943498925095</v>
      </c>
      <c r="L2184" s="8">
        <v>2588977722637</v>
      </c>
      <c r="M2184" s="8">
        <v>3831880923000</v>
      </c>
      <c r="N2184" s="8">
        <v>3822055587300</v>
      </c>
      <c r="O2184" s="8">
        <v>3586247530500</v>
      </c>
      <c r="P2184" s="8">
        <v>3713976894600</v>
      </c>
      <c r="Q2184" s="18">
        <f>(Table1[[#This Row],[A. TÀI SẢN NGẮN HẠN]]-Table1[[#This Row],[I. Nợ ngắn hạn]])/Table1[[#This Row],[TỔNG CỘNG TÀI SẢN]]</f>
        <v>0.20523339959110551</v>
      </c>
      <c r="R2184" s="18">
        <f>Table1[[#This Row],[- LNST chưa phân phối kỳ này]]/Table1[[#This Row],[TỔNG CỘNG TÀI SẢN]]</f>
        <v>8.0736657038296522E-2</v>
      </c>
      <c r="S2184" s="21">
        <f>Table1[[#This Row],[5. Lợi nhuận gộp về bán hàng và cung cấp dịch vụ]]/Table1[[#This Row],[TỔNG CỘNG TÀI SẢN]]</f>
        <v>0.14357741807747285</v>
      </c>
      <c r="T218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3.9624212963184564</v>
      </c>
      <c r="U2184" s="23">
        <f>Table1[[#This Row],[1. Doanh thu bán hàng và cung cấp dịch vụ ]]/Table1[[#This Row],[TỔNG CỘNG TÀI SẢN]]</f>
        <v>0.71322183143722462</v>
      </c>
      <c r="V2184" s="23">
        <f>1.2*Table1[[#This Row],[X1]] + 1.4*Table1[[#This Row],[X2]] + 3.3*Table1[[#This Row],[x3]] + 0.6*Table1[[#This Row],[x4]] + 1*Table1[[#This Row],[x5]]</f>
        <v>3.9237914882469003</v>
      </c>
      <c r="W2184" s="23">
        <f>IF(Table1[[#This Row],[Zscore]]&lt;1.81,1,0)</f>
        <v>0</v>
      </c>
    </row>
    <row r="2185" spans="1:23" ht="26.25" x14ac:dyDescent="0.45">
      <c r="A2185" s="7">
        <v>2179</v>
      </c>
      <c r="B2185" s="5" t="s">
        <v>4368</v>
      </c>
      <c r="C2185" s="6" t="s">
        <v>4369</v>
      </c>
      <c r="D2185" s="6" t="s">
        <v>18</v>
      </c>
      <c r="E2185" s="8">
        <v>1387566300134</v>
      </c>
      <c r="F2185" s="8">
        <v>615905084384</v>
      </c>
      <c r="G2185" s="8">
        <v>628764408913</v>
      </c>
      <c r="H2185" s="8">
        <v>37887013818</v>
      </c>
      <c r="I2185" s="8">
        <v>124790262741</v>
      </c>
      <c r="J2185" s="8"/>
      <c r="K2185" s="8">
        <v>942948047540</v>
      </c>
      <c r="L2185" s="8">
        <v>296364603841</v>
      </c>
      <c r="M2185" s="8">
        <v>138450000000</v>
      </c>
      <c r="N2185" s="8">
        <v>411450000000</v>
      </c>
      <c r="O2185" s="8">
        <v>351000000000</v>
      </c>
      <c r="P2185" s="8">
        <v>388050000000</v>
      </c>
      <c r="Q2185" s="18">
        <f>(Table1[[#This Row],[A. TÀI SẢN NGẮN HẠN]]-Table1[[#This Row],[I. Nợ ngắn hạn]])/Table1[[#This Row],[TỔNG CỘNG TÀI SẢN]]</f>
        <v>-9.2675388035570981E-3</v>
      </c>
      <c r="R2185" s="18">
        <f>Table1[[#This Row],[- LNST chưa phân phối kỳ này]]/Table1[[#This Row],[TỔNG CỘNG TÀI SẢN]]</f>
        <v>2.7304651182679471E-2</v>
      </c>
      <c r="S2185" s="21">
        <f>Table1[[#This Row],[5. Lợi nhuận gộp về bán hàng và cung cấp dịch vụ]]/Table1[[#This Row],[TỔNG CỘNG TÀI SẢN]]</f>
        <v>8.9934630675989141E-2</v>
      </c>
      <c r="T218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0.34173409748359507</v>
      </c>
      <c r="U2185" s="23">
        <f>Table1[[#This Row],[1. Doanh thu bán hàng và cung cấp dịch vụ ]]/Table1[[#This Row],[TỔNG CỘNG TÀI SẢN]]</f>
        <v>0.21358590491306936</v>
      </c>
      <c r="V2185" s="23">
        <f>1.2*Table1[[#This Row],[X1]] + 1.4*Table1[[#This Row],[X2]] + 3.3*Table1[[#This Row],[x3]] + 0.6*Table1[[#This Row],[x4]] + 1*Table1[[#This Row],[x5]]</f>
        <v>0.74251610972547333</v>
      </c>
      <c r="W2185" s="23">
        <f>IF(Table1[[#This Row],[Zscore]]&lt;1.81,1,0)</f>
        <v>1</v>
      </c>
    </row>
    <row r="2186" spans="1:23" hidden="1" x14ac:dyDescent="0.45">
      <c r="A2186" s="7">
        <v>2180</v>
      </c>
      <c r="B2186" s="5" t="s">
        <v>4370</v>
      </c>
      <c r="C2186" s="6" t="s">
        <v>4371</v>
      </c>
      <c r="D2186" s="6" t="s">
        <v>13</v>
      </c>
      <c r="E2186" s="6"/>
      <c r="F2186" s="6"/>
      <c r="G2186" s="6"/>
      <c r="H2186" s="6"/>
      <c r="I2186" s="6"/>
      <c r="J2186" s="8"/>
      <c r="K2186" s="6"/>
      <c r="L2186" s="6"/>
      <c r="M2186" s="8"/>
      <c r="N2186" s="8"/>
      <c r="O2186" s="8"/>
      <c r="P2186" s="8"/>
      <c r="Q2186" s="18" t="e">
        <f>(Table1[[#This Row],[A. TÀI SẢN NGẮN HẠN]]-Table1[[#This Row],[I. Nợ ngắn hạn]])/Table1[[#This Row],[TỔNG CỘNG TÀI SẢN]]</f>
        <v>#DIV/0!</v>
      </c>
      <c r="R2186" s="18" t="e">
        <f>Table1[[#This Row],[- LNST chưa phân phối kỳ này]]/Table1[[#This Row],[TỔNG CỘNG TÀI SẢN]]</f>
        <v>#DIV/0!</v>
      </c>
      <c r="S2186" s="21" t="e">
        <f>Table1[[#This Row],[5. Lợi nhuận gộp về bán hàng và cung cấp dịch vụ]]/Table1[[#This Row],[TỔNG CỘNG TÀI SẢN]]</f>
        <v>#DIV/0!</v>
      </c>
      <c r="T218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186" s="23" t="e">
        <f>Table1[[#This Row],[1. Doanh thu bán hàng và cung cấp dịch vụ ]]/Table1[[#This Row],[TỔNG CỘNG TÀI SẢN]]</f>
        <v>#DIV/0!</v>
      </c>
      <c r="V2186" s="23" t="e">
        <f>1.2*Table1[[#This Row],[X1]] + 1.4*Table1[[#This Row],[X2]] + 3.3*Table1[[#This Row],[x3]] + 0.6*Table1[[#This Row],[x4]] + 1*Table1[[#This Row],[x5]]</f>
        <v>#DIV/0!</v>
      </c>
      <c r="W2186" s="23" t="e">
        <f>IF(Table1[[#This Row],[Zscore]]&lt;1.81,1,0)</f>
        <v>#DIV/0!</v>
      </c>
    </row>
    <row r="2187" spans="1:23" hidden="1" x14ac:dyDescent="0.45">
      <c r="A2187" s="7">
        <v>2181</v>
      </c>
      <c r="B2187" s="5" t="s">
        <v>4372</v>
      </c>
      <c r="C2187" s="6" t="s">
        <v>4373</v>
      </c>
      <c r="D2187" s="6" t="s">
        <v>13</v>
      </c>
      <c r="E2187" s="6"/>
      <c r="F2187" s="6"/>
      <c r="G2187" s="6"/>
      <c r="H2187" s="6"/>
      <c r="I2187" s="6"/>
      <c r="J2187" s="8"/>
      <c r="K2187" s="6"/>
      <c r="L2187" s="6"/>
      <c r="M2187" s="8"/>
      <c r="N2187" s="8"/>
      <c r="O2187" s="8"/>
      <c r="P2187" s="8"/>
      <c r="Q2187" s="18" t="e">
        <f>(Table1[[#This Row],[A. TÀI SẢN NGẮN HẠN]]-Table1[[#This Row],[I. Nợ ngắn hạn]])/Table1[[#This Row],[TỔNG CỘNG TÀI SẢN]]</f>
        <v>#DIV/0!</v>
      </c>
      <c r="R2187" s="18" t="e">
        <f>Table1[[#This Row],[- LNST chưa phân phối kỳ này]]/Table1[[#This Row],[TỔNG CỘNG TÀI SẢN]]</f>
        <v>#DIV/0!</v>
      </c>
      <c r="S2187" s="21" t="e">
        <f>Table1[[#This Row],[5. Lợi nhuận gộp về bán hàng và cung cấp dịch vụ]]/Table1[[#This Row],[TỔNG CỘNG TÀI SẢN]]</f>
        <v>#DIV/0!</v>
      </c>
      <c r="T218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187" s="23" t="e">
        <f>Table1[[#This Row],[1. Doanh thu bán hàng và cung cấp dịch vụ ]]/Table1[[#This Row],[TỔNG CỘNG TÀI SẢN]]</f>
        <v>#DIV/0!</v>
      </c>
      <c r="V2187" s="23" t="e">
        <f>1.2*Table1[[#This Row],[X1]] + 1.4*Table1[[#This Row],[X2]] + 3.3*Table1[[#This Row],[x3]] + 0.6*Table1[[#This Row],[x4]] + 1*Table1[[#This Row],[x5]]</f>
        <v>#DIV/0!</v>
      </c>
      <c r="W2187" s="23" t="e">
        <f>IF(Table1[[#This Row],[Zscore]]&lt;1.81,1,0)</f>
        <v>#DIV/0!</v>
      </c>
    </row>
    <row r="2188" spans="1:23" x14ac:dyDescent="0.45">
      <c r="A2188" s="7">
        <v>2182</v>
      </c>
      <c r="B2188" s="5" t="s">
        <v>4374</v>
      </c>
      <c r="C2188" s="6" t="s">
        <v>4375</v>
      </c>
      <c r="D2188" s="6" t="s">
        <v>21</v>
      </c>
      <c r="E2188" s="8">
        <v>4155182576729</v>
      </c>
      <c r="F2188" s="8">
        <v>1326102105624</v>
      </c>
      <c r="G2188" s="8">
        <v>1373436168333</v>
      </c>
      <c r="H2188" s="8">
        <v>49529145023</v>
      </c>
      <c r="I2188" s="8">
        <v>271279040745</v>
      </c>
      <c r="J2188" s="8"/>
      <c r="K2188" s="8">
        <v>2398292050338</v>
      </c>
      <c r="L2188" s="8">
        <v>1354521823686</v>
      </c>
      <c r="M2188" s="8">
        <v>2478737100600</v>
      </c>
      <c r="N2188" s="8">
        <v>2178914671500</v>
      </c>
      <c r="O2188" s="8">
        <v>2575374024600</v>
      </c>
      <c r="P2188" s="8">
        <v>2454577869600</v>
      </c>
      <c r="Q2188" s="18">
        <f>(Table1[[#This Row],[A. TÀI SẢN NGẮN HẠN]]-Table1[[#This Row],[I. Nợ ngắn hạn]])/Table1[[#This Row],[TỔNG CỘNG TÀI SẢN]]</f>
        <v>-1.1391572291935685E-2</v>
      </c>
      <c r="R2188" s="18">
        <f>Table1[[#This Row],[- LNST chưa phân phối kỳ này]]/Table1[[#This Row],[TỔNG CỘNG TÀI SẢN]]</f>
        <v>1.1919848071270511E-2</v>
      </c>
      <c r="S2188" s="21">
        <f>Table1[[#This Row],[5. Lợi nhuận gộp về bán hàng và cung cấp dịch vụ]]/Table1[[#This Row],[TỔNG CỘNG TÀI SẢN]]</f>
        <v>6.5286912364402885E-2</v>
      </c>
      <c r="T218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1.0098440330624758</v>
      </c>
      <c r="U2188" s="23">
        <f>Table1[[#This Row],[1. Doanh thu bán hàng và cung cấp dịch vụ ]]/Table1[[#This Row],[TỔNG CỘNG TÀI SẢN]]</f>
        <v>0.32598370797759091</v>
      </c>
      <c r="V2188" s="23">
        <f>1.2*Table1[[#This Row],[X1]] + 1.4*Table1[[#This Row],[X2]] + 3.3*Table1[[#This Row],[x3]] + 0.6*Table1[[#This Row],[x4]] + 1*Table1[[#This Row],[x5]]</f>
        <v>1.1503548391670617</v>
      </c>
      <c r="W2188" s="23">
        <f>IF(Table1[[#This Row],[Zscore]]&lt;1.81,1,0)</f>
        <v>1</v>
      </c>
    </row>
    <row r="2189" spans="1:23" hidden="1" x14ac:dyDescent="0.45">
      <c r="A2189" s="7">
        <v>2183</v>
      </c>
      <c r="B2189" s="5" t="s">
        <v>4376</v>
      </c>
      <c r="C2189" s="6" t="s">
        <v>4377</v>
      </c>
      <c r="D2189" s="6" t="s">
        <v>18</v>
      </c>
      <c r="E2189" s="6"/>
      <c r="F2189" s="6"/>
      <c r="G2189" s="6"/>
      <c r="H2189" s="6"/>
      <c r="I2189" s="6"/>
      <c r="J2189" s="8"/>
      <c r="K2189" s="6"/>
      <c r="L2189" s="6"/>
      <c r="M2189" s="8"/>
      <c r="N2189" s="8"/>
      <c r="O2189" s="8"/>
      <c r="P2189" s="8"/>
      <c r="Q2189" s="18" t="e">
        <f>(Table1[[#This Row],[A. TÀI SẢN NGẮN HẠN]]-Table1[[#This Row],[I. Nợ ngắn hạn]])/Table1[[#This Row],[TỔNG CỘNG TÀI SẢN]]</f>
        <v>#DIV/0!</v>
      </c>
      <c r="R2189" s="18" t="e">
        <f>Table1[[#This Row],[- LNST chưa phân phối kỳ này]]/Table1[[#This Row],[TỔNG CỘNG TÀI SẢN]]</f>
        <v>#DIV/0!</v>
      </c>
      <c r="S2189" s="21" t="e">
        <f>Table1[[#This Row],[5. Lợi nhuận gộp về bán hàng và cung cấp dịch vụ]]/Table1[[#This Row],[TỔNG CỘNG TÀI SẢN]]</f>
        <v>#DIV/0!</v>
      </c>
      <c r="T218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189" s="23" t="e">
        <f>Table1[[#This Row],[1. Doanh thu bán hàng và cung cấp dịch vụ ]]/Table1[[#This Row],[TỔNG CỘNG TÀI SẢN]]</f>
        <v>#DIV/0!</v>
      </c>
      <c r="V2189" s="23" t="e">
        <f>1.2*Table1[[#This Row],[X1]] + 1.4*Table1[[#This Row],[X2]] + 3.3*Table1[[#This Row],[x3]] + 0.6*Table1[[#This Row],[x4]] + 1*Table1[[#This Row],[x5]]</f>
        <v>#DIV/0!</v>
      </c>
      <c r="W2189" s="23" t="e">
        <f>IF(Table1[[#This Row],[Zscore]]&lt;1.81,1,0)</f>
        <v>#DIV/0!</v>
      </c>
    </row>
    <row r="2190" spans="1:23" ht="26.25" x14ac:dyDescent="0.45">
      <c r="A2190" s="7">
        <v>2184</v>
      </c>
      <c r="B2190" s="5" t="s">
        <v>4378</v>
      </c>
      <c r="C2190" s="6" t="s">
        <v>4379</v>
      </c>
      <c r="D2190" s="6" t="s">
        <v>36</v>
      </c>
      <c r="E2190" s="8">
        <v>166183504773</v>
      </c>
      <c r="F2190" s="8">
        <v>131675669289</v>
      </c>
      <c r="G2190" s="8">
        <v>23944211504</v>
      </c>
      <c r="H2190" s="8">
        <v>7924719288</v>
      </c>
      <c r="I2190" s="8">
        <v>28383276795</v>
      </c>
      <c r="J2190" s="8"/>
      <c r="K2190" s="8">
        <v>23944211504</v>
      </c>
      <c r="L2190" s="8">
        <v>195202885303</v>
      </c>
      <c r="M2190" s="8">
        <v>73802979600</v>
      </c>
      <c r="N2190" s="8">
        <v>64978710300</v>
      </c>
      <c r="O2190" s="8">
        <v>69791948100</v>
      </c>
      <c r="P2190" s="8">
        <v>73000773300</v>
      </c>
      <c r="Q2190" s="18">
        <f>(Table1[[#This Row],[A. TÀI SẢN NGẮN HẠN]]-Table1[[#This Row],[I. Nợ ngắn hạn]])/Table1[[#This Row],[TỔNG CỘNG TÀI SẢN]]</f>
        <v>0.64826805724284642</v>
      </c>
      <c r="R2190" s="18">
        <f>Table1[[#This Row],[- LNST chưa phân phối kỳ này]]/Table1[[#This Row],[TỔNG CỘNG TÀI SẢN]]</f>
        <v>4.7686557693104668E-2</v>
      </c>
      <c r="S2190" s="21">
        <f>Table1[[#This Row],[5. Lợi nhuận gộp về bán hàng và cung cấp dịch vụ]]/Table1[[#This Row],[TỔNG CỘNG TÀI SẢN]]</f>
        <v>0.17079478997491609</v>
      </c>
      <c r="T219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2.9399006441803439</v>
      </c>
      <c r="U2190" s="23">
        <f>Table1[[#This Row],[1. Doanh thu bán hàng và cung cấp dịch vụ ]]/Table1[[#This Row],[TỔNG CỘNG TÀI SẢN]]</f>
        <v>1.1746225088322653</v>
      </c>
      <c r="V2190" s="23">
        <f>1.2*Table1[[#This Row],[X1]] + 1.4*Table1[[#This Row],[X2]] + 3.3*Table1[[#This Row],[x3]] + 0.6*Table1[[#This Row],[x4]] + 1*Table1[[#This Row],[x5]]</f>
        <v>4.3468685517194574</v>
      </c>
      <c r="W2190" s="23">
        <f>IF(Table1[[#This Row],[Zscore]]&lt;1.81,1,0)</f>
        <v>0</v>
      </c>
    </row>
    <row r="2191" spans="1:23" hidden="1" x14ac:dyDescent="0.45">
      <c r="A2191" s="7">
        <v>2185</v>
      </c>
      <c r="B2191" s="5" t="s">
        <v>4380</v>
      </c>
      <c r="C2191" s="6" t="s">
        <v>4381</v>
      </c>
      <c r="D2191" s="6" t="s">
        <v>18</v>
      </c>
      <c r="E2191" s="6"/>
      <c r="F2191" s="6"/>
      <c r="G2191" s="6"/>
      <c r="H2191" s="6"/>
      <c r="I2191" s="6"/>
      <c r="J2191" s="8"/>
      <c r="K2191" s="6"/>
      <c r="L2191" s="6"/>
      <c r="M2191" s="8"/>
      <c r="N2191" s="8"/>
      <c r="O2191" s="8"/>
      <c r="P2191" s="8"/>
      <c r="Q2191" s="18" t="e">
        <f>(Table1[[#This Row],[A. TÀI SẢN NGẮN HẠN]]-Table1[[#This Row],[I. Nợ ngắn hạn]])/Table1[[#This Row],[TỔNG CỘNG TÀI SẢN]]</f>
        <v>#DIV/0!</v>
      </c>
      <c r="R2191" s="18" t="e">
        <f>Table1[[#This Row],[- LNST chưa phân phối kỳ này]]/Table1[[#This Row],[TỔNG CỘNG TÀI SẢN]]</f>
        <v>#DIV/0!</v>
      </c>
      <c r="S2191" s="21" t="e">
        <f>Table1[[#This Row],[5. Lợi nhuận gộp về bán hàng và cung cấp dịch vụ]]/Table1[[#This Row],[TỔNG CỘNG TÀI SẢN]]</f>
        <v>#DIV/0!</v>
      </c>
      <c r="T219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191" s="23" t="e">
        <f>Table1[[#This Row],[1. Doanh thu bán hàng và cung cấp dịch vụ ]]/Table1[[#This Row],[TỔNG CỘNG TÀI SẢN]]</f>
        <v>#DIV/0!</v>
      </c>
      <c r="V2191" s="23" t="e">
        <f>1.2*Table1[[#This Row],[X1]] + 1.4*Table1[[#This Row],[X2]] + 3.3*Table1[[#This Row],[x3]] + 0.6*Table1[[#This Row],[x4]] + 1*Table1[[#This Row],[x5]]</f>
        <v>#DIV/0!</v>
      </c>
      <c r="W2191" s="23" t="e">
        <f>IF(Table1[[#This Row],[Zscore]]&lt;1.81,1,0)</f>
        <v>#DIV/0!</v>
      </c>
    </row>
    <row r="2192" spans="1:23" hidden="1" x14ac:dyDescent="0.45">
      <c r="A2192" s="7">
        <v>2186</v>
      </c>
      <c r="B2192" s="5" t="s">
        <v>4382</v>
      </c>
      <c r="C2192" s="6" t="s">
        <v>4383</v>
      </c>
      <c r="D2192" s="6" t="s">
        <v>13</v>
      </c>
      <c r="E2192" s="6"/>
      <c r="F2192" s="6"/>
      <c r="G2192" s="6"/>
      <c r="H2192" s="6"/>
      <c r="I2192" s="6"/>
      <c r="J2192" s="8"/>
      <c r="K2192" s="6"/>
      <c r="L2192" s="6"/>
      <c r="M2192" s="8"/>
      <c r="N2192" s="8"/>
      <c r="O2192" s="8"/>
      <c r="P2192" s="8"/>
      <c r="Q2192" s="18" t="e">
        <f>(Table1[[#This Row],[A. TÀI SẢN NGẮN HẠN]]-Table1[[#This Row],[I. Nợ ngắn hạn]])/Table1[[#This Row],[TỔNG CỘNG TÀI SẢN]]</f>
        <v>#DIV/0!</v>
      </c>
      <c r="R2192" s="18" t="e">
        <f>Table1[[#This Row],[- LNST chưa phân phối kỳ này]]/Table1[[#This Row],[TỔNG CỘNG TÀI SẢN]]</f>
        <v>#DIV/0!</v>
      </c>
      <c r="S2192" s="21" t="e">
        <f>Table1[[#This Row],[5. Lợi nhuận gộp về bán hàng và cung cấp dịch vụ]]/Table1[[#This Row],[TỔNG CỘNG TÀI SẢN]]</f>
        <v>#DIV/0!</v>
      </c>
      <c r="T219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192" s="23" t="e">
        <f>Table1[[#This Row],[1. Doanh thu bán hàng và cung cấp dịch vụ ]]/Table1[[#This Row],[TỔNG CỘNG TÀI SẢN]]</f>
        <v>#DIV/0!</v>
      </c>
      <c r="V2192" s="23" t="e">
        <f>1.2*Table1[[#This Row],[X1]] + 1.4*Table1[[#This Row],[X2]] + 3.3*Table1[[#This Row],[x3]] + 0.6*Table1[[#This Row],[x4]] + 1*Table1[[#This Row],[x5]]</f>
        <v>#DIV/0!</v>
      </c>
      <c r="W2192" s="23" t="e">
        <f>IF(Table1[[#This Row],[Zscore]]&lt;1.81,1,0)</f>
        <v>#DIV/0!</v>
      </c>
    </row>
    <row r="2193" spans="1:23" hidden="1" x14ac:dyDescent="0.45">
      <c r="A2193" s="7">
        <v>2187</v>
      </c>
      <c r="B2193" s="5" t="s">
        <v>2</v>
      </c>
      <c r="C2193" s="6" t="s">
        <v>4384</v>
      </c>
      <c r="D2193" s="6" t="s">
        <v>18</v>
      </c>
      <c r="E2193" s="6"/>
      <c r="F2193" s="6"/>
      <c r="G2193" s="6"/>
      <c r="H2193" s="6"/>
      <c r="I2193" s="6"/>
      <c r="J2193" s="8"/>
      <c r="K2193" s="6"/>
      <c r="L2193" s="6"/>
      <c r="M2193" s="8"/>
      <c r="N2193" s="8"/>
      <c r="O2193" s="8"/>
      <c r="P2193" s="8"/>
      <c r="Q2193" s="18" t="e">
        <f>(Table1[[#This Row],[A. TÀI SẢN NGẮN HẠN]]-Table1[[#This Row],[I. Nợ ngắn hạn]])/Table1[[#This Row],[TỔNG CỘNG TÀI SẢN]]</f>
        <v>#DIV/0!</v>
      </c>
      <c r="R2193" s="18" t="e">
        <f>Table1[[#This Row],[- LNST chưa phân phối kỳ này]]/Table1[[#This Row],[TỔNG CỘNG TÀI SẢN]]</f>
        <v>#DIV/0!</v>
      </c>
      <c r="S2193" s="21" t="e">
        <f>Table1[[#This Row],[5. Lợi nhuận gộp về bán hàng và cung cấp dịch vụ]]/Table1[[#This Row],[TỔNG CỘNG TÀI SẢN]]</f>
        <v>#DIV/0!</v>
      </c>
      <c r="T219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193" s="23" t="e">
        <f>Table1[[#This Row],[1. Doanh thu bán hàng và cung cấp dịch vụ ]]/Table1[[#This Row],[TỔNG CỘNG TÀI SẢN]]</f>
        <v>#DIV/0!</v>
      </c>
      <c r="V2193" s="23" t="e">
        <f>1.2*Table1[[#This Row],[X1]] + 1.4*Table1[[#This Row],[X2]] + 3.3*Table1[[#This Row],[x3]] + 0.6*Table1[[#This Row],[x4]] + 1*Table1[[#This Row],[x5]]</f>
        <v>#DIV/0!</v>
      </c>
      <c r="W2193" s="23" t="e">
        <f>IF(Table1[[#This Row],[Zscore]]&lt;1.81,1,0)</f>
        <v>#DIV/0!</v>
      </c>
    </row>
    <row r="2194" spans="1:23" ht="26.25" hidden="1" x14ac:dyDescent="0.45">
      <c r="A2194" s="7">
        <v>2188</v>
      </c>
      <c r="B2194" s="5" t="s">
        <v>4385</v>
      </c>
      <c r="C2194" s="6" t="s">
        <v>4386</v>
      </c>
      <c r="D2194" s="6" t="s">
        <v>13</v>
      </c>
      <c r="E2194" s="6"/>
      <c r="F2194" s="6"/>
      <c r="G2194" s="6"/>
      <c r="H2194" s="6"/>
      <c r="I2194" s="6"/>
      <c r="J2194" s="8"/>
      <c r="K2194" s="6"/>
      <c r="L2194" s="6"/>
      <c r="M2194" s="8"/>
      <c r="N2194" s="8"/>
      <c r="O2194" s="8"/>
      <c r="P2194" s="8"/>
      <c r="Q2194" s="18" t="e">
        <f>(Table1[[#This Row],[A. TÀI SẢN NGẮN HẠN]]-Table1[[#This Row],[I. Nợ ngắn hạn]])/Table1[[#This Row],[TỔNG CỘNG TÀI SẢN]]</f>
        <v>#DIV/0!</v>
      </c>
      <c r="R2194" s="18" t="e">
        <f>Table1[[#This Row],[- LNST chưa phân phối kỳ này]]/Table1[[#This Row],[TỔNG CỘNG TÀI SẢN]]</f>
        <v>#DIV/0!</v>
      </c>
      <c r="S2194" s="21" t="e">
        <f>Table1[[#This Row],[5. Lợi nhuận gộp về bán hàng và cung cấp dịch vụ]]/Table1[[#This Row],[TỔNG CỘNG TÀI SẢN]]</f>
        <v>#DIV/0!</v>
      </c>
      <c r="T219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194" s="23" t="e">
        <f>Table1[[#This Row],[1. Doanh thu bán hàng và cung cấp dịch vụ ]]/Table1[[#This Row],[TỔNG CỘNG TÀI SẢN]]</f>
        <v>#DIV/0!</v>
      </c>
      <c r="V2194" s="23" t="e">
        <f>1.2*Table1[[#This Row],[X1]] + 1.4*Table1[[#This Row],[X2]] + 3.3*Table1[[#This Row],[x3]] + 0.6*Table1[[#This Row],[x4]] + 1*Table1[[#This Row],[x5]]</f>
        <v>#DIV/0!</v>
      </c>
      <c r="W2194" s="23" t="e">
        <f>IF(Table1[[#This Row],[Zscore]]&lt;1.81,1,0)</f>
        <v>#DIV/0!</v>
      </c>
    </row>
    <row r="2195" spans="1:23" hidden="1" x14ac:dyDescent="0.45">
      <c r="A2195" s="7">
        <v>2189</v>
      </c>
      <c r="B2195" s="5" t="s">
        <v>4387</v>
      </c>
      <c r="C2195" s="6" t="s">
        <v>4388</v>
      </c>
      <c r="D2195" s="6" t="s">
        <v>13</v>
      </c>
      <c r="E2195" s="6"/>
      <c r="F2195" s="6"/>
      <c r="G2195" s="6"/>
      <c r="H2195" s="6"/>
      <c r="I2195" s="6"/>
      <c r="J2195" s="8"/>
      <c r="K2195" s="6"/>
      <c r="L2195" s="6"/>
      <c r="M2195" s="8"/>
      <c r="N2195" s="8"/>
      <c r="O2195" s="8"/>
      <c r="P2195" s="8"/>
      <c r="Q2195" s="18" t="e">
        <f>(Table1[[#This Row],[A. TÀI SẢN NGẮN HẠN]]-Table1[[#This Row],[I. Nợ ngắn hạn]])/Table1[[#This Row],[TỔNG CỘNG TÀI SẢN]]</f>
        <v>#DIV/0!</v>
      </c>
      <c r="R2195" s="18" t="e">
        <f>Table1[[#This Row],[- LNST chưa phân phối kỳ này]]/Table1[[#This Row],[TỔNG CỘNG TÀI SẢN]]</f>
        <v>#DIV/0!</v>
      </c>
      <c r="S2195" s="21" t="e">
        <f>Table1[[#This Row],[5. Lợi nhuận gộp về bán hàng và cung cấp dịch vụ]]/Table1[[#This Row],[TỔNG CỘNG TÀI SẢN]]</f>
        <v>#DIV/0!</v>
      </c>
      <c r="T219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195" s="23" t="e">
        <f>Table1[[#This Row],[1. Doanh thu bán hàng và cung cấp dịch vụ ]]/Table1[[#This Row],[TỔNG CỘNG TÀI SẢN]]</f>
        <v>#DIV/0!</v>
      </c>
      <c r="V2195" s="23" t="e">
        <f>1.2*Table1[[#This Row],[X1]] + 1.4*Table1[[#This Row],[X2]] + 3.3*Table1[[#This Row],[x3]] + 0.6*Table1[[#This Row],[x4]] + 1*Table1[[#This Row],[x5]]</f>
        <v>#DIV/0!</v>
      </c>
      <c r="W2195" s="23" t="e">
        <f>IF(Table1[[#This Row],[Zscore]]&lt;1.81,1,0)</f>
        <v>#DIV/0!</v>
      </c>
    </row>
    <row r="2196" spans="1:23" x14ac:dyDescent="0.45">
      <c r="A2196" s="7">
        <v>2190</v>
      </c>
      <c r="B2196" s="5" t="s">
        <v>4389</v>
      </c>
      <c r="C2196" s="6" t="s">
        <v>4390</v>
      </c>
      <c r="D2196" s="6" t="s">
        <v>18</v>
      </c>
      <c r="E2196" s="8">
        <v>275686646448</v>
      </c>
      <c r="F2196" s="8">
        <v>124480267310</v>
      </c>
      <c r="G2196" s="8">
        <v>36154551006</v>
      </c>
      <c r="H2196" s="8">
        <v>21412556752</v>
      </c>
      <c r="I2196" s="8">
        <v>90466669363</v>
      </c>
      <c r="J2196" s="8"/>
      <c r="K2196" s="8">
        <v>37135740376</v>
      </c>
      <c r="L2196" s="8">
        <v>221150566701</v>
      </c>
      <c r="M2196" s="8">
        <v>625007440200</v>
      </c>
      <c r="N2196" s="8">
        <v>412441458000</v>
      </c>
      <c r="O2196" s="8">
        <v>486998183100</v>
      </c>
      <c r="P2196" s="8">
        <v>567900161400</v>
      </c>
      <c r="Q2196" s="18">
        <f>(Table1[[#This Row],[A. TÀI SẢN NGẮN HẠN]]-Table1[[#This Row],[I. Nợ ngắn hạn]])/Table1[[#This Row],[TỔNG CỘNG TÀI SẢN]]</f>
        <v>0.32038445620056533</v>
      </c>
      <c r="R2196" s="18">
        <f>Table1[[#This Row],[- LNST chưa phân phối kỳ này]]/Table1[[#This Row],[TỔNG CỘNG TÀI SẢN]]</f>
        <v>7.766990903579668E-2</v>
      </c>
      <c r="S2196" s="21">
        <f>Table1[[#This Row],[5. Lợi nhuận gộp về bán hàng và cung cấp dịch vụ]]/Table1[[#This Row],[TỔNG CỘNG TÀI SẢN]]</f>
        <v>0.3281503494223969</v>
      </c>
      <c r="T219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14.085805355669153</v>
      </c>
      <c r="U2196" s="23">
        <f>Table1[[#This Row],[1. Doanh thu bán hàng và cung cấp dịch vụ ]]/Table1[[#This Row],[TỔNG CỘNG TÀI SẢN]]</f>
        <v>0.80218091645114709</v>
      </c>
      <c r="V2196" s="23">
        <f>1.2*Table1[[#This Row],[X1]] + 1.4*Table1[[#This Row],[X2]] + 3.3*Table1[[#This Row],[x3]] + 0.6*Table1[[#This Row],[x4]] + 1*Table1[[#This Row],[x5]]</f>
        <v>10.829759503037343</v>
      </c>
      <c r="W2196" s="23">
        <f>IF(Table1[[#This Row],[Zscore]]&lt;1.81,1,0)</f>
        <v>0</v>
      </c>
    </row>
    <row r="2197" spans="1:23" hidden="1" x14ac:dyDescent="0.45">
      <c r="A2197" s="7">
        <v>2191</v>
      </c>
      <c r="B2197" s="5" t="s">
        <v>4391</v>
      </c>
      <c r="C2197" s="6" t="s">
        <v>4392</v>
      </c>
      <c r="D2197" s="6" t="s">
        <v>13</v>
      </c>
      <c r="E2197" s="6"/>
      <c r="F2197" s="6"/>
      <c r="G2197" s="6"/>
      <c r="H2197" s="6"/>
      <c r="I2197" s="6"/>
      <c r="J2197" s="8"/>
      <c r="K2197" s="6"/>
      <c r="L2197" s="6"/>
      <c r="M2197" s="8"/>
      <c r="N2197" s="8"/>
      <c r="O2197" s="8"/>
      <c r="P2197" s="8"/>
      <c r="Q2197" s="18" t="e">
        <f>(Table1[[#This Row],[A. TÀI SẢN NGẮN HẠN]]-Table1[[#This Row],[I. Nợ ngắn hạn]])/Table1[[#This Row],[TỔNG CỘNG TÀI SẢN]]</f>
        <v>#DIV/0!</v>
      </c>
      <c r="R2197" s="18" t="e">
        <f>Table1[[#This Row],[- LNST chưa phân phối kỳ này]]/Table1[[#This Row],[TỔNG CỘNG TÀI SẢN]]</f>
        <v>#DIV/0!</v>
      </c>
      <c r="S2197" s="21" t="e">
        <f>Table1[[#This Row],[5. Lợi nhuận gộp về bán hàng và cung cấp dịch vụ]]/Table1[[#This Row],[TỔNG CỘNG TÀI SẢN]]</f>
        <v>#DIV/0!</v>
      </c>
      <c r="T219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197" s="23" t="e">
        <f>Table1[[#This Row],[1. Doanh thu bán hàng và cung cấp dịch vụ ]]/Table1[[#This Row],[TỔNG CỘNG TÀI SẢN]]</f>
        <v>#DIV/0!</v>
      </c>
      <c r="V2197" s="23" t="e">
        <f>1.2*Table1[[#This Row],[X1]] + 1.4*Table1[[#This Row],[X2]] + 3.3*Table1[[#This Row],[x3]] + 0.6*Table1[[#This Row],[x4]] + 1*Table1[[#This Row],[x5]]</f>
        <v>#DIV/0!</v>
      </c>
      <c r="W2197" s="23" t="e">
        <f>IF(Table1[[#This Row],[Zscore]]&lt;1.81,1,0)</f>
        <v>#DIV/0!</v>
      </c>
    </row>
    <row r="2198" spans="1:23" ht="26.25" hidden="1" x14ac:dyDescent="0.45">
      <c r="A2198" s="7">
        <v>2192</v>
      </c>
      <c r="B2198" s="5" t="s">
        <v>4393</v>
      </c>
      <c r="C2198" s="6" t="s">
        <v>4394</v>
      </c>
      <c r="D2198" s="6" t="s">
        <v>13</v>
      </c>
      <c r="E2198" s="6"/>
      <c r="F2198" s="6"/>
      <c r="G2198" s="6"/>
      <c r="H2198" s="6"/>
      <c r="I2198" s="6"/>
      <c r="J2198" s="8"/>
      <c r="K2198" s="6"/>
      <c r="L2198" s="6"/>
      <c r="M2198" s="8"/>
      <c r="N2198" s="8"/>
      <c r="O2198" s="8"/>
      <c r="P2198" s="8"/>
      <c r="Q2198" s="18" t="e">
        <f>(Table1[[#This Row],[A. TÀI SẢN NGẮN HẠN]]-Table1[[#This Row],[I. Nợ ngắn hạn]])/Table1[[#This Row],[TỔNG CỘNG TÀI SẢN]]</f>
        <v>#DIV/0!</v>
      </c>
      <c r="R2198" s="18" t="e">
        <f>Table1[[#This Row],[- LNST chưa phân phối kỳ này]]/Table1[[#This Row],[TỔNG CỘNG TÀI SẢN]]</f>
        <v>#DIV/0!</v>
      </c>
      <c r="S2198" s="21" t="e">
        <f>Table1[[#This Row],[5. Lợi nhuận gộp về bán hàng và cung cấp dịch vụ]]/Table1[[#This Row],[TỔNG CỘNG TÀI SẢN]]</f>
        <v>#DIV/0!</v>
      </c>
      <c r="T219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198" s="23" t="e">
        <f>Table1[[#This Row],[1. Doanh thu bán hàng và cung cấp dịch vụ ]]/Table1[[#This Row],[TỔNG CỘNG TÀI SẢN]]</f>
        <v>#DIV/0!</v>
      </c>
      <c r="V2198" s="23" t="e">
        <f>1.2*Table1[[#This Row],[X1]] + 1.4*Table1[[#This Row],[X2]] + 3.3*Table1[[#This Row],[x3]] + 0.6*Table1[[#This Row],[x4]] + 1*Table1[[#This Row],[x5]]</f>
        <v>#DIV/0!</v>
      </c>
      <c r="W2198" s="23" t="e">
        <f>IF(Table1[[#This Row],[Zscore]]&lt;1.81,1,0)</f>
        <v>#DIV/0!</v>
      </c>
    </row>
    <row r="2199" spans="1:23" ht="26.25" hidden="1" x14ac:dyDescent="0.45">
      <c r="A2199" s="7">
        <v>2193</v>
      </c>
      <c r="B2199" s="5" t="s">
        <v>4395</v>
      </c>
      <c r="C2199" s="6" t="s">
        <v>4396</v>
      </c>
      <c r="D2199" s="6" t="s">
        <v>13</v>
      </c>
      <c r="E2199" s="6"/>
      <c r="F2199" s="6"/>
      <c r="G2199" s="6"/>
      <c r="H2199" s="6"/>
      <c r="I2199" s="6"/>
      <c r="J2199" s="8"/>
      <c r="K2199" s="6"/>
      <c r="L2199" s="6"/>
      <c r="M2199" s="8"/>
      <c r="N2199" s="8"/>
      <c r="O2199" s="8"/>
      <c r="P2199" s="8"/>
      <c r="Q2199" s="18" t="e">
        <f>(Table1[[#This Row],[A. TÀI SẢN NGẮN HẠN]]-Table1[[#This Row],[I. Nợ ngắn hạn]])/Table1[[#This Row],[TỔNG CỘNG TÀI SẢN]]</f>
        <v>#DIV/0!</v>
      </c>
      <c r="R2199" s="18" t="e">
        <f>Table1[[#This Row],[- LNST chưa phân phối kỳ này]]/Table1[[#This Row],[TỔNG CỘNG TÀI SẢN]]</f>
        <v>#DIV/0!</v>
      </c>
      <c r="S2199" s="21" t="e">
        <f>Table1[[#This Row],[5. Lợi nhuận gộp về bán hàng và cung cấp dịch vụ]]/Table1[[#This Row],[TỔNG CỘNG TÀI SẢN]]</f>
        <v>#DIV/0!</v>
      </c>
      <c r="T219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199" s="23" t="e">
        <f>Table1[[#This Row],[1. Doanh thu bán hàng và cung cấp dịch vụ ]]/Table1[[#This Row],[TỔNG CỘNG TÀI SẢN]]</f>
        <v>#DIV/0!</v>
      </c>
      <c r="V2199" s="23" t="e">
        <f>1.2*Table1[[#This Row],[X1]] + 1.4*Table1[[#This Row],[X2]] + 3.3*Table1[[#This Row],[x3]] + 0.6*Table1[[#This Row],[x4]] + 1*Table1[[#This Row],[x5]]</f>
        <v>#DIV/0!</v>
      </c>
      <c r="W2199" s="23" t="e">
        <f>IF(Table1[[#This Row],[Zscore]]&lt;1.81,1,0)</f>
        <v>#DIV/0!</v>
      </c>
    </row>
    <row r="2200" spans="1:23" ht="26.25" hidden="1" x14ac:dyDescent="0.45">
      <c r="A2200" s="7">
        <v>2194</v>
      </c>
      <c r="B2200" s="5" t="s">
        <v>4397</v>
      </c>
      <c r="C2200" s="6" t="s">
        <v>4398</v>
      </c>
      <c r="D2200" s="6" t="s">
        <v>13</v>
      </c>
      <c r="E2200" s="6"/>
      <c r="F2200" s="6"/>
      <c r="G2200" s="6"/>
      <c r="H2200" s="6"/>
      <c r="I2200" s="6"/>
      <c r="J2200" s="8"/>
      <c r="K2200" s="6"/>
      <c r="L2200" s="6"/>
      <c r="M2200" s="8"/>
      <c r="N2200" s="8"/>
      <c r="O2200" s="8"/>
      <c r="P2200" s="8"/>
      <c r="Q2200" s="18" t="e">
        <f>(Table1[[#This Row],[A. TÀI SẢN NGẮN HẠN]]-Table1[[#This Row],[I. Nợ ngắn hạn]])/Table1[[#This Row],[TỔNG CỘNG TÀI SẢN]]</f>
        <v>#DIV/0!</v>
      </c>
      <c r="R2200" s="18" t="e">
        <f>Table1[[#This Row],[- LNST chưa phân phối kỳ này]]/Table1[[#This Row],[TỔNG CỘNG TÀI SẢN]]</f>
        <v>#DIV/0!</v>
      </c>
      <c r="S2200" s="21" t="e">
        <f>Table1[[#This Row],[5. Lợi nhuận gộp về bán hàng và cung cấp dịch vụ]]/Table1[[#This Row],[TỔNG CỘNG TÀI SẢN]]</f>
        <v>#DIV/0!</v>
      </c>
      <c r="T220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200" s="23" t="e">
        <f>Table1[[#This Row],[1. Doanh thu bán hàng và cung cấp dịch vụ ]]/Table1[[#This Row],[TỔNG CỘNG TÀI SẢN]]</f>
        <v>#DIV/0!</v>
      </c>
      <c r="V2200" s="23" t="e">
        <f>1.2*Table1[[#This Row],[X1]] + 1.4*Table1[[#This Row],[X2]] + 3.3*Table1[[#This Row],[x3]] + 0.6*Table1[[#This Row],[x4]] + 1*Table1[[#This Row],[x5]]</f>
        <v>#DIV/0!</v>
      </c>
      <c r="W2200" s="23" t="e">
        <f>IF(Table1[[#This Row],[Zscore]]&lt;1.81,1,0)</f>
        <v>#DIV/0!</v>
      </c>
    </row>
    <row r="2201" spans="1:23" hidden="1" x14ac:dyDescent="0.45">
      <c r="A2201" s="7">
        <v>2195</v>
      </c>
      <c r="B2201" s="5" t="s">
        <v>4399</v>
      </c>
      <c r="C2201" s="6" t="s">
        <v>4400</v>
      </c>
      <c r="D2201" s="6" t="s">
        <v>13</v>
      </c>
      <c r="E2201" s="6"/>
      <c r="F2201" s="6"/>
      <c r="G2201" s="6"/>
      <c r="H2201" s="6"/>
      <c r="I2201" s="6"/>
      <c r="J2201" s="8"/>
      <c r="K2201" s="6"/>
      <c r="L2201" s="6"/>
      <c r="M2201" s="8"/>
      <c r="N2201" s="8"/>
      <c r="O2201" s="8"/>
      <c r="P2201" s="8"/>
      <c r="Q2201" s="18" t="e">
        <f>(Table1[[#This Row],[A. TÀI SẢN NGẮN HẠN]]-Table1[[#This Row],[I. Nợ ngắn hạn]])/Table1[[#This Row],[TỔNG CỘNG TÀI SẢN]]</f>
        <v>#DIV/0!</v>
      </c>
      <c r="R2201" s="18" t="e">
        <f>Table1[[#This Row],[- LNST chưa phân phối kỳ này]]/Table1[[#This Row],[TỔNG CỘNG TÀI SẢN]]</f>
        <v>#DIV/0!</v>
      </c>
      <c r="S2201" s="21" t="e">
        <f>Table1[[#This Row],[5. Lợi nhuận gộp về bán hàng và cung cấp dịch vụ]]/Table1[[#This Row],[TỔNG CỘNG TÀI SẢN]]</f>
        <v>#DIV/0!</v>
      </c>
      <c r="T220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201" s="23" t="e">
        <f>Table1[[#This Row],[1. Doanh thu bán hàng và cung cấp dịch vụ ]]/Table1[[#This Row],[TỔNG CỘNG TÀI SẢN]]</f>
        <v>#DIV/0!</v>
      </c>
      <c r="V2201" s="23" t="e">
        <f>1.2*Table1[[#This Row],[X1]] + 1.4*Table1[[#This Row],[X2]] + 3.3*Table1[[#This Row],[x3]] + 0.6*Table1[[#This Row],[x4]] + 1*Table1[[#This Row],[x5]]</f>
        <v>#DIV/0!</v>
      </c>
      <c r="W2201" s="23" t="e">
        <f>IF(Table1[[#This Row],[Zscore]]&lt;1.81,1,0)</f>
        <v>#DIV/0!</v>
      </c>
    </row>
    <row r="2202" spans="1:23" x14ac:dyDescent="0.45">
      <c r="A2202" s="7">
        <v>2196</v>
      </c>
      <c r="B2202" s="5" t="s">
        <v>4401</v>
      </c>
      <c r="C2202" s="6" t="s">
        <v>4402</v>
      </c>
      <c r="D2202" s="6" t="s">
        <v>21</v>
      </c>
      <c r="E2202" s="8">
        <v>11304529303256</v>
      </c>
      <c r="F2202" s="8">
        <v>7348934829069</v>
      </c>
      <c r="G2202" s="8">
        <v>5572290553458</v>
      </c>
      <c r="H2202" s="8">
        <v>463483407919</v>
      </c>
      <c r="I2202" s="8">
        <v>1921727339294</v>
      </c>
      <c r="J2202" s="8"/>
      <c r="K2202" s="8">
        <v>8437575721804</v>
      </c>
      <c r="L2202" s="8">
        <v>27948603189148</v>
      </c>
      <c r="M2202" s="8">
        <v>1399021344000</v>
      </c>
      <c r="N2202" s="8">
        <v>2093861863050</v>
      </c>
      <c r="O2202" s="8">
        <v>1312415260800</v>
      </c>
      <c r="P2202" s="8">
        <v>1332401280000</v>
      </c>
      <c r="Q2202" s="18">
        <f>(Table1[[#This Row],[A. TÀI SẢN NGẮN HẠN]]-Table1[[#This Row],[I. Nợ ngắn hạn]])/Table1[[#This Row],[TỔNG CỘNG TÀI SẢN]]</f>
        <v>0.15716216287743001</v>
      </c>
      <c r="R2202" s="18">
        <f>Table1[[#This Row],[- LNST chưa phân phối kỳ này]]/Table1[[#This Row],[TỔNG CỘNG TÀI SẢN]]</f>
        <v>4.0999797115436255E-2</v>
      </c>
      <c r="S2202" s="21">
        <f>Table1[[#This Row],[5. Lợi nhuận gộp về bán hàng và cung cấp dịch vụ]]/Table1[[#This Row],[TỔNG CỘNG TÀI SẢN]]</f>
        <v>0.16999622786067636</v>
      </c>
      <c r="T220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0.18185613825038735</v>
      </c>
      <c r="U2202" s="23">
        <f>Table1[[#This Row],[1. Doanh thu bán hàng và cung cấp dịch vụ ]]/Table1[[#This Row],[TỔNG CỘNG TÀI SẢN]]</f>
        <v>2.4723367456881262</v>
      </c>
      <c r="V2202" s="23">
        <f>1.2*Table1[[#This Row],[X1]] + 1.4*Table1[[#This Row],[X2]] + 3.3*Table1[[#This Row],[x3]] + 0.6*Table1[[#This Row],[x4]] + 1*Table1[[#This Row],[x5]]</f>
        <v>3.3884322919931176</v>
      </c>
      <c r="W2202" s="23">
        <f>IF(Table1[[#This Row],[Zscore]]&lt;1.81,1,0)</f>
        <v>0</v>
      </c>
    </row>
    <row r="2203" spans="1:23" ht="26.25" x14ac:dyDescent="0.45">
      <c r="A2203" s="7">
        <v>2197</v>
      </c>
      <c r="B2203" s="5" t="s">
        <v>4403</v>
      </c>
      <c r="C2203" s="6" t="s">
        <v>4404</v>
      </c>
      <c r="D2203" s="6" t="s">
        <v>21</v>
      </c>
      <c r="E2203" s="8">
        <v>332588064738</v>
      </c>
      <c r="F2203" s="8">
        <v>125432132600</v>
      </c>
      <c r="G2203" s="8">
        <v>70731385648</v>
      </c>
      <c r="H2203" s="8">
        <v>2127625789</v>
      </c>
      <c r="I2203" s="8">
        <v>11946235938</v>
      </c>
      <c r="J2203" s="8"/>
      <c r="K2203" s="8">
        <v>70731385648</v>
      </c>
      <c r="L2203" s="8">
        <v>317200853038</v>
      </c>
      <c r="M2203" s="8">
        <v>89719201000</v>
      </c>
      <c r="N2203" s="8">
        <v>122846290600</v>
      </c>
      <c r="O2203" s="8">
        <v>110147572920</v>
      </c>
      <c r="P2203" s="8">
        <v>170880570520</v>
      </c>
      <c r="Q2203" s="18">
        <f>(Table1[[#This Row],[A. TÀI SẢN NGẮN HẠN]]-Table1[[#This Row],[I. Nợ ngắn hạn]])/Table1[[#This Row],[TỔNG CỘNG TÀI SẢN]]</f>
        <v>0.16446996375258124</v>
      </c>
      <c r="R2203" s="18">
        <f>Table1[[#This Row],[- LNST chưa phân phối kỳ này]]/Table1[[#This Row],[TỔNG CỘNG TÀI SẢN]]</f>
        <v>6.3971802195489525E-3</v>
      </c>
      <c r="S2203" s="21">
        <f>Table1[[#This Row],[5. Lợi nhuận gộp về bán hàng và cung cấp dịch vụ]]/Table1[[#This Row],[TỔNG CỘNG TÀI SẢN]]</f>
        <v>3.5919015757257498E-2</v>
      </c>
      <c r="T220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1.744606126820438</v>
      </c>
      <c r="U2203" s="23">
        <f>Table1[[#This Row],[1. Doanh thu bán hàng và cung cấp dịch vụ ]]/Table1[[#This Row],[TỔNG CỘNG TÀI SẢN]]</f>
        <v>0.95373492517802327</v>
      </c>
      <c r="V2203" s="23">
        <f>1.2*Table1[[#This Row],[X1]] + 1.4*Table1[[#This Row],[X2]] + 3.3*Table1[[#This Row],[x3]] + 0.6*Table1[[#This Row],[x4]] + 1*Table1[[#This Row],[x5]]</f>
        <v>2.3253513620797017</v>
      </c>
      <c r="W2203" s="23">
        <f>IF(Table1[[#This Row],[Zscore]]&lt;1.81,1,0)</f>
        <v>0</v>
      </c>
    </row>
    <row r="2204" spans="1:23" x14ac:dyDescent="0.45">
      <c r="A2204" s="7">
        <v>2198</v>
      </c>
      <c r="B2204" s="5" t="s">
        <v>4405</v>
      </c>
      <c r="C2204" s="6" t="s">
        <v>4406</v>
      </c>
      <c r="D2204" s="6" t="s">
        <v>18</v>
      </c>
      <c r="E2204" s="8">
        <v>396881957921</v>
      </c>
      <c r="F2204" s="8">
        <v>147068242921</v>
      </c>
      <c r="G2204" s="8">
        <v>77675525010</v>
      </c>
      <c r="H2204" s="8">
        <v>814205895</v>
      </c>
      <c r="I2204" s="8">
        <v>28223477423</v>
      </c>
      <c r="J2204" s="8"/>
      <c r="K2204" s="8">
        <v>93344339110</v>
      </c>
      <c r="L2204" s="8">
        <v>278726453648</v>
      </c>
      <c r="M2204" s="8">
        <v>158490000000</v>
      </c>
      <c r="N2204" s="8">
        <v>205450000000</v>
      </c>
      <c r="O2204" s="8">
        <v>176100000000</v>
      </c>
      <c r="P2204" s="8">
        <v>217190000000</v>
      </c>
      <c r="Q2204" s="18">
        <f>(Table1[[#This Row],[A. TÀI SẢN NGẮN HẠN]]-Table1[[#This Row],[I. Nợ ngắn hạn]])/Table1[[#This Row],[TỔNG CỘNG TÀI SẢN]]</f>
        <v>0.17484472782411725</v>
      </c>
      <c r="R2204" s="18">
        <f>Table1[[#This Row],[- LNST chưa phân phối kỳ này]]/Table1[[#This Row],[TỔNG CỘNG TÀI SẢN]]</f>
        <v>2.0515064460603903E-3</v>
      </c>
      <c r="S2204" s="21">
        <f>Table1[[#This Row],[5. Lợi nhuận gộp về bán hàng và cung cấp dịch vụ]]/Table1[[#This Row],[TỔNG CỘNG TÀI SẢN]]</f>
        <v>7.1113027084536623E-2</v>
      </c>
      <c r="T220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2.0280554965086197</v>
      </c>
      <c r="U2204" s="23">
        <f>Table1[[#This Row],[1. Doanh thu bán hàng và cung cấp dịch vụ ]]/Table1[[#This Row],[TỔNG CỘNG TÀI SẢN]]</f>
        <v>0.70229056293730785</v>
      </c>
      <c r="V2204" s="23">
        <f>1.2*Table1[[#This Row],[X1]] + 1.4*Table1[[#This Row],[X2]] + 3.3*Table1[[#This Row],[x3]] + 0.6*Table1[[#This Row],[x4]] + 1*Table1[[#This Row],[x5]]</f>
        <v>2.3664826326348756</v>
      </c>
      <c r="W2204" s="23">
        <f>IF(Table1[[#This Row],[Zscore]]&lt;1.81,1,0)</f>
        <v>0</v>
      </c>
    </row>
    <row r="2205" spans="1:23" x14ac:dyDescent="0.45">
      <c r="A2205" s="7">
        <v>2199</v>
      </c>
      <c r="B2205" s="5" t="s">
        <v>4407</v>
      </c>
      <c r="C2205" s="6" t="s">
        <v>4408</v>
      </c>
      <c r="D2205" s="6" t="s">
        <v>18</v>
      </c>
      <c r="E2205" s="8">
        <v>574464855217</v>
      </c>
      <c r="F2205" s="8">
        <v>90922282548</v>
      </c>
      <c r="G2205" s="8">
        <v>96666004740</v>
      </c>
      <c r="H2205" s="8">
        <v>56109113439</v>
      </c>
      <c r="I2205" s="8">
        <v>70441864146</v>
      </c>
      <c r="J2205" s="8"/>
      <c r="K2205" s="8">
        <v>296075932327</v>
      </c>
      <c r="L2205" s="8">
        <v>89567358991</v>
      </c>
      <c r="M2205" s="8">
        <v>88923972000</v>
      </c>
      <c r="N2205" s="8">
        <v>88923972000</v>
      </c>
      <c r="O2205" s="8">
        <v>88923972000</v>
      </c>
      <c r="P2205" s="8">
        <v>88923972000</v>
      </c>
      <c r="Q2205" s="18">
        <f>(Table1[[#This Row],[A. TÀI SẢN NGẮN HẠN]]-Table1[[#This Row],[I. Nợ ngắn hạn]])/Table1[[#This Row],[TỔNG CỘNG TÀI SẢN]]</f>
        <v>-9.9983874380450127E-3</v>
      </c>
      <c r="R2205" s="18">
        <f>Table1[[#This Row],[- LNST chưa phân phối kỳ này]]/Table1[[#This Row],[TỔNG CỘNG TÀI SẢN]]</f>
        <v>9.7671968840992343E-2</v>
      </c>
      <c r="S2205" s="21">
        <f>Table1[[#This Row],[5. Lợi nhuận gộp về bán hàng và cung cấp dịch vụ]]/Table1[[#This Row],[TỔNG CỘNG TÀI SẢN]]</f>
        <v>0.12262171220098589</v>
      </c>
      <c r="T220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0.30034177820907187</v>
      </c>
      <c r="U2205" s="23">
        <f>Table1[[#This Row],[1. Doanh thu bán hàng và cung cấp dịch vụ ]]/Table1[[#This Row],[TỔNG CỘNG TÀI SẢN]]</f>
        <v>0.15591442744946785</v>
      </c>
      <c r="V2205" s="23">
        <f>1.2*Table1[[#This Row],[X1]] + 1.4*Table1[[#This Row],[X2]] + 3.3*Table1[[#This Row],[x3]] + 0.6*Table1[[#This Row],[x4]] + 1*Table1[[#This Row],[x5]]</f>
        <v>0.86551383608989962</v>
      </c>
      <c r="W2205" s="23">
        <f>IF(Table1[[#This Row],[Zscore]]&lt;1.81,1,0)</f>
        <v>1</v>
      </c>
    </row>
    <row r="2206" spans="1:23" x14ac:dyDescent="0.45">
      <c r="A2206" s="7">
        <v>2200</v>
      </c>
      <c r="B2206" s="5" t="s">
        <v>4409</v>
      </c>
      <c r="C2206" s="6" t="s">
        <v>4410</v>
      </c>
      <c r="D2206" s="6" t="s">
        <v>13</v>
      </c>
      <c r="E2206" s="8">
        <v>1501707155068</v>
      </c>
      <c r="F2206" s="8">
        <v>894844324618</v>
      </c>
      <c r="G2206" s="8">
        <v>594737788426</v>
      </c>
      <c r="H2206" s="8">
        <v>27289862022</v>
      </c>
      <c r="I2206" s="8">
        <v>177160436237</v>
      </c>
      <c r="J2206" s="8"/>
      <c r="K2206" s="8">
        <v>602095351876</v>
      </c>
      <c r="L2206" s="8">
        <v>1523307224347</v>
      </c>
      <c r="M2206" s="8">
        <v>731448909000</v>
      </c>
      <c r="N2206" s="8">
        <v>474800169000</v>
      </c>
      <c r="O2206" s="8">
        <v>766096488900</v>
      </c>
      <c r="P2206" s="8">
        <v>666003480300</v>
      </c>
      <c r="Q2206" s="18">
        <f>(Table1[[#This Row],[A. TÀI SẢN NGẮN HẠN]]-Table1[[#This Row],[I. Nợ ngắn hạn]])/Table1[[#This Row],[TỔNG CỘNG TÀI SẢN]]</f>
        <v>0.19984358147272105</v>
      </c>
      <c r="R2206" s="18">
        <f>Table1[[#This Row],[- LNST chưa phân phối kỳ này]]/Table1[[#This Row],[TỔNG CỘNG TÀI SẢN]]</f>
        <v>1.8172559097092578E-2</v>
      </c>
      <c r="S2206" s="21">
        <f>Table1[[#This Row],[5. Lợi nhuận gộp về bán hàng và cung cấp dịch vụ]]/Table1[[#This Row],[TỔNG CỘNG TÀI SẢN]]</f>
        <v>0.11797269237155486</v>
      </c>
      <c r="T220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1.095486387238944</v>
      </c>
      <c r="U2206" s="23">
        <f>Table1[[#This Row],[1. Doanh thu bán hàng và cung cấp dịch vụ ]]/Table1[[#This Row],[TỔNG CỘNG TÀI SẢN]]</f>
        <v>1.0143836760756606</v>
      </c>
      <c r="V2206" s="23">
        <f>1.2*Table1[[#This Row],[X1]] + 1.4*Table1[[#This Row],[X2]] + 3.3*Table1[[#This Row],[x3]] + 0.6*Table1[[#This Row],[x4]] + 1*Table1[[#This Row],[x5]]</f>
        <v>2.326239273748353</v>
      </c>
      <c r="W2206" s="23">
        <f>IF(Table1[[#This Row],[Zscore]]&lt;1.81,1,0)</f>
        <v>0</v>
      </c>
    </row>
    <row r="2207" spans="1:23" hidden="1" x14ac:dyDescent="0.45">
      <c r="A2207" s="7">
        <v>2201</v>
      </c>
      <c r="B2207" s="5" t="s">
        <v>4411</v>
      </c>
      <c r="C2207" s="6" t="s">
        <v>4412</v>
      </c>
      <c r="D2207" s="6" t="s">
        <v>13</v>
      </c>
      <c r="E2207" s="6"/>
      <c r="F2207" s="6"/>
      <c r="G2207" s="6"/>
      <c r="H2207" s="6"/>
      <c r="I2207" s="6"/>
      <c r="J2207" s="8"/>
      <c r="K2207" s="6"/>
      <c r="L2207" s="6"/>
      <c r="M2207" s="8"/>
      <c r="N2207" s="8"/>
      <c r="O2207" s="8"/>
      <c r="P2207" s="8"/>
      <c r="Q2207" s="18" t="e">
        <f>(Table1[[#This Row],[A. TÀI SẢN NGẮN HẠN]]-Table1[[#This Row],[I. Nợ ngắn hạn]])/Table1[[#This Row],[TỔNG CỘNG TÀI SẢN]]</f>
        <v>#DIV/0!</v>
      </c>
      <c r="R2207" s="18" t="e">
        <f>Table1[[#This Row],[- LNST chưa phân phối kỳ này]]/Table1[[#This Row],[TỔNG CỘNG TÀI SẢN]]</f>
        <v>#DIV/0!</v>
      </c>
      <c r="S2207" s="21" t="e">
        <f>Table1[[#This Row],[5. Lợi nhuận gộp về bán hàng và cung cấp dịch vụ]]/Table1[[#This Row],[TỔNG CỘNG TÀI SẢN]]</f>
        <v>#DIV/0!</v>
      </c>
      <c r="T220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207" s="23" t="e">
        <f>Table1[[#This Row],[1. Doanh thu bán hàng và cung cấp dịch vụ ]]/Table1[[#This Row],[TỔNG CỘNG TÀI SẢN]]</f>
        <v>#DIV/0!</v>
      </c>
      <c r="V2207" s="23" t="e">
        <f>1.2*Table1[[#This Row],[X1]] + 1.4*Table1[[#This Row],[X2]] + 3.3*Table1[[#This Row],[x3]] + 0.6*Table1[[#This Row],[x4]] + 1*Table1[[#This Row],[x5]]</f>
        <v>#DIV/0!</v>
      </c>
      <c r="W2207" s="23" t="e">
        <f>IF(Table1[[#This Row],[Zscore]]&lt;1.81,1,0)</f>
        <v>#DIV/0!</v>
      </c>
    </row>
    <row r="2208" spans="1:23" hidden="1" x14ac:dyDescent="0.45">
      <c r="A2208" s="7">
        <v>2202</v>
      </c>
      <c r="B2208" s="5" t="s">
        <v>4413</v>
      </c>
      <c r="C2208" s="6" t="s">
        <v>4414</v>
      </c>
      <c r="D2208" s="6" t="s">
        <v>13</v>
      </c>
      <c r="E2208" s="6"/>
      <c r="F2208" s="6"/>
      <c r="G2208" s="6"/>
      <c r="H2208" s="6"/>
      <c r="I2208" s="6"/>
      <c r="J2208" s="8"/>
      <c r="K2208" s="6"/>
      <c r="L2208" s="6"/>
      <c r="M2208" s="8"/>
      <c r="N2208" s="8"/>
      <c r="O2208" s="8"/>
      <c r="P2208" s="8"/>
      <c r="Q2208" s="18" t="e">
        <f>(Table1[[#This Row],[A. TÀI SẢN NGẮN HẠN]]-Table1[[#This Row],[I. Nợ ngắn hạn]])/Table1[[#This Row],[TỔNG CỘNG TÀI SẢN]]</f>
        <v>#DIV/0!</v>
      </c>
      <c r="R2208" s="18" t="e">
        <f>Table1[[#This Row],[- LNST chưa phân phối kỳ này]]/Table1[[#This Row],[TỔNG CỘNG TÀI SẢN]]</f>
        <v>#DIV/0!</v>
      </c>
      <c r="S2208" s="21" t="e">
        <f>Table1[[#This Row],[5. Lợi nhuận gộp về bán hàng và cung cấp dịch vụ]]/Table1[[#This Row],[TỔNG CỘNG TÀI SẢN]]</f>
        <v>#DIV/0!</v>
      </c>
      <c r="T220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208" s="23" t="e">
        <f>Table1[[#This Row],[1. Doanh thu bán hàng và cung cấp dịch vụ ]]/Table1[[#This Row],[TỔNG CỘNG TÀI SẢN]]</f>
        <v>#DIV/0!</v>
      </c>
      <c r="V2208" s="23" t="e">
        <f>1.2*Table1[[#This Row],[X1]] + 1.4*Table1[[#This Row],[X2]] + 3.3*Table1[[#This Row],[x3]] + 0.6*Table1[[#This Row],[x4]] + 1*Table1[[#This Row],[x5]]</f>
        <v>#DIV/0!</v>
      </c>
      <c r="W2208" s="23" t="e">
        <f>IF(Table1[[#This Row],[Zscore]]&lt;1.81,1,0)</f>
        <v>#DIV/0!</v>
      </c>
    </row>
    <row r="2209" spans="1:23" x14ac:dyDescent="0.45">
      <c r="A2209" s="7">
        <v>2203</v>
      </c>
      <c r="B2209" s="5" t="s">
        <v>4415</v>
      </c>
      <c r="C2209" s="6" t="s">
        <v>4416</v>
      </c>
      <c r="D2209" s="6" t="s">
        <v>36</v>
      </c>
      <c r="E2209" s="8">
        <v>226836507228</v>
      </c>
      <c r="F2209" s="8">
        <v>141756998088</v>
      </c>
      <c r="G2209" s="8">
        <v>1361937714</v>
      </c>
      <c r="H2209" s="8">
        <v>789635832</v>
      </c>
      <c r="I2209" s="8">
        <v>260872600</v>
      </c>
      <c r="J2209" s="8"/>
      <c r="K2209" s="8">
        <v>1361937714</v>
      </c>
      <c r="L2209" s="8">
        <v>29446488400</v>
      </c>
      <c r="M2209" s="8">
        <v>121800000000</v>
      </c>
      <c r="N2209" s="8">
        <v>60900000000</v>
      </c>
      <c r="O2209" s="8">
        <v>94500000000</v>
      </c>
      <c r="P2209" s="8">
        <v>67200000000</v>
      </c>
      <c r="Q2209" s="18">
        <f>(Table1[[#This Row],[A. TÀI SẢN NGẮN HẠN]]-Table1[[#This Row],[I. Nợ ngắn hạn]])/Table1[[#This Row],[TỔNG CỘNG TÀI SẢN]]</f>
        <v>0.61892621293487304</v>
      </c>
      <c r="R2209" s="18">
        <f>Table1[[#This Row],[- LNST chưa phân phối kỳ này]]/Table1[[#This Row],[TỔNG CỘNG TÀI SẢN]]</f>
        <v>3.4810791333791521E-3</v>
      </c>
      <c r="S2209" s="21">
        <f>Table1[[#This Row],[5. Lợi nhuận gộp về bán hàng và cung cấp dịch vụ]]/Table1[[#This Row],[TỔNG CỘNG TÀI SẢN]]</f>
        <v>1.1500468032590069E-3</v>
      </c>
      <c r="T220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63.218750105043348</v>
      </c>
      <c r="U2209" s="23">
        <f>Table1[[#This Row],[1. Doanh thu bán hàng và cung cấp dịch vụ ]]/Table1[[#This Row],[TỔNG CỘNG TÀI SẢN]]</f>
        <v>0.12981370926507202</v>
      </c>
      <c r="V2209" s="23">
        <f>1.2*Table1[[#This Row],[X1]] + 1.4*Table1[[#This Row],[X2]] + 3.3*Table1[[#This Row],[x3]] + 0.6*Table1[[#This Row],[x4]] + 1*Table1[[#This Row],[x5]]</f>
        <v>38.812443893050414</v>
      </c>
      <c r="W2209" s="23">
        <f>IF(Table1[[#This Row],[Zscore]]&lt;1.81,1,0)</f>
        <v>0</v>
      </c>
    </row>
    <row r="2210" spans="1:23" ht="26.25" x14ac:dyDescent="0.45">
      <c r="A2210" s="7">
        <v>2204</v>
      </c>
      <c r="B2210" s="5" t="s">
        <v>4417</v>
      </c>
      <c r="C2210" s="6" t="s">
        <v>4418</v>
      </c>
      <c r="D2210" s="6" t="s">
        <v>21</v>
      </c>
      <c r="E2210" s="8">
        <v>253396565273</v>
      </c>
      <c r="F2210" s="8">
        <v>24994409328</v>
      </c>
      <c r="G2210" s="8">
        <v>17216417672</v>
      </c>
      <c r="H2210" s="8">
        <v>26887140808</v>
      </c>
      <c r="I2210" s="8">
        <v>5494566854</v>
      </c>
      <c r="J2210" s="8"/>
      <c r="K2210" s="8">
        <v>17216417672</v>
      </c>
      <c r="L2210" s="8">
        <v>14333372037</v>
      </c>
      <c r="M2210" s="8">
        <v>214656127200</v>
      </c>
      <c r="N2210" s="8">
        <v>191286306900</v>
      </c>
      <c r="O2210" s="8">
        <v>219849420600</v>
      </c>
      <c r="P2210" s="8">
        <v>194748502500</v>
      </c>
      <c r="Q2210" s="18">
        <f>(Table1[[#This Row],[A. TÀI SẢN NGẮN HẠN]]-Table1[[#This Row],[I. Nợ ngắn hạn]])/Table1[[#This Row],[TỔNG CỘNG TÀI SẢN]]</f>
        <v>3.069493719309211E-2</v>
      </c>
      <c r="R2210" s="18">
        <f>Table1[[#This Row],[- LNST chưa phân phối kỳ này]]/Table1[[#This Row],[TỔNG CỘNG TÀI SẢN]]</f>
        <v>0.10610696628438036</v>
      </c>
      <c r="S2210" s="21">
        <f>Table1[[#This Row],[5. Lợi nhuận gộp về bán hàng và cung cấp dịch vụ]]/Table1[[#This Row],[TỔNG CỘNG TÀI SẢN]]</f>
        <v>2.1683667448611069E-2</v>
      </c>
      <c r="T221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11.915085542657483</v>
      </c>
      <c r="U2210" s="23">
        <f>Table1[[#This Row],[1. Doanh thu bán hàng và cung cấp dịch vụ ]]/Table1[[#This Row],[TỔNG CỘNG TÀI SẢN]]</f>
        <v>5.6564981540131613E-2</v>
      </c>
      <c r="V2210" s="23">
        <f>1.2*Table1[[#This Row],[X1]] + 1.4*Table1[[#This Row],[X2]] + 3.3*Table1[[#This Row],[x3]] + 0.6*Table1[[#This Row],[x4]] + 1*Table1[[#This Row],[x5]]</f>
        <v>7.4625560871448808</v>
      </c>
      <c r="W2210" s="23">
        <f>IF(Table1[[#This Row],[Zscore]]&lt;1.81,1,0)</f>
        <v>0</v>
      </c>
    </row>
    <row r="2211" spans="1:23" ht="26.25" x14ac:dyDescent="0.45">
      <c r="A2211" s="7">
        <v>2205</v>
      </c>
      <c r="B2211" s="5" t="s">
        <v>4419</v>
      </c>
      <c r="C2211" s="6" t="s">
        <v>4420</v>
      </c>
      <c r="D2211" s="6" t="s">
        <v>18</v>
      </c>
      <c r="E2211" s="8">
        <v>2193049810287</v>
      </c>
      <c r="F2211" s="8">
        <v>640617173741</v>
      </c>
      <c r="G2211" s="8">
        <v>158491136490</v>
      </c>
      <c r="H2211" s="8">
        <v>310287101323</v>
      </c>
      <c r="I2211" s="8">
        <v>264406693035</v>
      </c>
      <c r="J2211" s="8"/>
      <c r="K2211" s="8">
        <v>225726029632</v>
      </c>
      <c r="L2211" s="8">
        <v>1083361020721</v>
      </c>
      <c r="M2211" s="8">
        <v>2281400000000</v>
      </c>
      <c r="N2211" s="8">
        <v>2180750000000</v>
      </c>
      <c r="O2211" s="8">
        <v>2382050000000</v>
      </c>
      <c r="P2211" s="8">
        <v>2080100000000</v>
      </c>
      <c r="Q2211" s="18">
        <f>(Table1[[#This Row],[A. TÀI SẢN NGẮN HẠN]]-Table1[[#This Row],[I. Nợ ngắn hạn]])/Table1[[#This Row],[TỔNG CỘNG TÀI SẢN]]</f>
        <v>0.21984272084905593</v>
      </c>
      <c r="R2211" s="18">
        <f>Table1[[#This Row],[- LNST chưa phân phối kỳ này]]/Table1[[#This Row],[TỔNG CỘNG TÀI SẢN]]</f>
        <v>0.1414865726567302</v>
      </c>
      <c r="S2211" s="21">
        <f>Table1[[#This Row],[5. Lợi nhuận gộp về bán hàng và cung cấp dịch vụ]]/Table1[[#This Row],[TỔNG CỘNG TÀI SẢN]]</f>
        <v>0.12056574902892772</v>
      </c>
      <c r="T221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9.8839952292489723</v>
      </c>
      <c r="U2211" s="23">
        <f>Table1[[#This Row],[1. Doanh thu bán hàng và cung cấp dịch vụ ]]/Table1[[#This Row],[TỔNG CỘNG TÀI SẢN]]</f>
        <v>0.49399745306251058</v>
      </c>
      <c r="V2211" s="23">
        <f>1.2*Table1[[#This Row],[X1]] + 1.4*Table1[[#This Row],[X2]] + 3.3*Table1[[#This Row],[x3]] + 0.6*Table1[[#This Row],[x4]] + 1*Table1[[#This Row],[x5]]</f>
        <v>7.284154029145645</v>
      </c>
      <c r="W2211" s="23">
        <f>IF(Table1[[#This Row],[Zscore]]&lt;1.81,1,0)</f>
        <v>0</v>
      </c>
    </row>
    <row r="2212" spans="1:23" hidden="1" x14ac:dyDescent="0.45">
      <c r="A2212" s="7">
        <v>2206</v>
      </c>
      <c r="B2212" s="5" t="s">
        <v>4421</v>
      </c>
      <c r="C2212" s="6" t="s">
        <v>4422</v>
      </c>
      <c r="D2212" s="6" t="s">
        <v>13</v>
      </c>
      <c r="E2212" s="6"/>
      <c r="F2212" s="6"/>
      <c r="G2212" s="6"/>
      <c r="H2212" s="6"/>
      <c r="I2212" s="6"/>
      <c r="J2212" s="8"/>
      <c r="K2212" s="6"/>
      <c r="L2212" s="6"/>
      <c r="M2212" s="8"/>
      <c r="N2212" s="8"/>
      <c r="O2212" s="8"/>
      <c r="P2212" s="8"/>
      <c r="Q2212" s="18" t="e">
        <f>(Table1[[#This Row],[A. TÀI SẢN NGẮN HẠN]]-Table1[[#This Row],[I. Nợ ngắn hạn]])/Table1[[#This Row],[TỔNG CỘNG TÀI SẢN]]</f>
        <v>#DIV/0!</v>
      </c>
      <c r="R2212" s="18" t="e">
        <f>Table1[[#This Row],[- LNST chưa phân phối kỳ này]]/Table1[[#This Row],[TỔNG CỘNG TÀI SẢN]]</f>
        <v>#DIV/0!</v>
      </c>
      <c r="S2212" s="21" t="e">
        <f>Table1[[#This Row],[5. Lợi nhuận gộp về bán hàng và cung cấp dịch vụ]]/Table1[[#This Row],[TỔNG CỘNG TÀI SẢN]]</f>
        <v>#DIV/0!</v>
      </c>
      <c r="T221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212" s="23" t="e">
        <f>Table1[[#This Row],[1. Doanh thu bán hàng và cung cấp dịch vụ ]]/Table1[[#This Row],[TỔNG CỘNG TÀI SẢN]]</f>
        <v>#DIV/0!</v>
      </c>
      <c r="V2212" s="23" t="e">
        <f>1.2*Table1[[#This Row],[X1]] + 1.4*Table1[[#This Row],[X2]] + 3.3*Table1[[#This Row],[x3]] + 0.6*Table1[[#This Row],[x4]] + 1*Table1[[#This Row],[x5]]</f>
        <v>#DIV/0!</v>
      </c>
      <c r="W2212" s="23" t="e">
        <f>IF(Table1[[#This Row],[Zscore]]&lt;1.81,1,0)</f>
        <v>#DIV/0!</v>
      </c>
    </row>
    <row r="2213" spans="1:23" x14ac:dyDescent="0.45">
      <c r="A2213" s="7">
        <v>2207</v>
      </c>
      <c r="B2213" s="5" t="s">
        <v>4423</v>
      </c>
      <c r="C2213" s="6" t="s">
        <v>4424</v>
      </c>
      <c r="D2213" s="6" t="s">
        <v>36</v>
      </c>
      <c r="E2213" s="8">
        <v>1854003342770</v>
      </c>
      <c r="F2213" s="8">
        <v>494406873133</v>
      </c>
      <c r="G2213" s="8">
        <v>224147654049</v>
      </c>
      <c r="H2213" s="8">
        <v>201714528637</v>
      </c>
      <c r="I2213" s="8">
        <v>265452576273</v>
      </c>
      <c r="J2213" s="8"/>
      <c r="K2213" s="8">
        <v>1073902764327</v>
      </c>
      <c r="L2213" s="8">
        <v>522087650732</v>
      </c>
      <c r="M2213" s="8">
        <v>1221000000000</v>
      </c>
      <c r="N2213" s="8">
        <v>1125000000000</v>
      </c>
      <c r="O2213" s="8">
        <v>1218000000000</v>
      </c>
      <c r="P2213" s="8">
        <v>1137000000000</v>
      </c>
      <c r="Q2213" s="18">
        <f>(Table1[[#This Row],[A. TÀI SẢN NGẮN HẠN]]-Table1[[#This Row],[I. Nợ ngắn hạn]])/Table1[[#This Row],[TỔNG CỘNG TÀI SẢN]]</f>
        <v>0.14577062125476828</v>
      </c>
      <c r="R2213" s="18">
        <f>Table1[[#This Row],[- LNST chưa phân phối kỳ này]]/Table1[[#This Row],[TỔNG CỘNG TÀI SẢN]]</f>
        <v>0.10879944171817163</v>
      </c>
      <c r="S2213" s="21">
        <f>Table1[[#This Row],[5. Lợi nhuận gộp về bán hàng và cung cấp dịch vụ]]/Table1[[#This Row],[TỔNG CỘNG TÀI SẢN]]</f>
        <v>0.14317804620373381</v>
      </c>
      <c r="T221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1.0943728231638485</v>
      </c>
      <c r="U2213" s="23">
        <f>Table1[[#This Row],[1. Doanh thu bán hàng và cung cấp dịch vụ ]]/Table1[[#This Row],[TỔNG CỘNG TÀI SẢN]]</f>
        <v>0.28160016688641326</v>
      </c>
      <c r="V2213" s="23">
        <f>1.2*Table1[[#This Row],[X1]] + 1.4*Table1[[#This Row],[X2]] + 3.3*Table1[[#This Row],[x3]] + 0.6*Table1[[#This Row],[x4]] + 1*Table1[[#This Row],[x5]]</f>
        <v>1.7379553771682059</v>
      </c>
      <c r="W2213" s="23">
        <f>IF(Table1[[#This Row],[Zscore]]&lt;1.81,1,0)</f>
        <v>1</v>
      </c>
    </row>
    <row r="2214" spans="1:23" x14ac:dyDescent="0.45">
      <c r="A2214" s="7">
        <v>2208</v>
      </c>
      <c r="B2214" s="5" t="s">
        <v>4425</v>
      </c>
      <c r="C2214" s="6" t="s">
        <v>4426</v>
      </c>
      <c r="D2214" s="6" t="s">
        <v>21</v>
      </c>
      <c r="E2214" s="8">
        <v>8171471413390</v>
      </c>
      <c r="F2214" s="8">
        <v>2531411574456</v>
      </c>
      <c r="G2214" s="8">
        <v>1464251053824</v>
      </c>
      <c r="H2214" s="8">
        <v>344800515481</v>
      </c>
      <c r="I2214" s="8">
        <v>560497171897</v>
      </c>
      <c r="J2214" s="8"/>
      <c r="K2214" s="8">
        <v>4968582890855</v>
      </c>
      <c r="L2214" s="8">
        <v>1097974108948</v>
      </c>
      <c r="M2214" s="8">
        <v>7469413314500</v>
      </c>
      <c r="N2214" s="8">
        <v>5246587906450</v>
      </c>
      <c r="O2214" s="8">
        <v>6902457846050</v>
      </c>
      <c r="P2214" s="8">
        <v>6092521462550</v>
      </c>
      <c r="Q2214" s="18">
        <f>(Table1[[#This Row],[A. TÀI SẢN NGẮN HẠN]]-Table1[[#This Row],[I. Nợ ngắn hạn]])/Table1[[#This Row],[TỔNG CỘNG TÀI SẢN]]</f>
        <v>0.13059588250939985</v>
      </c>
      <c r="R2214" s="18">
        <f>Table1[[#This Row],[- LNST chưa phân phối kỳ này]]/Table1[[#This Row],[TỔNG CỘNG TÀI SẢN]]</f>
        <v>4.2195646051701327E-2</v>
      </c>
      <c r="S2214" s="21">
        <f>Table1[[#This Row],[5. Lợi nhuận gộp về bán hàng và cung cấp dịch vụ]]/Table1[[#This Row],[TỔNG CỘNG TÀI SẢN]]</f>
        <v>6.8591951625573064E-2</v>
      </c>
      <c r="T221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1.2936777494883265</v>
      </c>
      <c r="U2214" s="23">
        <f>Table1[[#This Row],[1. Doanh thu bán hàng và cung cấp dịch vụ ]]/Table1[[#This Row],[TỔNG CỘNG TÀI SẢN]]</f>
        <v>0.1343667564141299</v>
      </c>
      <c r="V2214" s="23">
        <f>1.2*Table1[[#This Row],[X1]] + 1.4*Table1[[#This Row],[X2]] + 3.3*Table1[[#This Row],[x3]] + 0.6*Table1[[#This Row],[x4]] + 1*Table1[[#This Row],[x5]]</f>
        <v>1.3527158099551786</v>
      </c>
      <c r="W2214" s="23">
        <f>IF(Table1[[#This Row],[Zscore]]&lt;1.81,1,0)</f>
        <v>1</v>
      </c>
    </row>
    <row r="2215" spans="1:23" x14ac:dyDescent="0.45">
      <c r="A2215" s="7">
        <v>2209</v>
      </c>
      <c r="B2215" s="5" t="s">
        <v>4427</v>
      </c>
      <c r="C2215" s="6" t="s">
        <v>4428</v>
      </c>
      <c r="D2215" s="6" t="s">
        <v>18</v>
      </c>
      <c r="E2215" s="8">
        <v>535951249335</v>
      </c>
      <c r="F2215" s="8">
        <v>208854396934</v>
      </c>
      <c r="G2215" s="8">
        <v>176723945991</v>
      </c>
      <c r="H2215" s="8">
        <v>14394713675</v>
      </c>
      <c r="I2215" s="8">
        <v>46023738535</v>
      </c>
      <c r="J2215" s="8"/>
      <c r="K2215" s="8">
        <v>188636945991</v>
      </c>
      <c r="L2215" s="8">
        <v>423987620478</v>
      </c>
      <c r="M2215" s="8">
        <v>360000000000</v>
      </c>
      <c r="N2215" s="8">
        <v>300000000000</v>
      </c>
      <c r="O2215" s="8">
        <v>354000000000</v>
      </c>
      <c r="P2215" s="8">
        <v>315000000000</v>
      </c>
      <c r="Q2215" s="18">
        <f>(Table1[[#This Row],[A. TÀI SẢN NGẮN HẠN]]-Table1[[#This Row],[I. Nợ ngắn hạn]])/Table1[[#This Row],[TỔNG CỘNG TÀI SẢN]]</f>
        <v>5.9950323808120543E-2</v>
      </c>
      <c r="R2215" s="18">
        <f>Table1[[#This Row],[- LNST chưa phân phối kỳ này]]/Table1[[#This Row],[TỔNG CỘNG TÀI SẢN]]</f>
        <v>2.6858251926571191E-2</v>
      </c>
      <c r="S2215" s="21">
        <f>Table1[[#This Row],[5. Lợi nhuận gộp về bán hàng và cung cấp dịch vụ]]/Table1[[#This Row],[TỔNG CỘNG TÀI SẢN]]</f>
        <v>8.5872994217488147E-2</v>
      </c>
      <c r="T221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1.7613198636912404</v>
      </c>
      <c r="U2215" s="23">
        <f>Table1[[#This Row],[1. Doanh thu bán hàng và cung cấp dịch vụ ]]/Table1[[#This Row],[TỔNG CỘNG TÀI SẢN]]</f>
        <v>0.79109363212433459</v>
      </c>
      <c r="V2215" s="23">
        <f>1.2*Table1[[#This Row],[X1]] + 1.4*Table1[[#This Row],[X2]] + 3.3*Table1[[#This Row],[x3]] + 0.6*Table1[[#This Row],[x4]] + 1*Table1[[#This Row],[x5]]</f>
        <v>2.240808372523734</v>
      </c>
      <c r="W2215" s="23">
        <f>IF(Table1[[#This Row],[Zscore]]&lt;1.81,1,0)</f>
        <v>0</v>
      </c>
    </row>
    <row r="2216" spans="1:23" x14ac:dyDescent="0.45">
      <c r="A2216" s="7">
        <v>2210</v>
      </c>
      <c r="B2216" s="5" t="s">
        <v>4429</v>
      </c>
      <c r="C2216" s="6" t="s">
        <v>4430</v>
      </c>
      <c r="D2216" s="6" t="s">
        <v>18</v>
      </c>
      <c r="E2216" s="8">
        <v>4793389533463</v>
      </c>
      <c r="F2216" s="8">
        <v>2314512754690</v>
      </c>
      <c r="G2216" s="8">
        <v>228118409350</v>
      </c>
      <c r="H2216" s="8">
        <v>165299184021</v>
      </c>
      <c r="I2216" s="8">
        <v>304204604075</v>
      </c>
      <c r="J2216" s="8"/>
      <c r="K2216" s="8">
        <v>3737348122334</v>
      </c>
      <c r="L2216" s="8">
        <v>649700056032</v>
      </c>
      <c r="M2216" s="8">
        <v>2031226000000</v>
      </c>
      <c r="N2216" s="8">
        <v>2031226000000</v>
      </c>
      <c r="O2216" s="8">
        <v>2190430200000</v>
      </c>
      <c r="P2216" s="8">
        <v>2031226000000</v>
      </c>
      <c r="Q2216" s="18">
        <f>(Table1[[#This Row],[A. TÀI SẢN NGẮN HẠN]]-Table1[[#This Row],[I. Nợ ngắn hạn]])/Table1[[#This Row],[TỔNG CỘNG TÀI SẢN]]</f>
        <v>0.43526492699471425</v>
      </c>
      <c r="R2216" s="18">
        <f>Table1[[#This Row],[- LNST chưa phân phối kỳ này]]/Table1[[#This Row],[TỔNG CỘNG TÀI SẢN]]</f>
        <v>3.4484821829528854E-2</v>
      </c>
      <c r="S2216" s="21">
        <f>Table1[[#This Row],[5. Lợi nhuận gộp về bán hàng và cung cấp dịch vụ]]/Table1[[#This Row],[TỔNG CỘNG TÀI SẢN]]</f>
        <v>6.346335968552641E-2</v>
      </c>
      <c r="T221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0.55414346809807724</v>
      </c>
      <c r="U2216" s="23">
        <f>Table1[[#This Row],[1. Doanh thu bán hàng và cung cấp dịch vụ ]]/Table1[[#This Row],[TỔNG CỘNG TÀI SẢN]]</f>
        <v>0.13554084254918086</v>
      </c>
      <c r="V2216" s="23">
        <f>1.2*Table1[[#This Row],[X1]] + 1.4*Table1[[#This Row],[X2]] + 3.3*Table1[[#This Row],[x3]] + 0.6*Table1[[#This Row],[x4]] + 1*Table1[[#This Row],[x5]]</f>
        <v>1.2480526733252617</v>
      </c>
      <c r="W2216" s="23">
        <f>IF(Table1[[#This Row],[Zscore]]&lt;1.81,1,0)</f>
        <v>1</v>
      </c>
    </row>
    <row r="2217" spans="1:23" x14ac:dyDescent="0.45">
      <c r="A2217" s="7">
        <v>2211</v>
      </c>
      <c r="B2217" s="5" t="s">
        <v>4431</v>
      </c>
      <c r="C2217" s="6" t="s">
        <v>4432</v>
      </c>
      <c r="D2217" s="6" t="s">
        <v>21</v>
      </c>
      <c r="E2217" s="8">
        <v>2028015851181</v>
      </c>
      <c r="F2217" s="8">
        <v>237171355511</v>
      </c>
      <c r="G2217" s="8">
        <v>244848118328</v>
      </c>
      <c r="H2217" s="8">
        <v>140686596943</v>
      </c>
      <c r="I2217" s="8">
        <v>209966239662</v>
      </c>
      <c r="J2217" s="8"/>
      <c r="K2217" s="8">
        <v>1345537289146</v>
      </c>
      <c r="L2217" s="8">
        <v>534753004309</v>
      </c>
      <c r="M2217" s="8">
        <v>1278357245000</v>
      </c>
      <c r="N2217" s="8">
        <v>1285193380000</v>
      </c>
      <c r="O2217" s="8">
        <v>1132063956000</v>
      </c>
      <c r="P2217" s="8">
        <v>1216832030000</v>
      </c>
      <c r="Q2217" s="18">
        <f>(Table1[[#This Row],[A. TÀI SẢN NGẮN HẠN]]-Table1[[#This Row],[I. Nợ ngắn hạn]])/Table1[[#This Row],[TỔNG CỘNG TÀI SẢN]]</f>
        <v>-3.7853564174705509E-3</v>
      </c>
      <c r="R2217" s="18">
        <f>Table1[[#This Row],[- LNST chưa phân phối kỳ này]]/Table1[[#This Row],[TỔNG CỘNG TÀI SẢN]]</f>
        <v>6.9371547002984327E-2</v>
      </c>
      <c r="S2217" s="21">
        <f>Table1[[#This Row],[5. Lợi nhuận gộp về bán hàng và cung cấp dịch vụ]]/Table1[[#This Row],[TỔNG CỘNG TÀI SẢN]]</f>
        <v>0.10353283951884681</v>
      </c>
      <c r="T221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0.91272955618307017</v>
      </c>
      <c r="U2217" s="23">
        <f>Table1[[#This Row],[1. Doanh thu bán hàng và cung cấp dịch vụ ]]/Table1[[#This Row],[TỔNG CỘNG TÀI SẢN]]</f>
        <v>0.26368285237888578</v>
      </c>
      <c r="V2217" s="23">
        <f>1.2*Table1[[#This Row],[X1]] + 1.4*Table1[[#This Row],[X2]] + 3.3*Table1[[#This Row],[x3]] + 0.6*Table1[[#This Row],[x4]] + 1*Table1[[#This Row],[x5]]</f>
        <v>1.2455566946041357</v>
      </c>
      <c r="W2217" s="23">
        <f>IF(Table1[[#This Row],[Zscore]]&lt;1.81,1,0)</f>
        <v>1</v>
      </c>
    </row>
    <row r="2218" spans="1:23" ht="26.25" hidden="1" x14ac:dyDescent="0.45">
      <c r="A2218" s="7">
        <v>2212</v>
      </c>
      <c r="B2218" s="5" t="s">
        <v>4433</v>
      </c>
      <c r="C2218" s="6" t="s">
        <v>4434</v>
      </c>
      <c r="D2218" s="6" t="s">
        <v>13</v>
      </c>
      <c r="E2218" s="6"/>
      <c r="F2218" s="6"/>
      <c r="G2218" s="6"/>
      <c r="H2218" s="6"/>
      <c r="I2218" s="6"/>
      <c r="J2218" s="8"/>
      <c r="K2218" s="6"/>
      <c r="L2218" s="6"/>
      <c r="M2218" s="8"/>
      <c r="N2218" s="8"/>
      <c r="O2218" s="8"/>
      <c r="P2218" s="8"/>
      <c r="Q2218" s="18" t="e">
        <f>(Table1[[#This Row],[A. TÀI SẢN NGẮN HẠN]]-Table1[[#This Row],[I. Nợ ngắn hạn]])/Table1[[#This Row],[TỔNG CỘNG TÀI SẢN]]</f>
        <v>#DIV/0!</v>
      </c>
      <c r="R2218" s="18" t="e">
        <f>Table1[[#This Row],[- LNST chưa phân phối kỳ này]]/Table1[[#This Row],[TỔNG CỘNG TÀI SẢN]]</f>
        <v>#DIV/0!</v>
      </c>
      <c r="S2218" s="21" t="e">
        <f>Table1[[#This Row],[5. Lợi nhuận gộp về bán hàng và cung cấp dịch vụ]]/Table1[[#This Row],[TỔNG CỘNG TÀI SẢN]]</f>
        <v>#DIV/0!</v>
      </c>
      <c r="T221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218" s="23" t="e">
        <f>Table1[[#This Row],[1. Doanh thu bán hàng và cung cấp dịch vụ ]]/Table1[[#This Row],[TỔNG CỘNG TÀI SẢN]]</f>
        <v>#DIV/0!</v>
      </c>
      <c r="V2218" s="23" t="e">
        <f>1.2*Table1[[#This Row],[X1]] + 1.4*Table1[[#This Row],[X2]] + 3.3*Table1[[#This Row],[x3]] + 0.6*Table1[[#This Row],[x4]] + 1*Table1[[#This Row],[x5]]</f>
        <v>#DIV/0!</v>
      </c>
      <c r="W2218" s="23" t="e">
        <f>IF(Table1[[#This Row],[Zscore]]&lt;1.81,1,0)</f>
        <v>#DIV/0!</v>
      </c>
    </row>
    <row r="2219" spans="1:23" ht="26.25" hidden="1" x14ac:dyDescent="0.45">
      <c r="A2219" s="7">
        <v>2213</v>
      </c>
      <c r="B2219" s="5" t="s">
        <v>4435</v>
      </c>
      <c r="C2219" s="6" t="s">
        <v>4436</v>
      </c>
      <c r="D2219" s="6" t="s">
        <v>13</v>
      </c>
      <c r="E2219" s="6"/>
      <c r="F2219" s="6"/>
      <c r="G2219" s="6"/>
      <c r="H2219" s="6"/>
      <c r="I2219" s="6"/>
      <c r="J2219" s="8"/>
      <c r="K2219" s="6"/>
      <c r="L2219" s="6"/>
      <c r="M2219" s="8"/>
      <c r="N2219" s="8"/>
      <c r="O2219" s="8"/>
      <c r="P2219" s="8"/>
      <c r="Q2219" s="18" t="e">
        <f>(Table1[[#This Row],[A. TÀI SẢN NGẮN HẠN]]-Table1[[#This Row],[I. Nợ ngắn hạn]])/Table1[[#This Row],[TỔNG CỘNG TÀI SẢN]]</f>
        <v>#DIV/0!</v>
      </c>
      <c r="R2219" s="18" t="e">
        <f>Table1[[#This Row],[- LNST chưa phân phối kỳ này]]/Table1[[#This Row],[TỔNG CỘNG TÀI SẢN]]</f>
        <v>#DIV/0!</v>
      </c>
      <c r="S2219" s="21" t="e">
        <f>Table1[[#This Row],[5. Lợi nhuận gộp về bán hàng và cung cấp dịch vụ]]/Table1[[#This Row],[TỔNG CỘNG TÀI SẢN]]</f>
        <v>#DIV/0!</v>
      </c>
      <c r="T221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219" s="23" t="e">
        <f>Table1[[#This Row],[1. Doanh thu bán hàng và cung cấp dịch vụ ]]/Table1[[#This Row],[TỔNG CỘNG TÀI SẢN]]</f>
        <v>#DIV/0!</v>
      </c>
      <c r="V2219" s="23" t="e">
        <f>1.2*Table1[[#This Row],[X1]] + 1.4*Table1[[#This Row],[X2]] + 3.3*Table1[[#This Row],[x3]] + 0.6*Table1[[#This Row],[x4]] + 1*Table1[[#This Row],[x5]]</f>
        <v>#DIV/0!</v>
      </c>
      <c r="W2219" s="23" t="e">
        <f>IF(Table1[[#This Row],[Zscore]]&lt;1.81,1,0)</f>
        <v>#DIV/0!</v>
      </c>
    </row>
    <row r="2220" spans="1:23" ht="26.25" hidden="1" x14ac:dyDescent="0.45">
      <c r="A2220" s="7">
        <v>2214</v>
      </c>
      <c r="B2220" s="5" t="s">
        <v>4437</v>
      </c>
      <c r="C2220" s="6" t="s">
        <v>4438</v>
      </c>
      <c r="D2220" s="6" t="s">
        <v>18</v>
      </c>
      <c r="E2220" s="6"/>
      <c r="F2220" s="6"/>
      <c r="G2220" s="6"/>
      <c r="H2220" s="6"/>
      <c r="I2220" s="6"/>
      <c r="J2220" s="8"/>
      <c r="K2220" s="6"/>
      <c r="L2220" s="6"/>
      <c r="M2220" s="8"/>
      <c r="N2220" s="8"/>
      <c r="O2220" s="8"/>
      <c r="P2220" s="8"/>
      <c r="Q2220" s="18" t="e">
        <f>(Table1[[#This Row],[A. TÀI SẢN NGẮN HẠN]]-Table1[[#This Row],[I. Nợ ngắn hạn]])/Table1[[#This Row],[TỔNG CỘNG TÀI SẢN]]</f>
        <v>#DIV/0!</v>
      </c>
      <c r="R2220" s="18" t="e">
        <f>Table1[[#This Row],[- LNST chưa phân phối kỳ này]]/Table1[[#This Row],[TỔNG CỘNG TÀI SẢN]]</f>
        <v>#DIV/0!</v>
      </c>
      <c r="S2220" s="21" t="e">
        <f>Table1[[#This Row],[5. Lợi nhuận gộp về bán hàng và cung cấp dịch vụ]]/Table1[[#This Row],[TỔNG CỘNG TÀI SẢN]]</f>
        <v>#DIV/0!</v>
      </c>
      <c r="T222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220" s="23" t="e">
        <f>Table1[[#This Row],[1. Doanh thu bán hàng và cung cấp dịch vụ ]]/Table1[[#This Row],[TỔNG CỘNG TÀI SẢN]]</f>
        <v>#DIV/0!</v>
      </c>
      <c r="V2220" s="23" t="e">
        <f>1.2*Table1[[#This Row],[X1]] + 1.4*Table1[[#This Row],[X2]] + 3.3*Table1[[#This Row],[x3]] + 0.6*Table1[[#This Row],[x4]] + 1*Table1[[#This Row],[x5]]</f>
        <v>#DIV/0!</v>
      </c>
      <c r="W2220" s="23" t="e">
        <f>IF(Table1[[#This Row],[Zscore]]&lt;1.81,1,0)</f>
        <v>#DIV/0!</v>
      </c>
    </row>
    <row r="2221" spans="1:23" x14ac:dyDescent="0.45">
      <c r="A2221" s="7">
        <v>2215</v>
      </c>
      <c r="B2221" s="5" t="s">
        <v>4439</v>
      </c>
      <c r="C2221" s="6" t="s">
        <v>4440</v>
      </c>
      <c r="D2221" s="6" t="s">
        <v>36</v>
      </c>
      <c r="E2221" s="8">
        <v>2276258891942</v>
      </c>
      <c r="F2221" s="8">
        <v>2103497461575</v>
      </c>
      <c r="G2221" s="8">
        <v>2073445058692</v>
      </c>
      <c r="H2221" s="8">
        <v>17155734766</v>
      </c>
      <c r="I2221" s="8">
        <v>150187866807</v>
      </c>
      <c r="J2221" s="8"/>
      <c r="K2221" s="8">
        <v>2108476307115</v>
      </c>
      <c r="L2221" s="8">
        <v>3349613289512</v>
      </c>
      <c r="M2221" s="8">
        <v>165183167100</v>
      </c>
      <c r="N2221" s="8">
        <v>152763380100</v>
      </c>
      <c r="O2221" s="8">
        <v>168909103200</v>
      </c>
      <c r="P2221" s="8">
        <v>154005358800</v>
      </c>
      <c r="Q2221" s="18">
        <f>(Table1[[#This Row],[A. TÀI SẢN NGẮN HẠN]]-Table1[[#This Row],[I. Nợ ngắn hạn]])/Table1[[#This Row],[TỔNG CỘNG TÀI SẢN]]</f>
        <v>1.3202541674581077E-2</v>
      </c>
      <c r="R2221" s="18">
        <f>Table1[[#This Row],[- LNST chưa phân phối kỳ này]]/Table1[[#This Row],[TỔNG CỘNG TÀI SẢN]]</f>
        <v>7.5368117513924405E-3</v>
      </c>
      <c r="S2221" s="21">
        <f>Table1[[#This Row],[5. Lợi nhuận gộp về bán hàng và cung cấp dịch vụ]]/Table1[[#This Row],[TỔNG CỘNG TÀI SẢN]]</f>
        <v>6.598013404304226E-2</v>
      </c>
      <c r="T222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7.5986271109311346E-2</v>
      </c>
      <c r="U2221" s="23">
        <f>Table1[[#This Row],[1. Doanh thu bán hàng và cung cấp dịch vụ ]]/Table1[[#This Row],[TỔNG CỘNG TÀI SẢN]]</f>
        <v>1.4715431980824742</v>
      </c>
      <c r="V2221" s="23">
        <f>1.2*Table1[[#This Row],[X1]] + 1.4*Table1[[#This Row],[X2]] + 3.3*Table1[[#This Row],[x3]] + 0.6*Table1[[#This Row],[x4]] + 1*Table1[[#This Row],[x5]]</f>
        <v>1.7612639895515472</v>
      </c>
      <c r="W2221" s="23">
        <f>IF(Table1[[#This Row],[Zscore]]&lt;1.81,1,0)</f>
        <v>1</v>
      </c>
    </row>
    <row r="2222" spans="1:23" hidden="1" x14ac:dyDescent="0.45">
      <c r="A2222" s="7">
        <v>2216</v>
      </c>
      <c r="B2222" s="5" t="s">
        <v>4441</v>
      </c>
      <c r="C2222" s="6" t="s">
        <v>4442</v>
      </c>
      <c r="D2222" s="6" t="s">
        <v>18</v>
      </c>
      <c r="E2222" s="6"/>
      <c r="F2222" s="6"/>
      <c r="G2222" s="6"/>
      <c r="H2222" s="6"/>
      <c r="I2222" s="6"/>
      <c r="J2222" s="8"/>
      <c r="K2222" s="6"/>
      <c r="L2222" s="6"/>
      <c r="M2222" s="8"/>
      <c r="N2222" s="8"/>
      <c r="O2222" s="8"/>
      <c r="P2222" s="8"/>
      <c r="Q2222" s="18" t="e">
        <f>(Table1[[#This Row],[A. TÀI SẢN NGẮN HẠN]]-Table1[[#This Row],[I. Nợ ngắn hạn]])/Table1[[#This Row],[TỔNG CỘNG TÀI SẢN]]</f>
        <v>#DIV/0!</v>
      </c>
      <c r="R2222" s="18" t="e">
        <f>Table1[[#This Row],[- LNST chưa phân phối kỳ này]]/Table1[[#This Row],[TỔNG CỘNG TÀI SẢN]]</f>
        <v>#DIV/0!</v>
      </c>
      <c r="S2222" s="21" t="e">
        <f>Table1[[#This Row],[5. Lợi nhuận gộp về bán hàng và cung cấp dịch vụ]]/Table1[[#This Row],[TỔNG CỘNG TÀI SẢN]]</f>
        <v>#DIV/0!</v>
      </c>
      <c r="T222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222" s="23" t="e">
        <f>Table1[[#This Row],[1. Doanh thu bán hàng và cung cấp dịch vụ ]]/Table1[[#This Row],[TỔNG CỘNG TÀI SẢN]]</f>
        <v>#DIV/0!</v>
      </c>
      <c r="V2222" s="23" t="e">
        <f>1.2*Table1[[#This Row],[X1]] + 1.4*Table1[[#This Row],[X2]] + 3.3*Table1[[#This Row],[x3]] + 0.6*Table1[[#This Row],[x4]] + 1*Table1[[#This Row],[x5]]</f>
        <v>#DIV/0!</v>
      </c>
      <c r="W2222" s="23" t="e">
        <f>IF(Table1[[#This Row],[Zscore]]&lt;1.81,1,0)</f>
        <v>#DIV/0!</v>
      </c>
    </row>
    <row r="2223" spans="1:23" hidden="1" x14ac:dyDescent="0.45">
      <c r="A2223" s="7">
        <v>2217</v>
      </c>
      <c r="B2223" s="5" t="s">
        <v>4443</v>
      </c>
      <c r="C2223" s="6" t="s">
        <v>4444</v>
      </c>
      <c r="D2223" s="6" t="s">
        <v>13</v>
      </c>
      <c r="E2223" s="6"/>
      <c r="F2223" s="6"/>
      <c r="G2223" s="6"/>
      <c r="H2223" s="6"/>
      <c r="I2223" s="6"/>
      <c r="J2223" s="8"/>
      <c r="K2223" s="6"/>
      <c r="L2223" s="6"/>
      <c r="M2223" s="8"/>
      <c r="N2223" s="8"/>
      <c r="O2223" s="8"/>
      <c r="P2223" s="8"/>
      <c r="Q2223" s="18" t="e">
        <f>(Table1[[#This Row],[A. TÀI SẢN NGẮN HẠN]]-Table1[[#This Row],[I. Nợ ngắn hạn]])/Table1[[#This Row],[TỔNG CỘNG TÀI SẢN]]</f>
        <v>#DIV/0!</v>
      </c>
      <c r="R2223" s="18" t="e">
        <f>Table1[[#This Row],[- LNST chưa phân phối kỳ này]]/Table1[[#This Row],[TỔNG CỘNG TÀI SẢN]]</f>
        <v>#DIV/0!</v>
      </c>
      <c r="S2223" s="21" t="e">
        <f>Table1[[#This Row],[5. Lợi nhuận gộp về bán hàng và cung cấp dịch vụ]]/Table1[[#This Row],[TỔNG CỘNG TÀI SẢN]]</f>
        <v>#DIV/0!</v>
      </c>
      <c r="T222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223" s="23" t="e">
        <f>Table1[[#This Row],[1. Doanh thu bán hàng và cung cấp dịch vụ ]]/Table1[[#This Row],[TỔNG CỘNG TÀI SẢN]]</f>
        <v>#DIV/0!</v>
      </c>
      <c r="V2223" s="23" t="e">
        <f>1.2*Table1[[#This Row],[X1]] + 1.4*Table1[[#This Row],[X2]] + 3.3*Table1[[#This Row],[x3]] + 0.6*Table1[[#This Row],[x4]] + 1*Table1[[#This Row],[x5]]</f>
        <v>#DIV/0!</v>
      </c>
      <c r="W2223" s="23" t="e">
        <f>IF(Table1[[#This Row],[Zscore]]&lt;1.81,1,0)</f>
        <v>#DIV/0!</v>
      </c>
    </row>
    <row r="2224" spans="1:23" hidden="1" x14ac:dyDescent="0.45">
      <c r="A2224" s="7">
        <v>2218</v>
      </c>
      <c r="B2224" s="5" t="s">
        <v>4445</v>
      </c>
      <c r="C2224" s="6" t="s">
        <v>4446</v>
      </c>
      <c r="D2224" s="6" t="s">
        <v>13</v>
      </c>
      <c r="E2224" s="6"/>
      <c r="F2224" s="6"/>
      <c r="G2224" s="6"/>
      <c r="H2224" s="6"/>
      <c r="I2224" s="6"/>
      <c r="J2224" s="8"/>
      <c r="K2224" s="6"/>
      <c r="L2224" s="6"/>
      <c r="M2224" s="8"/>
      <c r="N2224" s="8"/>
      <c r="O2224" s="8"/>
      <c r="P2224" s="8"/>
      <c r="Q2224" s="18" t="e">
        <f>(Table1[[#This Row],[A. TÀI SẢN NGẮN HẠN]]-Table1[[#This Row],[I. Nợ ngắn hạn]])/Table1[[#This Row],[TỔNG CỘNG TÀI SẢN]]</f>
        <v>#DIV/0!</v>
      </c>
      <c r="R2224" s="18" t="e">
        <f>Table1[[#This Row],[- LNST chưa phân phối kỳ này]]/Table1[[#This Row],[TỔNG CỘNG TÀI SẢN]]</f>
        <v>#DIV/0!</v>
      </c>
      <c r="S2224" s="21" t="e">
        <f>Table1[[#This Row],[5. Lợi nhuận gộp về bán hàng và cung cấp dịch vụ]]/Table1[[#This Row],[TỔNG CỘNG TÀI SẢN]]</f>
        <v>#DIV/0!</v>
      </c>
      <c r="T222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224" s="23" t="e">
        <f>Table1[[#This Row],[1. Doanh thu bán hàng và cung cấp dịch vụ ]]/Table1[[#This Row],[TỔNG CỘNG TÀI SẢN]]</f>
        <v>#DIV/0!</v>
      </c>
      <c r="V2224" s="23" t="e">
        <f>1.2*Table1[[#This Row],[X1]] + 1.4*Table1[[#This Row],[X2]] + 3.3*Table1[[#This Row],[x3]] + 0.6*Table1[[#This Row],[x4]] + 1*Table1[[#This Row],[x5]]</f>
        <v>#DIV/0!</v>
      </c>
      <c r="W2224" s="23" t="e">
        <f>IF(Table1[[#This Row],[Zscore]]&lt;1.81,1,0)</f>
        <v>#DIV/0!</v>
      </c>
    </row>
    <row r="2225" spans="1:23" ht="26.25" hidden="1" x14ac:dyDescent="0.45">
      <c r="A2225" s="7">
        <v>2219</v>
      </c>
      <c r="B2225" s="5" t="s">
        <v>4447</v>
      </c>
      <c r="C2225" s="6" t="s">
        <v>4448</v>
      </c>
      <c r="D2225" s="6" t="s">
        <v>13</v>
      </c>
      <c r="E2225" s="6"/>
      <c r="F2225" s="6"/>
      <c r="G2225" s="6"/>
      <c r="H2225" s="6"/>
      <c r="I2225" s="6"/>
      <c r="J2225" s="8"/>
      <c r="K2225" s="6"/>
      <c r="L2225" s="6"/>
      <c r="M2225" s="8"/>
      <c r="N2225" s="8"/>
      <c r="O2225" s="8"/>
      <c r="P2225" s="8"/>
      <c r="Q2225" s="18" t="e">
        <f>(Table1[[#This Row],[A. TÀI SẢN NGẮN HẠN]]-Table1[[#This Row],[I. Nợ ngắn hạn]])/Table1[[#This Row],[TỔNG CỘNG TÀI SẢN]]</f>
        <v>#DIV/0!</v>
      </c>
      <c r="R2225" s="18" t="e">
        <f>Table1[[#This Row],[- LNST chưa phân phối kỳ này]]/Table1[[#This Row],[TỔNG CỘNG TÀI SẢN]]</f>
        <v>#DIV/0!</v>
      </c>
      <c r="S2225" s="21" t="e">
        <f>Table1[[#This Row],[5. Lợi nhuận gộp về bán hàng và cung cấp dịch vụ]]/Table1[[#This Row],[TỔNG CỘNG TÀI SẢN]]</f>
        <v>#DIV/0!</v>
      </c>
      <c r="T222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225" s="23" t="e">
        <f>Table1[[#This Row],[1. Doanh thu bán hàng và cung cấp dịch vụ ]]/Table1[[#This Row],[TỔNG CỘNG TÀI SẢN]]</f>
        <v>#DIV/0!</v>
      </c>
      <c r="V2225" s="23" t="e">
        <f>1.2*Table1[[#This Row],[X1]] + 1.4*Table1[[#This Row],[X2]] + 3.3*Table1[[#This Row],[x3]] + 0.6*Table1[[#This Row],[x4]] + 1*Table1[[#This Row],[x5]]</f>
        <v>#DIV/0!</v>
      </c>
      <c r="W2225" s="23" t="e">
        <f>IF(Table1[[#This Row],[Zscore]]&lt;1.81,1,0)</f>
        <v>#DIV/0!</v>
      </c>
    </row>
    <row r="2226" spans="1:23" hidden="1" x14ac:dyDescent="0.45">
      <c r="A2226" s="7">
        <v>2220</v>
      </c>
      <c r="B2226" s="5" t="s">
        <v>4449</v>
      </c>
      <c r="C2226" s="6" t="s">
        <v>4450</v>
      </c>
      <c r="D2226" s="6" t="s">
        <v>13</v>
      </c>
      <c r="E2226" s="6"/>
      <c r="F2226" s="6"/>
      <c r="G2226" s="6"/>
      <c r="H2226" s="6"/>
      <c r="I2226" s="6"/>
      <c r="J2226" s="8"/>
      <c r="K2226" s="6"/>
      <c r="L2226" s="6"/>
      <c r="M2226" s="8"/>
      <c r="N2226" s="8"/>
      <c r="O2226" s="8"/>
      <c r="P2226" s="8"/>
      <c r="Q2226" s="18" t="e">
        <f>(Table1[[#This Row],[A. TÀI SẢN NGẮN HẠN]]-Table1[[#This Row],[I. Nợ ngắn hạn]])/Table1[[#This Row],[TỔNG CỘNG TÀI SẢN]]</f>
        <v>#DIV/0!</v>
      </c>
      <c r="R2226" s="18" t="e">
        <f>Table1[[#This Row],[- LNST chưa phân phối kỳ này]]/Table1[[#This Row],[TỔNG CỘNG TÀI SẢN]]</f>
        <v>#DIV/0!</v>
      </c>
      <c r="S2226" s="21" t="e">
        <f>Table1[[#This Row],[5. Lợi nhuận gộp về bán hàng và cung cấp dịch vụ]]/Table1[[#This Row],[TỔNG CỘNG TÀI SẢN]]</f>
        <v>#DIV/0!</v>
      </c>
      <c r="T222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226" s="23" t="e">
        <f>Table1[[#This Row],[1. Doanh thu bán hàng và cung cấp dịch vụ ]]/Table1[[#This Row],[TỔNG CỘNG TÀI SẢN]]</f>
        <v>#DIV/0!</v>
      </c>
      <c r="V2226" s="23" t="e">
        <f>1.2*Table1[[#This Row],[X1]] + 1.4*Table1[[#This Row],[X2]] + 3.3*Table1[[#This Row],[x3]] + 0.6*Table1[[#This Row],[x4]] + 1*Table1[[#This Row],[x5]]</f>
        <v>#DIV/0!</v>
      </c>
      <c r="W2226" s="23" t="e">
        <f>IF(Table1[[#This Row],[Zscore]]&lt;1.81,1,0)</f>
        <v>#DIV/0!</v>
      </c>
    </row>
    <row r="2227" spans="1:23" hidden="1" x14ac:dyDescent="0.45">
      <c r="A2227" s="7">
        <v>2221</v>
      </c>
      <c r="B2227" s="5" t="s">
        <v>4451</v>
      </c>
      <c r="C2227" s="6" t="s">
        <v>4452</v>
      </c>
      <c r="D2227" s="6" t="s">
        <v>13</v>
      </c>
      <c r="E2227" s="6"/>
      <c r="F2227" s="6"/>
      <c r="G2227" s="6"/>
      <c r="H2227" s="6"/>
      <c r="I2227" s="6"/>
      <c r="J2227" s="8"/>
      <c r="K2227" s="6"/>
      <c r="L2227" s="6"/>
      <c r="M2227" s="8"/>
      <c r="N2227" s="8"/>
      <c r="O2227" s="8"/>
      <c r="P2227" s="8"/>
      <c r="Q2227" s="18" t="e">
        <f>(Table1[[#This Row],[A. TÀI SẢN NGẮN HẠN]]-Table1[[#This Row],[I. Nợ ngắn hạn]])/Table1[[#This Row],[TỔNG CỘNG TÀI SẢN]]</f>
        <v>#DIV/0!</v>
      </c>
      <c r="R2227" s="18" t="e">
        <f>Table1[[#This Row],[- LNST chưa phân phối kỳ này]]/Table1[[#This Row],[TỔNG CỘNG TÀI SẢN]]</f>
        <v>#DIV/0!</v>
      </c>
      <c r="S2227" s="21" t="e">
        <f>Table1[[#This Row],[5. Lợi nhuận gộp về bán hàng và cung cấp dịch vụ]]/Table1[[#This Row],[TỔNG CỘNG TÀI SẢN]]</f>
        <v>#DIV/0!</v>
      </c>
      <c r="T222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227" s="23" t="e">
        <f>Table1[[#This Row],[1. Doanh thu bán hàng và cung cấp dịch vụ ]]/Table1[[#This Row],[TỔNG CỘNG TÀI SẢN]]</f>
        <v>#DIV/0!</v>
      </c>
      <c r="V2227" s="23" t="e">
        <f>1.2*Table1[[#This Row],[X1]] + 1.4*Table1[[#This Row],[X2]] + 3.3*Table1[[#This Row],[x3]] + 0.6*Table1[[#This Row],[x4]] + 1*Table1[[#This Row],[x5]]</f>
        <v>#DIV/0!</v>
      </c>
      <c r="W2227" s="23" t="e">
        <f>IF(Table1[[#This Row],[Zscore]]&lt;1.81,1,0)</f>
        <v>#DIV/0!</v>
      </c>
    </row>
    <row r="2228" spans="1:23" hidden="1" x14ac:dyDescent="0.45">
      <c r="A2228" s="7">
        <v>2222</v>
      </c>
      <c r="B2228" s="5" t="s">
        <v>4453</v>
      </c>
      <c r="C2228" s="6" t="s">
        <v>4454</v>
      </c>
      <c r="D2228" s="6" t="s">
        <v>13</v>
      </c>
      <c r="E2228" s="6"/>
      <c r="F2228" s="6"/>
      <c r="G2228" s="6"/>
      <c r="H2228" s="6"/>
      <c r="I2228" s="6"/>
      <c r="J2228" s="8"/>
      <c r="K2228" s="6"/>
      <c r="L2228" s="6"/>
      <c r="M2228" s="8"/>
      <c r="N2228" s="8"/>
      <c r="O2228" s="8"/>
      <c r="P2228" s="8"/>
      <c r="Q2228" s="18" t="e">
        <f>(Table1[[#This Row],[A. TÀI SẢN NGẮN HẠN]]-Table1[[#This Row],[I. Nợ ngắn hạn]])/Table1[[#This Row],[TỔNG CỘNG TÀI SẢN]]</f>
        <v>#DIV/0!</v>
      </c>
      <c r="R2228" s="18" t="e">
        <f>Table1[[#This Row],[- LNST chưa phân phối kỳ này]]/Table1[[#This Row],[TỔNG CỘNG TÀI SẢN]]</f>
        <v>#DIV/0!</v>
      </c>
      <c r="S2228" s="21" t="e">
        <f>Table1[[#This Row],[5. Lợi nhuận gộp về bán hàng và cung cấp dịch vụ]]/Table1[[#This Row],[TỔNG CỘNG TÀI SẢN]]</f>
        <v>#DIV/0!</v>
      </c>
      <c r="T222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228" s="23" t="e">
        <f>Table1[[#This Row],[1. Doanh thu bán hàng và cung cấp dịch vụ ]]/Table1[[#This Row],[TỔNG CỘNG TÀI SẢN]]</f>
        <v>#DIV/0!</v>
      </c>
      <c r="V2228" s="23" t="e">
        <f>1.2*Table1[[#This Row],[X1]] + 1.4*Table1[[#This Row],[X2]] + 3.3*Table1[[#This Row],[x3]] + 0.6*Table1[[#This Row],[x4]] + 1*Table1[[#This Row],[x5]]</f>
        <v>#DIV/0!</v>
      </c>
      <c r="W2228" s="23" t="e">
        <f>IF(Table1[[#This Row],[Zscore]]&lt;1.81,1,0)</f>
        <v>#DIV/0!</v>
      </c>
    </row>
    <row r="2229" spans="1:23" x14ac:dyDescent="0.45">
      <c r="A2229" s="7">
        <v>2223</v>
      </c>
      <c r="B2229" s="5" t="s">
        <v>4455</v>
      </c>
      <c r="C2229" s="6" t="s">
        <v>4456</v>
      </c>
      <c r="D2229" s="6" t="s">
        <v>21</v>
      </c>
      <c r="E2229" s="8">
        <v>15312108514660</v>
      </c>
      <c r="F2229" s="8">
        <v>12568794425176</v>
      </c>
      <c r="G2229" s="8">
        <v>5232791905569</v>
      </c>
      <c r="H2229" s="8">
        <v>641682142325</v>
      </c>
      <c r="I2229" s="8">
        <v>1392591444170</v>
      </c>
      <c r="J2229" s="8"/>
      <c r="K2229" s="8">
        <v>8783617527769</v>
      </c>
      <c r="L2229" s="8">
        <v>3730125315511</v>
      </c>
      <c r="M2229" s="8">
        <v>8019000000000</v>
      </c>
      <c r="N2229" s="8">
        <v>18576000000000</v>
      </c>
      <c r="O2229" s="8">
        <v>8731800000000</v>
      </c>
      <c r="P2229" s="8">
        <v>15155910000000</v>
      </c>
      <c r="Q2229" s="18">
        <f>(Table1[[#This Row],[A. TÀI SẢN NGẮN HẠN]]-Table1[[#This Row],[I. Nợ ngắn hạn]])/Table1[[#This Row],[TỔNG CỘNG TÀI SẢN]]</f>
        <v>0.47909812764084198</v>
      </c>
      <c r="R2229" s="18">
        <f>Table1[[#This Row],[- LNST chưa phân phối kỳ này]]/Table1[[#This Row],[TỔNG CỘNG TÀI SẢN]]</f>
        <v>4.1906843966697707E-2</v>
      </c>
      <c r="S2229" s="21">
        <f>Table1[[#This Row],[5. Lợi nhuận gộp về bán hàng và cung cấp dịch vụ]]/Table1[[#This Row],[TỔNG CỘNG TÀI SẢN]]</f>
        <v>9.0947072562653011E-2</v>
      </c>
      <c r="T222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1.4368427883045127</v>
      </c>
      <c r="U2229" s="23">
        <f>Table1[[#This Row],[1. Doanh thu bán hàng và cung cấp dịch vụ ]]/Table1[[#This Row],[TỔNG CỘNG TÀI SẢN]]</f>
        <v>0.24360624873705228</v>
      </c>
      <c r="V2229" s="23">
        <f>1.2*Table1[[#This Row],[X1]] + 1.4*Table1[[#This Row],[X2]] + 3.3*Table1[[#This Row],[x3]] + 0.6*Table1[[#This Row],[x4]] + 1*Table1[[#This Row],[x5]]</f>
        <v>2.0394245958989021</v>
      </c>
      <c r="W2229" s="23">
        <f>IF(Table1[[#This Row],[Zscore]]&lt;1.81,1,0)</f>
        <v>0</v>
      </c>
    </row>
    <row r="2230" spans="1:23" hidden="1" x14ac:dyDescent="0.45">
      <c r="A2230" s="7">
        <v>2224</v>
      </c>
      <c r="B2230" s="5" t="s">
        <v>4457</v>
      </c>
      <c r="C2230" s="6" t="s">
        <v>4458</v>
      </c>
      <c r="D2230" s="6" t="s">
        <v>18</v>
      </c>
      <c r="E2230" s="6"/>
      <c r="F2230" s="6"/>
      <c r="G2230" s="6"/>
      <c r="H2230" s="6"/>
      <c r="I2230" s="6"/>
      <c r="J2230" s="8"/>
      <c r="K2230" s="6"/>
      <c r="L2230" s="6"/>
      <c r="M2230" s="8"/>
      <c r="N2230" s="8"/>
      <c r="O2230" s="8"/>
      <c r="P2230" s="8"/>
      <c r="Q2230" s="18" t="e">
        <f>(Table1[[#This Row],[A. TÀI SẢN NGẮN HẠN]]-Table1[[#This Row],[I. Nợ ngắn hạn]])/Table1[[#This Row],[TỔNG CỘNG TÀI SẢN]]</f>
        <v>#DIV/0!</v>
      </c>
      <c r="R2230" s="18" t="e">
        <f>Table1[[#This Row],[- LNST chưa phân phối kỳ này]]/Table1[[#This Row],[TỔNG CỘNG TÀI SẢN]]</f>
        <v>#DIV/0!</v>
      </c>
      <c r="S2230" s="21" t="e">
        <f>Table1[[#This Row],[5. Lợi nhuận gộp về bán hàng và cung cấp dịch vụ]]/Table1[[#This Row],[TỔNG CỘNG TÀI SẢN]]</f>
        <v>#DIV/0!</v>
      </c>
      <c r="T223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230" s="23" t="e">
        <f>Table1[[#This Row],[1. Doanh thu bán hàng và cung cấp dịch vụ ]]/Table1[[#This Row],[TỔNG CỘNG TÀI SẢN]]</f>
        <v>#DIV/0!</v>
      </c>
      <c r="V2230" s="23" t="e">
        <f>1.2*Table1[[#This Row],[X1]] + 1.4*Table1[[#This Row],[X2]] + 3.3*Table1[[#This Row],[x3]] + 0.6*Table1[[#This Row],[x4]] + 1*Table1[[#This Row],[x5]]</f>
        <v>#DIV/0!</v>
      </c>
      <c r="W2230" s="23" t="e">
        <f>IF(Table1[[#This Row],[Zscore]]&lt;1.81,1,0)</f>
        <v>#DIV/0!</v>
      </c>
    </row>
    <row r="2231" spans="1:23" hidden="1" x14ac:dyDescent="0.45">
      <c r="A2231" s="7">
        <v>2225</v>
      </c>
      <c r="B2231" s="5" t="s">
        <v>4459</v>
      </c>
      <c r="C2231" s="6" t="s">
        <v>4460</v>
      </c>
      <c r="D2231" s="6" t="s">
        <v>13</v>
      </c>
      <c r="E2231" s="6"/>
      <c r="F2231" s="6"/>
      <c r="G2231" s="6"/>
      <c r="H2231" s="6"/>
      <c r="I2231" s="6"/>
      <c r="J2231" s="8"/>
      <c r="K2231" s="6"/>
      <c r="L2231" s="6"/>
      <c r="M2231" s="8"/>
      <c r="N2231" s="8"/>
      <c r="O2231" s="8"/>
      <c r="P2231" s="8"/>
      <c r="Q2231" s="18" t="e">
        <f>(Table1[[#This Row],[A. TÀI SẢN NGẮN HẠN]]-Table1[[#This Row],[I. Nợ ngắn hạn]])/Table1[[#This Row],[TỔNG CỘNG TÀI SẢN]]</f>
        <v>#DIV/0!</v>
      </c>
      <c r="R2231" s="18" t="e">
        <f>Table1[[#This Row],[- LNST chưa phân phối kỳ này]]/Table1[[#This Row],[TỔNG CỘNG TÀI SẢN]]</f>
        <v>#DIV/0!</v>
      </c>
      <c r="S2231" s="21" t="e">
        <f>Table1[[#This Row],[5. Lợi nhuận gộp về bán hàng và cung cấp dịch vụ]]/Table1[[#This Row],[TỔNG CỘNG TÀI SẢN]]</f>
        <v>#DIV/0!</v>
      </c>
      <c r="T223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231" s="23" t="e">
        <f>Table1[[#This Row],[1. Doanh thu bán hàng và cung cấp dịch vụ ]]/Table1[[#This Row],[TỔNG CỘNG TÀI SẢN]]</f>
        <v>#DIV/0!</v>
      </c>
      <c r="V2231" s="23" t="e">
        <f>1.2*Table1[[#This Row],[X1]] + 1.4*Table1[[#This Row],[X2]] + 3.3*Table1[[#This Row],[x3]] + 0.6*Table1[[#This Row],[x4]] + 1*Table1[[#This Row],[x5]]</f>
        <v>#DIV/0!</v>
      </c>
      <c r="W2231" s="23" t="e">
        <f>IF(Table1[[#This Row],[Zscore]]&lt;1.81,1,0)</f>
        <v>#DIV/0!</v>
      </c>
    </row>
    <row r="2232" spans="1:23" hidden="1" x14ac:dyDescent="0.45">
      <c r="A2232" s="7">
        <v>2226</v>
      </c>
      <c r="B2232" s="5" t="s">
        <v>4461</v>
      </c>
      <c r="C2232" s="6" t="s">
        <v>4462</v>
      </c>
      <c r="D2232" s="6" t="s">
        <v>13</v>
      </c>
      <c r="E2232" s="6"/>
      <c r="F2232" s="6"/>
      <c r="G2232" s="6"/>
      <c r="H2232" s="6"/>
      <c r="I2232" s="6"/>
      <c r="J2232" s="8"/>
      <c r="K2232" s="6"/>
      <c r="L2232" s="6"/>
      <c r="M2232" s="8"/>
      <c r="N2232" s="8"/>
      <c r="O2232" s="8"/>
      <c r="P2232" s="8"/>
      <c r="Q2232" s="18" t="e">
        <f>(Table1[[#This Row],[A. TÀI SẢN NGẮN HẠN]]-Table1[[#This Row],[I. Nợ ngắn hạn]])/Table1[[#This Row],[TỔNG CỘNG TÀI SẢN]]</f>
        <v>#DIV/0!</v>
      </c>
      <c r="R2232" s="18" t="e">
        <f>Table1[[#This Row],[- LNST chưa phân phối kỳ này]]/Table1[[#This Row],[TỔNG CỘNG TÀI SẢN]]</f>
        <v>#DIV/0!</v>
      </c>
      <c r="S2232" s="21" t="e">
        <f>Table1[[#This Row],[5. Lợi nhuận gộp về bán hàng và cung cấp dịch vụ]]/Table1[[#This Row],[TỔNG CỘNG TÀI SẢN]]</f>
        <v>#DIV/0!</v>
      </c>
      <c r="T223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232" s="23" t="e">
        <f>Table1[[#This Row],[1. Doanh thu bán hàng và cung cấp dịch vụ ]]/Table1[[#This Row],[TỔNG CỘNG TÀI SẢN]]</f>
        <v>#DIV/0!</v>
      </c>
      <c r="V2232" s="23" t="e">
        <f>1.2*Table1[[#This Row],[X1]] + 1.4*Table1[[#This Row],[X2]] + 3.3*Table1[[#This Row],[x3]] + 0.6*Table1[[#This Row],[x4]] + 1*Table1[[#This Row],[x5]]</f>
        <v>#DIV/0!</v>
      </c>
      <c r="W2232" s="23" t="e">
        <f>IF(Table1[[#This Row],[Zscore]]&lt;1.81,1,0)</f>
        <v>#DIV/0!</v>
      </c>
    </row>
    <row r="2233" spans="1:23" hidden="1" x14ac:dyDescent="0.45">
      <c r="A2233" s="7">
        <v>2227</v>
      </c>
      <c r="B2233" s="5" t="s">
        <v>4463</v>
      </c>
      <c r="C2233" s="6" t="s">
        <v>4464</v>
      </c>
      <c r="D2233" s="6" t="s">
        <v>13</v>
      </c>
      <c r="E2233" s="6"/>
      <c r="F2233" s="6"/>
      <c r="G2233" s="6"/>
      <c r="H2233" s="6"/>
      <c r="I2233" s="6"/>
      <c r="J2233" s="8"/>
      <c r="K2233" s="6"/>
      <c r="L2233" s="6"/>
      <c r="M2233" s="8"/>
      <c r="N2233" s="8"/>
      <c r="O2233" s="8"/>
      <c r="P2233" s="8"/>
      <c r="Q2233" s="18" t="e">
        <f>(Table1[[#This Row],[A. TÀI SẢN NGẮN HẠN]]-Table1[[#This Row],[I. Nợ ngắn hạn]])/Table1[[#This Row],[TỔNG CỘNG TÀI SẢN]]</f>
        <v>#DIV/0!</v>
      </c>
      <c r="R2233" s="18" t="e">
        <f>Table1[[#This Row],[- LNST chưa phân phối kỳ này]]/Table1[[#This Row],[TỔNG CỘNG TÀI SẢN]]</f>
        <v>#DIV/0!</v>
      </c>
      <c r="S2233" s="21" t="e">
        <f>Table1[[#This Row],[5. Lợi nhuận gộp về bán hàng và cung cấp dịch vụ]]/Table1[[#This Row],[TỔNG CỘNG TÀI SẢN]]</f>
        <v>#DIV/0!</v>
      </c>
      <c r="T223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233" s="23" t="e">
        <f>Table1[[#This Row],[1. Doanh thu bán hàng và cung cấp dịch vụ ]]/Table1[[#This Row],[TỔNG CỘNG TÀI SẢN]]</f>
        <v>#DIV/0!</v>
      </c>
      <c r="V2233" s="23" t="e">
        <f>1.2*Table1[[#This Row],[X1]] + 1.4*Table1[[#This Row],[X2]] + 3.3*Table1[[#This Row],[x3]] + 0.6*Table1[[#This Row],[x4]] + 1*Table1[[#This Row],[x5]]</f>
        <v>#DIV/0!</v>
      </c>
      <c r="W2233" s="23" t="e">
        <f>IF(Table1[[#This Row],[Zscore]]&lt;1.81,1,0)</f>
        <v>#DIV/0!</v>
      </c>
    </row>
    <row r="2234" spans="1:23" hidden="1" x14ac:dyDescent="0.45">
      <c r="A2234" s="7">
        <v>2228</v>
      </c>
      <c r="B2234" s="5" t="s">
        <v>4465</v>
      </c>
      <c r="C2234" s="6" t="s">
        <v>4466</v>
      </c>
      <c r="D2234" s="6" t="s">
        <v>13</v>
      </c>
      <c r="E2234" s="6"/>
      <c r="F2234" s="6"/>
      <c r="G2234" s="6"/>
      <c r="H2234" s="6"/>
      <c r="I2234" s="6"/>
      <c r="J2234" s="8"/>
      <c r="K2234" s="6"/>
      <c r="L2234" s="6"/>
      <c r="M2234" s="8"/>
      <c r="N2234" s="8"/>
      <c r="O2234" s="8"/>
      <c r="P2234" s="8"/>
      <c r="Q2234" s="18" t="e">
        <f>(Table1[[#This Row],[A. TÀI SẢN NGẮN HẠN]]-Table1[[#This Row],[I. Nợ ngắn hạn]])/Table1[[#This Row],[TỔNG CỘNG TÀI SẢN]]</f>
        <v>#DIV/0!</v>
      </c>
      <c r="R2234" s="18" t="e">
        <f>Table1[[#This Row],[- LNST chưa phân phối kỳ này]]/Table1[[#This Row],[TỔNG CỘNG TÀI SẢN]]</f>
        <v>#DIV/0!</v>
      </c>
      <c r="S2234" s="21" t="e">
        <f>Table1[[#This Row],[5. Lợi nhuận gộp về bán hàng và cung cấp dịch vụ]]/Table1[[#This Row],[TỔNG CỘNG TÀI SẢN]]</f>
        <v>#DIV/0!</v>
      </c>
      <c r="T223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234" s="23" t="e">
        <f>Table1[[#This Row],[1. Doanh thu bán hàng và cung cấp dịch vụ ]]/Table1[[#This Row],[TỔNG CỘNG TÀI SẢN]]</f>
        <v>#DIV/0!</v>
      </c>
      <c r="V2234" s="23" t="e">
        <f>1.2*Table1[[#This Row],[X1]] + 1.4*Table1[[#This Row],[X2]] + 3.3*Table1[[#This Row],[x3]] + 0.6*Table1[[#This Row],[x4]] + 1*Table1[[#This Row],[x5]]</f>
        <v>#DIV/0!</v>
      </c>
      <c r="W2234" s="23" t="e">
        <f>IF(Table1[[#This Row],[Zscore]]&lt;1.81,1,0)</f>
        <v>#DIV/0!</v>
      </c>
    </row>
    <row r="2235" spans="1:23" hidden="1" x14ac:dyDescent="0.45">
      <c r="A2235" s="7">
        <v>2229</v>
      </c>
      <c r="B2235" s="5" t="s">
        <v>4467</v>
      </c>
      <c r="C2235" s="6" t="s">
        <v>4468</v>
      </c>
      <c r="D2235" s="6" t="s">
        <v>13</v>
      </c>
      <c r="E2235" s="6"/>
      <c r="F2235" s="6"/>
      <c r="G2235" s="6"/>
      <c r="H2235" s="6"/>
      <c r="I2235" s="6"/>
      <c r="J2235" s="8"/>
      <c r="K2235" s="6"/>
      <c r="L2235" s="6"/>
      <c r="M2235" s="8"/>
      <c r="N2235" s="8"/>
      <c r="O2235" s="8"/>
      <c r="P2235" s="8"/>
      <c r="Q2235" s="18" t="e">
        <f>(Table1[[#This Row],[A. TÀI SẢN NGẮN HẠN]]-Table1[[#This Row],[I. Nợ ngắn hạn]])/Table1[[#This Row],[TỔNG CỘNG TÀI SẢN]]</f>
        <v>#DIV/0!</v>
      </c>
      <c r="R2235" s="18" t="e">
        <f>Table1[[#This Row],[- LNST chưa phân phối kỳ này]]/Table1[[#This Row],[TỔNG CỘNG TÀI SẢN]]</f>
        <v>#DIV/0!</v>
      </c>
      <c r="S2235" s="21" t="e">
        <f>Table1[[#This Row],[5. Lợi nhuận gộp về bán hàng và cung cấp dịch vụ]]/Table1[[#This Row],[TỔNG CỘNG TÀI SẢN]]</f>
        <v>#DIV/0!</v>
      </c>
      <c r="T223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235" s="23" t="e">
        <f>Table1[[#This Row],[1. Doanh thu bán hàng và cung cấp dịch vụ ]]/Table1[[#This Row],[TỔNG CỘNG TÀI SẢN]]</f>
        <v>#DIV/0!</v>
      </c>
      <c r="V2235" s="23" t="e">
        <f>1.2*Table1[[#This Row],[X1]] + 1.4*Table1[[#This Row],[X2]] + 3.3*Table1[[#This Row],[x3]] + 0.6*Table1[[#This Row],[x4]] + 1*Table1[[#This Row],[x5]]</f>
        <v>#DIV/0!</v>
      </c>
      <c r="W2235" s="23" t="e">
        <f>IF(Table1[[#This Row],[Zscore]]&lt;1.81,1,0)</f>
        <v>#DIV/0!</v>
      </c>
    </row>
    <row r="2236" spans="1:23" hidden="1" x14ac:dyDescent="0.45">
      <c r="A2236" s="7">
        <v>2230</v>
      </c>
      <c r="B2236" s="5" t="s">
        <v>4469</v>
      </c>
      <c r="C2236" s="6" t="s">
        <v>4470</v>
      </c>
      <c r="D2236" s="6" t="s">
        <v>13</v>
      </c>
      <c r="E2236" s="6"/>
      <c r="F2236" s="6"/>
      <c r="G2236" s="6"/>
      <c r="H2236" s="6"/>
      <c r="I2236" s="6"/>
      <c r="J2236" s="8"/>
      <c r="K2236" s="6"/>
      <c r="L2236" s="6"/>
      <c r="M2236" s="8"/>
      <c r="N2236" s="8"/>
      <c r="O2236" s="8"/>
      <c r="P2236" s="8"/>
      <c r="Q2236" s="18" t="e">
        <f>(Table1[[#This Row],[A. TÀI SẢN NGẮN HẠN]]-Table1[[#This Row],[I. Nợ ngắn hạn]])/Table1[[#This Row],[TỔNG CỘNG TÀI SẢN]]</f>
        <v>#DIV/0!</v>
      </c>
      <c r="R2236" s="18" t="e">
        <f>Table1[[#This Row],[- LNST chưa phân phối kỳ này]]/Table1[[#This Row],[TỔNG CỘNG TÀI SẢN]]</f>
        <v>#DIV/0!</v>
      </c>
      <c r="S2236" s="21" t="e">
        <f>Table1[[#This Row],[5. Lợi nhuận gộp về bán hàng và cung cấp dịch vụ]]/Table1[[#This Row],[TỔNG CỘNG TÀI SẢN]]</f>
        <v>#DIV/0!</v>
      </c>
      <c r="T223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236" s="23" t="e">
        <f>Table1[[#This Row],[1. Doanh thu bán hàng và cung cấp dịch vụ ]]/Table1[[#This Row],[TỔNG CỘNG TÀI SẢN]]</f>
        <v>#DIV/0!</v>
      </c>
      <c r="V2236" s="23" t="e">
        <f>1.2*Table1[[#This Row],[X1]] + 1.4*Table1[[#This Row],[X2]] + 3.3*Table1[[#This Row],[x3]] + 0.6*Table1[[#This Row],[x4]] + 1*Table1[[#This Row],[x5]]</f>
        <v>#DIV/0!</v>
      </c>
      <c r="W2236" s="23" t="e">
        <f>IF(Table1[[#This Row],[Zscore]]&lt;1.81,1,0)</f>
        <v>#DIV/0!</v>
      </c>
    </row>
    <row r="2237" spans="1:23" hidden="1" x14ac:dyDescent="0.45">
      <c r="A2237" s="7">
        <v>2231</v>
      </c>
      <c r="B2237" s="5" t="s">
        <v>4471</v>
      </c>
      <c r="C2237" s="6" t="s">
        <v>4472</v>
      </c>
      <c r="D2237" s="6" t="s">
        <v>13</v>
      </c>
      <c r="E2237" s="6"/>
      <c r="F2237" s="6"/>
      <c r="G2237" s="6"/>
      <c r="H2237" s="6"/>
      <c r="I2237" s="6"/>
      <c r="J2237" s="8"/>
      <c r="K2237" s="6"/>
      <c r="L2237" s="6"/>
      <c r="M2237" s="8"/>
      <c r="N2237" s="8"/>
      <c r="O2237" s="8"/>
      <c r="P2237" s="8"/>
      <c r="Q2237" s="18" t="e">
        <f>(Table1[[#This Row],[A. TÀI SẢN NGẮN HẠN]]-Table1[[#This Row],[I. Nợ ngắn hạn]])/Table1[[#This Row],[TỔNG CỘNG TÀI SẢN]]</f>
        <v>#DIV/0!</v>
      </c>
      <c r="R2237" s="18" t="e">
        <f>Table1[[#This Row],[- LNST chưa phân phối kỳ này]]/Table1[[#This Row],[TỔNG CỘNG TÀI SẢN]]</f>
        <v>#DIV/0!</v>
      </c>
      <c r="S2237" s="21" t="e">
        <f>Table1[[#This Row],[5. Lợi nhuận gộp về bán hàng và cung cấp dịch vụ]]/Table1[[#This Row],[TỔNG CỘNG TÀI SẢN]]</f>
        <v>#DIV/0!</v>
      </c>
      <c r="T223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237" s="23" t="e">
        <f>Table1[[#This Row],[1. Doanh thu bán hàng và cung cấp dịch vụ ]]/Table1[[#This Row],[TỔNG CỘNG TÀI SẢN]]</f>
        <v>#DIV/0!</v>
      </c>
      <c r="V2237" s="23" t="e">
        <f>1.2*Table1[[#This Row],[X1]] + 1.4*Table1[[#This Row],[X2]] + 3.3*Table1[[#This Row],[x3]] + 0.6*Table1[[#This Row],[x4]] + 1*Table1[[#This Row],[x5]]</f>
        <v>#DIV/0!</v>
      </c>
      <c r="W2237" s="23" t="e">
        <f>IF(Table1[[#This Row],[Zscore]]&lt;1.81,1,0)</f>
        <v>#DIV/0!</v>
      </c>
    </row>
    <row r="2238" spans="1:23" hidden="1" x14ac:dyDescent="0.45">
      <c r="A2238" s="7">
        <v>2232</v>
      </c>
      <c r="B2238" s="5" t="s">
        <v>4473</v>
      </c>
      <c r="C2238" s="6" t="s">
        <v>4474</v>
      </c>
      <c r="D2238" s="6" t="s">
        <v>13</v>
      </c>
      <c r="E2238" s="6"/>
      <c r="F2238" s="6"/>
      <c r="G2238" s="6"/>
      <c r="H2238" s="6"/>
      <c r="I2238" s="6"/>
      <c r="J2238" s="8"/>
      <c r="K2238" s="6"/>
      <c r="L2238" s="6"/>
      <c r="M2238" s="8"/>
      <c r="N2238" s="8"/>
      <c r="O2238" s="8"/>
      <c r="P2238" s="8"/>
      <c r="Q2238" s="18" t="e">
        <f>(Table1[[#This Row],[A. TÀI SẢN NGẮN HẠN]]-Table1[[#This Row],[I. Nợ ngắn hạn]])/Table1[[#This Row],[TỔNG CỘNG TÀI SẢN]]</f>
        <v>#DIV/0!</v>
      </c>
      <c r="R2238" s="18" t="e">
        <f>Table1[[#This Row],[- LNST chưa phân phối kỳ này]]/Table1[[#This Row],[TỔNG CỘNG TÀI SẢN]]</f>
        <v>#DIV/0!</v>
      </c>
      <c r="S2238" s="21" t="e">
        <f>Table1[[#This Row],[5. Lợi nhuận gộp về bán hàng và cung cấp dịch vụ]]/Table1[[#This Row],[TỔNG CỘNG TÀI SẢN]]</f>
        <v>#DIV/0!</v>
      </c>
      <c r="T223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238" s="23" t="e">
        <f>Table1[[#This Row],[1. Doanh thu bán hàng và cung cấp dịch vụ ]]/Table1[[#This Row],[TỔNG CỘNG TÀI SẢN]]</f>
        <v>#DIV/0!</v>
      </c>
      <c r="V2238" s="23" t="e">
        <f>1.2*Table1[[#This Row],[X1]] + 1.4*Table1[[#This Row],[X2]] + 3.3*Table1[[#This Row],[x3]] + 0.6*Table1[[#This Row],[x4]] + 1*Table1[[#This Row],[x5]]</f>
        <v>#DIV/0!</v>
      </c>
      <c r="W2238" s="23" t="e">
        <f>IF(Table1[[#This Row],[Zscore]]&lt;1.81,1,0)</f>
        <v>#DIV/0!</v>
      </c>
    </row>
    <row r="2239" spans="1:23" hidden="1" x14ac:dyDescent="0.45">
      <c r="A2239" s="7">
        <v>2233</v>
      </c>
      <c r="B2239" s="5" t="s">
        <v>4475</v>
      </c>
      <c r="C2239" s="6" t="s">
        <v>4476</v>
      </c>
      <c r="D2239" s="6" t="s">
        <v>13</v>
      </c>
      <c r="E2239" s="6"/>
      <c r="F2239" s="6"/>
      <c r="G2239" s="6"/>
      <c r="H2239" s="6"/>
      <c r="I2239" s="6"/>
      <c r="J2239" s="8"/>
      <c r="K2239" s="6"/>
      <c r="L2239" s="6"/>
      <c r="M2239" s="8"/>
      <c r="N2239" s="8"/>
      <c r="O2239" s="8"/>
      <c r="P2239" s="8"/>
      <c r="Q2239" s="18" t="e">
        <f>(Table1[[#This Row],[A. TÀI SẢN NGẮN HẠN]]-Table1[[#This Row],[I. Nợ ngắn hạn]])/Table1[[#This Row],[TỔNG CỘNG TÀI SẢN]]</f>
        <v>#DIV/0!</v>
      </c>
      <c r="R2239" s="18" t="e">
        <f>Table1[[#This Row],[- LNST chưa phân phối kỳ này]]/Table1[[#This Row],[TỔNG CỘNG TÀI SẢN]]</f>
        <v>#DIV/0!</v>
      </c>
      <c r="S2239" s="21" t="e">
        <f>Table1[[#This Row],[5. Lợi nhuận gộp về bán hàng và cung cấp dịch vụ]]/Table1[[#This Row],[TỔNG CỘNG TÀI SẢN]]</f>
        <v>#DIV/0!</v>
      </c>
      <c r="T223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239" s="23" t="e">
        <f>Table1[[#This Row],[1. Doanh thu bán hàng và cung cấp dịch vụ ]]/Table1[[#This Row],[TỔNG CỘNG TÀI SẢN]]</f>
        <v>#DIV/0!</v>
      </c>
      <c r="V2239" s="23" t="e">
        <f>1.2*Table1[[#This Row],[X1]] + 1.4*Table1[[#This Row],[X2]] + 3.3*Table1[[#This Row],[x3]] + 0.6*Table1[[#This Row],[x4]] + 1*Table1[[#This Row],[x5]]</f>
        <v>#DIV/0!</v>
      </c>
      <c r="W2239" s="23" t="e">
        <f>IF(Table1[[#This Row],[Zscore]]&lt;1.81,1,0)</f>
        <v>#DIV/0!</v>
      </c>
    </row>
    <row r="2240" spans="1:23" hidden="1" x14ac:dyDescent="0.45">
      <c r="A2240" s="7">
        <v>2234</v>
      </c>
      <c r="B2240" s="5" t="s">
        <v>4477</v>
      </c>
      <c r="C2240" s="6" t="s">
        <v>4478</v>
      </c>
      <c r="D2240" s="6" t="s">
        <v>13</v>
      </c>
      <c r="E2240" s="6"/>
      <c r="F2240" s="6"/>
      <c r="G2240" s="6"/>
      <c r="H2240" s="6"/>
      <c r="I2240" s="6"/>
      <c r="J2240" s="8"/>
      <c r="K2240" s="6"/>
      <c r="L2240" s="6"/>
      <c r="M2240" s="8"/>
      <c r="N2240" s="8"/>
      <c r="O2240" s="8"/>
      <c r="P2240" s="8"/>
      <c r="Q2240" s="18" t="e">
        <f>(Table1[[#This Row],[A. TÀI SẢN NGẮN HẠN]]-Table1[[#This Row],[I. Nợ ngắn hạn]])/Table1[[#This Row],[TỔNG CỘNG TÀI SẢN]]</f>
        <v>#DIV/0!</v>
      </c>
      <c r="R2240" s="18" t="e">
        <f>Table1[[#This Row],[- LNST chưa phân phối kỳ này]]/Table1[[#This Row],[TỔNG CỘNG TÀI SẢN]]</f>
        <v>#DIV/0!</v>
      </c>
      <c r="S2240" s="21" t="e">
        <f>Table1[[#This Row],[5. Lợi nhuận gộp về bán hàng và cung cấp dịch vụ]]/Table1[[#This Row],[TỔNG CỘNG TÀI SẢN]]</f>
        <v>#DIV/0!</v>
      </c>
      <c r="T224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240" s="23" t="e">
        <f>Table1[[#This Row],[1. Doanh thu bán hàng và cung cấp dịch vụ ]]/Table1[[#This Row],[TỔNG CỘNG TÀI SẢN]]</f>
        <v>#DIV/0!</v>
      </c>
      <c r="V2240" s="23" t="e">
        <f>1.2*Table1[[#This Row],[X1]] + 1.4*Table1[[#This Row],[X2]] + 3.3*Table1[[#This Row],[x3]] + 0.6*Table1[[#This Row],[x4]] + 1*Table1[[#This Row],[x5]]</f>
        <v>#DIV/0!</v>
      </c>
      <c r="W2240" s="23" t="e">
        <f>IF(Table1[[#This Row],[Zscore]]&lt;1.81,1,0)</f>
        <v>#DIV/0!</v>
      </c>
    </row>
    <row r="2241" spans="1:23" hidden="1" x14ac:dyDescent="0.45">
      <c r="A2241" s="7">
        <v>2235</v>
      </c>
      <c r="B2241" s="5" t="s">
        <v>4479</v>
      </c>
      <c r="C2241" s="6" t="s">
        <v>4480</v>
      </c>
      <c r="D2241" s="6" t="s">
        <v>13</v>
      </c>
      <c r="E2241" s="6"/>
      <c r="F2241" s="6"/>
      <c r="G2241" s="6"/>
      <c r="H2241" s="6"/>
      <c r="I2241" s="6"/>
      <c r="J2241" s="8"/>
      <c r="K2241" s="6"/>
      <c r="L2241" s="6"/>
      <c r="M2241" s="8"/>
      <c r="N2241" s="8"/>
      <c r="O2241" s="8"/>
      <c r="P2241" s="8"/>
      <c r="Q2241" s="18" t="e">
        <f>(Table1[[#This Row],[A. TÀI SẢN NGẮN HẠN]]-Table1[[#This Row],[I. Nợ ngắn hạn]])/Table1[[#This Row],[TỔNG CỘNG TÀI SẢN]]</f>
        <v>#DIV/0!</v>
      </c>
      <c r="R2241" s="18" t="e">
        <f>Table1[[#This Row],[- LNST chưa phân phối kỳ này]]/Table1[[#This Row],[TỔNG CỘNG TÀI SẢN]]</f>
        <v>#DIV/0!</v>
      </c>
      <c r="S2241" s="21" t="e">
        <f>Table1[[#This Row],[5. Lợi nhuận gộp về bán hàng và cung cấp dịch vụ]]/Table1[[#This Row],[TỔNG CỘNG TÀI SẢN]]</f>
        <v>#DIV/0!</v>
      </c>
      <c r="T224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241" s="23" t="e">
        <f>Table1[[#This Row],[1. Doanh thu bán hàng và cung cấp dịch vụ ]]/Table1[[#This Row],[TỔNG CỘNG TÀI SẢN]]</f>
        <v>#DIV/0!</v>
      </c>
      <c r="V2241" s="23" t="e">
        <f>1.2*Table1[[#This Row],[X1]] + 1.4*Table1[[#This Row],[X2]] + 3.3*Table1[[#This Row],[x3]] + 0.6*Table1[[#This Row],[x4]] + 1*Table1[[#This Row],[x5]]</f>
        <v>#DIV/0!</v>
      </c>
      <c r="W2241" s="23" t="e">
        <f>IF(Table1[[#This Row],[Zscore]]&lt;1.81,1,0)</f>
        <v>#DIV/0!</v>
      </c>
    </row>
    <row r="2242" spans="1:23" ht="26.25" hidden="1" x14ac:dyDescent="0.45">
      <c r="A2242" s="7">
        <v>2236</v>
      </c>
      <c r="B2242" s="5" t="s">
        <v>4481</v>
      </c>
      <c r="C2242" s="6" t="s">
        <v>4482</v>
      </c>
      <c r="D2242" s="6" t="s">
        <v>13</v>
      </c>
      <c r="E2242" s="6"/>
      <c r="F2242" s="6"/>
      <c r="G2242" s="6"/>
      <c r="H2242" s="6"/>
      <c r="I2242" s="6"/>
      <c r="J2242" s="8"/>
      <c r="K2242" s="6"/>
      <c r="L2242" s="6"/>
      <c r="M2242" s="8"/>
      <c r="N2242" s="8"/>
      <c r="O2242" s="8"/>
      <c r="P2242" s="8"/>
      <c r="Q2242" s="18" t="e">
        <f>(Table1[[#This Row],[A. TÀI SẢN NGẮN HẠN]]-Table1[[#This Row],[I. Nợ ngắn hạn]])/Table1[[#This Row],[TỔNG CỘNG TÀI SẢN]]</f>
        <v>#DIV/0!</v>
      </c>
      <c r="R2242" s="18" t="e">
        <f>Table1[[#This Row],[- LNST chưa phân phối kỳ này]]/Table1[[#This Row],[TỔNG CỘNG TÀI SẢN]]</f>
        <v>#DIV/0!</v>
      </c>
      <c r="S2242" s="21" t="e">
        <f>Table1[[#This Row],[5. Lợi nhuận gộp về bán hàng và cung cấp dịch vụ]]/Table1[[#This Row],[TỔNG CỘNG TÀI SẢN]]</f>
        <v>#DIV/0!</v>
      </c>
      <c r="T224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242" s="23" t="e">
        <f>Table1[[#This Row],[1. Doanh thu bán hàng và cung cấp dịch vụ ]]/Table1[[#This Row],[TỔNG CỘNG TÀI SẢN]]</f>
        <v>#DIV/0!</v>
      </c>
      <c r="V2242" s="23" t="e">
        <f>1.2*Table1[[#This Row],[X1]] + 1.4*Table1[[#This Row],[X2]] + 3.3*Table1[[#This Row],[x3]] + 0.6*Table1[[#This Row],[x4]] + 1*Table1[[#This Row],[x5]]</f>
        <v>#DIV/0!</v>
      </c>
      <c r="W2242" s="23" t="e">
        <f>IF(Table1[[#This Row],[Zscore]]&lt;1.81,1,0)</f>
        <v>#DIV/0!</v>
      </c>
    </row>
    <row r="2243" spans="1:23" ht="26.25" x14ac:dyDescent="0.45">
      <c r="A2243" s="7">
        <v>2237</v>
      </c>
      <c r="B2243" s="5" t="s">
        <v>4483</v>
      </c>
      <c r="C2243" s="6" t="s">
        <v>4484</v>
      </c>
      <c r="D2243" s="6" t="s">
        <v>18</v>
      </c>
      <c r="E2243" s="8">
        <v>2417606327669</v>
      </c>
      <c r="F2243" s="8">
        <v>1854391057115</v>
      </c>
      <c r="G2243" s="8">
        <v>1234498458965</v>
      </c>
      <c r="H2243" s="8">
        <v>-11280558889</v>
      </c>
      <c r="I2243" s="8">
        <v>73742370057</v>
      </c>
      <c r="J2243" s="8"/>
      <c r="K2243" s="8">
        <v>1235954725269</v>
      </c>
      <c r="L2243" s="8">
        <v>1719139086143</v>
      </c>
      <c r="M2243" s="8">
        <v>297615152600</v>
      </c>
      <c r="N2243" s="8">
        <v>336775041100</v>
      </c>
      <c r="O2243" s="8">
        <v>336775041100</v>
      </c>
      <c r="P2243" s="8">
        <v>391598885000</v>
      </c>
      <c r="Q2243" s="18">
        <f>(Table1[[#This Row],[A. TÀI SẢN NGẮN HẠN]]-Table1[[#This Row],[I. Nợ ngắn hạn]])/Table1[[#This Row],[TỔNG CỘNG TÀI SẢN]]</f>
        <v>0.2564075842520176</v>
      </c>
      <c r="R2243" s="18">
        <f>Table1[[#This Row],[- LNST chưa phân phối kỳ này]]/Table1[[#This Row],[TỔNG CỘNG TÀI SẢN]]</f>
        <v>-4.666003211480859E-3</v>
      </c>
      <c r="S2243" s="21">
        <f>Table1[[#This Row],[5. Lợi nhuận gộp về bán hàng và cung cấp dịch vụ]]/Table1[[#This Row],[TỔNG CỘNG TÀI SẢN]]</f>
        <v>3.0502224126829069E-2</v>
      </c>
      <c r="T224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0.27565008894306392</v>
      </c>
      <c r="U2243" s="23">
        <f>Table1[[#This Row],[1. Doanh thu bán hàng và cung cấp dịch vụ ]]/Table1[[#This Row],[TỔNG CỘNG TÀI SẢN]]</f>
        <v>0.71109140742552324</v>
      </c>
      <c r="V2243" s="23">
        <f>1.2*Table1[[#This Row],[X1]] + 1.4*Table1[[#This Row],[X2]] + 3.3*Table1[[#This Row],[x3]] + 0.6*Table1[[#This Row],[x4]] + 1*Table1[[#This Row],[x5]]</f>
        <v>1.2782954970162455</v>
      </c>
      <c r="W2243" s="23">
        <f>IF(Table1[[#This Row],[Zscore]]&lt;1.81,1,0)</f>
        <v>1</v>
      </c>
    </row>
    <row r="2244" spans="1:23" ht="26.25" hidden="1" x14ac:dyDescent="0.45">
      <c r="A2244" s="7">
        <v>2238</v>
      </c>
      <c r="B2244" s="5" t="s">
        <v>4485</v>
      </c>
      <c r="C2244" s="6" t="s">
        <v>4486</v>
      </c>
      <c r="D2244" s="6" t="s">
        <v>13</v>
      </c>
      <c r="E2244" s="6"/>
      <c r="F2244" s="6"/>
      <c r="G2244" s="6"/>
      <c r="H2244" s="6"/>
      <c r="I2244" s="6"/>
      <c r="J2244" s="8"/>
      <c r="K2244" s="6"/>
      <c r="L2244" s="6"/>
      <c r="M2244" s="8"/>
      <c r="N2244" s="8"/>
      <c r="O2244" s="8"/>
      <c r="P2244" s="8"/>
      <c r="Q2244" s="18" t="e">
        <f>(Table1[[#This Row],[A. TÀI SẢN NGẮN HẠN]]-Table1[[#This Row],[I. Nợ ngắn hạn]])/Table1[[#This Row],[TỔNG CỘNG TÀI SẢN]]</f>
        <v>#DIV/0!</v>
      </c>
      <c r="R2244" s="18" t="e">
        <f>Table1[[#This Row],[- LNST chưa phân phối kỳ này]]/Table1[[#This Row],[TỔNG CỘNG TÀI SẢN]]</f>
        <v>#DIV/0!</v>
      </c>
      <c r="S2244" s="21" t="e">
        <f>Table1[[#This Row],[5. Lợi nhuận gộp về bán hàng và cung cấp dịch vụ]]/Table1[[#This Row],[TỔNG CỘNG TÀI SẢN]]</f>
        <v>#DIV/0!</v>
      </c>
      <c r="T224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244" s="23" t="e">
        <f>Table1[[#This Row],[1. Doanh thu bán hàng và cung cấp dịch vụ ]]/Table1[[#This Row],[TỔNG CỘNG TÀI SẢN]]</f>
        <v>#DIV/0!</v>
      </c>
      <c r="V2244" s="23" t="e">
        <f>1.2*Table1[[#This Row],[X1]] + 1.4*Table1[[#This Row],[X2]] + 3.3*Table1[[#This Row],[x3]] + 0.6*Table1[[#This Row],[x4]] + 1*Table1[[#This Row],[x5]]</f>
        <v>#DIV/0!</v>
      </c>
      <c r="W2244" s="23" t="e">
        <f>IF(Table1[[#This Row],[Zscore]]&lt;1.81,1,0)</f>
        <v>#DIV/0!</v>
      </c>
    </row>
    <row r="2245" spans="1:23" hidden="1" x14ac:dyDescent="0.45">
      <c r="A2245" s="7">
        <v>2239</v>
      </c>
      <c r="B2245" s="5" t="s">
        <v>4487</v>
      </c>
      <c r="C2245" s="6" t="s">
        <v>4488</v>
      </c>
      <c r="D2245" s="6" t="s">
        <v>13</v>
      </c>
      <c r="E2245" s="6"/>
      <c r="F2245" s="6"/>
      <c r="G2245" s="6"/>
      <c r="H2245" s="6"/>
      <c r="I2245" s="6"/>
      <c r="J2245" s="8"/>
      <c r="K2245" s="6"/>
      <c r="L2245" s="6"/>
      <c r="M2245" s="8"/>
      <c r="N2245" s="8"/>
      <c r="O2245" s="8"/>
      <c r="P2245" s="8"/>
      <c r="Q2245" s="18" t="e">
        <f>(Table1[[#This Row],[A. TÀI SẢN NGẮN HẠN]]-Table1[[#This Row],[I. Nợ ngắn hạn]])/Table1[[#This Row],[TỔNG CỘNG TÀI SẢN]]</f>
        <v>#DIV/0!</v>
      </c>
      <c r="R2245" s="18" t="e">
        <f>Table1[[#This Row],[- LNST chưa phân phối kỳ này]]/Table1[[#This Row],[TỔNG CỘNG TÀI SẢN]]</f>
        <v>#DIV/0!</v>
      </c>
      <c r="S2245" s="21" t="e">
        <f>Table1[[#This Row],[5. Lợi nhuận gộp về bán hàng và cung cấp dịch vụ]]/Table1[[#This Row],[TỔNG CỘNG TÀI SẢN]]</f>
        <v>#DIV/0!</v>
      </c>
      <c r="T224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245" s="23" t="e">
        <f>Table1[[#This Row],[1. Doanh thu bán hàng và cung cấp dịch vụ ]]/Table1[[#This Row],[TỔNG CỘNG TÀI SẢN]]</f>
        <v>#DIV/0!</v>
      </c>
      <c r="V2245" s="23" t="e">
        <f>1.2*Table1[[#This Row],[X1]] + 1.4*Table1[[#This Row],[X2]] + 3.3*Table1[[#This Row],[x3]] + 0.6*Table1[[#This Row],[x4]] + 1*Table1[[#This Row],[x5]]</f>
        <v>#DIV/0!</v>
      </c>
      <c r="W2245" s="23" t="e">
        <f>IF(Table1[[#This Row],[Zscore]]&lt;1.81,1,0)</f>
        <v>#DIV/0!</v>
      </c>
    </row>
    <row r="2246" spans="1:23" ht="26.25" hidden="1" x14ac:dyDescent="0.45">
      <c r="A2246" s="7">
        <v>2240</v>
      </c>
      <c r="B2246" s="5" t="s">
        <v>4489</v>
      </c>
      <c r="C2246" s="6" t="s">
        <v>4490</v>
      </c>
      <c r="D2246" s="6" t="s">
        <v>13</v>
      </c>
      <c r="E2246" s="6"/>
      <c r="F2246" s="6"/>
      <c r="G2246" s="6"/>
      <c r="H2246" s="6"/>
      <c r="I2246" s="6"/>
      <c r="J2246" s="8"/>
      <c r="K2246" s="6"/>
      <c r="L2246" s="6"/>
      <c r="M2246" s="8"/>
      <c r="N2246" s="8"/>
      <c r="O2246" s="8"/>
      <c r="P2246" s="8"/>
      <c r="Q2246" s="18" t="e">
        <f>(Table1[[#This Row],[A. TÀI SẢN NGẮN HẠN]]-Table1[[#This Row],[I. Nợ ngắn hạn]])/Table1[[#This Row],[TỔNG CỘNG TÀI SẢN]]</f>
        <v>#DIV/0!</v>
      </c>
      <c r="R2246" s="18" t="e">
        <f>Table1[[#This Row],[- LNST chưa phân phối kỳ này]]/Table1[[#This Row],[TỔNG CỘNG TÀI SẢN]]</f>
        <v>#DIV/0!</v>
      </c>
      <c r="S2246" s="21" t="e">
        <f>Table1[[#This Row],[5. Lợi nhuận gộp về bán hàng và cung cấp dịch vụ]]/Table1[[#This Row],[TỔNG CỘNG TÀI SẢN]]</f>
        <v>#DIV/0!</v>
      </c>
      <c r="T224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246" s="23" t="e">
        <f>Table1[[#This Row],[1. Doanh thu bán hàng và cung cấp dịch vụ ]]/Table1[[#This Row],[TỔNG CỘNG TÀI SẢN]]</f>
        <v>#DIV/0!</v>
      </c>
      <c r="V2246" s="23" t="e">
        <f>1.2*Table1[[#This Row],[X1]] + 1.4*Table1[[#This Row],[X2]] + 3.3*Table1[[#This Row],[x3]] + 0.6*Table1[[#This Row],[x4]] + 1*Table1[[#This Row],[x5]]</f>
        <v>#DIV/0!</v>
      </c>
      <c r="W2246" s="23" t="e">
        <f>IF(Table1[[#This Row],[Zscore]]&lt;1.81,1,0)</f>
        <v>#DIV/0!</v>
      </c>
    </row>
    <row r="2247" spans="1:23" hidden="1" x14ac:dyDescent="0.45">
      <c r="A2247" s="7">
        <v>2241</v>
      </c>
      <c r="B2247" s="5" t="s">
        <v>4491</v>
      </c>
      <c r="C2247" s="6" t="s">
        <v>4492</v>
      </c>
      <c r="D2247" s="6" t="s">
        <v>13</v>
      </c>
      <c r="E2247" s="6"/>
      <c r="F2247" s="6"/>
      <c r="G2247" s="6"/>
      <c r="H2247" s="6"/>
      <c r="I2247" s="6"/>
      <c r="J2247" s="8"/>
      <c r="K2247" s="6"/>
      <c r="L2247" s="6"/>
      <c r="M2247" s="8"/>
      <c r="N2247" s="8"/>
      <c r="O2247" s="8"/>
      <c r="P2247" s="8"/>
      <c r="Q2247" s="18" t="e">
        <f>(Table1[[#This Row],[A. TÀI SẢN NGẮN HẠN]]-Table1[[#This Row],[I. Nợ ngắn hạn]])/Table1[[#This Row],[TỔNG CỘNG TÀI SẢN]]</f>
        <v>#DIV/0!</v>
      </c>
      <c r="R2247" s="18" t="e">
        <f>Table1[[#This Row],[- LNST chưa phân phối kỳ này]]/Table1[[#This Row],[TỔNG CỘNG TÀI SẢN]]</f>
        <v>#DIV/0!</v>
      </c>
      <c r="S2247" s="21" t="e">
        <f>Table1[[#This Row],[5. Lợi nhuận gộp về bán hàng và cung cấp dịch vụ]]/Table1[[#This Row],[TỔNG CỘNG TÀI SẢN]]</f>
        <v>#DIV/0!</v>
      </c>
      <c r="T224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247" s="23" t="e">
        <f>Table1[[#This Row],[1. Doanh thu bán hàng và cung cấp dịch vụ ]]/Table1[[#This Row],[TỔNG CỘNG TÀI SẢN]]</f>
        <v>#DIV/0!</v>
      </c>
      <c r="V2247" s="23" t="e">
        <f>1.2*Table1[[#This Row],[X1]] + 1.4*Table1[[#This Row],[X2]] + 3.3*Table1[[#This Row],[x3]] + 0.6*Table1[[#This Row],[x4]] + 1*Table1[[#This Row],[x5]]</f>
        <v>#DIV/0!</v>
      </c>
      <c r="W2247" s="23" t="e">
        <f>IF(Table1[[#This Row],[Zscore]]&lt;1.81,1,0)</f>
        <v>#DIV/0!</v>
      </c>
    </row>
    <row r="2248" spans="1:23" hidden="1" x14ac:dyDescent="0.45">
      <c r="A2248" s="7">
        <v>2242</v>
      </c>
      <c r="B2248" s="5" t="s">
        <v>4493</v>
      </c>
      <c r="C2248" s="6" t="s">
        <v>4494</v>
      </c>
      <c r="D2248" s="6" t="s">
        <v>18</v>
      </c>
      <c r="E2248" s="6"/>
      <c r="F2248" s="6"/>
      <c r="G2248" s="6"/>
      <c r="H2248" s="6"/>
      <c r="I2248" s="6"/>
      <c r="J2248" s="8"/>
      <c r="K2248" s="6"/>
      <c r="L2248" s="6"/>
      <c r="M2248" s="8"/>
      <c r="N2248" s="8"/>
      <c r="O2248" s="8"/>
      <c r="P2248" s="8"/>
      <c r="Q2248" s="18" t="e">
        <f>(Table1[[#This Row],[A. TÀI SẢN NGẮN HẠN]]-Table1[[#This Row],[I. Nợ ngắn hạn]])/Table1[[#This Row],[TỔNG CỘNG TÀI SẢN]]</f>
        <v>#DIV/0!</v>
      </c>
      <c r="R2248" s="18" t="e">
        <f>Table1[[#This Row],[- LNST chưa phân phối kỳ này]]/Table1[[#This Row],[TỔNG CỘNG TÀI SẢN]]</f>
        <v>#DIV/0!</v>
      </c>
      <c r="S2248" s="21" t="e">
        <f>Table1[[#This Row],[5. Lợi nhuận gộp về bán hàng và cung cấp dịch vụ]]/Table1[[#This Row],[TỔNG CỘNG TÀI SẢN]]</f>
        <v>#DIV/0!</v>
      </c>
      <c r="T224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248" s="23" t="e">
        <f>Table1[[#This Row],[1. Doanh thu bán hàng và cung cấp dịch vụ ]]/Table1[[#This Row],[TỔNG CỘNG TÀI SẢN]]</f>
        <v>#DIV/0!</v>
      </c>
      <c r="V2248" s="23" t="e">
        <f>1.2*Table1[[#This Row],[X1]] + 1.4*Table1[[#This Row],[X2]] + 3.3*Table1[[#This Row],[x3]] + 0.6*Table1[[#This Row],[x4]] + 1*Table1[[#This Row],[x5]]</f>
        <v>#DIV/0!</v>
      </c>
      <c r="W2248" s="23" t="e">
        <f>IF(Table1[[#This Row],[Zscore]]&lt;1.81,1,0)</f>
        <v>#DIV/0!</v>
      </c>
    </row>
    <row r="2249" spans="1:23" hidden="1" x14ac:dyDescent="0.45">
      <c r="A2249" s="7">
        <v>2243</v>
      </c>
      <c r="B2249" s="5" t="s">
        <v>4495</v>
      </c>
      <c r="C2249" s="6" t="s">
        <v>4496</v>
      </c>
      <c r="D2249" s="6" t="s">
        <v>13</v>
      </c>
      <c r="E2249" s="6"/>
      <c r="F2249" s="6"/>
      <c r="G2249" s="6"/>
      <c r="H2249" s="6"/>
      <c r="I2249" s="6"/>
      <c r="J2249" s="8"/>
      <c r="K2249" s="6"/>
      <c r="L2249" s="6"/>
      <c r="M2249" s="8"/>
      <c r="N2249" s="8"/>
      <c r="O2249" s="8"/>
      <c r="P2249" s="8"/>
      <c r="Q2249" s="18" t="e">
        <f>(Table1[[#This Row],[A. TÀI SẢN NGẮN HẠN]]-Table1[[#This Row],[I. Nợ ngắn hạn]])/Table1[[#This Row],[TỔNG CỘNG TÀI SẢN]]</f>
        <v>#DIV/0!</v>
      </c>
      <c r="R2249" s="18" t="e">
        <f>Table1[[#This Row],[- LNST chưa phân phối kỳ này]]/Table1[[#This Row],[TỔNG CỘNG TÀI SẢN]]</f>
        <v>#DIV/0!</v>
      </c>
      <c r="S2249" s="21" t="e">
        <f>Table1[[#This Row],[5. Lợi nhuận gộp về bán hàng và cung cấp dịch vụ]]/Table1[[#This Row],[TỔNG CỘNG TÀI SẢN]]</f>
        <v>#DIV/0!</v>
      </c>
      <c r="T224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249" s="23" t="e">
        <f>Table1[[#This Row],[1. Doanh thu bán hàng và cung cấp dịch vụ ]]/Table1[[#This Row],[TỔNG CỘNG TÀI SẢN]]</f>
        <v>#DIV/0!</v>
      </c>
      <c r="V2249" s="23" t="e">
        <f>1.2*Table1[[#This Row],[X1]] + 1.4*Table1[[#This Row],[X2]] + 3.3*Table1[[#This Row],[x3]] + 0.6*Table1[[#This Row],[x4]] + 1*Table1[[#This Row],[x5]]</f>
        <v>#DIV/0!</v>
      </c>
      <c r="W2249" s="23" t="e">
        <f>IF(Table1[[#This Row],[Zscore]]&lt;1.81,1,0)</f>
        <v>#DIV/0!</v>
      </c>
    </row>
    <row r="2250" spans="1:23" ht="26.25" hidden="1" x14ac:dyDescent="0.45">
      <c r="A2250" s="7">
        <v>2244</v>
      </c>
      <c r="B2250" s="5" t="s">
        <v>4497</v>
      </c>
      <c r="C2250" s="6" t="s">
        <v>4498</v>
      </c>
      <c r="D2250" s="6" t="s">
        <v>13</v>
      </c>
      <c r="E2250" s="6"/>
      <c r="F2250" s="6"/>
      <c r="G2250" s="6"/>
      <c r="H2250" s="6"/>
      <c r="I2250" s="6"/>
      <c r="J2250" s="8"/>
      <c r="K2250" s="6"/>
      <c r="L2250" s="6"/>
      <c r="M2250" s="8"/>
      <c r="N2250" s="8"/>
      <c r="O2250" s="8"/>
      <c r="P2250" s="8"/>
      <c r="Q2250" s="18" t="e">
        <f>(Table1[[#This Row],[A. TÀI SẢN NGẮN HẠN]]-Table1[[#This Row],[I. Nợ ngắn hạn]])/Table1[[#This Row],[TỔNG CỘNG TÀI SẢN]]</f>
        <v>#DIV/0!</v>
      </c>
      <c r="R2250" s="18" t="e">
        <f>Table1[[#This Row],[- LNST chưa phân phối kỳ này]]/Table1[[#This Row],[TỔNG CỘNG TÀI SẢN]]</f>
        <v>#DIV/0!</v>
      </c>
      <c r="S2250" s="21" t="e">
        <f>Table1[[#This Row],[5. Lợi nhuận gộp về bán hàng và cung cấp dịch vụ]]/Table1[[#This Row],[TỔNG CỘNG TÀI SẢN]]</f>
        <v>#DIV/0!</v>
      </c>
      <c r="T225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250" s="23" t="e">
        <f>Table1[[#This Row],[1. Doanh thu bán hàng và cung cấp dịch vụ ]]/Table1[[#This Row],[TỔNG CỘNG TÀI SẢN]]</f>
        <v>#DIV/0!</v>
      </c>
      <c r="V2250" s="23" t="e">
        <f>1.2*Table1[[#This Row],[X1]] + 1.4*Table1[[#This Row],[X2]] + 3.3*Table1[[#This Row],[x3]] + 0.6*Table1[[#This Row],[x4]] + 1*Table1[[#This Row],[x5]]</f>
        <v>#DIV/0!</v>
      </c>
      <c r="W2250" s="23" t="e">
        <f>IF(Table1[[#This Row],[Zscore]]&lt;1.81,1,0)</f>
        <v>#DIV/0!</v>
      </c>
    </row>
    <row r="2251" spans="1:23" hidden="1" x14ac:dyDescent="0.45">
      <c r="A2251" s="7">
        <v>2245</v>
      </c>
      <c r="B2251" s="5" t="s">
        <v>4499</v>
      </c>
      <c r="C2251" s="6" t="s">
        <v>4500</v>
      </c>
      <c r="D2251" s="6" t="s">
        <v>13</v>
      </c>
      <c r="E2251" s="6"/>
      <c r="F2251" s="6"/>
      <c r="G2251" s="6"/>
      <c r="H2251" s="6"/>
      <c r="I2251" s="6"/>
      <c r="J2251" s="8"/>
      <c r="K2251" s="6"/>
      <c r="L2251" s="6"/>
      <c r="M2251" s="8"/>
      <c r="N2251" s="8"/>
      <c r="O2251" s="8"/>
      <c r="P2251" s="8"/>
      <c r="Q2251" s="18" t="e">
        <f>(Table1[[#This Row],[A. TÀI SẢN NGẮN HẠN]]-Table1[[#This Row],[I. Nợ ngắn hạn]])/Table1[[#This Row],[TỔNG CỘNG TÀI SẢN]]</f>
        <v>#DIV/0!</v>
      </c>
      <c r="R2251" s="18" t="e">
        <f>Table1[[#This Row],[- LNST chưa phân phối kỳ này]]/Table1[[#This Row],[TỔNG CỘNG TÀI SẢN]]</f>
        <v>#DIV/0!</v>
      </c>
      <c r="S2251" s="21" t="e">
        <f>Table1[[#This Row],[5. Lợi nhuận gộp về bán hàng và cung cấp dịch vụ]]/Table1[[#This Row],[TỔNG CỘNG TÀI SẢN]]</f>
        <v>#DIV/0!</v>
      </c>
      <c r="T225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251" s="23" t="e">
        <f>Table1[[#This Row],[1. Doanh thu bán hàng và cung cấp dịch vụ ]]/Table1[[#This Row],[TỔNG CỘNG TÀI SẢN]]</f>
        <v>#DIV/0!</v>
      </c>
      <c r="V2251" s="23" t="e">
        <f>1.2*Table1[[#This Row],[X1]] + 1.4*Table1[[#This Row],[X2]] + 3.3*Table1[[#This Row],[x3]] + 0.6*Table1[[#This Row],[x4]] + 1*Table1[[#This Row],[x5]]</f>
        <v>#DIV/0!</v>
      </c>
      <c r="W2251" s="23" t="e">
        <f>IF(Table1[[#This Row],[Zscore]]&lt;1.81,1,0)</f>
        <v>#DIV/0!</v>
      </c>
    </row>
    <row r="2252" spans="1:23" hidden="1" x14ac:dyDescent="0.45">
      <c r="A2252" s="7">
        <v>2246</v>
      </c>
      <c r="B2252" s="5" t="s">
        <v>4501</v>
      </c>
      <c r="C2252" s="6" t="s">
        <v>4502</v>
      </c>
      <c r="D2252" s="6" t="s">
        <v>13</v>
      </c>
      <c r="E2252" s="6"/>
      <c r="F2252" s="6"/>
      <c r="G2252" s="6"/>
      <c r="H2252" s="6"/>
      <c r="I2252" s="6"/>
      <c r="J2252" s="8"/>
      <c r="K2252" s="6"/>
      <c r="L2252" s="6"/>
      <c r="M2252" s="8"/>
      <c r="N2252" s="8"/>
      <c r="O2252" s="8"/>
      <c r="P2252" s="8"/>
      <c r="Q2252" s="18" t="e">
        <f>(Table1[[#This Row],[A. TÀI SẢN NGẮN HẠN]]-Table1[[#This Row],[I. Nợ ngắn hạn]])/Table1[[#This Row],[TỔNG CỘNG TÀI SẢN]]</f>
        <v>#DIV/0!</v>
      </c>
      <c r="R2252" s="18" t="e">
        <f>Table1[[#This Row],[- LNST chưa phân phối kỳ này]]/Table1[[#This Row],[TỔNG CỘNG TÀI SẢN]]</f>
        <v>#DIV/0!</v>
      </c>
      <c r="S2252" s="21" t="e">
        <f>Table1[[#This Row],[5. Lợi nhuận gộp về bán hàng và cung cấp dịch vụ]]/Table1[[#This Row],[TỔNG CỘNG TÀI SẢN]]</f>
        <v>#DIV/0!</v>
      </c>
      <c r="T225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252" s="23" t="e">
        <f>Table1[[#This Row],[1. Doanh thu bán hàng và cung cấp dịch vụ ]]/Table1[[#This Row],[TỔNG CỘNG TÀI SẢN]]</f>
        <v>#DIV/0!</v>
      </c>
      <c r="V2252" s="23" t="e">
        <f>1.2*Table1[[#This Row],[X1]] + 1.4*Table1[[#This Row],[X2]] + 3.3*Table1[[#This Row],[x3]] + 0.6*Table1[[#This Row],[x4]] + 1*Table1[[#This Row],[x5]]</f>
        <v>#DIV/0!</v>
      </c>
      <c r="W2252" s="23" t="e">
        <f>IF(Table1[[#This Row],[Zscore]]&lt;1.81,1,0)</f>
        <v>#DIV/0!</v>
      </c>
    </row>
    <row r="2253" spans="1:23" ht="26.25" hidden="1" x14ac:dyDescent="0.45">
      <c r="A2253" s="7">
        <v>2247</v>
      </c>
      <c r="B2253" s="5" t="s">
        <v>4503</v>
      </c>
      <c r="C2253" s="6" t="s">
        <v>4504</v>
      </c>
      <c r="D2253" s="6" t="s">
        <v>18</v>
      </c>
      <c r="E2253" s="8">
        <v>73704048614</v>
      </c>
      <c r="F2253" s="8">
        <v>69878822914</v>
      </c>
      <c r="G2253" s="8">
        <v>52656935358</v>
      </c>
      <c r="H2253" s="8">
        <v>3190373575</v>
      </c>
      <c r="I2253" s="8">
        <v>28046851161</v>
      </c>
      <c r="J2253" s="8"/>
      <c r="K2253" s="8">
        <v>53200335358</v>
      </c>
      <c r="L2253" s="8">
        <v>353988322055</v>
      </c>
      <c r="M2253" s="8"/>
      <c r="N2253" s="8"/>
      <c r="O2253" s="8"/>
      <c r="P2253" s="8"/>
      <c r="Q2253" s="18">
        <f>(Table1[[#This Row],[A. TÀI SẢN NGẮN HẠN]]-Table1[[#This Row],[I. Nợ ngắn hạn]])/Table1[[#This Row],[TỔNG CỘNG TÀI SẢN]]</f>
        <v>0.23366270754261825</v>
      </c>
      <c r="R2253" s="18">
        <f>Table1[[#This Row],[- LNST chưa phân phối kỳ này]]/Table1[[#This Row],[TỔNG CỘNG TÀI SẢN]]</f>
        <v>4.3286273074475211E-2</v>
      </c>
      <c r="S2253" s="21">
        <f>Table1[[#This Row],[5. Lợi nhuận gộp về bán hàng và cung cấp dịch vụ]]/Table1[[#This Row],[TỔNG CỘNG TÀI SẢN]]</f>
        <v>0.38053338572872553</v>
      </c>
      <c r="T225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253" s="23">
        <f>Table1[[#This Row],[1. Doanh thu bán hàng và cung cấp dịch vụ ]]/Table1[[#This Row],[TỔNG CỘNG TÀI SẢN]]</f>
        <v>4.8028341551343265</v>
      </c>
      <c r="V2253" s="23" t="e">
        <f>1.2*Table1[[#This Row],[X1]] + 1.4*Table1[[#This Row],[X2]] + 3.3*Table1[[#This Row],[x3]] + 0.6*Table1[[#This Row],[x4]] + 1*Table1[[#This Row],[x5]]</f>
        <v>#DIV/0!</v>
      </c>
      <c r="W2253" s="23" t="e">
        <f>IF(Table1[[#This Row],[Zscore]]&lt;1.81,1,0)</f>
        <v>#DIV/0!</v>
      </c>
    </row>
    <row r="2254" spans="1:23" x14ac:dyDescent="0.45">
      <c r="A2254" s="7">
        <v>2248</v>
      </c>
      <c r="B2254" s="5" t="s">
        <v>4505</v>
      </c>
      <c r="C2254" s="6" t="s">
        <v>4506</v>
      </c>
      <c r="D2254" s="6" t="s">
        <v>21</v>
      </c>
      <c r="E2254" s="8">
        <v>1653267349086</v>
      </c>
      <c r="F2254" s="8">
        <v>222150970272</v>
      </c>
      <c r="G2254" s="8">
        <v>99374868455</v>
      </c>
      <c r="H2254" s="8">
        <v>128691085535</v>
      </c>
      <c r="I2254" s="8">
        <v>339858264619</v>
      </c>
      <c r="J2254" s="8"/>
      <c r="K2254" s="8">
        <v>178138055573</v>
      </c>
      <c r="L2254" s="8">
        <v>562827349177</v>
      </c>
      <c r="M2254" s="8">
        <v>2495550000000</v>
      </c>
      <c r="N2254" s="8">
        <v>2235200000000</v>
      </c>
      <c r="O2254" s="8">
        <v>2384425000000</v>
      </c>
      <c r="P2254" s="8">
        <v>2413000000000</v>
      </c>
      <c r="Q2254" s="18">
        <f>(Table1[[#This Row],[A. TÀI SẢN NGẮN HẠN]]-Table1[[#This Row],[I. Nợ ngắn hạn]])/Table1[[#This Row],[TỔNG CỘNG TÀI SẢN]]</f>
        <v>7.4262702813840786E-2</v>
      </c>
      <c r="R2254" s="18">
        <f>Table1[[#This Row],[- LNST chưa phân phối kỳ này]]/Table1[[#This Row],[TỔNG CỘNG TÀI SẢN]]</f>
        <v>7.7840456721138401E-2</v>
      </c>
      <c r="S2254" s="21">
        <f>Table1[[#This Row],[5. Lợi nhuận gộp về bán hàng và cung cấp dịch vụ]]/Table1[[#This Row],[TỔNG CỘNG TÀI SẢN]]</f>
        <v>0.20556763841425213</v>
      </c>
      <c r="T225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13.371897107206559</v>
      </c>
      <c r="U2254" s="23">
        <f>Table1[[#This Row],[1. Doanh thu bán hàng và cung cấp dịch vụ ]]/Table1[[#This Row],[TỔNG CỘNG TÀI SẢN]]</f>
        <v>0.34043335428365901</v>
      </c>
      <c r="V2254" s="23">
        <f>1.2*Table1[[#This Row],[X1]] + 1.4*Table1[[#This Row],[X2]] + 3.3*Table1[[#This Row],[x3]] + 0.6*Table1[[#This Row],[x4]] + 1*Table1[[#This Row],[x5]]</f>
        <v>9.2400367081608277</v>
      </c>
      <c r="W2254" s="23">
        <f>IF(Table1[[#This Row],[Zscore]]&lt;1.81,1,0)</f>
        <v>0</v>
      </c>
    </row>
    <row r="2255" spans="1:23" ht="26.25" x14ac:dyDescent="0.45">
      <c r="A2255" s="7">
        <v>2249</v>
      </c>
      <c r="B2255" s="5" t="s">
        <v>4507</v>
      </c>
      <c r="C2255" s="6" t="s">
        <v>4508</v>
      </c>
      <c r="D2255" s="6" t="s">
        <v>18</v>
      </c>
      <c r="E2255" s="8">
        <v>2295819345595</v>
      </c>
      <c r="F2255" s="8">
        <v>1974748319097</v>
      </c>
      <c r="G2255" s="8">
        <v>1447628572973</v>
      </c>
      <c r="H2255" s="8">
        <v>220741967153</v>
      </c>
      <c r="I2255" s="8">
        <v>453030199346</v>
      </c>
      <c r="J2255" s="8"/>
      <c r="K2255" s="8">
        <v>1541778024797</v>
      </c>
      <c r="L2255" s="8">
        <v>2913988758697</v>
      </c>
      <c r="M2255" s="8">
        <v>2580504003200</v>
      </c>
      <c r="N2255" s="8">
        <v>3702180366400</v>
      </c>
      <c r="O2255" s="8">
        <v>3841579452000</v>
      </c>
      <c r="P2255" s="8">
        <v>4149554176000</v>
      </c>
      <c r="Q2255" s="18">
        <f>(Table1[[#This Row],[A. TÀI SẢN NGẮN HẠN]]-Table1[[#This Row],[I. Nợ ngắn hạn]])/Table1[[#This Row],[TỔNG CỘNG TÀI SẢN]]</f>
        <v>0.22959983638755693</v>
      </c>
      <c r="R2255" s="18">
        <f>Table1[[#This Row],[- LNST chưa phân phối kỳ này]]/Table1[[#This Row],[TỔNG CỘNG TÀI SẢN]]</f>
        <v>9.6149537016725073E-2</v>
      </c>
      <c r="S2255" s="21">
        <f>Table1[[#This Row],[5. Lợi nhuận gộp về bán hàng và cung cấp dịch vụ]]/Table1[[#This Row],[TỔNG CỘNG TÀI SẢN]]</f>
        <v>0.19732833082674003</v>
      </c>
      <c r="T225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2.3145060067060204</v>
      </c>
      <c r="U2255" s="23">
        <f>Table1[[#This Row],[1. Doanh thu bán hàng và cung cấp dịch vụ ]]/Table1[[#This Row],[TỔNG CỘNG TÀI SẢN]]</f>
        <v>1.2692587351387576</v>
      </c>
      <c r="V2255" s="23">
        <f>1.2*Table1[[#This Row],[X1]] + 1.4*Table1[[#This Row],[X2]] + 3.3*Table1[[#This Row],[x3]] + 0.6*Table1[[#This Row],[x4]] + 1*Table1[[#This Row],[x5]]</f>
        <v>3.7192749863790953</v>
      </c>
      <c r="W2255" s="23">
        <f>IF(Table1[[#This Row],[Zscore]]&lt;1.81,1,0)</f>
        <v>0</v>
      </c>
    </row>
    <row r="2256" spans="1:23" hidden="1" x14ac:dyDescent="0.45">
      <c r="A2256" s="7">
        <v>2250</v>
      </c>
      <c r="B2256" s="5" t="s">
        <v>4509</v>
      </c>
      <c r="C2256" s="6" t="s">
        <v>4510</v>
      </c>
      <c r="D2256" s="6" t="s">
        <v>13</v>
      </c>
      <c r="E2256" s="6"/>
      <c r="F2256" s="6"/>
      <c r="G2256" s="6"/>
      <c r="H2256" s="6"/>
      <c r="I2256" s="6"/>
      <c r="J2256" s="8"/>
      <c r="K2256" s="6"/>
      <c r="L2256" s="6"/>
      <c r="M2256" s="8"/>
      <c r="N2256" s="8"/>
      <c r="O2256" s="8"/>
      <c r="P2256" s="8"/>
      <c r="Q2256" s="18" t="e">
        <f>(Table1[[#This Row],[A. TÀI SẢN NGẮN HẠN]]-Table1[[#This Row],[I. Nợ ngắn hạn]])/Table1[[#This Row],[TỔNG CỘNG TÀI SẢN]]</f>
        <v>#DIV/0!</v>
      </c>
      <c r="R2256" s="18" t="e">
        <f>Table1[[#This Row],[- LNST chưa phân phối kỳ này]]/Table1[[#This Row],[TỔNG CỘNG TÀI SẢN]]</f>
        <v>#DIV/0!</v>
      </c>
      <c r="S2256" s="21" t="e">
        <f>Table1[[#This Row],[5. Lợi nhuận gộp về bán hàng và cung cấp dịch vụ]]/Table1[[#This Row],[TỔNG CỘNG TÀI SẢN]]</f>
        <v>#DIV/0!</v>
      </c>
      <c r="T225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256" s="23" t="e">
        <f>Table1[[#This Row],[1. Doanh thu bán hàng và cung cấp dịch vụ ]]/Table1[[#This Row],[TỔNG CỘNG TÀI SẢN]]</f>
        <v>#DIV/0!</v>
      </c>
      <c r="V2256" s="23" t="e">
        <f>1.2*Table1[[#This Row],[X1]] + 1.4*Table1[[#This Row],[X2]] + 3.3*Table1[[#This Row],[x3]] + 0.6*Table1[[#This Row],[x4]] + 1*Table1[[#This Row],[x5]]</f>
        <v>#DIV/0!</v>
      </c>
      <c r="W2256" s="23" t="e">
        <f>IF(Table1[[#This Row],[Zscore]]&lt;1.81,1,0)</f>
        <v>#DIV/0!</v>
      </c>
    </row>
    <row r="2257" spans="1:23" ht="26.25" hidden="1" x14ac:dyDescent="0.45">
      <c r="A2257" s="7">
        <v>2251</v>
      </c>
      <c r="B2257" s="5" t="s">
        <v>4511</v>
      </c>
      <c r="C2257" s="6" t="s">
        <v>4512</v>
      </c>
      <c r="D2257" s="6" t="s">
        <v>13</v>
      </c>
      <c r="E2257" s="6"/>
      <c r="F2257" s="6"/>
      <c r="G2257" s="6"/>
      <c r="H2257" s="6"/>
      <c r="I2257" s="6"/>
      <c r="J2257" s="8"/>
      <c r="K2257" s="6"/>
      <c r="L2257" s="6"/>
      <c r="M2257" s="8"/>
      <c r="N2257" s="8"/>
      <c r="O2257" s="8"/>
      <c r="P2257" s="8"/>
      <c r="Q2257" s="18" t="e">
        <f>(Table1[[#This Row],[A. TÀI SẢN NGẮN HẠN]]-Table1[[#This Row],[I. Nợ ngắn hạn]])/Table1[[#This Row],[TỔNG CỘNG TÀI SẢN]]</f>
        <v>#DIV/0!</v>
      </c>
      <c r="R2257" s="18" t="e">
        <f>Table1[[#This Row],[- LNST chưa phân phối kỳ này]]/Table1[[#This Row],[TỔNG CỘNG TÀI SẢN]]</f>
        <v>#DIV/0!</v>
      </c>
      <c r="S2257" s="21" t="e">
        <f>Table1[[#This Row],[5. Lợi nhuận gộp về bán hàng và cung cấp dịch vụ]]/Table1[[#This Row],[TỔNG CỘNG TÀI SẢN]]</f>
        <v>#DIV/0!</v>
      </c>
      <c r="T225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257" s="23" t="e">
        <f>Table1[[#This Row],[1. Doanh thu bán hàng và cung cấp dịch vụ ]]/Table1[[#This Row],[TỔNG CỘNG TÀI SẢN]]</f>
        <v>#DIV/0!</v>
      </c>
      <c r="V2257" s="23" t="e">
        <f>1.2*Table1[[#This Row],[X1]] + 1.4*Table1[[#This Row],[X2]] + 3.3*Table1[[#This Row],[x3]] + 0.6*Table1[[#This Row],[x4]] + 1*Table1[[#This Row],[x5]]</f>
        <v>#DIV/0!</v>
      </c>
      <c r="W2257" s="23" t="e">
        <f>IF(Table1[[#This Row],[Zscore]]&lt;1.81,1,0)</f>
        <v>#DIV/0!</v>
      </c>
    </row>
    <row r="2258" spans="1:23" hidden="1" x14ac:dyDescent="0.45">
      <c r="A2258" s="7">
        <v>2252</v>
      </c>
      <c r="B2258" s="5" t="s">
        <v>4513</v>
      </c>
      <c r="C2258" s="6" t="s">
        <v>4514</v>
      </c>
      <c r="D2258" s="6" t="s">
        <v>18</v>
      </c>
      <c r="E2258" s="6"/>
      <c r="F2258" s="6"/>
      <c r="G2258" s="6"/>
      <c r="H2258" s="6"/>
      <c r="I2258" s="6"/>
      <c r="J2258" s="8"/>
      <c r="K2258" s="6"/>
      <c r="L2258" s="6"/>
      <c r="M2258" s="8"/>
      <c r="N2258" s="8"/>
      <c r="O2258" s="8"/>
      <c r="P2258" s="8"/>
      <c r="Q2258" s="18" t="e">
        <f>(Table1[[#This Row],[A. TÀI SẢN NGẮN HẠN]]-Table1[[#This Row],[I. Nợ ngắn hạn]])/Table1[[#This Row],[TỔNG CỘNG TÀI SẢN]]</f>
        <v>#DIV/0!</v>
      </c>
      <c r="R2258" s="18" t="e">
        <f>Table1[[#This Row],[- LNST chưa phân phối kỳ này]]/Table1[[#This Row],[TỔNG CỘNG TÀI SẢN]]</f>
        <v>#DIV/0!</v>
      </c>
      <c r="S2258" s="21" t="e">
        <f>Table1[[#This Row],[5. Lợi nhuận gộp về bán hàng và cung cấp dịch vụ]]/Table1[[#This Row],[TỔNG CỘNG TÀI SẢN]]</f>
        <v>#DIV/0!</v>
      </c>
      <c r="T225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258" s="23" t="e">
        <f>Table1[[#This Row],[1. Doanh thu bán hàng và cung cấp dịch vụ ]]/Table1[[#This Row],[TỔNG CỘNG TÀI SẢN]]</f>
        <v>#DIV/0!</v>
      </c>
      <c r="V2258" s="23" t="e">
        <f>1.2*Table1[[#This Row],[X1]] + 1.4*Table1[[#This Row],[X2]] + 3.3*Table1[[#This Row],[x3]] + 0.6*Table1[[#This Row],[x4]] + 1*Table1[[#This Row],[x5]]</f>
        <v>#DIV/0!</v>
      </c>
      <c r="W2258" s="23" t="e">
        <f>IF(Table1[[#This Row],[Zscore]]&lt;1.81,1,0)</f>
        <v>#DIV/0!</v>
      </c>
    </row>
    <row r="2259" spans="1:23" ht="26.25" hidden="1" x14ac:dyDescent="0.45">
      <c r="A2259" s="7">
        <v>2253</v>
      </c>
      <c r="B2259" s="5" t="s">
        <v>4515</v>
      </c>
      <c r="C2259" s="6" t="s">
        <v>4516</v>
      </c>
      <c r="D2259" s="6" t="s">
        <v>13</v>
      </c>
      <c r="E2259" s="6"/>
      <c r="F2259" s="6"/>
      <c r="G2259" s="6"/>
      <c r="H2259" s="6"/>
      <c r="I2259" s="6"/>
      <c r="J2259" s="8"/>
      <c r="K2259" s="6"/>
      <c r="L2259" s="6"/>
      <c r="M2259" s="8"/>
      <c r="N2259" s="8"/>
      <c r="O2259" s="8"/>
      <c r="P2259" s="8"/>
      <c r="Q2259" s="18" t="e">
        <f>(Table1[[#This Row],[A. TÀI SẢN NGẮN HẠN]]-Table1[[#This Row],[I. Nợ ngắn hạn]])/Table1[[#This Row],[TỔNG CỘNG TÀI SẢN]]</f>
        <v>#DIV/0!</v>
      </c>
      <c r="R2259" s="18" t="e">
        <f>Table1[[#This Row],[- LNST chưa phân phối kỳ này]]/Table1[[#This Row],[TỔNG CỘNG TÀI SẢN]]</f>
        <v>#DIV/0!</v>
      </c>
      <c r="S2259" s="21" t="e">
        <f>Table1[[#This Row],[5. Lợi nhuận gộp về bán hàng và cung cấp dịch vụ]]/Table1[[#This Row],[TỔNG CỘNG TÀI SẢN]]</f>
        <v>#DIV/0!</v>
      </c>
      <c r="T225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259" s="23" t="e">
        <f>Table1[[#This Row],[1. Doanh thu bán hàng và cung cấp dịch vụ ]]/Table1[[#This Row],[TỔNG CỘNG TÀI SẢN]]</f>
        <v>#DIV/0!</v>
      </c>
      <c r="V2259" s="23" t="e">
        <f>1.2*Table1[[#This Row],[X1]] + 1.4*Table1[[#This Row],[X2]] + 3.3*Table1[[#This Row],[x3]] + 0.6*Table1[[#This Row],[x4]] + 1*Table1[[#This Row],[x5]]</f>
        <v>#DIV/0!</v>
      </c>
      <c r="W2259" s="23" t="e">
        <f>IF(Table1[[#This Row],[Zscore]]&lt;1.81,1,0)</f>
        <v>#DIV/0!</v>
      </c>
    </row>
    <row r="2260" spans="1:23" hidden="1" x14ac:dyDescent="0.45">
      <c r="A2260" s="7">
        <v>2254</v>
      </c>
      <c r="B2260" s="5" t="s">
        <v>4517</v>
      </c>
      <c r="C2260" s="6" t="s">
        <v>4518</v>
      </c>
      <c r="D2260" s="6" t="s">
        <v>18</v>
      </c>
      <c r="E2260" s="6"/>
      <c r="F2260" s="6"/>
      <c r="G2260" s="6"/>
      <c r="H2260" s="6"/>
      <c r="I2260" s="6"/>
      <c r="J2260" s="8"/>
      <c r="K2260" s="6"/>
      <c r="L2260" s="6"/>
      <c r="M2260" s="8"/>
      <c r="N2260" s="8"/>
      <c r="O2260" s="8"/>
      <c r="P2260" s="8"/>
      <c r="Q2260" s="18" t="e">
        <f>(Table1[[#This Row],[A. TÀI SẢN NGẮN HẠN]]-Table1[[#This Row],[I. Nợ ngắn hạn]])/Table1[[#This Row],[TỔNG CỘNG TÀI SẢN]]</f>
        <v>#DIV/0!</v>
      </c>
      <c r="R2260" s="18" t="e">
        <f>Table1[[#This Row],[- LNST chưa phân phối kỳ này]]/Table1[[#This Row],[TỔNG CỘNG TÀI SẢN]]</f>
        <v>#DIV/0!</v>
      </c>
      <c r="S2260" s="21" t="e">
        <f>Table1[[#This Row],[5. Lợi nhuận gộp về bán hàng và cung cấp dịch vụ]]/Table1[[#This Row],[TỔNG CỘNG TÀI SẢN]]</f>
        <v>#DIV/0!</v>
      </c>
      <c r="T226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260" s="23" t="e">
        <f>Table1[[#This Row],[1. Doanh thu bán hàng và cung cấp dịch vụ ]]/Table1[[#This Row],[TỔNG CỘNG TÀI SẢN]]</f>
        <v>#DIV/0!</v>
      </c>
      <c r="V2260" s="23" t="e">
        <f>1.2*Table1[[#This Row],[X1]] + 1.4*Table1[[#This Row],[X2]] + 3.3*Table1[[#This Row],[x3]] + 0.6*Table1[[#This Row],[x4]] + 1*Table1[[#This Row],[x5]]</f>
        <v>#DIV/0!</v>
      </c>
      <c r="W2260" s="23" t="e">
        <f>IF(Table1[[#This Row],[Zscore]]&lt;1.81,1,0)</f>
        <v>#DIV/0!</v>
      </c>
    </row>
    <row r="2261" spans="1:23" hidden="1" x14ac:dyDescent="0.45">
      <c r="A2261" s="7">
        <v>2255</v>
      </c>
      <c r="B2261" s="5" t="s">
        <v>4519</v>
      </c>
      <c r="C2261" s="6" t="s">
        <v>4520</v>
      </c>
      <c r="D2261" s="6" t="s">
        <v>13</v>
      </c>
      <c r="E2261" s="6"/>
      <c r="F2261" s="6"/>
      <c r="G2261" s="6"/>
      <c r="H2261" s="6"/>
      <c r="I2261" s="6"/>
      <c r="J2261" s="8"/>
      <c r="K2261" s="6"/>
      <c r="L2261" s="6"/>
      <c r="M2261" s="8">
        <v>33679244000</v>
      </c>
      <c r="N2261" s="8"/>
      <c r="O2261" s="8">
        <v>15102800000</v>
      </c>
      <c r="P2261" s="8">
        <v>15404856000</v>
      </c>
      <c r="Q2261" s="18" t="e">
        <f>(Table1[[#This Row],[A. TÀI SẢN NGẮN HẠN]]-Table1[[#This Row],[I. Nợ ngắn hạn]])/Table1[[#This Row],[TỔNG CỘNG TÀI SẢN]]</f>
        <v>#DIV/0!</v>
      </c>
      <c r="R2261" s="18" t="e">
        <f>Table1[[#This Row],[- LNST chưa phân phối kỳ này]]/Table1[[#This Row],[TỔNG CỘNG TÀI SẢN]]</f>
        <v>#DIV/0!</v>
      </c>
      <c r="S2261" s="21" t="e">
        <f>Table1[[#This Row],[5. Lợi nhuận gộp về bán hàng và cung cấp dịch vụ]]/Table1[[#This Row],[TỔNG CỘNG TÀI SẢN]]</f>
        <v>#DIV/0!</v>
      </c>
      <c r="T226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261" s="23" t="e">
        <f>Table1[[#This Row],[1. Doanh thu bán hàng và cung cấp dịch vụ ]]/Table1[[#This Row],[TỔNG CỘNG TÀI SẢN]]</f>
        <v>#DIV/0!</v>
      </c>
      <c r="V2261" s="23" t="e">
        <f>1.2*Table1[[#This Row],[X1]] + 1.4*Table1[[#This Row],[X2]] + 3.3*Table1[[#This Row],[x3]] + 0.6*Table1[[#This Row],[x4]] + 1*Table1[[#This Row],[x5]]</f>
        <v>#DIV/0!</v>
      </c>
      <c r="W2261" s="23" t="e">
        <f>IF(Table1[[#This Row],[Zscore]]&lt;1.81,1,0)</f>
        <v>#DIV/0!</v>
      </c>
    </row>
    <row r="2262" spans="1:23" ht="26.25" hidden="1" x14ac:dyDescent="0.45">
      <c r="A2262" s="7">
        <v>2256</v>
      </c>
      <c r="B2262" s="5" t="s">
        <v>4521</v>
      </c>
      <c r="C2262" s="6" t="s">
        <v>4522</v>
      </c>
      <c r="D2262" s="6" t="s">
        <v>13</v>
      </c>
      <c r="E2262" s="6"/>
      <c r="F2262" s="6"/>
      <c r="G2262" s="6"/>
      <c r="H2262" s="6"/>
      <c r="I2262" s="6"/>
      <c r="J2262" s="8"/>
      <c r="K2262" s="6"/>
      <c r="L2262" s="6"/>
      <c r="M2262" s="8"/>
      <c r="N2262" s="8"/>
      <c r="O2262" s="8"/>
      <c r="P2262" s="8"/>
      <c r="Q2262" s="18" t="e">
        <f>(Table1[[#This Row],[A. TÀI SẢN NGẮN HẠN]]-Table1[[#This Row],[I. Nợ ngắn hạn]])/Table1[[#This Row],[TỔNG CỘNG TÀI SẢN]]</f>
        <v>#DIV/0!</v>
      </c>
      <c r="R2262" s="18" t="e">
        <f>Table1[[#This Row],[- LNST chưa phân phối kỳ này]]/Table1[[#This Row],[TỔNG CỘNG TÀI SẢN]]</f>
        <v>#DIV/0!</v>
      </c>
      <c r="S2262" s="21" t="e">
        <f>Table1[[#This Row],[5. Lợi nhuận gộp về bán hàng và cung cấp dịch vụ]]/Table1[[#This Row],[TỔNG CỘNG TÀI SẢN]]</f>
        <v>#DIV/0!</v>
      </c>
      <c r="T226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262" s="23" t="e">
        <f>Table1[[#This Row],[1. Doanh thu bán hàng và cung cấp dịch vụ ]]/Table1[[#This Row],[TỔNG CỘNG TÀI SẢN]]</f>
        <v>#DIV/0!</v>
      </c>
      <c r="V2262" s="23" t="e">
        <f>1.2*Table1[[#This Row],[X1]] + 1.4*Table1[[#This Row],[X2]] + 3.3*Table1[[#This Row],[x3]] + 0.6*Table1[[#This Row],[x4]] + 1*Table1[[#This Row],[x5]]</f>
        <v>#DIV/0!</v>
      </c>
      <c r="W2262" s="23" t="e">
        <f>IF(Table1[[#This Row],[Zscore]]&lt;1.81,1,0)</f>
        <v>#DIV/0!</v>
      </c>
    </row>
    <row r="2263" spans="1:23" ht="26.25" x14ac:dyDescent="0.45">
      <c r="A2263" s="7">
        <v>2257</v>
      </c>
      <c r="B2263" s="5" t="s">
        <v>4523</v>
      </c>
      <c r="C2263" s="6" t="s">
        <v>4524</v>
      </c>
      <c r="D2263" s="6" t="s">
        <v>21</v>
      </c>
      <c r="E2263" s="8">
        <v>1192344137000000</v>
      </c>
      <c r="F2263" s="6"/>
      <c r="G2263" s="6"/>
      <c r="H2263" s="6"/>
      <c r="I2263" s="6"/>
      <c r="J2263" s="8"/>
      <c r="K2263" s="8">
        <v>1012842695000000</v>
      </c>
      <c r="L2263" s="8">
        <v>68017450000000</v>
      </c>
      <c r="M2263" s="8">
        <v>194283422822500</v>
      </c>
      <c r="N2263" s="8">
        <v>247309790448600</v>
      </c>
      <c r="O2263" s="8">
        <v>241617929473800</v>
      </c>
      <c r="P2263" s="8">
        <v>268214199669900</v>
      </c>
      <c r="Q2263" s="18">
        <f>(Table1[[#This Row],[A. TÀI SẢN NGẮN HẠN]]-Table1[[#This Row],[I. Nợ ngắn hạn]])/Table1[[#This Row],[TỔNG CỘNG TÀI SẢN]]</f>
        <v>0</v>
      </c>
      <c r="R2263" s="18">
        <f>Table1[[#This Row],[- LNST chưa phân phối kỳ này]]/Table1[[#This Row],[TỔNG CỘNG TÀI SẢN]]</f>
        <v>0</v>
      </c>
      <c r="S2263" s="21">
        <f>Table1[[#This Row],[5. Lợi nhuận gộp về bán hàng và cung cấp dịch vụ]]/Table1[[#This Row],[TỔNG CỘNG TÀI SẢN]]</f>
        <v>0</v>
      </c>
      <c r="T226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0.2348403525817995</v>
      </c>
      <c r="U2263" s="23">
        <f>Table1[[#This Row],[1. Doanh thu bán hàng và cung cấp dịch vụ ]]/Table1[[#This Row],[TỔNG CỘNG TÀI SẢN]]</f>
        <v>5.7045149876893304E-2</v>
      </c>
      <c r="V2263" s="23">
        <f>1.2*Table1[[#This Row],[X1]] + 1.4*Table1[[#This Row],[X2]] + 3.3*Table1[[#This Row],[x3]] + 0.6*Table1[[#This Row],[x4]] + 1*Table1[[#This Row],[x5]]</f>
        <v>0.197949361425973</v>
      </c>
      <c r="W2263" s="23">
        <f>IF(Table1[[#This Row],[Zscore]]&lt;1.81,1,0)</f>
        <v>1</v>
      </c>
    </row>
    <row r="2264" spans="1:23" ht="26.25" hidden="1" x14ac:dyDescent="0.45">
      <c r="A2264" s="7">
        <v>2258</v>
      </c>
      <c r="B2264" s="5" t="s">
        <v>4525</v>
      </c>
      <c r="C2264" s="6" t="s">
        <v>4526</v>
      </c>
      <c r="D2264" s="6" t="s">
        <v>21</v>
      </c>
      <c r="E2264" s="6"/>
      <c r="F2264" s="6"/>
      <c r="G2264" s="6"/>
      <c r="H2264" s="6"/>
      <c r="I2264" s="6"/>
      <c r="J2264" s="8"/>
      <c r="K2264" s="6"/>
      <c r="L2264" s="6"/>
      <c r="M2264" s="8"/>
      <c r="N2264" s="8"/>
      <c r="O2264" s="8"/>
      <c r="P2264" s="8"/>
      <c r="Q2264" s="18" t="e">
        <f>(Table1[[#This Row],[A. TÀI SẢN NGẮN HẠN]]-Table1[[#This Row],[I. Nợ ngắn hạn]])/Table1[[#This Row],[TỔNG CỘNG TÀI SẢN]]</f>
        <v>#DIV/0!</v>
      </c>
      <c r="R2264" s="18" t="e">
        <f>Table1[[#This Row],[- LNST chưa phân phối kỳ này]]/Table1[[#This Row],[TỔNG CỘNG TÀI SẢN]]</f>
        <v>#DIV/0!</v>
      </c>
      <c r="S2264" s="21" t="e">
        <f>Table1[[#This Row],[5. Lợi nhuận gộp về bán hàng và cung cấp dịch vụ]]/Table1[[#This Row],[TỔNG CỘNG TÀI SẢN]]</f>
        <v>#DIV/0!</v>
      </c>
      <c r="T226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264" s="23" t="e">
        <f>Table1[[#This Row],[1. Doanh thu bán hàng và cung cấp dịch vụ ]]/Table1[[#This Row],[TỔNG CỘNG TÀI SẢN]]</f>
        <v>#DIV/0!</v>
      </c>
      <c r="V2264" s="23" t="e">
        <f>1.2*Table1[[#This Row],[X1]] + 1.4*Table1[[#This Row],[X2]] + 3.3*Table1[[#This Row],[x3]] + 0.6*Table1[[#This Row],[x4]] + 1*Table1[[#This Row],[x5]]</f>
        <v>#DIV/0!</v>
      </c>
      <c r="W2264" s="23" t="e">
        <f>IF(Table1[[#This Row],[Zscore]]&lt;1.81,1,0)</f>
        <v>#DIV/0!</v>
      </c>
    </row>
    <row r="2265" spans="1:23" ht="26.25" hidden="1" x14ac:dyDescent="0.45">
      <c r="A2265" s="7">
        <v>2259</v>
      </c>
      <c r="B2265" s="5" t="s">
        <v>4527</v>
      </c>
      <c r="C2265" s="6" t="s">
        <v>4528</v>
      </c>
      <c r="D2265" s="6" t="s">
        <v>13</v>
      </c>
      <c r="E2265" s="6"/>
      <c r="F2265" s="6"/>
      <c r="G2265" s="6"/>
      <c r="H2265" s="6"/>
      <c r="I2265" s="6"/>
      <c r="J2265" s="8"/>
      <c r="K2265" s="6"/>
      <c r="L2265" s="6"/>
      <c r="M2265" s="8"/>
      <c r="N2265" s="8"/>
      <c r="O2265" s="8"/>
      <c r="P2265" s="8"/>
      <c r="Q2265" s="18" t="e">
        <f>(Table1[[#This Row],[A. TÀI SẢN NGẮN HẠN]]-Table1[[#This Row],[I. Nợ ngắn hạn]])/Table1[[#This Row],[TỔNG CỘNG TÀI SẢN]]</f>
        <v>#DIV/0!</v>
      </c>
      <c r="R2265" s="18" t="e">
        <f>Table1[[#This Row],[- LNST chưa phân phối kỳ này]]/Table1[[#This Row],[TỔNG CỘNG TÀI SẢN]]</f>
        <v>#DIV/0!</v>
      </c>
      <c r="S2265" s="21" t="e">
        <f>Table1[[#This Row],[5. Lợi nhuận gộp về bán hàng và cung cấp dịch vụ]]/Table1[[#This Row],[TỔNG CỘNG TÀI SẢN]]</f>
        <v>#DIV/0!</v>
      </c>
      <c r="T226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265" s="23" t="e">
        <f>Table1[[#This Row],[1. Doanh thu bán hàng và cung cấp dịch vụ ]]/Table1[[#This Row],[TỔNG CỘNG TÀI SẢN]]</f>
        <v>#DIV/0!</v>
      </c>
      <c r="V2265" s="23" t="e">
        <f>1.2*Table1[[#This Row],[X1]] + 1.4*Table1[[#This Row],[X2]] + 3.3*Table1[[#This Row],[x3]] + 0.6*Table1[[#This Row],[x4]] + 1*Table1[[#This Row],[x5]]</f>
        <v>#DIV/0!</v>
      </c>
      <c r="W2265" s="23" t="e">
        <f>IF(Table1[[#This Row],[Zscore]]&lt;1.81,1,0)</f>
        <v>#DIV/0!</v>
      </c>
    </row>
    <row r="2266" spans="1:23" ht="26.25" hidden="1" x14ac:dyDescent="0.45">
      <c r="A2266" s="7">
        <v>2260</v>
      </c>
      <c r="B2266" s="5" t="s">
        <v>4529</v>
      </c>
      <c r="C2266" s="6" t="s">
        <v>4530</v>
      </c>
      <c r="D2266" s="6" t="s">
        <v>21</v>
      </c>
      <c r="E2266" s="6"/>
      <c r="F2266" s="6"/>
      <c r="G2266" s="6"/>
      <c r="H2266" s="6"/>
      <c r="I2266" s="6"/>
      <c r="J2266" s="8"/>
      <c r="K2266" s="6"/>
      <c r="L2266" s="6"/>
      <c r="M2266" s="8">
        <v>12027885174000</v>
      </c>
      <c r="N2266" s="8"/>
      <c r="O2266" s="8">
        <v>13364316860000</v>
      </c>
      <c r="P2266" s="8">
        <v>14800980922450</v>
      </c>
      <c r="Q2266" s="18" t="e">
        <f>(Table1[[#This Row],[A. TÀI SẢN NGẮN HẠN]]-Table1[[#This Row],[I. Nợ ngắn hạn]])/Table1[[#This Row],[TỔNG CỘNG TÀI SẢN]]</f>
        <v>#DIV/0!</v>
      </c>
      <c r="R2266" s="18" t="e">
        <f>Table1[[#This Row],[- LNST chưa phân phối kỳ này]]/Table1[[#This Row],[TỔNG CỘNG TÀI SẢN]]</f>
        <v>#DIV/0!</v>
      </c>
      <c r="S2266" s="21" t="e">
        <f>Table1[[#This Row],[5. Lợi nhuận gộp về bán hàng và cung cấp dịch vụ]]/Table1[[#This Row],[TỔNG CỘNG TÀI SẢN]]</f>
        <v>#DIV/0!</v>
      </c>
      <c r="T226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266" s="23" t="e">
        <f>Table1[[#This Row],[1. Doanh thu bán hàng và cung cấp dịch vụ ]]/Table1[[#This Row],[TỔNG CỘNG TÀI SẢN]]</f>
        <v>#DIV/0!</v>
      </c>
      <c r="V2266" s="23" t="e">
        <f>1.2*Table1[[#This Row],[X1]] + 1.4*Table1[[#This Row],[X2]] + 3.3*Table1[[#This Row],[x3]] + 0.6*Table1[[#This Row],[x4]] + 1*Table1[[#This Row],[x5]]</f>
        <v>#DIV/0!</v>
      </c>
      <c r="W2266" s="23" t="e">
        <f>IF(Table1[[#This Row],[Zscore]]&lt;1.81,1,0)</f>
        <v>#DIV/0!</v>
      </c>
    </row>
    <row r="2267" spans="1:23" x14ac:dyDescent="0.45">
      <c r="A2267" s="7">
        <v>2261</v>
      </c>
      <c r="B2267" s="5" t="s">
        <v>4531</v>
      </c>
      <c r="C2267" s="6" t="s">
        <v>4532</v>
      </c>
      <c r="D2267" s="6" t="s">
        <v>21</v>
      </c>
      <c r="E2267" s="8">
        <v>3016709530161</v>
      </c>
      <c r="F2267" s="8">
        <v>2884037636554</v>
      </c>
      <c r="G2267" s="8">
        <v>1611608236971</v>
      </c>
      <c r="H2267" s="8">
        <v>25388758699</v>
      </c>
      <c r="I2267" s="8">
        <v>128126962474</v>
      </c>
      <c r="J2267" s="8"/>
      <c r="K2267" s="8">
        <v>1614733737125</v>
      </c>
      <c r="L2267" s="8">
        <v>395110202132</v>
      </c>
      <c r="M2267" s="8">
        <v>1015152063920</v>
      </c>
      <c r="N2267" s="8">
        <v>1131929237560</v>
      </c>
      <c r="O2267" s="8">
        <v>937686018040</v>
      </c>
      <c r="P2267" s="8">
        <v>1300735845000</v>
      </c>
      <c r="Q2267" s="18">
        <f>(Table1[[#This Row],[A. TÀI SẢN NGẮN HẠN]]-Table1[[#This Row],[I. Nợ ngắn hạn]])/Table1[[#This Row],[TỔNG CỘNG TÀI SẢN]]</f>
        <v>0.42179380774359509</v>
      </c>
      <c r="R2267" s="18">
        <f>Table1[[#This Row],[- LNST chưa phân phối kỳ này]]/Table1[[#This Row],[TỔNG CỘNG TÀI SẢN]]</f>
        <v>8.4160435219777421E-3</v>
      </c>
      <c r="S2267" s="21">
        <f>Table1[[#This Row],[5. Lợi nhuận gộp về bán hàng và cung cấp dịch vụ]]/Table1[[#This Row],[TỔNG CỘNG TÀI SẢN]]</f>
        <v>4.2472422748358524E-2</v>
      </c>
      <c r="T226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0.67898240181819347</v>
      </c>
      <c r="U2267" s="23">
        <f>Table1[[#This Row],[1. Doanh thu bán hàng và cung cấp dịch vụ ]]/Table1[[#This Row],[TỔNG CỘNG TÀI SẢN]]</f>
        <v>0.13097389661871528</v>
      </c>
      <c r="V2267" s="23">
        <f>1.2*Table1[[#This Row],[X1]] + 1.4*Table1[[#This Row],[X2]] + 3.3*Table1[[#This Row],[x3]] + 0.6*Table1[[#This Row],[x4]] + 1*Table1[[#This Row],[x5]]</f>
        <v>1.1964573630022974</v>
      </c>
      <c r="W2267" s="23">
        <f>IF(Table1[[#This Row],[Zscore]]&lt;1.81,1,0)</f>
        <v>1</v>
      </c>
    </row>
    <row r="2268" spans="1:23" hidden="1" x14ac:dyDescent="0.45">
      <c r="A2268" s="7">
        <v>2262</v>
      </c>
      <c r="B2268" s="5" t="s">
        <v>4533</v>
      </c>
      <c r="C2268" s="6" t="s">
        <v>4534</v>
      </c>
      <c r="D2268" s="6" t="s">
        <v>18</v>
      </c>
      <c r="E2268" s="6"/>
      <c r="F2268" s="6"/>
      <c r="G2268" s="6"/>
      <c r="H2268" s="6"/>
      <c r="I2268" s="6"/>
      <c r="J2268" s="8"/>
      <c r="K2268" s="6"/>
      <c r="L2268" s="6"/>
      <c r="M2268" s="8"/>
      <c r="N2268" s="8"/>
      <c r="O2268" s="8"/>
      <c r="P2268" s="8"/>
      <c r="Q2268" s="18" t="e">
        <f>(Table1[[#This Row],[A. TÀI SẢN NGẮN HẠN]]-Table1[[#This Row],[I. Nợ ngắn hạn]])/Table1[[#This Row],[TỔNG CỘNG TÀI SẢN]]</f>
        <v>#DIV/0!</v>
      </c>
      <c r="R2268" s="18" t="e">
        <f>Table1[[#This Row],[- LNST chưa phân phối kỳ này]]/Table1[[#This Row],[TỔNG CỘNG TÀI SẢN]]</f>
        <v>#DIV/0!</v>
      </c>
      <c r="S2268" s="21" t="e">
        <f>Table1[[#This Row],[5. Lợi nhuận gộp về bán hàng và cung cấp dịch vụ]]/Table1[[#This Row],[TỔNG CỘNG TÀI SẢN]]</f>
        <v>#DIV/0!</v>
      </c>
      <c r="T226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268" s="23" t="e">
        <f>Table1[[#This Row],[1. Doanh thu bán hàng và cung cấp dịch vụ ]]/Table1[[#This Row],[TỔNG CỘNG TÀI SẢN]]</f>
        <v>#DIV/0!</v>
      </c>
      <c r="V2268" s="23" t="e">
        <f>1.2*Table1[[#This Row],[X1]] + 1.4*Table1[[#This Row],[X2]] + 3.3*Table1[[#This Row],[x3]] + 0.6*Table1[[#This Row],[x4]] + 1*Table1[[#This Row],[x5]]</f>
        <v>#DIV/0!</v>
      </c>
      <c r="W2268" s="23" t="e">
        <f>IF(Table1[[#This Row],[Zscore]]&lt;1.81,1,0)</f>
        <v>#DIV/0!</v>
      </c>
    </row>
    <row r="2269" spans="1:23" ht="26.25" x14ac:dyDescent="0.45">
      <c r="A2269" s="7">
        <v>2263</v>
      </c>
      <c r="B2269" s="5" t="s">
        <v>4535</v>
      </c>
      <c r="C2269" s="6" t="s">
        <v>4536</v>
      </c>
      <c r="D2269" s="6" t="s">
        <v>18</v>
      </c>
      <c r="E2269" s="8">
        <v>843533242414</v>
      </c>
      <c r="F2269" s="8">
        <v>597048560860</v>
      </c>
      <c r="G2269" s="8">
        <v>818813359257</v>
      </c>
      <c r="H2269" s="8">
        <v>6155938025</v>
      </c>
      <c r="I2269" s="8">
        <v>64859578752</v>
      </c>
      <c r="J2269" s="8"/>
      <c r="K2269" s="8">
        <v>875907095641</v>
      </c>
      <c r="L2269" s="8">
        <v>332930410437</v>
      </c>
      <c r="M2269" s="8">
        <v>114480000000</v>
      </c>
      <c r="N2269" s="8">
        <v>71550000000</v>
      </c>
      <c r="O2269" s="8">
        <v>83475000000</v>
      </c>
      <c r="P2269" s="8">
        <v>71550000000</v>
      </c>
      <c r="Q2269" s="18">
        <f>(Table1[[#This Row],[A. TÀI SẢN NGẮN HẠN]]-Table1[[#This Row],[I. Nợ ngắn hạn]])/Table1[[#This Row],[TỔNG CỘNG TÀI SẢN]]</f>
        <v>-0.26289989208055353</v>
      </c>
      <c r="R2269" s="18">
        <f>Table1[[#This Row],[- LNST chưa phân phối kỳ này]]/Table1[[#This Row],[TỔNG CỘNG TÀI SẢN]]</f>
        <v>7.2978013378383376E-3</v>
      </c>
      <c r="S2269" s="21">
        <f>Table1[[#This Row],[5. Lợi nhuận gộp về bán hàng và cung cấp dịch vụ]]/Table1[[#This Row],[TỔNG CỘNG TÀI SẢN]]</f>
        <v>7.6890364825915644E-2</v>
      </c>
      <c r="T226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9.7343371716383797E-2</v>
      </c>
      <c r="U2269" s="23">
        <f>Table1[[#This Row],[1. Doanh thu bán hàng và cung cấp dịch vụ ]]/Table1[[#This Row],[TỔNG CỘNG TÀI SẢN]]</f>
        <v>0.39468558403724435</v>
      </c>
      <c r="V2269" s="23">
        <f>1.2*Table1[[#This Row],[X1]] + 1.4*Table1[[#This Row],[X2]] + 3.3*Table1[[#This Row],[x3]] + 0.6*Table1[[#This Row],[x4]] + 1*Table1[[#This Row],[x5]]</f>
        <v>0.40156686236890571</v>
      </c>
      <c r="W2269" s="23">
        <f>IF(Table1[[#This Row],[Zscore]]&lt;1.81,1,0)</f>
        <v>1</v>
      </c>
    </row>
    <row r="2270" spans="1:23" ht="26.25" x14ac:dyDescent="0.45">
      <c r="A2270" s="7">
        <v>2264</v>
      </c>
      <c r="B2270" s="5" t="s">
        <v>4537</v>
      </c>
      <c r="C2270" s="6" t="s">
        <v>4538</v>
      </c>
      <c r="D2270" s="6" t="s">
        <v>21</v>
      </c>
      <c r="E2270" s="8">
        <v>1191059378368</v>
      </c>
      <c r="F2270" s="8">
        <v>728630184499</v>
      </c>
      <c r="G2270" s="8">
        <v>399644419478</v>
      </c>
      <c r="H2270" s="8">
        <v>87950278899</v>
      </c>
      <c r="I2270" s="8">
        <v>258075953720</v>
      </c>
      <c r="J2270" s="8"/>
      <c r="K2270" s="8">
        <v>477639279582</v>
      </c>
      <c r="L2270" s="8">
        <v>1847573468156</v>
      </c>
      <c r="M2270" s="8">
        <v>1236495876000</v>
      </c>
      <c r="N2270" s="8">
        <v>1026894745800</v>
      </c>
      <c r="O2270" s="8">
        <v>1028402667600</v>
      </c>
      <c r="P2270" s="8">
        <v>1043481885600</v>
      </c>
      <c r="Q2270" s="18">
        <f>(Table1[[#This Row],[A. TÀI SẢN NGẮN HẠN]]-Table1[[#This Row],[I. Nợ ngắn hạn]])/Table1[[#This Row],[TỔNG CỘNG TÀI SẢN]]</f>
        <v>0.27621273212405179</v>
      </c>
      <c r="R2270" s="18">
        <f>Table1[[#This Row],[- LNST chưa phân phối kỳ này]]/Table1[[#This Row],[TỔNG CỘNG TÀI SẢN]]</f>
        <v>7.3842060686773014E-2</v>
      </c>
      <c r="S2270" s="21">
        <f>Table1[[#This Row],[5. Lợi nhuận gộp về bán hàng và cung cấp dịch vụ]]/Table1[[#This Row],[TỔNG CỘNG TÀI SẢN]]</f>
        <v>0.21667765554528268</v>
      </c>
      <c r="T227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2.2691157115438463</v>
      </c>
      <c r="U2270" s="23">
        <f>Table1[[#This Row],[1. Doanh thu bán hàng và cung cấp dịch vụ ]]/Table1[[#This Row],[TỔNG CỘNG TÀI SẢN]]</f>
        <v>1.5512018138739325</v>
      </c>
      <c r="V2270" s="23">
        <f>1.2*Table1[[#This Row],[X1]] + 1.4*Table1[[#This Row],[X2]] + 3.3*Table1[[#This Row],[x3]] + 0.6*Table1[[#This Row],[x4]] + 1*Table1[[#This Row],[x5]]</f>
        <v>4.0625416676100174</v>
      </c>
      <c r="W2270" s="23">
        <f>IF(Table1[[#This Row],[Zscore]]&lt;1.81,1,0)</f>
        <v>0</v>
      </c>
    </row>
    <row r="2271" spans="1:23" ht="26.25" x14ac:dyDescent="0.45">
      <c r="A2271" s="7">
        <v>2265</v>
      </c>
      <c r="B2271" s="5" t="s">
        <v>4539</v>
      </c>
      <c r="C2271" s="6" t="s">
        <v>4540</v>
      </c>
      <c r="D2271" s="6" t="s">
        <v>21</v>
      </c>
      <c r="E2271" s="8">
        <v>4171199741030</v>
      </c>
      <c r="F2271" s="8">
        <v>2810959206998</v>
      </c>
      <c r="G2271" s="8">
        <v>1512858062758</v>
      </c>
      <c r="H2271" s="8">
        <v>269062774093</v>
      </c>
      <c r="I2271" s="8">
        <v>592887246381</v>
      </c>
      <c r="J2271" s="8"/>
      <c r="K2271" s="8">
        <v>1724014815517</v>
      </c>
      <c r="L2271" s="8">
        <v>3645252201477</v>
      </c>
      <c r="M2271" s="8">
        <v>3732986922800</v>
      </c>
      <c r="N2271" s="8">
        <v>2980230883000</v>
      </c>
      <c r="O2271" s="8">
        <v>3228804514400</v>
      </c>
      <c r="P2271" s="8">
        <v>3310745210250</v>
      </c>
      <c r="Q2271" s="18">
        <f>(Table1[[#This Row],[A. TÀI SẢN NGẮN HẠN]]-Table1[[#This Row],[I. Nợ ngắn hạn]])/Table1[[#This Row],[TỔNG CỘNG TÀI SẢN]]</f>
        <v>0.31120570215596011</v>
      </c>
      <c r="R2271" s="18">
        <f>Table1[[#This Row],[- LNST chưa phân phối kỳ này]]/Table1[[#This Row],[TỔNG CỘNG TÀI SẢN]]</f>
        <v>6.4504888472821001E-2</v>
      </c>
      <c r="S2271" s="21">
        <f>Table1[[#This Row],[5. Lợi nhuận gộp về bán hàng và cung cấp dịch vụ]]/Table1[[#This Row],[TỔNG CỘNG TÀI SẢN]]</f>
        <v>0.14213830149370826</v>
      </c>
      <c r="T227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1.9217885210684429</v>
      </c>
      <c r="U2271" s="23">
        <f>Table1[[#This Row],[1. Doanh thu bán hàng và cung cấp dịch vụ ]]/Table1[[#This Row],[TỔNG CỘNG TÀI SẢN]]</f>
        <v>0.87390976884191907</v>
      </c>
      <c r="V2271" s="23">
        <f>1.2*Table1[[#This Row],[X1]] + 1.4*Table1[[#This Row],[X2]] + 3.3*Table1[[#This Row],[x3]] + 0.6*Table1[[#This Row],[x4]] + 1*Table1[[#This Row],[x5]]</f>
        <v>2.9597929628613233</v>
      </c>
      <c r="W2271" s="23">
        <f>IF(Table1[[#This Row],[Zscore]]&lt;1.81,1,0)</f>
        <v>0</v>
      </c>
    </row>
    <row r="2272" spans="1:23" hidden="1" x14ac:dyDescent="0.45">
      <c r="A2272" s="7">
        <v>2266</v>
      </c>
      <c r="B2272" s="5" t="s">
        <v>4541</v>
      </c>
      <c r="C2272" s="6" t="s">
        <v>4542</v>
      </c>
      <c r="D2272" s="6" t="s">
        <v>21</v>
      </c>
      <c r="E2272" s="6"/>
      <c r="F2272" s="6"/>
      <c r="G2272" s="6"/>
      <c r="H2272" s="6"/>
      <c r="I2272" s="6"/>
      <c r="J2272" s="8"/>
      <c r="K2272" s="6"/>
      <c r="L2272" s="6"/>
      <c r="M2272" s="8">
        <v>360187153000</v>
      </c>
      <c r="N2272" s="8"/>
      <c r="O2272" s="8">
        <v>311640188900</v>
      </c>
      <c r="P2272" s="8">
        <v>342960810900</v>
      </c>
      <c r="Q2272" s="18" t="e">
        <f>(Table1[[#This Row],[A. TÀI SẢN NGẮN HẠN]]-Table1[[#This Row],[I. Nợ ngắn hạn]])/Table1[[#This Row],[TỔNG CỘNG TÀI SẢN]]</f>
        <v>#DIV/0!</v>
      </c>
      <c r="R2272" s="18" t="e">
        <f>Table1[[#This Row],[- LNST chưa phân phối kỳ này]]/Table1[[#This Row],[TỔNG CỘNG TÀI SẢN]]</f>
        <v>#DIV/0!</v>
      </c>
      <c r="S2272" s="21" t="e">
        <f>Table1[[#This Row],[5. Lợi nhuận gộp về bán hàng và cung cấp dịch vụ]]/Table1[[#This Row],[TỔNG CỘNG TÀI SẢN]]</f>
        <v>#DIV/0!</v>
      </c>
      <c r="T227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272" s="23" t="e">
        <f>Table1[[#This Row],[1. Doanh thu bán hàng và cung cấp dịch vụ ]]/Table1[[#This Row],[TỔNG CỘNG TÀI SẢN]]</f>
        <v>#DIV/0!</v>
      </c>
      <c r="V2272" s="23" t="e">
        <f>1.2*Table1[[#This Row],[X1]] + 1.4*Table1[[#This Row],[X2]] + 3.3*Table1[[#This Row],[x3]] + 0.6*Table1[[#This Row],[x4]] + 1*Table1[[#This Row],[x5]]</f>
        <v>#DIV/0!</v>
      </c>
      <c r="W2272" s="23" t="e">
        <f>IF(Table1[[#This Row],[Zscore]]&lt;1.81,1,0)</f>
        <v>#DIV/0!</v>
      </c>
    </row>
    <row r="2273" spans="1:23" ht="26.25" x14ac:dyDescent="0.45">
      <c r="A2273" s="7">
        <v>2267</v>
      </c>
      <c r="B2273" s="5" t="s">
        <v>4543</v>
      </c>
      <c r="C2273" s="6" t="s">
        <v>4544</v>
      </c>
      <c r="D2273" s="6" t="s">
        <v>21</v>
      </c>
      <c r="E2273" s="8">
        <v>967250403611</v>
      </c>
      <c r="F2273" s="8">
        <v>624402787216</v>
      </c>
      <c r="G2273" s="8">
        <v>580303838492</v>
      </c>
      <c r="H2273" s="8">
        <v>12386372395</v>
      </c>
      <c r="I2273" s="8">
        <v>77960833870</v>
      </c>
      <c r="J2273" s="8"/>
      <c r="K2273" s="8">
        <v>590010620959</v>
      </c>
      <c r="L2273" s="8">
        <v>880079824737</v>
      </c>
      <c r="M2273" s="8">
        <v>144451951560</v>
      </c>
      <c r="N2273" s="8">
        <v>29334619700</v>
      </c>
      <c r="O2273" s="8">
        <v>31200425900</v>
      </c>
      <c r="P2273" s="8">
        <v>30993114100</v>
      </c>
      <c r="Q2273" s="18">
        <f>(Table1[[#This Row],[A. TÀI SẢN NGẮN HẠN]]-Table1[[#This Row],[I. Nợ ngắn hạn]])/Table1[[#This Row],[TỔNG CỘNG TÀI SẢN]]</f>
        <v>4.5592070635863305E-2</v>
      </c>
      <c r="R2273" s="18">
        <f>Table1[[#This Row],[- LNST chưa phân phối kỳ này]]/Table1[[#This Row],[TỔNG CỘNG TÀI SẢN]]</f>
        <v>1.2805755726498967E-2</v>
      </c>
      <c r="S2273" s="21">
        <f>Table1[[#This Row],[5. Lợi nhuận gộp về bán hàng và cung cấp dịch vụ]]/Table1[[#This Row],[TỔNG CỘNG TÀI SẢN]]</f>
        <v>8.0600466620589367E-2</v>
      </c>
      <c r="T227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9.9989772589364256E-2</v>
      </c>
      <c r="U2273" s="23">
        <f>Table1[[#This Row],[1. Doanh thu bán hàng và cung cấp dịch vụ ]]/Table1[[#This Row],[TỔNG CỘNG TÀI SẢN]]</f>
        <v>0.90987796071361737</v>
      </c>
      <c r="V2273" s="23">
        <f>1.2*Table1[[#This Row],[X1]] + 1.4*Table1[[#This Row],[X2]] + 3.3*Table1[[#This Row],[x3]] + 0.6*Table1[[#This Row],[x4]] + 1*Table1[[#This Row],[x5]]</f>
        <v>1.3084919068953154</v>
      </c>
      <c r="W2273" s="23">
        <f>IF(Table1[[#This Row],[Zscore]]&lt;1.81,1,0)</f>
        <v>1</v>
      </c>
    </row>
    <row r="2274" spans="1:23" x14ac:dyDescent="0.45">
      <c r="A2274" s="7">
        <v>2268</v>
      </c>
      <c r="B2274" s="5" t="s">
        <v>4545</v>
      </c>
      <c r="C2274" s="6" t="s">
        <v>4546</v>
      </c>
      <c r="D2274" s="6" t="s">
        <v>21</v>
      </c>
      <c r="E2274" s="8">
        <v>367366531265</v>
      </c>
      <c r="F2274" s="8">
        <v>355530007731</v>
      </c>
      <c r="G2274" s="8">
        <v>11648324970</v>
      </c>
      <c r="H2274" s="8">
        <v>26461709065</v>
      </c>
      <c r="I2274" s="8">
        <v>16625956662</v>
      </c>
      <c r="J2274" s="8"/>
      <c r="K2274" s="8">
        <v>11648324970</v>
      </c>
      <c r="L2274" s="8">
        <v>43416553566</v>
      </c>
      <c r="M2274" s="8">
        <v>217396000000</v>
      </c>
      <c r="N2274" s="8">
        <v>248087200000</v>
      </c>
      <c r="O2274" s="8">
        <v>218035400000</v>
      </c>
      <c r="P2274" s="8">
        <v>265990400000</v>
      </c>
      <c r="Q2274" s="18">
        <f>(Table1[[#This Row],[A. TÀI SẢN NGẮN HẠN]]-Table1[[#This Row],[I. Nợ ngắn hạn]])/Table1[[#This Row],[TỔNG CỘNG TÀI SẢN]]</f>
        <v>0.9360724331007193</v>
      </c>
      <c r="R2274" s="18">
        <f>Table1[[#This Row],[- LNST chưa phân phối kỳ này]]/Table1[[#This Row],[TỔNG CỘNG TÀI SẢN]]</f>
        <v>7.2030810683491014E-2</v>
      </c>
      <c r="S2274" s="21">
        <f>Table1[[#This Row],[5. Lợi nhuận gộp về bán hàng và cung cấp dịch vụ]]/Table1[[#This Row],[TỔNG CỘNG TÀI SẢN]]</f>
        <v>4.5257134896719425E-2</v>
      </c>
      <c r="T227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20.378659645173002</v>
      </c>
      <c r="U2274" s="23">
        <f>Table1[[#This Row],[1. Doanh thu bán hàng và cung cấp dịch vụ ]]/Table1[[#This Row],[TỔNG CỘNG TÀI SẢN]]</f>
        <v>0.11818320361546886</v>
      </c>
      <c r="V2274" s="23">
        <f>1.2*Table1[[#This Row],[X1]] + 1.4*Table1[[#This Row],[X2]] + 3.3*Table1[[#This Row],[x3]] + 0.6*Table1[[#This Row],[x4]] + 1*Table1[[#This Row],[x5]]</f>
        <v>13.718857590556194</v>
      </c>
      <c r="W2274" s="23">
        <f>IF(Table1[[#This Row],[Zscore]]&lt;1.81,1,0)</f>
        <v>0</v>
      </c>
    </row>
    <row r="2275" spans="1:23" x14ac:dyDescent="0.45">
      <c r="A2275" s="7">
        <v>2269</v>
      </c>
      <c r="B2275" s="5" t="s">
        <v>4547</v>
      </c>
      <c r="C2275" s="6" t="s">
        <v>4548</v>
      </c>
      <c r="D2275" s="6" t="s">
        <v>18</v>
      </c>
      <c r="E2275" s="8">
        <v>736660459276</v>
      </c>
      <c r="F2275" s="8">
        <v>556138386108</v>
      </c>
      <c r="G2275" s="8">
        <v>325633020366</v>
      </c>
      <c r="H2275" s="8">
        <v>46513706391</v>
      </c>
      <c r="I2275" s="8">
        <v>274796949271</v>
      </c>
      <c r="J2275" s="8"/>
      <c r="K2275" s="8">
        <v>329365420366</v>
      </c>
      <c r="L2275" s="8">
        <v>1209606426524</v>
      </c>
      <c r="M2275" s="8">
        <v>703683904000</v>
      </c>
      <c r="N2275" s="8">
        <v>631716232000</v>
      </c>
      <c r="O2275" s="8">
        <v>603728804000</v>
      </c>
      <c r="P2275" s="8">
        <v>611725212000</v>
      </c>
      <c r="Q2275" s="18">
        <f>(Table1[[#This Row],[A. TÀI SẢN NGẮN HẠN]]-Table1[[#This Row],[I. Nợ ngắn hạn]])/Table1[[#This Row],[TỔNG CỘNG TÀI SẢN]]</f>
        <v>0.31290584805996485</v>
      </c>
      <c r="R2275" s="18">
        <f>Table1[[#This Row],[- LNST chưa phân phối kỳ này]]/Table1[[#This Row],[TỔNG CỘNG TÀI SẢN]]</f>
        <v>6.3141309955354885E-2</v>
      </c>
      <c r="S2275" s="21">
        <f>Table1[[#This Row],[5. Lợi nhuận gộp về bán hàng và cung cấp dịch vụ]]/Table1[[#This Row],[TỔNG CỘNG TÀI SẢN]]</f>
        <v>0.37303067622371672</v>
      </c>
      <c r="T227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1.9361884963253124</v>
      </c>
      <c r="U2275" s="23">
        <f>Table1[[#This Row],[1. Doanh thu bán hàng và cung cấp dịch vụ ]]/Table1[[#This Row],[TỔNG CỘNG TÀI SẢN]]</f>
        <v>1.6420135101493269</v>
      </c>
      <c r="V2275" s="23">
        <f>1.2*Table1[[#This Row],[X1]] + 1.4*Table1[[#This Row],[X2]] + 3.3*Table1[[#This Row],[x3]] + 0.6*Table1[[#This Row],[x4]] + 1*Table1[[#This Row],[x5]]</f>
        <v>4.4986126910922337</v>
      </c>
      <c r="W2275" s="23">
        <f>IF(Table1[[#This Row],[Zscore]]&lt;1.81,1,0)</f>
        <v>0</v>
      </c>
    </row>
    <row r="2276" spans="1:23" x14ac:dyDescent="0.45">
      <c r="A2276" s="7">
        <v>2270</v>
      </c>
      <c r="B2276" s="5" t="s">
        <v>4549</v>
      </c>
      <c r="C2276" s="6" t="s">
        <v>4550</v>
      </c>
      <c r="D2276" s="6" t="s">
        <v>21</v>
      </c>
      <c r="E2276" s="8">
        <v>80632256999009</v>
      </c>
      <c r="F2276" s="8">
        <v>76612765855403</v>
      </c>
      <c r="G2276" s="8">
        <v>35016932279815</v>
      </c>
      <c r="H2276" s="8">
        <v>24104861268</v>
      </c>
      <c r="I2276" s="8">
        <v>10003874824915</v>
      </c>
      <c r="J2276" s="8"/>
      <c r="K2276" s="8">
        <v>36532676815634</v>
      </c>
      <c r="L2276" s="8">
        <v>11217426514650</v>
      </c>
      <c r="M2276" s="8"/>
      <c r="N2276" s="8">
        <v>108631476987000</v>
      </c>
      <c r="O2276" s="8"/>
      <c r="P2276" s="8"/>
      <c r="Q2276" s="18">
        <f>(Table1[[#This Row],[A. TÀI SẢN NGẮN HẠN]]-Table1[[#This Row],[I. Nợ ngắn hạn]])/Table1[[#This Row],[TỔNG CỘNG TÀI SẢN]]</f>
        <v>0.51587088249432522</v>
      </c>
      <c r="R2276" s="18">
        <f>Table1[[#This Row],[- LNST chưa phân phối kỳ này]]/Table1[[#This Row],[TỔNG CỘNG TÀI SẢN]]</f>
        <v>2.9894811537144812E-4</v>
      </c>
      <c r="S2276" s="21">
        <f>Table1[[#This Row],[5. Lợi nhuận gộp về bán hàng và cung cấp dịch vụ]]/Table1[[#This Row],[TỔNG CỘNG TÀI SẢN]]</f>
        <v>0.12406790033222004</v>
      </c>
      <c r="T227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2.9735427692643546</v>
      </c>
      <c r="U2276" s="23">
        <f>Table1[[#This Row],[1. Doanh thu bán hàng và cung cấp dịch vụ ]]/Table1[[#This Row],[TỔNG CỘNG TÀI SẢN]]</f>
        <v>0.13911834955566066</v>
      </c>
      <c r="V2276" s="23">
        <f>1.2*Table1[[#This Row],[X1]] + 1.4*Table1[[#This Row],[X2]] + 3.3*Table1[[#This Row],[x3]] + 0.6*Table1[[#This Row],[x4]] + 1*Table1[[#This Row],[x5]]</f>
        <v>2.9521316685653098</v>
      </c>
      <c r="W2276" s="23">
        <f>IF(Table1[[#This Row],[Zscore]]&lt;1.81,1,0)</f>
        <v>0</v>
      </c>
    </row>
    <row r="2277" spans="1:23" ht="26.25" x14ac:dyDescent="0.45">
      <c r="A2277" s="7">
        <v>2271</v>
      </c>
      <c r="B2277" s="5" t="s">
        <v>4551</v>
      </c>
      <c r="C2277" s="6" t="s">
        <v>4552</v>
      </c>
      <c r="D2277" s="6" t="s">
        <v>36</v>
      </c>
      <c r="E2277" s="8">
        <v>2750782843401</v>
      </c>
      <c r="F2277" s="8">
        <v>1518090022572</v>
      </c>
      <c r="G2277" s="8">
        <v>1532655190514</v>
      </c>
      <c r="H2277" s="8">
        <v>58489618387</v>
      </c>
      <c r="I2277" s="8">
        <v>352436805757</v>
      </c>
      <c r="J2277" s="8"/>
      <c r="K2277" s="8">
        <v>1994455272305</v>
      </c>
      <c r="L2277" s="8">
        <v>5264204905542</v>
      </c>
      <c r="M2277" s="8"/>
      <c r="N2277" s="8">
        <v>439739934200</v>
      </c>
      <c r="O2277" s="8">
        <v>557416818000</v>
      </c>
      <c r="P2277" s="8">
        <v>489288095800</v>
      </c>
      <c r="Q2277" s="18">
        <f>(Table1[[#This Row],[A. TÀI SẢN NGẮN HẠN]]-Table1[[#This Row],[I. Nợ ngắn hạn]])/Table1[[#This Row],[TỔNG CỘNG TÀI SẢN]]</f>
        <v>-5.2949174003106645E-3</v>
      </c>
      <c r="R2277" s="18">
        <f>Table1[[#This Row],[- LNST chưa phân phối kỳ này]]/Table1[[#This Row],[TỔNG CỘNG TÀI SẢN]]</f>
        <v>2.1262899224238609E-2</v>
      </c>
      <c r="S2277" s="21">
        <f>Table1[[#This Row],[5. Lợi nhuận gộp về bán hàng và cung cấp dịch vụ]]/Table1[[#This Row],[TỔNG CỘNG TÀI SẢN]]</f>
        <v>0.12812236582123504</v>
      </c>
      <c r="T227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0.24842954508945689</v>
      </c>
      <c r="U2277" s="23">
        <f>Table1[[#This Row],[1. Doanh thu bán hàng và cung cấp dịch vụ ]]/Table1[[#This Row],[TỔNG CỘNG TÀI SẢN]]</f>
        <v>1.9137115523933788</v>
      </c>
      <c r="V2277" s="23">
        <f>1.2*Table1[[#This Row],[X1]] + 1.4*Table1[[#This Row],[X2]] + 3.3*Table1[[#This Row],[x3]] + 0.6*Table1[[#This Row],[x4]] + 1*Table1[[#This Row],[x5]]</f>
        <v>2.5089872446906898</v>
      </c>
      <c r="W2277" s="23">
        <f>IF(Table1[[#This Row],[Zscore]]&lt;1.81,1,0)</f>
        <v>0</v>
      </c>
    </row>
    <row r="2278" spans="1:23" ht="26.25" hidden="1" x14ac:dyDescent="0.45">
      <c r="A2278" s="7">
        <v>2272</v>
      </c>
      <c r="B2278" s="5" t="s">
        <v>4553</v>
      </c>
      <c r="C2278" s="6" t="s">
        <v>4554</v>
      </c>
      <c r="D2278" s="6" t="s">
        <v>13</v>
      </c>
      <c r="E2278" s="6"/>
      <c r="F2278" s="6"/>
      <c r="G2278" s="6"/>
      <c r="H2278" s="6"/>
      <c r="I2278" s="6"/>
      <c r="J2278" s="8"/>
      <c r="K2278" s="6"/>
      <c r="L2278" s="6"/>
      <c r="M2278" s="8"/>
      <c r="N2278" s="8"/>
      <c r="O2278" s="8"/>
      <c r="P2278" s="8"/>
      <c r="Q2278" s="18" t="e">
        <f>(Table1[[#This Row],[A. TÀI SẢN NGẮN HẠN]]-Table1[[#This Row],[I. Nợ ngắn hạn]])/Table1[[#This Row],[TỔNG CỘNG TÀI SẢN]]</f>
        <v>#DIV/0!</v>
      </c>
      <c r="R2278" s="18" t="e">
        <f>Table1[[#This Row],[- LNST chưa phân phối kỳ này]]/Table1[[#This Row],[TỔNG CỘNG TÀI SẢN]]</f>
        <v>#DIV/0!</v>
      </c>
      <c r="S2278" s="21" t="e">
        <f>Table1[[#This Row],[5. Lợi nhuận gộp về bán hàng và cung cấp dịch vụ]]/Table1[[#This Row],[TỔNG CỘNG TÀI SẢN]]</f>
        <v>#DIV/0!</v>
      </c>
      <c r="T227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278" s="23" t="e">
        <f>Table1[[#This Row],[1. Doanh thu bán hàng và cung cấp dịch vụ ]]/Table1[[#This Row],[TỔNG CỘNG TÀI SẢN]]</f>
        <v>#DIV/0!</v>
      </c>
      <c r="V2278" s="23" t="e">
        <f>1.2*Table1[[#This Row],[X1]] + 1.4*Table1[[#This Row],[X2]] + 3.3*Table1[[#This Row],[x3]] + 0.6*Table1[[#This Row],[x4]] + 1*Table1[[#This Row],[x5]]</f>
        <v>#DIV/0!</v>
      </c>
      <c r="W2278" s="23" t="e">
        <f>IF(Table1[[#This Row],[Zscore]]&lt;1.81,1,0)</f>
        <v>#DIV/0!</v>
      </c>
    </row>
    <row r="2279" spans="1:23" hidden="1" x14ac:dyDescent="0.45">
      <c r="A2279" s="7">
        <v>2273</v>
      </c>
      <c r="B2279" s="5" t="s">
        <v>4555</v>
      </c>
      <c r="C2279" s="6" t="s">
        <v>4556</v>
      </c>
      <c r="D2279" s="6" t="s">
        <v>18</v>
      </c>
      <c r="E2279" s="8">
        <v>118269490774</v>
      </c>
      <c r="F2279" s="8">
        <v>84400461861</v>
      </c>
      <c r="G2279" s="8">
        <v>25367317056</v>
      </c>
      <c r="H2279" s="8">
        <v>9221808629</v>
      </c>
      <c r="I2279" s="8">
        <v>47455993498</v>
      </c>
      <c r="J2279" s="8"/>
      <c r="K2279" s="8">
        <v>25367317056</v>
      </c>
      <c r="L2279" s="8">
        <v>74819093085</v>
      </c>
      <c r="M2279" s="8"/>
      <c r="N2279" s="8"/>
      <c r="O2279" s="8"/>
      <c r="P2279" s="8"/>
      <c r="Q2279" s="18">
        <f>(Table1[[#This Row],[A. TÀI SẢN NGẮN HẠN]]-Table1[[#This Row],[I. Nợ ngắn hạn]])/Table1[[#This Row],[TỔNG CỘNG TÀI SẢN]]</f>
        <v>0.49914094005702497</v>
      </c>
      <c r="R2279" s="18">
        <f>Table1[[#This Row],[- LNST chưa phân phối kỳ này]]/Table1[[#This Row],[TỔNG CỘNG TÀI SẢN]]</f>
        <v>7.7972844633463947E-2</v>
      </c>
      <c r="S2279" s="21">
        <f>Table1[[#This Row],[5. Lợi nhuận gộp về bán hàng và cung cấp dịch vụ]]/Table1[[#This Row],[TỔNG CỘNG TÀI SẢN]]</f>
        <v>0.40125304664313799</v>
      </c>
      <c r="T227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279" s="23">
        <f>Table1[[#This Row],[1. Doanh thu bán hàng và cung cấp dịch vụ ]]/Table1[[#This Row],[TỔNG CỘNG TÀI SẢN]]</f>
        <v>0.63261533126891589</v>
      </c>
      <c r="V2279" s="23" t="e">
        <f>1.2*Table1[[#This Row],[X1]] + 1.4*Table1[[#This Row],[X2]] + 3.3*Table1[[#This Row],[x3]] + 0.6*Table1[[#This Row],[x4]] + 1*Table1[[#This Row],[x5]]</f>
        <v>#DIV/0!</v>
      </c>
      <c r="W2279" s="23" t="e">
        <f>IF(Table1[[#This Row],[Zscore]]&lt;1.81,1,0)</f>
        <v>#DIV/0!</v>
      </c>
    </row>
    <row r="2280" spans="1:23" ht="26.25" x14ac:dyDescent="0.45">
      <c r="A2280" s="7">
        <v>2274</v>
      </c>
      <c r="B2280" s="5" t="s">
        <v>4557</v>
      </c>
      <c r="C2280" s="6" t="s">
        <v>4558</v>
      </c>
      <c r="D2280" s="6" t="s">
        <v>21</v>
      </c>
      <c r="E2280" s="8">
        <v>4552585942461</v>
      </c>
      <c r="F2280" s="8">
        <v>2552290484336</v>
      </c>
      <c r="G2280" s="8">
        <v>2722508856037</v>
      </c>
      <c r="H2280" s="8">
        <v>275756302750</v>
      </c>
      <c r="I2280" s="8">
        <v>497739472267</v>
      </c>
      <c r="J2280" s="8"/>
      <c r="K2280" s="8">
        <v>2834279621015</v>
      </c>
      <c r="L2280" s="8">
        <v>2525417674714</v>
      </c>
      <c r="M2280" s="8">
        <v>1195000000000</v>
      </c>
      <c r="N2280" s="8">
        <v>1501290400000</v>
      </c>
      <c r="O2280" s="8">
        <v>1399508000000</v>
      </c>
      <c r="P2280" s="8">
        <v>1622157000000</v>
      </c>
      <c r="Q2280" s="18">
        <f>(Table1[[#This Row],[A. TÀI SẢN NGẮN HẠN]]-Table1[[#This Row],[I. Nợ ngắn hạn]])/Table1[[#This Row],[TỔNG CỘNG TÀI SẢN]]</f>
        <v>-3.7389381299408206E-2</v>
      </c>
      <c r="R2280" s="18">
        <f>Table1[[#This Row],[- LNST chưa phân phối kỳ này]]/Table1[[#This Row],[TỔNG CỘNG TÀI SẢN]]</f>
        <v>6.0571355760267953E-2</v>
      </c>
      <c r="S2280" s="21">
        <f>Table1[[#This Row],[5. Lợi nhuận gộp về bán hàng và cung cấp dịch vụ]]/Table1[[#This Row],[TỔNG CỘNG TÀI SẢN]]</f>
        <v>0.10933115344944724</v>
      </c>
      <c r="T228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0.50435702934916404</v>
      </c>
      <c r="U2280" s="23">
        <f>Table1[[#This Row],[1. Doanh thu bán hàng và cung cấp dịch vụ ]]/Table1[[#This Row],[TỔNG CỘNG TÀI SẢN]]</f>
        <v>0.55472158167514574</v>
      </c>
      <c r="V2280" s="23">
        <f>1.2*Table1[[#This Row],[X1]] + 1.4*Table1[[#This Row],[X2]] + 3.3*Table1[[#This Row],[x3]] + 0.6*Table1[[#This Row],[x4]] + 1*Table1[[#This Row],[x5]]</f>
        <v>1.2580612461729053</v>
      </c>
      <c r="W2280" s="23">
        <f>IF(Table1[[#This Row],[Zscore]]&lt;1.81,1,0)</f>
        <v>1</v>
      </c>
    </row>
    <row r="2281" spans="1:23" hidden="1" x14ac:dyDescent="0.45">
      <c r="A2281" s="7">
        <v>2275</v>
      </c>
      <c r="B2281" s="5" t="s">
        <v>4559</v>
      </c>
      <c r="C2281" s="6" t="s">
        <v>4560</v>
      </c>
      <c r="D2281" s="6" t="s">
        <v>13</v>
      </c>
      <c r="E2281" s="6"/>
      <c r="F2281" s="6"/>
      <c r="G2281" s="6"/>
      <c r="H2281" s="6"/>
      <c r="I2281" s="6"/>
      <c r="J2281" s="8"/>
      <c r="K2281" s="6"/>
      <c r="L2281" s="6"/>
      <c r="M2281" s="8"/>
      <c r="N2281" s="8"/>
      <c r="O2281" s="8"/>
      <c r="P2281" s="8"/>
      <c r="Q2281" s="18" t="e">
        <f>(Table1[[#This Row],[A. TÀI SẢN NGẮN HẠN]]-Table1[[#This Row],[I. Nợ ngắn hạn]])/Table1[[#This Row],[TỔNG CỘNG TÀI SẢN]]</f>
        <v>#DIV/0!</v>
      </c>
      <c r="R2281" s="18" t="e">
        <f>Table1[[#This Row],[- LNST chưa phân phối kỳ này]]/Table1[[#This Row],[TỔNG CỘNG TÀI SẢN]]</f>
        <v>#DIV/0!</v>
      </c>
      <c r="S2281" s="21" t="e">
        <f>Table1[[#This Row],[5. Lợi nhuận gộp về bán hàng và cung cấp dịch vụ]]/Table1[[#This Row],[TỔNG CỘNG TÀI SẢN]]</f>
        <v>#DIV/0!</v>
      </c>
      <c r="T228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281" s="23" t="e">
        <f>Table1[[#This Row],[1. Doanh thu bán hàng và cung cấp dịch vụ ]]/Table1[[#This Row],[TỔNG CỘNG TÀI SẢN]]</f>
        <v>#DIV/0!</v>
      </c>
      <c r="V2281" s="23" t="e">
        <f>1.2*Table1[[#This Row],[X1]] + 1.4*Table1[[#This Row],[X2]] + 3.3*Table1[[#This Row],[x3]] + 0.6*Table1[[#This Row],[x4]] + 1*Table1[[#This Row],[x5]]</f>
        <v>#DIV/0!</v>
      </c>
      <c r="W2281" s="23" t="e">
        <f>IF(Table1[[#This Row],[Zscore]]&lt;1.81,1,0)</f>
        <v>#DIV/0!</v>
      </c>
    </row>
    <row r="2282" spans="1:23" x14ac:dyDescent="0.45">
      <c r="A2282" s="7">
        <v>2276</v>
      </c>
      <c r="B2282" s="5" t="s">
        <v>4561</v>
      </c>
      <c r="C2282" s="6" t="s">
        <v>4562</v>
      </c>
      <c r="D2282" s="6" t="s">
        <v>18</v>
      </c>
      <c r="E2282" s="8">
        <v>1580004263794</v>
      </c>
      <c r="F2282" s="8">
        <v>620886100743</v>
      </c>
      <c r="G2282" s="8">
        <v>473099800909</v>
      </c>
      <c r="H2282" s="8">
        <v>3899816904</v>
      </c>
      <c r="I2282" s="8">
        <v>80438355673</v>
      </c>
      <c r="J2282" s="8"/>
      <c r="K2282" s="8">
        <v>811371430597</v>
      </c>
      <c r="L2282" s="8">
        <v>468026878991</v>
      </c>
      <c r="M2282" s="8">
        <v>339000000000</v>
      </c>
      <c r="N2282" s="8">
        <v>246000000000</v>
      </c>
      <c r="O2282" s="8">
        <v>261000000000</v>
      </c>
      <c r="P2282" s="8">
        <v>288000000000</v>
      </c>
      <c r="Q2282" s="18">
        <f>(Table1[[#This Row],[A. TÀI SẢN NGẮN HẠN]]-Table1[[#This Row],[I. Nợ ngắn hạn]])/Table1[[#This Row],[TỔNG CỘNG TÀI SẢN]]</f>
        <v>9.3535380391396389E-2</v>
      </c>
      <c r="R2282" s="18">
        <f>Table1[[#This Row],[- LNST chưa phân phối kỳ này]]/Table1[[#This Row],[TỔNG CỘNG TÀI SẢN]]</f>
        <v>2.4682318860555024E-3</v>
      </c>
      <c r="S2282" s="21">
        <f>Table1[[#This Row],[5. Lợi nhuận gộp về bán hàng và cung cấp dịch vụ]]/Table1[[#This Row],[TỔNG CỘNG TÀI SẢN]]</f>
        <v>5.0910214305274495E-2</v>
      </c>
      <c r="T228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0.3494084081705997</v>
      </c>
      <c r="U2282" s="23">
        <f>Table1[[#This Row],[1. Doanh thu bán hàng và cung cấp dịch vụ ]]/Table1[[#This Row],[TỔNG CỘNG TÀI SẢN]]</f>
        <v>0.29621874428816164</v>
      </c>
      <c r="V2282" s="23">
        <f>1.2*Table1[[#This Row],[X1]] + 1.4*Table1[[#This Row],[X2]] + 3.3*Table1[[#This Row],[x3]] + 0.6*Table1[[#This Row],[x4]] + 1*Table1[[#This Row],[x5]]</f>
        <v>0.78956547750808059</v>
      </c>
      <c r="W2282" s="23">
        <f>IF(Table1[[#This Row],[Zscore]]&lt;1.81,1,0)</f>
        <v>1</v>
      </c>
    </row>
    <row r="2283" spans="1:23" x14ac:dyDescent="0.45">
      <c r="A2283" s="7">
        <v>2277</v>
      </c>
      <c r="B2283" s="5" t="s">
        <v>4563</v>
      </c>
      <c r="C2283" s="6" t="s">
        <v>4564</v>
      </c>
      <c r="D2283" s="6" t="s">
        <v>21</v>
      </c>
      <c r="E2283" s="8">
        <v>961340818261</v>
      </c>
      <c r="F2283" s="8">
        <v>598310560957</v>
      </c>
      <c r="G2283" s="8">
        <v>543967825441</v>
      </c>
      <c r="H2283" s="8">
        <v>5541299469</v>
      </c>
      <c r="I2283" s="8">
        <v>75418654397</v>
      </c>
      <c r="J2283" s="8"/>
      <c r="K2283" s="8">
        <v>701866712841</v>
      </c>
      <c r="L2283" s="8">
        <v>1554625125343</v>
      </c>
      <c r="M2283" s="8">
        <v>100476438500</v>
      </c>
      <c r="N2283" s="8">
        <v>73117793800</v>
      </c>
      <c r="O2283" s="8">
        <v>79654815100</v>
      </c>
      <c r="P2283" s="8">
        <v>78202143700</v>
      </c>
      <c r="Q2283" s="18">
        <f>(Table1[[#This Row],[A. TÀI SẢN NGẮN HẠN]]-Table1[[#This Row],[I. Nợ ngắn hạn]])/Table1[[#This Row],[TỔNG CỘNG TÀI SẢN]]</f>
        <v>5.6528064224197101E-2</v>
      </c>
      <c r="R2283" s="18">
        <f>Table1[[#This Row],[- LNST chưa phân phối kỳ này]]/Table1[[#This Row],[TỔNG CỘNG TÀI SẢN]]</f>
        <v>5.7641362602534997E-3</v>
      </c>
      <c r="S2283" s="21">
        <f>Table1[[#This Row],[5. Lợi nhuận gộp về bán hàng và cung cấp dịch vụ]]/Table1[[#This Row],[TỔNG CỘNG TÀI SẢN]]</f>
        <v>7.8451526206311725E-2</v>
      </c>
      <c r="T228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0.11806058936687547</v>
      </c>
      <c r="U2283" s="23">
        <f>Table1[[#This Row],[1. Doanh thu bán hàng và cung cấp dịch vụ ]]/Table1[[#This Row],[TỔNG CỘNG TÀI SẢN]]</f>
        <v>1.6171425324009552</v>
      </c>
      <c r="V2283" s="23">
        <f>1.2*Table1[[#This Row],[X1]] + 1.4*Table1[[#This Row],[X2]] + 3.3*Table1[[#This Row],[x3]] + 0.6*Table1[[#This Row],[x4]] + 1*Table1[[#This Row],[x5]]</f>
        <v>2.0227723903353008</v>
      </c>
      <c r="W2283" s="23">
        <f>IF(Table1[[#This Row],[Zscore]]&lt;1.81,1,0)</f>
        <v>0</v>
      </c>
    </row>
    <row r="2284" spans="1:23" x14ac:dyDescent="0.45">
      <c r="A2284" s="7">
        <v>2278</v>
      </c>
      <c r="B2284" s="5" t="s">
        <v>4565</v>
      </c>
      <c r="C2284" s="6" t="s">
        <v>4566</v>
      </c>
      <c r="D2284" s="6" t="s">
        <v>21</v>
      </c>
      <c r="E2284" s="8">
        <v>685360736886</v>
      </c>
      <c r="F2284" s="8">
        <v>399922074228</v>
      </c>
      <c r="G2284" s="8">
        <v>433393450753</v>
      </c>
      <c r="H2284" s="8">
        <v>110569823540</v>
      </c>
      <c r="I2284" s="8">
        <v>30982800247</v>
      </c>
      <c r="J2284" s="8"/>
      <c r="K2284" s="8">
        <v>501945878398</v>
      </c>
      <c r="L2284" s="8">
        <v>130155429905</v>
      </c>
      <c r="M2284" s="8">
        <v>326693024300</v>
      </c>
      <c r="N2284" s="8">
        <v>492292591790</v>
      </c>
      <c r="O2284" s="8">
        <v>504684396160</v>
      </c>
      <c r="P2284" s="8">
        <v>577908694710</v>
      </c>
      <c r="Q2284" s="18">
        <f>(Table1[[#This Row],[A. TÀI SẢN NGẮN HẠN]]-Table1[[#This Row],[I. Nợ ngắn hạn]])/Table1[[#This Row],[TỔNG CỘNG TÀI SẢN]]</f>
        <v>-4.8837604379089905E-2</v>
      </c>
      <c r="R2284" s="18">
        <f>Table1[[#This Row],[- LNST chưa phân phối kỳ này]]/Table1[[#This Row],[TỔNG CỘNG TÀI SẢN]]</f>
        <v>0.16133084022639557</v>
      </c>
      <c r="S2284" s="21">
        <f>Table1[[#This Row],[5. Lợi nhuận gộp về bán hàng và cung cấp dịch vụ]]/Table1[[#This Row],[TỔNG CỘNG TÀI SẢN]]</f>
        <v>4.5206558501984261E-2</v>
      </c>
      <c r="T228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0.94710345716406663</v>
      </c>
      <c r="U2284" s="23">
        <f>Table1[[#This Row],[1. Doanh thu bán hàng và cung cấp dịch vụ ]]/Table1[[#This Row],[TỔNG CỘNG TÀI SẢN]]</f>
        <v>0.1899079169553442</v>
      </c>
      <c r="V2284" s="23">
        <f>1.2*Table1[[#This Row],[X1]] + 1.4*Table1[[#This Row],[X2]] + 3.3*Table1[[#This Row],[x3]] + 0.6*Table1[[#This Row],[x4]] + 1*Table1[[#This Row],[x5]]</f>
        <v>1.0746096853723781</v>
      </c>
      <c r="W2284" s="23">
        <f>IF(Table1[[#This Row],[Zscore]]&lt;1.81,1,0)</f>
        <v>1</v>
      </c>
    </row>
    <row r="2285" spans="1:23" hidden="1" x14ac:dyDescent="0.45">
      <c r="A2285" s="7">
        <v>2279</v>
      </c>
      <c r="B2285" s="5" t="s">
        <v>4567</v>
      </c>
      <c r="C2285" s="6" t="s">
        <v>4568</v>
      </c>
      <c r="D2285" s="6" t="s">
        <v>13</v>
      </c>
      <c r="E2285" s="6"/>
      <c r="F2285" s="6"/>
      <c r="G2285" s="6"/>
      <c r="H2285" s="6"/>
      <c r="I2285" s="6"/>
      <c r="J2285" s="8"/>
      <c r="K2285" s="6"/>
      <c r="L2285" s="6"/>
      <c r="M2285" s="8"/>
      <c r="N2285" s="8"/>
      <c r="O2285" s="8"/>
      <c r="P2285" s="8"/>
      <c r="Q2285" s="18" t="e">
        <f>(Table1[[#This Row],[A. TÀI SẢN NGẮN HẠN]]-Table1[[#This Row],[I. Nợ ngắn hạn]])/Table1[[#This Row],[TỔNG CỘNG TÀI SẢN]]</f>
        <v>#DIV/0!</v>
      </c>
      <c r="R2285" s="18" t="e">
        <f>Table1[[#This Row],[- LNST chưa phân phối kỳ này]]/Table1[[#This Row],[TỔNG CỘNG TÀI SẢN]]</f>
        <v>#DIV/0!</v>
      </c>
      <c r="S2285" s="21" t="e">
        <f>Table1[[#This Row],[5. Lợi nhuận gộp về bán hàng và cung cấp dịch vụ]]/Table1[[#This Row],[TỔNG CỘNG TÀI SẢN]]</f>
        <v>#DIV/0!</v>
      </c>
      <c r="T228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285" s="23" t="e">
        <f>Table1[[#This Row],[1. Doanh thu bán hàng và cung cấp dịch vụ ]]/Table1[[#This Row],[TỔNG CỘNG TÀI SẢN]]</f>
        <v>#DIV/0!</v>
      </c>
      <c r="V2285" s="23" t="e">
        <f>1.2*Table1[[#This Row],[X1]] + 1.4*Table1[[#This Row],[X2]] + 3.3*Table1[[#This Row],[x3]] + 0.6*Table1[[#This Row],[x4]] + 1*Table1[[#This Row],[x5]]</f>
        <v>#DIV/0!</v>
      </c>
      <c r="W2285" s="23" t="e">
        <f>IF(Table1[[#This Row],[Zscore]]&lt;1.81,1,0)</f>
        <v>#DIV/0!</v>
      </c>
    </row>
    <row r="2286" spans="1:23" ht="26.25" hidden="1" x14ac:dyDescent="0.45">
      <c r="A2286" s="7">
        <v>2280</v>
      </c>
      <c r="B2286" s="5" t="s">
        <v>4569</v>
      </c>
      <c r="C2286" s="6" t="s">
        <v>4570</v>
      </c>
      <c r="D2286" s="6" t="s">
        <v>13</v>
      </c>
      <c r="E2286" s="6"/>
      <c r="F2286" s="6"/>
      <c r="G2286" s="6"/>
      <c r="H2286" s="6"/>
      <c r="I2286" s="6"/>
      <c r="J2286" s="8"/>
      <c r="K2286" s="6"/>
      <c r="L2286" s="6"/>
      <c r="M2286" s="8"/>
      <c r="N2286" s="8"/>
      <c r="O2286" s="8"/>
      <c r="P2286" s="8"/>
      <c r="Q2286" s="18" t="e">
        <f>(Table1[[#This Row],[A. TÀI SẢN NGẮN HẠN]]-Table1[[#This Row],[I. Nợ ngắn hạn]])/Table1[[#This Row],[TỔNG CỘNG TÀI SẢN]]</f>
        <v>#DIV/0!</v>
      </c>
      <c r="R2286" s="18" t="e">
        <f>Table1[[#This Row],[- LNST chưa phân phối kỳ này]]/Table1[[#This Row],[TỔNG CỘNG TÀI SẢN]]</f>
        <v>#DIV/0!</v>
      </c>
      <c r="S2286" s="21" t="e">
        <f>Table1[[#This Row],[5. Lợi nhuận gộp về bán hàng và cung cấp dịch vụ]]/Table1[[#This Row],[TỔNG CỘNG TÀI SẢN]]</f>
        <v>#DIV/0!</v>
      </c>
      <c r="T228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286" s="23" t="e">
        <f>Table1[[#This Row],[1. Doanh thu bán hàng và cung cấp dịch vụ ]]/Table1[[#This Row],[TỔNG CỘNG TÀI SẢN]]</f>
        <v>#DIV/0!</v>
      </c>
      <c r="V2286" s="23" t="e">
        <f>1.2*Table1[[#This Row],[X1]] + 1.4*Table1[[#This Row],[X2]] + 3.3*Table1[[#This Row],[x3]] + 0.6*Table1[[#This Row],[x4]] + 1*Table1[[#This Row],[x5]]</f>
        <v>#DIV/0!</v>
      </c>
      <c r="W2286" s="23" t="e">
        <f>IF(Table1[[#This Row],[Zscore]]&lt;1.81,1,0)</f>
        <v>#DIV/0!</v>
      </c>
    </row>
    <row r="2287" spans="1:23" x14ac:dyDescent="0.45">
      <c r="A2287" s="7">
        <v>2281</v>
      </c>
      <c r="B2287" s="5" t="s">
        <v>4571</v>
      </c>
      <c r="C2287" s="6" t="s">
        <v>4572</v>
      </c>
      <c r="D2287" s="6" t="s">
        <v>21</v>
      </c>
      <c r="E2287" s="8">
        <v>3396116489440</v>
      </c>
      <c r="F2287" s="8">
        <v>443027223150</v>
      </c>
      <c r="G2287" s="8">
        <v>266427729238</v>
      </c>
      <c r="H2287" s="8">
        <v>209881718632</v>
      </c>
      <c r="I2287" s="8">
        <v>144498305327</v>
      </c>
      <c r="J2287" s="8"/>
      <c r="K2287" s="8">
        <v>811301102358</v>
      </c>
      <c r="L2287" s="8">
        <v>506113099465</v>
      </c>
      <c r="M2287" s="8">
        <v>5940000000000</v>
      </c>
      <c r="N2287" s="8">
        <v>6332700000000</v>
      </c>
      <c r="O2287" s="8">
        <v>6050000000000</v>
      </c>
      <c r="P2287" s="8">
        <v>6554900000000</v>
      </c>
      <c r="Q2287" s="18">
        <f>(Table1[[#This Row],[A. TÀI SẢN NGẮN HẠN]]-Table1[[#This Row],[I. Nợ ngắn hạn]])/Table1[[#This Row],[TỔNG CỘNG TÀI SẢN]]</f>
        <v>5.200042297168677E-2</v>
      </c>
      <c r="R2287" s="18">
        <f>Table1[[#This Row],[- LNST chưa phân phối kỳ này]]/Table1[[#This Row],[TỔNG CỘNG TÀI SẢN]]</f>
        <v>6.1800506338523235E-2</v>
      </c>
      <c r="S2287" s="21">
        <f>Table1[[#This Row],[5. Lợi nhuận gộp về bán hàng và cung cấp dịch vụ]]/Table1[[#This Row],[TỔNG CỘNG TÀI SẢN]]</f>
        <v>4.2548100389461885E-2</v>
      </c>
      <c r="T228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7.665957783027376</v>
      </c>
      <c r="U2287" s="23">
        <f>Table1[[#This Row],[1. Doanh thu bán hàng và cung cấp dịch vụ ]]/Table1[[#This Row],[TỔNG CỘNG TÀI SẢN]]</f>
        <v>0.14902701395512352</v>
      </c>
      <c r="V2287" s="23">
        <f>1.2*Table1[[#This Row],[X1]] + 1.4*Table1[[#This Row],[X2]] + 3.3*Table1[[#This Row],[x3]] + 0.6*Table1[[#This Row],[x4]] + 1*Table1[[#This Row],[x5]]</f>
        <v>5.0379316314967291</v>
      </c>
      <c r="W2287" s="23">
        <f>IF(Table1[[#This Row],[Zscore]]&lt;1.81,1,0)</f>
        <v>0</v>
      </c>
    </row>
    <row r="2288" spans="1:23" x14ac:dyDescent="0.45">
      <c r="A2288" s="7">
        <v>2282</v>
      </c>
      <c r="B2288" s="5" t="s">
        <v>4573</v>
      </c>
      <c r="C2288" s="6" t="s">
        <v>4574</v>
      </c>
      <c r="D2288" s="6" t="s">
        <v>21</v>
      </c>
      <c r="E2288" s="8">
        <v>4470763613728</v>
      </c>
      <c r="F2288" s="8">
        <v>3355062645496</v>
      </c>
      <c r="G2288" s="8">
        <v>3094560881227</v>
      </c>
      <c r="H2288" s="8">
        <v>98878473210</v>
      </c>
      <c r="I2288" s="8">
        <v>389571897649</v>
      </c>
      <c r="J2288" s="8"/>
      <c r="K2288" s="8">
        <v>3351981585059</v>
      </c>
      <c r="L2288" s="8">
        <v>4761285429039</v>
      </c>
      <c r="M2288" s="8">
        <v>2911334250000</v>
      </c>
      <c r="N2288" s="8">
        <v>2558445250000</v>
      </c>
      <c r="O2288" s="8">
        <v>2823112000000</v>
      </c>
      <c r="P2288" s="8">
        <v>2928978700000</v>
      </c>
      <c r="Q2288" s="18">
        <f>(Table1[[#This Row],[A. TÀI SẢN NGẮN HẠN]]-Table1[[#This Row],[I. Nợ ngắn hạn]])/Table1[[#This Row],[TỔNG CỘNG TÀI SẢN]]</f>
        <v>5.8267845669383866E-2</v>
      </c>
      <c r="R2288" s="18">
        <f>Table1[[#This Row],[- LNST chưa phân phối kỳ này]]/Table1[[#This Row],[TỔNG CỘNG TÀI SẢN]]</f>
        <v>2.2116685594018467E-2</v>
      </c>
      <c r="S2288" s="21">
        <f>Table1[[#This Row],[5. Lợi nhuận gộp về bán hàng và cung cấp dịch vụ]]/Table1[[#This Row],[TỔNG CỘNG TÀI SẢN]]</f>
        <v>8.7137664011752741E-2</v>
      </c>
      <c r="T228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0.83695792438269601</v>
      </c>
      <c r="U2288" s="23">
        <f>Table1[[#This Row],[1. Doanh thu bán hàng và cung cấp dịch vụ ]]/Table1[[#This Row],[TỔNG CỘNG TÀI SẢN]]</f>
        <v>1.0649825936712285</v>
      </c>
      <c r="V2288" s="23">
        <f>1.2*Table1[[#This Row],[X1]] + 1.4*Table1[[#This Row],[X2]] + 3.3*Table1[[#This Row],[x3]] + 0.6*Table1[[#This Row],[x4]] + 1*Table1[[#This Row],[x5]]</f>
        <v>1.9555964141745166</v>
      </c>
      <c r="W2288" s="23">
        <f>IF(Table1[[#This Row],[Zscore]]&lt;1.81,1,0)</f>
        <v>0</v>
      </c>
    </row>
    <row r="2289" spans="1:23" x14ac:dyDescent="0.45">
      <c r="A2289" s="7">
        <v>2283</v>
      </c>
      <c r="B2289" s="5" t="s">
        <v>4575</v>
      </c>
      <c r="C2289" s="6" t="s">
        <v>4576</v>
      </c>
      <c r="D2289" s="6" t="s">
        <v>18</v>
      </c>
      <c r="E2289" s="8">
        <v>415786282152</v>
      </c>
      <c r="F2289" s="8">
        <v>410205057361</v>
      </c>
      <c r="G2289" s="8">
        <v>144806430946</v>
      </c>
      <c r="H2289" s="8">
        <v>6912190076</v>
      </c>
      <c r="I2289" s="8">
        <v>61319874458</v>
      </c>
      <c r="J2289" s="8"/>
      <c r="K2289" s="8">
        <v>195854430946</v>
      </c>
      <c r="L2289" s="8">
        <v>2311026467555</v>
      </c>
      <c r="M2289" s="8">
        <v>123476469300</v>
      </c>
      <c r="N2289" s="8">
        <v>99025683300</v>
      </c>
      <c r="O2289" s="8">
        <v>106360919100</v>
      </c>
      <c r="P2289" s="8">
        <v>102693301200</v>
      </c>
      <c r="Q2289" s="18">
        <f>(Table1[[#This Row],[A. TÀI SẢN NGẮN HẠN]]-Table1[[#This Row],[I. Nợ ngắn hạn]])/Table1[[#This Row],[TỔNG CỘNG TÀI SẢN]]</f>
        <v>0.63830539343762571</v>
      </c>
      <c r="R2289" s="18">
        <f>Table1[[#This Row],[- LNST chưa phân phối kỳ này]]/Table1[[#This Row],[TỔNG CỘNG TÀI SẢN]]</f>
        <v>1.6624382219212065E-2</v>
      </c>
      <c r="S2289" s="21">
        <f>Table1[[#This Row],[5. Lợi nhuận gộp về bán hàng và cung cấp dịch vụ]]/Table1[[#This Row],[TỔNG CỘNG TÀI SẢN]]</f>
        <v>0.14747931110334983</v>
      </c>
      <c r="T228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0.55086368331767099</v>
      </c>
      <c r="U2289" s="23">
        <f>Table1[[#This Row],[1. Doanh thu bán hàng và cung cấp dịch vụ ]]/Table1[[#This Row],[TỔNG CỘNG TÀI SẢN]]</f>
        <v>5.5582075858629514</v>
      </c>
      <c r="V2289" s="23">
        <f>1.2*Table1[[#This Row],[X1]] + 1.4*Table1[[#This Row],[X2]] + 3.3*Table1[[#This Row],[x3]] + 0.6*Table1[[#This Row],[x4]] + 1*Table1[[#This Row],[x5]]</f>
        <v>7.1646481297266558</v>
      </c>
      <c r="W2289" s="23">
        <f>IF(Table1[[#This Row],[Zscore]]&lt;1.81,1,0)</f>
        <v>0</v>
      </c>
    </row>
    <row r="2290" spans="1:23" x14ac:dyDescent="0.45">
      <c r="A2290" s="7">
        <v>2284</v>
      </c>
      <c r="B2290" s="5" t="s">
        <v>4577</v>
      </c>
      <c r="C2290" s="6" t="s">
        <v>4578</v>
      </c>
      <c r="D2290" s="6" t="s">
        <v>36</v>
      </c>
      <c r="E2290" s="8">
        <v>664925321101</v>
      </c>
      <c r="F2290" s="8">
        <v>501876378342</v>
      </c>
      <c r="G2290" s="8">
        <v>361600754381</v>
      </c>
      <c r="H2290" s="8">
        <v>18244236320</v>
      </c>
      <c r="I2290" s="8">
        <v>153569135930</v>
      </c>
      <c r="J2290" s="8"/>
      <c r="K2290" s="8">
        <v>379309188544</v>
      </c>
      <c r="L2290" s="8">
        <v>628215172303</v>
      </c>
      <c r="M2290" s="8">
        <v>169665391400</v>
      </c>
      <c r="N2290" s="8">
        <v>160106777800</v>
      </c>
      <c r="O2290" s="8">
        <v>162496431200</v>
      </c>
      <c r="P2290" s="8">
        <v>157717124400</v>
      </c>
      <c r="Q2290" s="18">
        <f>(Table1[[#This Row],[A. TÀI SẢN NGẮN HẠN]]-Table1[[#This Row],[I. Nợ ngắn hạn]])/Table1[[#This Row],[TỔNG CỘNG TÀI SẢN]]</f>
        <v>0.21096447903161231</v>
      </c>
      <c r="R2290" s="18">
        <f>Table1[[#This Row],[- LNST chưa phân phối kỳ này]]/Table1[[#This Row],[TỔNG CỘNG TÀI SẢN]]</f>
        <v>2.7438023099783201E-2</v>
      </c>
      <c r="S2290" s="21">
        <f>Table1[[#This Row],[5. Lợi nhuận gộp về bán hàng và cung cấp dịch vụ]]/Table1[[#This Row],[TỔNG CỘNG TÀI SẢN]]</f>
        <v>0.23095696773243105</v>
      </c>
      <c r="T229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0.4284009881852634</v>
      </c>
      <c r="U2290" s="23">
        <f>Table1[[#This Row],[1. Doanh thu bán hàng và cung cấp dịch vụ ]]/Table1[[#This Row],[TỔNG CỘNG TÀI SẢN]]</f>
        <v>0.94479056875557932</v>
      </c>
      <c r="V2290" s="23">
        <f>1.2*Table1[[#This Row],[X1]] + 1.4*Table1[[#This Row],[X2]] + 3.3*Table1[[#This Row],[x3]] + 0.6*Table1[[#This Row],[x4]] + 1*Table1[[#This Row],[x5]]</f>
        <v>2.2555597623613908</v>
      </c>
      <c r="W2290" s="23">
        <f>IF(Table1[[#This Row],[Zscore]]&lt;1.81,1,0)</f>
        <v>0</v>
      </c>
    </row>
    <row r="2291" spans="1:23" x14ac:dyDescent="0.45">
      <c r="A2291" s="7">
        <v>2285</v>
      </c>
      <c r="B2291" s="5" t="s">
        <v>4579</v>
      </c>
      <c r="C2291" s="6" t="s">
        <v>4580</v>
      </c>
      <c r="D2291" s="6" t="s">
        <v>21</v>
      </c>
      <c r="E2291" s="8">
        <v>711492021618</v>
      </c>
      <c r="F2291" s="8">
        <v>189483374127</v>
      </c>
      <c r="G2291" s="8">
        <v>359283084692</v>
      </c>
      <c r="H2291" s="8">
        <v>60396318584</v>
      </c>
      <c r="I2291" s="8">
        <v>471984285654</v>
      </c>
      <c r="J2291" s="8"/>
      <c r="K2291" s="8">
        <v>449046072356</v>
      </c>
      <c r="L2291" s="8">
        <v>1342762619906</v>
      </c>
      <c r="M2291" s="8">
        <v>484500000000</v>
      </c>
      <c r="N2291" s="8">
        <v>416500000000</v>
      </c>
      <c r="O2291" s="8">
        <v>467500000000</v>
      </c>
      <c r="P2291" s="8">
        <v>424150000000</v>
      </c>
      <c r="Q2291" s="18">
        <f>(Table1[[#This Row],[A. TÀI SẢN NGẮN HẠN]]-Table1[[#This Row],[I. Nợ ngắn hạn]])/Table1[[#This Row],[TỔNG CỘNG TÀI SẢN]]</f>
        <v>-0.23865300720991844</v>
      </c>
      <c r="R2291" s="18">
        <f>Table1[[#This Row],[- LNST chưa phân phối kỳ này]]/Table1[[#This Row],[TỔNG CỘNG TÀI SẢN]]</f>
        <v>8.4886852907574528E-2</v>
      </c>
      <c r="S2291" s="21">
        <f>Table1[[#This Row],[5. Lợi nhuận gộp về bán hàng và cung cấp dịch vụ]]/Table1[[#This Row],[TỔNG CỘNG TÀI SẢN]]</f>
        <v>0.66337256260535882</v>
      </c>
      <c r="T229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0.99803233474159081</v>
      </c>
      <c r="U2291" s="23">
        <f>Table1[[#This Row],[1. Doanh thu bán hàng và cung cấp dịch vụ ]]/Table1[[#This Row],[TỔNG CỘNG TÀI SẢN]]</f>
        <v>1.8872490191139897</v>
      </c>
      <c r="V2291" s="23">
        <f>1.2*Table1[[#This Row],[X1]] + 1.4*Table1[[#This Row],[X2]] + 3.3*Table1[[#This Row],[x3]] + 0.6*Table1[[#This Row],[x4]] + 1*Table1[[#This Row],[x5]]</f>
        <v>4.50765586197533</v>
      </c>
      <c r="W2291" s="23">
        <f>IF(Table1[[#This Row],[Zscore]]&lt;1.81,1,0)</f>
        <v>0</v>
      </c>
    </row>
    <row r="2292" spans="1:23" hidden="1" x14ac:dyDescent="0.45">
      <c r="A2292" s="7">
        <v>2286</v>
      </c>
      <c r="B2292" s="5" t="s">
        <v>4581</v>
      </c>
      <c r="C2292" s="6" t="s">
        <v>4582</v>
      </c>
      <c r="D2292" s="6" t="s">
        <v>13</v>
      </c>
      <c r="E2292" s="6"/>
      <c r="F2292" s="6"/>
      <c r="G2292" s="6"/>
      <c r="H2292" s="6"/>
      <c r="I2292" s="6"/>
      <c r="J2292" s="8"/>
      <c r="K2292" s="6"/>
      <c r="L2292" s="6"/>
      <c r="M2292" s="8"/>
      <c r="N2292" s="8"/>
      <c r="O2292" s="8"/>
      <c r="P2292" s="8"/>
      <c r="Q2292" s="18" t="e">
        <f>(Table1[[#This Row],[A. TÀI SẢN NGẮN HẠN]]-Table1[[#This Row],[I. Nợ ngắn hạn]])/Table1[[#This Row],[TỔNG CỘNG TÀI SẢN]]</f>
        <v>#DIV/0!</v>
      </c>
      <c r="R2292" s="18" t="e">
        <f>Table1[[#This Row],[- LNST chưa phân phối kỳ này]]/Table1[[#This Row],[TỔNG CỘNG TÀI SẢN]]</f>
        <v>#DIV/0!</v>
      </c>
      <c r="S2292" s="21" t="e">
        <f>Table1[[#This Row],[5. Lợi nhuận gộp về bán hàng và cung cấp dịch vụ]]/Table1[[#This Row],[TỔNG CỘNG TÀI SẢN]]</f>
        <v>#DIV/0!</v>
      </c>
      <c r="T229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292" s="23" t="e">
        <f>Table1[[#This Row],[1. Doanh thu bán hàng và cung cấp dịch vụ ]]/Table1[[#This Row],[TỔNG CỘNG TÀI SẢN]]</f>
        <v>#DIV/0!</v>
      </c>
      <c r="V2292" s="23" t="e">
        <f>1.2*Table1[[#This Row],[X1]] + 1.4*Table1[[#This Row],[X2]] + 3.3*Table1[[#This Row],[x3]] + 0.6*Table1[[#This Row],[x4]] + 1*Table1[[#This Row],[x5]]</f>
        <v>#DIV/0!</v>
      </c>
      <c r="W2292" s="23" t="e">
        <f>IF(Table1[[#This Row],[Zscore]]&lt;1.81,1,0)</f>
        <v>#DIV/0!</v>
      </c>
    </row>
    <row r="2293" spans="1:23" hidden="1" x14ac:dyDescent="0.45">
      <c r="A2293" s="7">
        <v>2287</v>
      </c>
      <c r="B2293" s="5" t="s">
        <v>4583</v>
      </c>
      <c r="C2293" s="6" t="s">
        <v>4584</v>
      </c>
      <c r="D2293" s="6" t="s">
        <v>13</v>
      </c>
      <c r="E2293" s="6"/>
      <c r="F2293" s="6"/>
      <c r="G2293" s="6"/>
      <c r="H2293" s="6"/>
      <c r="I2293" s="6"/>
      <c r="J2293" s="8"/>
      <c r="K2293" s="6"/>
      <c r="L2293" s="6"/>
      <c r="M2293" s="8"/>
      <c r="N2293" s="8"/>
      <c r="O2293" s="8"/>
      <c r="P2293" s="8"/>
      <c r="Q2293" s="18" t="e">
        <f>(Table1[[#This Row],[A. TÀI SẢN NGẮN HẠN]]-Table1[[#This Row],[I. Nợ ngắn hạn]])/Table1[[#This Row],[TỔNG CỘNG TÀI SẢN]]</f>
        <v>#DIV/0!</v>
      </c>
      <c r="R2293" s="18" t="e">
        <f>Table1[[#This Row],[- LNST chưa phân phối kỳ này]]/Table1[[#This Row],[TỔNG CỘNG TÀI SẢN]]</f>
        <v>#DIV/0!</v>
      </c>
      <c r="S2293" s="21" t="e">
        <f>Table1[[#This Row],[5. Lợi nhuận gộp về bán hàng và cung cấp dịch vụ]]/Table1[[#This Row],[TỔNG CỘNG TÀI SẢN]]</f>
        <v>#DIV/0!</v>
      </c>
      <c r="T229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293" s="23" t="e">
        <f>Table1[[#This Row],[1. Doanh thu bán hàng và cung cấp dịch vụ ]]/Table1[[#This Row],[TỔNG CỘNG TÀI SẢN]]</f>
        <v>#DIV/0!</v>
      </c>
      <c r="V2293" s="23" t="e">
        <f>1.2*Table1[[#This Row],[X1]] + 1.4*Table1[[#This Row],[X2]] + 3.3*Table1[[#This Row],[x3]] + 0.6*Table1[[#This Row],[x4]] + 1*Table1[[#This Row],[x5]]</f>
        <v>#DIV/0!</v>
      </c>
      <c r="W2293" s="23" t="e">
        <f>IF(Table1[[#This Row],[Zscore]]&lt;1.81,1,0)</f>
        <v>#DIV/0!</v>
      </c>
    </row>
    <row r="2294" spans="1:23" ht="26.25" hidden="1" x14ac:dyDescent="0.45">
      <c r="A2294" s="7">
        <v>2288</v>
      </c>
      <c r="B2294" s="5" t="s">
        <v>4585</v>
      </c>
      <c r="C2294" s="6" t="s">
        <v>4586</v>
      </c>
      <c r="D2294" s="6" t="s">
        <v>13</v>
      </c>
      <c r="E2294" s="6"/>
      <c r="F2294" s="6"/>
      <c r="G2294" s="6"/>
      <c r="H2294" s="6"/>
      <c r="I2294" s="6"/>
      <c r="J2294" s="8"/>
      <c r="K2294" s="6"/>
      <c r="L2294" s="6"/>
      <c r="M2294" s="8"/>
      <c r="N2294" s="8"/>
      <c r="O2294" s="8"/>
      <c r="P2294" s="8"/>
      <c r="Q2294" s="18" t="e">
        <f>(Table1[[#This Row],[A. TÀI SẢN NGẮN HẠN]]-Table1[[#This Row],[I. Nợ ngắn hạn]])/Table1[[#This Row],[TỔNG CỘNG TÀI SẢN]]</f>
        <v>#DIV/0!</v>
      </c>
      <c r="R2294" s="18" t="e">
        <f>Table1[[#This Row],[- LNST chưa phân phối kỳ này]]/Table1[[#This Row],[TỔNG CỘNG TÀI SẢN]]</f>
        <v>#DIV/0!</v>
      </c>
      <c r="S2294" s="21" t="e">
        <f>Table1[[#This Row],[5. Lợi nhuận gộp về bán hàng và cung cấp dịch vụ]]/Table1[[#This Row],[TỔNG CỘNG TÀI SẢN]]</f>
        <v>#DIV/0!</v>
      </c>
      <c r="T229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294" s="23" t="e">
        <f>Table1[[#This Row],[1. Doanh thu bán hàng và cung cấp dịch vụ ]]/Table1[[#This Row],[TỔNG CỘNG TÀI SẢN]]</f>
        <v>#DIV/0!</v>
      </c>
      <c r="V2294" s="23" t="e">
        <f>1.2*Table1[[#This Row],[X1]] + 1.4*Table1[[#This Row],[X2]] + 3.3*Table1[[#This Row],[x3]] + 0.6*Table1[[#This Row],[x4]] + 1*Table1[[#This Row],[x5]]</f>
        <v>#DIV/0!</v>
      </c>
      <c r="W2294" s="23" t="e">
        <f>IF(Table1[[#This Row],[Zscore]]&lt;1.81,1,0)</f>
        <v>#DIV/0!</v>
      </c>
    </row>
    <row r="2295" spans="1:23" ht="26.25" x14ac:dyDescent="0.45">
      <c r="A2295" s="7">
        <v>2289</v>
      </c>
      <c r="B2295" s="5" t="s">
        <v>4587</v>
      </c>
      <c r="C2295" s="6" t="s">
        <v>4588</v>
      </c>
      <c r="D2295" s="6" t="s">
        <v>18</v>
      </c>
      <c r="E2295" s="8">
        <v>1758088132414</v>
      </c>
      <c r="F2295" s="8">
        <v>1670173544770</v>
      </c>
      <c r="G2295" s="8">
        <v>1345170219960</v>
      </c>
      <c r="H2295" s="8">
        <v>89108579306</v>
      </c>
      <c r="I2295" s="8">
        <v>443375537367</v>
      </c>
      <c r="J2295" s="8"/>
      <c r="K2295" s="8">
        <v>1347050925505</v>
      </c>
      <c r="L2295" s="8">
        <v>1800092913522</v>
      </c>
      <c r="M2295" s="8">
        <v>725000000000</v>
      </c>
      <c r="N2295" s="8">
        <v>862500000000</v>
      </c>
      <c r="O2295" s="8">
        <v>693750000000</v>
      </c>
      <c r="P2295" s="8">
        <v>656250000000</v>
      </c>
      <c r="Q2295" s="18">
        <f>(Table1[[#This Row],[A. TÀI SẢN NGẮN HẠN]]-Table1[[#This Row],[I. Nợ ngắn hạn]])/Table1[[#This Row],[TỔNG CỘNG TÀI SẢN]]</f>
        <v>0.18486179322747809</v>
      </c>
      <c r="R2295" s="18">
        <f>Table1[[#This Row],[- LNST chưa phân phối kỳ này]]/Table1[[#This Row],[TỔNG CỘNG TÀI SẢN]]</f>
        <v>5.0684933060577898E-2</v>
      </c>
      <c r="S2295" s="21">
        <f>Table1[[#This Row],[5. Lợi nhuận gộp về bán hàng và cung cấp dịch vụ]]/Table1[[#This Row],[TỔNG CỘNG TÀI SẢN]]</f>
        <v>0.25219187206400673</v>
      </c>
      <c r="T229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0.54517241040808306</v>
      </c>
      <c r="U2295" s="23">
        <f>Table1[[#This Row],[1. Doanh thu bán hàng và cung cấp dịch vụ ]]/Table1[[#This Row],[TỔNG CỘNG TÀI SẢN]]</f>
        <v>1.0238923068380672</v>
      </c>
      <c r="V2295" s="23">
        <f>1.2*Table1[[#This Row],[X1]] + 1.4*Table1[[#This Row],[X2]] + 3.3*Table1[[#This Row],[x3]] + 0.6*Table1[[#This Row],[x4]] + 1*Table1[[#This Row],[x5]]</f>
        <v>2.4760219890519219</v>
      </c>
      <c r="W2295" s="23">
        <f>IF(Table1[[#This Row],[Zscore]]&lt;1.81,1,0)</f>
        <v>0</v>
      </c>
    </row>
    <row r="2296" spans="1:23" ht="26.25" hidden="1" x14ac:dyDescent="0.45">
      <c r="A2296" s="7">
        <v>2290</v>
      </c>
      <c r="B2296" s="5" t="s">
        <v>4589</v>
      </c>
      <c r="C2296" s="6" t="s">
        <v>4590</v>
      </c>
      <c r="D2296" s="6" t="s">
        <v>13</v>
      </c>
      <c r="E2296" s="6"/>
      <c r="F2296" s="6"/>
      <c r="G2296" s="6"/>
      <c r="H2296" s="6"/>
      <c r="I2296" s="6"/>
      <c r="J2296" s="8"/>
      <c r="K2296" s="6"/>
      <c r="L2296" s="6"/>
      <c r="M2296" s="8"/>
      <c r="N2296" s="8"/>
      <c r="O2296" s="8"/>
      <c r="P2296" s="8"/>
      <c r="Q2296" s="18" t="e">
        <f>(Table1[[#This Row],[A. TÀI SẢN NGẮN HẠN]]-Table1[[#This Row],[I. Nợ ngắn hạn]])/Table1[[#This Row],[TỔNG CỘNG TÀI SẢN]]</f>
        <v>#DIV/0!</v>
      </c>
      <c r="R2296" s="18" t="e">
        <f>Table1[[#This Row],[- LNST chưa phân phối kỳ này]]/Table1[[#This Row],[TỔNG CỘNG TÀI SẢN]]</f>
        <v>#DIV/0!</v>
      </c>
      <c r="S2296" s="21" t="e">
        <f>Table1[[#This Row],[5. Lợi nhuận gộp về bán hàng và cung cấp dịch vụ]]/Table1[[#This Row],[TỔNG CỘNG TÀI SẢN]]</f>
        <v>#DIV/0!</v>
      </c>
      <c r="T229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296" s="23" t="e">
        <f>Table1[[#This Row],[1. Doanh thu bán hàng và cung cấp dịch vụ ]]/Table1[[#This Row],[TỔNG CỘNG TÀI SẢN]]</f>
        <v>#DIV/0!</v>
      </c>
      <c r="V2296" s="23" t="e">
        <f>1.2*Table1[[#This Row],[X1]] + 1.4*Table1[[#This Row],[X2]] + 3.3*Table1[[#This Row],[x3]] + 0.6*Table1[[#This Row],[x4]] + 1*Table1[[#This Row],[x5]]</f>
        <v>#DIV/0!</v>
      </c>
      <c r="W2296" s="23" t="e">
        <f>IF(Table1[[#This Row],[Zscore]]&lt;1.81,1,0)</f>
        <v>#DIV/0!</v>
      </c>
    </row>
    <row r="2297" spans="1:23" x14ac:dyDescent="0.45">
      <c r="A2297" s="7">
        <v>2291</v>
      </c>
      <c r="B2297" s="5" t="s">
        <v>4591</v>
      </c>
      <c r="C2297" s="6" t="s">
        <v>4592</v>
      </c>
      <c r="D2297" s="6" t="s">
        <v>21</v>
      </c>
      <c r="E2297" s="8">
        <v>1844457613388</v>
      </c>
      <c r="F2297" s="8">
        <v>760550978332</v>
      </c>
      <c r="G2297" s="8">
        <v>168084242500</v>
      </c>
      <c r="H2297" s="8">
        <v>21449622657</v>
      </c>
      <c r="I2297" s="8">
        <v>22019847077</v>
      </c>
      <c r="J2297" s="8"/>
      <c r="K2297" s="8">
        <v>343413148523</v>
      </c>
      <c r="L2297" s="8">
        <v>54646743542</v>
      </c>
      <c r="M2297" s="8">
        <v>762289406220</v>
      </c>
      <c r="N2297" s="8">
        <v>839605605900</v>
      </c>
      <c r="O2297" s="8">
        <v>790074915480</v>
      </c>
      <c r="P2297" s="8">
        <v>809403965400</v>
      </c>
      <c r="Q2297" s="18">
        <f>(Table1[[#This Row],[A. TÀI SẢN NGẮN HẠN]]-Table1[[#This Row],[I. Nợ ngắn hạn]])/Table1[[#This Row],[TỔNG CỘNG TÀI SẢN]]</f>
        <v>0.32121461156471082</v>
      </c>
      <c r="R2297" s="18">
        <f>Table1[[#This Row],[- LNST chưa phân phối kỳ này]]/Table1[[#This Row],[TỔNG CỘNG TÀI SẢN]]</f>
        <v>1.1629230458487017E-2</v>
      </c>
      <c r="S2297" s="21">
        <f>Table1[[#This Row],[5. Lợi nhuận gộp về bán hàng và cung cấp dịch vụ]]/Table1[[#This Row],[TỔNG CỘNG TÀI SẢN]]</f>
        <v>1.1938386069253577E-2</v>
      </c>
      <c r="T229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2.3305557072937679</v>
      </c>
      <c r="U2297" s="23">
        <f>Table1[[#This Row],[1. Doanh thu bán hàng và cung cấp dịch vụ ]]/Table1[[#This Row],[TỔNG CỘNG TÀI SẢN]]</f>
        <v>2.9627540988389475E-2</v>
      </c>
      <c r="V2297" s="23">
        <f>1.2*Table1[[#This Row],[X1]] + 1.4*Table1[[#This Row],[X2]] + 3.3*Table1[[#This Row],[x3]] + 0.6*Table1[[#This Row],[x4]] + 1*Table1[[#This Row],[x5]]</f>
        <v>1.8690960959127216</v>
      </c>
      <c r="W2297" s="23">
        <f>IF(Table1[[#This Row],[Zscore]]&lt;1.81,1,0)</f>
        <v>0</v>
      </c>
    </row>
    <row r="2298" spans="1:23" hidden="1" x14ac:dyDescent="0.45">
      <c r="A2298" s="7">
        <v>2292</v>
      </c>
      <c r="B2298" s="5" t="s">
        <v>4593</v>
      </c>
      <c r="C2298" s="6" t="s">
        <v>4594</v>
      </c>
      <c r="D2298" s="6" t="s">
        <v>13</v>
      </c>
      <c r="E2298" s="6"/>
      <c r="F2298" s="6"/>
      <c r="G2298" s="6"/>
      <c r="H2298" s="6"/>
      <c r="I2298" s="6"/>
      <c r="J2298" s="8"/>
      <c r="K2298" s="6"/>
      <c r="L2298" s="6"/>
      <c r="M2298" s="8"/>
      <c r="N2298" s="8"/>
      <c r="O2298" s="8"/>
      <c r="P2298" s="8"/>
      <c r="Q2298" s="18" t="e">
        <f>(Table1[[#This Row],[A. TÀI SẢN NGẮN HẠN]]-Table1[[#This Row],[I. Nợ ngắn hạn]])/Table1[[#This Row],[TỔNG CỘNG TÀI SẢN]]</f>
        <v>#DIV/0!</v>
      </c>
      <c r="R2298" s="18" t="e">
        <f>Table1[[#This Row],[- LNST chưa phân phối kỳ này]]/Table1[[#This Row],[TỔNG CỘNG TÀI SẢN]]</f>
        <v>#DIV/0!</v>
      </c>
      <c r="S2298" s="21" t="e">
        <f>Table1[[#This Row],[5. Lợi nhuận gộp về bán hàng và cung cấp dịch vụ]]/Table1[[#This Row],[TỔNG CỘNG TÀI SẢN]]</f>
        <v>#DIV/0!</v>
      </c>
      <c r="T229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298" s="23" t="e">
        <f>Table1[[#This Row],[1. Doanh thu bán hàng và cung cấp dịch vụ ]]/Table1[[#This Row],[TỔNG CỘNG TÀI SẢN]]</f>
        <v>#DIV/0!</v>
      </c>
      <c r="V2298" s="23" t="e">
        <f>1.2*Table1[[#This Row],[X1]] + 1.4*Table1[[#This Row],[X2]] + 3.3*Table1[[#This Row],[x3]] + 0.6*Table1[[#This Row],[x4]] + 1*Table1[[#This Row],[x5]]</f>
        <v>#DIV/0!</v>
      </c>
      <c r="W2298" s="23" t="e">
        <f>IF(Table1[[#This Row],[Zscore]]&lt;1.81,1,0)</f>
        <v>#DIV/0!</v>
      </c>
    </row>
    <row r="2299" spans="1:23" ht="26.25" hidden="1" x14ac:dyDescent="0.45">
      <c r="A2299" s="7">
        <v>2293</v>
      </c>
      <c r="B2299" s="5" t="s">
        <v>4595</v>
      </c>
      <c r="C2299" s="6" t="s">
        <v>4596</v>
      </c>
      <c r="D2299" s="6" t="s">
        <v>13</v>
      </c>
      <c r="E2299" s="6"/>
      <c r="F2299" s="6"/>
      <c r="G2299" s="6"/>
      <c r="H2299" s="6"/>
      <c r="I2299" s="6"/>
      <c r="J2299" s="8"/>
      <c r="K2299" s="6"/>
      <c r="L2299" s="6"/>
      <c r="M2299" s="8"/>
      <c r="N2299" s="8"/>
      <c r="O2299" s="8"/>
      <c r="P2299" s="8"/>
      <c r="Q2299" s="18" t="e">
        <f>(Table1[[#This Row],[A. TÀI SẢN NGẮN HẠN]]-Table1[[#This Row],[I. Nợ ngắn hạn]])/Table1[[#This Row],[TỔNG CỘNG TÀI SẢN]]</f>
        <v>#DIV/0!</v>
      </c>
      <c r="R2299" s="18" t="e">
        <f>Table1[[#This Row],[- LNST chưa phân phối kỳ này]]/Table1[[#This Row],[TỔNG CỘNG TÀI SẢN]]</f>
        <v>#DIV/0!</v>
      </c>
      <c r="S2299" s="21" t="e">
        <f>Table1[[#This Row],[5. Lợi nhuận gộp về bán hàng và cung cấp dịch vụ]]/Table1[[#This Row],[TỔNG CỘNG TÀI SẢN]]</f>
        <v>#DIV/0!</v>
      </c>
      <c r="T229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299" s="23" t="e">
        <f>Table1[[#This Row],[1. Doanh thu bán hàng và cung cấp dịch vụ ]]/Table1[[#This Row],[TỔNG CỘNG TÀI SẢN]]</f>
        <v>#DIV/0!</v>
      </c>
      <c r="V2299" s="23" t="e">
        <f>1.2*Table1[[#This Row],[X1]] + 1.4*Table1[[#This Row],[X2]] + 3.3*Table1[[#This Row],[x3]] + 0.6*Table1[[#This Row],[x4]] + 1*Table1[[#This Row],[x5]]</f>
        <v>#DIV/0!</v>
      </c>
      <c r="W2299" s="23" t="e">
        <f>IF(Table1[[#This Row],[Zscore]]&lt;1.81,1,0)</f>
        <v>#DIV/0!</v>
      </c>
    </row>
    <row r="2300" spans="1:23" x14ac:dyDescent="0.45">
      <c r="A2300" s="7">
        <v>2294</v>
      </c>
      <c r="B2300" s="5" t="s">
        <v>4597</v>
      </c>
      <c r="C2300" s="6" t="s">
        <v>4598</v>
      </c>
      <c r="D2300" s="6" t="s">
        <v>36</v>
      </c>
      <c r="E2300" s="8">
        <v>123457661032</v>
      </c>
      <c r="F2300" s="8">
        <v>98258012294</v>
      </c>
      <c r="G2300" s="8">
        <v>3011776583</v>
      </c>
      <c r="H2300" s="8">
        <v>7262362362</v>
      </c>
      <c r="I2300" s="8">
        <v>10334298700</v>
      </c>
      <c r="J2300" s="8"/>
      <c r="K2300" s="8">
        <v>3373780583</v>
      </c>
      <c r="L2300" s="8">
        <v>23447846738</v>
      </c>
      <c r="M2300" s="8">
        <v>159112026000</v>
      </c>
      <c r="N2300" s="8">
        <v>189907902000</v>
      </c>
      <c r="O2300" s="8">
        <v>154549674000</v>
      </c>
      <c r="P2300" s="8">
        <v>171088200000</v>
      </c>
      <c r="Q2300" s="18">
        <f>(Table1[[#This Row],[A. TÀI SẢN NGẮN HẠN]]-Table1[[#This Row],[I. Nợ ngắn hạn]])/Table1[[#This Row],[TỔNG CỘNG TÀI SẢN]]</f>
        <v>0.77148906689810326</v>
      </c>
      <c r="R2300" s="18">
        <f>Table1[[#This Row],[- LNST chưa phân phối kỳ này]]/Table1[[#This Row],[TỔNG CỘNG TÀI SẢN]]</f>
        <v>5.8824720161494141E-2</v>
      </c>
      <c r="S2300" s="21">
        <f>Table1[[#This Row],[5. Lợi nhuận gộp về bán hàng và cung cấp dịch vụ]]/Table1[[#This Row],[TỔNG CỘNG TÀI SẢN]]</f>
        <v>8.3707228969139222E-2</v>
      </c>
      <c r="T230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49.992714804832346</v>
      </c>
      <c r="U2300" s="23">
        <f>Table1[[#This Row],[1. Doanh thu bán hàng và cung cấp dịch vụ ]]/Table1[[#This Row],[TỔNG CỘNG TÀI SẢN]]</f>
        <v>0.1899262187700313</v>
      </c>
      <c r="V2300" s="23">
        <f>1.2*Table1[[#This Row],[X1]] + 1.4*Table1[[#This Row],[X2]] + 3.3*Table1[[#This Row],[x3]] + 0.6*Table1[[#This Row],[x4]] + 1*Table1[[#This Row],[x5]]</f>
        <v>31.469930445771414</v>
      </c>
      <c r="W2300" s="23">
        <f>IF(Table1[[#This Row],[Zscore]]&lt;1.81,1,0)</f>
        <v>0</v>
      </c>
    </row>
    <row r="2301" spans="1:23" x14ac:dyDescent="0.45">
      <c r="A2301" s="7">
        <v>2295</v>
      </c>
      <c r="B2301" s="5" t="s">
        <v>4599</v>
      </c>
      <c r="C2301" s="6" t="s">
        <v>4600</v>
      </c>
      <c r="D2301" s="6" t="s">
        <v>36</v>
      </c>
      <c r="E2301" s="8">
        <v>1023620465020</v>
      </c>
      <c r="F2301" s="8">
        <v>783259269282</v>
      </c>
      <c r="G2301" s="8">
        <v>496054934302</v>
      </c>
      <c r="H2301" s="8">
        <v>171642849316</v>
      </c>
      <c r="I2301" s="8">
        <v>278455127722</v>
      </c>
      <c r="J2301" s="8"/>
      <c r="K2301" s="8">
        <v>502520515683</v>
      </c>
      <c r="L2301" s="8">
        <v>1027529105514</v>
      </c>
      <c r="M2301" s="8">
        <v>1171367582400</v>
      </c>
      <c r="N2301" s="8">
        <v>870110689800</v>
      </c>
      <c r="O2301" s="8">
        <v>1294226538600</v>
      </c>
      <c r="P2301" s="8">
        <v>1105730605800</v>
      </c>
      <c r="Q2301" s="18">
        <f>(Table1[[#This Row],[A. TÀI SẢN NGẮN HẠN]]-Table1[[#This Row],[I. Nợ ngắn hạn]])/Table1[[#This Row],[TỔNG CỘNG TÀI SẢN]]</f>
        <v>0.28057697632529111</v>
      </c>
      <c r="R2301" s="18">
        <f>Table1[[#This Row],[- LNST chưa phân phối kỳ này]]/Table1[[#This Row],[TỔNG CỘNG TÀI SẢN]]</f>
        <v>0.16768211967376634</v>
      </c>
      <c r="S2301" s="21">
        <f>Table1[[#This Row],[5. Lợi nhuận gộp về bán hàng và cung cấp dịch vụ]]/Table1[[#This Row],[TỔNG CỘNG TÀI SẢN]]</f>
        <v>0.27202966063848616</v>
      </c>
      <c r="T230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2.2095791504966864</v>
      </c>
      <c r="U2301" s="23">
        <f>Table1[[#This Row],[1. Doanh thu bán hàng và cung cấp dịch vụ ]]/Table1[[#This Row],[TỔNG CỘNG TÀI SẢN]]</f>
        <v>1.003818447000201</v>
      </c>
      <c r="V2301" s="23">
        <f>1.2*Table1[[#This Row],[X1]] + 1.4*Table1[[#This Row],[X2]] + 3.3*Table1[[#This Row],[x3]] + 0.6*Table1[[#This Row],[x4]] + 1*Table1[[#This Row],[x5]]</f>
        <v>3.7987111565388387</v>
      </c>
      <c r="W2301" s="23">
        <f>IF(Table1[[#This Row],[Zscore]]&lt;1.81,1,0)</f>
        <v>0</v>
      </c>
    </row>
    <row r="2302" spans="1:23" x14ac:dyDescent="0.45">
      <c r="A2302" s="7">
        <v>2296</v>
      </c>
      <c r="B2302" s="5" t="s">
        <v>4601</v>
      </c>
      <c r="C2302" s="6" t="s">
        <v>4602</v>
      </c>
      <c r="D2302" s="6" t="s">
        <v>18</v>
      </c>
      <c r="E2302" s="8">
        <v>267577969496</v>
      </c>
      <c r="F2302" s="8">
        <v>124494197989</v>
      </c>
      <c r="G2302" s="8">
        <v>82316373031</v>
      </c>
      <c r="H2302" s="8">
        <v>-8578133333</v>
      </c>
      <c r="I2302" s="8">
        <v>37723495848</v>
      </c>
      <c r="J2302" s="8"/>
      <c r="K2302" s="8">
        <v>99883212029</v>
      </c>
      <c r="L2302" s="8">
        <v>429673342437</v>
      </c>
      <c r="M2302" s="8">
        <v>62789977000</v>
      </c>
      <c r="N2302" s="8">
        <v>62789977000</v>
      </c>
      <c r="O2302" s="8">
        <v>62789977000</v>
      </c>
      <c r="P2302" s="8">
        <v>62789977000</v>
      </c>
      <c r="Q2302" s="18">
        <f>(Table1[[#This Row],[A. TÀI SẢN NGẮN HẠN]]-Table1[[#This Row],[I. Nợ ngắn hạn]])/Table1[[#This Row],[TỔNG CỘNG TÀI SẢN]]</f>
        <v>0.15762816736162771</v>
      </c>
      <c r="R2302" s="18">
        <f>Table1[[#This Row],[- LNST chưa phân phối kỳ này]]/Table1[[#This Row],[TỔNG CỘNG TÀI SẢN]]</f>
        <v>-3.2058443933771739E-2</v>
      </c>
      <c r="S2302" s="21">
        <f>Table1[[#This Row],[5. Lợi nhuận gộp về bán hàng và cung cấp dịch vụ]]/Table1[[#This Row],[TỔNG CỘNG TÀI SẢN]]</f>
        <v>0.14098132188929674</v>
      </c>
      <c r="T230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0.62863393882216778</v>
      </c>
      <c r="U2302" s="23">
        <f>Table1[[#This Row],[1. Doanh thu bán hàng và cung cấp dịch vụ ]]/Table1[[#This Row],[TỔNG CỘNG TÀI SẢN]]</f>
        <v>1.6057874392511344</v>
      </c>
      <c r="V2302" s="23">
        <f>1.2*Table1[[#This Row],[X1]] + 1.4*Table1[[#This Row],[X2]] + 3.3*Table1[[#This Row],[x3]] + 0.6*Table1[[#This Row],[x4]] + 1*Table1[[#This Row],[x5]]</f>
        <v>2.5924781441057871</v>
      </c>
      <c r="W2302" s="23">
        <f>IF(Table1[[#This Row],[Zscore]]&lt;1.81,1,0)</f>
        <v>0</v>
      </c>
    </row>
    <row r="2303" spans="1:23" hidden="1" x14ac:dyDescent="0.45">
      <c r="A2303" s="7">
        <v>2297</v>
      </c>
      <c r="B2303" s="5" t="s">
        <v>4603</v>
      </c>
      <c r="C2303" s="6" t="s">
        <v>4604</v>
      </c>
      <c r="D2303" s="6" t="s">
        <v>18</v>
      </c>
      <c r="E2303" s="6"/>
      <c r="F2303" s="6"/>
      <c r="G2303" s="6"/>
      <c r="H2303" s="6"/>
      <c r="I2303" s="6"/>
      <c r="J2303" s="8"/>
      <c r="K2303" s="6"/>
      <c r="L2303" s="6"/>
      <c r="M2303" s="8"/>
      <c r="N2303" s="8"/>
      <c r="O2303" s="8"/>
      <c r="P2303" s="8"/>
      <c r="Q2303" s="18" t="e">
        <f>(Table1[[#This Row],[A. TÀI SẢN NGẮN HẠN]]-Table1[[#This Row],[I. Nợ ngắn hạn]])/Table1[[#This Row],[TỔNG CỘNG TÀI SẢN]]</f>
        <v>#DIV/0!</v>
      </c>
      <c r="R2303" s="18" t="e">
        <f>Table1[[#This Row],[- LNST chưa phân phối kỳ này]]/Table1[[#This Row],[TỔNG CỘNG TÀI SẢN]]</f>
        <v>#DIV/0!</v>
      </c>
      <c r="S2303" s="21" t="e">
        <f>Table1[[#This Row],[5. Lợi nhuận gộp về bán hàng và cung cấp dịch vụ]]/Table1[[#This Row],[TỔNG CỘNG TÀI SẢN]]</f>
        <v>#DIV/0!</v>
      </c>
      <c r="T230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303" s="23" t="e">
        <f>Table1[[#This Row],[1. Doanh thu bán hàng và cung cấp dịch vụ ]]/Table1[[#This Row],[TỔNG CỘNG TÀI SẢN]]</f>
        <v>#DIV/0!</v>
      </c>
      <c r="V2303" s="23" t="e">
        <f>1.2*Table1[[#This Row],[X1]] + 1.4*Table1[[#This Row],[X2]] + 3.3*Table1[[#This Row],[x3]] + 0.6*Table1[[#This Row],[x4]] + 1*Table1[[#This Row],[x5]]</f>
        <v>#DIV/0!</v>
      </c>
      <c r="W2303" s="23" t="e">
        <f>IF(Table1[[#This Row],[Zscore]]&lt;1.81,1,0)</f>
        <v>#DIV/0!</v>
      </c>
    </row>
    <row r="2304" spans="1:23" ht="26.25" x14ac:dyDescent="0.45">
      <c r="A2304" s="7">
        <v>2298</v>
      </c>
      <c r="B2304" s="5" t="s">
        <v>4605</v>
      </c>
      <c r="C2304" s="6" t="s">
        <v>4606</v>
      </c>
      <c r="D2304" s="6" t="s">
        <v>18</v>
      </c>
      <c r="E2304" s="8">
        <v>986903821347</v>
      </c>
      <c r="F2304" s="8">
        <v>782989803258</v>
      </c>
      <c r="G2304" s="8">
        <v>740710631230</v>
      </c>
      <c r="H2304" s="8">
        <v>17643805773</v>
      </c>
      <c r="I2304" s="8">
        <v>73339049040</v>
      </c>
      <c r="J2304" s="8"/>
      <c r="K2304" s="8">
        <v>935823199919</v>
      </c>
      <c r="L2304" s="8">
        <v>1625074664594</v>
      </c>
      <c r="M2304" s="8">
        <v>48741213600</v>
      </c>
      <c r="N2304" s="8">
        <v>40617678000</v>
      </c>
      <c r="O2304" s="8">
        <v>51449058800</v>
      </c>
      <c r="P2304" s="8">
        <v>40617678000</v>
      </c>
      <c r="Q2304" s="18">
        <f>(Table1[[#This Row],[A. TÀI SẢN NGẮN HẠN]]-Table1[[#This Row],[I. Nợ ngắn hạn]])/Table1[[#This Row],[TỔNG CỘNG TÀI SẢN]]</f>
        <v>4.2840215138993214E-2</v>
      </c>
      <c r="R2304" s="18">
        <f>Table1[[#This Row],[- LNST chưa phân phối kỳ này]]/Table1[[#This Row],[TỔNG CỘNG TÀI SẢN]]</f>
        <v>1.7877938448873788E-2</v>
      </c>
      <c r="S2304" s="21">
        <f>Table1[[#This Row],[5. Lợi nhuận gộp về bán hàng và cung cấp dịch vụ]]/Table1[[#This Row],[TỔNG CỘNG TÀI SẢN]]</f>
        <v>7.4312255615649955E-2</v>
      </c>
      <c r="T230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4.8466854747697873E-2</v>
      </c>
      <c r="U2304" s="23">
        <f>Table1[[#This Row],[1. Doanh thu bán hàng và cung cấp dịch vụ ]]/Table1[[#This Row],[TỔNG CỘNG TÀI SẢN]]</f>
        <v>1.6466393476681211</v>
      </c>
      <c r="V2304" s="23">
        <f>1.2*Table1[[#This Row],[X1]] + 1.4*Table1[[#This Row],[X2]] + 3.3*Table1[[#This Row],[x3]] + 0.6*Table1[[#This Row],[x4]] + 1*Table1[[#This Row],[x5]]</f>
        <v>1.9973872760435998</v>
      </c>
      <c r="W2304" s="23">
        <f>IF(Table1[[#This Row],[Zscore]]&lt;1.81,1,0)</f>
        <v>0</v>
      </c>
    </row>
    <row r="2305" spans="1:23" hidden="1" x14ac:dyDescent="0.45">
      <c r="A2305" s="7">
        <v>2299</v>
      </c>
      <c r="B2305" s="5" t="s">
        <v>4607</v>
      </c>
      <c r="C2305" s="6" t="s">
        <v>4608</v>
      </c>
      <c r="D2305" s="6" t="s">
        <v>13</v>
      </c>
      <c r="E2305" s="6"/>
      <c r="F2305" s="6"/>
      <c r="G2305" s="6"/>
      <c r="H2305" s="6"/>
      <c r="I2305" s="6"/>
      <c r="J2305" s="8"/>
      <c r="K2305" s="6"/>
      <c r="L2305" s="6"/>
      <c r="M2305" s="8"/>
      <c r="N2305" s="8"/>
      <c r="O2305" s="8"/>
      <c r="P2305" s="8"/>
      <c r="Q2305" s="18" t="e">
        <f>(Table1[[#This Row],[A. TÀI SẢN NGẮN HẠN]]-Table1[[#This Row],[I. Nợ ngắn hạn]])/Table1[[#This Row],[TỔNG CỘNG TÀI SẢN]]</f>
        <v>#DIV/0!</v>
      </c>
      <c r="R2305" s="18" t="e">
        <f>Table1[[#This Row],[- LNST chưa phân phối kỳ này]]/Table1[[#This Row],[TỔNG CỘNG TÀI SẢN]]</f>
        <v>#DIV/0!</v>
      </c>
      <c r="S2305" s="21" t="e">
        <f>Table1[[#This Row],[5. Lợi nhuận gộp về bán hàng và cung cấp dịch vụ]]/Table1[[#This Row],[TỔNG CỘNG TÀI SẢN]]</f>
        <v>#DIV/0!</v>
      </c>
      <c r="T230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305" s="23" t="e">
        <f>Table1[[#This Row],[1. Doanh thu bán hàng và cung cấp dịch vụ ]]/Table1[[#This Row],[TỔNG CỘNG TÀI SẢN]]</f>
        <v>#DIV/0!</v>
      </c>
      <c r="V2305" s="23" t="e">
        <f>1.2*Table1[[#This Row],[X1]] + 1.4*Table1[[#This Row],[X2]] + 3.3*Table1[[#This Row],[x3]] + 0.6*Table1[[#This Row],[x4]] + 1*Table1[[#This Row],[x5]]</f>
        <v>#DIV/0!</v>
      </c>
      <c r="W2305" s="23" t="e">
        <f>IF(Table1[[#This Row],[Zscore]]&lt;1.81,1,0)</f>
        <v>#DIV/0!</v>
      </c>
    </row>
    <row r="2306" spans="1:23" hidden="1" x14ac:dyDescent="0.45">
      <c r="A2306" s="7">
        <v>2300</v>
      </c>
      <c r="B2306" s="5" t="s">
        <v>4609</v>
      </c>
      <c r="C2306" s="6" t="s">
        <v>4610</v>
      </c>
      <c r="D2306" s="6" t="s">
        <v>13</v>
      </c>
      <c r="E2306" s="6"/>
      <c r="F2306" s="6"/>
      <c r="G2306" s="6"/>
      <c r="H2306" s="6"/>
      <c r="I2306" s="6"/>
      <c r="J2306" s="8"/>
      <c r="K2306" s="6"/>
      <c r="L2306" s="6"/>
      <c r="M2306" s="8"/>
      <c r="N2306" s="8"/>
      <c r="O2306" s="8"/>
      <c r="P2306" s="8"/>
      <c r="Q2306" s="18" t="e">
        <f>(Table1[[#This Row],[A. TÀI SẢN NGẮN HẠN]]-Table1[[#This Row],[I. Nợ ngắn hạn]])/Table1[[#This Row],[TỔNG CỘNG TÀI SẢN]]</f>
        <v>#DIV/0!</v>
      </c>
      <c r="R2306" s="18" t="e">
        <f>Table1[[#This Row],[- LNST chưa phân phối kỳ này]]/Table1[[#This Row],[TỔNG CỘNG TÀI SẢN]]</f>
        <v>#DIV/0!</v>
      </c>
      <c r="S2306" s="21" t="e">
        <f>Table1[[#This Row],[5. Lợi nhuận gộp về bán hàng và cung cấp dịch vụ]]/Table1[[#This Row],[TỔNG CỘNG TÀI SẢN]]</f>
        <v>#DIV/0!</v>
      </c>
      <c r="T230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306" s="23" t="e">
        <f>Table1[[#This Row],[1. Doanh thu bán hàng và cung cấp dịch vụ ]]/Table1[[#This Row],[TỔNG CỘNG TÀI SẢN]]</f>
        <v>#DIV/0!</v>
      </c>
      <c r="V2306" s="23" t="e">
        <f>1.2*Table1[[#This Row],[X1]] + 1.4*Table1[[#This Row],[X2]] + 3.3*Table1[[#This Row],[x3]] + 0.6*Table1[[#This Row],[x4]] + 1*Table1[[#This Row],[x5]]</f>
        <v>#DIV/0!</v>
      </c>
      <c r="W2306" s="23" t="e">
        <f>IF(Table1[[#This Row],[Zscore]]&lt;1.81,1,0)</f>
        <v>#DIV/0!</v>
      </c>
    </row>
    <row r="2307" spans="1:23" hidden="1" x14ac:dyDescent="0.45">
      <c r="A2307" s="7">
        <v>2301</v>
      </c>
      <c r="B2307" s="5" t="s">
        <v>4611</v>
      </c>
      <c r="C2307" s="6" t="s">
        <v>4612</v>
      </c>
      <c r="D2307" s="6" t="s">
        <v>13</v>
      </c>
      <c r="E2307" s="6"/>
      <c r="F2307" s="6"/>
      <c r="G2307" s="6"/>
      <c r="H2307" s="6"/>
      <c r="I2307" s="6"/>
      <c r="J2307" s="8"/>
      <c r="K2307" s="6"/>
      <c r="L2307" s="6"/>
      <c r="M2307" s="8"/>
      <c r="N2307" s="8"/>
      <c r="O2307" s="8"/>
      <c r="P2307" s="8"/>
      <c r="Q2307" s="18" t="e">
        <f>(Table1[[#This Row],[A. TÀI SẢN NGẮN HẠN]]-Table1[[#This Row],[I. Nợ ngắn hạn]])/Table1[[#This Row],[TỔNG CỘNG TÀI SẢN]]</f>
        <v>#DIV/0!</v>
      </c>
      <c r="R2307" s="18" t="e">
        <f>Table1[[#This Row],[- LNST chưa phân phối kỳ này]]/Table1[[#This Row],[TỔNG CỘNG TÀI SẢN]]</f>
        <v>#DIV/0!</v>
      </c>
      <c r="S2307" s="21" t="e">
        <f>Table1[[#This Row],[5. Lợi nhuận gộp về bán hàng và cung cấp dịch vụ]]/Table1[[#This Row],[TỔNG CỘNG TÀI SẢN]]</f>
        <v>#DIV/0!</v>
      </c>
      <c r="T230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307" s="23" t="e">
        <f>Table1[[#This Row],[1. Doanh thu bán hàng và cung cấp dịch vụ ]]/Table1[[#This Row],[TỔNG CỘNG TÀI SẢN]]</f>
        <v>#DIV/0!</v>
      </c>
      <c r="V2307" s="23" t="e">
        <f>1.2*Table1[[#This Row],[X1]] + 1.4*Table1[[#This Row],[X2]] + 3.3*Table1[[#This Row],[x3]] + 0.6*Table1[[#This Row],[x4]] + 1*Table1[[#This Row],[x5]]</f>
        <v>#DIV/0!</v>
      </c>
      <c r="W2307" s="23" t="e">
        <f>IF(Table1[[#This Row],[Zscore]]&lt;1.81,1,0)</f>
        <v>#DIV/0!</v>
      </c>
    </row>
    <row r="2308" spans="1:23" hidden="1" x14ac:dyDescent="0.45">
      <c r="A2308" s="7">
        <v>2302</v>
      </c>
      <c r="B2308" s="5" t="s">
        <v>4613</v>
      </c>
      <c r="C2308" s="6" t="s">
        <v>4614</v>
      </c>
      <c r="D2308" s="6" t="s">
        <v>13</v>
      </c>
      <c r="E2308" s="6"/>
      <c r="F2308" s="6"/>
      <c r="G2308" s="6"/>
      <c r="H2308" s="6"/>
      <c r="I2308" s="6"/>
      <c r="J2308" s="8"/>
      <c r="K2308" s="6"/>
      <c r="L2308" s="6"/>
      <c r="M2308" s="8"/>
      <c r="N2308" s="8"/>
      <c r="O2308" s="8"/>
      <c r="P2308" s="8"/>
      <c r="Q2308" s="18" t="e">
        <f>(Table1[[#This Row],[A. TÀI SẢN NGẮN HẠN]]-Table1[[#This Row],[I. Nợ ngắn hạn]])/Table1[[#This Row],[TỔNG CỘNG TÀI SẢN]]</f>
        <v>#DIV/0!</v>
      </c>
      <c r="R2308" s="18" t="e">
        <f>Table1[[#This Row],[- LNST chưa phân phối kỳ này]]/Table1[[#This Row],[TỔNG CỘNG TÀI SẢN]]</f>
        <v>#DIV/0!</v>
      </c>
      <c r="S2308" s="21" t="e">
        <f>Table1[[#This Row],[5. Lợi nhuận gộp về bán hàng và cung cấp dịch vụ]]/Table1[[#This Row],[TỔNG CỘNG TÀI SẢN]]</f>
        <v>#DIV/0!</v>
      </c>
      <c r="T230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308" s="23" t="e">
        <f>Table1[[#This Row],[1. Doanh thu bán hàng và cung cấp dịch vụ ]]/Table1[[#This Row],[TỔNG CỘNG TÀI SẢN]]</f>
        <v>#DIV/0!</v>
      </c>
      <c r="V2308" s="23" t="e">
        <f>1.2*Table1[[#This Row],[X1]] + 1.4*Table1[[#This Row],[X2]] + 3.3*Table1[[#This Row],[x3]] + 0.6*Table1[[#This Row],[x4]] + 1*Table1[[#This Row],[x5]]</f>
        <v>#DIV/0!</v>
      </c>
      <c r="W2308" s="23" t="e">
        <f>IF(Table1[[#This Row],[Zscore]]&lt;1.81,1,0)</f>
        <v>#DIV/0!</v>
      </c>
    </row>
    <row r="2309" spans="1:23" ht="26.25" hidden="1" x14ac:dyDescent="0.45">
      <c r="A2309" s="7">
        <v>2303</v>
      </c>
      <c r="B2309" s="5" t="s">
        <v>4615</v>
      </c>
      <c r="C2309" s="6" t="s">
        <v>4616</v>
      </c>
      <c r="D2309" s="6" t="s">
        <v>13</v>
      </c>
      <c r="E2309" s="6"/>
      <c r="F2309" s="6"/>
      <c r="G2309" s="6"/>
      <c r="H2309" s="6"/>
      <c r="I2309" s="6"/>
      <c r="J2309" s="8"/>
      <c r="K2309" s="6"/>
      <c r="L2309" s="6"/>
      <c r="M2309" s="8"/>
      <c r="N2309" s="8"/>
      <c r="O2309" s="8"/>
      <c r="P2309" s="8"/>
      <c r="Q2309" s="18" t="e">
        <f>(Table1[[#This Row],[A. TÀI SẢN NGẮN HẠN]]-Table1[[#This Row],[I. Nợ ngắn hạn]])/Table1[[#This Row],[TỔNG CỘNG TÀI SẢN]]</f>
        <v>#DIV/0!</v>
      </c>
      <c r="R2309" s="18" t="e">
        <f>Table1[[#This Row],[- LNST chưa phân phối kỳ này]]/Table1[[#This Row],[TỔNG CỘNG TÀI SẢN]]</f>
        <v>#DIV/0!</v>
      </c>
      <c r="S2309" s="21" t="e">
        <f>Table1[[#This Row],[5. Lợi nhuận gộp về bán hàng và cung cấp dịch vụ]]/Table1[[#This Row],[TỔNG CỘNG TÀI SẢN]]</f>
        <v>#DIV/0!</v>
      </c>
      <c r="T230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309" s="23" t="e">
        <f>Table1[[#This Row],[1. Doanh thu bán hàng và cung cấp dịch vụ ]]/Table1[[#This Row],[TỔNG CỘNG TÀI SẢN]]</f>
        <v>#DIV/0!</v>
      </c>
      <c r="V2309" s="23" t="e">
        <f>1.2*Table1[[#This Row],[X1]] + 1.4*Table1[[#This Row],[X2]] + 3.3*Table1[[#This Row],[x3]] + 0.6*Table1[[#This Row],[x4]] + 1*Table1[[#This Row],[x5]]</f>
        <v>#DIV/0!</v>
      </c>
      <c r="W2309" s="23" t="e">
        <f>IF(Table1[[#This Row],[Zscore]]&lt;1.81,1,0)</f>
        <v>#DIV/0!</v>
      </c>
    </row>
    <row r="2310" spans="1:23" hidden="1" x14ac:dyDescent="0.45">
      <c r="A2310" s="7">
        <v>2304</v>
      </c>
      <c r="B2310" s="5" t="s">
        <v>4617</v>
      </c>
      <c r="C2310" s="6" t="s">
        <v>4618</v>
      </c>
      <c r="D2310" s="6" t="s">
        <v>13</v>
      </c>
      <c r="E2310" s="6"/>
      <c r="F2310" s="6"/>
      <c r="G2310" s="6"/>
      <c r="H2310" s="6"/>
      <c r="I2310" s="6"/>
      <c r="J2310" s="8"/>
      <c r="K2310" s="6"/>
      <c r="L2310" s="6"/>
      <c r="M2310" s="8"/>
      <c r="N2310" s="8"/>
      <c r="O2310" s="8"/>
      <c r="P2310" s="8"/>
      <c r="Q2310" s="18" t="e">
        <f>(Table1[[#This Row],[A. TÀI SẢN NGẮN HẠN]]-Table1[[#This Row],[I. Nợ ngắn hạn]])/Table1[[#This Row],[TỔNG CỘNG TÀI SẢN]]</f>
        <v>#DIV/0!</v>
      </c>
      <c r="R2310" s="18" t="e">
        <f>Table1[[#This Row],[- LNST chưa phân phối kỳ này]]/Table1[[#This Row],[TỔNG CỘNG TÀI SẢN]]</f>
        <v>#DIV/0!</v>
      </c>
      <c r="S2310" s="21" t="e">
        <f>Table1[[#This Row],[5. Lợi nhuận gộp về bán hàng và cung cấp dịch vụ]]/Table1[[#This Row],[TỔNG CỘNG TÀI SẢN]]</f>
        <v>#DIV/0!</v>
      </c>
      <c r="T231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310" s="23" t="e">
        <f>Table1[[#This Row],[1. Doanh thu bán hàng và cung cấp dịch vụ ]]/Table1[[#This Row],[TỔNG CỘNG TÀI SẢN]]</f>
        <v>#DIV/0!</v>
      </c>
      <c r="V2310" s="23" t="e">
        <f>1.2*Table1[[#This Row],[X1]] + 1.4*Table1[[#This Row],[X2]] + 3.3*Table1[[#This Row],[x3]] + 0.6*Table1[[#This Row],[x4]] + 1*Table1[[#This Row],[x5]]</f>
        <v>#DIV/0!</v>
      </c>
      <c r="W2310" s="23" t="e">
        <f>IF(Table1[[#This Row],[Zscore]]&lt;1.81,1,0)</f>
        <v>#DIV/0!</v>
      </c>
    </row>
    <row r="2311" spans="1:23" hidden="1" x14ac:dyDescent="0.45">
      <c r="A2311" s="7">
        <v>2305</v>
      </c>
      <c r="B2311" s="5" t="s">
        <v>4619</v>
      </c>
      <c r="C2311" s="6" t="s">
        <v>4620</v>
      </c>
      <c r="D2311" s="6" t="s">
        <v>13</v>
      </c>
      <c r="E2311" s="6"/>
      <c r="F2311" s="6"/>
      <c r="G2311" s="6"/>
      <c r="H2311" s="6"/>
      <c r="I2311" s="6"/>
      <c r="J2311" s="8"/>
      <c r="K2311" s="6"/>
      <c r="L2311" s="6"/>
      <c r="M2311" s="8"/>
      <c r="N2311" s="8"/>
      <c r="O2311" s="8"/>
      <c r="P2311" s="8"/>
      <c r="Q2311" s="18" t="e">
        <f>(Table1[[#This Row],[A. TÀI SẢN NGẮN HẠN]]-Table1[[#This Row],[I. Nợ ngắn hạn]])/Table1[[#This Row],[TỔNG CỘNG TÀI SẢN]]</f>
        <v>#DIV/0!</v>
      </c>
      <c r="R2311" s="18" t="e">
        <f>Table1[[#This Row],[- LNST chưa phân phối kỳ này]]/Table1[[#This Row],[TỔNG CỘNG TÀI SẢN]]</f>
        <v>#DIV/0!</v>
      </c>
      <c r="S2311" s="21" t="e">
        <f>Table1[[#This Row],[5. Lợi nhuận gộp về bán hàng và cung cấp dịch vụ]]/Table1[[#This Row],[TỔNG CỘNG TÀI SẢN]]</f>
        <v>#DIV/0!</v>
      </c>
      <c r="T231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311" s="23" t="e">
        <f>Table1[[#This Row],[1. Doanh thu bán hàng và cung cấp dịch vụ ]]/Table1[[#This Row],[TỔNG CỘNG TÀI SẢN]]</f>
        <v>#DIV/0!</v>
      </c>
      <c r="V2311" s="23" t="e">
        <f>1.2*Table1[[#This Row],[X1]] + 1.4*Table1[[#This Row],[X2]] + 3.3*Table1[[#This Row],[x3]] + 0.6*Table1[[#This Row],[x4]] + 1*Table1[[#This Row],[x5]]</f>
        <v>#DIV/0!</v>
      </c>
      <c r="W2311" s="23" t="e">
        <f>IF(Table1[[#This Row],[Zscore]]&lt;1.81,1,0)</f>
        <v>#DIV/0!</v>
      </c>
    </row>
    <row r="2312" spans="1:23" hidden="1" x14ac:dyDescent="0.45">
      <c r="A2312" s="7">
        <v>2306</v>
      </c>
      <c r="B2312" s="5" t="s">
        <v>4621</v>
      </c>
      <c r="C2312" s="6" t="s">
        <v>4622</v>
      </c>
      <c r="D2312" s="6" t="s">
        <v>13</v>
      </c>
      <c r="E2312" s="6"/>
      <c r="F2312" s="6"/>
      <c r="G2312" s="6"/>
      <c r="H2312" s="6"/>
      <c r="I2312" s="6"/>
      <c r="J2312" s="8"/>
      <c r="K2312" s="6"/>
      <c r="L2312" s="6"/>
      <c r="M2312" s="8"/>
      <c r="N2312" s="8"/>
      <c r="O2312" s="8"/>
      <c r="P2312" s="8"/>
      <c r="Q2312" s="18" t="e">
        <f>(Table1[[#This Row],[A. TÀI SẢN NGẮN HẠN]]-Table1[[#This Row],[I. Nợ ngắn hạn]])/Table1[[#This Row],[TỔNG CỘNG TÀI SẢN]]</f>
        <v>#DIV/0!</v>
      </c>
      <c r="R2312" s="18" t="e">
        <f>Table1[[#This Row],[- LNST chưa phân phối kỳ này]]/Table1[[#This Row],[TỔNG CỘNG TÀI SẢN]]</f>
        <v>#DIV/0!</v>
      </c>
      <c r="S2312" s="21" t="e">
        <f>Table1[[#This Row],[5. Lợi nhuận gộp về bán hàng và cung cấp dịch vụ]]/Table1[[#This Row],[TỔNG CỘNG TÀI SẢN]]</f>
        <v>#DIV/0!</v>
      </c>
      <c r="T231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312" s="23" t="e">
        <f>Table1[[#This Row],[1. Doanh thu bán hàng và cung cấp dịch vụ ]]/Table1[[#This Row],[TỔNG CỘNG TÀI SẢN]]</f>
        <v>#DIV/0!</v>
      </c>
      <c r="V2312" s="23" t="e">
        <f>1.2*Table1[[#This Row],[X1]] + 1.4*Table1[[#This Row],[X2]] + 3.3*Table1[[#This Row],[x3]] + 0.6*Table1[[#This Row],[x4]] + 1*Table1[[#This Row],[x5]]</f>
        <v>#DIV/0!</v>
      </c>
      <c r="W2312" s="23" t="e">
        <f>IF(Table1[[#This Row],[Zscore]]&lt;1.81,1,0)</f>
        <v>#DIV/0!</v>
      </c>
    </row>
    <row r="2313" spans="1:23" hidden="1" x14ac:dyDescent="0.45">
      <c r="A2313" s="7">
        <v>2307</v>
      </c>
      <c r="B2313" s="5" t="s">
        <v>4623</v>
      </c>
      <c r="C2313" s="6" t="s">
        <v>4624</v>
      </c>
      <c r="D2313" s="6" t="s">
        <v>13</v>
      </c>
      <c r="E2313" s="6"/>
      <c r="F2313" s="6"/>
      <c r="G2313" s="6"/>
      <c r="H2313" s="6"/>
      <c r="I2313" s="6"/>
      <c r="J2313" s="8"/>
      <c r="K2313" s="6"/>
      <c r="L2313" s="6"/>
      <c r="M2313" s="8"/>
      <c r="N2313" s="8"/>
      <c r="O2313" s="8"/>
      <c r="P2313" s="8"/>
      <c r="Q2313" s="18" t="e">
        <f>(Table1[[#This Row],[A. TÀI SẢN NGẮN HẠN]]-Table1[[#This Row],[I. Nợ ngắn hạn]])/Table1[[#This Row],[TỔNG CỘNG TÀI SẢN]]</f>
        <v>#DIV/0!</v>
      </c>
      <c r="R2313" s="18" t="e">
        <f>Table1[[#This Row],[- LNST chưa phân phối kỳ này]]/Table1[[#This Row],[TỔNG CỘNG TÀI SẢN]]</f>
        <v>#DIV/0!</v>
      </c>
      <c r="S2313" s="21" t="e">
        <f>Table1[[#This Row],[5. Lợi nhuận gộp về bán hàng và cung cấp dịch vụ]]/Table1[[#This Row],[TỔNG CỘNG TÀI SẢN]]</f>
        <v>#DIV/0!</v>
      </c>
      <c r="T231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313" s="23" t="e">
        <f>Table1[[#This Row],[1. Doanh thu bán hàng và cung cấp dịch vụ ]]/Table1[[#This Row],[TỔNG CỘNG TÀI SẢN]]</f>
        <v>#DIV/0!</v>
      </c>
      <c r="V2313" s="23" t="e">
        <f>1.2*Table1[[#This Row],[X1]] + 1.4*Table1[[#This Row],[X2]] + 3.3*Table1[[#This Row],[x3]] + 0.6*Table1[[#This Row],[x4]] + 1*Table1[[#This Row],[x5]]</f>
        <v>#DIV/0!</v>
      </c>
      <c r="W2313" s="23" t="e">
        <f>IF(Table1[[#This Row],[Zscore]]&lt;1.81,1,0)</f>
        <v>#DIV/0!</v>
      </c>
    </row>
    <row r="2314" spans="1:23" hidden="1" x14ac:dyDescent="0.45">
      <c r="A2314" s="7">
        <v>2308</v>
      </c>
      <c r="B2314" s="5" t="s">
        <v>4625</v>
      </c>
      <c r="C2314" s="6" t="s">
        <v>4626</v>
      </c>
      <c r="D2314" s="6" t="s">
        <v>13</v>
      </c>
      <c r="E2314" s="6"/>
      <c r="F2314" s="6"/>
      <c r="G2314" s="6"/>
      <c r="H2314" s="6"/>
      <c r="I2314" s="6"/>
      <c r="J2314" s="8"/>
      <c r="K2314" s="6"/>
      <c r="L2314" s="6"/>
      <c r="M2314" s="8"/>
      <c r="N2314" s="8"/>
      <c r="O2314" s="8"/>
      <c r="P2314" s="8"/>
      <c r="Q2314" s="18" t="e">
        <f>(Table1[[#This Row],[A. TÀI SẢN NGẮN HẠN]]-Table1[[#This Row],[I. Nợ ngắn hạn]])/Table1[[#This Row],[TỔNG CỘNG TÀI SẢN]]</f>
        <v>#DIV/0!</v>
      </c>
      <c r="R2314" s="18" t="e">
        <f>Table1[[#This Row],[- LNST chưa phân phối kỳ này]]/Table1[[#This Row],[TỔNG CỘNG TÀI SẢN]]</f>
        <v>#DIV/0!</v>
      </c>
      <c r="S2314" s="21" t="e">
        <f>Table1[[#This Row],[5. Lợi nhuận gộp về bán hàng và cung cấp dịch vụ]]/Table1[[#This Row],[TỔNG CỘNG TÀI SẢN]]</f>
        <v>#DIV/0!</v>
      </c>
      <c r="T231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314" s="23" t="e">
        <f>Table1[[#This Row],[1. Doanh thu bán hàng và cung cấp dịch vụ ]]/Table1[[#This Row],[TỔNG CỘNG TÀI SẢN]]</f>
        <v>#DIV/0!</v>
      </c>
      <c r="V2314" s="23" t="e">
        <f>1.2*Table1[[#This Row],[X1]] + 1.4*Table1[[#This Row],[X2]] + 3.3*Table1[[#This Row],[x3]] + 0.6*Table1[[#This Row],[x4]] + 1*Table1[[#This Row],[x5]]</f>
        <v>#DIV/0!</v>
      </c>
      <c r="W2314" s="23" t="e">
        <f>IF(Table1[[#This Row],[Zscore]]&lt;1.81,1,0)</f>
        <v>#DIV/0!</v>
      </c>
    </row>
    <row r="2315" spans="1:23" ht="26.25" hidden="1" x14ac:dyDescent="0.45">
      <c r="A2315" s="7">
        <v>2309</v>
      </c>
      <c r="B2315" s="5" t="s">
        <v>4627</v>
      </c>
      <c r="C2315" s="6" t="s">
        <v>4628</v>
      </c>
      <c r="D2315" s="6" t="s">
        <v>13</v>
      </c>
      <c r="E2315" s="6"/>
      <c r="F2315" s="6"/>
      <c r="G2315" s="6"/>
      <c r="H2315" s="6"/>
      <c r="I2315" s="6"/>
      <c r="J2315" s="8"/>
      <c r="K2315" s="6"/>
      <c r="L2315" s="6"/>
      <c r="M2315" s="8"/>
      <c r="N2315" s="8"/>
      <c r="O2315" s="8"/>
      <c r="P2315" s="8"/>
      <c r="Q2315" s="18" t="e">
        <f>(Table1[[#This Row],[A. TÀI SẢN NGẮN HẠN]]-Table1[[#This Row],[I. Nợ ngắn hạn]])/Table1[[#This Row],[TỔNG CỘNG TÀI SẢN]]</f>
        <v>#DIV/0!</v>
      </c>
      <c r="R2315" s="18" t="e">
        <f>Table1[[#This Row],[- LNST chưa phân phối kỳ này]]/Table1[[#This Row],[TỔNG CỘNG TÀI SẢN]]</f>
        <v>#DIV/0!</v>
      </c>
      <c r="S2315" s="21" t="e">
        <f>Table1[[#This Row],[5. Lợi nhuận gộp về bán hàng và cung cấp dịch vụ]]/Table1[[#This Row],[TỔNG CỘNG TÀI SẢN]]</f>
        <v>#DIV/0!</v>
      </c>
      <c r="T231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315" s="23" t="e">
        <f>Table1[[#This Row],[1. Doanh thu bán hàng và cung cấp dịch vụ ]]/Table1[[#This Row],[TỔNG CỘNG TÀI SẢN]]</f>
        <v>#DIV/0!</v>
      </c>
      <c r="V2315" s="23" t="e">
        <f>1.2*Table1[[#This Row],[X1]] + 1.4*Table1[[#This Row],[X2]] + 3.3*Table1[[#This Row],[x3]] + 0.6*Table1[[#This Row],[x4]] + 1*Table1[[#This Row],[x5]]</f>
        <v>#DIV/0!</v>
      </c>
      <c r="W2315" s="23" t="e">
        <f>IF(Table1[[#This Row],[Zscore]]&lt;1.81,1,0)</f>
        <v>#DIV/0!</v>
      </c>
    </row>
    <row r="2316" spans="1:23" hidden="1" x14ac:dyDescent="0.45">
      <c r="A2316" s="7">
        <v>2310</v>
      </c>
      <c r="B2316" s="5" t="s">
        <v>4629</v>
      </c>
      <c r="C2316" s="6" t="s">
        <v>4630</v>
      </c>
      <c r="D2316" s="6" t="s">
        <v>13</v>
      </c>
      <c r="E2316" s="6"/>
      <c r="F2316" s="6"/>
      <c r="G2316" s="6"/>
      <c r="H2316" s="6"/>
      <c r="I2316" s="6"/>
      <c r="J2316" s="8"/>
      <c r="K2316" s="6"/>
      <c r="L2316" s="6"/>
      <c r="M2316" s="8"/>
      <c r="N2316" s="8"/>
      <c r="O2316" s="8"/>
      <c r="P2316" s="8"/>
      <c r="Q2316" s="18" t="e">
        <f>(Table1[[#This Row],[A. TÀI SẢN NGẮN HẠN]]-Table1[[#This Row],[I. Nợ ngắn hạn]])/Table1[[#This Row],[TỔNG CỘNG TÀI SẢN]]</f>
        <v>#DIV/0!</v>
      </c>
      <c r="R2316" s="18" t="e">
        <f>Table1[[#This Row],[- LNST chưa phân phối kỳ này]]/Table1[[#This Row],[TỔNG CỘNG TÀI SẢN]]</f>
        <v>#DIV/0!</v>
      </c>
      <c r="S2316" s="21" t="e">
        <f>Table1[[#This Row],[5. Lợi nhuận gộp về bán hàng và cung cấp dịch vụ]]/Table1[[#This Row],[TỔNG CỘNG TÀI SẢN]]</f>
        <v>#DIV/0!</v>
      </c>
      <c r="T231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316" s="23" t="e">
        <f>Table1[[#This Row],[1. Doanh thu bán hàng và cung cấp dịch vụ ]]/Table1[[#This Row],[TỔNG CỘNG TÀI SẢN]]</f>
        <v>#DIV/0!</v>
      </c>
      <c r="V2316" s="23" t="e">
        <f>1.2*Table1[[#This Row],[X1]] + 1.4*Table1[[#This Row],[X2]] + 3.3*Table1[[#This Row],[x3]] + 0.6*Table1[[#This Row],[x4]] + 1*Table1[[#This Row],[x5]]</f>
        <v>#DIV/0!</v>
      </c>
      <c r="W2316" s="23" t="e">
        <f>IF(Table1[[#This Row],[Zscore]]&lt;1.81,1,0)</f>
        <v>#DIV/0!</v>
      </c>
    </row>
    <row r="2317" spans="1:23" x14ac:dyDescent="0.45">
      <c r="A2317" s="7">
        <v>2311</v>
      </c>
      <c r="B2317" s="5" t="s">
        <v>4631</v>
      </c>
      <c r="C2317" s="6" t="s">
        <v>4632</v>
      </c>
      <c r="D2317" s="6" t="s">
        <v>36</v>
      </c>
      <c r="E2317" s="8">
        <v>298205488229</v>
      </c>
      <c r="F2317" s="8">
        <v>234115120467</v>
      </c>
      <c r="G2317" s="8">
        <v>136317622685</v>
      </c>
      <c r="H2317" s="8">
        <v>4263741939</v>
      </c>
      <c r="I2317" s="8">
        <v>120471860188</v>
      </c>
      <c r="J2317" s="8"/>
      <c r="K2317" s="8">
        <v>150175442039</v>
      </c>
      <c r="L2317" s="8">
        <v>1719496914729</v>
      </c>
      <c r="M2317" s="8">
        <v>122242899000</v>
      </c>
      <c r="N2317" s="8">
        <v>105106044000</v>
      </c>
      <c r="O2317" s="8">
        <v>123385356000</v>
      </c>
      <c r="P2317" s="8">
        <v>109675872000</v>
      </c>
      <c r="Q2317" s="18">
        <f>(Table1[[#This Row],[A. TÀI SẢN NGẮN HẠN]]-Table1[[#This Row],[I. Nợ ngắn hạn]])/Table1[[#This Row],[TỔNG CỘNG TÀI SẢN]]</f>
        <v>0.3279533799421514</v>
      </c>
      <c r="R2317" s="18">
        <f>Table1[[#This Row],[- LNST chưa phân phối kỳ này]]/Table1[[#This Row],[TỔNG CỘNG TÀI SẢN]]</f>
        <v>1.4297999558364125E-2</v>
      </c>
      <c r="S2317" s="21">
        <f>Table1[[#This Row],[5. Lợi nhuận gộp về bán hàng và cung cấp dịch vụ]]/Table1[[#This Row],[TỔNG CỘNG TÀI SẢN]]</f>
        <v>0.40398941315086201</v>
      </c>
      <c r="T231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0.76645383018155722</v>
      </c>
      <c r="U2317" s="23">
        <f>Table1[[#This Row],[1. Doanh thu bán hàng và cung cấp dịch vụ ]]/Table1[[#This Row],[TỔNG CỘNG TÀI SẢN]]</f>
        <v>5.7661477826610357</v>
      </c>
      <c r="V2317" s="23">
        <f>1.2*Table1[[#This Row],[X1]] + 1.4*Table1[[#This Row],[X2]] + 3.3*Table1[[#This Row],[x3]] + 0.6*Table1[[#This Row],[x4]] + 1*Table1[[#This Row],[x5]]</f>
        <v>7.9727463994801058</v>
      </c>
      <c r="W2317" s="23">
        <f>IF(Table1[[#This Row],[Zscore]]&lt;1.81,1,0)</f>
        <v>0</v>
      </c>
    </row>
    <row r="2318" spans="1:23" x14ac:dyDescent="0.45">
      <c r="A2318" s="7">
        <v>2312</v>
      </c>
      <c r="B2318" s="5" t="s">
        <v>4633</v>
      </c>
      <c r="C2318" s="6" t="s">
        <v>4634</v>
      </c>
      <c r="D2318" s="6" t="s">
        <v>36</v>
      </c>
      <c r="E2318" s="8">
        <v>4542680776777</v>
      </c>
      <c r="F2318" s="8">
        <v>1748991027338</v>
      </c>
      <c r="G2318" s="8">
        <v>117556185055</v>
      </c>
      <c r="H2318" s="8">
        <v>101497185909</v>
      </c>
      <c r="I2318" s="8">
        <v>22243336337</v>
      </c>
      <c r="J2318" s="8"/>
      <c r="K2318" s="8">
        <v>127610386984</v>
      </c>
      <c r="L2318" s="8">
        <v>1031975039862</v>
      </c>
      <c r="M2318" s="8">
        <v>11549999160000</v>
      </c>
      <c r="N2318" s="8">
        <v>11665499151600</v>
      </c>
      <c r="O2318" s="8">
        <v>10779999216000</v>
      </c>
      <c r="P2318" s="8">
        <v>10471999238400</v>
      </c>
      <c r="Q2318" s="18">
        <f>(Table1[[#This Row],[A. TÀI SẢN NGẮN HẠN]]-Table1[[#This Row],[I. Nợ ngắn hạn]])/Table1[[#This Row],[TỔNG CỘNG TÀI SẢN]]</f>
        <v>0.35913481982339324</v>
      </c>
      <c r="R2318" s="18">
        <f>Table1[[#This Row],[- LNST chưa phân phối kỳ này]]/Table1[[#This Row],[TỔNG CỘNG TÀI SẢN]]</f>
        <v>2.234301525827477E-2</v>
      </c>
      <c r="S2318" s="21">
        <f>Table1[[#This Row],[5. Lợi nhuận gộp về bán hàng và cung cấp dịch vụ]]/Table1[[#This Row],[TỔNG CỘNG TÀI SẢN]]</f>
        <v>4.8965219943941322E-3</v>
      </c>
      <c r="T231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87.115747034713181</v>
      </c>
      <c r="U2318" s="23">
        <f>Table1[[#This Row],[1. Doanh thu bán hàng và cung cấp dịch vụ ]]/Table1[[#This Row],[TỔNG CỘNG TÀI SẢN]]</f>
        <v>0.22717313643028622</v>
      </c>
      <c r="V2318" s="23">
        <f>1.2*Table1[[#This Row],[X1]] + 1.4*Table1[[#This Row],[X2]] + 3.3*Table1[[#This Row],[x3]] + 0.6*Table1[[#This Row],[x4]] + 1*Table1[[#This Row],[x5]]</f>
        <v>52.975021884989353</v>
      </c>
      <c r="W2318" s="23">
        <f>IF(Table1[[#This Row],[Zscore]]&lt;1.81,1,0)</f>
        <v>0</v>
      </c>
    </row>
    <row r="2319" spans="1:23" hidden="1" x14ac:dyDescent="0.45">
      <c r="A2319" s="7">
        <v>2313</v>
      </c>
      <c r="B2319" s="5" t="s">
        <v>4635</v>
      </c>
      <c r="C2319" s="6" t="s">
        <v>4636</v>
      </c>
      <c r="D2319" s="6" t="s">
        <v>13</v>
      </c>
      <c r="E2319" s="6"/>
      <c r="F2319" s="6"/>
      <c r="G2319" s="6"/>
      <c r="H2319" s="6"/>
      <c r="I2319" s="6"/>
      <c r="J2319" s="8"/>
      <c r="K2319" s="6"/>
      <c r="L2319" s="6"/>
      <c r="M2319" s="8"/>
      <c r="N2319" s="8"/>
      <c r="O2319" s="8"/>
      <c r="P2319" s="8"/>
      <c r="Q2319" s="18" t="e">
        <f>(Table1[[#This Row],[A. TÀI SẢN NGẮN HẠN]]-Table1[[#This Row],[I. Nợ ngắn hạn]])/Table1[[#This Row],[TỔNG CỘNG TÀI SẢN]]</f>
        <v>#DIV/0!</v>
      </c>
      <c r="R2319" s="18" t="e">
        <f>Table1[[#This Row],[- LNST chưa phân phối kỳ này]]/Table1[[#This Row],[TỔNG CỘNG TÀI SẢN]]</f>
        <v>#DIV/0!</v>
      </c>
      <c r="S2319" s="21" t="e">
        <f>Table1[[#This Row],[5. Lợi nhuận gộp về bán hàng và cung cấp dịch vụ]]/Table1[[#This Row],[TỔNG CỘNG TÀI SẢN]]</f>
        <v>#DIV/0!</v>
      </c>
      <c r="T231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319" s="23" t="e">
        <f>Table1[[#This Row],[1. Doanh thu bán hàng và cung cấp dịch vụ ]]/Table1[[#This Row],[TỔNG CỘNG TÀI SẢN]]</f>
        <v>#DIV/0!</v>
      </c>
      <c r="V2319" s="23" t="e">
        <f>1.2*Table1[[#This Row],[X1]] + 1.4*Table1[[#This Row],[X2]] + 3.3*Table1[[#This Row],[x3]] + 0.6*Table1[[#This Row],[x4]] + 1*Table1[[#This Row],[x5]]</f>
        <v>#DIV/0!</v>
      </c>
      <c r="W2319" s="23" t="e">
        <f>IF(Table1[[#This Row],[Zscore]]&lt;1.81,1,0)</f>
        <v>#DIV/0!</v>
      </c>
    </row>
    <row r="2320" spans="1:23" hidden="1" x14ac:dyDescent="0.45">
      <c r="A2320" s="7">
        <v>2314</v>
      </c>
      <c r="B2320" s="5" t="s">
        <v>4637</v>
      </c>
      <c r="C2320" s="6" t="s">
        <v>4638</v>
      </c>
      <c r="D2320" s="6" t="s">
        <v>13</v>
      </c>
      <c r="E2320" s="6"/>
      <c r="F2320" s="6"/>
      <c r="G2320" s="6"/>
      <c r="H2320" s="6"/>
      <c r="I2320" s="6"/>
      <c r="J2320" s="8"/>
      <c r="K2320" s="6"/>
      <c r="L2320" s="6"/>
      <c r="M2320" s="8"/>
      <c r="N2320" s="8"/>
      <c r="O2320" s="8"/>
      <c r="P2320" s="8"/>
      <c r="Q2320" s="18" t="e">
        <f>(Table1[[#This Row],[A. TÀI SẢN NGẮN HẠN]]-Table1[[#This Row],[I. Nợ ngắn hạn]])/Table1[[#This Row],[TỔNG CỘNG TÀI SẢN]]</f>
        <v>#DIV/0!</v>
      </c>
      <c r="R2320" s="18" t="e">
        <f>Table1[[#This Row],[- LNST chưa phân phối kỳ này]]/Table1[[#This Row],[TỔNG CỘNG TÀI SẢN]]</f>
        <v>#DIV/0!</v>
      </c>
      <c r="S2320" s="21" t="e">
        <f>Table1[[#This Row],[5. Lợi nhuận gộp về bán hàng và cung cấp dịch vụ]]/Table1[[#This Row],[TỔNG CỘNG TÀI SẢN]]</f>
        <v>#DIV/0!</v>
      </c>
      <c r="T232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320" s="23" t="e">
        <f>Table1[[#This Row],[1. Doanh thu bán hàng và cung cấp dịch vụ ]]/Table1[[#This Row],[TỔNG CỘNG TÀI SẢN]]</f>
        <v>#DIV/0!</v>
      </c>
      <c r="V2320" s="23" t="e">
        <f>1.2*Table1[[#This Row],[X1]] + 1.4*Table1[[#This Row],[X2]] + 3.3*Table1[[#This Row],[x3]] + 0.6*Table1[[#This Row],[x4]] + 1*Table1[[#This Row],[x5]]</f>
        <v>#DIV/0!</v>
      </c>
      <c r="W2320" s="23" t="e">
        <f>IF(Table1[[#This Row],[Zscore]]&lt;1.81,1,0)</f>
        <v>#DIV/0!</v>
      </c>
    </row>
    <row r="2321" spans="1:23" hidden="1" x14ac:dyDescent="0.45">
      <c r="A2321" s="7">
        <v>2315</v>
      </c>
      <c r="B2321" s="5" t="s">
        <v>4639</v>
      </c>
      <c r="C2321" s="6" t="s">
        <v>4640</v>
      </c>
      <c r="D2321" s="6" t="s">
        <v>13</v>
      </c>
      <c r="E2321" s="6"/>
      <c r="F2321" s="6"/>
      <c r="G2321" s="6"/>
      <c r="H2321" s="6"/>
      <c r="I2321" s="6"/>
      <c r="J2321" s="8"/>
      <c r="K2321" s="6"/>
      <c r="L2321" s="6"/>
      <c r="M2321" s="8"/>
      <c r="N2321" s="8"/>
      <c r="O2321" s="8"/>
      <c r="P2321" s="8"/>
      <c r="Q2321" s="18" t="e">
        <f>(Table1[[#This Row],[A. TÀI SẢN NGẮN HẠN]]-Table1[[#This Row],[I. Nợ ngắn hạn]])/Table1[[#This Row],[TỔNG CỘNG TÀI SẢN]]</f>
        <v>#DIV/0!</v>
      </c>
      <c r="R2321" s="18" t="e">
        <f>Table1[[#This Row],[- LNST chưa phân phối kỳ này]]/Table1[[#This Row],[TỔNG CỘNG TÀI SẢN]]</f>
        <v>#DIV/0!</v>
      </c>
      <c r="S2321" s="21" t="e">
        <f>Table1[[#This Row],[5. Lợi nhuận gộp về bán hàng và cung cấp dịch vụ]]/Table1[[#This Row],[TỔNG CỘNG TÀI SẢN]]</f>
        <v>#DIV/0!</v>
      </c>
      <c r="T232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321" s="23" t="e">
        <f>Table1[[#This Row],[1. Doanh thu bán hàng và cung cấp dịch vụ ]]/Table1[[#This Row],[TỔNG CỘNG TÀI SẢN]]</f>
        <v>#DIV/0!</v>
      </c>
      <c r="V2321" s="23" t="e">
        <f>1.2*Table1[[#This Row],[X1]] + 1.4*Table1[[#This Row],[X2]] + 3.3*Table1[[#This Row],[x3]] + 0.6*Table1[[#This Row],[x4]] + 1*Table1[[#This Row],[x5]]</f>
        <v>#DIV/0!</v>
      </c>
      <c r="W2321" s="23" t="e">
        <f>IF(Table1[[#This Row],[Zscore]]&lt;1.81,1,0)</f>
        <v>#DIV/0!</v>
      </c>
    </row>
    <row r="2322" spans="1:23" hidden="1" x14ac:dyDescent="0.45">
      <c r="A2322" s="7">
        <v>2316</v>
      </c>
      <c r="B2322" s="5" t="s">
        <v>4641</v>
      </c>
      <c r="C2322" s="6" t="s">
        <v>4642</v>
      </c>
      <c r="D2322" s="6" t="s">
        <v>13</v>
      </c>
      <c r="E2322" s="6"/>
      <c r="F2322" s="6"/>
      <c r="G2322" s="6"/>
      <c r="H2322" s="6"/>
      <c r="I2322" s="6"/>
      <c r="J2322" s="8"/>
      <c r="K2322" s="6"/>
      <c r="L2322" s="6"/>
      <c r="M2322" s="8"/>
      <c r="N2322" s="8"/>
      <c r="O2322" s="8"/>
      <c r="P2322" s="8"/>
      <c r="Q2322" s="18" t="e">
        <f>(Table1[[#This Row],[A. TÀI SẢN NGẮN HẠN]]-Table1[[#This Row],[I. Nợ ngắn hạn]])/Table1[[#This Row],[TỔNG CỘNG TÀI SẢN]]</f>
        <v>#DIV/0!</v>
      </c>
      <c r="R2322" s="18" t="e">
        <f>Table1[[#This Row],[- LNST chưa phân phối kỳ này]]/Table1[[#This Row],[TỔNG CỘNG TÀI SẢN]]</f>
        <v>#DIV/0!</v>
      </c>
      <c r="S2322" s="21" t="e">
        <f>Table1[[#This Row],[5. Lợi nhuận gộp về bán hàng và cung cấp dịch vụ]]/Table1[[#This Row],[TỔNG CỘNG TÀI SẢN]]</f>
        <v>#DIV/0!</v>
      </c>
      <c r="T232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322" s="23" t="e">
        <f>Table1[[#This Row],[1. Doanh thu bán hàng và cung cấp dịch vụ ]]/Table1[[#This Row],[TỔNG CỘNG TÀI SẢN]]</f>
        <v>#DIV/0!</v>
      </c>
      <c r="V2322" s="23" t="e">
        <f>1.2*Table1[[#This Row],[X1]] + 1.4*Table1[[#This Row],[X2]] + 3.3*Table1[[#This Row],[x3]] + 0.6*Table1[[#This Row],[x4]] + 1*Table1[[#This Row],[x5]]</f>
        <v>#DIV/0!</v>
      </c>
      <c r="W2322" s="23" t="e">
        <f>IF(Table1[[#This Row],[Zscore]]&lt;1.81,1,0)</f>
        <v>#DIV/0!</v>
      </c>
    </row>
    <row r="2323" spans="1:23" hidden="1" x14ac:dyDescent="0.45">
      <c r="A2323" s="7">
        <v>2317</v>
      </c>
      <c r="B2323" s="5" t="s">
        <v>4643</v>
      </c>
      <c r="C2323" s="6" t="s">
        <v>4644</v>
      </c>
      <c r="D2323" s="6" t="s">
        <v>13</v>
      </c>
      <c r="E2323" s="6"/>
      <c r="F2323" s="6"/>
      <c r="G2323" s="6"/>
      <c r="H2323" s="6"/>
      <c r="I2323" s="6"/>
      <c r="J2323" s="8"/>
      <c r="K2323" s="6"/>
      <c r="L2323" s="6"/>
      <c r="M2323" s="8"/>
      <c r="N2323" s="8"/>
      <c r="O2323" s="8"/>
      <c r="P2323" s="8"/>
      <c r="Q2323" s="18" t="e">
        <f>(Table1[[#This Row],[A. TÀI SẢN NGẮN HẠN]]-Table1[[#This Row],[I. Nợ ngắn hạn]])/Table1[[#This Row],[TỔNG CỘNG TÀI SẢN]]</f>
        <v>#DIV/0!</v>
      </c>
      <c r="R2323" s="18" t="e">
        <f>Table1[[#This Row],[- LNST chưa phân phối kỳ này]]/Table1[[#This Row],[TỔNG CỘNG TÀI SẢN]]</f>
        <v>#DIV/0!</v>
      </c>
      <c r="S2323" s="21" t="e">
        <f>Table1[[#This Row],[5. Lợi nhuận gộp về bán hàng và cung cấp dịch vụ]]/Table1[[#This Row],[TỔNG CỘNG TÀI SẢN]]</f>
        <v>#DIV/0!</v>
      </c>
      <c r="T232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323" s="23" t="e">
        <f>Table1[[#This Row],[1. Doanh thu bán hàng và cung cấp dịch vụ ]]/Table1[[#This Row],[TỔNG CỘNG TÀI SẢN]]</f>
        <v>#DIV/0!</v>
      </c>
      <c r="V2323" s="23" t="e">
        <f>1.2*Table1[[#This Row],[X1]] + 1.4*Table1[[#This Row],[X2]] + 3.3*Table1[[#This Row],[x3]] + 0.6*Table1[[#This Row],[x4]] + 1*Table1[[#This Row],[x5]]</f>
        <v>#DIV/0!</v>
      </c>
      <c r="W2323" s="23" t="e">
        <f>IF(Table1[[#This Row],[Zscore]]&lt;1.81,1,0)</f>
        <v>#DIV/0!</v>
      </c>
    </row>
    <row r="2324" spans="1:23" ht="26.25" hidden="1" x14ac:dyDescent="0.45">
      <c r="A2324" s="7">
        <v>2318</v>
      </c>
      <c r="B2324" s="5" t="s">
        <v>4645</v>
      </c>
      <c r="C2324" s="6" t="s">
        <v>4646</v>
      </c>
      <c r="D2324" s="6" t="s">
        <v>13</v>
      </c>
      <c r="E2324" s="6"/>
      <c r="F2324" s="6"/>
      <c r="G2324" s="6"/>
      <c r="H2324" s="6"/>
      <c r="I2324" s="6"/>
      <c r="J2324" s="8"/>
      <c r="K2324" s="6"/>
      <c r="L2324" s="6"/>
      <c r="M2324" s="8"/>
      <c r="N2324" s="8"/>
      <c r="O2324" s="8"/>
      <c r="P2324" s="8"/>
      <c r="Q2324" s="18" t="e">
        <f>(Table1[[#This Row],[A. TÀI SẢN NGẮN HẠN]]-Table1[[#This Row],[I. Nợ ngắn hạn]])/Table1[[#This Row],[TỔNG CỘNG TÀI SẢN]]</f>
        <v>#DIV/0!</v>
      </c>
      <c r="R2324" s="18" t="e">
        <f>Table1[[#This Row],[- LNST chưa phân phối kỳ này]]/Table1[[#This Row],[TỔNG CỘNG TÀI SẢN]]</f>
        <v>#DIV/0!</v>
      </c>
      <c r="S2324" s="21" t="e">
        <f>Table1[[#This Row],[5. Lợi nhuận gộp về bán hàng và cung cấp dịch vụ]]/Table1[[#This Row],[TỔNG CỘNG TÀI SẢN]]</f>
        <v>#DIV/0!</v>
      </c>
      <c r="T232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324" s="23" t="e">
        <f>Table1[[#This Row],[1. Doanh thu bán hàng và cung cấp dịch vụ ]]/Table1[[#This Row],[TỔNG CỘNG TÀI SẢN]]</f>
        <v>#DIV/0!</v>
      </c>
      <c r="V2324" s="23" t="e">
        <f>1.2*Table1[[#This Row],[X1]] + 1.4*Table1[[#This Row],[X2]] + 3.3*Table1[[#This Row],[x3]] + 0.6*Table1[[#This Row],[x4]] + 1*Table1[[#This Row],[x5]]</f>
        <v>#DIV/0!</v>
      </c>
      <c r="W2324" s="23" t="e">
        <f>IF(Table1[[#This Row],[Zscore]]&lt;1.81,1,0)</f>
        <v>#DIV/0!</v>
      </c>
    </row>
    <row r="2325" spans="1:23" ht="26.25" x14ac:dyDescent="0.45">
      <c r="A2325" s="7">
        <v>2319</v>
      </c>
      <c r="B2325" s="5" t="s">
        <v>4647</v>
      </c>
      <c r="C2325" s="6" t="s">
        <v>4648</v>
      </c>
      <c r="D2325" s="6" t="s">
        <v>21</v>
      </c>
      <c r="E2325" s="8">
        <v>2421568069231</v>
      </c>
      <c r="F2325" s="8">
        <v>1597425546796</v>
      </c>
      <c r="G2325" s="8">
        <v>1198241338697</v>
      </c>
      <c r="H2325" s="8">
        <v>160431426406</v>
      </c>
      <c r="I2325" s="8">
        <v>520102121085</v>
      </c>
      <c r="J2325" s="8"/>
      <c r="K2325" s="8">
        <v>1627124546600</v>
      </c>
      <c r="L2325" s="8">
        <v>2412912374951</v>
      </c>
      <c r="M2325" s="8">
        <v>1644715635800</v>
      </c>
      <c r="N2325" s="8">
        <v>1449097170850</v>
      </c>
      <c r="O2325" s="8">
        <v>1481281747700</v>
      </c>
      <c r="P2325" s="8">
        <v>1572060303500</v>
      </c>
      <c r="Q2325" s="18">
        <f>(Table1[[#This Row],[A. TÀI SẢN NGẮN HẠN]]-Table1[[#This Row],[I. Nợ ngắn hạn]])/Table1[[#This Row],[TỔNG CỘNG TÀI SẢN]]</f>
        <v>0.16484533851066432</v>
      </c>
      <c r="R2325" s="18">
        <f>Table1[[#This Row],[- LNST chưa phân phối kỳ này]]/Table1[[#This Row],[TỔNG CỘNG TÀI SẢN]]</f>
        <v>6.6251049658474837E-2</v>
      </c>
      <c r="S2325" s="21">
        <f>Table1[[#This Row],[5. Lợi nhuận gộp về bán hàng và cung cấp dịch vụ]]/Table1[[#This Row],[TỔNG CỘNG TÀI SẢN]]</f>
        <v>0.21477906307633346</v>
      </c>
      <c r="T232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0.94448130456499868</v>
      </c>
      <c r="U2325" s="23">
        <f>Table1[[#This Row],[1. Doanh thu bán hàng và cung cấp dịch vụ ]]/Table1[[#This Row],[TỔNG CỘNG TÀI SẢN]]</f>
        <v>0.99642558291464889</v>
      </c>
      <c r="V2325" s="23">
        <f>1.2*Table1[[#This Row],[X1]] + 1.4*Table1[[#This Row],[X2]] + 3.3*Table1[[#This Row],[x3]] + 0.6*Table1[[#This Row],[x4]] + 1*Table1[[#This Row],[x5]]</f>
        <v>2.5624511495402102</v>
      </c>
      <c r="W2325" s="23">
        <f>IF(Table1[[#This Row],[Zscore]]&lt;1.81,1,0)</f>
        <v>0</v>
      </c>
    </row>
    <row r="2326" spans="1:23" hidden="1" x14ac:dyDescent="0.45">
      <c r="A2326" s="7">
        <v>2320</v>
      </c>
      <c r="B2326" s="5" t="s">
        <v>4649</v>
      </c>
      <c r="C2326" s="6" t="s">
        <v>4650</v>
      </c>
      <c r="D2326" s="6" t="s">
        <v>13</v>
      </c>
      <c r="E2326" s="6"/>
      <c r="F2326" s="6"/>
      <c r="G2326" s="6"/>
      <c r="H2326" s="6"/>
      <c r="I2326" s="6"/>
      <c r="J2326" s="8"/>
      <c r="K2326" s="6"/>
      <c r="L2326" s="6"/>
      <c r="M2326" s="8"/>
      <c r="N2326" s="8"/>
      <c r="O2326" s="8"/>
      <c r="P2326" s="8"/>
      <c r="Q2326" s="18" t="e">
        <f>(Table1[[#This Row],[A. TÀI SẢN NGẮN HẠN]]-Table1[[#This Row],[I. Nợ ngắn hạn]])/Table1[[#This Row],[TỔNG CỘNG TÀI SẢN]]</f>
        <v>#DIV/0!</v>
      </c>
      <c r="R2326" s="18" t="e">
        <f>Table1[[#This Row],[- LNST chưa phân phối kỳ này]]/Table1[[#This Row],[TỔNG CỘNG TÀI SẢN]]</f>
        <v>#DIV/0!</v>
      </c>
      <c r="S2326" s="21" t="e">
        <f>Table1[[#This Row],[5. Lợi nhuận gộp về bán hàng và cung cấp dịch vụ]]/Table1[[#This Row],[TỔNG CỘNG TÀI SẢN]]</f>
        <v>#DIV/0!</v>
      </c>
      <c r="T232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326" s="23" t="e">
        <f>Table1[[#This Row],[1. Doanh thu bán hàng và cung cấp dịch vụ ]]/Table1[[#This Row],[TỔNG CỘNG TÀI SẢN]]</f>
        <v>#DIV/0!</v>
      </c>
      <c r="V2326" s="23" t="e">
        <f>1.2*Table1[[#This Row],[X1]] + 1.4*Table1[[#This Row],[X2]] + 3.3*Table1[[#This Row],[x3]] + 0.6*Table1[[#This Row],[x4]] + 1*Table1[[#This Row],[x5]]</f>
        <v>#DIV/0!</v>
      </c>
      <c r="W2326" s="23" t="e">
        <f>IF(Table1[[#This Row],[Zscore]]&lt;1.81,1,0)</f>
        <v>#DIV/0!</v>
      </c>
    </row>
    <row r="2327" spans="1:23" hidden="1" x14ac:dyDescent="0.45">
      <c r="A2327" s="7">
        <v>2321</v>
      </c>
      <c r="B2327" s="5" t="s">
        <v>4651</v>
      </c>
      <c r="C2327" s="6" t="s">
        <v>4652</v>
      </c>
      <c r="D2327" s="6" t="s">
        <v>13</v>
      </c>
      <c r="E2327" s="6"/>
      <c r="F2327" s="6"/>
      <c r="G2327" s="6"/>
      <c r="H2327" s="6"/>
      <c r="I2327" s="6"/>
      <c r="J2327" s="8"/>
      <c r="K2327" s="6"/>
      <c r="L2327" s="6"/>
      <c r="M2327" s="8"/>
      <c r="N2327" s="8"/>
      <c r="O2327" s="8"/>
      <c r="P2327" s="8"/>
      <c r="Q2327" s="18" t="e">
        <f>(Table1[[#This Row],[A. TÀI SẢN NGẮN HẠN]]-Table1[[#This Row],[I. Nợ ngắn hạn]])/Table1[[#This Row],[TỔNG CỘNG TÀI SẢN]]</f>
        <v>#DIV/0!</v>
      </c>
      <c r="R2327" s="18" t="e">
        <f>Table1[[#This Row],[- LNST chưa phân phối kỳ này]]/Table1[[#This Row],[TỔNG CỘNG TÀI SẢN]]</f>
        <v>#DIV/0!</v>
      </c>
      <c r="S2327" s="21" t="e">
        <f>Table1[[#This Row],[5. Lợi nhuận gộp về bán hàng và cung cấp dịch vụ]]/Table1[[#This Row],[TỔNG CỘNG TÀI SẢN]]</f>
        <v>#DIV/0!</v>
      </c>
      <c r="T232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327" s="23" t="e">
        <f>Table1[[#This Row],[1. Doanh thu bán hàng và cung cấp dịch vụ ]]/Table1[[#This Row],[TỔNG CỘNG TÀI SẢN]]</f>
        <v>#DIV/0!</v>
      </c>
      <c r="V2327" s="23" t="e">
        <f>1.2*Table1[[#This Row],[X1]] + 1.4*Table1[[#This Row],[X2]] + 3.3*Table1[[#This Row],[x3]] + 0.6*Table1[[#This Row],[x4]] + 1*Table1[[#This Row],[x5]]</f>
        <v>#DIV/0!</v>
      </c>
      <c r="W2327" s="23" t="e">
        <f>IF(Table1[[#This Row],[Zscore]]&lt;1.81,1,0)</f>
        <v>#DIV/0!</v>
      </c>
    </row>
    <row r="2328" spans="1:23" hidden="1" x14ac:dyDescent="0.45">
      <c r="A2328" s="7">
        <v>2322</v>
      </c>
      <c r="B2328" s="5" t="s">
        <v>4653</v>
      </c>
      <c r="C2328" s="6" t="s">
        <v>4654</v>
      </c>
      <c r="D2328" s="6" t="s">
        <v>13</v>
      </c>
      <c r="E2328" s="6"/>
      <c r="F2328" s="6"/>
      <c r="G2328" s="6"/>
      <c r="H2328" s="6"/>
      <c r="I2328" s="6"/>
      <c r="J2328" s="8"/>
      <c r="K2328" s="6"/>
      <c r="L2328" s="6"/>
      <c r="M2328" s="8"/>
      <c r="N2328" s="8"/>
      <c r="O2328" s="8"/>
      <c r="P2328" s="8"/>
      <c r="Q2328" s="18" t="e">
        <f>(Table1[[#This Row],[A. TÀI SẢN NGẮN HẠN]]-Table1[[#This Row],[I. Nợ ngắn hạn]])/Table1[[#This Row],[TỔNG CỘNG TÀI SẢN]]</f>
        <v>#DIV/0!</v>
      </c>
      <c r="R2328" s="18" t="e">
        <f>Table1[[#This Row],[- LNST chưa phân phối kỳ này]]/Table1[[#This Row],[TỔNG CỘNG TÀI SẢN]]</f>
        <v>#DIV/0!</v>
      </c>
      <c r="S2328" s="21" t="e">
        <f>Table1[[#This Row],[5. Lợi nhuận gộp về bán hàng và cung cấp dịch vụ]]/Table1[[#This Row],[TỔNG CỘNG TÀI SẢN]]</f>
        <v>#DIV/0!</v>
      </c>
      <c r="T232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328" s="23" t="e">
        <f>Table1[[#This Row],[1. Doanh thu bán hàng và cung cấp dịch vụ ]]/Table1[[#This Row],[TỔNG CỘNG TÀI SẢN]]</f>
        <v>#DIV/0!</v>
      </c>
      <c r="V2328" s="23" t="e">
        <f>1.2*Table1[[#This Row],[X1]] + 1.4*Table1[[#This Row],[X2]] + 3.3*Table1[[#This Row],[x3]] + 0.6*Table1[[#This Row],[x4]] + 1*Table1[[#This Row],[x5]]</f>
        <v>#DIV/0!</v>
      </c>
      <c r="W2328" s="23" t="e">
        <f>IF(Table1[[#This Row],[Zscore]]&lt;1.81,1,0)</f>
        <v>#DIV/0!</v>
      </c>
    </row>
    <row r="2329" spans="1:23" ht="26.25" hidden="1" x14ac:dyDescent="0.45">
      <c r="A2329" s="7">
        <v>2323</v>
      </c>
      <c r="B2329" s="5" t="s">
        <v>4655</v>
      </c>
      <c r="C2329" s="6" t="s">
        <v>4656</v>
      </c>
      <c r="D2329" s="6" t="s">
        <v>13</v>
      </c>
      <c r="E2329" s="6"/>
      <c r="F2329" s="6"/>
      <c r="G2329" s="6"/>
      <c r="H2329" s="6"/>
      <c r="I2329" s="6"/>
      <c r="J2329" s="8"/>
      <c r="K2329" s="6"/>
      <c r="L2329" s="6"/>
      <c r="M2329" s="8"/>
      <c r="N2329" s="8"/>
      <c r="O2329" s="8"/>
      <c r="P2329" s="8"/>
      <c r="Q2329" s="18" t="e">
        <f>(Table1[[#This Row],[A. TÀI SẢN NGẮN HẠN]]-Table1[[#This Row],[I. Nợ ngắn hạn]])/Table1[[#This Row],[TỔNG CỘNG TÀI SẢN]]</f>
        <v>#DIV/0!</v>
      </c>
      <c r="R2329" s="18" t="e">
        <f>Table1[[#This Row],[- LNST chưa phân phối kỳ này]]/Table1[[#This Row],[TỔNG CỘNG TÀI SẢN]]</f>
        <v>#DIV/0!</v>
      </c>
      <c r="S2329" s="21" t="e">
        <f>Table1[[#This Row],[5. Lợi nhuận gộp về bán hàng và cung cấp dịch vụ]]/Table1[[#This Row],[TỔNG CỘNG TÀI SẢN]]</f>
        <v>#DIV/0!</v>
      </c>
      <c r="T232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329" s="23" t="e">
        <f>Table1[[#This Row],[1. Doanh thu bán hàng và cung cấp dịch vụ ]]/Table1[[#This Row],[TỔNG CỘNG TÀI SẢN]]</f>
        <v>#DIV/0!</v>
      </c>
      <c r="V2329" s="23" t="e">
        <f>1.2*Table1[[#This Row],[X1]] + 1.4*Table1[[#This Row],[X2]] + 3.3*Table1[[#This Row],[x3]] + 0.6*Table1[[#This Row],[x4]] + 1*Table1[[#This Row],[x5]]</f>
        <v>#DIV/0!</v>
      </c>
      <c r="W2329" s="23" t="e">
        <f>IF(Table1[[#This Row],[Zscore]]&lt;1.81,1,0)</f>
        <v>#DIV/0!</v>
      </c>
    </row>
    <row r="2330" spans="1:23" hidden="1" x14ac:dyDescent="0.45">
      <c r="A2330" s="7">
        <v>2324</v>
      </c>
      <c r="B2330" s="5" t="s">
        <v>4657</v>
      </c>
      <c r="C2330" s="6" t="s">
        <v>4658</v>
      </c>
      <c r="D2330" s="6" t="s">
        <v>13</v>
      </c>
      <c r="E2330" s="6"/>
      <c r="F2330" s="6"/>
      <c r="G2330" s="6"/>
      <c r="H2330" s="6"/>
      <c r="I2330" s="6"/>
      <c r="J2330" s="8"/>
      <c r="K2330" s="6"/>
      <c r="L2330" s="6"/>
      <c r="M2330" s="8"/>
      <c r="N2330" s="8"/>
      <c r="O2330" s="8"/>
      <c r="P2330" s="8"/>
      <c r="Q2330" s="18" t="e">
        <f>(Table1[[#This Row],[A. TÀI SẢN NGẮN HẠN]]-Table1[[#This Row],[I. Nợ ngắn hạn]])/Table1[[#This Row],[TỔNG CỘNG TÀI SẢN]]</f>
        <v>#DIV/0!</v>
      </c>
      <c r="R2330" s="18" t="e">
        <f>Table1[[#This Row],[- LNST chưa phân phối kỳ này]]/Table1[[#This Row],[TỔNG CỘNG TÀI SẢN]]</f>
        <v>#DIV/0!</v>
      </c>
      <c r="S2330" s="21" t="e">
        <f>Table1[[#This Row],[5. Lợi nhuận gộp về bán hàng và cung cấp dịch vụ]]/Table1[[#This Row],[TỔNG CỘNG TÀI SẢN]]</f>
        <v>#DIV/0!</v>
      </c>
      <c r="T233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330" s="23" t="e">
        <f>Table1[[#This Row],[1. Doanh thu bán hàng và cung cấp dịch vụ ]]/Table1[[#This Row],[TỔNG CỘNG TÀI SẢN]]</f>
        <v>#DIV/0!</v>
      </c>
      <c r="V2330" s="23" t="e">
        <f>1.2*Table1[[#This Row],[X1]] + 1.4*Table1[[#This Row],[X2]] + 3.3*Table1[[#This Row],[x3]] + 0.6*Table1[[#This Row],[x4]] + 1*Table1[[#This Row],[x5]]</f>
        <v>#DIV/0!</v>
      </c>
      <c r="W2330" s="23" t="e">
        <f>IF(Table1[[#This Row],[Zscore]]&lt;1.81,1,0)</f>
        <v>#DIV/0!</v>
      </c>
    </row>
    <row r="2331" spans="1:23" ht="26.25" hidden="1" x14ac:dyDescent="0.45">
      <c r="A2331" s="7">
        <v>2325</v>
      </c>
      <c r="B2331" s="5" t="s">
        <v>4659</v>
      </c>
      <c r="C2331" s="6" t="s">
        <v>4660</v>
      </c>
      <c r="D2331" s="6" t="s">
        <v>13</v>
      </c>
      <c r="E2331" s="6"/>
      <c r="F2331" s="6"/>
      <c r="G2331" s="6"/>
      <c r="H2331" s="6"/>
      <c r="I2331" s="6"/>
      <c r="J2331" s="8"/>
      <c r="K2331" s="6"/>
      <c r="L2331" s="6"/>
      <c r="M2331" s="8"/>
      <c r="N2331" s="8"/>
      <c r="O2331" s="8"/>
      <c r="P2331" s="8"/>
      <c r="Q2331" s="18" t="e">
        <f>(Table1[[#This Row],[A. TÀI SẢN NGẮN HẠN]]-Table1[[#This Row],[I. Nợ ngắn hạn]])/Table1[[#This Row],[TỔNG CỘNG TÀI SẢN]]</f>
        <v>#DIV/0!</v>
      </c>
      <c r="R2331" s="18" t="e">
        <f>Table1[[#This Row],[- LNST chưa phân phối kỳ này]]/Table1[[#This Row],[TỔNG CỘNG TÀI SẢN]]</f>
        <v>#DIV/0!</v>
      </c>
      <c r="S2331" s="21" t="e">
        <f>Table1[[#This Row],[5. Lợi nhuận gộp về bán hàng và cung cấp dịch vụ]]/Table1[[#This Row],[TỔNG CỘNG TÀI SẢN]]</f>
        <v>#DIV/0!</v>
      </c>
      <c r="T233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331" s="23" t="e">
        <f>Table1[[#This Row],[1. Doanh thu bán hàng và cung cấp dịch vụ ]]/Table1[[#This Row],[TỔNG CỘNG TÀI SẢN]]</f>
        <v>#DIV/0!</v>
      </c>
      <c r="V2331" s="23" t="e">
        <f>1.2*Table1[[#This Row],[X1]] + 1.4*Table1[[#This Row],[X2]] + 3.3*Table1[[#This Row],[x3]] + 0.6*Table1[[#This Row],[x4]] + 1*Table1[[#This Row],[x5]]</f>
        <v>#DIV/0!</v>
      </c>
      <c r="W2331" s="23" t="e">
        <f>IF(Table1[[#This Row],[Zscore]]&lt;1.81,1,0)</f>
        <v>#DIV/0!</v>
      </c>
    </row>
    <row r="2332" spans="1:23" hidden="1" x14ac:dyDescent="0.45">
      <c r="A2332" s="7">
        <v>2326</v>
      </c>
      <c r="B2332" s="5" t="s">
        <v>4661</v>
      </c>
      <c r="C2332" s="6" t="s">
        <v>4662</v>
      </c>
      <c r="D2332" s="6" t="s">
        <v>13</v>
      </c>
      <c r="E2332" s="6"/>
      <c r="F2332" s="6"/>
      <c r="G2332" s="6"/>
      <c r="H2332" s="6"/>
      <c r="I2332" s="6"/>
      <c r="J2332" s="8"/>
      <c r="K2332" s="6"/>
      <c r="L2332" s="6"/>
      <c r="M2332" s="8"/>
      <c r="N2332" s="8"/>
      <c r="O2332" s="8"/>
      <c r="P2332" s="8"/>
      <c r="Q2332" s="18" t="e">
        <f>(Table1[[#This Row],[A. TÀI SẢN NGẮN HẠN]]-Table1[[#This Row],[I. Nợ ngắn hạn]])/Table1[[#This Row],[TỔNG CỘNG TÀI SẢN]]</f>
        <v>#DIV/0!</v>
      </c>
      <c r="R2332" s="18" t="e">
        <f>Table1[[#This Row],[- LNST chưa phân phối kỳ này]]/Table1[[#This Row],[TỔNG CỘNG TÀI SẢN]]</f>
        <v>#DIV/0!</v>
      </c>
      <c r="S2332" s="21" t="e">
        <f>Table1[[#This Row],[5. Lợi nhuận gộp về bán hàng và cung cấp dịch vụ]]/Table1[[#This Row],[TỔNG CỘNG TÀI SẢN]]</f>
        <v>#DIV/0!</v>
      </c>
      <c r="T233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332" s="23" t="e">
        <f>Table1[[#This Row],[1. Doanh thu bán hàng và cung cấp dịch vụ ]]/Table1[[#This Row],[TỔNG CỘNG TÀI SẢN]]</f>
        <v>#DIV/0!</v>
      </c>
      <c r="V2332" s="23" t="e">
        <f>1.2*Table1[[#This Row],[X1]] + 1.4*Table1[[#This Row],[X2]] + 3.3*Table1[[#This Row],[x3]] + 0.6*Table1[[#This Row],[x4]] + 1*Table1[[#This Row],[x5]]</f>
        <v>#DIV/0!</v>
      </c>
      <c r="W2332" s="23" t="e">
        <f>IF(Table1[[#This Row],[Zscore]]&lt;1.81,1,0)</f>
        <v>#DIV/0!</v>
      </c>
    </row>
    <row r="2333" spans="1:23" x14ac:dyDescent="0.45">
      <c r="A2333" s="7">
        <v>2327</v>
      </c>
      <c r="B2333" s="5" t="s">
        <v>4663</v>
      </c>
      <c r="C2333" s="6" t="s">
        <v>4664</v>
      </c>
      <c r="D2333" s="6" t="s">
        <v>18</v>
      </c>
      <c r="E2333" s="8">
        <v>163896842192</v>
      </c>
      <c r="F2333" s="8">
        <v>41065822542</v>
      </c>
      <c r="G2333" s="8">
        <v>31429812657</v>
      </c>
      <c r="H2333" s="8">
        <v>242823632</v>
      </c>
      <c r="I2333" s="8">
        <v>24061288066</v>
      </c>
      <c r="J2333" s="8"/>
      <c r="K2333" s="8">
        <v>34726907961</v>
      </c>
      <c r="L2333" s="8">
        <v>118423411128</v>
      </c>
      <c r="M2333" s="8">
        <v>71701520000</v>
      </c>
      <c r="N2333" s="8">
        <v>106944640000</v>
      </c>
      <c r="O2333" s="8">
        <v>106944640000</v>
      </c>
      <c r="P2333" s="8">
        <v>94791840000</v>
      </c>
      <c r="Q2333" s="18">
        <f>(Table1[[#This Row],[A. TÀI SẢN NGẮN HẠN]]-Table1[[#This Row],[I. Nợ ngắn hạn]])/Table1[[#This Row],[TỔNG CỘNG TÀI SẢN]]</f>
        <v>5.8793139368186954E-2</v>
      </c>
      <c r="R2333" s="18">
        <f>Table1[[#This Row],[- LNST chưa phân phối kỳ này]]/Table1[[#This Row],[TỔNG CỘNG TÀI SẢN]]</f>
        <v>1.4815638224166623E-3</v>
      </c>
      <c r="S2333" s="21">
        <f>Table1[[#This Row],[5. Lợi nhuận gộp về bán hàng và cung cấp dịch vụ]]/Table1[[#This Row],[TỔNG CỘNG TÀI SẢN]]</f>
        <v>0.14680751467934297</v>
      </c>
      <c r="T233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2.7383854648619175</v>
      </c>
      <c r="U2333" s="23">
        <f>Table1[[#This Row],[1. Doanh thu bán hàng và cung cấp dịch vụ ]]/Table1[[#This Row],[TỔNG CỘNG TÀI SẢN]]</f>
        <v>0.72254846124045935</v>
      </c>
      <c r="V2333" s="23">
        <f>1.2*Table1[[#This Row],[X1]] + 1.4*Table1[[#This Row],[X2]] + 3.3*Table1[[#This Row],[x3]] + 0.6*Table1[[#This Row],[x4]] + 1*Table1[[#This Row],[x5]]</f>
        <v>2.9226704951926492</v>
      </c>
      <c r="W2333" s="23">
        <f>IF(Table1[[#This Row],[Zscore]]&lt;1.81,1,0)</f>
        <v>0</v>
      </c>
    </row>
    <row r="2334" spans="1:23" hidden="1" x14ac:dyDescent="0.45">
      <c r="A2334" s="7">
        <v>2328</v>
      </c>
      <c r="B2334" s="5" t="s">
        <v>4665</v>
      </c>
      <c r="C2334" s="6" t="s">
        <v>4666</v>
      </c>
      <c r="D2334" s="6" t="s">
        <v>13</v>
      </c>
      <c r="E2334" s="6"/>
      <c r="F2334" s="6"/>
      <c r="G2334" s="6"/>
      <c r="H2334" s="6"/>
      <c r="I2334" s="6"/>
      <c r="J2334" s="8"/>
      <c r="K2334" s="6"/>
      <c r="L2334" s="6"/>
      <c r="M2334" s="8"/>
      <c r="N2334" s="8"/>
      <c r="O2334" s="8"/>
      <c r="P2334" s="8"/>
      <c r="Q2334" s="18" t="e">
        <f>(Table1[[#This Row],[A. TÀI SẢN NGẮN HẠN]]-Table1[[#This Row],[I. Nợ ngắn hạn]])/Table1[[#This Row],[TỔNG CỘNG TÀI SẢN]]</f>
        <v>#DIV/0!</v>
      </c>
      <c r="R2334" s="18" t="e">
        <f>Table1[[#This Row],[- LNST chưa phân phối kỳ này]]/Table1[[#This Row],[TỔNG CỘNG TÀI SẢN]]</f>
        <v>#DIV/0!</v>
      </c>
      <c r="S2334" s="21" t="e">
        <f>Table1[[#This Row],[5. Lợi nhuận gộp về bán hàng và cung cấp dịch vụ]]/Table1[[#This Row],[TỔNG CỘNG TÀI SẢN]]</f>
        <v>#DIV/0!</v>
      </c>
      <c r="T233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334" s="23" t="e">
        <f>Table1[[#This Row],[1. Doanh thu bán hàng và cung cấp dịch vụ ]]/Table1[[#This Row],[TỔNG CỘNG TÀI SẢN]]</f>
        <v>#DIV/0!</v>
      </c>
      <c r="V2334" s="23" t="e">
        <f>1.2*Table1[[#This Row],[X1]] + 1.4*Table1[[#This Row],[X2]] + 3.3*Table1[[#This Row],[x3]] + 0.6*Table1[[#This Row],[x4]] + 1*Table1[[#This Row],[x5]]</f>
        <v>#DIV/0!</v>
      </c>
      <c r="W2334" s="23" t="e">
        <f>IF(Table1[[#This Row],[Zscore]]&lt;1.81,1,0)</f>
        <v>#DIV/0!</v>
      </c>
    </row>
    <row r="2335" spans="1:23" x14ac:dyDescent="0.45">
      <c r="A2335" s="7">
        <v>2329</v>
      </c>
      <c r="B2335" s="5" t="s">
        <v>4667</v>
      </c>
      <c r="C2335" s="6" t="s">
        <v>4668</v>
      </c>
      <c r="D2335" s="6" t="s">
        <v>18</v>
      </c>
      <c r="E2335" s="8">
        <v>715107887578</v>
      </c>
      <c r="F2335" s="8">
        <v>62079687036</v>
      </c>
      <c r="G2335" s="8">
        <v>146761873088</v>
      </c>
      <c r="H2335" s="8">
        <v>62943565898</v>
      </c>
      <c r="I2335" s="8">
        <v>154692373773</v>
      </c>
      <c r="J2335" s="8"/>
      <c r="K2335" s="8">
        <v>277770931568</v>
      </c>
      <c r="L2335" s="8">
        <v>475000083940</v>
      </c>
      <c r="M2335" s="8">
        <v>168276596100</v>
      </c>
      <c r="N2335" s="8">
        <v>125382561800</v>
      </c>
      <c r="O2335" s="8">
        <v>168276596100</v>
      </c>
      <c r="P2335" s="8">
        <v>125382561800</v>
      </c>
      <c r="Q2335" s="18">
        <f>(Table1[[#This Row],[A. TÀI SẢN NGẮN HẠN]]-Table1[[#This Row],[I. Nợ ngắn hạn]])/Table1[[#This Row],[TỔNG CỘNG TÀI SẢN]]</f>
        <v>-0.11841875543956062</v>
      </c>
      <c r="R2335" s="18">
        <f>Table1[[#This Row],[- LNST chưa phân phối kỳ này]]/Table1[[#This Row],[TỔNG CỘNG TÀI SẢN]]</f>
        <v>8.801967785753792E-2</v>
      </c>
      <c r="S2335" s="21">
        <f>Table1[[#This Row],[5. Lợi nhuận gộp về bán hàng và cung cấp dịch vụ]]/Table1[[#This Row],[TỔNG CỘNG TÀI SẢN]]</f>
        <v>0.21632032936586371</v>
      </c>
      <c r="T233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0.52859951227133795</v>
      </c>
      <c r="U2335" s="23">
        <f>Table1[[#This Row],[1. Doanh thu bán hàng và cung cấp dịch vụ ]]/Table1[[#This Row],[TỔNG CỘNG TÀI SẢN]]</f>
        <v>0.66423555409069601</v>
      </c>
      <c r="V2335" s="23">
        <f>1.2*Table1[[#This Row],[X1]] + 1.4*Table1[[#This Row],[X2]] + 3.3*Table1[[#This Row],[x3]] + 0.6*Table1[[#This Row],[x4]] + 1*Table1[[#This Row],[x5]]</f>
        <v>1.6763773908339292</v>
      </c>
      <c r="W2335" s="23">
        <f>IF(Table1[[#This Row],[Zscore]]&lt;1.81,1,0)</f>
        <v>1</v>
      </c>
    </row>
    <row r="2336" spans="1:23" hidden="1" x14ac:dyDescent="0.45">
      <c r="A2336" s="7">
        <v>2330</v>
      </c>
      <c r="B2336" s="5" t="s">
        <v>4669</v>
      </c>
      <c r="C2336" s="6" t="s">
        <v>4670</v>
      </c>
      <c r="D2336" s="6" t="s">
        <v>13</v>
      </c>
      <c r="E2336" s="6"/>
      <c r="F2336" s="6"/>
      <c r="G2336" s="6"/>
      <c r="H2336" s="6"/>
      <c r="I2336" s="6"/>
      <c r="J2336" s="8"/>
      <c r="K2336" s="6"/>
      <c r="L2336" s="6"/>
      <c r="M2336" s="8"/>
      <c r="N2336" s="8"/>
      <c r="O2336" s="8"/>
      <c r="P2336" s="8"/>
      <c r="Q2336" s="18" t="e">
        <f>(Table1[[#This Row],[A. TÀI SẢN NGẮN HẠN]]-Table1[[#This Row],[I. Nợ ngắn hạn]])/Table1[[#This Row],[TỔNG CỘNG TÀI SẢN]]</f>
        <v>#DIV/0!</v>
      </c>
      <c r="R2336" s="18" t="e">
        <f>Table1[[#This Row],[- LNST chưa phân phối kỳ này]]/Table1[[#This Row],[TỔNG CỘNG TÀI SẢN]]</f>
        <v>#DIV/0!</v>
      </c>
      <c r="S2336" s="21" t="e">
        <f>Table1[[#This Row],[5. Lợi nhuận gộp về bán hàng và cung cấp dịch vụ]]/Table1[[#This Row],[TỔNG CỘNG TÀI SẢN]]</f>
        <v>#DIV/0!</v>
      </c>
      <c r="T233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336" s="23" t="e">
        <f>Table1[[#This Row],[1. Doanh thu bán hàng và cung cấp dịch vụ ]]/Table1[[#This Row],[TỔNG CỘNG TÀI SẢN]]</f>
        <v>#DIV/0!</v>
      </c>
      <c r="V2336" s="23" t="e">
        <f>1.2*Table1[[#This Row],[X1]] + 1.4*Table1[[#This Row],[X2]] + 3.3*Table1[[#This Row],[x3]] + 0.6*Table1[[#This Row],[x4]] + 1*Table1[[#This Row],[x5]]</f>
        <v>#DIV/0!</v>
      </c>
      <c r="W2336" s="23" t="e">
        <f>IF(Table1[[#This Row],[Zscore]]&lt;1.81,1,0)</f>
        <v>#DIV/0!</v>
      </c>
    </row>
    <row r="2337" spans="1:23" ht="26.25" x14ac:dyDescent="0.45">
      <c r="A2337" s="7">
        <v>2331</v>
      </c>
      <c r="B2337" s="5" t="s">
        <v>4671</v>
      </c>
      <c r="C2337" s="6" t="s">
        <v>4672</v>
      </c>
      <c r="D2337" s="6" t="s">
        <v>18</v>
      </c>
      <c r="E2337" s="8">
        <v>1435714529349</v>
      </c>
      <c r="F2337" s="8">
        <v>1016043449767</v>
      </c>
      <c r="G2337" s="8">
        <v>1007547186666</v>
      </c>
      <c r="H2337" s="8">
        <v>32992205526</v>
      </c>
      <c r="I2337" s="8">
        <v>288811668420</v>
      </c>
      <c r="J2337" s="8"/>
      <c r="K2337" s="8">
        <v>1055995497790</v>
      </c>
      <c r="L2337" s="8">
        <v>3333765961338</v>
      </c>
      <c r="M2337" s="8">
        <v>181530594000</v>
      </c>
      <c r="N2337" s="8">
        <v>222591085500</v>
      </c>
      <c r="O2337" s="8">
        <v>194497065000</v>
      </c>
      <c r="P2337" s="8">
        <v>179369515500</v>
      </c>
      <c r="Q2337" s="18">
        <f>(Table1[[#This Row],[A. TÀI SẢN NGẮN HẠN]]-Table1[[#This Row],[I. Nợ ngắn hạn]])/Table1[[#This Row],[TỔNG CỘNG TÀI SẢN]]</f>
        <v>5.9177941905014251E-3</v>
      </c>
      <c r="R2337" s="18">
        <f>Table1[[#This Row],[- LNST chưa phân phối kỳ này]]/Table1[[#This Row],[TỔNG CỘNG TÀI SẢN]]</f>
        <v>2.2979641740450831E-2</v>
      </c>
      <c r="S2337" s="21">
        <f>Table1[[#This Row],[5. Lợi nhuận gộp về bán hàng và cung cấp dịch vụ]]/Table1[[#This Row],[TỔNG CỘNG TÀI SẢN]]</f>
        <v>0.20116232197702746</v>
      </c>
      <c r="T233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0.18418361196335192</v>
      </c>
      <c r="U2337" s="23">
        <f>Table1[[#This Row],[1. Doanh thu bán hàng và cung cấp dịch vụ ]]/Table1[[#This Row],[TỔNG CỘNG TÀI SẢN]]</f>
        <v>2.3220256486849364</v>
      </c>
      <c r="V2337" s="23">
        <f>1.2*Table1[[#This Row],[X1]] + 1.4*Table1[[#This Row],[X2]] + 3.3*Table1[[#This Row],[x3]] + 0.6*Table1[[#This Row],[x4]] + 1*Table1[[#This Row],[x5]]</f>
        <v>3.1356443298523713</v>
      </c>
      <c r="W2337" s="23">
        <f>IF(Table1[[#This Row],[Zscore]]&lt;1.81,1,0)</f>
        <v>0</v>
      </c>
    </row>
    <row r="2338" spans="1:23" hidden="1" x14ac:dyDescent="0.45">
      <c r="A2338" s="7">
        <v>2332</v>
      </c>
      <c r="B2338" s="5" t="s">
        <v>4673</v>
      </c>
      <c r="C2338" s="6" t="s">
        <v>4674</v>
      </c>
      <c r="D2338" s="6" t="s">
        <v>13</v>
      </c>
      <c r="E2338" s="6"/>
      <c r="F2338" s="6"/>
      <c r="G2338" s="6"/>
      <c r="H2338" s="6"/>
      <c r="I2338" s="6"/>
      <c r="J2338" s="8"/>
      <c r="K2338" s="6"/>
      <c r="L2338" s="6"/>
      <c r="M2338" s="8"/>
      <c r="N2338" s="8"/>
      <c r="O2338" s="8"/>
      <c r="P2338" s="8"/>
      <c r="Q2338" s="18" t="e">
        <f>(Table1[[#This Row],[A. TÀI SẢN NGẮN HẠN]]-Table1[[#This Row],[I. Nợ ngắn hạn]])/Table1[[#This Row],[TỔNG CỘNG TÀI SẢN]]</f>
        <v>#DIV/0!</v>
      </c>
      <c r="R2338" s="18" t="e">
        <f>Table1[[#This Row],[- LNST chưa phân phối kỳ này]]/Table1[[#This Row],[TỔNG CỘNG TÀI SẢN]]</f>
        <v>#DIV/0!</v>
      </c>
      <c r="S2338" s="21" t="e">
        <f>Table1[[#This Row],[5. Lợi nhuận gộp về bán hàng và cung cấp dịch vụ]]/Table1[[#This Row],[TỔNG CỘNG TÀI SẢN]]</f>
        <v>#DIV/0!</v>
      </c>
      <c r="T233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338" s="23" t="e">
        <f>Table1[[#This Row],[1. Doanh thu bán hàng và cung cấp dịch vụ ]]/Table1[[#This Row],[TỔNG CỘNG TÀI SẢN]]</f>
        <v>#DIV/0!</v>
      </c>
      <c r="V2338" s="23" t="e">
        <f>1.2*Table1[[#This Row],[X1]] + 1.4*Table1[[#This Row],[X2]] + 3.3*Table1[[#This Row],[x3]] + 0.6*Table1[[#This Row],[x4]] + 1*Table1[[#This Row],[x5]]</f>
        <v>#DIV/0!</v>
      </c>
      <c r="W2338" s="23" t="e">
        <f>IF(Table1[[#This Row],[Zscore]]&lt;1.81,1,0)</f>
        <v>#DIV/0!</v>
      </c>
    </row>
    <row r="2339" spans="1:23" x14ac:dyDescent="0.45">
      <c r="A2339" s="7">
        <v>2333</v>
      </c>
      <c r="B2339" s="5" t="s">
        <v>4675</v>
      </c>
      <c r="C2339" s="6" t="s">
        <v>4676</v>
      </c>
      <c r="D2339" s="6" t="s">
        <v>36</v>
      </c>
      <c r="E2339" s="8">
        <v>159143204075</v>
      </c>
      <c r="F2339" s="8">
        <v>127107144960</v>
      </c>
      <c r="G2339" s="8">
        <v>120847855055</v>
      </c>
      <c r="H2339" s="8">
        <v>508842048</v>
      </c>
      <c r="I2339" s="8">
        <v>19997165897</v>
      </c>
      <c r="J2339" s="8"/>
      <c r="K2339" s="8">
        <v>121484539055</v>
      </c>
      <c r="L2339" s="8">
        <v>352558058540</v>
      </c>
      <c r="M2339" s="8">
        <v>25650000000</v>
      </c>
      <c r="N2339" s="8">
        <v>33480000000</v>
      </c>
      <c r="O2339" s="8">
        <v>44550000000</v>
      </c>
      <c r="P2339" s="8">
        <v>33480000000</v>
      </c>
      <c r="Q2339" s="18">
        <f>(Table1[[#This Row],[A. TÀI SẢN NGẮN HẠN]]-Table1[[#This Row],[I. Nợ ngắn hạn]])/Table1[[#This Row],[TỔNG CỘNG TÀI SẢN]]</f>
        <v>3.9331179370060698E-2</v>
      </c>
      <c r="R2339" s="18">
        <f>Table1[[#This Row],[- LNST chưa phân phối kỳ này]]/Table1[[#This Row],[TỔNG CỘNG TÀI SẢN]]</f>
        <v>3.1973847137085174E-3</v>
      </c>
      <c r="S2339" s="21">
        <f>Table1[[#This Row],[5. Lợi nhuận gộp về bán hàng và cung cấp dịch vụ]]/Table1[[#This Row],[TỔNG CỘNG TÀI SẢN]]</f>
        <v>0.12565516707566013</v>
      </c>
      <c r="T233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0.28225813973312114</v>
      </c>
      <c r="U2339" s="23">
        <f>Table1[[#This Row],[1. Doanh thu bán hàng và cung cấp dịch vụ ]]/Table1[[#This Row],[TỔNG CỘNG TÀI SẢN]]</f>
        <v>2.2153510141334634</v>
      </c>
      <c r="V2339" s="23">
        <f>1.2*Table1[[#This Row],[X1]] + 1.4*Table1[[#This Row],[X2]] + 3.3*Table1[[#This Row],[x3]] + 0.6*Table1[[#This Row],[x4]] + 1*Table1[[#This Row],[x5]]</f>
        <v>2.8510417031662794</v>
      </c>
      <c r="W2339" s="23">
        <f>IF(Table1[[#This Row],[Zscore]]&lt;1.81,1,0)</f>
        <v>0</v>
      </c>
    </row>
    <row r="2340" spans="1:23" x14ac:dyDescent="0.45">
      <c r="A2340" s="7">
        <v>2334</v>
      </c>
      <c r="B2340" s="5" t="s">
        <v>4677</v>
      </c>
      <c r="C2340" s="6" t="s">
        <v>4678</v>
      </c>
      <c r="D2340" s="6" t="s">
        <v>36</v>
      </c>
      <c r="E2340" s="8">
        <v>1846129144227</v>
      </c>
      <c r="F2340" s="8">
        <v>1186439487744</v>
      </c>
      <c r="G2340" s="8">
        <v>1252606882461</v>
      </c>
      <c r="H2340" s="8">
        <v>40458200578</v>
      </c>
      <c r="I2340" s="8">
        <v>181550767698</v>
      </c>
      <c r="J2340" s="8"/>
      <c r="K2340" s="8">
        <v>1456289920374</v>
      </c>
      <c r="L2340" s="8">
        <v>5325234064234</v>
      </c>
      <c r="M2340" s="8">
        <v>292371718800</v>
      </c>
      <c r="N2340" s="8">
        <v>194095510800</v>
      </c>
      <c r="O2340" s="8">
        <v>206380036800</v>
      </c>
      <c r="P2340" s="8">
        <v>201466226400</v>
      </c>
      <c r="Q2340" s="18">
        <f>(Table1[[#This Row],[A. TÀI SẢN NGẮN HẠN]]-Table1[[#This Row],[I. Nợ ngắn hạn]])/Table1[[#This Row],[TỔNG CỘNG TÀI SẢN]]</f>
        <v>-3.5841151700524834E-2</v>
      </c>
      <c r="R2340" s="18">
        <f>Table1[[#This Row],[- LNST chưa phân phối kỳ này]]/Table1[[#This Row],[TỔNG CỘNG TÀI SẢN]]</f>
        <v>2.1915151875759164E-2</v>
      </c>
      <c r="S2340" s="21">
        <f>Table1[[#This Row],[5. Lợi nhuận gộp về bán hàng và cung cấp dịch vụ]]/Table1[[#This Row],[TỔNG CỘNG TÀI SẢN]]</f>
        <v>9.8341314997233212E-2</v>
      </c>
      <c r="T234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0.1535260047275348</v>
      </c>
      <c r="U2340" s="23">
        <f>Table1[[#This Row],[1. Doanh thu bán hàng và cung cấp dịch vụ ]]/Table1[[#This Row],[TỔNG CỘNG TÀI SẢN]]</f>
        <v>2.8845403805505434</v>
      </c>
      <c r="V2340" s="23">
        <f>1.2*Table1[[#This Row],[X1]] + 1.4*Table1[[#This Row],[X2]] + 3.3*Table1[[#This Row],[x3]] + 0.6*Table1[[#This Row],[x4]] + 1*Table1[[#This Row],[x5]]</f>
        <v>3.2888541534633671</v>
      </c>
      <c r="W2340" s="23">
        <f>IF(Table1[[#This Row],[Zscore]]&lt;1.81,1,0)</f>
        <v>0</v>
      </c>
    </row>
    <row r="2341" spans="1:23" ht="26.25" hidden="1" x14ac:dyDescent="0.45">
      <c r="A2341" s="7">
        <v>2335</v>
      </c>
      <c r="B2341" s="5" t="s">
        <v>4679</v>
      </c>
      <c r="C2341" s="6" t="s">
        <v>4680</v>
      </c>
      <c r="D2341" s="6" t="s">
        <v>18</v>
      </c>
      <c r="E2341" s="6"/>
      <c r="F2341" s="6"/>
      <c r="G2341" s="6"/>
      <c r="H2341" s="6"/>
      <c r="I2341" s="6"/>
      <c r="J2341" s="8"/>
      <c r="K2341" s="6"/>
      <c r="L2341" s="6"/>
      <c r="M2341" s="8"/>
      <c r="N2341" s="8"/>
      <c r="O2341" s="8"/>
      <c r="P2341" s="8"/>
      <c r="Q2341" s="18" t="e">
        <f>(Table1[[#This Row],[A. TÀI SẢN NGẮN HẠN]]-Table1[[#This Row],[I. Nợ ngắn hạn]])/Table1[[#This Row],[TỔNG CỘNG TÀI SẢN]]</f>
        <v>#DIV/0!</v>
      </c>
      <c r="R2341" s="18" t="e">
        <f>Table1[[#This Row],[- LNST chưa phân phối kỳ này]]/Table1[[#This Row],[TỔNG CỘNG TÀI SẢN]]</f>
        <v>#DIV/0!</v>
      </c>
      <c r="S2341" s="21" t="e">
        <f>Table1[[#This Row],[5. Lợi nhuận gộp về bán hàng và cung cấp dịch vụ]]/Table1[[#This Row],[TỔNG CỘNG TÀI SẢN]]</f>
        <v>#DIV/0!</v>
      </c>
      <c r="T234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341" s="23" t="e">
        <f>Table1[[#This Row],[1. Doanh thu bán hàng và cung cấp dịch vụ ]]/Table1[[#This Row],[TỔNG CỘNG TÀI SẢN]]</f>
        <v>#DIV/0!</v>
      </c>
      <c r="V2341" s="23" t="e">
        <f>1.2*Table1[[#This Row],[X1]] + 1.4*Table1[[#This Row],[X2]] + 3.3*Table1[[#This Row],[x3]] + 0.6*Table1[[#This Row],[x4]] + 1*Table1[[#This Row],[x5]]</f>
        <v>#DIV/0!</v>
      </c>
      <c r="W2341" s="23" t="e">
        <f>IF(Table1[[#This Row],[Zscore]]&lt;1.81,1,0)</f>
        <v>#DIV/0!</v>
      </c>
    </row>
    <row r="2342" spans="1:23" ht="26.25" hidden="1" x14ac:dyDescent="0.45">
      <c r="A2342" s="7">
        <v>2336</v>
      </c>
      <c r="B2342" s="5" t="s">
        <v>4681</v>
      </c>
      <c r="C2342" s="6" t="s">
        <v>4682</v>
      </c>
      <c r="D2342" s="6" t="s">
        <v>13</v>
      </c>
      <c r="E2342" s="6"/>
      <c r="F2342" s="6"/>
      <c r="G2342" s="6"/>
      <c r="H2342" s="6"/>
      <c r="I2342" s="6"/>
      <c r="J2342" s="8"/>
      <c r="K2342" s="6"/>
      <c r="L2342" s="6"/>
      <c r="M2342" s="8"/>
      <c r="N2342" s="8"/>
      <c r="O2342" s="8"/>
      <c r="P2342" s="8"/>
      <c r="Q2342" s="18" t="e">
        <f>(Table1[[#This Row],[A. TÀI SẢN NGẮN HẠN]]-Table1[[#This Row],[I. Nợ ngắn hạn]])/Table1[[#This Row],[TỔNG CỘNG TÀI SẢN]]</f>
        <v>#DIV/0!</v>
      </c>
      <c r="R2342" s="18" t="e">
        <f>Table1[[#This Row],[- LNST chưa phân phối kỳ này]]/Table1[[#This Row],[TỔNG CỘNG TÀI SẢN]]</f>
        <v>#DIV/0!</v>
      </c>
      <c r="S2342" s="21" t="e">
        <f>Table1[[#This Row],[5. Lợi nhuận gộp về bán hàng và cung cấp dịch vụ]]/Table1[[#This Row],[TỔNG CỘNG TÀI SẢN]]</f>
        <v>#DIV/0!</v>
      </c>
      <c r="T234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342" s="23" t="e">
        <f>Table1[[#This Row],[1. Doanh thu bán hàng và cung cấp dịch vụ ]]/Table1[[#This Row],[TỔNG CỘNG TÀI SẢN]]</f>
        <v>#DIV/0!</v>
      </c>
      <c r="V2342" s="23" t="e">
        <f>1.2*Table1[[#This Row],[X1]] + 1.4*Table1[[#This Row],[X2]] + 3.3*Table1[[#This Row],[x3]] + 0.6*Table1[[#This Row],[x4]] + 1*Table1[[#This Row],[x5]]</f>
        <v>#DIV/0!</v>
      </c>
      <c r="W2342" s="23" t="e">
        <f>IF(Table1[[#This Row],[Zscore]]&lt;1.81,1,0)</f>
        <v>#DIV/0!</v>
      </c>
    </row>
    <row r="2343" spans="1:23" hidden="1" x14ac:dyDescent="0.45">
      <c r="A2343" s="7">
        <v>2337</v>
      </c>
      <c r="B2343" s="5" t="s">
        <v>4683</v>
      </c>
      <c r="C2343" s="6" t="s">
        <v>4684</v>
      </c>
      <c r="D2343" s="6" t="s">
        <v>13</v>
      </c>
      <c r="E2343" s="6"/>
      <c r="F2343" s="6"/>
      <c r="G2343" s="6"/>
      <c r="H2343" s="6"/>
      <c r="I2343" s="6"/>
      <c r="J2343" s="8"/>
      <c r="K2343" s="6"/>
      <c r="L2343" s="6"/>
      <c r="M2343" s="8"/>
      <c r="N2343" s="8"/>
      <c r="O2343" s="8"/>
      <c r="P2343" s="8"/>
      <c r="Q2343" s="18" t="e">
        <f>(Table1[[#This Row],[A. TÀI SẢN NGẮN HẠN]]-Table1[[#This Row],[I. Nợ ngắn hạn]])/Table1[[#This Row],[TỔNG CỘNG TÀI SẢN]]</f>
        <v>#DIV/0!</v>
      </c>
      <c r="R2343" s="18" t="e">
        <f>Table1[[#This Row],[- LNST chưa phân phối kỳ này]]/Table1[[#This Row],[TỔNG CỘNG TÀI SẢN]]</f>
        <v>#DIV/0!</v>
      </c>
      <c r="S2343" s="21" t="e">
        <f>Table1[[#This Row],[5. Lợi nhuận gộp về bán hàng và cung cấp dịch vụ]]/Table1[[#This Row],[TỔNG CỘNG TÀI SẢN]]</f>
        <v>#DIV/0!</v>
      </c>
      <c r="T234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343" s="23" t="e">
        <f>Table1[[#This Row],[1. Doanh thu bán hàng và cung cấp dịch vụ ]]/Table1[[#This Row],[TỔNG CỘNG TÀI SẢN]]</f>
        <v>#DIV/0!</v>
      </c>
      <c r="V2343" s="23" t="e">
        <f>1.2*Table1[[#This Row],[X1]] + 1.4*Table1[[#This Row],[X2]] + 3.3*Table1[[#This Row],[x3]] + 0.6*Table1[[#This Row],[x4]] + 1*Table1[[#This Row],[x5]]</f>
        <v>#DIV/0!</v>
      </c>
      <c r="W2343" s="23" t="e">
        <f>IF(Table1[[#This Row],[Zscore]]&lt;1.81,1,0)</f>
        <v>#DIV/0!</v>
      </c>
    </row>
    <row r="2344" spans="1:23" ht="26.25" hidden="1" x14ac:dyDescent="0.45">
      <c r="A2344" s="7">
        <v>2338</v>
      </c>
      <c r="B2344" s="5" t="s">
        <v>4685</v>
      </c>
      <c r="C2344" s="6" t="s">
        <v>4686</v>
      </c>
      <c r="D2344" s="6" t="s">
        <v>13</v>
      </c>
      <c r="E2344" s="6"/>
      <c r="F2344" s="6"/>
      <c r="G2344" s="6"/>
      <c r="H2344" s="6"/>
      <c r="I2344" s="6"/>
      <c r="J2344" s="8"/>
      <c r="K2344" s="6"/>
      <c r="L2344" s="6"/>
      <c r="M2344" s="8"/>
      <c r="N2344" s="8"/>
      <c r="O2344" s="8"/>
      <c r="P2344" s="8"/>
      <c r="Q2344" s="18" t="e">
        <f>(Table1[[#This Row],[A. TÀI SẢN NGẮN HẠN]]-Table1[[#This Row],[I. Nợ ngắn hạn]])/Table1[[#This Row],[TỔNG CỘNG TÀI SẢN]]</f>
        <v>#DIV/0!</v>
      </c>
      <c r="R2344" s="18" t="e">
        <f>Table1[[#This Row],[- LNST chưa phân phối kỳ này]]/Table1[[#This Row],[TỔNG CỘNG TÀI SẢN]]</f>
        <v>#DIV/0!</v>
      </c>
      <c r="S2344" s="21" t="e">
        <f>Table1[[#This Row],[5. Lợi nhuận gộp về bán hàng và cung cấp dịch vụ]]/Table1[[#This Row],[TỔNG CỘNG TÀI SẢN]]</f>
        <v>#DIV/0!</v>
      </c>
      <c r="T234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344" s="23" t="e">
        <f>Table1[[#This Row],[1. Doanh thu bán hàng và cung cấp dịch vụ ]]/Table1[[#This Row],[TỔNG CỘNG TÀI SẢN]]</f>
        <v>#DIV/0!</v>
      </c>
      <c r="V2344" s="23" t="e">
        <f>1.2*Table1[[#This Row],[X1]] + 1.4*Table1[[#This Row],[X2]] + 3.3*Table1[[#This Row],[x3]] + 0.6*Table1[[#This Row],[x4]] + 1*Table1[[#This Row],[x5]]</f>
        <v>#DIV/0!</v>
      </c>
      <c r="W2344" s="23" t="e">
        <f>IF(Table1[[#This Row],[Zscore]]&lt;1.81,1,0)</f>
        <v>#DIV/0!</v>
      </c>
    </row>
    <row r="2345" spans="1:23" hidden="1" x14ac:dyDescent="0.45">
      <c r="A2345" s="7">
        <v>2339</v>
      </c>
      <c r="B2345" s="5" t="s">
        <v>4687</v>
      </c>
      <c r="C2345" s="6" t="s">
        <v>4688</v>
      </c>
      <c r="D2345" s="6" t="s">
        <v>13</v>
      </c>
      <c r="E2345" s="6"/>
      <c r="F2345" s="6"/>
      <c r="G2345" s="6"/>
      <c r="H2345" s="6"/>
      <c r="I2345" s="6"/>
      <c r="J2345" s="8"/>
      <c r="K2345" s="6"/>
      <c r="L2345" s="6"/>
      <c r="M2345" s="8"/>
      <c r="N2345" s="8"/>
      <c r="O2345" s="8"/>
      <c r="P2345" s="8"/>
      <c r="Q2345" s="18" t="e">
        <f>(Table1[[#This Row],[A. TÀI SẢN NGẮN HẠN]]-Table1[[#This Row],[I. Nợ ngắn hạn]])/Table1[[#This Row],[TỔNG CỘNG TÀI SẢN]]</f>
        <v>#DIV/0!</v>
      </c>
      <c r="R2345" s="18" t="e">
        <f>Table1[[#This Row],[- LNST chưa phân phối kỳ này]]/Table1[[#This Row],[TỔNG CỘNG TÀI SẢN]]</f>
        <v>#DIV/0!</v>
      </c>
      <c r="S2345" s="21" t="e">
        <f>Table1[[#This Row],[5. Lợi nhuận gộp về bán hàng và cung cấp dịch vụ]]/Table1[[#This Row],[TỔNG CỘNG TÀI SẢN]]</f>
        <v>#DIV/0!</v>
      </c>
      <c r="T234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345" s="23" t="e">
        <f>Table1[[#This Row],[1. Doanh thu bán hàng và cung cấp dịch vụ ]]/Table1[[#This Row],[TỔNG CỘNG TÀI SẢN]]</f>
        <v>#DIV/0!</v>
      </c>
      <c r="V2345" s="23" t="e">
        <f>1.2*Table1[[#This Row],[X1]] + 1.4*Table1[[#This Row],[X2]] + 3.3*Table1[[#This Row],[x3]] + 0.6*Table1[[#This Row],[x4]] + 1*Table1[[#This Row],[x5]]</f>
        <v>#DIV/0!</v>
      </c>
      <c r="W2345" s="23" t="e">
        <f>IF(Table1[[#This Row],[Zscore]]&lt;1.81,1,0)</f>
        <v>#DIV/0!</v>
      </c>
    </row>
    <row r="2346" spans="1:23" hidden="1" x14ac:dyDescent="0.45">
      <c r="A2346" s="7">
        <v>2340</v>
      </c>
      <c r="B2346" s="5" t="s">
        <v>4689</v>
      </c>
      <c r="C2346" s="6" t="s">
        <v>4690</v>
      </c>
      <c r="D2346" s="6" t="s">
        <v>18</v>
      </c>
      <c r="E2346" s="6"/>
      <c r="F2346" s="6"/>
      <c r="G2346" s="6"/>
      <c r="H2346" s="6"/>
      <c r="I2346" s="6"/>
      <c r="J2346" s="8"/>
      <c r="K2346" s="6"/>
      <c r="L2346" s="6"/>
      <c r="M2346" s="8"/>
      <c r="N2346" s="8"/>
      <c r="O2346" s="8"/>
      <c r="P2346" s="8"/>
      <c r="Q2346" s="18" t="e">
        <f>(Table1[[#This Row],[A. TÀI SẢN NGẮN HẠN]]-Table1[[#This Row],[I. Nợ ngắn hạn]])/Table1[[#This Row],[TỔNG CỘNG TÀI SẢN]]</f>
        <v>#DIV/0!</v>
      </c>
      <c r="R2346" s="18" t="e">
        <f>Table1[[#This Row],[- LNST chưa phân phối kỳ này]]/Table1[[#This Row],[TỔNG CỘNG TÀI SẢN]]</f>
        <v>#DIV/0!</v>
      </c>
      <c r="S2346" s="21" t="e">
        <f>Table1[[#This Row],[5. Lợi nhuận gộp về bán hàng và cung cấp dịch vụ]]/Table1[[#This Row],[TỔNG CỘNG TÀI SẢN]]</f>
        <v>#DIV/0!</v>
      </c>
      <c r="T234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346" s="23" t="e">
        <f>Table1[[#This Row],[1. Doanh thu bán hàng và cung cấp dịch vụ ]]/Table1[[#This Row],[TỔNG CỘNG TÀI SẢN]]</f>
        <v>#DIV/0!</v>
      </c>
      <c r="V2346" s="23" t="e">
        <f>1.2*Table1[[#This Row],[X1]] + 1.4*Table1[[#This Row],[X2]] + 3.3*Table1[[#This Row],[x3]] + 0.6*Table1[[#This Row],[x4]] + 1*Table1[[#This Row],[x5]]</f>
        <v>#DIV/0!</v>
      </c>
      <c r="W2346" s="23" t="e">
        <f>IF(Table1[[#This Row],[Zscore]]&lt;1.81,1,0)</f>
        <v>#DIV/0!</v>
      </c>
    </row>
    <row r="2347" spans="1:23" hidden="1" x14ac:dyDescent="0.45">
      <c r="A2347" s="7">
        <v>2341</v>
      </c>
      <c r="B2347" s="5" t="s">
        <v>4691</v>
      </c>
      <c r="C2347" s="6" t="s">
        <v>4692</v>
      </c>
      <c r="D2347" s="6" t="s">
        <v>13</v>
      </c>
      <c r="E2347" s="6"/>
      <c r="F2347" s="6"/>
      <c r="G2347" s="6"/>
      <c r="H2347" s="6"/>
      <c r="I2347" s="6"/>
      <c r="J2347" s="8"/>
      <c r="K2347" s="6"/>
      <c r="L2347" s="6"/>
      <c r="M2347" s="8"/>
      <c r="N2347" s="8"/>
      <c r="O2347" s="8"/>
      <c r="P2347" s="8"/>
      <c r="Q2347" s="18" t="e">
        <f>(Table1[[#This Row],[A. TÀI SẢN NGẮN HẠN]]-Table1[[#This Row],[I. Nợ ngắn hạn]])/Table1[[#This Row],[TỔNG CỘNG TÀI SẢN]]</f>
        <v>#DIV/0!</v>
      </c>
      <c r="R2347" s="18" t="e">
        <f>Table1[[#This Row],[- LNST chưa phân phối kỳ này]]/Table1[[#This Row],[TỔNG CỘNG TÀI SẢN]]</f>
        <v>#DIV/0!</v>
      </c>
      <c r="S2347" s="21" t="e">
        <f>Table1[[#This Row],[5. Lợi nhuận gộp về bán hàng và cung cấp dịch vụ]]/Table1[[#This Row],[TỔNG CỘNG TÀI SẢN]]</f>
        <v>#DIV/0!</v>
      </c>
      <c r="T234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347" s="23" t="e">
        <f>Table1[[#This Row],[1. Doanh thu bán hàng và cung cấp dịch vụ ]]/Table1[[#This Row],[TỔNG CỘNG TÀI SẢN]]</f>
        <v>#DIV/0!</v>
      </c>
      <c r="V2347" s="23" t="e">
        <f>1.2*Table1[[#This Row],[X1]] + 1.4*Table1[[#This Row],[X2]] + 3.3*Table1[[#This Row],[x3]] + 0.6*Table1[[#This Row],[x4]] + 1*Table1[[#This Row],[x5]]</f>
        <v>#DIV/0!</v>
      </c>
      <c r="W2347" s="23" t="e">
        <f>IF(Table1[[#This Row],[Zscore]]&lt;1.81,1,0)</f>
        <v>#DIV/0!</v>
      </c>
    </row>
    <row r="2348" spans="1:23" x14ac:dyDescent="0.45">
      <c r="A2348" s="7">
        <v>2342</v>
      </c>
      <c r="B2348" s="5" t="s">
        <v>4693</v>
      </c>
      <c r="C2348" s="6" t="s">
        <v>4694</v>
      </c>
      <c r="D2348" s="6" t="s">
        <v>18</v>
      </c>
      <c r="E2348" s="8">
        <v>17943231098248</v>
      </c>
      <c r="F2348" s="8">
        <v>8275534765535</v>
      </c>
      <c r="G2348" s="8">
        <v>4616561762564</v>
      </c>
      <c r="H2348" s="8">
        <v>636259598399</v>
      </c>
      <c r="I2348" s="8">
        <v>1039574080147</v>
      </c>
      <c r="J2348" s="8"/>
      <c r="K2348" s="8">
        <v>13258161895246</v>
      </c>
      <c r="L2348" s="8">
        <v>13387064660971</v>
      </c>
      <c r="M2348" s="8">
        <v>5360000000000</v>
      </c>
      <c r="N2348" s="8">
        <v>4620000000000</v>
      </c>
      <c r="O2348" s="8">
        <v>4720000000000</v>
      </c>
      <c r="P2348" s="8">
        <v>4840000000000</v>
      </c>
      <c r="Q2348" s="18">
        <f>(Table1[[#This Row],[A. TÀI SẢN NGẮN HẠN]]-Table1[[#This Row],[I. Nợ ngắn hạn]])/Table1[[#This Row],[TỔNG CỘNG TÀI SẢN]]</f>
        <v>0.20391940464548031</v>
      </c>
      <c r="R2348" s="18">
        <f>Table1[[#This Row],[- LNST chưa phân phối kỳ này]]/Table1[[#This Row],[TỔNG CỘNG TÀI SẢN]]</f>
        <v>3.5459588906544555E-2</v>
      </c>
      <c r="S2348" s="21">
        <f>Table1[[#This Row],[5. Lợi nhuận gộp về bán hàng và cung cấp dịch vụ]]/Table1[[#This Row],[TỔNG CỘNG TÀI SẢN]]</f>
        <v>5.7936838379599613E-2</v>
      </c>
      <c r="T234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0.36845228159052895</v>
      </c>
      <c r="U2348" s="23">
        <f>Table1[[#This Row],[1. Doanh thu bán hàng và cung cấp dịch vụ ]]/Table1[[#This Row],[TỔNG CỘNG TÀI SẢN]]</f>
        <v>0.74607881867375214</v>
      </c>
      <c r="V2348" s="23">
        <f>1.2*Table1[[#This Row],[X1]] + 1.4*Table1[[#This Row],[X2]] + 3.3*Table1[[#This Row],[x3]] + 0.6*Table1[[#This Row],[x4]] + 1*Table1[[#This Row],[x5]]</f>
        <v>1.4526884643244871</v>
      </c>
      <c r="W2348" s="23">
        <f>IF(Table1[[#This Row],[Zscore]]&lt;1.81,1,0)</f>
        <v>1</v>
      </c>
    </row>
    <row r="2349" spans="1:23" hidden="1" x14ac:dyDescent="0.45">
      <c r="A2349" s="7">
        <v>2343</v>
      </c>
      <c r="B2349" s="5" t="s">
        <v>4695</v>
      </c>
      <c r="C2349" s="6" t="s">
        <v>4696</v>
      </c>
      <c r="D2349" s="6" t="s">
        <v>18</v>
      </c>
      <c r="E2349" s="6"/>
      <c r="F2349" s="6"/>
      <c r="G2349" s="6"/>
      <c r="H2349" s="6"/>
      <c r="I2349" s="6"/>
      <c r="J2349" s="8"/>
      <c r="K2349" s="6"/>
      <c r="L2349" s="6"/>
      <c r="M2349" s="8"/>
      <c r="N2349" s="8"/>
      <c r="O2349" s="8"/>
      <c r="P2349" s="8"/>
      <c r="Q2349" s="18" t="e">
        <f>(Table1[[#This Row],[A. TÀI SẢN NGẮN HẠN]]-Table1[[#This Row],[I. Nợ ngắn hạn]])/Table1[[#This Row],[TỔNG CỘNG TÀI SẢN]]</f>
        <v>#DIV/0!</v>
      </c>
      <c r="R2349" s="18" t="e">
        <f>Table1[[#This Row],[- LNST chưa phân phối kỳ này]]/Table1[[#This Row],[TỔNG CỘNG TÀI SẢN]]</f>
        <v>#DIV/0!</v>
      </c>
      <c r="S2349" s="21" t="e">
        <f>Table1[[#This Row],[5. Lợi nhuận gộp về bán hàng và cung cấp dịch vụ]]/Table1[[#This Row],[TỔNG CỘNG TÀI SẢN]]</f>
        <v>#DIV/0!</v>
      </c>
      <c r="T234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349" s="23" t="e">
        <f>Table1[[#This Row],[1. Doanh thu bán hàng và cung cấp dịch vụ ]]/Table1[[#This Row],[TỔNG CỘNG TÀI SẢN]]</f>
        <v>#DIV/0!</v>
      </c>
      <c r="V2349" s="23" t="e">
        <f>1.2*Table1[[#This Row],[X1]] + 1.4*Table1[[#This Row],[X2]] + 3.3*Table1[[#This Row],[x3]] + 0.6*Table1[[#This Row],[x4]] + 1*Table1[[#This Row],[x5]]</f>
        <v>#DIV/0!</v>
      </c>
      <c r="W2349" s="23" t="e">
        <f>IF(Table1[[#This Row],[Zscore]]&lt;1.81,1,0)</f>
        <v>#DIV/0!</v>
      </c>
    </row>
    <row r="2350" spans="1:23" ht="26.25" x14ac:dyDescent="0.45">
      <c r="A2350" s="7">
        <v>2344</v>
      </c>
      <c r="B2350" s="5" t="s">
        <v>4697</v>
      </c>
      <c r="C2350" s="6" t="s">
        <v>4698</v>
      </c>
      <c r="D2350" s="6" t="s">
        <v>36</v>
      </c>
      <c r="E2350" s="8">
        <v>4052848306807</v>
      </c>
      <c r="F2350" s="8">
        <v>1954643057651</v>
      </c>
      <c r="G2350" s="8">
        <v>1076894835646</v>
      </c>
      <c r="H2350" s="8">
        <v>70188050129</v>
      </c>
      <c r="I2350" s="8">
        <v>189118670352</v>
      </c>
      <c r="J2350" s="8"/>
      <c r="K2350" s="8">
        <v>1884346127509</v>
      </c>
      <c r="L2350" s="8">
        <v>1072035779157</v>
      </c>
      <c r="M2350" s="8">
        <v>2168389496000</v>
      </c>
      <c r="N2350" s="8">
        <v>1645652742500</v>
      </c>
      <c r="O2350" s="8">
        <v>1374604055500</v>
      </c>
      <c r="P2350" s="8">
        <v>1703734604000</v>
      </c>
      <c r="Q2350" s="18">
        <f>(Table1[[#This Row],[A. TÀI SẢN NGẮN HẠN]]-Table1[[#This Row],[I. Nợ ngắn hạn]])/Table1[[#This Row],[TỔNG CỘNG TÀI SẢN]]</f>
        <v>0.21657564151383846</v>
      </c>
      <c r="R2350" s="18">
        <f>Table1[[#This Row],[- LNST chưa phân phối kỳ này]]/Table1[[#This Row],[TỔNG CỘNG TÀI SẢN]]</f>
        <v>1.7318203104496901E-2</v>
      </c>
      <c r="S2350" s="21">
        <f>Table1[[#This Row],[5. Lợi nhuận gộp về bán hàng và cung cấp dịch vụ]]/Table1[[#This Row],[TỔNG CỘNG TÀI SẢN]]</f>
        <v>4.6663150464912276E-2</v>
      </c>
      <c r="T235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0.91442607031959433</v>
      </c>
      <c r="U2350" s="23">
        <f>Table1[[#This Row],[1. Doanh thu bán hàng và cung cấp dịch vụ ]]/Table1[[#This Row],[TỔNG CỘNG TÀI SẢN]]</f>
        <v>0.26451416337405276</v>
      </c>
      <c r="V2350" s="23">
        <f>1.2*Table1[[#This Row],[X1]] + 1.4*Table1[[#This Row],[X2]] + 3.3*Table1[[#This Row],[x3]] + 0.6*Table1[[#This Row],[x4]] + 1*Table1[[#This Row],[x5]]</f>
        <v>1.2512944562629216</v>
      </c>
      <c r="W2350" s="23">
        <f>IF(Table1[[#This Row],[Zscore]]&lt;1.81,1,0)</f>
        <v>1</v>
      </c>
    </row>
    <row r="2351" spans="1:23" ht="26.25" x14ac:dyDescent="0.45">
      <c r="A2351" s="7">
        <v>2345</v>
      </c>
      <c r="B2351" s="5" t="s">
        <v>4699</v>
      </c>
      <c r="C2351" s="6" t="s">
        <v>4700</v>
      </c>
      <c r="D2351" s="6" t="s">
        <v>18</v>
      </c>
      <c r="E2351" s="8">
        <v>17641693551430</v>
      </c>
      <c r="F2351" s="6"/>
      <c r="G2351" s="6"/>
      <c r="H2351" s="6"/>
      <c r="I2351" s="6"/>
      <c r="J2351" s="8"/>
      <c r="K2351" s="8">
        <v>15642870545501</v>
      </c>
      <c r="L2351" s="8">
        <v>3793476541018</v>
      </c>
      <c r="M2351" s="8">
        <v>1586502959400</v>
      </c>
      <c r="N2351" s="8">
        <v>5105986536000</v>
      </c>
      <c r="O2351" s="8">
        <v>4887158541600</v>
      </c>
      <c r="P2351" s="8">
        <v>4805098043700</v>
      </c>
      <c r="Q2351" s="18">
        <f>(Table1[[#This Row],[A. TÀI SẢN NGẮN HẠN]]-Table1[[#This Row],[I. Nợ ngắn hạn]])/Table1[[#This Row],[TỔNG CỘNG TÀI SẢN]]</f>
        <v>0</v>
      </c>
      <c r="R2351" s="18">
        <f>Table1[[#This Row],[- LNST chưa phân phối kỳ này]]/Table1[[#This Row],[TỔNG CỘNG TÀI SẢN]]</f>
        <v>0</v>
      </c>
      <c r="S2351" s="21">
        <f>Table1[[#This Row],[5. Lợi nhuận gộp về bán hàng và cung cấp dịch vụ]]/Table1[[#This Row],[TỔNG CỘNG TÀI SẢN]]</f>
        <v>0</v>
      </c>
      <c r="T235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0.26185644816661174</v>
      </c>
      <c r="U2351" s="23">
        <f>Table1[[#This Row],[1. Doanh thu bán hàng và cung cấp dịch vụ ]]/Table1[[#This Row],[TỔNG CỘNG TÀI SẢN]]</f>
        <v>0.21502904638713149</v>
      </c>
      <c r="V2351" s="23">
        <f>1.2*Table1[[#This Row],[X1]] + 1.4*Table1[[#This Row],[X2]] + 3.3*Table1[[#This Row],[x3]] + 0.6*Table1[[#This Row],[x4]] + 1*Table1[[#This Row],[x5]]</f>
        <v>0.37214291528709853</v>
      </c>
      <c r="W2351" s="23">
        <f>IF(Table1[[#This Row],[Zscore]]&lt;1.81,1,0)</f>
        <v>1</v>
      </c>
    </row>
    <row r="2352" spans="1:23" ht="26.25" hidden="1" x14ac:dyDescent="0.45">
      <c r="A2352" s="7">
        <v>2346</v>
      </c>
      <c r="B2352" s="5" t="s">
        <v>4701</v>
      </c>
      <c r="C2352" s="6" t="s">
        <v>4702</v>
      </c>
      <c r="D2352" s="6" t="s">
        <v>13</v>
      </c>
      <c r="E2352" s="6"/>
      <c r="F2352" s="6"/>
      <c r="G2352" s="6"/>
      <c r="H2352" s="6"/>
      <c r="I2352" s="6"/>
      <c r="J2352" s="8"/>
      <c r="K2352" s="6"/>
      <c r="L2352" s="6"/>
      <c r="M2352" s="8"/>
      <c r="N2352" s="8"/>
      <c r="O2352" s="8"/>
      <c r="P2352" s="8"/>
      <c r="Q2352" s="18" t="e">
        <f>(Table1[[#This Row],[A. TÀI SẢN NGẮN HẠN]]-Table1[[#This Row],[I. Nợ ngắn hạn]])/Table1[[#This Row],[TỔNG CỘNG TÀI SẢN]]</f>
        <v>#DIV/0!</v>
      </c>
      <c r="R2352" s="18" t="e">
        <f>Table1[[#This Row],[- LNST chưa phân phối kỳ này]]/Table1[[#This Row],[TỔNG CỘNG TÀI SẢN]]</f>
        <v>#DIV/0!</v>
      </c>
      <c r="S2352" s="21" t="e">
        <f>Table1[[#This Row],[5. Lợi nhuận gộp về bán hàng và cung cấp dịch vụ]]/Table1[[#This Row],[TỔNG CỘNG TÀI SẢN]]</f>
        <v>#DIV/0!</v>
      </c>
      <c r="T235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352" s="23" t="e">
        <f>Table1[[#This Row],[1. Doanh thu bán hàng và cung cấp dịch vụ ]]/Table1[[#This Row],[TỔNG CỘNG TÀI SẢN]]</f>
        <v>#DIV/0!</v>
      </c>
      <c r="V2352" s="23" t="e">
        <f>1.2*Table1[[#This Row],[X1]] + 1.4*Table1[[#This Row],[X2]] + 3.3*Table1[[#This Row],[x3]] + 0.6*Table1[[#This Row],[x4]] + 1*Table1[[#This Row],[x5]]</f>
        <v>#DIV/0!</v>
      </c>
      <c r="W2352" s="23" t="e">
        <f>IF(Table1[[#This Row],[Zscore]]&lt;1.81,1,0)</f>
        <v>#DIV/0!</v>
      </c>
    </row>
    <row r="2353" spans="1:23" hidden="1" x14ac:dyDescent="0.45">
      <c r="A2353" s="7">
        <v>2347</v>
      </c>
      <c r="B2353" s="5" t="s">
        <v>4703</v>
      </c>
      <c r="C2353" s="6" t="s">
        <v>4704</v>
      </c>
      <c r="D2353" s="6" t="s">
        <v>13</v>
      </c>
      <c r="E2353" s="6"/>
      <c r="F2353" s="6"/>
      <c r="G2353" s="6"/>
      <c r="H2353" s="6"/>
      <c r="I2353" s="6"/>
      <c r="J2353" s="8"/>
      <c r="K2353" s="6"/>
      <c r="L2353" s="6"/>
      <c r="M2353" s="8"/>
      <c r="N2353" s="8"/>
      <c r="O2353" s="8"/>
      <c r="P2353" s="8"/>
      <c r="Q2353" s="18" t="e">
        <f>(Table1[[#This Row],[A. TÀI SẢN NGẮN HẠN]]-Table1[[#This Row],[I. Nợ ngắn hạn]])/Table1[[#This Row],[TỔNG CỘNG TÀI SẢN]]</f>
        <v>#DIV/0!</v>
      </c>
      <c r="R2353" s="18" t="e">
        <f>Table1[[#This Row],[- LNST chưa phân phối kỳ này]]/Table1[[#This Row],[TỔNG CỘNG TÀI SẢN]]</f>
        <v>#DIV/0!</v>
      </c>
      <c r="S2353" s="21" t="e">
        <f>Table1[[#This Row],[5. Lợi nhuận gộp về bán hàng và cung cấp dịch vụ]]/Table1[[#This Row],[TỔNG CỘNG TÀI SẢN]]</f>
        <v>#DIV/0!</v>
      </c>
      <c r="T235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353" s="23" t="e">
        <f>Table1[[#This Row],[1. Doanh thu bán hàng và cung cấp dịch vụ ]]/Table1[[#This Row],[TỔNG CỘNG TÀI SẢN]]</f>
        <v>#DIV/0!</v>
      </c>
      <c r="V2353" s="23" t="e">
        <f>1.2*Table1[[#This Row],[X1]] + 1.4*Table1[[#This Row],[X2]] + 3.3*Table1[[#This Row],[x3]] + 0.6*Table1[[#This Row],[x4]] + 1*Table1[[#This Row],[x5]]</f>
        <v>#DIV/0!</v>
      </c>
      <c r="W2353" s="23" t="e">
        <f>IF(Table1[[#This Row],[Zscore]]&lt;1.81,1,0)</f>
        <v>#DIV/0!</v>
      </c>
    </row>
    <row r="2354" spans="1:23" hidden="1" x14ac:dyDescent="0.45">
      <c r="A2354" s="7">
        <v>2348</v>
      </c>
      <c r="B2354" s="5" t="s">
        <v>4705</v>
      </c>
      <c r="C2354" s="6" t="s">
        <v>4706</v>
      </c>
      <c r="D2354" s="6" t="s">
        <v>13</v>
      </c>
      <c r="E2354" s="6"/>
      <c r="F2354" s="6"/>
      <c r="G2354" s="6"/>
      <c r="H2354" s="6"/>
      <c r="I2354" s="6"/>
      <c r="J2354" s="8"/>
      <c r="K2354" s="6"/>
      <c r="L2354" s="6"/>
      <c r="M2354" s="8"/>
      <c r="N2354" s="8"/>
      <c r="O2354" s="8"/>
      <c r="P2354" s="8"/>
      <c r="Q2354" s="18" t="e">
        <f>(Table1[[#This Row],[A. TÀI SẢN NGẮN HẠN]]-Table1[[#This Row],[I. Nợ ngắn hạn]])/Table1[[#This Row],[TỔNG CỘNG TÀI SẢN]]</f>
        <v>#DIV/0!</v>
      </c>
      <c r="R2354" s="18" t="e">
        <f>Table1[[#This Row],[- LNST chưa phân phối kỳ này]]/Table1[[#This Row],[TỔNG CỘNG TÀI SẢN]]</f>
        <v>#DIV/0!</v>
      </c>
      <c r="S2354" s="21" t="e">
        <f>Table1[[#This Row],[5. Lợi nhuận gộp về bán hàng và cung cấp dịch vụ]]/Table1[[#This Row],[TỔNG CỘNG TÀI SẢN]]</f>
        <v>#DIV/0!</v>
      </c>
      <c r="T235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354" s="23" t="e">
        <f>Table1[[#This Row],[1. Doanh thu bán hàng và cung cấp dịch vụ ]]/Table1[[#This Row],[TỔNG CỘNG TÀI SẢN]]</f>
        <v>#DIV/0!</v>
      </c>
      <c r="V2354" s="23" t="e">
        <f>1.2*Table1[[#This Row],[X1]] + 1.4*Table1[[#This Row],[X2]] + 3.3*Table1[[#This Row],[x3]] + 0.6*Table1[[#This Row],[x4]] + 1*Table1[[#This Row],[x5]]</f>
        <v>#DIV/0!</v>
      </c>
      <c r="W2354" s="23" t="e">
        <f>IF(Table1[[#This Row],[Zscore]]&lt;1.81,1,0)</f>
        <v>#DIV/0!</v>
      </c>
    </row>
    <row r="2355" spans="1:23" ht="26.25" x14ac:dyDescent="0.45">
      <c r="A2355" s="7">
        <v>2349</v>
      </c>
      <c r="B2355" s="5" t="s">
        <v>4707</v>
      </c>
      <c r="C2355" s="6" t="s">
        <v>4708</v>
      </c>
      <c r="D2355" s="6" t="s">
        <v>21</v>
      </c>
      <c r="E2355" s="8">
        <v>2155654856223</v>
      </c>
      <c r="F2355" s="8">
        <v>1716057351269</v>
      </c>
      <c r="G2355" s="8">
        <v>82524470048</v>
      </c>
      <c r="H2355" s="8">
        <v>118455926493</v>
      </c>
      <c r="I2355" s="8">
        <v>96655655598</v>
      </c>
      <c r="J2355" s="8"/>
      <c r="K2355" s="8">
        <v>253010038008</v>
      </c>
      <c r="L2355" s="8">
        <v>148209554064</v>
      </c>
      <c r="M2355" s="8">
        <v>1404169711200</v>
      </c>
      <c r="N2355" s="8">
        <v>1163640640300</v>
      </c>
      <c r="O2355" s="8">
        <v>1244900461550</v>
      </c>
      <c r="P2355" s="8">
        <v>1257902032950</v>
      </c>
      <c r="Q2355" s="18">
        <f>(Table1[[#This Row],[A. TÀI SẢN NGẮN HẠN]]-Table1[[#This Row],[I. Nợ ngắn hạn]])/Table1[[#This Row],[TỔNG CỘNG TÀI SẢN]]</f>
        <v>0.75778962318818111</v>
      </c>
      <c r="R2355" s="18">
        <f>Table1[[#This Row],[- LNST chưa phân phối kỳ này]]/Table1[[#This Row],[TỔNG CỘNG TÀI SẢN]]</f>
        <v>5.4951248875040631E-2</v>
      </c>
      <c r="S2355" s="21">
        <f>Table1[[#This Row],[5. Lợi nhuận gộp về bán hàng và cung cấp dịch vụ]]/Table1[[#This Row],[TỔNG CỘNG TÀI SẢN]]</f>
        <v>4.4838187021902863E-2</v>
      </c>
      <c r="T235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5.0102882141771694</v>
      </c>
      <c r="U2355" s="23">
        <f>Table1[[#This Row],[1. Doanh thu bán hàng và cung cấp dịch vụ ]]/Table1[[#This Row],[TỔNG CỘNG TÀI SẢN]]</f>
        <v>6.8753842312068117E-2</v>
      </c>
      <c r="V2355" s="23">
        <f>1.2*Table1[[#This Row],[X1]] + 1.4*Table1[[#This Row],[X2]] + 3.3*Table1[[#This Row],[x3]] + 0.6*Table1[[#This Row],[x4]] + 1*Table1[[#This Row],[x5]]</f>
        <v>4.2091720842415228</v>
      </c>
      <c r="W2355" s="23">
        <f>IF(Table1[[#This Row],[Zscore]]&lt;1.81,1,0)</f>
        <v>0</v>
      </c>
    </row>
    <row r="2356" spans="1:23" x14ac:dyDescent="0.45">
      <c r="A2356" s="7">
        <v>2350</v>
      </c>
      <c r="B2356" s="5" t="s">
        <v>4709</v>
      </c>
      <c r="C2356" s="6" t="s">
        <v>4710</v>
      </c>
      <c r="D2356" s="6" t="s">
        <v>18</v>
      </c>
      <c r="E2356" s="8">
        <v>10587146421960</v>
      </c>
      <c r="F2356" s="8">
        <v>2806928678644</v>
      </c>
      <c r="G2356" s="8">
        <v>6285688367109</v>
      </c>
      <c r="H2356" s="8">
        <v>963261632</v>
      </c>
      <c r="I2356" s="8">
        <v>362080391922</v>
      </c>
      <c r="J2356" s="8"/>
      <c r="K2356" s="8">
        <v>9091940319060</v>
      </c>
      <c r="L2356" s="8">
        <v>11991618053781</v>
      </c>
      <c r="M2356" s="8">
        <v>1122332290000</v>
      </c>
      <c r="N2356" s="8">
        <v>938343390000</v>
      </c>
      <c r="O2356" s="8">
        <v>956742280000</v>
      </c>
      <c r="P2356" s="8">
        <v>956742280000</v>
      </c>
      <c r="Q2356" s="18">
        <f>(Table1[[#This Row],[A. TÀI SẢN NGẮN HẠN]]-Table1[[#This Row],[I. Nợ ngắn hạn]])/Table1[[#This Row],[TỔNG CỘNG TÀI SẢN]]</f>
        <v>-0.32858331695963988</v>
      </c>
      <c r="R2356" s="18">
        <f>Table1[[#This Row],[- LNST chưa phân phối kỳ này]]/Table1[[#This Row],[TỔNG CỘNG TÀI SẢN]]</f>
        <v>9.0984066301566391E-5</v>
      </c>
      <c r="S2356" s="21">
        <f>Table1[[#This Row],[5. Lợi nhuận gộp về bán hàng và cung cấp dịch vụ]]/Table1[[#This Row],[TỔNG CỘNG TÀI SẢN]]</f>
        <v>3.4199998516216613E-2</v>
      </c>
      <c r="T235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0.10927701075172921</v>
      </c>
      <c r="U2356" s="23">
        <f>Table1[[#This Row],[1. Doanh thu bán hàng và cung cấp dịch vụ ]]/Table1[[#This Row],[TỔNG CỘNG TÀI SẢN]]</f>
        <v>1.1326581852979596</v>
      </c>
      <c r="V2356" s="23">
        <f>1.2*Table1[[#This Row],[X1]] + 1.4*Table1[[#This Row],[X2]] + 3.3*Table1[[#This Row],[x3]] + 0.6*Table1[[#This Row],[x4]] + 1*Table1[[#This Row],[x5]]</f>
        <v>0.91691178419376629</v>
      </c>
      <c r="W2356" s="23">
        <f>IF(Table1[[#This Row],[Zscore]]&lt;1.81,1,0)</f>
        <v>1</v>
      </c>
    </row>
    <row r="2357" spans="1:23" ht="26.25" hidden="1" x14ac:dyDescent="0.45">
      <c r="A2357" s="7">
        <v>2351</v>
      </c>
      <c r="B2357" s="5" t="s">
        <v>4711</v>
      </c>
      <c r="C2357" s="6" t="s">
        <v>4712</v>
      </c>
      <c r="D2357" s="6" t="s">
        <v>13</v>
      </c>
      <c r="E2357" s="6"/>
      <c r="F2357" s="6"/>
      <c r="G2357" s="6"/>
      <c r="H2357" s="6"/>
      <c r="I2357" s="6"/>
      <c r="J2357" s="8"/>
      <c r="K2357" s="6"/>
      <c r="L2357" s="6"/>
      <c r="M2357" s="8"/>
      <c r="N2357" s="8"/>
      <c r="O2357" s="8"/>
      <c r="P2357" s="8"/>
      <c r="Q2357" s="18" t="e">
        <f>(Table1[[#This Row],[A. TÀI SẢN NGẮN HẠN]]-Table1[[#This Row],[I. Nợ ngắn hạn]])/Table1[[#This Row],[TỔNG CỘNG TÀI SẢN]]</f>
        <v>#DIV/0!</v>
      </c>
      <c r="R2357" s="18" t="e">
        <f>Table1[[#This Row],[- LNST chưa phân phối kỳ này]]/Table1[[#This Row],[TỔNG CỘNG TÀI SẢN]]</f>
        <v>#DIV/0!</v>
      </c>
      <c r="S2357" s="21" t="e">
        <f>Table1[[#This Row],[5. Lợi nhuận gộp về bán hàng và cung cấp dịch vụ]]/Table1[[#This Row],[TỔNG CỘNG TÀI SẢN]]</f>
        <v>#DIV/0!</v>
      </c>
      <c r="T235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357" s="23" t="e">
        <f>Table1[[#This Row],[1. Doanh thu bán hàng và cung cấp dịch vụ ]]/Table1[[#This Row],[TỔNG CỘNG TÀI SẢN]]</f>
        <v>#DIV/0!</v>
      </c>
      <c r="V2357" s="23" t="e">
        <f>1.2*Table1[[#This Row],[X1]] + 1.4*Table1[[#This Row],[X2]] + 3.3*Table1[[#This Row],[x3]] + 0.6*Table1[[#This Row],[x4]] + 1*Table1[[#This Row],[x5]]</f>
        <v>#DIV/0!</v>
      </c>
      <c r="W2357" s="23" t="e">
        <f>IF(Table1[[#This Row],[Zscore]]&lt;1.81,1,0)</f>
        <v>#DIV/0!</v>
      </c>
    </row>
    <row r="2358" spans="1:23" ht="39" x14ac:dyDescent="0.45">
      <c r="A2358" s="7">
        <v>2352</v>
      </c>
      <c r="B2358" s="5" t="s">
        <v>4713</v>
      </c>
      <c r="C2358" s="6" t="s">
        <v>4714</v>
      </c>
      <c r="D2358" s="6" t="s">
        <v>21</v>
      </c>
      <c r="E2358" s="8">
        <v>1226447353698</v>
      </c>
      <c r="F2358" s="8">
        <v>596427093955</v>
      </c>
      <c r="G2358" s="8">
        <v>117917278071</v>
      </c>
      <c r="H2358" s="8">
        <v>79071804652</v>
      </c>
      <c r="I2358" s="8">
        <v>190717545346</v>
      </c>
      <c r="J2358" s="8"/>
      <c r="K2358" s="8">
        <v>371458584542</v>
      </c>
      <c r="L2358" s="8">
        <v>245453899706</v>
      </c>
      <c r="M2358" s="8">
        <v>1140000000000</v>
      </c>
      <c r="N2358" s="8">
        <v>1230000000000</v>
      </c>
      <c r="O2358" s="8">
        <v>1140000000000</v>
      </c>
      <c r="P2358" s="8">
        <v>1320000000000</v>
      </c>
      <c r="Q2358" s="18">
        <f>(Table1[[#This Row],[A. TÀI SẢN NGẮN HẠN]]-Table1[[#This Row],[I. Nợ ngắn hạn]])/Table1[[#This Row],[TỔNG CỘNG TÀI SẢN]]</f>
        <v>0.39015927951672036</v>
      </c>
      <c r="R2358" s="18">
        <f>Table1[[#This Row],[- LNST chưa phân phối kỳ này]]/Table1[[#This Row],[TỔNG CỘNG TÀI SẢN]]</f>
        <v>6.4472237160104487E-2</v>
      </c>
      <c r="S2358" s="21">
        <f>Table1[[#This Row],[5. Lợi nhuận gộp về bán hàng và cung cấp dịch vụ]]/Table1[[#This Row],[TỔNG CỘNG TÀI SẢN]]</f>
        <v>0.15550406201370648</v>
      </c>
      <c r="T235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3.2506988672473947</v>
      </c>
      <c r="U2358" s="23">
        <f>Table1[[#This Row],[1. Doanh thu bán hàng và cung cấp dịch vụ ]]/Table1[[#This Row],[TỔNG CỘNG TÀI SẢN]]</f>
        <v>0.20013406932299557</v>
      </c>
      <c r="V2358" s="23">
        <f>1.2*Table1[[#This Row],[X1]] + 1.4*Table1[[#This Row],[X2]] + 3.3*Table1[[#This Row],[x3]] + 0.6*Table1[[#This Row],[x4]] + 1*Table1[[#This Row],[x5]]</f>
        <v>3.2221690617608747</v>
      </c>
      <c r="W2358" s="23">
        <f>IF(Table1[[#This Row],[Zscore]]&lt;1.81,1,0)</f>
        <v>0</v>
      </c>
    </row>
    <row r="2359" spans="1:23" ht="26.25" x14ac:dyDescent="0.45">
      <c r="A2359" s="7">
        <v>2353</v>
      </c>
      <c r="B2359" s="5" t="s">
        <v>4715</v>
      </c>
      <c r="C2359" s="6" t="s">
        <v>4716</v>
      </c>
      <c r="D2359" s="6" t="s">
        <v>36</v>
      </c>
      <c r="E2359" s="8">
        <v>182387136978</v>
      </c>
      <c r="F2359" s="8">
        <v>142177228554</v>
      </c>
      <c r="G2359" s="8">
        <v>1528491074</v>
      </c>
      <c r="H2359" s="8">
        <v>4310799019</v>
      </c>
      <c r="I2359" s="8">
        <v>1914665779</v>
      </c>
      <c r="J2359" s="8"/>
      <c r="K2359" s="8">
        <v>2309385074</v>
      </c>
      <c r="L2359" s="8">
        <v>3891874188</v>
      </c>
      <c r="M2359" s="8">
        <v>172000000000</v>
      </c>
      <c r="N2359" s="8">
        <v>120400000000</v>
      </c>
      <c r="O2359" s="8">
        <v>169420000000</v>
      </c>
      <c r="P2359" s="8">
        <v>120400000000</v>
      </c>
      <c r="Q2359" s="18">
        <f>(Table1[[#This Row],[A. TÀI SẢN NGẮN HẠN]]-Table1[[#This Row],[I. Nợ ngắn hạn]])/Table1[[#This Row],[TỔNG CỘNG TÀI SẢN]]</f>
        <v>0.77115491701021333</v>
      </c>
      <c r="R2359" s="18">
        <f>Table1[[#This Row],[- LNST chưa phân phối kỳ này]]/Table1[[#This Row],[TỔNG CỘNG TÀI SẢN]]</f>
        <v>2.3635433344841524E-2</v>
      </c>
      <c r="S2359" s="21">
        <f>Table1[[#This Row],[5. Lợi nhuận gộp về bán hàng và cung cấp dịch vụ]]/Table1[[#This Row],[TỔNG CỘNG TÀI SẢN]]</f>
        <v>1.0497811472477645E-2</v>
      </c>
      <c r="T235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63.027600567232213</v>
      </c>
      <c r="U2359" s="23">
        <f>Table1[[#This Row],[1. Doanh thu bán hàng và cung cấp dịch vụ ]]/Table1[[#This Row],[TỔNG CỘNG TÀI SẢN]]</f>
        <v>2.1338534353272116E-2</v>
      </c>
      <c r="V2359" s="23">
        <f>1.2*Table1[[#This Row],[X1]] + 1.4*Table1[[#This Row],[X2]] + 3.3*Table1[[#This Row],[x3]] + 0.6*Table1[[#This Row],[x4]] + 1*Table1[[#This Row],[x5]]</f>
        <v>38.831017159646812</v>
      </c>
      <c r="W2359" s="23">
        <f>IF(Table1[[#This Row],[Zscore]]&lt;1.81,1,0)</f>
        <v>0</v>
      </c>
    </row>
    <row r="2360" spans="1:23" hidden="1" x14ac:dyDescent="0.45">
      <c r="A2360" s="7">
        <v>2354</v>
      </c>
      <c r="B2360" s="5" t="s">
        <v>4717</v>
      </c>
      <c r="C2360" s="6" t="s">
        <v>4718</v>
      </c>
      <c r="D2360" s="6" t="s">
        <v>18</v>
      </c>
      <c r="E2360" s="8">
        <v>84268656806</v>
      </c>
      <c r="F2360" s="8">
        <v>71997312132</v>
      </c>
      <c r="G2360" s="8">
        <v>27395809203</v>
      </c>
      <c r="H2360" s="8">
        <v>9987145602</v>
      </c>
      <c r="I2360" s="8">
        <v>25564277534</v>
      </c>
      <c r="J2360" s="8"/>
      <c r="K2360" s="8">
        <v>27395809203</v>
      </c>
      <c r="L2360" s="8">
        <v>179490732427</v>
      </c>
      <c r="M2360" s="8"/>
      <c r="N2360" s="8"/>
      <c r="O2360" s="8"/>
      <c r="P2360" s="8"/>
      <c r="Q2360" s="18">
        <f>(Table1[[#This Row],[A. TÀI SẢN NGẮN HẠN]]-Table1[[#This Row],[I. Nợ ngắn hạn]])/Table1[[#This Row],[TỔNG CỘNG TÀI SẢN]]</f>
        <v>0.52927748725934765</v>
      </c>
      <c r="R2360" s="18">
        <f>Table1[[#This Row],[- LNST chưa phân phối kỳ này]]/Table1[[#This Row],[TỔNG CỘNG TÀI SẢN]]</f>
        <v>0.11851554279537189</v>
      </c>
      <c r="S2360" s="21">
        <f>Table1[[#This Row],[5. Lợi nhuận gộp về bán hàng và cung cấp dịch vụ]]/Table1[[#This Row],[TỔNG CỘNG TÀI SẢN]]</f>
        <v>0.30336638203280109</v>
      </c>
      <c r="T236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360" s="23">
        <f>Table1[[#This Row],[1. Doanh thu bán hàng và cung cấp dịch vụ ]]/Table1[[#This Row],[TỔNG CỘNG TÀI SẢN]]</f>
        <v>2.1299821218251589</v>
      </c>
      <c r="V2360" s="23" t="e">
        <f>1.2*Table1[[#This Row],[X1]] + 1.4*Table1[[#This Row],[X2]] + 3.3*Table1[[#This Row],[x3]] + 0.6*Table1[[#This Row],[x4]] + 1*Table1[[#This Row],[x5]]</f>
        <v>#DIV/0!</v>
      </c>
      <c r="W2360" s="23" t="e">
        <f>IF(Table1[[#This Row],[Zscore]]&lt;1.81,1,0)</f>
        <v>#DIV/0!</v>
      </c>
    </row>
    <row r="2361" spans="1:23" ht="26.25" hidden="1" x14ac:dyDescent="0.45">
      <c r="A2361" s="7">
        <v>2355</v>
      </c>
      <c r="B2361" s="5" t="s">
        <v>4719</v>
      </c>
      <c r="C2361" s="6" t="s">
        <v>4720</v>
      </c>
      <c r="D2361" s="6" t="s">
        <v>18</v>
      </c>
      <c r="E2361" s="6"/>
      <c r="F2361" s="6"/>
      <c r="G2361" s="6"/>
      <c r="H2361" s="6"/>
      <c r="I2361" s="6"/>
      <c r="J2361" s="8"/>
      <c r="K2361" s="6"/>
      <c r="L2361" s="6"/>
      <c r="M2361" s="8"/>
      <c r="N2361" s="8"/>
      <c r="O2361" s="8"/>
      <c r="P2361" s="8"/>
      <c r="Q2361" s="18" t="e">
        <f>(Table1[[#This Row],[A. TÀI SẢN NGẮN HẠN]]-Table1[[#This Row],[I. Nợ ngắn hạn]])/Table1[[#This Row],[TỔNG CỘNG TÀI SẢN]]</f>
        <v>#DIV/0!</v>
      </c>
      <c r="R2361" s="18" t="e">
        <f>Table1[[#This Row],[- LNST chưa phân phối kỳ này]]/Table1[[#This Row],[TỔNG CỘNG TÀI SẢN]]</f>
        <v>#DIV/0!</v>
      </c>
      <c r="S2361" s="21" t="e">
        <f>Table1[[#This Row],[5. Lợi nhuận gộp về bán hàng và cung cấp dịch vụ]]/Table1[[#This Row],[TỔNG CỘNG TÀI SẢN]]</f>
        <v>#DIV/0!</v>
      </c>
      <c r="T236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361" s="23" t="e">
        <f>Table1[[#This Row],[1. Doanh thu bán hàng và cung cấp dịch vụ ]]/Table1[[#This Row],[TỔNG CỘNG TÀI SẢN]]</f>
        <v>#DIV/0!</v>
      </c>
      <c r="V2361" s="23" t="e">
        <f>1.2*Table1[[#This Row],[X1]] + 1.4*Table1[[#This Row],[X2]] + 3.3*Table1[[#This Row],[x3]] + 0.6*Table1[[#This Row],[x4]] + 1*Table1[[#This Row],[x5]]</f>
        <v>#DIV/0!</v>
      </c>
      <c r="W2361" s="23" t="e">
        <f>IF(Table1[[#This Row],[Zscore]]&lt;1.81,1,0)</f>
        <v>#DIV/0!</v>
      </c>
    </row>
    <row r="2362" spans="1:23" ht="26.25" hidden="1" x14ac:dyDescent="0.45">
      <c r="A2362" s="7">
        <v>2356</v>
      </c>
      <c r="B2362" s="5" t="s">
        <v>4721</v>
      </c>
      <c r="C2362" s="6" t="s">
        <v>4722</v>
      </c>
      <c r="D2362" s="6" t="s">
        <v>13</v>
      </c>
      <c r="E2362" s="6"/>
      <c r="F2362" s="6"/>
      <c r="G2362" s="6"/>
      <c r="H2362" s="6"/>
      <c r="I2362" s="6"/>
      <c r="J2362" s="8"/>
      <c r="K2362" s="6"/>
      <c r="L2362" s="6"/>
      <c r="M2362" s="8"/>
      <c r="N2362" s="8"/>
      <c r="O2362" s="8"/>
      <c r="P2362" s="8"/>
      <c r="Q2362" s="18" t="e">
        <f>(Table1[[#This Row],[A. TÀI SẢN NGẮN HẠN]]-Table1[[#This Row],[I. Nợ ngắn hạn]])/Table1[[#This Row],[TỔNG CỘNG TÀI SẢN]]</f>
        <v>#DIV/0!</v>
      </c>
      <c r="R2362" s="18" t="e">
        <f>Table1[[#This Row],[- LNST chưa phân phối kỳ này]]/Table1[[#This Row],[TỔNG CỘNG TÀI SẢN]]</f>
        <v>#DIV/0!</v>
      </c>
      <c r="S2362" s="21" t="e">
        <f>Table1[[#This Row],[5. Lợi nhuận gộp về bán hàng và cung cấp dịch vụ]]/Table1[[#This Row],[TỔNG CỘNG TÀI SẢN]]</f>
        <v>#DIV/0!</v>
      </c>
      <c r="T236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362" s="23" t="e">
        <f>Table1[[#This Row],[1. Doanh thu bán hàng và cung cấp dịch vụ ]]/Table1[[#This Row],[TỔNG CỘNG TÀI SẢN]]</f>
        <v>#DIV/0!</v>
      </c>
      <c r="V2362" s="23" t="e">
        <f>1.2*Table1[[#This Row],[X1]] + 1.4*Table1[[#This Row],[X2]] + 3.3*Table1[[#This Row],[x3]] + 0.6*Table1[[#This Row],[x4]] + 1*Table1[[#This Row],[x5]]</f>
        <v>#DIV/0!</v>
      </c>
      <c r="W2362" s="23" t="e">
        <f>IF(Table1[[#This Row],[Zscore]]&lt;1.81,1,0)</f>
        <v>#DIV/0!</v>
      </c>
    </row>
    <row r="2363" spans="1:23" ht="26.25" hidden="1" x14ac:dyDescent="0.45">
      <c r="A2363" s="7">
        <v>2357</v>
      </c>
      <c r="B2363" s="5" t="s">
        <v>4723</v>
      </c>
      <c r="C2363" s="6" t="s">
        <v>4724</v>
      </c>
      <c r="D2363" s="6" t="s">
        <v>13</v>
      </c>
      <c r="E2363" s="6"/>
      <c r="F2363" s="6"/>
      <c r="G2363" s="6"/>
      <c r="H2363" s="6"/>
      <c r="I2363" s="6"/>
      <c r="J2363" s="8"/>
      <c r="K2363" s="6"/>
      <c r="L2363" s="6"/>
      <c r="M2363" s="8"/>
      <c r="N2363" s="8"/>
      <c r="O2363" s="8"/>
      <c r="P2363" s="8"/>
      <c r="Q2363" s="18" t="e">
        <f>(Table1[[#This Row],[A. TÀI SẢN NGẮN HẠN]]-Table1[[#This Row],[I. Nợ ngắn hạn]])/Table1[[#This Row],[TỔNG CỘNG TÀI SẢN]]</f>
        <v>#DIV/0!</v>
      </c>
      <c r="R2363" s="18" t="e">
        <f>Table1[[#This Row],[- LNST chưa phân phối kỳ này]]/Table1[[#This Row],[TỔNG CỘNG TÀI SẢN]]</f>
        <v>#DIV/0!</v>
      </c>
      <c r="S2363" s="21" t="e">
        <f>Table1[[#This Row],[5. Lợi nhuận gộp về bán hàng và cung cấp dịch vụ]]/Table1[[#This Row],[TỔNG CỘNG TÀI SẢN]]</f>
        <v>#DIV/0!</v>
      </c>
      <c r="T236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363" s="23" t="e">
        <f>Table1[[#This Row],[1. Doanh thu bán hàng và cung cấp dịch vụ ]]/Table1[[#This Row],[TỔNG CỘNG TÀI SẢN]]</f>
        <v>#DIV/0!</v>
      </c>
      <c r="V2363" s="23" t="e">
        <f>1.2*Table1[[#This Row],[X1]] + 1.4*Table1[[#This Row],[X2]] + 3.3*Table1[[#This Row],[x3]] + 0.6*Table1[[#This Row],[x4]] + 1*Table1[[#This Row],[x5]]</f>
        <v>#DIV/0!</v>
      </c>
      <c r="W2363" s="23" t="e">
        <f>IF(Table1[[#This Row],[Zscore]]&lt;1.81,1,0)</f>
        <v>#DIV/0!</v>
      </c>
    </row>
    <row r="2364" spans="1:23" hidden="1" x14ac:dyDescent="0.45">
      <c r="A2364" s="7">
        <v>2358</v>
      </c>
      <c r="B2364" s="5" t="s">
        <v>4725</v>
      </c>
      <c r="C2364" s="6" t="s">
        <v>4726</v>
      </c>
      <c r="D2364" s="6" t="s">
        <v>13</v>
      </c>
      <c r="E2364" s="6"/>
      <c r="F2364" s="6"/>
      <c r="G2364" s="6"/>
      <c r="H2364" s="6"/>
      <c r="I2364" s="6"/>
      <c r="J2364" s="8"/>
      <c r="K2364" s="6"/>
      <c r="L2364" s="6"/>
      <c r="M2364" s="8"/>
      <c r="N2364" s="8"/>
      <c r="O2364" s="8"/>
      <c r="P2364" s="8"/>
      <c r="Q2364" s="18" t="e">
        <f>(Table1[[#This Row],[A. TÀI SẢN NGẮN HẠN]]-Table1[[#This Row],[I. Nợ ngắn hạn]])/Table1[[#This Row],[TỔNG CỘNG TÀI SẢN]]</f>
        <v>#DIV/0!</v>
      </c>
      <c r="R2364" s="18" t="e">
        <f>Table1[[#This Row],[- LNST chưa phân phối kỳ này]]/Table1[[#This Row],[TỔNG CỘNG TÀI SẢN]]</f>
        <v>#DIV/0!</v>
      </c>
      <c r="S2364" s="21" t="e">
        <f>Table1[[#This Row],[5. Lợi nhuận gộp về bán hàng và cung cấp dịch vụ]]/Table1[[#This Row],[TỔNG CỘNG TÀI SẢN]]</f>
        <v>#DIV/0!</v>
      </c>
      <c r="T236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364" s="23" t="e">
        <f>Table1[[#This Row],[1. Doanh thu bán hàng và cung cấp dịch vụ ]]/Table1[[#This Row],[TỔNG CỘNG TÀI SẢN]]</f>
        <v>#DIV/0!</v>
      </c>
      <c r="V2364" s="23" t="e">
        <f>1.2*Table1[[#This Row],[X1]] + 1.4*Table1[[#This Row],[X2]] + 3.3*Table1[[#This Row],[x3]] + 0.6*Table1[[#This Row],[x4]] + 1*Table1[[#This Row],[x5]]</f>
        <v>#DIV/0!</v>
      </c>
      <c r="W2364" s="23" t="e">
        <f>IF(Table1[[#This Row],[Zscore]]&lt;1.81,1,0)</f>
        <v>#DIV/0!</v>
      </c>
    </row>
    <row r="2365" spans="1:23" x14ac:dyDescent="0.45">
      <c r="A2365" s="7">
        <v>2359</v>
      </c>
      <c r="B2365" s="5" t="s">
        <v>4727</v>
      </c>
      <c r="C2365" s="6" t="s">
        <v>4728</v>
      </c>
      <c r="D2365" s="6" t="s">
        <v>36</v>
      </c>
      <c r="E2365" s="8">
        <v>897964995797</v>
      </c>
      <c r="F2365" s="8">
        <v>618483026054</v>
      </c>
      <c r="G2365" s="8">
        <v>339785227716</v>
      </c>
      <c r="H2365" s="8">
        <v>8631226002</v>
      </c>
      <c r="I2365" s="8">
        <v>101727324211</v>
      </c>
      <c r="J2365" s="8"/>
      <c r="K2365" s="8">
        <v>344811709404</v>
      </c>
      <c r="L2365" s="8">
        <v>691053898956</v>
      </c>
      <c r="M2365" s="8">
        <v>721973529200</v>
      </c>
      <c r="N2365" s="8">
        <v>97952544000</v>
      </c>
      <c r="O2365" s="8">
        <v>98678118400</v>
      </c>
      <c r="P2365" s="8">
        <v>95775820800</v>
      </c>
      <c r="Q2365" s="18">
        <f>(Table1[[#This Row],[A. TÀI SẢN NGẮN HẠN]]-Table1[[#This Row],[I. Nợ ngắn hạn]])/Table1[[#This Row],[TỔNG CỘNG TÀI SẢN]]</f>
        <v>0.31036599382210694</v>
      </c>
      <c r="R2365" s="18">
        <f>Table1[[#This Row],[- LNST chưa phân phối kỳ này]]/Table1[[#This Row],[TỔNG CỘNG TÀI SẢN]]</f>
        <v>9.6119849241330935E-3</v>
      </c>
      <c r="S2365" s="21">
        <f>Table1[[#This Row],[5. Lợi nhuận gộp về bán hàng và cung cấp dịch vụ]]/Table1[[#This Row],[TỔNG CỘNG TÀI SẢN]]</f>
        <v>0.11328651415939732</v>
      </c>
      <c r="T236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0.73545937154609331</v>
      </c>
      <c r="U2365" s="23">
        <f>Table1[[#This Row],[1. Doanh thu bán hàng và cung cấp dịch vụ ]]/Table1[[#This Row],[TỔNG CỘNG TÀI SẢN]]</f>
        <v>0.76957776994708627</v>
      </c>
      <c r="V2365" s="23">
        <f>1.2*Table1[[#This Row],[X1]] + 1.4*Table1[[#This Row],[X2]] + 3.3*Table1[[#This Row],[x3]] + 0.6*Table1[[#This Row],[x4]] + 1*Table1[[#This Row],[x5]]</f>
        <v>1.970594861081068</v>
      </c>
      <c r="W2365" s="23">
        <f>IF(Table1[[#This Row],[Zscore]]&lt;1.81,1,0)</f>
        <v>0</v>
      </c>
    </row>
    <row r="2366" spans="1:23" ht="26.25" x14ac:dyDescent="0.45">
      <c r="A2366" s="7">
        <v>2360</v>
      </c>
      <c r="B2366" s="5" t="s">
        <v>4729</v>
      </c>
      <c r="C2366" s="6" t="s">
        <v>4730</v>
      </c>
      <c r="D2366" s="6" t="s">
        <v>18</v>
      </c>
      <c r="E2366" s="8">
        <v>511992485679</v>
      </c>
      <c r="F2366" s="8">
        <v>79137576318</v>
      </c>
      <c r="G2366" s="8">
        <v>99106541645</v>
      </c>
      <c r="H2366" s="8">
        <v>1126693315</v>
      </c>
      <c r="I2366" s="8">
        <v>14373907920</v>
      </c>
      <c r="J2366" s="8"/>
      <c r="K2366" s="8">
        <v>329272157184</v>
      </c>
      <c r="L2366" s="8">
        <v>45829601253</v>
      </c>
      <c r="M2366" s="8">
        <v>111933367400</v>
      </c>
      <c r="N2366" s="8">
        <v>179400054600</v>
      </c>
      <c r="O2366" s="8">
        <v>125733371600</v>
      </c>
      <c r="P2366" s="8">
        <v>165600050400</v>
      </c>
      <c r="Q2366" s="18">
        <f>(Table1[[#This Row],[A. TÀI SẢN NGẮN HẠN]]-Table1[[#This Row],[I. Nợ ngắn hạn]])/Table1[[#This Row],[TỔNG CỘNG TÀI SẢN]]</f>
        <v>-3.9002457820288772E-2</v>
      </c>
      <c r="R2366" s="18">
        <f>Table1[[#This Row],[- LNST chưa phân phối kỳ này]]/Table1[[#This Row],[TỔNG CỘNG TÀI SẢN]]</f>
        <v>2.200605177839259E-3</v>
      </c>
      <c r="S2366" s="21">
        <f>Table1[[#This Row],[5. Lợi nhuận gộp về bán hàng và cung cấp dịch vụ]]/Table1[[#This Row],[TỔNG CỘNG TÀI SẢN]]</f>
        <v>2.807445093835205E-2</v>
      </c>
      <c r="T236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0.44239000420129737</v>
      </c>
      <c r="U2366" s="23">
        <f>Table1[[#This Row],[1. Doanh thu bán hàng và cung cấp dịch vụ ]]/Table1[[#This Row],[TỔNG CỘNG TÀI SẢN]]</f>
        <v>8.9512253665639599E-2</v>
      </c>
      <c r="V2366" s="23">
        <f>1.2*Table1[[#This Row],[X1]] + 1.4*Table1[[#This Row],[X2]] + 3.3*Table1[[#This Row],[x3]] + 0.6*Table1[[#This Row],[x4]] + 1*Table1[[#This Row],[x5]]</f>
        <v>0.40386984214760818</v>
      </c>
      <c r="W2366" s="23">
        <f>IF(Table1[[#This Row],[Zscore]]&lt;1.81,1,0)</f>
        <v>1</v>
      </c>
    </row>
    <row r="2367" spans="1:23" hidden="1" x14ac:dyDescent="0.45">
      <c r="A2367" s="7">
        <v>2361</v>
      </c>
      <c r="B2367" s="5" t="s">
        <v>4731</v>
      </c>
      <c r="C2367" s="6" t="s">
        <v>4732</v>
      </c>
      <c r="D2367" s="6" t="s">
        <v>13</v>
      </c>
      <c r="E2367" s="6"/>
      <c r="F2367" s="6"/>
      <c r="G2367" s="6"/>
      <c r="H2367" s="6"/>
      <c r="I2367" s="6"/>
      <c r="J2367" s="8"/>
      <c r="K2367" s="6"/>
      <c r="L2367" s="6"/>
      <c r="M2367" s="8"/>
      <c r="N2367" s="8"/>
      <c r="O2367" s="8"/>
      <c r="P2367" s="8"/>
      <c r="Q2367" s="18" t="e">
        <f>(Table1[[#This Row],[A. TÀI SẢN NGẮN HẠN]]-Table1[[#This Row],[I. Nợ ngắn hạn]])/Table1[[#This Row],[TỔNG CỘNG TÀI SẢN]]</f>
        <v>#DIV/0!</v>
      </c>
      <c r="R2367" s="18" t="e">
        <f>Table1[[#This Row],[- LNST chưa phân phối kỳ này]]/Table1[[#This Row],[TỔNG CỘNG TÀI SẢN]]</f>
        <v>#DIV/0!</v>
      </c>
      <c r="S2367" s="21" t="e">
        <f>Table1[[#This Row],[5. Lợi nhuận gộp về bán hàng và cung cấp dịch vụ]]/Table1[[#This Row],[TỔNG CỘNG TÀI SẢN]]</f>
        <v>#DIV/0!</v>
      </c>
      <c r="T236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367" s="23" t="e">
        <f>Table1[[#This Row],[1. Doanh thu bán hàng và cung cấp dịch vụ ]]/Table1[[#This Row],[TỔNG CỘNG TÀI SẢN]]</f>
        <v>#DIV/0!</v>
      </c>
      <c r="V2367" s="23" t="e">
        <f>1.2*Table1[[#This Row],[X1]] + 1.4*Table1[[#This Row],[X2]] + 3.3*Table1[[#This Row],[x3]] + 0.6*Table1[[#This Row],[x4]] + 1*Table1[[#This Row],[x5]]</f>
        <v>#DIV/0!</v>
      </c>
      <c r="W2367" s="23" t="e">
        <f>IF(Table1[[#This Row],[Zscore]]&lt;1.81,1,0)</f>
        <v>#DIV/0!</v>
      </c>
    </row>
    <row r="2368" spans="1:23" ht="26.25" hidden="1" x14ac:dyDescent="0.45">
      <c r="A2368" s="7">
        <v>2362</v>
      </c>
      <c r="B2368" s="5" t="s">
        <v>4733</v>
      </c>
      <c r="C2368" s="6" t="s">
        <v>4734</v>
      </c>
      <c r="D2368" s="6" t="s">
        <v>13</v>
      </c>
      <c r="E2368" s="6"/>
      <c r="F2368" s="6"/>
      <c r="G2368" s="6"/>
      <c r="H2368" s="6"/>
      <c r="I2368" s="6"/>
      <c r="J2368" s="8"/>
      <c r="K2368" s="6"/>
      <c r="L2368" s="6"/>
      <c r="M2368" s="8"/>
      <c r="N2368" s="8"/>
      <c r="O2368" s="8"/>
      <c r="P2368" s="8"/>
      <c r="Q2368" s="18" t="e">
        <f>(Table1[[#This Row],[A. TÀI SẢN NGẮN HẠN]]-Table1[[#This Row],[I. Nợ ngắn hạn]])/Table1[[#This Row],[TỔNG CỘNG TÀI SẢN]]</f>
        <v>#DIV/0!</v>
      </c>
      <c r="R2368" s="18" t="e">
        <f>Table1[[#This Row],[- LNST chưa phân phối kỳ này]]/Table1[[#This Row],[TỔNG CỘNG TÀI SẢN]]</f>
        <v>#DIV/0!</v>
      </c>
      <c r="S2368" s="21" t="e">
        <f>Table1[[#This Row],[5. Lợi nhuận gộp về bán hàng và cung cấp dịch vụ]]/Table1[[#This Row],[TỔNG CỘNG TÀI SẢN]]</f>
        <v>#DIV/0!</v>
      </c>
      <c r="T236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368" s="23" t="e">
        <f>Table1[[#This Row],[1. Doanh thu bán hàng và cung cấp dịch vụ ]]/Table1[[#This Row],[TỔNG CỘNG TÀI SẢN]]</f>
        <v>#DIV/0!</v>
      </c>
      <c r="V2368" s="23" t="e">
        <f>1.2*Table1[[#This Row],[X1]] + 1.4*Table1[[#This Row],[X2]] + 3.3*Table1[[#This Row],[x3]] + 0.6*Table1[[#This Row],[x4]] + 1*Table1[[#This Row],[x5]]</f>
        <v>#DIV/0!</v>
      </c>
      <c r="W2368" s="23" t="e">
        <f>IF(Table1[[#This Row],[Zscore]]&lt;1.81,1,0)</f>
        <v>#DIV/0!</v>
      </c>
    </row>
    <row r="2369" spans="1:23" ht="26.25" x14ac:dyDescent="0.45">
      <c r="A2369" s="7">
        <v>2363</v>
      </c>
      <c r="B2369" s="5" t="s">
        <v>4735</v>
      </c>
      <c r="C2369" s="6" t="s">
        <v>4736</v>
      </c>
      <c r="D2369" s="6" t="s">
        <v>21</v>
      </c>
      <c r="E2369" s="8">
        <v>1454904793532</v>
      </c>
      <c r="F2369" s="8">
        <v>1140743205617</v>
      </c>
      <c r="G2369" s="8">
        <v>298409929610</v>
      </c>
      <c r="H2369" s="8">
        <v>66626627903</v>
      </c>
      <c r="I2369" s="8">
        <v>107872021145</v>
      </c>
      <c r="J2369" s="8"/>
      <c r="K2369" s="8">
        <v>439110787814</v>
      </c>
      <c r="L2369" s="8">
        <v>666390558518</v>
      </c>
      <c r="M2369" s="8">
        <v>488215715680</v>
      </c>
      <c r="N2369" s="8">
        <v>641366187000</v>
      </c>
      <c r="O2369" s="8">
        <v>532528288600</v>
      </c>
      <c r="P2369" s="8">
        <v>622708261560</v>
      </c>
      <c r="Q2369" s="18">
        <f>(Table1[[#This Row],[A. TÀI SẢN NGẮN HẠN]]-Table1[[#This Row],[I. Nợ ngắn hạn]])/Table1[[#This Row],[TỔNG CỘNG TÀI SẢN]]</f>
        <v>0.57896109749017277</v>
      </c>
      <c r="R2369" s="18">
        <f>Table1[[#This Row],[- LNST chưa phân phối kỳ này]]/Table1[[#This Row],[TỔNG CỘNG TÀI SẢN]]</f>
        <v>4.5794493357365226E-2</v>
      </c>
      <c r="S2369" s="21">
        <f>Table1[[#This Row],[5. Lợi nhuận gộp về bán hàng và cung cấp dịch vụ]]/Table1[[#This Row],[TỔNG CỘNG TÀI SẢN]]</f>
        <v>7.4143697666377503E-2</v>
      </c>
      <c r="T236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1.3008211801253964</v>
      </c>
      <c r="U2369" s="23">
        <f>Table1[[#This Row],[1. Doanh thu bán hàng và cung cấp dịch vụ ]]/Table1[[#This Row],[TỔNG CỘNG TÀI SẢN]]</f>
        <v>0.4580303546187629</v>
      </c>
      <c r="V2369" s="23">
        <f>1.2*Table1[[#This Row],[X1]] + 1.4*Table1[[#This Row],[X2]] + 3.3*Table1[[#This Row],[x3]] + 0.6*Table1[[#This Row],[x4]] + 1*Table1[[#This Row],[x5]]</f>
        <v>2.242062872681565</v>
      </c>
      <c r="W2369" s="23">
        <f>IF(Table1[[#This Row],[Zscore]]&lt;1.81,1,0)</f>
        <v>0</v>
      </c>
    </row>
    <row r="2370" spans="1:23" x14ac:dyDescent="0.45">
      <c r="A2370" s="7">
        <v>2364</v>
      </c>
      <c r="B2370" s="5" t="s">
        <v>4737</v>
      </c>
      <c r="C2370" s="6" t="s">
        <v>4738</v>
      </c>
      <c r="D2370" s="6" t="s">
        <v>21</v>
      </c>
      <c r="E2370" s="8">
        <v>3561591286339</v>
      </c>
      <c r="F2370" s="8">
        <v>2760624476408</v>
      </c>
      <c r="G2370" s="8">
        <v>1007972366240</v>
      </c>
      <c r="H2370" s="8">
        <v>343535993228</v>
      </c>
      <c r="I2370" s="8">
        <v>2068577998123</v>
      </c>
      <c r="J2370" s="8"/>
      <c r="K2370" s="8">
        <v>1034087801323</v>
      </c>
      <c r="L2370" s="8">
        <v>4186212267474</v>
      </c>
      <c r="M2370" s="8">
        <v>4927853775000</v>
      </c>
      <c r="N2370" s="8">
        <v>4797458498000</v>
      </c>
      <c r="O2370" s="8">
        <v>4547458045000</v>
      </c>
      <c r="P2370" s="8">
        <v>4556103402500</v>
      </c>
      <c r="Q2370" s="18">
        <f>(Table1[[#This Row],[A. TÀI SẢN NGẮN HẠN]]-Table1[[#This Row],[I. Nợ ngắn hạn]])/Table1[[#This Row],[TỔNG CỘNG TÀI SẢN]]</f>
        <v>0.49209804530086071</v>
      </c>
      <c r="R2370" s="18">
        <f>Table1[[#This Row],[- LNST chưa phân phối kỳ này]]/Table1[[#This Row],[TỔNG CỘNG TÀI SẢN]]</f>
        <v>9.6455759689687628E-2</v>
      </c>
      <c r="S2370" s="21">
        <f>Table1[[#This Row],[5. Lợi nhuận gộp về bán hàng và cung cấp dịch vụ]]/Table1[[#This Row],[TỔNG CỘNG TÀI SẢN]]</f>
        <v>0.58080162259418455</v>
      </c>
      <c r="T237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4.5520490852929889</v>
      </c>
      <c r="U2370" s="23">
        <f>Table1[[#This Row],[1. Doanh thu bán hàng và cung cấp dịch vụ ]]/Table1[[#This Row],[TỔNG CỘNG TÀI SẢN]]</f>
        <v>1.1753769399455869</v>
      </c>
      <c r="V2370" s="23">
        <f>1.2*Table1[[#This Row],[X1]] + 1.4*Table1[[#This Row],[X2]] + 3.3*Table1[[#This Row],[x3]] + 0.6*Table1[[#This Row],[x4]] + 1*Table1[[#This Row],[x5]]</f>
        <v>6.5488074636087843</v>
      </c>
      <c r="W2370" s="23">
        <f>IF(Table1[[#This Row],[Zscore]]&lt;1.81,1,0)</f>
        <v>0</v>
      </c>
    </row>
    <row r="2371" spans="1:23" hidden="1" x14ac:dyDescent="0.45">
      <c r="A2371" s="7">
        <v>2365</v>
      </c>
      <c r="B2371" s="5" t="s">
        <v>4739</v>
      </c>
      <c r="C2371" s="6" t="s">
        <v>4740</v>
      </c>
      <c r="D2371" s="6" t="s">
        <v>13</v>
      </c>
      <c r="E2371" s="6"/>
      <c r="F2371" s="6"/>
      <c r="G2371" s="6"/>
      <c r="H2371" s="6"/>
      <c r="I2371" s="6"/>
      <c r="J2371" s="8"/>
      <c r="K2371" s="6"/>
      <c r="L2371" s="6"/>
      <c r="M2371" s="8"/>
      <c r="N2371" s="8"/>
      <c r="O2371" s="8"/>
      <c r="P2371" s="8"/>
      <c r="Q2371" s="18" t="e">
        <f>(Table1[[#This Row],[A. TÀI SẢN NGẮN HẠN]]-Table1[[#This Row],[I. Nợ ngắn hạn]])/Table1[[#This Row],[TỔNG CỘNG TÀI SẢN]]</f>
        <v>#DIV/0!</v>
      </c>
      <c r="R2371" s="18" t="e">
        <f>Table1[[#This Row],[- LNST chưa phân phối kỳ này]]/Table1[[#This Row],[TỔNG CỘNG TÀI SẢN]]</f>
        <v>#DIV/0!</v>
      </c>
      <c r="S2371" s="21" t="e">
        <f>Table1[[#This Row],[5. Lợi nhuận gộp về bán hàng và cung cấp dịch vụ]]/Table1[[#This Row],[TỔNG CỘNG TÀI SẢN]]</f>
        <v>#DIV/0!</v>
      </c>
      <c r="T237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371" s="23" t="e">
        <f>Table1[[#This Row],[1. Doanh thu bán hàng và cung cấp dịch vụ ]]/Table1[[#This Row],[TỔNG CỘNG TÀI SẢN]]</f>
        <v>#DIV/0!</v>
      </c>
      <c r="V2371" s="23" t="e">
        <f>1.2*Table1[[#This Row],[X1]] + 1.4*Table1[[#This Row],[X2]] + 3.3*Table1[[#This Row],[x3]] + 0.6*Table1[[#This Row],[x4]] + 1*Table1[[#This Row],[x5]]</f>
        <v>#DIV/0!</v>
      </c>
      <c r="W2371" s="23" t="e">
        <f>IF(Table1[[#This Row],[Zscore]]&lt;1.81,1,0)</f>
        <v>#DIV/0!</v>
      </c>
    </row>
    <row r="2372" spans="1:23" x14ac:dyDescent="0.45">
      <c r="A2372" s="7">
        <v>2366</v>
      </c>
      <c r="B2372" s="5" t="s">
        <v>4741</v>
      </c>
      <c r="C2372" s="6" t="s">
        <v>4742</v>
      </c>
      <c r="D2372" s="6" t="s">
        <v>21</v>
      </c>
      <c r="E2372" s="8">
        <v>2848024440425</v>
      </c>
      <c r="F2372" s="8">
        <v>2376975572390</v>
      </c>
      <c r="G2372" s="8">
        <v>1559225661694</v>
      </c>
      <c r="H2372" s="8">
        <v>5105485506</v>
      </c>
      <c r="I2372" s="8">
        <v>180095170331</v>
      </c>
      <c r="J2372" s="8"/>
      <c r="K2372" s="8">
        <v>1584243937559</v>
      </c>
      <c r="L2372" s="8">
        <v>5320362163776</v>
      </c>
      <c r="M2372" s="8">
        <v>617760093500</v>
      </c>
      <c r="N2372" s="8">
        <v>532396880580</v>
      </c>
      <c r="O2372" s="8">
        <v>584064088400</v>
      </c>
      <c r="P2372" s="8">
        <v>640224096900</v>
      </c>
      <c r="Q2372" s="18">
        <f>(Table1[[#This Row],[A. TÀI SẢN NGẮN HẠN]]-Table1[[#This Row],[I. Nợ ngắn hạn]])/Table1[[#This Row],[TỔNG CỘNG TÀI SẢN]]</f>
        <v>0.28712882484041125</v>
      </c>
      <c r="R2372" s="18">
        <f>Table1[[#This Row],[- LNST chưa phân phối kỳ này]]/Table1[[#This Row],[TỔNG CỘNG TÀI SẢN]]</f>
        <v>1.7926410439224067E-3</v>
      </c>
      <c r="S2372" s="21">
        <f>Table1[[#This Row],[5. Lợi nhuận gộp về bán hàng và cung cấp dịch vụ]]/Table1[[#This Row],[TỔNG CỘNG TÀI SẢN]]</f>
        <v>6.3235121080676221E-2</v>
      </c>
      <c r="T237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0.37469689848372412</v>
      </c>
      <c r="U2372" s="23">
        <f>Table1[[#This Row],[1. Doanh thu bán hàng và cung cấp dịch vụ ]]/Table1[[#This Row],[TỔNG CỘNG TÀI SẢN]]</f>
        <v>1.8680886611289271</v>
      </c>
      <c r="V2372" s="23">
        <f>1.2*Table1[[#This Row],[X1]] + 1.4*Table1[[#This Row],[X2]] + 3.3*Table1[[#This Row],[x3]] + 0.6*Table1[[#This Row],[x4]] + 1*Table1[[#This Row],[x5]]</f>
        <v>2.6486469870553782</v>
      </c>
      <c r="W2372" s="23">
        <f>IF(Table1[[#This Row],[Zscore]]&lt;1.81,1,0)</f>
        <v>0</v>
      </c>
    </row>
    <row r="2373" spans="1:23" hidden="1" x14ac:dyDescent="0.45">
      <c r="A2373" s="7">
        <v>2367</v>
      </c>
      <c r="B2373" s="5" t="s">
        <v>4743</v>
      </c>
      <c r="C2373" s="6" t="s">
        <v>4744</v>
      </c>
      <c r="D2373" s="6" t="s">
        <v>13</v>
      </c>
      <c r="E2373" s="6"/>
      <c r="F2373" s="6"/>
      <c r="G2373" s="6"/>
      <c r="H2373" s="6"/>
      <c r="I2373" s="6"/>
      <c r="J2373" s="8"/>
      <c r="K2373" s="6"/>
      <c r="L2373" s="6"/>
      <c r="M2373" s="8"/>
      <c r="N2373" s="8"/>
      <c r="O2373" s="8"/>
      <c r="P2373" s="8"/>
      <c r="Q2373" s="18" t="e">
        <f>(Table1[[#This Row],[A. TÀI SẢN NGẮN HẠN]]-Table1[[#This Row],[I. Nợ ngắn hạn]])/Table1[[#This Row],[TỔNG CỘNG TÀI SẢN]]</f>
        <v>#DIV/0!</v>
      </c>
      <c r="R2373" s="18" t="e">
        <f>Table1[[#This Row],[- LNST chưa phân phối kỳ này]]/Table1[[#This Row],[TỔNG CỘNG TÀI SẢN]]</f>
        <v>#DIV/0!</v>
      </c>
      <c r="S2373" s="21" t="e">
        <f>Table1[[#This Row],[5. Lợi nhuận gộp về bán hàng và cung cấp dịch vụ]]/Table1[[#This Row],[TỔNG CỘNG TÀI SẢN]]</f>
        <v>#DIV/0!</v>
      </c>
      <c r="T237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373" s="23" t="e">
        <f>Table1[[#This Row],[1. Doanh thu bán hàng và cung cấp dịch vụ ]]/Table1[[#This Row],[TỔNG CỘNG TÀI SẢN]]</f>
        <v>#DIV/0!</v>
      </c>
      <c r="V2373" s="23" t="e">
        <f>1.2*Table1[[#This Row],[X1]] + 1.4*Table1[[#This Row],[X2]] + 3.3*Table1[[#This Row],[x3]] + 0.6*Table1[[#This Row],[x4]] + 1*Table1[[#This Row],[x5]]</f>
        <v>#DIV/0!</v>
      </c>
      <c r="W2373" s="23" t="e">
        <f>IF(Table1[[#This Row],[Zscore]]&lt;1.81,1,0)</f>
        <v>#DIV/0!</v>
      </c>
    </row>
    <row r="2374" spans="1:23" ht="26.25" hidden="1" x14ac:dyDescent="0.45">
      <c r="A2374" s="7">
        <v>2368</v>
      </c>
      <c r="B2374" s="5" t="s">
        <v>4745</v>
      </c>
      <c r="C2374" s="6" t="s">
        <v>4746</v>
      </c>
      <c r="D2374" s="6" t="s">
        <v>13</v>
      </c>
      <c r="E2374" s="6"/>
      <c r="F2374" s="6"/>
      <c r="G2374" s="6"/>
      <c r="H2374" s="6"/>
      <c r="I2374" s="6"/>
      <c r="J2374" s="8"/>
      <c r="K2374" s="6"/>
      <c r="L2374" s="6"/>
      <c r="M2374" s="8"/>
      <c r="N2374" s="8"/>
      <c r="O2374" s="8"/>
      <c r="P2374" s="8"/>
      <c r="Q2374" s="18" t="e">
        <f>(Table1[[#This Row],[A. TÀI SẢN NGẮN HẠN]]-Table1[[#This Row],[I. Nợ ngắn hạn]])/Table1[[#This Row],[TỔNG CỘNG TÀI SẢN]]</f>
        <v>#DIV/0!</v>
      </c>
      <c r="R2374" s="18" t="e">
        <f>Table1[[#This Row],[- LNST chưa phân phối kỳ này]]/Table1[[#This Row],[TỔNG CỘNG TÀI SẢN]]</f>
        <v>#DIV/0!</v>
      </c>
      <c r="S2374" s="21" t="e">
        <f>Table1[[#This Row],[5. Lợi nhuận gộp về bán hàng và cung cấp dịch vụ]]/Table1[[#This Row],[TỔNG CỘNG TÀI SẢN]]</f>
        <v>#DIV/0!</v>
      </c>
      <c r="T237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374" s="23" t="e">
        <f>Table1[[#This Row],[1. Doanh thu bán hàng và cung cấp dịch vụ ]]/Table1[[#This Row],[TỔNG CỘNG TÀI SẢN]]</f>
        <v>#DIV/0!</v>
      </c>
      <c r="V2374" s="23" t="e">
        <f>1.2*Table1[[#This Row],[X1]] + 1.4*Table1[[#This Row],[X2]] + 3.3*Table1[[#This Row],[x3]] + 0.6*Table1[[#This Row],[x4]] + 1*Table1[[#This Row],[x5]]</f>
        <v>#DIV/0!</v>
      </c>
      <c r="W2374" s="23" t="e">
        <f>IF(Table1[[#This Row],[Zscore]]&lt;1.81,1,0)</f>
        <v>#DIV/0!</v>
      </c>
    </row>
    <row r="2375" spans="1:23" ht="26.25" x14ac:dyDescent="0.45">
      <c r="A2375" s="7">
        <v>2369</v>
      </c>
      <c r="B2375" s="5" t="s">
        <v>4747</v>
      </c>
      <c r="C2375" s="6" t="s">
        <v>4748</v>
      </c>
      <c r="D2375" s="6" t="s">
        <v>18</v>
      </c>
      <c r="E2375" s="8">
        <v>9648790075357</v>
      </c>
      <c r="F2375" s="8">
        <v>6749296181635</v>
      </c>
      <c r="G2375" s="8">
        <v>6405967637101</v>
      </c>
      <c r="H2375" s="8">
        <v>161079049020</v>
      </c>
      <c r="I2375" s="8">
        <v>931070303936</v>
      </c>
      <c r="J2375" s="8"/>
      <c r="K2375" s="8">
        <v>6692724025171</v>
      </c>
      <c r="L2375" s="8">
        <v>21481839144053</v>
      </c>
      <c r="M2375" s="8">
        <v>1490453370000</v>
      </c>
      <c r="N2375" s="8">
        <v>1490453370000</v>
      </c>
      <c r="O2375" s="8">
        <v>1727033270000</v>
      </c>
      <c r="P2375" s="8">
        <v>1656059300000</v>
      </c>
      <c r="Q2375" s="18">
        <f>(Table1[[#This Row],[A. TÀI SẢN NGẮN HẠN]]-Table1[[#This Row],[I. Nợ ngắn hạn]])/Table1[[#This Row],[TỔNG CỘNG TÀI SẢN]]</f>
        <v>3.5582548884637959E-2</v>
      </c>
      <c r="R2375" s="18">
        <f>Table1[[#This Row],[- LNST chưa phân phối kỳ này]]/Table1[[#This Row],[TỔNG CỘNG TÀI SẢN]]</f>
        <v>1.6694222566971971E-2</v>
      </c>
      <c r="S2375" s="21">
        <f>Table1[[#This Row],[5. Lợi nhuận gộp về bán hàng và cung cấp dịch vụ]]/Table1[[#This Row],[TỔNG CỘNG TÀI SẢN]]</f>
        <v>9.6496068073234659E-2</v>
      </c>
      <c r="T237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0.23772081763962316</v>
      </c>
      <c r="U2375" s="23">
        <f>Table1[[#This Row],[1. Doanh thu bán hàng và cung cấp dịch vụ ]]/Table1[[#This Row],[TỔNG CỘNG TÀI SẢN]]</f>
        <v>2.226376465471831</v>
      </c>
      <c r="V2375" s="23">
        <f>1.2*Table1[[#This Row],[X1]] + 1.4*Table1[[#This Row],[X2]] + 3.3*Table1[[#This Row],[x3]] + 0.6*Table1[[#This Row],[x4]] + 1*Table1[[#This Row],[x5]]</f>
        <v>2.7535169509526054</v>
      </c>
      <c r="W2375" s="23">
        <f>IF(Table1[[#This Row],[Zscore]]&lt;1.81,1,0)</f>
        <v>0</v>
      </c>
    </row>
    <row r="2376" spans="1:23" hidden="1" x14ac:dyDescent="0.45">
      <c r="A2376" s="7">
        <v>2370</v>
      </c>
      <c r="B2376" s="5" t="s">
        <v>4749</v>
      </c>
      <c r="C2376" s="6" t="s">
        <v>4750</v>
      </c>
      <c r="D2376" s="6" t="s">
        <v>18</v>
      </c>
      <c r="E2376" s="8">
        <v>371929851381</v>
      </c>
      <c r="F2376" s="8">
        <v>283962873988</v>
      </c>
      <c r="G2376" s="8">
        <v>254595437454</v>
      </c>
      <c r="H2376" s="8">
        <v>21219191450</v>
      </c>
      <c r="I2376" s="8">
        <v>59944864837</v>
      </c>
      <c r="J2376" s="8"/>
      <c r="K2376" s="8">
        <v>269542028930</v>
      </c>
      <c r="L2376" s="8">
        <v>669687648500</v>
      </c>
      <c r="M2376" s="8"/>
      <c r="N2376" s="8"/>
      <c r="O2376" s="8"/>
      <c r="P2376" s="8"/>
      <c r="Q2376" s="18">
        <f>(Table1[[#This Row],[A. TÀI SẢN NGẮN HẠN]]-Table1[[#This Row],[I. Nợ ngắn hạn]])/Table1[[#This Row],[TỔNG CỘNG TÀI SẢN]]</f>
        <v>7.8959611402410368E-2</v>
      </c>
      <c r="R2376" s="18">
        <f>Table1[[#This Row],[- LNST chưa phân phối kỳ này]]/Table1[[#This Row],[TỔNG CỘNG TÀI SẢN]]</f>
        <v>5.7051595539351699E-2</v>
      </c>
      <c r="S2376" s="21">
        <f>Table1[[#This Row],[5. Lợi nhuận gộp về bán hàng và cung cấp dịch vụ]]/Table1[[#This Row],[TỔNG CỘNG TÀI SẢN]]</f>
        <v>0.16117250232650263</v>
      </c>
      <c r="T237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376" s="23">
        <f>Table1[[#This Row],[1. Doanh thu bán hàng và cung cấp dịch vụ ]]/Table1[[#This Row],[TỔNG CỘNG TÀI SẢN]]</f>
        <v>1.8005751515061394</v>
      </c>
      <c r="V2376" s="23" t="e">
        <f>1.2*Table1[[#This Row],[X1]] + 1.4*Table1[[#This Row],[X2]] + 3.3*Table1[[#This Row],[x3]] + 0.6*Table1[[#This Row],[x4]] + 1*Table1[[#This Row],[x5]]</f>
        <v>#DIV/0!</v>
      </c>
      <c r="W2376" s="23" t="e">
        <f>IF(Table1[[#This Row],[Zscore]]&lt;1.81,1,0)</f>
        <v>#DIV/0!</v>
      </c>
    </row>
    <row r="2377" spans="1:23" ht="26.25" x14ac:dyDescent="0.45">
      <c r="A2377" s="7">
        <v>2371</v>
      </c>
      <c r="B2377" s="5" t="s">
        <v>4751</v>
      </c>
      <c r="C2377" s="6" t="s">
        <v>4752</v>
      </c>
      <c r="D2377" s="6" t="s">
        <v>36</v>
      </c>
      <c r="E2377" s="8">
        <v>3319920880170</v>
      </c>
      <c r="F2377" s="8">
        <v>3201751897713</v>
      </c>
      <c r="G2377" s="8">
        <v>2448981237516</v>
      </c>
      <c r="H2377" s="8">
        <v>80733458044</v>
      </c>
      <c r="I2377" s="8">
        <v>1263831506788</v>
      </c>
      <c r="J2377" s="8"/>
      <c r="K2377" s="8">
        <v>2448981237516</v>
      </c>
      <c r="L2377" s="8">
        <v>30187223919710</v>
      </c>
      <c r="M2377" s="8">
        <v>1089000000000</v>
      </c>
      <c r="N2377" s="8">
        <v>825000000000</v>
      </c>
      <c r="O2377" s="8">
        <v>1057500000000</v>
      </c>
      <c r="P2377" s="8">
        <v>910500000000</v>
      </c>
      <c r="Q2377" s="18">
        <f>(Table1[[#This Row],[A. TÀI SẢN NGẮN HẠN]]-Table1[[#This Row],[I. Nợ ngắn hạn]])/Table1[[#This Row],[TỔNG CỘNG TÀI SẢN]]</f>
        <v>0.2267435542495379</v>
      </c>
      <c r="R2377" s="18">
        <f>Table1[[#This Row],[- LNST chưa phân phối kỳ này]]/Table1[[#This Row],[TỔNG CỘNG TÀI SẢN]]</f>
        <v>2.4317886165969704E-2</v>
      </c>
      <c r="S2377" s="21">
        <f>Table1[[#This Row],[5. Lợi nhuận gộp về bán hàng và cung cấp dịch vụ]]/Table1[[#This Row],[TỔNG CỘNG TÀI SẢN]]</f>
        <v>0.3806812127171188</v>
      </c>
      <c r="T237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0.39628723370064584</v>
      </c>
      <c r="U2377" s="23">
        <f>Table1[[#This Row],[1. Doanh thu bán hàng và cung cấp dịch vụ ]]/Table1[[#This Row],[TỔNG CỘNG TÀI SẢN]]</f>
        <v>9.0927540171271293</v>
      </c>
      <c r="V2377" s="23">
        <f>1.2*Table1[[#This Row],[X1]] + 1.4*Table1[[#This Row],[X2]] + 3.3*Table1[[#This Row],[x3]] + 0.6*Table1[[#This Row],[x4]] + 1*Table1[[#This Row],[x5]]</f>
        <v>10.892911665045812</v>
      </c>
      <c r="W2377" s="23">
        <f>IF(Table1[[#This Row],[Zscore]]&lt;1.81,1,0)</f>
        <v>0</v>
      </c>
    </row>
    <row r="2378" spans="1:23" ht="26.25" x14ac:dyDescent="0.45">
      <c r="A2378" s="7">
        <v>2372</v>
      </c>
      <c r="B2378" s="5" t="s">
        <v>4753</v>
      </c>
      <c r="C2378" s="6" t="s">
        <v>4754</v>
      </c>
      <c r="D2378" s="6" t="s">
        <v>36</v>
      </c>
      <c r="E2378" s="8">
        <v>380370545400</v>
      </c>
      <c r="F2378" s="8">
        <v>180857420698</v>
      </c>
      <c r="G2378" s="8">
        <v>175312092277</v>
      </c>
      <c r="H2378" s="8">
        <v>9544569251</v>
      </c>
      <c r="I2378" s="8">
        <v>151912570476</v>
      </c>
      <c r="J2378" s="8"/>
      <c r="K2378" s="8">
        <v>186323758907</v>
      </c>
      <c r="L2378" s="8">
        <v>2459710629746</v>
      </c>
      <c r="M2378" s="8">
        <v>106640000000</v>
      </c>
      <c r="N2378" s="8">
        <v>91760000000</v>
      </c>
      <c r="O2378" s="8">
        <v>94240000000</v>
      </c>
      <c r="P2378" s="8">
        <v>95480000000</v>
      </c>
      <c r="Q2378" s="18">
        <f>(Table1[[#This Row],[A. TÀI SẢN NGẮN HẠN]]-Table1[[#This Row],[I. Nợ ngắn hạn]])/Table1[[#This Row],[TỔNG CỘNG TÀI SẢN]]</f>
        <v>1.4578753502505034E-2</v>
      </c>
      <c r="R2378" s="18">
        <f>Table1[[#This Row],[- LNST chưa phân phối kỳ này]]/Table1[[#This Row],[TỔNG CỘNG TÀI SẢN]]</f>
        <v>2.5092819006169029E-2</v>
      </c>
      <c r="S2378" s="21">
        <f>Table1[[#This Row],[5. Lợi nhuận gộp về bán hàng và cung cấp dịch vụ]]/Table1[[#This Row],[TỔNG CỘNG TÀI SẢN]]</f>
        <v>0.3993804786231484</v>
      </c>
      <c r="T237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0.52076021098538861</v>
      </c>
      <c r="U2378" s="23">
        <f>Table1[[#This Row],[1. Doanh thu bán hàng và cung cấp dịch vụ ]]/Table1[[#This Row],[TỔNG CỘNG TÀI SẢN]]</f>
        <v>6.4666169857062759</v>
      </c>
      <c r="V2378" s="23">
        <f>1.2*Table1[[#This Row],[X1]] + 1.4*Table1[[#This Row],[X2]] + 3.3*Table1[[#This Row],[x3]] + 0.6*Table1[[#This Row],[x4]] + 1*Table1[[#This Row],[x5]]</f>
        <v>8.1496531425655405</v>
      </c>
      <c r="W2378" s="23">
        <f>IF(Table1[[#This Row],[Zscore]]&lt;1.81,1,0)</f>
        <v>0</v>
      </c>
    </row>
    <row r="2379" spans="1:23" ht="26.25" hidden="1" x14ac:dyDescent="0.45">
      <c r="A2379" s="7">
        <v>2373</v>
      </c>
      <c r="B2379" s="5" t="s">
        <v>4755</v>
      </c>
      <c r="C2379" s="6" t="s">
        <v>4756</v>
      </c>
      <c r="D2379" s="6" t="s">
        <v>13</v>
      </c>
      <c r="E2379" s="6"/>
      <c r="F2379" s="6"/>
      <c r="G2379" s="6"/>
      <c r="H2379" s="6"/>
      <c r="I2379" s="6"/>
      <c r="J2379" s="8"/>
      <c r="K2379" s="6"/>
      <c r="L2379" s="6"/>
      <c r="M2379" s="8"/>
      <c r="N2379" s="8"/>
      <c r="O2379" s="8"/>
      <c r="P2379" s="8"/>
      <c r="Q2379" s="18" t="e">
        <f>(Table1[[#This Row],[A. TÀI SẢN NGẮN HẠN]]-Table1[[#This Row],[I. Nợ ngắn hạn]])/Table1[[#This Row],[TỔNG CỘNG TÀI SẢN]]</f>
        <v>#DIV/0!</v>
      </c>
      <c r="R2379" s="18" t="e">
        <f>Table1[[#This Row],[- LNST chưa phân phối kỳ này]]/Table1[[#This Row],[TỔNG CỘNG TÀI SẢN]]</f>
        <v>#DIV/0!</v>
      </c>
      <c r="S2379" s="21" t="e">
        <f>Table1[[#This Row],[5. Lợi nhuận gộp về bán hàng và cung cấp dịch vụ]]/Table1[[#This Row],[TỔNG CỘNG TÀI SẢN]]</f>
        <v>#DIV/0!</v>
      </c>
      <c r="T237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379" s="23" t="e">
        <f>Table1[[#This Row],[1. Doanh thu bán hàng và cung cấp dịch vụ ]]/Table1[[#This Row],[TỔNG CỘNG TÀI SẢN]]</f>
        <v>#DIV/0!</v>
      </c>
      <c r="V2379" s="23" t="e">
        <f>1.2*Table1[[#This Row],[X1]] + 1.4*Table1[[#This Row],[X2]] + 3.3*Table1[[#This Row],[x3]] + 0.6*Table1[[#This Row],[x4]] + 1*Table1[[#This Row],[x5]]</f>
        <v>#DIV/0!</v>
      </c>
      <c r="W2379" s="23" t="e">
        <f>IF(Table1[[#This Row],[Zscore]]&lt;1.81,1,0)</f>
        <v>#DIV/0!</v>
      </c>
    </row>
    <row r="2380" spans="1:23" ht="26.25" x14ac:dyDescent="0.45">
      <c r="A2380" s="7">
        <v>2374</v>
      </c>
      <c r="B2380" s="5" t="s">
        <v>4757</v>
      </c>
      <c r="C2380" s="6" t="s">
        <v>4758</v>
      </c>
      <c r="D2380" s="6" t="s">
        <v>18</v>
      </c>
      <c r="E2380" s="8">
        <v>620139088010</v>
      </c>
      <c r="F2380" s="8">
        <v>252386190381</v>
      </c>
      <c r="G2380" s="8">
        <v>289145189156</v>
      </c>
      <c r="H2380" s="8">
        <v>84969274317</v>
      </c>
      <c r="I2380" s="8">
        <v>172407873657</v>
      </c>
      <c r="J2380" s="8"/>
      <c r="K2380" s="8">
        <v>339947086121</v>
      </c>
      <c r="L2380" s="8">
        <v>1255453042920</v>
      </c>
      <c r="M2380" s="8">
        <v>1458000000000</v>
      </c>
      <c r="N2380" s="8">
        <v>1332000000000</v>
      </c>
      <c r="O2380" s="8">
        <v>1152000000000</v>
      </c>
      <c r="P2380" s="8">
        <v>1206000000000</v>
      </c>
      <c r="Q2380" s="18">
        <f>(Table1[[#This Row],[A. TÀI SẢN NGẮN HẠN]]-Table1[[#This Row],[I. Nợ ngắn hạn]])/Table1[[#This Row],[TỔNG CỘNG TÀI SẢN]]</f>
        <v>-5.927541012284529E-2</v>
      </c>
      <c r="R2380" s="18">
        <f>Table1[[#This Row],[- LNST chưa phân phối kỳ này]]/Table1[[#This Row],[TỔNG CỘNG TÀI SẢN]]</f>
        <v>0.13701647898000235</v>
      </c>
      <c r="S2380" s="21">
        <f>Table1[[#This Row],[5. Lợi nhuận gộp về bán hàng và cung cấp dịch vụ]]/Table1[[#This Row],[TỔNG CỘNG TÀI SẢN]]</f>
        <v>0.27801484697610263</v>
      </c>
      <c r="T238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3.7858833110924448</v>
      </c>
      <c r="U2380" s="23">
        <f>Table1[[#This Row],[1. Doanh thu bán hàng và cung cấp dịch vụ ]]/Table1[[#This Row],[TỔNG CỘNG TÀI SẢN]]</f>
        <v>2.0244701022615677</v>
      </c>
      <c r="V2380" s="23">
        <f>1.2*Table1[[#This Row],[X1]] + 1.4*Table1[[#This Row],[X2]] + 3.3*Table1[[#This Row],[x3]] + 0.6*Table1[[#This Row],[x4]] + 1*Table1[[#This Row],[x5]]</f>
        <v>5.3341416623627627</v>
      </c>
      <c r="W2380" s="23">
        <f>IF(Table1[[#This Row],[Zscore]]&lt;1.81,1,0)</f>
        <v>0</v>
      </c>
    </row>
    <row r="2381" spans="1:23" ht="26.25" hidden="1" x14ac:dyDescent="0.45">
      <c r="A2381" s="7">
        <v>2375</v>
      </c>
      <c r="B2381" s="5" t="s">
        <v>4759</v>
      </c>
      <c r="C2381" s="6" t="s">
        <v>4760</v>
      </c>
      <c r="D2381" s="6" t="s">
        <v>13</v>
      </c>
      <c r="E2381" s="6"/>
      <c r="F2381" s="6"/>
      <c r="G2381" s="6"/>
      <c r="H2381" s="6"/>
      <c r="I2381" s="6"/>
      <c r="J2381" s="8"/>
      <c r="K2381" s="6"/>
      <c r="L2381" s="6"/>
      <c r="M2381" s="8"/>
      <c r="N2381" s="8"/>
      <c r="O2381" s="8"/>
      <c r="P2381" s="8"/>
      <c r="Q2381" s="18" t="e">
        <f>(Table1[[#This Row],[A. TÀI SẢN NGẮN HẠN]]-Table1[[#This Row],[I. Nợ ngắn hạn]])/Table1[[#This Row],[TỔNG CỘNG TÀI SẢN]]</f>
        <v>#DIV/0!</v>
      </c>
      <c r="R2381" s="18" t="e">
        <f>Table1[[#This Row],[- LNST chưa phân phối kỳ này]]/Table1[[#This Row],[TỔNG CỘNG TÀI SẢN]]</f>
        <v>#DIV/0!</v>
      </c>
      <c r="S2381" s="21" t="e">
        <f>Table1[[#This Row],[5. Lợi nhuận gộp về bán hàng và cung cấp dịch vụ]]/Table1[[#This Row],[TỔNG CỘNG TÀI SẢN]]</f>
        <v>#DIV/0!</v>
      </c>
      <c r="T238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381" s="23" t="e">
        <f>Table1[[#This Row],[1. Doanh thu bán hàng và cung cấp dịch vụ ]]/Table1[[#This Row],[TỔNG CỘNG TÀI SẢN]]</f>
        <v>#DIV/0!</v>
      </c>
      <c r="V2381" s="23" t="e">
        <f>1.2*Table1[[#This Row],[X1]] + 1.4*Table1[[#This Row],[X2]] + 3.3*Table1[[#This Row],[x3]] + 0.6*Table1[[#This Row],[x4]] + 1*Table1[[#This Row],[x5]]</f>
        <v>#DIV/0!</v>
      </c>
      <c r="W2381" s="23" t="e">
        <f>IF(Table1[[#This Row],[Zscore]]&lt;1.81,1,0)</f>
        <v>#DIV/0!</v>
      </c>
    </row>
    <row r="2382" spans="1:23" x14ac:dyDescent="0.45">
      <c r="A2382" s="7">
        <v>2376</v>
      </c>
      <c r="B2382" s="5" t="s">
        <v>4761</v>
      </c>
      <c r="C2382" s="6" t="s">
        <v>4762</v>
      </c>
      <c r="D2382" s="6" t="s">
        <v>21</v>
      </c>
      <c r="E2382" s="8">
        <v>2248068416059</v>
      </c>
      <c r="F2382" s="8">
        <v>1189805679179</v>
      </c>
      <c r="G2382" s="8">
        <v>328443255421</v>
      </c>
      <c r="H2382" s="8">
        <v>63067243666</v>
      </c>
      <c r="I2382" s="8">
        <v>401764964942</v>
      </c>
      <c r="J2382" s="8"/>
      <c r="K2382" s="8">
        <v>556001797819</v>
      </c>
      <c r="L2382" s="8">
        <v>753350027336</v>
      </c>
      <c r="M2382" s="8">
        <v>4648000000000</v>
      </c>
      <c r="N2382" s="8">
        <v>4179000000000</v>
      </c>
      <c r="O2382" s="8">
        <v>4480000000000</v>
      </c>
      <c r="P2382" s="8">
        <v>4333000000000</v>
      </c>
      <c r="Q2382" s="18">
        <f>(Table1[[#This Row],[A. TÀI SẢN NGẮN HẠN]]-Table1[[#This Row],[I. Nợ ngắn hạn]])/Table1[[#This Row],[TỔNG CỘNG TÀI SẢN]]</f>
        <v>0.38315667690755623</v>
      </c>
      <c r="R2382" s="18">
        <f>Table1[[#This Row],[- LNST chưa phân phối kỳ này]]/Table1[[#This Row],[TỔNG CỘNG TÀI SẢN]]</f>
        <v>2.8053969894991315E-2</v>
      </c>
      <c r="S2382" s="21">
        <f>Table1[[#This Row],[5. Lợi nhuận gộp về bán hàng và cung cấp dịch vụ]]/Table1[[#This Row],[TỔNG CỘNG TÀI SẢN]]</f>
        <v>0.1787156307486043</v>
      </c>
      <c r="T238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7.9316290294363849</v>
      </c>
      <c r="U2382" s="23">
        <f>Table1[[#This Row],[1. Doanh thu bán hàng và cung cấp dịch vụ ]]/Table1[[#This Row],[TỔNG CỘNG TÀI SẢN]]</f>
        <v>0.33510992012274615</v>
      </c>
      <c r="V2382" s="23">
        <f>1.2*Table1[[#This Row],[X1]] + 1.4*Table1[[#This Row],[X2]] + 3.3*Table1[[#This Row],[x3]] + 0.6*Table1[[#This Row],[x4]] + 1*Table1[[#This Row],[x5]]</f>
        <v>6.1829124893970269</v>
      </c>
      <c r="W2382" s="23">
        <f>IF(Table1[[#This Row],[Zscore]]&lt;1.81,1,0)</f>
        <v>0</v>
      </c>
    </row>
    <row r="2383" spans="1:23" ht="26.25" hidden="1" x14ac:dyDescent="0.45">
      <c r="A2383" s="7">
        <v>2377</v>
      </c>
      <c r="B2383" s="5" t="s">
        <v>4763</v>
      </c>
      <c r="C2383" s="6" t="s">
        <v>4764</v>
      </c>
      <c r="D2383" s="6" t="s">
        <v>13</v>
      </c>
      <c r="E2383" s="6"/>
      <c r="F2383" s="6"/>
      <c r="G2383" s="6"/>
      <c r="H2383" s="6"/>
      <c r="I2383" s="6"/>
      <c r="J2383" s="8"/>
      <c r="K2383" s="6"/>
      <c r="L2383" s="6"/>
      <c r="M2383" s="8"/>
      <c r="N2383" s="8"/>
      <c r="O2383" s="8"/>
      <c r="P2383" s="8"/>
      <c r="Q2383" s="18" t="e">
        <f>(Table1[[#This Row],[A. TÀI SẢN NGẮN HẠN]]-Table1[[#This Row],[I. Nợ ngắn hạn]])/Table1[[#This Row],[TỔNG CỘNG TÀI SẢN]]</f>
        <v>#DIV/0!</v>
      </c>
      <c r="R2383" s="18" t="e">
        <f>Table1[[#This Row],[- LNST chưa phân phối kỳ này]]/Table1[[#This Row],[TỔNG CỘNG TÀI SẢN]]</f>
        <v>#DIV/0!</v>
      </c>
      <c r="S2383" s="21" t="e">
        <f>Table1[[#This Row],[5. Lợi nhuận gộp về bán hàng và cung cấp dịch vụ]]/Table1[[#This Row],[TỔNG CỘNG TÀI SẢN]]</f>
        <v>#DIV/0!</v>
      </c>
      <c r="T238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383" s="23" t="e">
        <f>Table1[[#This Row],[1. Doanh thu bán hàng và cung cấp dịch vụ ]]/Table1[[#This Row],[TỔNG CỘNG TÀI SẢN]]</f>
        <v>#DIV/0!</v>
      </c>
      <c r="V2383" s="23" t="e">
        <f>1.2*Table1[[#This Row],[X1]] + 1.4*Table1[[#This Row],[X2]] + 3.3*Table1[[#This Row],[x3]] + 0.6*Table1[[#This Row],[x4]] + 1*Table1[[#This Row],[x5]]</f>
        <v>#DIV/0!</v>
      </c>
      <c r="W2383" s="23" t="e">
        <f>IF(Table1[[#This Row],[Zscore]]&lt;1.81,1,0)</f>
        <v>#DIV/0!</v>
      </c>
    </row>
    <row r="2384" spans="1:23" hidden="1" x14ac:dyDescent="0.45">
      <c r="A2384" s="7">
        <v>2378</v>
      </c>
      <c r="B2384" s="5" t="s">
        <v>4765</v>
      </c>
      <c r="C2384" s="6" t="s">
        <v>4766</v>
      </c>
      <c r="D2384" s="6" t="s">
        <v>13</v>
      </c>
      <c r="E2384" s="6"/>
      <c r="F2384" s="6"/>
      <c r="G2384" s="6"/>
      <c r="H2384" s="6"/>
      <c r="I2384" s="6"/>
      <c r="J2384" s="8"/>
      <c r="K2384" s="6"/>
      <c r="L2384" s="6"/>
      <c r="M2384" s="8"/>
      <c r="N2384" s="8"/>
      <c r="O2384" s="8"/>
      <c r="P2384" s="8"/>
      <c r="Q2384" s="18" t="e">
        <f>(Table1[[#This Row],[A. TÀI SẢN NGẮN HẠN]]-Table1[[#This Row],[I. Nợ ngắn hạn]])/Table1[[#This Row],[TỔNG CỘNG TÀI SẢN]]</f>
        <v>#DIV/0!</v>
      </c>
      <c r="R2384" s="18" t="e">
        <f>Table1[[#This Row],[- LNST chưa phân phối kỳ này]]/Table1[[#This Row],[TỔNG CỘNG TÀI SẢN]]</f>
        <v>#DIV/0!</v>
      </c>
      <c r="S2384" s="21" t="e">
        <f>Table1[[#This Row],[5. Lợi nhuận gộp về bán hàng và cung cấp dịch vụ]]/Table1[[#This Row],[TỔNG CỘNG TÀI SẢN]]</f>
        <v>#DIV/0!</v>
      </c>
      <c r="T238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384" s="23" t="e">
        <f>Table1[[#This Row],[1. Doanh thu bán hàng và cung cấp dịch vụ ]]/Table1[[#This Row],[TỔNG CỘNG TÀI SẢN]]</f>
        <v>#DIV/0!</v>
      </c>
      <c r="V2384" s="23" t="e">
        <f>1.2*Table1[[#This Row],[X1]] + 1.4*Table1[[#This Row],[X2]] + 3.3*Table1[[#This Row],[x3]] + 0.6*Table1[[#This Row],[x4]] + 1*Table1[[#This Row],[x5]]</f>
        <v>#DIV/0!</v>
      </c>
      <c r="W2384" s="23" t="e">
        <f>IF(Table1[[#This Row],[Zscore]]&lt;1.81,1,0)</f>
        <v>#DIV/0!</v>
      </c>
    </row>
    <row r="2385" spans="1:23" ht="26.25" hidden="1" x14ac:dyDescent="0.45">
      <c r="A2385" s="7">
        <v>2379</v>
      </c>
      <c r="B2385" s="5" t="s">
        <v>4767</v>
      </c>
      <c r="C2385" s="6" t="s">
        <v>4768</v>
      </c>
      <c r="D2385" s="6" t="s">
        <v>13</v>
      </c>
      <c r="E2385" s="6"/>
      <c r="F2385" s="6"/>
      <c r="G2385" s="6"/>
      <c r="H2385" s="6"/>
      <c r="I2385" s="6"/>
      <c r="J2385" s="8"/>
      <c r="K2385" s="6"/>
      <c r="L2385" s="6"/>
      <c r="M2385" s="8"/>
      <c r="N2385" s="8"/>
      <c r="O2385" s="8"/>
      <c r="P2385" s="8"/>
      <c r="Q2385" s="18" t="e">
        <f>(Table1[[#This Row],[A. TÀI SẢN NGẮN HẠN]]-Table1[[#This Row],[I. Nợ ngắn hạn]])/Table1[[#This Row],[TỔNG CỘNG TÀI SẢN]]</f>
        <v>#DIV/0!</v>
      </c>
      <c r="R2385" s="18" t="e">
        <f>Table1[[#This Row],[- LNST chưa phân phối kỳ này]]/Table1[[#This Row],[TỔNG CỘNG TÀI SẢN]]</f>
        <v>#DIV/0!</v>
      </c>
      <c r="S2385" s="21" t="e">
        <f>Table1[[#This Row],[5. Lợi nhuận gộp về bán hàng và cung cấp dịch vụ]]/Table1[[#This Row],[TỔNG CỘNG TÀI SẢN]]</f>
        <v>#DIV/0!</v>
      </c>
      <c r="T238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385" s="23" t="e">
        <f>Table1[[#This Row],[1. Doanh thu bán hàng và cung cấp dịch vụ ]]/Table1[[#This Row],[TỔNG CỘNG TÀI SẢN]]</f>
        <v>#DIV/0!</v>
      </c>
      <c r="V2385" s="23" t="e">
        <f>1.2*Table1[[#This Row],[X1]] + 1.4*Table1[[#This Row],[X2]] + 3.3*Table1[[#This Row],[x3]] + 0.6*Table1[[#This Row],[x4]] + 1*Table1[[#This Row],[x5]]</f>
        <v>#DIV/0!</v>
      </c>
      <c r="W2385" s="23" t="e">
        <f>IF(Table1[[#This Row],[Zscore]]&lt;1.81,1,0)</f>
        <v>#DIV/0!</v>
      </c>
    </row>
    <row r="2386" spans="1:23" x14ac:dyDescent="0.45">
      <c r="A2386" s="7">
        <v>2380</v>
      </c>
      <c r="B2386" s="5" t="s">
        <v>4769</v>
      </c>
      <c r="C2386" s="6" t="s">
        <v>4770</v>
      </c>
      <c r="D2386" s="6" t="s">
        <v>21</v>
      </c>
      <c r="E2386" s="8">
        <v>8588145914444</v>
      </c>
      <c r="F2386" s="8">
        <v>2241302298924</v>
      </c>
      <c r="G2386" s="8">
        <v>1720758973570</v>
      </c>
      <c r="H2386" s="8">
        <v>349313181976</v>
      </c>
      <c r="I2386" s="8">
        <v>610739549387</v>
      </c>
      <c r="J2386" s="8"/>
      <c r="K2386" s="8">
        <v>3355688331381</v>
      </c>
      <c r="L2386" s="8">
        <v>3504589669211</v>
      </c>
      <c r="M2386" s="8">
        <v>7162926970500</v>
      </c>
      <c r="N2386" s="8">
        <v>6942789735000</v>
      </c>
      <c r="O2386" s="8">
        <v>7078258803000</v>
      </c>
      <c r="P2386" s="8">
        <v>7078258803000</v>
      </c>
      <c r="Q2386" s="18">
        <f>(Table1[[#This Row],[A. TÀI SẢN NGẮN HẠN]]-Table1[[#This Row],[I. Nợ ngắn hạn]])/Table1[[#This Row],[TỔNG CỘNG TÀI SẢN]]</f>
        <v>6.0611839917452101E-2</v>
      </c>
      <c r="R2386" s="18">
        <f>Table1[[#This Row],[- LNST chưa phân phối kỳ này]]/Table1[[#This Row],[TỔNG CỘNG TÀI SẢN]]</f>
        <v>4.0673875997903869E-2</v>
      </c>
      <c r="S2386" s="21">
        <f>Table1[[#This Row],[5. Lợi nhuận gộp về bán hàng và cung cấp dịch vụ]]/Table1[[#This Row],[TỔNG CỘNG TÀI SẢN]]</f>
        <v>7.1114249276997707E-2</v>
      </c>
      <c r="T238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2.1055467254812785</v>
      </c>
      <c r="U2386" s="23">
        <f>Table1[[#This Row],[1. Doanh thu bán hàng và cung cấp dịch vụ ]]/Table1[[#This Row],[TỔNG CỘNG TÀI SẢN]]</f>
        <v>0.40807290701905691</v>
      </c>
      <c r="V2386" s="23">
        <f>1.2*Table1[[#This Row],[X1]] + 1.4*Table1[[#This Row],[X2]] + 3.3*Table1[[#This Row],[x3]] + 0.6*Table1[[#This Row],[x4]] + 1*Table1[[#This Row],[x5]]</f>
        <v>2.0357555992199243</v>
      </c>
      <c r="W2386" s="23">
        <f>IF(Table1[[#This Row],[Zscore]]&lt;1.81,1,0)</f>
        <v>0</v>
      </c>
    </row>
    <row r="2387" spans="1:23" x14ac:dyDescent="0.45">
      <c r="A2387" s="7">
        <v>2381</v>
      </c>
      <c r="B2387" s="5" t="s">
        <v>4771</v>
      </c>
      <c r="C2387" s="6" t="s">
        <v>4772</v>
      </c>
      <c r="D2387" s="6" t="s">
        <v>21</v>
      </c>
      <c r="E2387" s="8">
        <v>1513008552647</v>
      </c>
      <c r="F2387" s="8">
        <v>1118550660674</v>
      </c>
      <c r="G2387" s="8">
        <v>1110356341302</v>
      </c>
      <c r="H2387" s="8">
        <v>62776791062</v>
      </c>
      <c r="I2387" s="8">
        <v>216372339247</v>
      </c>
      <c r="J2387" s="8"/>
      <c r="K2387" s="8">
        <v>1337816323578</v>
      </c>
      <c r="L2387" s="8">
        <v>2113674471089</v>
      </c>
      <c r="M2387" s="8">
        <v>494164932000</v>
      </c>
      <c r="N2387" s="8">
        <v>507072225000</v>
      </c>
      <c r="O2387" s="8">
        <v>429628467000</v>
      </c>
      <c r="P2387" s="8">
        <v>394594386000</v>
      </c>
      <c r="Q2387" s="18">
        <f>(Table1[[#This Row],[A. TÀI SẢN NGẮN HẠN]]-Table1[[#This Row],[I. Nợ ngắn hạn]])/Table1[[#This Row],[TỔNG CỘNG TÀI SẢN]]</f>
        <v>5.4159108074201458E-3</v>
      </c>
      <c r="R2387" s="18">
        <f>Table1[[#This Row],[- LNST chưa phân phối kỳ này]]/Table1[[#This Row],[TỔNG CỘNG TÀI SẢN]]</f>
        <v>4.1491365631854731E-2</v>
      </c>
      <c r="S2387" s="21">
        <f>Table1[[#This Row],[5. Lợi nhuận gộp về bán hàng và cung cấp dịch vụ]]/Table1[[#This Row],[TỔNG CỘNG TÀI SẢN]]</f>
        <v>0.14300800803039598</v>
      </c>
      <c r="T238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0.34112680078491514</v>
      </c>
      <c r="U2387" s="23">
        <f>Table1[[#This Row],[1. Doanh thu bán hàng và cung cấp dịch vụ ]]/Table1[[#This Row],[TỔNG CỘNG TÀI SẢN]]</f>
        <v>1.3970010066308867</v>
      </c>
      <c r="V2387" s="23">
        <f>1.2*Table1[[#This Row],[X1]] + 1.4*Table1[[#This Row],[X2]] + 3.3*Table1[[#This Row],[x3]] + 0.6*Table1[[#This Row],[x4]] + 1*Table1[[#This Row],[x5]]</f>
        <v>2.1381905184556431</v>
      </c>
      <c r="W2387" s="23">
        <f>IF(Table1[[#This Row],[Zscore]]&lt;1.81,1,0)</f>
        <v>0</v>
      </c>
    </row>
    <row r="2388" spans="1:23" hidden="1" x14ac:dyDescent="0.45">
      <c r="A2388" s="7">
        <v>2382</v>
      </c>
      <c r="B2388" s="5" t="s">
        <v>4773</v>
      </c>
      <c r="C2388" s="6" t="s">
        <v>4774</v>
      </c>
      <c r="D2388" s="6" t="s">
        <v>18</v>
      </c>
      <c r="E2388" s="6"/>
      <c r="F2388" s="6"/>
      <c r="G2388" s="6"/>
      <c r="H2388" s="6"/>
      <c r="I2388" s="6"/>
      <c r="J2388" s="8"/>
      <c r="K2388" s="6"/>
      <c r="L2388" s="6"/>
      <c r="M2388" s="8"/>
      <c r="N2388" s="8"/>
      <c r="O2388" s="8"/>
      <c r="P2388" s="8"/>
      <c r="Q2388" s="18" t="e">
        <f>(Table1[[#This Row],[A. TÀI SẢN NGẮN HẠN]]-Table1[[#This Row],[I. Nợ ngắn hạn]])/Table1[[#This Row],[TỔNG CỘNG TÀI SẢN]]</f>
        <v>#DIV/0!</v>
      </c>
      <c r="R2388" s="18" t="e">
        <f>Table1[[#This Row],[- LNST chưa phân phối kỳ này]]/Table1[[#This Row],[TỔNG CỘNG TÀI SẢN]]</f>
        <v>#DIV/0!</v>
      </c>
      <c r="S2388" s="21" t="e">
        <f>Table1[[#This Row],[5. Lợi nhuận gộp về bán hàng và cung cấp dịch vụ]]/Table1[[#This Row],[TỔNG CỘNG TÀI SẢN]]</f>
        <v>#DIV/0!</v>
      </c>
      <c r="T238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388" s="23" t="e">
        <f>Table1[[#This Row],[1. Doanh thu bán hàng và cung cấp dịch vụ ]]/Table1[[#This Row],[TỔNG CỘNG TÀI SẢN]]</f>
        <v>#DIV/0!</v>
      </c>
      <c r="V2388" s="23" t="e">
        <f>1.2*Table1[[#This Row],[X1]] + 1.4*Table1[[#This Row],[X2]] + 3.3*Table1[[#This Row],[x3]] + 0.6*Table1[[#This Row],[x4]] + 1*Table1[[#This Row],[x5]]</f>
        <v>#DIV/0!</v>
      </c>
      <c r="W2388" s="23" t="e">
        <f>IF(Table1[[#This Row],[Zscore]]&lt;1.81,1,0)</f>
        <v>#DIV/0!</v>
      </c>
    </row>
    <row r="2389" spans="1:23" x14ac:dyDescent="0.45">
      <c r="A2389" s="7">
        <v>2383</v>
      </c>
      <c r="B2389" s="5" t="s">
        <v>4775</v>
      </c>
      <c r="C2389" s="6" t="s">
        <v>4776</v>
      </c>
      <c r="D2389" s="6" t="s">
        <v>36</v>
      </c>
      <c r="E2389" s="8">
        <v>132998111010</v>
      </c>
      <c r="F2389" s="8">
        <v>130955943906</v>
      </c>
      <c r="G2389" s="8">
        <v>39282521509</v>
      </c>
      <c r="H2389" s="8">
        <v>4345585183</v>
      </c>
      <c r="I2389" s="8">
        <v>22367171643</v>
      </c>
      <c r="J2389" s="8"/>
      <c r="K2389" s="8">
        <v>41712387871</v>
      </c>
      <c r="L2389" s="8">
        <v>531726139566</v>
      </c>
      <c r="M2389" s="8">
        <v>64800000000</v>
      </c>
      <c r="N2389" s="8">
        <v>52200000000</v>
      </c>
      <c r="O2389" s="8">
        <v>55800000000</v>
      </c>
      <c r="P2389" s="8">
        <v>58200000000</v>
      </c>
      <c r="Q2389" s="18">
        <f>(Table1[[#This Row],[A. TÀI SẢN NGẮN HẠN]]-Table1[[#This Row],[I. Nợ ngắn hạn]])/Table1[[#This Row],[TỔNG CỘNG TÀI SẢN]]</f>
        <v>0.68928364245795315</v>
      </c>
      <c r="R2389" s="18">
        <f>Table1[[#This Row],[- LNST chưa phân phối kỳ này]]/Table1[[#This Row],[TỔNG CỘNG TÀI SẢN]]</f>
        <v>3.267403687164594E-2</v>
      </c>
      <c r="S2389" s="21">
        <f>Table1[[#This Row],[5. Lợi nhuận gộp về bán hàng và cung cấp dịch vụ]]/Table1[[#This Row],[TỔNG CỘNG TÀI SẢN]]</f>
        <v>0.16817661148073174</v>
      </c>
      <c r="T238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1.384480796894151</v>
      </c>
      <c r="U2389" s="23">
        <f>Table1[[#This Row],[1. Doanh thu bán hàng và cung cấp dịch vụ ]]/Table1[[#This Row],[TỔNG CỘNG TÀI SẢN]]</f>
        <v>3.9979976822830214</v>
      </c>
      <c r="V2389" s="23">
        <f>1.2*Table1[[#This Row],[X1]] + 1.4*Table1[[#This Row],[X2]] + 3.3*Table1[[#This Row],[x3]] + 0.6*Table1[[#This Row],[x4]] + 1*Table1[[#This Row],[x5]]</f>
        <v>6.2565530008757744</v>
      </c>
      <c r="W2389" s="23">
        <f>IF(Table1[[#This Row],[Zscore]]&lt;1.81,1,0)</f>
        <v>0</v>
      </c>
    </row>
    <row r="2390" spans="1:23" x14ac:dyDescent="0.45">
      <c r="A2390" s="7">
        <v>2384</v>
      </c>
      <c r="B2390" s="5" t="s">
        <v>4777</v>
      </c>
      <c r="C2390" s="6" t="s">
        <v>4778</v>
      </c>
      <c r="D2390" s="6" t="s">
        <v>21</v>
      </c>
      <c r="E2390" s="8">
        <v>1835591564168</v>
      </c>
      <c r="F2390" s="8">
        <v>912175204350</v>
      </c>
      <c r="G2390" s="8">
        <v>272263326879</v>
      </c>
      <c r="H2390" s="8">
        <v>192194569668</v>
      </c>
      <c r="I2390" s="8">
        <v>284668586617</v>
      </c>
      <c r="J2390" s="8"/>
      <c r="K2390" s="8">
        <v>677129689001</v>
      </c>
      <c r="L2390" s="8">
        <v>1028410176083</v>
      </c>
      <c r="M2390" s="8">
        <v>557249949600</v>
      </c>
      <c r="N2390" s="8">
        <v>835327172000</v>
      </c>
      <c r="O2390" s="8">
        <v>584566123600</v>
      </c>
      <c r="P2390" s="8">
        <v>868379686000</v>
      </c>
      <c r="Q2390" s="18">
        <f>(Table1[[#This Row],[A. TÀI SẢN NGẮN HẠN]]-Table1[[#This Row],[I. Nợ ngắn hạn]])/Table1[[#This Row],[TỔNG CỘNG TÀI SẢN]]</f>
        <v>0.34861343338165013</v>
      </c>
      <c r="R2390" s="18">
        <f>Table1[[#This Row],[- LNST chưa phân phối kỳ này]]/Table1[[#This Row],[TỔNG CỘNG TÀI SẢN]]</f>
        <v>0.10470443066952864</v>
      </c>
      <c r="S2390" s="21">
        <f>Table1[[#This Row],[5. Lợi nhuận gộp về bán hàng và cung cấp dịch vụ]]/Table1[[#This Row],[TỔNG CỘNG TÀI SẢN]]</f>
        <v>0.15508274943834188</v>
      </c>
      <c r="T239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1.0505826939142664</v>
      </c>
      <c r="U2390" s="23">
        <f>Table1[[#This Row],[1. Doanh thu bán hàng và cung cấp dịch vụ ]]/Table1[[#This Row],[TỔNG CỘNG TÀI SẢN]]</f>
        <v>0.56026089690008851</v>
      </c>
      <c r="V2390" s="23">
        <f>1.2*Table1[[#This Row],[X1]] + 1.4*Table1[[#This Row],[X2]] + 3.3*Table1[[#This Row],[x3]] + 0.6*Table1[[#This Row],[x4]] + 1*Table1[[#This Row],[x5]]</f>
        <v>2.2673059093904966</v>
      </c>
      <c r="W2390" s="23">
        <f>IF(Table1[[#This Row],[Zscore]]&lt;1.81,1,0)</f>
        <v>0</v>
      </c>
    </row>
    <row r="2391" spans="1:23" ht="26.25" x14ac:dyDescent="0.45">
      <c r="A2391" s="7">
        <v>2385</v>
      </c>
      <c r="B2391" s="5" t="s">
        <v>4779</v>
      </c>
      <c r="C2391" s="6" t="s">
        <v>4780</v>
      </c>
      <c r="D2391" s="6" t="s">
        <v>18</v>
      </c>
      <c r="E2391" s="8">
        <v>2199984577704</v>
      </c>
      <c r="F2391" s="8">
        <v>1809755423867</v>
      </c>
      <c r="G2391" s="8">
        <v>1745908554254</v>
      </c>
      <c r="H2391" s="8">
        <v>-47597466195</v>
      </c>
      <c r="I2391" s="8">
        <v>40506877345</v>
      </c>
      <c r="J2391" s="8"/>
      <c r="K2391" s="8">
        <v>1759851163891</v>
      </c>
      <c r="L2391" s="8">
        <v>327652482072</v>
      </c>
      <c r="M2391" s="8">
        <v>182155847000</v>
      </c>
      <c r="N2391" s="8">
        <v>182155847000</v>
      </c>
      <c r="O2391" s="8">
        <v>182155847000</v>
      </c>
      <c r="P2391" s="8">
        <v>182155847000</v>
      </c>
      <c r="Q2391" s="18">
        <f>(Table1[[#This Row],[A. TÀI SẢN NGẮN HẠN]]-Table1[[#This Row],[I. Nợ ngắn hạn]])/Table1[[#This Row],[TỔNG CỘNG TÀI SẢN]]</f>
        <v>2.9021507814219943E-2</v>
      </c>
      <c r="R2391" s="18">
        <f>Table1[[#This Row],[- LNST chưa phân phối kỳ này]]/Table1[[#This Row],[TỔNG CỘNG TÀI SẢN]]</f>
        <v>-2.1635363573627771E-2</v>
      </c>
      <c r="S2391" s="21">
        <f>Table1[[#This Row],[5. Lợi nhuận gộp về bán hàng và cung cấp dịch vụ]]/Table1[[#This Row],[TỔNG CỘNG TÀI SẢN]]</f>
        <v>1.8412346048023095E-2</v>
      </c>
      <c r="T239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0.10350639345957906</v>
      </c>
      <c r="U2391" s="23">
        <f>Table1[[#This Row],[1. Doanh thu bán hàng và cung cấp dịch vụ ]]/Table1[[#This Row],[TỔNG CỘNG TÀI SẢN]]</f>
        <v>0.14893399044367503</v>
      </c>
      <c r="V2391" s="23">
        <f>1.2*Table1[[#This Row],[X1]] + 1.4*Table1[[#This Row],[X2]] + 3.3*Table1[[#This Row],[x3]] + 0.6*Table1[[#This Row],[x4]] + 1*Table1[[#This Row],[x5]]</f>
        <v>0.27633486885188374</v>
      </c>
      <c r="W2391" s="23">
        <f>IF(Table1[[#This Row],[Zscore]]&lt;1.81,1,0)</f>
        <v>1</v>
      </c>
    </row>
    <row r="2392" spans="1:23" x14ac:dyDescent="0.45">
      <c r="A2392" s="7">
        <v>2386</v>
      </c>
      <c r="B2392" s="5" t="s">
        <v>4781</v>
      </c>
      <c r="C2392" s="6" t="s">
        <v>4782</v>
      </c>
      <c r="D2392" s="6" t="s">
        <v>18</v>
      </c>
      <c r="E2392" s="8">
        <v>731105595024</v>
      </c>
      <c r="F2392" s="8">
        <v>652524058773</v>
      </c>
      <c r="G2392" s="8">
        <v>394944165031</v>
      </c>
      <c r="H2392" s="8">
        <v>4954595320</v>
      </c>
      <c r="I2392" s="8">
        <v>68037229618</v>
      </c>
      <c r="J2392" s="8"/>
      <c r="K2392" s="8">
        <v>394944165031</v>
      </c>
      <c r="L2392" s="8">
        <v>1923025965998</v>
      </c>
      <c r="M2392" s="8">
        <v>168084000000</v>
      </c>
      <c r="N2392" s="8">
        <v>291345882300</v>
      </c>
      <c r="O2392" s="8">
        <v>294288770000</v>
      </c>
      <c r="P2392" s="8">
        <v>276631443800</v>
      </c>
      <c r="Q2392" s="18">
        <f>(Table1[[#This Row],[A. TÀI SẢN NGẮN HẠN]]-Table1[[#This Row],[I. Nợ ngắn hạn]])/Table1[[#This Row],[TỔNG CỘNG TÀI SẢN]]</f>
        <v>0.35231558272173313</v>
      </c>
      <c r="R2392" s="18">
        <f>Table1[[#This Row],[- LNST chưa phân phối kỳ này]]/Table1[[#This Row],[TỔNG CỘNG TÀI SẢN]]</f>
        <v>6.7768532394248135E-3</v>
      </c>
      <c r="S2392" s="21">
        <f>Table1[[#This Row],[5. Lợi nhuận gộp về bán hàng và cung cấp dịch vụ]]/Table1[[#This Row],[TỔNG CỘNG TÀI SẢN]]</f>
        <v>9.3060742635633284E-2</v>
      </c>
      <c r="T239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0.65221250706357803</v>
      </c>
      <c r="U2392" s="23">
        <f>Table1[[#This Row],[1. Doanh thu bán hàng và cung cấp dịch vụ ]]/Table1[[#This Row],[TỔNG CỘNG TÀI SẢN]]</f>
        <v>2.6302985219732489</v>
      </c>
      <c r="V2392" s="23">
        <f>1.2*Table1[[#This Row],[X1]] + 1.4*Table1[[#This Row],[X2]] + 3.3*Table1[[#This Row],[x3]] + 0.6*Table1[[#This Row],[x4]] + 1*Table1[[#This Row],[x5]]</f>
        <v>3.7609927707102599</v>
      </c>
      <c r="W2392" s="23">
        <f>IF(Table1[[#This Row],[Zscore]]&lt;1.81,1,0)</f>
        <v>0</v>
      </c>
    </row>
    <row r="2393" spans="1:23" x14ac:dyDescent="0.45">
      <c r="A2393" s="7">
        <v>2387</v>
      </c>
      <c r="B2393" s="5" t="s">
        <v>4783</v>
      </c>
      <c r="C2393" s="6" t="s">
        <v>4784</v>
      </c>
      <c r="D2393" s="6" t="s">
        <v>21</v>
      </c>
      <c r="E2393" s="8">
        <v>382415355646</v>
      </c>
      <c r="F2393" s="8">
        <v>229904973081</v>
      </c>
      <c r="G2393" s="8">
        <v>32439201002</v>
      </c>
      <c r="H2393" s="8">
        <v>49649002365</v>
      </c>
      <c r="I2393" s="8">
        <v>42498004431</v>
      </c>
      <c r="J2393" s="8"/>
      <c r="K2393" s="8">
        <v>32832351002</v>
      </c>
      <c r="L2393" s="8">
        <v>165986994225</v>
      </c>
      <c r="M2393" s="8">
        <v>636212500000</v>
      </c>
      <c r="N2393" s="8">
        <v>627550000000</v>
      </c>
      <c r="O2393" s="8">
        <v>553437500000</v>
      </c>
      <c r="P2393" s="8">
        <v>587125000000</v>
      </c>
      <c r="Q2393" s="18">
        <f>(Table1[[#This Row],[A. TÀI SẢN NGẮN HẠN]]-Table1[[#This Row],[I. Nợ ngắn hạn]])/Table1[[#This Row],[TỔNG CỘNG TÀI SẢN]]</f>
        <v>0.51636465210825133</v>
      </c>
      <c r="R2393" s="18">
        <f>Table1[[#This Row],[- LNST chưa phân phối kỳ này]]/Table1[[#This Row],[TỔNG CỘNG TÀI SẢN]]</f>
        <v>0.12983004377826249</v>
      </c>
      <c r="S2393" s="21">
        <f>Table1[[#This Row],[5. Lợi nhuận gộp về bán hàng và cung cấp dịch vụ]]/Table1[[#This Row],[TỔNG CỘNG TÀI SẢN]]</f>
        <v>0.11113048627247121</v>
      </c>
      <c r="T239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18.30759088690861</v>
      </c>
      <c r="U2393" s="23">
        <f>Table1[[#This Row],[1. Doanh thu bán hàng và cung cấp dịch vụ ]]/Table1[[#This Row],[TỔNG CỘNG TÀI SẢN]]</f>
        <v>0.4340489778309356</v>
      </c>
      <c r="V2393" s="23">
        <f>1.2*Table1[[#This Row],[X1]] + 1.4*Table1[[#This Row],[X2]] + 3.3*Table1[[#This Row],[x3]] + 0.6*Table1[[#This Row],[x4]] + 1*Table1[[#This Row],[x5]]</f>
        <v>12.586733758494725</v>
      </c>
      <c r="W2393" s="23">
        <f>IF(Table1[[#This Row],[Zscore]]&lt;1.81,1,0)</f>
        <v>0</v>
      </c>
    </row>
    <row r="2394" spans="1:23" hidden="1" x14ac:dyDescent="0.45">
      <c r="A2394" s="7">
        <v>2388</v>
      </c>
      <c r="B2394" s="5" t="s">
        <v>4785</v>
      </c>
      <c r="C2394" s="6" t="s">
        <v>4786</v>
      </c>
      <c r="D2394" s="6" t="s">
        <v>13</v>
      </c>
      <c r="E2394" s="6"/>
      <c r="F2394" s="6"/>
      <c r="G2394" s="6"/>
      <c r="H2394" s="6"/>
      <c r="I2394" s="6"/>
      <c r="J2394" s="8"/>
      <c r="K2394" s="6"/>
      <c r="L2394" s="6"/>
      <c r="M2394" s="8"/>
      <c r="N2394" s="8"/>
      <c r="O2394" s="8"/>
      <c r="P2394" s="8"/>
      <c r="Q2394" s="18" t="e">
        <f>(Table1[[#This Row],[A. TÀI SẢN NGẮN HẠN]]-Table1[[#This Row],[I. Nợ ngắn hạn]])/Table1[[#This Row],[TỔNG CỘNG TÀI SẢN]]</f>
        <v>#DIV/0!</v>
      </c>
      <c r="R2394" s="18" t="e">
        <f>Table1[[#This Row],[- LNST chưa phân phối kỳ này]]/Table1[[#This Row],[TỔNG CỘNG TÀI SẢN]]</f>
        <v>#DIV/0!</v>
      </c>
      <c r="S2394" s="21" t="e">
        <f>Table1[[#This Row],[5. Lợi nhuận gộp về bán hàng và cung cấp dịch vụ]]/Table1[[#This Row],[TỔNG CỘNG TÀI SẢN]]</f>
        <v>#DIV/0!</v>
      </c>
      <c r="T239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394" s="23" t="e">
        <f>Table1[[#This Row],[1. Doanh thu bán hàng và cung cấp dịch vụ ]]/Table1[[#This Row],[TỔNG CỘNG TÀI SẢN]]</f>
        <v>#DIV/0!</v>
      </c>
      <c r="V2394" s="23" t="e">
        <f>1.2*Table1[[#This Row],[X1]] + 1.4*Table1[[#This Row],[X2]] + 3.3*Table1[[#This Row],[x3]] + 0.6*Table1[[#This Row],[x4]] + 1*Table1[[#This Row],[x5]]</f>
        <v>#DIV/0!</v>
      </c>
      <c r="W2394" s="23" t="e">
        <f>IF(Table1[[#This Row],[Zscore]]&lt;1.81,1,0)</f>
        <v>#DIV/0!</v>
      </c>
    </row>
    <row r="2395" spans="1:23" x14ac:dyDescent="0.45">
      <c r="A2395" s="7">
        <v>2389</v>
      </c>
      <c r="B2395" s="5" t="s">
        <v>4787</v>
      </c>
      <c r="C2395" s="6" t="s">
        <v>4788</v>
      </c>
      <c r="D2395" s="6" t="s">
        <v>36</v>
      </c>
      <c r="E2395" s="8">
        <v>6926617761056</v>
      </c>
      <c r="F2395" s="8">
        <v>3385881370762</v>
      </c>
      <c r="G2395" s="8">
        <v>3818455269699</v>
      </c>
      <c r="H2395" s="8">
        <v>266302700388</v>
      </c>
      <c r="I2395" s="8">
        <v>1268389728119</v>
      </c>
      <c r="J2395" s="8"/>
      <c r="K2395" s="8">
        <v>4925351177742</v>
      </c>
      <c r="L2395" s="8">
        <v>8698517195395</v>
      </c>
      <c r="M2395" s="8">
        <v>2684966411400</v>
      </c>
      <c r="N2395" s="8">
        <v>2342909041200</v>
      </c>
      <c r="O2395" s="8">
        <v>2537844964200</v>
      </c>
      <c r="P2395" s="8">
        <v>2439763999400</v>
      </c>
      <c r="Q2395" s="18">
        <f>(Table1[[#This Row],[A. TÀI SẢN NGẮN HẠN]]-Table1[[#This Row],[I. Nợ ngắn hạn]])/Table1[[#This Row],[TỔNG CỘNG TÀI SẢN]]</f>
        <v>-6.2450955698622496E-2</v>
      </c>
      <c r="R2395" s="18">
        <f>Table1[[#This Row],[- LNST chưa phân phối kỳ này]]/Table1[[#This Row],[TỔNG CỘNG TÀI SẢN]]</f>
        <v>3.8446282092430742E-2</v>
      </c>
      <c r="S2395" s="21">
        <f>Table1[[#This Row],[5. Lợi nhuận gộp về bán hàng và cung cấp dịch vụ]]/Table1[[#This Row],[TỔNG CỘNG TÀI SẢN]]</f>
        <v>0.18311819301627338</v>
      </c>
      <c r="T239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0.50785639719536502</v>
      </c>
      <c r="U2395" s="23">
        <f>Table1[[#This Row],[1. Doanh thu bán hàng và cung cấp dịch vụ ]]/Table1[[#This Row],[TỔNG CỘNG TÀI SẢN]]</f>
        <v>1.2558101941616111</v>
      </c>
      <c r="V2395" s="23">
        <f>1.2*Table1[[#This Row],[X1]] + 1.4*Table1[[#This Row],[X2]] + 3.3*Table1[[#This Row],[x3]] + 0.6*Table1[[#This Row],[x4]] + 1*Table1[[#This Row],[x5]]</f>
        <v>2.1436977175235885</v>
      </c>
      <c r="W2395" s="23">
        <f>IF(Table1[[#This Row],[Zscore]]&lt;1.81,1,0)</f>
        <v>0</v>
      </c>
    </row>
    <row r="2396" spans="1:23" x14ac:dyDescent="0.45">
      <c r="A2396" s="7">
        <v>2390</v>
      </c>
      <c r="B2396" s="5" t="s">
        <v>4789</v>
      </c>
      <c r="C2396" s="6" t="s">
        <v>4790</v>
      </c>
      <c r="D2396" s="6" t="s">
        <v>21</v>
      </c>
      <c r="E2396" s="8">
        <v>2876073649134</v>
      </c>
      <c r="F2396" s="8">
        <v>251276691175</v>
      </c>
      <c r="G2396" s="8">
        <v>278212323081</v>
      </c>
      <c r="H2396" s="8">
        <v>-94513493281</v>
      </c>
      <c r="I2396" s="8">
        <v>27044263067</v>
      </c>
      <c r="J2396" s="8"/>
      <c r="K2396" s="8">
        <v>1122240479899</v>
      </c>
      <c r="L2396" s="8">
        <v>505926793126</v>
      </c>
      <c r="M2396" s="8">
        <v>2623225514000</v>
      </c>
      <c r="N2396" s="8">
        <v>1914434941650</v>
      </c>
      <c r="O2396" s="8">
        <v>2335736574000</v>
      </c>
      <c r="P2396" s="8">
        <v>1931385818000</v>
      </c>
      <c r="Q2396" s="18">
        <f>(Table1[[#This Row],[A. TÀI SẢN NGẮN HẠN]]-Table1[[#This Row],[I. Nợ ngắn hạn]])/Table1[[#This Row],[TỔNG CỘNG TÀI SẢN]]</f>
        <v>-9.3654179941151557E-3</v>
      </c>
      <c r="R2396" s="18">
        <f>Table1[[#This Row],[- LNST chưa phân phối kỳ này]]/Table1[[#This Row],[TỔNG CỘNG TÀI SẢN]]</f>
        <v>-3.2861986447898679E-2</v>
      </c>
      <c r="S2396" s="21">
        <f>Table1[[#This Row],[5. Lợi nhuận gộp về bán hàng và cung cấp dịch vụ]]/Table1[[#This Row],[TỔNG CỘNG TÀI SẢN]]</f>
        <v>9.4031886405771155E-3</v>
      </c>
      <c r="T239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1.9614296145426908</v>
      </c>
      <c r="U2396" s="23">
        <f>Table1[[#This Row],[1. Doanh thu bán hàng và cung cấp dịch vụ ]]/Table1[[#This Row],[TỔNG CỘNG TÀI SẢN]]</f>
        <v>0.17590884478161298</v>
      </c>
      <c r="V2396" s="23">
        <f>1.2*Table1[[#This Row],[X1]] + 1.4*Table1[[#This Row],[X2]] + 3.3*Table1[[#This Row],[x3]] + 0.6*Table1[[#This Row],[x4]] + 1*Table1[[#This Row],[x5]]</f>
        <v>1.3265518534011358</v>
      </c>
      <c r="W2396" s="23">
        <f>IF(Table1[[#This Row],[Zscore]]&lt;1.81,1,0)</f>
        <v>1</v>
      </c>
    </row>
    <row r="2397" spans="1:23" x14ac:dyDescent="0.45">
      <c r="A2397" s="7">
        <v>2391</v>
      </c>
      <c r="B2397" s="5" t="s">
        <v>4791</v>
      </c>
      <c r="C2397" s="6" t="s">
        <v>4792</v>
      </c>
      <c r="D2397" s="6" t="s">
        <v>21</v>
      </c>
      <c r="E2397" s="8">
        <v>934401915236</v>
      </c>
      <c r="F2397" s="8">
        <v>706676871924</v>
      </c>
      <c r="G2397" s="8">
        <v>329242206976</v>
      </c>
      <c r="H2397" s="8">
        <v>48696841138</v>
      </c>
      <c r="I2397" s="8">
        <v>-1914650230</v>
      </c>
      <c r="J2397" s="8"/>
      <c r="K2397" s="8">
        <v>338456319994</v>
      </c>
      <c r="L2397" s="8">
        <v>1060155458229</v>
      </c>
      <c r="M2397" s="8">
        <v>120225000000</v>
      </c>
      <c r="N2397" s="8">
        <v>263550000000</v>
      </c>
      <c r="O2397" s="8">
        <v>117075000000</v>
      </c>
      <c r="P2397" s="8">
        <v>315000000000</v>
      </c>
      <c r="Q2397" s="18">
        <f>(Table1[[#This Row],[A. TÀI SẢN NGẮN HẠN]]-Table1[[#This Row],[I. Nợ ngắn hạn]])/Table1[[#This Row],[TỔNG CỘNG TÀI SẢN]]</f>
        <v>0.40393181862504218</v>
      </c>
      <c r="R2397" s="18">
        <f>Table1[[#This Row],[- LNST chưa phân phối kỳ này]]/Table1[[#This Row],[TỔNG CỘNG TÀI SẢN]]</f>
        <v>5.2115519396918976E-2</v>
      </c>
      <c r="S2397" s="21">
        <f>Table1[[#This Row],[5. Lợi nhuận gộp về bán hàng và cung cấp dịch vụ]]/Table1[[#This Row],[TỔNG CỘNG TÀI SẢN]]</f>
        <v>-2.049064967419743E-3</v>
      </c>
      <c r="T239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0.60262576867707995</v>
      </c>
      <c r="U2397" s="23">
        <f>Table1[[#This Row],[1. Doanh thu bán hàng và cung cấp dịch vụ ]]/Table1[[#This Row],[TỔNG CỘNG TÀI SẢN]]</f>
        <v>1.1345818549197202</v>
      </c>
      <c r="V2397" s="23">
        <f>1.2*Table1[[#This Row],[X1]] + 1.4*Table1[[#This Row],[X2]] + 3.3*Table1[[#This Row],[x3]] + 0.6*Table1[[#This Row],[x4]] + 1*Table1[[#This Row],[x5]]</f>
        <v>2.0470753112392202</v>
      </c>
      <c r="W2397" s="23">
        <f>IF(Table1[[#This Row],[Zscore]]&lt;1.81,1,0)</f>
        <v>0</v>
      </c>
    </row>
    <row r="2398" spans="1:23" ht="26.25" hidden="1" x14ac:dyDescent="0.45">
      <c r="A2398" s="7">
        <v>2392</v>
      </c>
      <c r="B2398" s="5" t="s">
        <v>4793</v>
      </c>
      <c r="C2398" s="6" t="s">
        <v>4794</v>
      </c>
      <c r="D2398" s="6" t="s">
        <v>18</v>
      </c>
      <c r="E2398" s="6"/>
      <c r="F2398" s="6"/>
      <c r="G2398" s="6"/>
      <c r="H2398" s="6"/>
      <c r="I2398" s="6"/>
      <c r="J2398" s="8"/>
      <c r="K2398" s="6"/>
      <c r="L2398" s="6"/>
      <c r="M2398" s="8"/>
      <c r="N2398" s="8"/>
      <c r="O2398" s="8"/>
      <c r="P2398" s="8"/>
      <c r="Q2398" s="18" t="e">
        <f>(Table1[[#This Row],[A. TÀI SẢN NGẮN HẠN]]-Table1[[#This Row],[I. Nợ ngắn hạn]])/Table1[[#This Row],[TỔNG CỘNG TÀI SẢN]]</f>
        <v>#DIV/0!</v>
      </c>
      <c r="R2398" s="18" t="e">
        <f>Table1[[#This Row],[- LNST chưa phân phối kỳ này]]/Table1[[#This Row],[TỔNG CỘNG TÀI SẢN]]</f>
        <v>#DIV/0!</v>
      </c>
      <c r="S2398" s="21" t="e">
        <f>Table1[[#This Row],[5. Lợi nhuận gộp về bán hàng và cung cấp dịch vụ]]/Table1[[#This Row],[TỔNG CỘNG TÀI SẢN]]</f>
        <v>#DIV/0!</v>
      </c>
      <c r="T239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398" s="23" t="e">
        <f>Table1[[#This Row],[1. Doanh thu bán hàng và cung cấp dịch vụ ]]/Table1[[#This Row],[TỔNG CỘNG TÀI SẢN]]</f>
        <v>#DIV/0!</v>
      </c>
      <c r="V2398" s="23" t="e">
        <f>1.2*Table1[[#This Row],[X1]] + 1.4*Table1[[#This Row],[X2]] + 3.3*Table1[[#This Row],[x3]] + 0.6*Table1[[#This Row],[x4]] + 1*Table1[[#This Row],[x5]]</f>
        <v>#DIV/0!</v>
      </c>
      <c r="W2398" s="23" t="e">
        <f>IF(Table1[[#This Row],[Zscore]]&lt;1.81,1,0)</f>
        <v>#DIV/0!</v>
      </c>
    </row>
    <row r="2399" spans="1:23" hidden="1" x14ac:dyDescent="0.45">
      <c r="A2399" s="7">
        <v>2393</v>
      </c>
      <c r="B2399" s="5" t="s">
        <v>4795</v>
      </c>
      <c r="C2399" s="6" t="s">
        <v>4796</v>
      </c>
      <c r="D2399" s="6" t="s">
        <v>18</v>
      </c>
      <c r="E2399" s="6"/>
      <c r="F2399" s="6"/>
      <c r="G2399" s="6"/>
      <c r="H2399" s="6"/>
      <c r="I2399" s="6"/>
      <c r="J2399" s="8"/>
      <c r="K2399" s="6"/>
      <c r="L2399" s="6"/>
      <c r="M2399" s="8"/>
      <c r="N2399" s="8"/>
      <c r="O2399" s="8"/>
      <c r="P2399" s="8"/>
      <c r="Q2399" s="18" t="e">
        <f>(Table1[[#This Row],[A. TÀI SẢN NGẮN HẠN]]-Table1[[#This Row],[I. Nợ ngắn hạn]])/Table1[[#This Row],[TỔNG CỘNG TÀI SẢN]]</f>
        <v>#DIV/0!</v>
      </c>
      <c r="R2399" s="18" t="e">
        <f>Table1[[#This Row],[- LNST chưa phân phối kỳ này]]/Table1[[#This Row],[TỔNG CỘNG TÀI SẢN]]</f>
        <v>#DIV/0!</v>
      </c>
      <c r="S2399" s="21" t="e">
        <f>Table1[[#This Row],[5. Lợi nhuận gộp về bán hàng và cung cấp dịch vụ]]/Table1[[#This Row],[TỔNG CỘNG TÀI SẢN]]</f>
        <v>#DIV/0!</v>
      </c>
      <c r="T239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399" s="23" t="e">
        <f>Table1[[#This Row],[1. Doanh thu bán hàng và cung cấp dịch vụ ]]/Table1[[#This Row],[TỔNG CỘNG TÀI SẢN]]</f>
        <v>#DIV/0!</v>
      </c>
      <c r="V2399" s="23" t="e">
        <f>1.2*Table1[[#This Row],[X1]] + 1.4*Table1[[#This Row],[X2]] + 3.3*Table1[[#This Row],[x3]] + 0.6*Table1[[#This Row],[x4]] + 1*Table1[[#This Row],[x5]]</f>
        <v>#DIV/0!</v>
      </c>
      <c r="W2399" s="23" t="e">
        <f>IF(Table1[[#This Row],[Zscore]]&lt;1.81,1,0)</f>
        <v>#DIV/0!</v>
      </c>
    </row>
    <row r="2400" spans="1:23" x14ac:dyDescent="0.45">
      <c r="A2400" s="7">
        <v>2394</v>
      </c>
      <c r="B2400" s="5" t="s">
        <v>4797</v>
      </c>
      <c r="C2400" s="6" t="s">
        <v>4798</v>
      </c>
      <c r="D2400" s="6" t="s">
        <v>18</v>
      </c>
      <c r="E2400" s="8">
        <v>413074103185</v>
      </c>
      <c r="F2400" s="8">
        <v>196610206177</v>
      </c>
      <c r="G2400" s="8">
        <v>285382396019</v>
      </c>
      <c r="H2400" s="8">
        <v>14014770454</v>
      </c>
      <c r="I2400" s="8">
        <v>36266528956</v>
      </c>
      <c r="J2400" s="8"/>
      <c r="K2400" s="8">
        <v>320212885985</v>
      </c>
      <c r="L2400" s="8">
        <v>1059720135862</v>
      </c>
      <c r="M2400" s="8">
        <v>86000000000</v>
      </c>
      <c r="N2400" s="8">
        <v>60000000000</v>
      </c>
      <c r="O2400" s="8">
        <v>88000000000</v>
      </c>
      <c r="P2400" s="8">
        <v>78000000000</v>
      </c>
      <c r="Q2400" s="18">
        <f>(Table1[[#This Row],[A. TÀI SẢN NGẮN HẠN]]-Table1[[#This Row],[I. Nợ ngắn hạn]])/Table1[[#This Row],[TỔNG CỘNG TÀI SẢN]]</f>
        <v>-0.2149062097031107</v>
      </c>
      <c r="R2400" s="18">
        <f>Table1[[#This Row],[- LNST chưa phân phối kỳ này]]/Table1[[#This Row],[TỔNG CỘNG TÀI SẢN]]</f>
        <v>3.3927981313617531E-2</v>
      </c>
      <c r="S2400" s="21">
        <f>Table1[[#This Row],[5. Lợi nhuận gộp về bán hàng và cung cấp dịch vụ]]/Table1[[#This Row],[TỔNG CỘNG TÀI SẢN]]</f>
        <v>8.7796665722609135E-2</v>
      </c>
      <c r="T240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0.2435879485613637</v>
      </c>
      <c r="U2400" s="23">
        <f>Table1[[#This Row],[1. Doanh thu bán hàng và cung cấp dịch vụ ]]/Table1[[#This Row],[TỔNG CỘNG TÀI SẢN]]</f>
        <v>2.5654480096695678</v>
      </c>
      <c r="V2400" s="23">
        <f>1.2*Table1[[#This Row],[X1]] + 1.4*Table1[[#This Row],[X2]] + 3.3*Table1[[#This Row],[x3]] + 0.6*Table1[[#This Row],[x4]] + 1*Table1[[#This Row],[x5]]</f>
        <v>2.7909414978863278</v>
      </c>
      <c r="W2400" s="23">
        <f>IF(Table1[[#This Row],[Zscore]]&lt;1.81,1,0)</f>
        <v>0</v>
      </c>
    </row>
    <row r="2401" spans="1:23" x14ac:dyDescent="0.45">
      <c r="A2401" s="7">
        <v>2395</v>
      </c>
      <c r="B2401" s="5" t="s">
        <v>4799</v>
      </c>
      <c r="C2401" s="6" t="s">
        <v>4800</v>
      </c>
      <c r="D2401" s="6" t="s">
        <v>21</v>
      </c>
      <c r="E2401" s="8">
        <v>832849836596</v>
      </c>
      <c r="F2401" s="8">
        <v>460422898658</v>
      </c>
      <c r="G2401" s="8">
        <v>187710875720</v>
      </c>
      <c r="H2401" s="8">
        <v>13687120351</v>
      </c>
      <c r="I2401" s="8">
        <v>41424832563</v>
      </c>
      <c r="J2401" s="8"/>
      <c r="K2401" s="8">
        <v>188230875720</v>
      </c>
      <c r="L2401" s="8">
        <v>1015694130319</v>
      </c>
      <c r="M2401" s="8">
        <v>269280000000</v>
      </c>
      <c r="N2401" s="8">
        <v>441660000000</v>
      </c>
      <c r="O2401" s="8">
        <v>249900000000</v>
      </c>
      <c r="P2401" s="8">
        <v>413100000000</v>
      </c>
      <c r="Q2401" s="18">
        <f>(Table1[[#This Row],[A. TÀI SẢN NGẮN HẠN]]-Table1[[#This Row],[I. Nợ ngắn hạn]])/Table1[[#This Row],[TỔNG CỘNG TÀI SẢN]]</f>
        <v>0.32744440948997572</v>
      </c>
      <c r="R2401" s="18">
        <f>Table1[[#This Row],[- LNST chưa phân phối kỳ này]]/Table1[[#This Row],[TỔNG CỘNG TÀI SẢN]]</f>
        <v>1.6434079409730819E-2</v>
      </c>
      <c r="S2401" s="21">
        <f>Table1[[#This Row],[5. Lợi nhuận gộp về bán hàng và cung cấp dịch vụ]]/Table1[[#This Row],[TỔNG CỘNG TÀI SẢN]]</f>
        <v>4.9738657249799541E-2</v>
      </c>
      <c r="T240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1.8248068957132513</v>
      </c>
      <c r="U2401" s="23">
        <f>Table1[[#This Row],[1. Doanh thu bán hàng và cung cấp dịch vụ ]]/Table1[[#This Row],[TỔNG CỘNG TÀI SẢN]]</f>
        <v>1.2195405290229941</v>
      </c>
      <c r="V2401" s="23">
        <f>1.2*Table1[[#This Row],[X1]] + 1.4*Table1[[#This Row],[X2]] + 3.3*Table1[[#This Row],[x3]] + 0.6*Table1[[#This Row],[x4]] + 1*Table1[[#This Row],[x5]]</f>
        <v>2.8945032379368776</v>
      </c>
      <c r="W2401" s="23">
        <f>IF(Table1[[#This Row],[Zscore]]&lt;1.81,1,0)</f>
        <v>0</v>
      </c>
    </row>
    <row r="2402" spans="1:23" x14ac:dyDescent="0.45">
      <c r="A2402" s="7">
        <v>2396</v>
      </c>
      <c r="B2402" s="5" t="s">
        <v>4801</v>
      </c>
      <c r="C2402" s="6" t="s">
        <v>4802</v>
      </c>
      <c r="D2402" s="6" t="s">
        <v>18</v>
      </c>
      <c r="E2402" s="8">
        <v>352179878854</v>
      </c>
      <c r="F2402" s="8">
        <v>155310043442</v>
      </c>
      <c r="G2402" s="8">
        <v>101776273940</v>
      </c>
      <c r="H2402" s="8">
        <v>33398761910</v>
      </c>
      <c r="I2402" s="8">
        <v>40355970028</v>
      </c>
      <c r="J2402" s="8"/>
      <c r="K2402" s="8">
        <v>101776273940</v>
      </c>
      <c r="L2402" s="8">
        <v>219768638716</v>
      </c>
      <c r="M2402" s="8">
        <v>282030000000</v>
      </c>
      <c r="N2402" s="8">
        <v>462150000000</v>
      </c>
      <c r="O2402" s="8">
        <v>237000000000</v>
      </c>
      <c r="P2402" s="8">
        <v>241740000000</v>
      </c>
      <c r="Q2402" s="18">
        <f>(Table1[[#This Row],[A. TÀI SẢN NGẮN HẠN]]-Table1[[#This Row],[I. Nợ ngắn hạn]])/Table1[[#This Row],[TỔNG CỘNG TÀI SẢN]]</f>
        <v>0.15200689396623085</v>
      </c>
      <c r="R2402" s="18">
        <f>Table1[[#This Row],[- LNST chưa phân phối kỳ này]]/Table1[[#This Row],[TỔNG CỘNG TÀI SẢN]]</f>
        <v>9.4834384118366449E-2</v>
      </c>
      <c r="S2402" s="21">
        <f>Table1[[#This Row],[5. Lợi nhuận gộp về bán hàng và cung cấp dịch vụ]]/Table1[[#This Row],[TỔNG CỘNG TÀI SẢN]]</f>
        <v>0.11458908487139893</v>
      </c>
      <c r="T240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3.0039417652510694</v>
      </c>
      <c r="U2402" s="23">
        <f>Table1[[#This Row],[1. Doanh thu bán hàng và cung cấp dịch vụ ]]/Table1[[#This Row],[TỔNG CỘNG TÀI SẢN]]</f>
        <v>0.62402383529442773</v>
      </c>
      <c r="V2402" s="23">
        <f>1.2*Table1[[#This Row],[X1]] + 1.4*Table1[[#This Row],[X2]] + 3.3*Table1[[#This Row],[x3]] + 0.6*Table1[[#This Row],[x4]] + 1*Table1[[#This Row],[x5]]</f>
        <v>3.1197092850458756</v>
      </c>
      <c r="W2402" s="23">
        <f>IF(Table1[[#This Row],[Zscore]]&lt;1.81,1,0)</f>
        <v>0</v>
      </c>
    </row>
    <row r="2403" spans="1:23" x14ac:dyDescent="0.45">
      <c r="A2403" s="7">
        <v>2397</v>
      </c>
      <c r="B2403" s="5" t="s">
        <v>4803</v>
      </c>
      <c r="C2403" s="6" t="s">
        <v>4804</v>
      </c>
      <c r="D2403" s="6" t="s">
        <v>18</v>
      </c>
      <c r="E2403" s="8">
        <v>825797573928</v>
      </c>
      <c r="F2403" s="8">
        <v>115312437059</v>
      </c>
      <c r="G2403" s="8">
        <v>180264369484</v>
      </c>
      <c r="H2403" s="8">
        <v>18621161474</v>
      </c>
      <c r="I2403" s="8">
        <v>109893271384</v>
      </c>
      <c r="J2403" s="8"/>
      <c r="K2403" s="8">
        <v>606226206880</v>
      </c>
      <c r="L2403" s="8">
        <v>248278531312</v>
      </c>
      <c r="M2403" s="8">
        <v>206400000000</v>
      </c>
      <c r="N2403" s="8">
        <v>200000000000</v>
      </c>
      <c r="O2403" s="8">
        <v>184000000000</v>
      </c>
      <c r="P2403" s="8">
        <v>172800000000</v>
      </c>
      <c r="Q2403" s="18">
        <f>(Table1[[#This Row],[A. TÀI SẢN NGẮN HẠN]]-Table1[[#This Row],[I. Nợ ngắn hạn]])/Table1[[#This Row],[TỔNG CỘNG TÀI SẢN]]</f>
        <v>-7.8653576222134869E-2</v>
      </c>
      <c r="R2403" s="18">
        <f>Table1[[#This Row],[- LNST chưa phân phối kỳ này]]/Table1[[#This Row],[TỔNG CỘNG TÀI SẢN]]</f>
        <v>2.2549305134703084E-2</v>
      </c>
      <c r="S2403" s="21">
        <f>Table1[[#This Row],[5. Lợi nhuận gộp về bán hàng và cung cấp dịch vụ]]/Table1[[#This Row],[TỔNG CỘNG TÀI SẢN]]</f>
        <v>0.13307531391897917</v>
      </c>
      <c r="T240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0.31473400165586718</v>
      </c>
      <c r="U2403" s="23">
        <f>Table1[[#This Row],[1. Doanh thu bán hàng và cung cấp dịch vụ ]]/Table1[[#This Row],[TỔNG CỘNG TÀI SẢN]]</f>
        <v>0.30065301612722711</v>
      </c>
      <c r="V2403" s="23">
        <f>1.2*Table1[[#This Row],[X1]] + 1.4*Table1[[#This Row],[X2]] + 3.3*Table1[[#This Row],[x3]] + 0.6*Table1[[#This Row],[x4]] + 1*Table1[[#This Row],[x5]]</f>
        <v>0.86582668877540114</v>
      </c>
      <c r="W2403" s="23">
        <f>IF(Table1[[#This Row],[Zscore]]&lt;1.81,1,0)</f>
        <v>1</v>
      </c>
    </row>
    <row r="2404" spans="1:23" ht="26.25" hidden="1" x14ac:dyDescent="0.45">
      <c r="A2404" s="7">
        <v>2398</v>
      </c>
      <c r="B2404" s="5" t="s">
        <v>4805</v>
      </c>
      <c r="C2404" s="6" t="s">
        <v>4806</v>
      </c>
      <c r="D2404" s="6" t="s">
        <v>13</v>
      </c>
      <c r="E2404" s="6"/>
      <c r="F2404" s="6"/>
      <c r="G2404" s="6"/>
      <c r="H2404" s="6"/>
      <c r="I2404" s="6"/>
      <c r="J2404" s="8"/>
      <c r="K2404" s="6"/>
      <c r="L2404" s="6"/>
      <c r="M2404" s="8"/>
      <c r="N2404" s="8"/>
      <c r="O2404" s="8"/>
      <c r="P2404" s="8"/>
      <c r="Q2404" s="18" t="e">
        <f>(Table1[[#This Row],[A. TÀI SẢN NGẮN HẠN]]-Table1[[#This Row],[I. Nợ ngắn hạn]])/Table1[[#This Row],[TỔNG CỘNG TÀI SẢN]]</f>
        <v>#DIV/0!</v>
      </c>
      <c r="R2404" s="18" t="e">
        <f>Table1[[#This Row],[- LNST chưa phân phối kỳ này]]/Table1[[#This Row],[TỔNG CỘNG TÀI SẢN]]</f>
        <v>#DIV/0!</v>
      </c>
      <c r="S2404" s="21" t="e">
        <f>Table1[[#This Row],[5. Lợi nhuận gộp về bán hàng và cung cấp dịch vụ]]/Table1[[#This Row],[TỔNG CỘNG TÀI SẢN]]</f>
        <v>#DIV/0!</v>
      </c>
      <c r="T240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404" s="23" t="e">
        <f>Table1[[#This Row],[1. Doanh thu bán hàng và cung cấp dịch vụ ]]/Table1[[#This Row],[TỔNG CỘNG TÀI SẢN]]</f>
        <v>#DIV/0!</v>
      </c>
      <c r="V2404" s="23" t="e">
        <f>1.2*Table1[[#This Row],[X1]] + 1.4*Table1[[#This Row],[X2]] + 3.3*Table1[[#This Row],[x3]] + 0.6*Table1[[#This Row],[x4]] + 1*Table1[[#This Row],[x5]]</f>
        <v>#DIV/0!</v>
      </c>
      <c r="W2404" s="23" t="e">
        <f>IF(Table1[[#This Row],[Zscore]]&lt;1.81,1,0)</f>
        <v>#DIV/0!</v>
      </c>
    </row>
    <row r="2405" spans="1:23" ht="26.25" hidden="1" x14ac:dyDescent="0.45">
      <c r="A2405" s="7">
        <v>2399</v>
      </c>
      <c r="B2405" s="5" t="s">
        <v>4807</v>
      </c>
      <c r="C2405" s="6" t="s">
        <v>4808</v>
      </c>
      <c r="D2405" s="6" t="s">
        <v>13</v>
      </c>
      <c r="E2405" s="6"/>
      <c r="F2405" s="6"/>
      <c r="G2405" s="6"/>
      <c r="H2405" s="6"/>
      <c r="I2405" s="6"/>
      <c r="J2405" s="8"/>
      <c r="K2405" s="6"/>
      <c r="L2405" s="6"/>
      <c r="M2405" s="8"/>
      <c r="N2405" s="8"/>
      <c r="O2405" s="8"/>
      <c r="P2405" s="8"/>
      <c r="Q2405" s="18" t="e">
        <f>(Table1[[#This Row],[A. TÀI SẢN NGẮN HẠN]]-Table1[[#This Row],[I. Nợ ngắn hạn]])/Table1[[#This Row],[TỔNG CỘNG TÀI SẢN]]</f>
        <v>#DIV/0!</v>
      </c>
      <c r="R2405" s="18" t="e">
        <f>Table1[[#This Row],[- LNST chưa phân phối kỳ này]]/Table1[[#This Row],[TỔNG CỘNG TÀI SẢN]]</f>
        <v>#DIV/0!</v>
      </c>
      <c r="S2405" s="21" t="e">
        <f>Table1[[#This Row],[5. Lợi nhuận gộp về bán hàng và cung cấp dịch vụ]]/Table1[[#This Row],[TỔNG CỘNG TÀI SẢN]]</f>
        <v>#DIV/0!</v>
      </c>
      <c r="T240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405" s="23" t="e">
        <f>Table1[[#This Row],[1. Doanh thu bán hàng và cung cấp dịch vụ ]]/Table1[[#This Row],[TỔNG CỘNG TÀI SẢN]]</f>
        <v>#DIV/0!</v>
      </c>
      <c r="V2405" s="23" t="e">
        <f>1.2*Table1[[#This Row],[X1]] + 1.4*Table1[[#This Row],[X2]] + 3.3*Table1[[#This Row],[x3]] + 0.6*Table1[[#This Row],[x4]] + 1*Table1[[#This Row],[x5]]</f>
        <v>#DIV/0!</v>
      </c>
      <c r="W2405" s="23" t="e">
        <f>IF(Table1[[#This Row],[Zscore]]&lt;1.81,1,0)</f>
        <v>#DIV/0!</v>
      </c>
    </row>
    <row r="2406" spans="1:23" ht="26.25" hidden="1" x14ac:dyDescent="0.45">
      <c r="A2406" s="7">
        <v>2400</v>
      </c>
      <c r="B2406" s="5" t="s">
        <v>4809</v>
      </c>
      <c r="C2406" s="6" t="s">
        <v>4810</v>
      </c>
      <c r="D2406" s="6" t="s">
        <v>13</v>
      </c>
      <c r="E2406" s="6"/>
      <c r="F2406" s="6"/>
      <c r="G2406" s="6"/>
      <c r="H2406" s="6"/>
      <c r="I2406" s="6"/>
      <c r="J2406" s="8"/>
      <c r="K2406" s="6"/>
      <c r="L2406" s="6"/>
      <c r="M2406" s="8"/>
      <c r="N2406" s="8"/>
      <c r="O2406" s="8"/>
      <c r="P2406" s="8"/>
      <c r="Q2406" s="18" t="e">
        <f>(Table1[[#This Row],[A. TÀI SẢN NGẮN HẠN]]-Table1[[#This Row],[I. Nợ ngắn hạn]])/Table1[[#This Row],[TỔNG CỘNG TÀI SẢN]]</f>
        <v>#DIV/0!</v>
      </c>
      <c r="R2406" s="18" t="e">
        <f>Table1[[#This Row],[- LNST chưa phân phối kỳ này]]/Table1[[#This Row],[TỔNG CỘNG TÀI SẢN]]</f>
        <v>#DIV/0!</v>
      </c>
      <c r="S2406" s="21" t="e">
        <f>Table1[[#This Row],[5. Lợi nhuận gộp về bán hàng và cung cấp dịch vụ]]/Table1[[#This Row],[TỔNG CỘNG TÀI SẢN]]</f>
        <v>#DIV/0!</v>
      </c>
      <c r="T240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406" s="23" t="e">
        <f>Table1[[#This Row],[1. Doanh thu bán hàng và cung cấp dịch vụ ]]/Table1[[#This Row],[TỔNG CỘNG TÀI SẢN]]</f>
        <v>#DIV/0!</v>
      </c>
      <c r="V2406" s="23" t="e">
        <f>1.2*Table1[[#This Row],[X1]] + 1.4*Table1[[#This Row],[X2]] + 3.3*Table1[[#This Row],[x3]] + 0.6*Table1[[#This Row],[x4]] + 1*Table1[[#This Row],[x5]]</f>
        <v>#DIV/0!</v>
      </c>
      <c r="W2406" s="23" t="e">
        <f>IF(Table1[[#This Row],[Zscore]]&lt;1.81,1,0)</f>
        <v>#DIV/0!</v>
      </c>
    </row>
    <row r="2407" spans="1:23" ht="26.25" hidden="1" x14ac:dyDescent="0.45">
      <c r="A2407" s="7">
        <v>2401</v>
      </c>
      <c r="B2407" s="5" t="s">
        <v>4811</v>
      </c>
      <c r="C2407" s="6" t="s">
        <v>4812</v>
      </c>
      <c r="D2407" s="6" t="s">
        <v>13</v>
      </c>
      <c r="E2407" s="6"/>
      <c r="F2407" s="6"/>
      <c r="G2407" s="6"/>
      <c r="H2407" s="6"/>
      <c r="I2407" s="6"/>
      <c r="J2407" s="8"/>
      <c r="K2407" s="6"/>
      <c r="L2407" s="6"/>
      <c r="M2407" s="8"/>
      <c r="N2407" s="8"/>
      <c r="O2407" s="8"/>
      <c r="P2407" s="8"/>
      <c r="Q2407" s="18" t="e">
        <f>(Table1[[#This Row],[A. TÀI SẢN NGẮN HẠN]]-Table1[[#This Row],[I. Nợ ngắn hạn]])/Table1[[#This Row],[TỔNG CỘNG TÀI SẢN]]</f>
        <v>#DIV/0!</v>
      </c>
      <c r="R2407" s="18" t="e">
        <f>Table1[[#This Row],[- LNST chưa phân phối kỳ này]]/Table1[[#This Row],[TỔNG CỘNG TÀI SẢN]]</f>
        <v>#DIV/0!</v>
      </c>
      <c r="S2407" s="21" t="e">
        <f>Table1[[#This Row],[5. Lợi nhuận gộp về bán hàng và cung cấp dịch vụ]]/Table1[[#This Row],[TỔNG CỘNG TÀI SẢN]]</f>
        <v>#DIV/0!</v>
      </c>
      <c r="T240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407" s="23" t="e">
        <f>Table1[[#This Row],[1. Doanh thu bán hàng và cung cấp dịch vụ ]]/Table1[[#This Row],[TỔNG CỘNG TÀI SẢN]]</f>
        <v>#DIV/0!</v>
      </c>
      <c r="V2407" s="23" t="e">
        <f>1.2*Table1[[#This Row],[X1]] + 1.4*Table1[[#This Row],[X2]] + 3.3*Table1[[#This Row],[x3]] + 0.6*Table1[[#This Row],[x4]] + 1*Table1[[#This Row],[x5]]</f>
        <v>#DIV/0!</v>
      </c>
      <c r="W2407" s="23" t="e">
        <f>IF(Table1[[#This Row],[Zscore]]&lt;1.81,1,0)</f>
        <v>#DIV/0!</v>
      </c>
    </row>
    <row r="2408" spans="1:23" x14ac:dyDescent="0.45">
      <c r="A2408" s="7">
        <v>2402</v>
      </c>
      <c r="B2408" s="5" t="s">
        <v>4813</v>
      </c>
      <c r="C2408" s="6" t="s">
        <v>4814</v>
      </c>
      <c r="D2408" s="6" t="s">
        <v>18</v>
      </c>
      <c r="E2408" s="8">
        <v>162450140533</v>
      </c>
      <c r="F2408" s="8">
        <v>3892562951</v>
      </c>
      <c r="G2408" s="8">
        <v>148540000</v>
      </c>
      <c r="H2408" s="8">
        <v>-123724496</v>
      </c>
      <c r="I2408" s="8">
        <v>2373531</v>
      </c>
      <c r="J2408" s="8"/>
      <c r="K2408" s="8">
        <v>148540000</v>
      </c>
      <c r="L2408" s="8">
        <v>70849590</v>
      </c>
      <c r="M2408" s="8">
        <v>25350000000</v>
      </c>
      <c r="N2408" s="8">
        <v>22815000000</v>
      </c>
      <c r="O2408" s="8">
        <v>22815000000</v>
      </c>
      <c r="P2408" s="8">
        <v>22815000000</v>
      </c>
      <c r="Q2408" s="18">
        <f>(Table1[[#This Row],[A. TÀI SẢN NGẮN HẠN]]-Table1[[#This Row],[I. Nợ ngắn hạn]])/Table1[[#This Row],[TỔNG CỘNG TÀI SẢN]]</f>
        <v>2.3047212755346567E-2</v>
      </c>
      <c r="R2408" s="18">
        <f>Table1[[#This Row],[- LNST chưa phân phối kỳ này]]/Table1[[#This Row],[TỔNG CỘNG TÀI SẢN]]</f>
        <v>-7.6161519832521594E-4</v>
      </c>
      <c r="S2408" s="21">
        <f>Table1[[#This Row],[5. Lợi nhuận gộp về bán hàng và cung cấp dịch vụ]]/Table1[[#This Row],[TỔNG CỘNG TÀI SẢN]]</f>
        <v>1.4610827618938518E-5</v>
      </c>
      <c r="T240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157.86151878281945</v>
      </c>
      <c r="U2408" s="23">
        <f>Table1[[#This Row],[1. Doanh thu bán hàng và cung cấp dịch vụ ]]/Table1[[#This Row],[TỔNG CỘNG TÀI SẢN]]</f>
        <v>4.3613129399298775E-4</v>
      </c>
      <c r="V2408" s="23">
        <f>1.2*Table1[[#This Row],[X1]] + 1.4*Table1[[#This Row],[X2]] + 3.3*Table1[[#This Row],[x3]] + 0.6*Table1[[#This Row],[x4]] + 1*Table1[[#This Row],[x5]]</f>
        <v>94.743986010745559</v>
      </c>
      <c r="W2408" s="23">
        <f>IF(Table1[[#This Row],[Zscore]]&lt;1.81,1,0)</f>
        <v>0</v>
      </c>
    </row>
    <row r="2409" spans="1:23" x14ac:dyDescent="0.45">
      <c r="A2409" s="7">
        <v>2403</v>
      </c>
      <c r="B2409" s="5" t="s">
        <v>4815</v>
      </c>
      <c r="C2409" s="6" t="s">
        <v>4816</v>
      </c>
      <c r="D2409" s="6" t="s">
        <v>18</v>
      </c>
      <c r="E2409" s="8">
        <v>8146524309282</v>
      </c>
      <c r="F2409" s="8">
        <v>4113260453234</v>
      </c>
      <c r="G2409" s="8">
        <v>3276002125745</v>
      </c>
      <c r="H2409" s="8">
        <v>920514056995</v>
      </c>
      <c r="I2409" s="8">
        <v>1546105313233</v>
      </c>
      <c r="J2409" s="8"/>
      <c r="K2409" s="8">
        <v>5490103383557</v>
      </c>
      <c r="L2409" s="8">
        <v>5403287959866</v>
      </c>
      <c r="M2409" s="8">
        <v>4339984040000</v>
      </c>
      <c r="N2409" s="8">
        <v>6587953298400</v>
      </c>
      <c r="O2409" s="8">
        <v>5145981076000</v>
      </c>
      <c r="P2409" s="8">
        <v>3695186411200</v>
      </c>
      <c r="Q2409" s="18">
        <f>(Table1[[#This Row],[A. TÀI SẢN NGẮN HẠN]]-Table1[[#This Row],[I. Nợ ngắn hạn]])/Table1[[#This Row],[TỔNG CỘNG TÀI SẢN]]</f>
        <v>0.10277491304298242</v>
      </c>
      <c r="R2409" s="18">
        <f>Table1[[#This Row],[- LNST chưa phân phối kỳ này]]/Table1[[#This Row],[TỔNG CỘNG TÀI SẢN]]</f>
        <v>0.11299469835819224</v>
      </c>
      <c r="S2409" s="21">
        <f>Table1[[#This Row],[5. Lợi nhuận gộp về bán hàng và cung cấp dịch vụ]]/Table1[[#This Row],[TỔNG CỘNG TÀI SẢN]]</f>
        <v>0.18978711098565015</v>
      </c>
      <c r="T240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0.90021550799976624</v>
      </c>
      <c r="U2409" s="23">
        <f>Table1[[#This Row],[1. Doanh thu bán hàng và cung cấp dịch vụ ]]/Table1[[#This Row],[TỔNG CỘNG TÀI SẢN]]</f>
        <v>0.66326297629893438</v>
      </c>
      <c r="V2409" s="23">
        <f>1.2*Table1[[#This Row],[X1]] + 1.4*Table1[[#This Row],[X2]] + 3.3*Table1[[#This Row],[x3]] + 0.6*Table1[[#This Row],[x4]] + 1*Table1[[#This Row],[x5]]</f>
        <v>2.1112122207044877</v>
      </c>
      <c r="W2409" s="23">
        <f>IF(Table1[[#This Row],[Zscore]]&lt;1.81,1,0)</f>
        <v>0</v>
      </c>
    </row>
    <row r="2410" spans="1:23" x14ac:dyDescent="0.45">
      <c r="A2410" s="7">
        <v>2404</v>
      </c>
      <c r="B2410" s="5" t="s">
        <v>4817</v>
      </c>
      <c r="C2410" s="6" t="s">
        <v>4818</v>
      </c>
      <c r="D2410" s="6" t="s">
        <v>36</v>
      </c>
      <c r="E2410" s="8">
        <v>265203322752</v>
      </c>
      <c r="F2410" s="8">
        <v>145479359825</v>
      </c>
      <c r="G2410" s="8">
        <v>103344769902</v>
      </c>
      <c r="H2410" s="8">
        <v>24716102598</v>
      </c>
      <c r="I2410" s="8">
        <v>59145036814</v>
      </c>
      <c r="J2410" s="8"/>
      <c r="K2410" s="8">
        <v>123608769902</v>
      </c>
      <c r="L2410" s="8">
        <v>290194140421</v>
      </c>
      <c r="M2410" s="8">
        <v>173107429600</v>
      </c>
      <c r="N2410" s="8">
        <v>145483903600</v>
      </c>
      <c r="O2410" s="8">
        <v>162058019200</v>
      </c>
      <c r="P2410" s="8">
        <v>147325472000</v>
      </c>
      <c r="Q2410" s="18">
        <f>(Table1[[#This Row],[A. TÀI SẢN NGẮN HẠN]]-Table1[[#This Row],[I. Nợ ngắn hạn]])/Table1[[#This Row],[TỔNG CỘNG TÀI SẢN]]</f>
        <v>0.15887655360337014</v>
      </c>
      <c r="R2410" s="18">
        <f>Table1[[#This Row],[- LNST chưa phân phối kỳ này]]/Table1[[#This Row],[TỔNG CỘNG TÀI SẢN]]</f>
        <v>9.3196805912996825E-2</v>
      </c>
      <c r="S2410" s="21">
        <f>Table1[[#This Row],[5. Lợi nhuận gộp về bán hàng và cung cấp dịch vụ]]/Table1[[#This Row],[TỔNG CỘNG TÀI SẢN]]</f>
        <v>0.22301770656662695</v>
      </c>
      <c r="T241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1.2700854981767749</v>
      </c>
      <c r="U2410" s="23">
        <f>Table1[[#This Row],[1. Doanh thu bán hàng và cung cấp dịch vụ ]]/Table1[[#This Row],[TỔNG CỘNG TÀI SẢN]]</f>
        <v>1.0942326717843189</v>
      </c>
      <c r="V2410" s="23">
        <f>1.2*Table1[[#This Row],[X1]] + 1.4*Table1[[#This Row],[X2]] + 3.3*Table1[[#This Row],[x3]] + 0.6*Table1[[#This Row],[x4]] + 1*Table1[[#This Row],[x5]]</f>
        <v>2.9133697949624926</v>
      </c>
      <c r="W2410" s="23">
        <f>IF(Table1[[#This Row],[Zscore]]&lt;1.81,1,0)</f>
        <v>0</v>
      </c>
    </row>
    <row r="2411" spans="1:23" ht="26.25" hidden="1" x14ac:dyDescent="0.45">
      <c r="A2411" s="7">
        <v>2405</v>
      </c>
      <c r="B2411" s="5" t="s">
        <v>4819</v>
      </c>
      <c r="C2411" s="6" t="s">
        <v>4820</v>
      </c>
      <c r="D2411" s="6" t="s">
        <v>13</v>
      </c>
      <c r="E2411" s="6"/>
      <c r="F2411" s="6"/>
      <c r="G2411" s="6"/>
      <c r="H2411" s="6"/>
      <c r="I2411" s="6"/>
      <c r="J2411" s="8"/>
      <c r="K2411" s="6"/>
      <c r="L2411" s="6"/>
      <c r="M2411" s="8"/>
      <c r="N2411" s="8"/>
      <c r="O2411" s="8"/>
      <c r="P2411" s="8"/>
      <c r="Q2411" s="18" t="e">
        <f>(Table1[[#This Row],[A. TÀI SẢN NGẮN HẠN]]-Table1[[#This Row],[I. Nợ ngắn hạn]])/Table1[[#This Row],[TỔNG CỘNG TÀI SẢN]]</f>
        <v>#DIV/0!</v>
      </c>
      <c r="R2411" s="18" t="e">
        <f>Table1[[#This Row],[- LNST chưa phân phối kỳ này]]/Table1[[#This Row],[TỔNG CỘNG TÀI SẢN]]</f>
        <v>#DIV/0!</v>
      </c>
      <c r="S2411" s="21" t="e">
        <f>Table1[[#This Row],[5. Lợi nhuận gộp về bán hàng và cung cấp dịch vụ]]/Table1[[#This Row],[TỔNG CỘNG TÀI SẢN]]</f>
        <v>#DIV/0!</v>
      </c>
      <c r="T241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411" s="23" t="e">
        <f>Table1[[#This Row],[1. Doanh thu bán hàng và cung cấp dịch vụ ]]/Table1[[#This Row],[TỔNG CỘNG TÀI SẢN]]</f>
        <v>#DIV/0!</v>
      </c>
      <c r="V2411" s="23" t="e">
        <f>1.2*Table1[[#This Row],[X1]] + 1.4*Table1[[#This Row],[X2]] + 3.3*Table1[[#This Row],[x3]] + 0.6*Table1[[#This Row],[x4]] + 1*Table1[[#This Row],[x5]]</f>
        <v>#DIV/0!</v>
      </c>
      <c r="W2411" s="23" t="e">
        <f>IF(Table1[[#This Row],[Zscore]]&lt;1.81,1,0)</f>
        <v>#DIV/0!</v>
      </c>
    </row>
    <row r="2412" spans="1:23" hidden="1" x14ac:dyDescent="0.45">
      <c r="A2412" s="7">
        <v>2406</v>
      </c>
      <c r="B2412" s="5" t="s">
        <v>4821</v>
      </c>
      <c r="C2412" s="6" t="s">
        <v>4822</v>
      </c>
      <c r="D2412" s="6" t="s">
        <v>18</v>
      </c>
      <c r="E2412" s="6"/>
      <c r="F2412" s="6"/>
      <c r="G2412" s="6"/>
      <c r="H2412" s="6"/>
      <c r="I2412" s="6"/>
      <c r="J2412" s="8"/>
      <c r="K2412" s="6"/>
      <c r="L2412" s="6"/>
      <c r="M2412" s="8"/>
      <c r="N2412" s="8"/>
      <c r="O2412" s="8"/>
      <c r="P2412" s="8"/>
      <c r="Q2412" s="18" t="e">
        <f>(Table1[[#This Row],[A. TÀI SẢN NGẮN HẠN]]-Table1[[#This Row],[I. Nợ ngắn hạn]])/Table1[[#This Row],[TỔNG CỘNG TÀI SẢN]]</f>
        <v>#DIV/0!</v>
      </c>
      <c r="R2412" s="18" t="e">
        <f>Table1[[#This Row],[- LNST chưa phân phối kỳ này]]/Table1[[#This Row],[TỔNG CỘNG TÀI SẢN]]</f>
        <v>#DIV/0!</v>
      </c>
      <c r="S2412" s="21" t="e">
        <f>Table1[[#This Row],[5. Lợi nhuận gộp về bán hàng và cung cấp dịch vụ]]/Table1[[#This Row],[TỔNG CỘNG TÀI SẢN]]</f>
        <v>#DIV/0!</v>
      </c>
      <c r="T241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412" s="23" t="e">
        <f>Table1[[#This Row],[1. Doanh thu bán hàng và cung cấp dịch vụ ]]/Table1[[#This Row],[TỔNG CỘNG TÀI SẢN]]</f>
        <v>#DIV/0!</v>
      </c>
      <c r="V2412" s="23" t="e">
        <f>1.2*Table1[[#This Row],[X1]] + 1.4*Table1[[#This Row],[X2]] + 3.3*Table1[[#This Row],[x3]] + 0.6*Table1[[#This Row],[x4]] + 1*Table1[[#This Row],[x5]]</f>
        <v>#DIV/0!</v>
      </c>
      <c r="W2412" s="23" t="e">
        <f>IF(Table1[[#This Row],[Zscore]]&lt;1.81,1,0)</f>
        <v>#DIV/0!</v>
      </c>
    </row>
    <row r="2413" spans="1:23" ht="26.25" hidden="1" x14ac:dyDescent="0.45">
      <c r="A2413" s="7">
        <v>2407</v>
      </c>
      <c r="B2413" s="5" t="s">
        <v>4823</v>
      </c>
      <c r="C2413" s="6" t="s">
        <v>4824</v>
      </c>
      <c r="D2413" s="6" t="s">
        <v>13</v>
      </c>
      <c r="E2413" s="6"/>
      <c r="F2413" s="6"/>
      <c r="G2413" s="6"/>
      <c r="H2413" s="6"/>
      <c r="I2413" s="6"/>
      <c r="J2413" s="8"/>
      <c r="K2413" s="6"/>
      <c r="L2413" s="6"/>
      <c r="M2413" s="8"/>
      <c r="N2413" s="8"/>
      <c r="O2413" s="8"/>
      <c r="P2413" s="8"/>
      <c r="Q2413" s="18" t="e">
        <f>(Table1[[#This Row],[A. TÀI SẢN NGẮN HẠN]]-Table1[[#This Row],[I. Nợ ngắn hạn]])/Table1[[#This Row],[TỔNG CỘNG TÀI SẢN]]</f>
        <v>#DIV/0!</v>
      </c>
      <c r="R2413" s="18" t="e">
        <f>Table1[[#This Row],[- LNST chưa phân phối kỳ này]]/Table1[[#This Row],[TỔNG CỘNG TÀI SẢN]]</f>
        <v>#DIV/0!</v>
      </c>
      <c r="S2413" s="21" t="e">
        <f>Table1[[#This Row],[5. Lợi nhuận gộp về bán hàng và cung cấp dịch vụ]]/Table1[[#This Row],[TỔNG CỘNG TÀI SẢN]]</f>
        <v>#DIV/0!</v>
      </c>
      <c r="T241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413" s="23" t="e">
        <f>Table1[[#This Row],[1. Doanh thu bán hàng và cung cấp dịch vụ ]]/Table1[[#This Row],[TỔNG CỘNG TÀI SẢN]]</f>
        <v>#DIV/0!</v>
      </c>
      <c r="V2413" s="23" t="e">
        <f>1.2*Table1[[#This Row],[X1]] + 1.4*Table1[[#This Row],[X2]] + 3.3*Table1[[#This Row],[x3]] + 0.6*Table1[[#This Row],[x4]] + 1*Table1[[#This Row],[x5]]</f>
        <v>#DIV/0!</v>
      </c>
      <c r="W2413" s="23" t="e">
        <f>IF(Table1[[#This Row],[Zscore]]&lt;1.81,1,0)</f>
        <v>#DIV/0!</v>
      </c>
    </row>
    <row r="2414" spans="1:23" x14ac:dyDescent="0.45">
      <c r="A2414" s="7">
        <v>2408</v>
      </c>
      <c r="B2414" s="5" t="s">
        <v>4825</v>
      </c>
      <c r="C2414" s="6" t="s">
        <v>4826</v>
      </c>
      <c r="D2414" s="6" t="s">
        <v>21</v>
      </c>
      <c r="E2414" s="8">
        <v>505871568000000</v>
      </c>
      <c r="F2414" s="6"/>
      <c r="G2414" s="6"/>
      <c r="H2414" s="6"/>
      <c r="I2414" s="6"/>
      <c r="J2414" s="8"/>
      <c r="K2414" s="8">
        <v>459852809000000</v>
      </c>
      <c r="L2414" s="8">
        <v>30747083000000</v>
      </c>
      <c r="M2414" s="8">
        <v>37779973602800</v>
      </c>
      <c r="N2414" s="8">
        <v>47436201528300</v>
      </c>
      <c r="O2414" s="8">
        <v>35534310836200</v>
      </c>
      <c r="P2414" s="8">
        <v>49800874294600</v>
      </c>
      <c r="Q2414" s="18">
        <f>(Table1[[#This Row],[A. TÀI SẢN NGẮN HẠN]]-Table1[[#This Row],[I. Nợ ngắn hạn]])/Table1[[#This Row],[TỔNG CỘNG TÀI SẢN]]</f>
        <v>0</v>
      </c>
      <c r="R2414" s="18">
        <f>Table1[[#This Row],[- LNST chưa phân phối kỳ này]]/Table1[[#This Row],[TỔNG CỘNG TÀI SẢN]]</f>
        <v>0</v>
      </c>
      <c r="S2414" s="21">
        <f>Table1[[#This Row],[5. Lợi nhuận gộp về bán hàng và cung cấp dịch vụ]]/Table1[[#This Row],[TỔNG CỘNG TÀI SẢN]]</f>
        <v>0</v>
      </c>
      <c r="T241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9.2720625450120928E-2</v>
      </c>
      <c r="U2414" s="23">
        <f>Table1[[#This Row],[1. Doanh thu bán hàng và cung cấp dịch vụ ]]/Table1[[#This Row],[TỔNG CỘNG TÀI SẢN]]</f>
        <v>6.0780413340012024E-2</v>
      </c>
      <c r="V2414" s="23">
        <f>1.2*Table1[[#This Row],[X1]] + 1.4*Table1[[#This Row],[X2]] + 3.3*Table1[[#This Row],[x3]] + 0.6*Table1[[#This Row],[x4]] + 1*Table1[[#This Row],[x5]]</f>
        <v>0.11641278861008458</v>
      </c>
      <c r="W2414" s="23">
        <f>IF(Table1[[#This Row],[Zscore]]&lt;1.81,1,0)</f>
        <v>1</v>
      </c>
    </row>
    <row r="2415" spans="1:23" x14ac:dyDescent="0.45">
      <c r="A2415" s="7">
        <v>2409</v>
      </c>
      <c r="B2415" s="5" t="s">
        <v>4827</v>
      </c>
      <c r="C2415" s="6" t="s">
        <v>4828</v>
      </c>
      <c r="D2415" s="6" t="s">
        <v>21</v>
      </c>
      <c r="E2415" s="8">
        <v>463062674710</v>
      </c>
      <c r="F2415" s="8">
        <v>412316110662</v>
      </c>
      <c r="G2415" s="8">
        <v>198095639569</v>
      </c>
      <c r="H2415" s="8">
        <v>11873267191</v>
      </c>
      <c r="I2415" s="8">
        <v>39684196031</v>
      </c>
      <c r="J2415" s="8"/>
      <c r="K2415" s="8">
        <v>198095639569</v>
      </c>
      <c r="L2415" s="8">
        <v>476314546730</v>
      </c>
      <c r="M2415" s="8">
        <v>255567450600</v>
      </c>
      <c r="N2415" s="8">
        <v>275692167000</v>
      </c>
      <c r="O2415" s="8">
        <v>202652604000</v>
      </c>
      <c r="P2415" s="8">
        <v>273581015400</v>
      </c>
      <c r="Q2415" s="18">
        <f>(Table1[[#This Row],[A. TÀI SẢN NGẮN HẠN]]-Table1[[#This Row],[I. Nợ ngắn hạn]])/Table1[[#This Row],[TỔNG CỘNG TÀI SẢN]]</f>
        <v>0.46261658041680603</v>
      </c>
      <c r="R2415" s="18">
        <f>Table1[[#This Row],[- LNST chưa phân phối kỳ này]]/Table1[[#This Row],[TỔNG CỘNG TÀI SẢN]]</f>
        <v>2.5640734698463469E-2</v>
      </c>
      <c r="S2415" s="21">
        <f>Table1[[#This Row],[5. Lợi nhuận gộp về bán hàng và cung cấp dịch vụ]]/Table1[[#This Row],[TỔNG CỘNG TÀI SẢN]]</f>
        <v>8.5699405714038224E-2</v>
      </c>
      <c r="T241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1.2714732631066741</v>
      </c>
      <c r="U2415" s="23">
        <f>Table1[[#This Row],[1. Doanh thu bán hàng và cung cấp dịch vụ ]]/Table1[[#This Row],[TỔNG CỘNG TÀI SẢN]]</f>
        <v>1.028617879919385</v>
      </c>
      <c r="V2415" s="23">
        <f>1.2*Table1[[#This Row],[X1]] + 1.4*Table1[[#This Row],[X2]] + 3.3*Table1[[#This Row],[x3]] + 0.6*Table1[[#This Row],[x4]] + 1*Table1[[#This Row],[x5]]</f>
        <v>2.6653468017177318</v>
      </c>
      <c r="W2415" s="23">
        <f>IF(Table1[[#This Row],[Zscore]]&lt;1.81,1,0)</f>
        <v>0</v>
      </c>
    </row>
    <row r="2416" spans="1:23" ht="26.25" hidden="1" x14ac:dyDescent="0.45">
      <c r="A2416" s="7">
        <v>2410</v>
      </c>
      <c r="B2416" s="5" t="s">
        <v>4829</v>
      </c>
      <c r="C2416" s="6" t="s">
        <v>4830</v>
      </c>
      <c r="D2416" s="6" t="s">
        <v>13</v>
      </c>
      <c r="E2416" s="6"/>
      <c r="F2416" s="6"/>
      <c r="G2416" s="6"/>
      <c r="H2416" s="6"/>
      <c r="I2416" s="6"/>
      <c r="J2416" s="8"/>
      <c r="K2416" s="6"/>
      <c r="L2416" s="6"/>
      <c r="M2416" s="8"/>
      <c r="N2416" s="8"/>
      <c r="O2416" s="8"/>
      <c r="P2416" s="8"/>
      <c r="Q2416" s="18" t="e">
        <f>(Table1[[#This Row],[A. TÀI SẢN NGẮN HẠN]]-Table1[[#This Row],[I. Nợ ngắn hạn]])/Table1[[#This Row],[TỔNG CỘNG TÀI SẢN]]</f>
        <v>#DIV/0!</v>
      </c>
      <c r="R2416" s="18" t="e">
        <f>Table1[[#This Row],[- LNST chưa phân phối kỳ này]]/Table1[[#This Row],[TỔNG CỘNG TÀI SẢN]]</f>
        <v>#DIV/0!</v>
      </c>
      <c r="S2416" s="21" t="e">
        <f>Table1[[#This Row],[5. Lợi nhuận gộp về bán hàng và cung cấp dịch vụ]]/Table1[[#This Row],[TỔNG CỘNG TÀI SẢN]]</f>
        <v>#DIV/0!</v>
      </c>
      <c r="T241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416" s="23" t="e">
        <f>Table1[[#This Row],[1. Doanh thu bán hàng và cung cấp dịch vụ ]]/Table1[[#This Row],[TỔNG CỘNG TÀI SẢN]]</f>
        <v>#DIV/0!</v>
      </c>
      <c r="V2416" s="23" t="e">
        <f>1.2*Table1[[#This Row],[X1]] + 1.4*Table1[[#This Row],[X2]] + 3.3*Table1[[#This Row],[x3]] + 0.6*Table1[[#This Row],[x4]] + 1*Table1[[#This Row],[x5]]</f>
        <v>#DIV/0!</v>
      </c>
      <c r="W2416" s="23" t="e">
        <f>IF(Table1[[#This Row],[Zscore]]&lt;1.81,1,0)</f>
        <v>#DIV/0!</v>
      </c>
    </row>
    <row r="2417" spans="1:23" ht="26.25" hidden="1" x14ac:dyDescent="0.45">
      <c r="A2417" s="7">
        <v>2411</v>
      </c>
      <c r="B2417" s="5" t="s">
        <v>4831</v>
      </c>
      <c r="C2417" s="6" t="s">
        <v>4832</v>
      </c>
      <c r="D2417" s="6" t="s">
        <v>13</v>
      </c>
      <c r="E2417" s="6"/>
      <c r="F2417" s="6"/>
      <c r="G2417" s="6"/>
      <c r="H2417" s="6"/>
      <c r="I2417" s="6"/>
      <c r="J2417" s="8"/>
      <c r="K2417" s="6"/>
      <c r="L2417" s="6"/>
      <c r="M2417" s="8">
        <v>28086199000</v>
      </c>
      <c r="N2417" s="8"/>
      <c r="O2417" s="8">
        <v>25571017000</v>
      </c>
      <c r="P2417" s="8"/>
      <c r="Q2417" s="18" t="e">
        <f>(Table1[[#This Row],[A. TÀI SẢN NGẮN HẠN]]-Table1[[#This Row],[I. Nợ ngắn hạn]])/Table1[[#This Row],[TỔNG CỘNG TÀI SẢN]]</f>
        <v>#DIV/0!</v>
      </c>
      <c r="R2417" s="18" t="e">
        <f>Table1[[#This Row],[- LNST chưa phân phối kỳ này]]/Table1[[#This Row],[TỔNG CỘNG TÀI SẢN]]</f>
        <v>#DIV/0!</v>
      </c>
      <c r="S2417" s="21" t="e">
        <f>Table1[[#This Row],[5. Lợi nhuận gộp về bán hàng và cung cấp dịch vụ]]/Table1[[#This Row],[TỔNG CỘNG TÀI SẢN]]</f>
        <v>#DIV/0!</v>
      </c>
      <c r="T241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417" s="23" t="e">
        <f>Table1[[#This Row],[1. Doanh thu bán hàng và cung cấp dịch vụ ]]/Table1[[#This Row],[TỔNG CỘNG TÀI SẢN]]</f>
        <v>#DIV/0!</v>
      </c>
      <c r="V2417" s="23" t="e">
        <f>1.2*Table1[[#This Row],[X1]] + 1.4*Table1[[#This Row],[X2]] + 3.3*Table1[[#This Row],[x3]] + 0.6*Table1[[#This Row],[x4]] + 1*Table1[[#This Row],[x5]]</f>
        <v>#DIV/0!</v>
      </c>
      <c r="W2417" s="23" t="e">
        <f>IF(Table1[[#This Row],[Zscore]]&lt;1.81,1,0)</f>
        <v>#DIV/0!</v>
      </c>
    </row>
    <row r="2418" spans="1:23" x14ac:dyDescent="0.45">
      <c r="A2418" s="7">
        <v>2412</v>
      </c>
      <c r="B2418" s="5" t="s">
        <v>4833</v>
      </c>
      <c r="C2418" s="6" t="s">
        <v>4834</v>
      </c>
      <c r="D2418" s="6" t="s">
        <v>36</v>
      </c>
      <c r="E2418" s="8">
        <v>3168989464214</v>
      </c>
      <c r="F2418" s="8">
        <v>2222314615203</v>
      </c>
      <c r="G2418" s="8">
        <v>1777017111289</v>
      </c>
      <c r="H2418" s="8">
        <v>230071723716</v>
      </c>
      <c r="I2418" s="8">
        <v>519232725833</v>
      </c>
      <c r="J2418" s="8"/>
      <c r="K2418" s="8">
        <v>2204762391975</v>
      </c>
      <c r="L2418" s="8">
        <v>3192030847582</v>
      </c>
      <c r="M2418" s="8">
        <v>495000000000</v>
      </c>
      <c r="N2418" s="8">
        <v>666594589200</v>
      </c>
      <c r="O2418" s="8">
        <v>450000000000</v>
      </c>
      <c r="P2418" s="8">
        <v>508500000000</v>
      </c>
      <c r="Q2418" s="18">
        <f>(Table1[[#This Row],[A. TÀI SẢN NGẮN HẠN]]-Table1[[#This Row],[I. Nợ ngắn hạn]])/Table1[[#This Row],[TỔNG CỘNG TÀI SẢN]]</f>
        <v>0.14051719292302745</v>
      </c>
      <c r="R2418" s="18">
        <f>Table1[[#This Row],[- LNST chưa phân phối kỳ này]]/Table1[[#This Row],[TỔNG CỘNG TÀI SẢN]]</f>
        <v>7.2600974636898755E-2</v>
      </c>
      <c r="S2418" s="21">
        <f>Table1[[#This Row],[5. Lợi nhuận gộp về bán hàng và cung cấp dịch vụ]]/Table1[[#This Row],[TỔNG CỘNG TÀI SẢN]]</f>
        <v>0.16384804420982338</v>
      </c>
      <c r="T241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0.24039944133173058</v>
      </c>
      <c r="U2418" s="23">
        <f>Table1[[#This Row],[1. Doanh thu bán hàng và cung cấp dịch vụ ]]/Table1[[#This Row],[TỔNG CỘNG TÀI SẢN]]</f>
        <v>1.0072708930175365</v>
      </c>
      <c r="V2418" s="23">
        <f>1.2*Table1[[#This Row],[X1]] + 1.4*Table1[[#This Row],[X2]] + 3.3*Table1[[#This Row],[x3]] + 0.6*Table1[[#This Row],[x4]] + 1*Table1[[#This Row],[x5]]</f>
        <v>1.9624710997082833</v>
      </c>
      <c r="W2418" s="23">
        <f>IF(Table1[[#This Row],[Zscore]]&lt;1.81,1,0)</f>
        <v>0</v>
      </c>
    </row>
    <row r="2419" spans="1:23" hidden="1" x14ac:dyDescent="0.45">
      <c r="A2419" s="7">
        <v>2413</v>
      </c>
      <c r="B2419" s="5" t="s">
        <v>4835</v>
      </c>
      <c r="C2419" s="6" t="s">
        <v>4836</v>
      </c>
      <c r="D2419" s="6" t="s">
        <v>18</v>
      </c>
      <c r="E2419" s="8">
        <v>120602867830</v>
      </c>
      <c r="F2419" s="8">
        <v>74022048853</v>
      </c>
      <c r="G2419" s="8">
        <v>21219415328</v>
      </c>
      <c r="H2419" s="8">
        <v>36229690641</v>
      </c>
      <c r="I2419" s="8">
        <v>55893215225</v>
      </c>
      <c r="J2419" s="8"/>
      <c r="K2419" s="8">
        <v>21219415328</v>
      </c>
      <c r="L2419" s="8">
        <v>95638133526</v>
      </c>
      <c r="M2419" s="8"/>
      <c r="N2419" s="8"/>
      <c r="O2419" s="8"/>
      <c r="P2419" s="8"/>
      <c r="Q2419" s="18">
        <f>(Table1[[#This Row],[A. TÀI SẢN NGẮN HẠN]]-Table1[[#This Row],[I. Nợ ngắn hạn]])/Table1[[#This Row],[TỔNG CỘNG TÀI SẢN]]</f>
        <v>0.4378223708529867</v>
      </c>
      <c r="R2419" s="18">
        <f>Table1[[#This Row],[- LNST chưa phân phối kỳ này]]/Table1[[#This Row],[TỔNG CỘNG TÀI SẢN]]</f>
        <v>0.30040488499882795</v>
      </c>
      <c r="S2419" s="21">
        <f>Table1[[#This Row],[5. Lợi nhuận gộp về bán hàng và cung cấp dịch vụ]]/Table1[[#This Row],[TỔNG CỘNG TÀI SẢN]]</f>
        <v>0.46344847540264333</v>
      </c>
      <c r="T241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419" s="23">
        <f>Table1[[#This Row],[1. Doanh thu bán hàng và cung cấp dịch vụ ]]/Table1[[#This Row],[TỔNG CỘNG TÀI SẢN]]</f>
        <v>0.79300049200165024</v>
      </c>
      <c r="V2419" s="23" t="e">
        <f>1.2*Table1[[#This Row],[X1]] + 1.4*Table1[[#This Row],[X2]] + 3.3*Table1[[#This Row],[x3]] + 0.6*Table1[[#This Row],[x4]] + 1*Table1[[#This Row],[x5]]</f>
        <v>#DIV/0!</v>
      </c>
      <c r="W2419" s="23" t="e">
        <f>IF(Table1[[#This Row],[Zscore]]&lt;1.81,1,0)</f>
        <v>#DIV/0!</v>
      </c>
    </row>
    <row r="2420" spans="1:23" hidden="1" x14ac:dyDescent="0.45">
      <c r="A2420" s="7">
        <v>2414</v>
      </c>
      <c r="B2420" s="5" t="s">
        <v>4837</v>
      </c>
      <c r="C2420" s="6" t="s">
        <v>4838</v>
      </c>
      <c r="D2420" s="6" t="s">
        <v>18</v>
      </c>
      <c r="E2420" s="6"/>
      <c r="F2420" s="6"/>
      <c r="G2420" s="6"/>
      <c r="H2420" s="6"/>
      <c r="I2420" s="6"/>
      <c r="J2420" s="8"/>
      <c r="K2420" s="6"/>
      <c r="L2420" s="6"/>
      <c r="M2420" s="8"/>
      <c r="N2420" s="8"/>
      <c r="O2420" s="8"/>
      <c r="P2420" s="8"/>
      <c r="Q2420" s="18" t="e">
        <f>(Table1[[#This Row],[A. TÀI SẢN NGẮN HẠN]]-Table1[[#This Row],[I. Nợ ngắn hạn]])/Table1[[#This Row],[TỔNG CỘNG TÀI SẢN]]</f>
        <v>#DIV/0!</v>
      </c>
      <c r="R2420" s="18" t="e">
        <f>Table1[[#This Row],[- LNST chưa phân phối kỳ này]]/Table1[[#This Row],[TỔNG CỘNG TÀI SẢN]]</f>
        <v>#DIV/0!</v>
      </c>
      <c r="S2420" s="21" t="e">
        <f>Table1[[#This Row],[5. Lợi nhuận gộp về bán hàng và cung cấp dịch vụ]]/Table1[[#This Row],[TỔNG CỘNG TÀI SẢN]]</f>
        <v>#DIV/0!</v>
      </c>
      <c r="T242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420" s="23" t="e">
        <f>Table1[[#This Row],[1. Doanh thu bán hàng và cung cấp dịch vụ ]]/Table1[[#This Row],[TỔNG CỘNG TÀI SẢN]]</f>
        <v>#DIV/0!</v>
      </c>
      <c r="V2420" s="23" t="e">
        <f>1.2*Table1[[#This Row],[X1]] + 1.4*Table1[[#This Row],[X2]] + 3.3*Table1[[#This Row],[x3]] + 0.6*Table1[[#This Row],[x4]] + 1*Table1[[#This Row],[x5]]</f>
        <v>#DIV/0!</v>
      </c>
      <c r="W2420" s="23" t="e">
        <f>IF(Table1[[#This Row],[Zscore]]&lt;1.81,1,0)</f>
        <v>#DIV/0!</v>
      </c>
    </row>
    <row r="2421" spans="1:23" ht="26.25" hidden="1" x14ac:dyDescent="0.45">
      <c r="A2421" s="7">
        <v>2415</v>
      </c>
      <c r="B2421" s="5" t="s">
        <v>4839</v>
      </c>
      <c r="C2421" s="6" t="s">
        <v>4840</v>
      </c>
      <c r="D2421" s="6" t="s">
        <v>18</v>
      </c>
      <c r="E2421" s="8">
        <v>113708021279</v>
      </c>
      <c r="F2421" s="8">
        <v>18813939594</v>
      </c>
      <c r="G2421" s="8">
        <v>13342733397</v>
      </c>
      <c r="H2421" s="8">
        <v>6154806319</v>
      </c>
      <c r="I2421" s="8">
        <v>23917742513</v>
      </c>
      <c r="J2421" s="8"/>
      <c r="K2421" s="8">
        <v>18221214960</v>
      </c>
      <c r="L2421" s="8">
        <v>75533985370</v>
      </c>
      <c r="M2421" s="8"/>
      <c r="N2421" s="8"/>
      <c r="O2421" s="8"/>
      <c r="P2421" s="8"/>
      <c r="Q2421" s="18">
        <f>(Table1[[#This Row],[A. TÀI SẢN NGẮN HẠN]]-Table1[[#This Row],[I. Nợ ngắn hạn]])/Table1[[#This Row],[TỔNG CỘNG TÀI SẢN]]</f>
        <v>4.8116273025062675E-2</v>
      </c>
      <c r="R2421" s="18">
        <f>Table1[[#This Row],[- LNST chưa phân phối kỳ này]]/Table1[[#This Row],[TỔNG CỘNG TÀI SẢN]]</f>
        <v>5.4128163077415997E-2</v>
      </c>
      <c r="S2421" s="21">
        <f>Table1[[#This Row],[5. Lợi nhuận gộp về bán hàng và cung cấp dịch vụ]]/Table1[[#This Row],[TỔNG CỘNG TÀI SẢN]]</f>
        <v>0.21034349418775097</v>
      </c>
      <c r="T242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421" s="23">
        <f>Table1[[#This Row],[1. Doanh thu bán hàng và cung cấp dịch vụ ]]/Table1[[#This Row],[TỔNG CỘNG TÀI SẢN]]</f>
        <v>0.66428018463768557</v>
      </c>
      <c r="V2421" s="23" t="e">
        <f>1.2*Table1[[#This Row],[X1]] + 1.4*Table1[[#This Row],[X2]] + 3.3*Table1[[#This Row],[x3]] + 0.6*Table1[[#This Row],[x4]] + 1*Table1[[#This Row],[x5]]</f>
        <v>#DIV/0!</v>
      </c>
      <c r="W2421" s="23" t="e">
        <f>IF(Table1[[#This Row],[Zscore]]&lt;1.81,1,0)</f>
        <v>#DIV/0!</v>
      </c>
    </row>
    <row r="2422" spans="1:23" hidden="1" x14ac:dyDescent="0.45">
      <c r="A2422" s="7">
        <v>2416</v>
      </c>
      <c r="B2422" s="5" t="s">
        <v>4841</v>
      </c>
      <c r="C2422" s="6" t="s">
        <v>4842</v>
      </c>
      <c r="D2422" s="6" t="s">
        <v>18</v>
      </c>
      <c r="E2422" s="6"/>
      <c r="F2422" s="6"/>
      <c r="G2422" s="6"/>
      <c r="H2422" s="6"/>
      <c r="I2422" s="6"/>
      <c r="J2422" s="8"/>
      <c r="K2422" s="6"/>
      <c r="L2422" s="6"/>
      <c r="M2422" s="8"/>
      <c r="N2422" s="8"/>
      <c r="O2422" s="8"/>
      <c r="P2422" s="8"/>
      <c r="Q2422" s="18" t="e">
        <f>(Table1[[#This Row],[A. TÀI SẢN NGẮN HẠN]]-Table1[[#This Row],[I. Nợ ngắn hạn]])/Table1[[#This Row],[TỔNG CỘNG TÀI SẢN]]</f>
        <v>#DIV/0!</v>
      </c>
      <c r="R2422" s="18" t="e">
        <f>Table1[[#This Row],[- LNST chưa phân phối kỳ này]]/Table1[[#This Row],[TỔNG CỘNG TÀI SẢN]]</f>
        <v>#DIV/0!</v>
      </c>
      <c r="S2422" s="21" t="e">
        <f>Table1[[#This Row],[5. Lợi nhuận gộp về bán hàng và cung cấp dịch vụ]]/Table1[[#This Row],[TỔNG CỘNG TÀI SẢN]]</f>
        <v>#DIV/0!</v>
      </c>
      <c r="T242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422" s="23" t="e">
        <f>Table1[[#This Row],[1. Doanh thu bán hàng và cung cấp dịch vụ ]]/Table1[[#This Row],[TỔNG CỘNG TÀI SẢN]]</f>
        <v>#DIV/0!</v>
      </c>
      <c r="V2422" s="23" t="e">
        <f>1.2*Table1[[#This Row],[X1]] + 1.4*Table1[[#This Row],[X2]] + 3.3*Table1[[#This Row],[x3]] + 0.6*Table1[[#This Row],[x4]] + 1*Table1[[#This Row],[x5]]</f>
        <v>#DIV/0!</v>
      </c>
      <c r="W2422" s="23" t="e">
        <f>IF(Table1[[#This Row],[Zscore]]&lt;1.81,1,0)</f>
        <v>#DIV/0!</v>
      </c>
    </row>
    <row r="2423" spans="1:23" x14ac:dyDescent="0.45">
      <c r="A2423" s="7">
        <v>2417</v>
      </c>
      <c r="B2423" s="5" t="s">
        <v>4843</v>
      </c>
      <c r="C2423" s="6" t="s">
        <v>4844</v>
      </c>
      <c r="D2423" s="6" t="s">
        <v>21</v>
      </c>
      <c r="E2423" s="8">
        <v>2339302477526</v>
      </c>
      <c r="F2423" s="8">
        <v>1769425625531</v>
      </c>
      <c r="G2423" s="8">
        <v>653055707541</v>
      </c>
      <c r="H2423" s="8">
        <v>216495855627</v>
      </c>
      <c r="I2423" s="8">
        <v>1423946235207</v>
      </c>
      <c r="J2423" s="8"/>
      <c r="K2423" s="8">
        <v>653055707541</v>
      </c>
      <c r="L2423" s="8">
        <v>2700443520313</v>
      </c>
      <c r="M2423" s="8">
        <v>3204126742000</v>
      </c>
      <c r="N2423" s="8">
        <v>3108790500000</v>
      </c>
      <c r="O2423" s="8">
        <v>2797911450000</v>
      </c>
      <c r="P2423" s="8">
        <v>2764751018000</v>
      </c>
      <c r="Q2423" s="18">
        <f>(Table1[[#This Row],[A. TÀI SẢN NGẮN HẠN]]-Table1[[#This Row],[I. Nợ ngắn hạn]])/Table1[[#This Row],[TỔNG CỘNG TÀI SẢN]]</f>
        <v>0.47722341540485635</v>
      </c>
      <c r="R2423" s="18">
        <f>Table1[[#This Row],[- LNST chưa phân phối kỳ này]]/Table1[[#This Row],[TỔNG CỘNG TÀI SẢN]]</f>
        <v>9.2547183490337567E-2</v>
      </c>
      <c r="S2423" s="21">
        <f>Table1[[#This Row],[5. Lợi nhuận gộp về bán hàng và cung cấp dịch vụ]]/Table1[[#This Row],[TỔNG CỘNG TÀI SẢN]]</f>
        <v>0.60870547904217043</v>
      </c>
      <c r="T242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4.5461587629009541</v>
      </c>
      <c r="U2423" s="23">
        <f>Table1[[#This Row],[1. Doanh thu bán hàng và cung cấp dịch vụ ]]/Table1[[#This Row],[TỔNG CỘNG TÀI SẢN]]</f>
        <v>1.1543797975065353</v>
      </c>
      <c r="V2423" s="23">
        <f>1.2*Table1[[#This Row],[X1]] + 1.4*Table1[[#This Row],[X2]] + 3.3*Table1[[#This Row],[x3]] + 0.6*Table1[[#This Row],[x4]] + 1*Table1[[#This Row],[x5]]</f>
        <v>6.5930372914585691</v>
      </c>
      <c r="W2423" s="23">
        <f>IF(Table1[[#This Row],[Zscore]]&lt;1.81,1,0)</f>
        <v>0</v>
      </c>
    </row>
    <row r="2424" spans="1:23" hidden="1" x14ac:dyDescent="0.45">
      <c r="A2424" s="7">
        <v>2418</v>
      </c>
      <c r="B2424" s="5" t="s">
        <v>4845</v>
      </c>
      <c r="C2424" s="6" t="s">
        <v>4846</v>
      </c>
      <c r="D2424" s="6" t="s">
        <v>13</v>
      </c>
      <c r="E2424" s="6"/>
      <c r="F2424" s="6"/>
      <c r="G2424" s="6"/>
      <c r="H2424" s="6"/>
      <c r="I2424" s="6"/>
      <c r="J2424" s="8"/>
      <c r="K2424" s="6"/>
      <c r="L2424" s="6"/>
      <c r="M2424" s="8"/>
      <c r="N2424" s="8"/>
      <c r="O2424" s="8"/>
      <c r="P2424" s="8"/>
      <c r="Q2424" s="18" t="e">
        <f>(Table1[[#This Row],[A. TÀI SẢN NGẮN HẠN]]-Table1[[#This Row],[I. Nợ ngắn hạn]])/Table1[[#This Row],[TỔNG CỘNG TÀI SẢN]]</f>
        <v>#DIV/0!</v>
      </c>
      <c r="R2424" s="18" t="e">
        <f>Table1[[#This Row],[- LNST chưa phân phối kỳ này]]/Table1[[#This Row],[TỔNG CỘNG TÀI SẢN]]</f>
        <v>#DIV/0!</v>
      </c>
      <c r="S2424" s="21" t="e">
        <f>Table1[[#This Row],[5. Lợi nhuận gộp về bán hàng và cung cấp dịch vụ]]/Table1[[#This Row],[TỔNG CỘNG TÀI SẢN]]</f>
        <v>#DIV/0!</v>
      </c>
      <c r="T242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424" s="23" t="e">
        <f>Table1[[#This Row],[1. Doanh thu bán hàng và cung cấp dịch vụ ]]/Table1[[#This Row],[TỔNG CỘNG TÀI SẢN]]</f>
        <v>#DIV/0!</v>
      </c>
      <c r="V2424" s="23" t="e">
        <f>1.2*Table1[[#This Row],[X1]] + 1.4*Table1[[#This Row],[X2]] + 3.3*Table1[[#This Row],[x3]] + 0.6*Table1[[#This Row],[x4]] + 1*Table1[[#This Row],[x5]]</f>
        <v>#DIV/0!</v>
      </c>
      <c r="W2424" s="23" t="e">
        <f>IF(Table1[[#This Row],[Zscore]]&lt;1.81,1,0)</f>
        <v>#DIV/0!</v>
      </c>
    </row>
    <row r="2425" spans="1:23" ht="26.25" hidden="1" x14ac:dyDescent="0.45">
      <c r="A2425" s="7">
        <v>2419</v>
      </c>
      <c r="B2425" s="5" t="s">
        <v>4847</v>
      </c>
      <c r="C2425" s="6" t="s">
        <v>4848</v>
      </c>
      <c r="D2425" s="6" t="s">
        <v>13</v>
      </c>
      <c r="E2425" s="6"/>
      <c r="F2425" s="6"/>
      <c r="G2425" s="6"/>
      <c r="H2425" s="6"/>
      <c r="I2425" s="6"/>
      <c r="J2425" s="8"/>
      <c r="K2425" s="6"/>
      <c r="L2425" s="6"/>
      <c r="M2425" s="8"/>
      <c r="N2425" s="8"/>
      <c r="O2425" s="8"/>
      <c r="P2425" s="8"/>
      <c r="Q2425" s="18" t="e">
        <f>(Table1[[#This Row],[A. TÀI SẢN NGẮN HẠN]]-Table1[[#This Row],[I. Nợ ngắn hạn]])/Table1[[#This Row],[TỔNG CỘNG TÀI SẢN]]</f>
        <v>#DIV/0!</v>
      </c>
      <c r="R2425" s="18" t="e">
        <f>Table1[[#This Row],[- LNST chưa phân phối kỳ này]]/Table1[[#This Row],[TỔNG CỘNG TÀI SẢN]]</f>
        <v>#DIV/0!</v>
      </c>
      <c r="S2425" s="21" t="e">
        <f>Table1[[#This Row],[5. Lợi nhuận gộp về bán hàng và cung cấp dịch vụ]]/Table1[[#This Row],[TỔNG CỘNG TÀI SẢN]]</f>
        <v>#DIV/0!</v>
      </c>
      <c r="T242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425" s="23" t="e">
        <f>Table1[[#This Row],[1. Doanh thu bán hàng và cung cấp dịch vụ ]]/Table1[[#This Row],[TỔNG CỘNG TÀI SẢN]]</f>
        <v>#DIV/0!</v>
      </c>
      <c r="V2425" s="23" t="e">
        <f>1.2*Table1[[#This Row],[X1]] + 1.4*Table1[[#This Row],[X2]] + 3.3*Table1[[#This Row],[x3]] + 0.6*Table1[[#This Row],[x4]] + 1*Table1[[#This Row],[x5]]</f>
        <v>#DIV/0!</v>
      </c>
      <c r="W2425" s="23" t="e">
        <f>IF(Table1[[#This Row],[Zscore]]&lt;1.81,1,0)</f>
        <v>#DIV/0!</v>
      </c>
    </row>
    <row r="2426" spans="1:23" ht="26.25" hidden="1" x14ac:dyDescent="0.45">
      <c r="A2426" s="7">
        <v>2420</v>
      </c>
      <c r="B2426" s="5" t="s">
        <v>4849</v>
      </c>
      <c r="C2426" s="6" t="s">
        <v>4850</v>
      </c>
      <c r="D2426" s="6" t="s">
        <v>13</v>
      </c>
      <c r="E2426" s="6"/>
      <c r="F2426" s="6"/>
      <c r="G2426" s="6"/>
      <c r="H2426" s="6"/>
      <c r="I2426" s="6"/>
      <c r="J2426" s="8"/>
      <c r="K2426" s="6"/>
      <c r="L2426" s="6"/>
      <c r="M2426" s="8"/>
      <c r="N2426" s="8"/>
      <c r="O2426" s="8"/>
      <c r="P2426" s="8"/>
      <c r="Q2426" s="18" t="e">
        <f>(Table1[[#This Row],[A. TÀI SẢN NGẮN HẠN]]-Table1[[#This Row],[I. Nợ ngắn hạn]])/Table1[[#This Row],[TỔNG CỘNG TÀI SẢN]]</f>
        <v>#DIV/0!</v>
      </c>
      <c r="R2426" s="18" t="e">
        <f>Table1[[#This Row],[- LNST chưa phân phối kỳ này]]/Table1[[#This Row],[TỔNG CỘNG TÀI SẢN]]</f>
        <v>#DIV/0!</v>
      </c>
      <c r="S2426" s="21" t="e">
        <f>Table1[[#This Row],[5. Lợi nhuận gộp về bán hàng và cung cấp dịch vụ]]/Table1[[#This Row],[TỔNG CỘNG TÀI SẢN]]</f>
        <v>#DIV/0!</v>
      </c>
      <c r="T242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426" s="23" t="e">
        <f>Table1[[#This Row],[1. Doanh thu bán hàng và cung cấp dịch vụ ]]/Table1[[#This Row],[TỔNG CỘNG TÀI SẢN]]</f>
        <v>#DIV/0!</v>
      </c>
      <c r="V2426" s="23" t="e">
        <f>1.2*Table1[[#This Row],[X1]] + 1.4*Table1[[#This Row],[X2]] + 3.3*Table1[[#This Row],[x3]] + 0.6*Table1[[#This Row],[x4]] + 1*Table1[[#This Row],[x5]]</f>
        <v>#DIV/0!</v>
      </c>
      <c r="W2426" s="23" t="e">
        <f>IF(Table1[[#This Row],[Zscore]]&lt;1.81,1,0)</f>
        <v>#DIV/0!</v>
      </c>
    </row>
    <row r="2427" spans="1:23" hidden="1" x14ac:dyDescent="0.45">
      <c r="A2427" s="7">
        <v>2421</v>
      </c>
      <c r="B2427" s="5" t="s">
        <v>4851</v>
      </c>
      <c r="C2427" s="6" t="s">
        <v>4852</v>
      </c>
      <c r="D2427" s="6" t="s">
        <v>13</v>
      </c>
      <c r="E2427" s="6"/>
      <c r="F2427" s="6"/>
      <c r="G2427" s="6"/>
      <c r="H2427" s="6"/>
      <c r="I2427" s="6"/>
      <c r="J2427" s="8"/>
      <c r="K2427" s="6"/>
      <c r="L2427" s="6"/>
      <c r="M2427" s="8"/>
      <c r="N2427" s="8"/>
      <c r="O2427" s="8"/>
      <c r="P2427" s="8"/>
      <c r="Q2427" s="18" t="e">
        <f>(Table1[[#This Row],[A. TÀI SẢN NGẮN HẠN]]-Table1[[#This Row],[I. Nợ ngắn hạn]])/Table1[[#This Row],[TỔNG CỘNG TÀI SẢN]]</f>
        <v>#DIV/0!</v>
      </c>
      <c r="R2427" s="18" t="e">
        <f>Table1[[#This Row],[- LNST chưa phân phối kỳ này]]/Table1[[#This Row],[TỔNG CỘNG TÀI SẢN]]</f>
        <v>#DIV/0!</v>
      </c>
      <c r="S2427" s="21" t="e">
        <f>Table1[[#This Row],[5. Lợi nhuận gộp về bán hàng và cung cấp dịch vụ]]/Table1[[#This Row],[TỔNG CỘNG TÀI SẢN]]</f>
        <v>#DIV/0!</v>
      </c>
      <c r="T242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427" s="23" t="e">
        <f>Table1[[#This Row],[1. Doanh thu bán hàng và cung cấp dịch vụ ]]/Table1[[#This Row],[TỔNG CỘNG TÀI SẢN]]</f>
        <v>#DIV/0!</v>
      </c>
      <c r="V2427" s="23" t="e">
        <f>1.2*Table1[[#This Row],[X1]] + 1.4*Table1[[#This Row],[X2]] + 3.3*Table1[[#This Row],[x3]] + 0.6*Table1[[#This Row],[x4]] + 1*Table1[[#This Row],[x5]]</f>
        <v>#DIV/0!</v>
      </c>
      <c r="W2427" s="23" t="e">
        <f>IF(Table1[[#This Row],[Zscore]]&lt;1.81,1,0)</f>
        <v>#DIV/0!</v>
      </c>
    </row>
    <row r="2428" spans="1:23" hidden="1" x14ac:dyDescent="0.45">
      <c r="A2428" s="7">
        <v>2422</v>
      </c>
      <c r="B2428" s="5" t="s">
        <v>4853</v>
      </c>
      <c r="C2428" s="6" t="s">
        <v>4854</v>
      </c>
      <c r="D2428" s="6" t="s">
        <v>13</v>
      </c>
      <c r="E2428" s="6"/>
      <c r="F2428" s="6"/>
      <c r="G2428" s="6"/>
      <c r="H2428" s="6"/>
      <c r="I2428" s="6"/>
      <c r="J2428" s="8"/>
      <c r="K2428" s="6"/>
      <c r="L2428" s="6"/>
      <c r="M2428" s="8"/>
      <c r="N2428" s="8"/>
      <c r="O2428" s="8"/>
      <c r="P2428" s="8"/>
      <c r="Q2428" s="18" t="e">
        <f>(Table1[[#This Row],[A. TÀI SẢN NGẮN HẠN]]-Table1[[#This Row],[I. Nợ ngắn hạn]])/Table1[[#This Row],[TỔNG CỘNG TÀI SẢN]]</f>
        <v>#DIV/0!</v>
      </c>
      <c r="R2428" s="18" t="e">
        <f>Table1[[#This Row],[- LNST chưa phân phối kỳ này]]/Table1[[#This Row],[TỔNG CỘNG TÀI SẢN]]</f>
        <v>#DIV/0!</v>
      </c>
      <c r="S2428" s="21" t="e">
        <f>Table1[[#This Row],[5. Lợi nhuận gộp về bán hàng và cung cấp dịch vụ]]/Table1[[#This Row],[TỔNG CỘNG TÀI SẢN]]</f>
        <v>#DIV/0!</v>
      </c>
      <c r="T242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428" s="23" t="e">
        <f>Table1[[#This Row],[1. Doanh thu bán hàng và cung cấp dịch vụ ]]/Table1[[#This Row],[TỔNG CỘNG TÀI SẢN]]</f>
        <v>#DIV/0!</v>
      </c>
      <c r="V2428" s="23" t="e">
        <f>1.2*Table1[[#This Row],[X1]] + 1.4*Table1[[#This Row],[X2]] + 3.3*Table1[[#This Row],[x3]] + 0.6*Table1[[#This Row],[x4]] + 1*Table1[[#This Row],[x5]]</f>
        <v>#DIV/0!</v>
      </c>
      <c r="W2428" s="23" t="e">
        <f>IF(Table1[[#This Row],[Zscore]]&lt;1.81,1,0)</f>
        <v>#DIV/0!</v>
      </c>
    </row>
    <row r="2429" spans="1:23" x14ac:dyDescent="0.45">
      <c r="A2429" s="7">
        <v>2423</v>
      </c>
      <c r="B2429" s="5" t="s">
        <v>4855</v>
      </c>
      <c r="C2429" s="6" t="s">
        <v>4856</v>
      </c>
      <c r="D2429" s="6" t="s">
        <v>21</v>
      </c>
      <c r="E2429" s="8">
        <v>2345706283060</v>
      </c>
      <c r="F2429" s="8">
        <v>627546191499</v>
      </c>
      <c r="G2429" s="8">
        <v>247848517068</v>
      </c>
      <c r="H2429" s="8">
        <v>260074753391</v>
      </c>
      <c r="I2429" s="8">
        <v>293476894763</v>
      </c>
      <c r="J2429" s="8"/>
      <c r="K2429" s="8">
        <v>266350014251</v>
      </c>
      <c r="L2429" s="8">
        <v>843795298390</v>
      </c>
      <c r="M2429" s="8">
        <v>2300875000000</v>
      </c>
      <c r="N2429" s="8">
        <v>2310000000000</v>
      </c>
      <c r="O2429" s="8">
        <v>1954287500000</v>
      </c>
      <c r="P2429" s="8">
        <v>2058000000000</v>
      </c>
      <c r="Q2429" s="18">
        <f>(Table1[[#This Row],[A. TÀI SẢN NGẮN HẠN]]-Table1[[#This Row],[I. Nợ ngắn hạn]])/Table1[[#This Row],[TỔNG CỘNG TÀI SẢN]]</f>
        <v>0.16186923195502556</v>
      </c>
      <c r="R2429" s="18">
        <f>Table1[[#This Row],[- LNST chưa phân phối kỳ này]]/Table1[[#This Row],[TỔNG CỘNG TÀI SẢN]]</f>
        <v>0.11087268481530842</v>
      </c>
      <c r="S2429" s="21">
        <f>Table1[[#This Row],[5. Lợi nhuận gộp về bán hàng và cung cấp dịch vụ]]/Table1[[#This Row],[TỔNG CỘNG TÀI SẢN]]</f>
        <v>0.12511237953464324</v>
      </c>
      <c r="T242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8.0938258293782166</v>
      </c>
      <c r="U2429" s="23">
        <f>Table1[[#This Row],[1. Doanh thu bán hàng và cung cấp dịch vụ ]]/Table1[[#This Row],[TỔNG CỘNG TÀI SẢN]]</f>
        <v>0.35971907671631403</v>
      </c>
      <c r="V2429" s="23">
        <f>1.2*Table1[[#This Row],[X1]] + 1.4*Table1[[#This Row],[X2]] + 3.3*Table1[[#This Row],[x3]] + 0.6*Table1[[#This Row],[x4]] + 1*Table1[[#This Row],[x5]]</f>
        <v>5.9783502638950301</v>
      </c>
      <c r="W2429" s="23">
        <f>IF(Table1[[#This Row],[Zscore]]&lt;1.81,1,0)</f>
        <v>0</v>
      </c>
    </row>
    <row r="2430" spans="1:23" hidden="1" x14ac:dyDescent="0.45">
      <c r="A2430" s="7">
        <v>2424</v>
      </c>
      <c r="B2430" s="5" t="s">
        <v>4857</v>
      </c>
      <c r="C2430" s="6" t="s">
        <v>4858</v>
      </c>
      <c r="D2430" s="6" t="s">
        <v>13</v>
      </c>
      <c r="E2430" s="6"/>
      <c r="F2430" s="6"/>
      <c r="G2430" s="6"/>
      <c r="H2430" s="6"/>
      <c r="I2430" s="6"/>
      <c r="J2430" s="8"/>
      <c r="K2430" s="6"/>
      <c r="L2430" s="6"/>
      <c r="M2430" s="8"/>
      <c r="N2430" s="8"/>
      <c r="O2430" s="8"/>
      <c r="P2430" s="8"/>
      <c r="Q2430" s="18" t="e">
        <f>(Table1[[#This Row],[A. TÀI SẢN NGẮN HẠN]]-Table1[[#This Row],[I. Nợ ngắn hạn]])/Table1[[#This Row],[TỔNG CỘNG TÀI SẢN]]</f>
        <v>#DIV/0!</v>
      </c>
      <c r="R2430" s="18" t="e">
        <f>Table1[[#This Row],[- LNST chưa phân phối kỳ này]]/Table1[[#This Row],[TỔNG CỘNG TÀI SẢN]]</f>
        <v>#DIV/0!</v>
      </c>
      <c r="S2430" s="21" t="e">
        <f>Table1[[#This Row],[5. Lợi nhuận gộp về bán hàng và cung cấp dịch vụ]]/Table1[[#This Row],[TỔNG CỘNG TÀI SẢN]]</f>
        <v>#DIV/0!</v>
      </c>
      <c r="T243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430" s="23" t="e">
        <f>Table1[[#This Row],[1. Doanh thu bán hàng và cung cấp dịch vụ ]]/Table1[[#This Row],[TỔNG CỘNG TÀI SẢN]]</f>
        <v>#DIV/0!</v>
      </c>
      <c r="V2430" s="23" t="e">
        <f>1.2*Table1[[#This Row],[X1]] + 1.4*Table1[[#This Row],[X2]] + 3.3*Table1[[#This Row],[x3]] + 0.6*Table1[[#This Row],[x4]] + 1*Table1[[#This Row],[x5]]</f>
        <v>#DIV/0!</v>
      </c>
      <c r="W2430" s="23" t="e">
        <f>IF(Table1[[#This Row],[Zscore]]&lt;1.81,1,0)</f>
        <v>#DIV/0!</v>
      </c>
    </row>
    <row r="2431" spans="1:23" ht="26.25" hidden="1" x14ac:dyDescent="0.45">
      <c r="A2431" s="7">
        <v>2425</v>
      </c>
      <c r="B2431" s="5" t="s">
        <v>4859</v>
      </c>
      <c r="C2431" s="6" t="s">
        <v>4860</v>
      </c>
      <c r="D2431" s="6" t="s">
        <v>13</v>
      </c>
      <c r="E2431" s="6"/>
      <c r="F2431" s="6"/>
      <c r="G2431" s="6"/>
      <c r="H2431" s="6"/>
      <c r="I2431" s="6"/>
      <c r="J2431" s="8"/>
      <c r="K2431" s="6"/>
      <c r="L2431" s="6"/>
      <c r="M2431" s="8"/>
      <c r="N2431" s="8"/>
      <c r="O2431" s="8"/>
      <c r="P2431" s="8"/>
      <c r="Q2431" s="18" t="e">
        <f>(Table1[[#This Row],[A. TÀI SẢN NGẮN HẠN]]-Table1[[#This Row],[I. Nợ ngắn hạn]])/Table1[[#This Row],[TỔNG CỘNG TÀI SẢN]]</f>
        <v>#DIV/0!</v>
      </c>
      <c r="R2431" s="18" t="e">
        <f>Table1[[#This Row],[- LNST chưa phân phối kỳ này]]/Table1[[#This Row],[TỔNG CỘNG TÀI SẢN]]</f>
        <v>#DIV/0!</v>
      </c>
      <c r="S2431" s="21" t="e">
        <f>Table1[[#This Row],[5. Lợi nhuận gộp về bán hàng và cung cấp dịch vụ]]/Table1[[#This Row],[TỔNG CỘNG TÀI SẢN]]</f>
        <v>#DIV/0!</v>
      </c>
      <c r="T243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431" s="23" t="e">
        <f>Table1[[#This Row],[1. Doanh thu bán hàng và cung cấp dịch vụ ]]/Table1[[#This Row],[TỔNG CỘNG TÀI SẢN]]</f>
        <v>#DIV/0!</v>
      </c>
      <c r="V2431" s="23" t="e">
        <f>1.2*Table1[[#This Row],[X1]] + 1.4*Table1[[#This Row],[X2]] + 3.3*Table1[[#This Row],[x3]] + 0.6*Table1[[#This Row],[x4]] + 1*Table1[[#This Row],[x5]]</f>
        <v>#DIV/0!</v>
      </c>
      <c r="W2431" s="23" t="e">
        <f>IF(Table1[[#This Row],[Zscore]]&lt;1.81,1,0)</f>
        <v>#DIV/0!</v>
      </c>
    </row>
    <row r="2432" spans="1:23" ht="26.25" hidden="1" x14ac:dyDescent="0.45">
      <c r="A2432" s="7">
        <v>2426</v>
      </c>
      <c r="B2432" s="5" t="s">
        <v>4861</v>
      </c>
      <c r="C2432" s="6" t="s">
        <v>4862</v>
      </c>
      <c r="D2432" s="6" t="s">
        <v>13</v>
      </c>
      <c r="E2432" s="6"/>
      <c r="F2432" s="6"/>
      <c r="G2432" s="6"/>
      <c r="H2432" s="6"/>
      <c r="I2432" s="6"/>
      <c r="J2432" s="8"/>
      <c r="K2432" s="6"/>
      <c r="L2432" s="6"/>
      <c r="M2432" s="8"/>
      <c r="N2432" s="8"/>
      <c r="O2432" s="8"/>
      <c r="P2432" s="8"/>
      <c r="Q2432" s="18" t="e">
        <f>(Table1[[#This Row],[A. TÀI SẢN NGẮN HẠN]]-Table1[[#This Row],[I. Nợ ngắn hạn]])/Table1[[#This Row],[TỔNG CỘNG TÀI SẢN]]</f>
        <v>#DIV/0!</v>
      </c>
      <c r="R2432" s="18" t="e">
        <f>Table1[[#This Row],[- LNST chưa phân phối kỳ này]]/Table1[[#This Row],[TỔNG CỘNG TÀI SẢN]]</f>
        <v>#DIV/0!</v>
      </c>
      <c r="S2432" s="21" t="e">
        <f>Table1[[#This Row],[5. Lợi nhuận gộp về bán hàng và cung cấp dịch vụ]]/Table1[[#This Row],[TỔNG CỘNG TÀI SẢN]]</f>
        <v>#DIV/0!</v>
      </c>
      <c r="T243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432" s="23" t="e">
        <f>Table1[[#This Row],[1. Doanh thu bán hàng và cung cấp dịch vụ ]]/Table1[[#This Row],[TỔNG CỘNG TÀI SẢN]]</f>
        <v>#DIV/0!</v>
      </c>
      <c r="V2432" s="23" t="e">
        <f>1.2*Table1[[#This Row],[X1]] + 1.4*Table1[[#This Row],[X2]] + 3.3*Table1[[#This Row],[x3]] + 0.6*Table1[[#This Row],[x4]] + 1*Table1[[#This Row],[x5]]</f>
        <v>#DIV/0!</v>
      </c>
      <c r="W2432" s="23" t="e">
        <f>IF(Table1[[#This Row],[Zscore]]&lt;1.81,1,0)</f>
        <v>#DIV/0!</v>
      </c>
    </row>
    <row r="2433" spans="1:23" ht="26.25" hidden="1" x14ac:dyDescent="0.45">
      <c r="A2433" s="7">
        <v>2427</v>
      </c>
      <c r="B2433" s="5" t="s">
        <v>4863</v>
      </c>
      <c r="C2433" s="6" t="s">
        <v>4864</v>
      </c>
      <c r="D2433" s="6" t="s">
        <v>13</v>
      </c>
      <c r="E2433" s="6"/>
      <c r="F2433" s="6"/>
      <c r="G2433" s="6"/>
      <c r="H2433" s="6"/>
      <c r="I2433" s="6"/>
      <c r="J2433" s="8"/>
      <c r="K2433" s="6"/>
      <c r="L2433" s="6"/>
      <c r="M2433" s="8"/>
      <c r="N2433" s="8"/>
      <c r="O2433" s="8"/>
      <c r="P2433" s="8"/>
      <c r="Q2433" s="18" t="e">
        <f>(Table1[[#This Row],[A. TÀI SẢN NGẮN HẠN]]-Table1[[#This Row],[I. Nợ ngắn hạn]])/Table1[[#This Row],[TỔNG CỘNG TÀI SẢN]]</f>
        <v>#DIV/0!</v>
      </c>
      <c r="R2433" s="18" t="e">
        <f>Table1[[#This Row],[- LNST chưa phân phối kỳ này]]/Table1[[#This Row],[TỔNG CỘNG TÀI SẢN]]</f>
        <v>#DIV/0!</v>
      </c>
      <c r="S2433" s="21" t="e">
        <f>Table1[[#This Row],[5. Lợi nhuận gộp về bán hàng và cung cấp dịch vụ]]/Table1[[#This Row],[TỔNG CỘNG TÀI SẢN]]</f>
        <v>#DIV/0!</v>
      </c>
      <c r="T243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433" s="23" t="e">
        <f>Table1[[#This Row],[1. Doanh thu bán hàng và cung cấp dịch vụ ]]/Table1[[#This Row],[TỔNG CỘNG TÀI SẢN]]</f>
        <v>#DIV/0!</v>
      </c>
      <c r="V2433" s="23" t="e">
        <f>1.2*Table1[[#This Row],[X1]] + 1.4*Table1[[#This Row],[X2]] + 3.3*Table1[[#This Row],[x3]] + 0.6*Table1[[#This Row],[x4]] + 1*Table1[[#This Row],[x5]]</f>
        <v>#DIV/0!</v>
      </c>
      <c r="W2433" s="23" t="e">
        <f>IF(Table1[[#This Row],[Zscore]]&lt;1.81,1,0)</f>
        <v>#DIV/0!</v>
      </c>
    </row>
    <row r="2434" spans="1:23" hidden="1" x14ac:dyDescent="0.45">
      <c r="A2434" s="7">
        <v>2428</v>
      </c>
      <c r="B2434" s="5" t="s">
        <v>4865</v>
      </c>
      <c r="C2434" s="6" t="s">
        <v>4866</v>
      </c>
      <c r="D2434" s="6" t="s">
        <v>18</v>
      </c>
      <c r="E2434" s="6"/>
      <c r="F2434" s="6"/>
      <c r="G2434" s="6"/>
      <c r="H2434" s="6"/>
      <c r="I2434" s="6"/>
      <c r="J2434" s="8"/>
      <c r="K2434" s="6"/>
      <c r="L2434" s="6"/>
      <c r="M2434" s="8"/>
      <c r="N2434" s="8"/>
      <c r="O2434" s="8"/>
      <c r="P2434" s="8"/>
      <c r="Q2434" s="18" t="e">
        <f>(Table1[[#This Row],[A. TÀI SẢN NGẮN HẠN]]-Table1[[#This Row],[I. Nợ ngắn hạn]])/Table1[[#This Row],[TỔNG CỘNG TÀI SẢN]]</f>
        <v>#DIV/0!</v>
      </c>
      <c r="R2434" s="18" t="e">
        <f>Table1[[#This Row],[- LNST chưa phân phối kỳ này]]/Table1[[#This Row],[TỔNG CỘNG TÀI SẢN]]</f>
        <v>#DIV/0!</v>
      </c>
      <c r="S2434" s="21" t="e">
        <f>Table1[[#This Row],[5. Lợi nhuận gộp về bán hàng và cung cấp dịch vụ]]/Table1[[#This Row],[TỔNG CỘNG TÀI SẢN]]</f>
        <v>#DIV/0!</v>
      </c>
      <c r="T243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434" s="23" t="e">
        <f>Table1[[#This Row],[1. Doanh thu bán hàng và cung cấp dịch vụ ]]/Table1[[#This Row],[TỔNG CỘNG TÀI SẢN]]</f>
        <v>#DIV/0!</v>
      </c>
      <c r="V2434" s="23" t="e">
        <f>1.2*Table1[[#This Row],[X1]] + 1.4*Table1[[#This Row],[X2]] + 3.3*Table1[[#This Row],[x3]] + 0.6*Table1[[#This Row],[x4]] + 1*Table1[[#This Row],[x5]]</f>
        <v>#DIV/0!</v>
      </c>
      <c r="W2434" s="23" t="e">
        <f>IF(Table1[[#This Row],[Zscore]]&lt;1.81,1,0)</f>
        <v>#DIV/0!</v>
      </c>
    </row>
    <row r="2435" spans="1:23" hidden="1" x14ac:dyDescent="0.45">
      <c r="A2435" s="7">
        <v>2429</v>
      </c>
      <c r="B2435" s="5" t="s">
        <v>4867</v>
      </c>
      <c r="C2435" s="6" t="s">
        <v>4868</v>
      </c>
      <c r="D2435" s="6" t="s">
        <v>18</v>
      </c>
      <c r="E2435" s="8">
        <v>500513604208</v>
      </c>
      <c r="F2435" s="8">
        <v>299376048229</v>
      </c>
      <c r="G2435" s="8">
        <v>328764033285</v>
      </c>
      <c r="H2435" s="8">
        <v>21234548216</v>
      </c>
      <c r="I2435" s="8">
        <v>82137264822</v>
      </c>
      <c r="J2435" s="8"/>
      <c r="K2435" s="8">
        <v>349249890540</v>
      </c>
      <c r="L2435" s="8">
        <v>669417944168</v>
      </c>
      <c r="M2435" s="8"/>
      <c r="N2435" s="8"/>
      <c r="O2435" s="8"/>
      <c r="P2435" s="8"/>
      <c r="Q2435" s="18">
        <f>(Table1[[#This Row],[A. TÀI SẢN NGẮN HẠN]]-Table1[[#This Row],[I. Nợ ngắn hạn]])/Table1[[#This Row],[TỔNG CỘNG TÀI SẢN]]</f>
        <v>-5.8715656895086399E-2</v>
      </c>
      <c r="R2435" s="18">
        <f>Table1[[#This Row],[- LNST chưa phân phối kỳ này]]/Table1[[#This Row],[TỔNG CỘNG TÀI SẢN]]</f>
        <v>4.242551658431145E-2</v>
      </c>
      <c r="S2435" s="21">
        <f>Table1[[#This Row],[5. Lợi nhuận gộp về bán hàng và cung cấp dịch vụ]]/Table1[[#This Row],[TỔNG CỘNG TÀI SẢN]]</f>
        <v>0.16410595862218755</v>
      </c>
      <c r="T243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435" s="23">
        <f>Table1[[#This Row],[1. Doanh thu bán hàng và cung cấp dịch vụ ]]/Table1[[#This Row],[TỔNG CỘNG TÀI SẢN]]</f>
        <v>1.3374620360764617</v>
      </c>
      <c r="V2435" s="23" t="e">
        <f>1.2*Table1[[#This Row],[X1]] + 1.4*Table1[[#This Row],[X2]] + 3.3*Table1[[#This Row],[x3]] + 0.6*Table1[[#This Row],[x4]] + 1*Table1[[#This Row],[x5]]</f>
        <v>#DIV/0!</v>
      </c>
      <c r="W2435" s="23" t="e">
        <f>IF(Table1[[#This Row],[Zscore]]&lt;1.81,1,0)</f>
        <v>#DIV/0!</v>
      </c>
    </row>
    <row r="2436" spans="1:23" hidden="1" x14ac:dyDescent="0.45">
      <c r="A2436" s="7">
        <v>2430</v>
      </c>
      <c r="B2436" s="5" t="s">
        <v>4869</v>
      </c>
      <c r="C2436" s="6" t="s">
        <v>4870</v>
      </c>
      <c r="D2436" s="6" t="s">
        <v>13</v>
      </c>
      <c r="E2436" s="6"/>
      <c r="F2436" s="6"/>
      <c r="G2436" s="6"/>
      <c r="H2436" s="6"/>
      <c r="I2436" s="6"/>
      <c r="J2436" s="8"/>
      <c r="K2436" s="6"/>
      <c r="L2436" s="6"/>
      <c r="M2436" s="8"/>
      <c r="N2436" s="8"/>
      <c r="O2436" s="8"/>
      <c r="P2436" s="8"/>
      <c r="Q2436" s="18" t="e">
        <f>(Table1[[#This Row],[A. TÀI SẢN NGẮN HẠN]]-Table1[[#This Row],[I. Nợ ngắn hạn]])/Table1[[#This Row],[TỔNG CỘNG TÀI SẢN]]</f>
        <v>#DIV/0!</v>
      </c>
      <c r="R2436" s="18" t="e">
        <f>Table1[[#This Row],[- LNST chưa phân phối kỳ này]]/Table1[[#This Row],[TỔNG CỘNG TÀI SẢN]]</f>
        <v>#DIV/0!</v>
      </c>
      <c r="S2436" s="21" t="e">
        <f>Table1[[#This Row],[5. Lợi nhuận gộp về bán hàng và cung cấp dịch vụ]]/Table1[[#This Row],[TỔNG CỘNG TÀI SẢN]]</f>
        <v>#DIV/0!</v>
      </c>
      <c r="T243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436" s="23" t="e">
        <f>Table1[[#This Row],[1. Doanh thu bán hàng và cung cấp dịch vụ ]]/Table1[[#This Row],[TỔNG CỘNG TÀI SẢN]]</f>
        <v>#DIV/0!</v>
      </c>
      <c r="V2436" s="23" t="e">
        <f>1.2*Table1[[#This Row],[X1]] + 1.4*Table1[[#This Row],[X2]] + 3.3*Table1[[#This Row],[x3]] + 0.6*Table1[[#This Row],[x4]] + 1*Table1[[#This Row],[x5]]</f>
        <v>#DIV/0!</v>
      </c>
      <c r="W2436" s="23" t="e">
        <f>IF(Table1[[#This Row],[Zscore]]&lt;1.81,1,0)</f>
        <v>#DIV/0!</v>
      </c>
    </row>
    <row r="2437" spans="1:23" hidden="1" x14ac:dyDescent="0.45">
      <c r="A2437" s="7">
        <v>2431</v>
      </c>
      <c r="B2437" s="5" t="s">
        <v>4871</v>
      </c>
      <c r="C2437" s="6" t="s">
        <v>4872</v>
      </c>
      <c r="D2437" s="6" t="s">
        <v>13</v>
      </c>
      <c r="E2437" s="6"/>
      <c r="F2437" s="6"/>
      <c r="G2437" s="6"/>
      <c r="H2437" s="6"/>
      <c r="I2437" s="6"/>
      <c r="J2437" s="8"/>
      <c r="K2437" s="6"/>
      <c r="L2437" s="6"/>
      <c r="M2437" s="8"/>
      <c r="N2437" s="8"/>
      <c r="O2437" s="8"/>
      <c r="P2437" s="8"/>
      <c r="Q2437" s="18" t="e">
        <f>(Table1[[#This Row],[A. TÀI SẢN NGẮN HẠN]]-Table1[[#This Row],[I. Nợ ngắn hạn]])/Table1[[#This Row],[TỔNG CỘNG TÀI SẢN]]</f>
        <v>#DIV/0!</v>
      </c>
      <c r="R2437" s="18" t="e">
        <f>Table1[[#This Row],[- LNST chưa phân phối kỳ này]]/Table1[[#This Row],[TỔNG CỘNG TÀI SẢN]]</f>
        <v>#DIV/0!</v>
      </c>
      <c r="S2437" s="21" t="e">
        <f>Table1[[#This Row],[5. Lợi nhuận gộp về bán hàng và cung cấp dịch vụ]]/Table1[[#This Row],[TỔNG CỘNG TÀI SẢN]]</f>
        <v>#DIV/0!</v>
      </c>
      <c r="T243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437" s="23" t="e">
        <f>Table1[[#This Row],[1. Doanh thu bán hàng và cung cấp dịch vụ ]]/Table1[[#This Row],[TỔNG CỘNG TÀI SẢN]]</f>
        <v>#DIV/0!</v>
      </c>
      <c r="V2437" s="23" t="e">
        <f>1.2*Table1[[#This Row],[X1]] + 1.4*Table1[[#This Row],[X2]] + 3.3*Table1[[#This Row],[x3]] + 0.6*Table1[[#This Row],[x4]] + 1*Table1[[#This Row],[x5]]</f>
        <v>#DIV/0!</v>
      </c>
      <c r="W2437" s="23" t="e">
        <f>IF(Table1[[#This Row],[Zscore]]&lt;1.81,1,0)</f>
        <v>#DIV/0!</v>
      </c>
    </row>
    <row r="2438" spans="1:23" hidden="1" x14ac:dyDescent="0.45">
      <c r="A2438" s="7">
        <v>2432</v>
      </c>
      <c r="B2438" s="5" t="s">
        <v>4873</v>
      </c>
      <c r="C2438" s="6" t="s">
        <v>4874</v>
      </c>
      <c r="D2438" s="6" t="s">
        <v>13</v>
      </c>
      <c r="E2438" s="6"/>
      <c r="F2438" s="6"/>
      <c r="G2438" s="6"/>
      <c r="H2438" s="6"/>
      <c r="I2438" s="6"/>
      <c r="J2438" s="8"/>
      <c r="K2438" s="6"/>
      <c r="L2438" s="6"/>
      <c r="M2438" s="8"/>
      <c r="N2438" s="8"/>
      <c r="O2438" s="8"/>
      <c r="P2438" s="8"/>
      <c r="Q2438" s="18" t="e">
        <f>(Table1[[#This Row],[A. TÀI SẢN NGẮN HẠN]]-Table1[[#This Row],[I. Nợ ngắn hạn]])/Table1[[#This Row],[TỔNG CỘNG TÀI SẢN]]</f>
        <v>#DIV/0!</v>
      </c>
      <c r="R2438" s="18" t="e">
        <f>Table1[[#This Row],[- LNST chưa phân phối kỳ này]]/Table1[[#This Row],[TỔNG CỘNG TÀI SẢN]]</f>
        <v>#DIV/0!</v>
      </c>
      <c r="S2438" s="21" t="e">
        <f>Table1[[#This Row],[5. Lợi nhuận gộp về bán hàng và cung cấp dịch vụ]]/Table1[[#This Row],[TỔNG CỘNG TÀI SẢN]]</f>
        <v>#DIV/0!</v>
      </c>
      <c r="T243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438" s="23" t="e">
        <f>Table1[[#This Row],[1. Doanh thu bán hàng và cung cấp dịch vụ ]]/Table1[[#This Row],[TỔNG CỘNG TÀI SẢN]]</f>
        <v>#DIV/0!</v>
      </c>
      <c r="V2438" s="23" t="e">
        <f>1.2*Table1[[#This Row],[X1]] + 1.4*Table1[[#This Row],[X2]] + 3.3*Table1[[#This Row],[x3]] + 0.6*Table1[[#This Row],[x4]] + 1*Table1[[#This Row],[x5]]</f>
        <v>#DIV/0!</v>
      </c>
      <c r="W2438" s="23" t="e">
        <f>IF(Table1[[#This Row],[Zscore]]&lt;1.81,1,0)</f>
        <v>#DIV/0!</v>
      </c>
    </row>
    <row r="2439" spans="1:23" x14ac:dyDescent="0.45">
      <c r="A2439" s="7">
        <v>2433</v>
      </c>
      <c r="B2439" s="5" t="s">
        <v>4875</v>
      </c>
      <c r="C2439" s="6" t="s">
        <v>4876</v>
      </c>
      <c r="D2439" s="6" t="s">
        <v>18</v>
      </c>
      <c r="E2439" s="8">
        <v>2314273207311</v>
      </c>
      <c r="F2439" s="8">
        <v>722588187744</v>
      </c>
      <c r="G2439" s="8">
        <v>991776640968</v>
      </c>
      <c r="H2439" s="8">
        <v>61427897551</v>
      </c>
      <c r="I2439" s="8">
        <v>453427808031</v>
      </c>
      <c r="J2439" s="8"/>
      <c r="K2439" s="8">
        <v>1567363942045</v>
      </c>
      <c r="L2439" s="8">
        <v>5163750607102</v>
      </c>
      <c r="M2439" s="8"/>
      <c r="N2439" s="8">
        <v>1799091786000</v>
      </c>
      <c r="O2439" s="8">
        <v>2151088005000</v>
      </c>
      <c r="P2439" s="8">
        <v>1942497653000</v>
      </c>
      <c r="Q2439" s="18">
        <f>(Table1[[#This Row],[A. TÀI SẢN NGẮN HẠN]]-Table1[[#This Row],[I. Nợ ngắn hạn]])/Table1[[#This Row],[TỔNG CỘNG TÀI SẢN]]</f>
        <v>-0.11631662691060379</v>
      </c>
      <c r="R2439" s="18">
        <f>Table1[[#This Row],[- LNST chưa phân phối kỳ này]]/Table1[[#This Row],[TỔNG CỘNG TÀI SẢN]]</f>
        <v>2.6543062140175877E-2</v>
      </c>
      <c r="S2439" s="21">
        <f>Table1[[#This Row],[5. Lợi nhuận gộp về bán hàng và cung cấp dịch vụ]]/Table1[[#This Row],[TỔNG CỘNG TÀI SẢN]]</f>
        <v>0.19592665489907596</v>
      </c>
      <c r="T243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1.2532033958264128</v>
      </c>
      <c r="U2439" s="23">
        <f>Table1[[#This Row],[1. Doanh thu bán hàng và cung cấp dịch vụ ]]/Table1[[#This Row],[TỔNG CỘNG TÀI SẢN]]</f>
        <v>2.2312623206237023</v>
      </c>
      <c r="V2439" s="23">
        <f>1.2*Table1[[#This Row],[X1]] + 1.4*Table1[[#This Row],[X2]] + 3.3*Table1[[#This Row],[x3]] + 0.6*Table1[[#This Row],[x4]] + 1*Table1[[#This Row],[x5]]</f>
        <v>3.5273226539900224</v>
      </c>
      <c r="W2439" s="23">
        <f>IF(Table1[[#This Row],[Zscore]]&lt;1.81,1,0)</f>
        <v>0</v>
      </c>
    </row>
    <row r="2440" spans="1:23" hidden="1" x14ac:dyDescent="0.45">
      <c r="A2440" s="7">
        <v>2434</v>
      </c>
      <c r="B2440" s="5" t="s">
        <v>4877</v>
      </c>
      <c r="C2440" s="6" t="s">
        <v>4878</v>
      </c>
      <c r="D2440" s="6" t="s">
        <v>18</v>
      </c>
      <c r="E2440" s="6"/>
      <c r="F2440" s="6"/>
      <c r="G2440" s="6"/>
      <c r="H2440" s="6"/>
      <c r="I2440" s="6"/>
      <c r="J2440" s="8"/>
      <c r="K2440" s="6"/>
      <c r="L2440" s="6"/>
      <c r="M2440" s="8"/>
      <c r="N2440" s="8"/>
      <c r="O2440" s="8"/>
      <c r="P2440" s="8"/>
      <c r="Q2440" s="18" t="e">
        <f>(Table1[[#This Row],[A. TÀI SẢN NGẮN HẠN]]-Table1[[#This Row],[I. Nợ ngắn hạn]])/Table1[[#This Row],[TỔNG CỘNG TÀI SẢN]]</f>
        <v>#DIV/0!</v>
      </c>
      <c r="R2440" s="18" t="e">
        <f>Table1[[#This Row],[- LNST chưa phân phối kỳ này]]/Table1[[#This Row],[TỔNG CỘNG TÀI SẢN]]</f>
        <v>#DIV/0!</v>
      </c>
      <c r="S2440" s="21" t="e">
        <f>Table1[[#This Row],[5. Lợi nhuận gộp về bán hàng và cung cấp dịch vụ]]/Table1[[#This Row],[TỔNG CỘNG TÀI SẢN]]</f>
        <v>#DIV/0!</v>
      </c>
      <c r="T244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440" s="23" t="e">
        <f>Table1[[#This Row],[1. Doanh thu bán hàng và cung cấp dịch vụ ]]/Table1[[#This Row],[TỔNG CỘNG TÀI SẢN]]</f>
        <v>#DIV/0!</v>
      </c>
      <c r="V2440" s="23" t="e">
        <f>1.2*Table1[[#This Row],[X1]] + 1.4*Table1[[#This Row],[X2]] + 3.3*Table1[[#This Row],[x3]] + 0.6*Table1[[#This Row],[x4]] + 1*Table1[[#This Row],[x5]]</f>
        <v>#DIV/0!</v>
      </c>
      <c r="W2440" s="23" t="e">
        <f>IF(Table1[[#This Row],[Zscore]]&lt;1.81,1,0)</f>
        <v>#DIV/0!</v>
      </c>
    </row>
    <row r="2441" spans="1:23" x14ac:dyDescent="0.45">
      <c r="A2441" s="7">
        <v>2435</v>
      </c>
      <c r="B2441" s="5" t="s">
        <v>4879</v>
      </c>
      <c r="C2441" s="6" t="s">
        <v>4880</v>
      </c>
      <c r="D2441" s="6" t="s">
        <v>13</v>
      </c>
      <c r="E2441" s="8">
        <v>269013953740</v>
      </c>
      <c r="F2441" s="8">
        <v>137369473017</v>
      </c>
      <c r="G2441" s="8">
        <v>777301785994</v>
      </c>
      <c r="H2441" s="8">
        <v>-10053048606</v>
      </c>
      <c r="I2441" s="8">
        <v>-199405393</v>
      </c>
      <c r="J2441" s="8"/>
      <c r="K2441" s="8">
        <v>797566989887</v>
      </c>
      <c r="L2441" s="8">
        <v>59525863698</v>
      </c>
      <c r="M2441" s="8">
        <v>19261912800</v>
      </c>
      <c r="N2441" s="8">
        <v>19261912800</v>
      </c>
      <c r="O2441" s="8">
        <v>19261912800</v>
      </c>
      <c r="P2441" s="8">
        <v>19261912800</v>
      </c>
      <c r="Q2441" s="18">
        <f>(Table1[[#This Row],[A. TÀI SẢN NGẮN HẠN]]-Table1[[#This Row],[I. Nợ ngắn hạn]])/Table1[[#This Row],[TỔNG CỘNG TÀI SẢN]]</f>
        <v>-2.3788071365082044</v>
      </c>
      <c r="R2441" s="18">
        <f>Table1[[#This Row],[- LNST chưa phân phối kỳ này]]/Table1[[#This Row],[TỔNG CỘNG TÀI SẢN]]</f>
        <v>-3.7369989423359791E-2</v>
      </c>
      <c r="S2441" s="21">
        <f>Table1[[#This Row],[5. Lợi nhuận gộp về bán hàng và cung cấp dịch vụ]]/Table1[[#This Row],[TỔNG CỘNG TÀI SẢN]]</f>
        <v>-7.4124553848505513E-4</v>
      </c>
      <c r="T244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2.4150840047591545E-2</v>
      </c>
      <c r="U2441" s="23">
        <f>Table1[[#This Row],[1. Doanh thu bán hàng và cung cấp dịch vụ ]]/Table1[[#This Row],[TỔNG CỘNG TÀI SẢN]]</f>
        <v>0.22127426057434665</v>
      </c>
      <c r="V2441" s="23">
        <f>1.2*Table1[[#This Row],[X1]] + 1.4*Table1[[#This Row],[X2]] + 3.3*Table1[[#This Row],[x3]] + 0.6*Table1[[#This Row],[x4]] + 1*Table1[[#This Row],[x5]]</f>
        <v>-2.6735678946766481</v>
      </c>
      <c r="W2441" s="23">
        <f>IF(Table1[[#This Row],[Zscore]]&lt;1.81,1,0)</f>
        <v>1</v>
      </c>
    </row>
    <row r="2442" spans="1:23" hidden="1" x14ac:dyDescent="0.45">
      <c r="A2442" s="7">
        <v>2436</v>
      </c>
      <c r="B2442" s="5" t="s">
        <v>4881</v>
      </c>
      <c r="C2442" s="6" t="s">
        <v>4882</v>
      </c>
      <c r="D2442" s="6" t="s">
        <v>13</v>
      </c>
      <c r="E2442" s="6"/>
      <c r="F2442" s="6"/>
      <c r="G2442" s="6"/>
      <c r="H2442" s="6"/>
      <c r="I2442" s="6"/>
      <c r="J2442" s="8"/>
      <c r="K2442" s="6"/>
      <c r="L2442" s="6"/>
      <c r="M2442" s="8"/>
      <c r="N2442" s="8"/>
      <c r="O2442" s="8"/>
      <c r="P2442" s="8"/>
      <c r="Q2442" s="18" t="e">
        <f>(Table1[[#This Row],[A. TÀI SẢN NGẮN HẠN]]-Table1[[#This Row],[I. Nợ ngắn hạn]])/Table1[[#This Row],[TỔNG CỘNG TÀI SẢN]]</f>
        <v>#DIV/0!</v>
      </c>
      <c r="R2442" s="18" t="e">
        <f>Table1[[#This Row],[- LNST chưa phân phối kỳ này]]/Table1[[#This Row],[TỔNG CỘNG TÀI SẢN]]</f>
        <v>#DIV/0!</v>
      </c>
      <c r="S2442" s="21" t="e">
        <f>Table1[[#This Row],[5. Lợi nhuận gộp về bán hàng và cung cấp dịch vụ]]/Table1[[#This Row],[TỔNG CỘNG TÀI SẢN]]</f>
        <v>#DIV/0!</v>
      </c>
      <c r="T244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442" s="23" t="e">
        <f>Table1[[#This Row],[1. Doanh thu bán hàng và cung cấp dịch vụ ]]/Table1[[#This Row],[TỔNG CỘNG TÀI SẢN]]</f>
        <v>#DIV/0!</v>
      </c>
      <c r="V2442" s="23" t="e">
        <f>1.2*Table1[[#This Row],[X1]] + 1.4*Table1[[#This Row],[X2]] + 3.3*Table1[[#This Row],[x3]] + 0.6*Table1[[#This Row],[x4]] + 1*Table1[[#This Row],[x5]]</f>
        <v>#DIV/0!</v>
      </c>
      <c r="W2442" s="23" t="e">
        <f>IF(Table1[[#This Row],[Zscore]]&lt;1.81,1,0)</f>
        <v>#DIV/0!</v>
      </c>
    </row>
    <row r="2443" spans="1:23" ht="26.25" x14ac:dyDescent="0.45">
      <c r="A2443" s="7">
        <v>2437</v>
      </c>
      <c r="B2443" s="5" t="s">
        <v>4883</v>
      </c>
      <c r="C2443" s="6" t="s">
        <v>4884</v>
      </c>
      <c r="D2443" s="6" t="s">
        <v>21</v>
      </c>
      <c r="E2443" s="8">
        <v>681703904744</v>
      </c>
      <c r="F2443" s="8">
        <v>473438485241</v>
      </c>
      <c r="G2443" s="8">
        <v>242358430698</v>
      </c>
      <c r="H2443" s="8">
        <v>27484014579</v>
      </c>
      <c r="I2443" s="8">
        <v>67880102706</v>
      </c>
      <c r="J2443" s="8"/>
      <c r="K2443" s="8">
        <v>242358430698</v>
      </c>
      <c r="L2443" s="8">
        <v>714720666788</v>
      </c>
      <c r="M2443" s="8">
        <v>481250000000</v>
      </c>
      <c r="N2443" s="8">
        <v>565949916000</v>
      </c>
      <c r="O2443" s="8">
        <v>485100000000</v>
      </c>
      <c r="P2443" s="8">
        <v>485099928000</v>
      </c>
      <c r="Q2443" s="18">
        <f>(Table1[[#This Row],[A. TÀI SẢN NGẮN HẠN]]-Table1[[#This Row],[I. Nợ ngắn hạn]])/Table1[[#This Row],[TỔNG CỘNG TÀI SẢN]]</f>
        <v>0.33897422757139317</v>
      </c>
      <c r="R2443" s="18">
        <f>Table1[[#This Row],[- LNST chưa phân phối kỳ này]]/Table1[[#This Row],[TỔNG CỘNG TÀI SẢN]]</f>
        <v>4.031664537600245E-2</v>
      </c>
      <c r="S2443" s="21">
        <f>Table1[[#This Row],[5. Lợi nhuận gộp về bán hàng và cung cấp dịch vụ]]/Table1[[#This Row],[TỔNG CỘNG TÀI SẢN]]</f>
        <v>9.9574173235066024E-2</v>
      </c>
      <c r="T244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2.0810085275245265</v>
      </c>
      <c r="U2443" s="23">
        <f>Table1[[#This Row],[1. Doanh thu bán hàng và cung cấp dịch vụ ]]/Table1[[#This Row],[TỔNG CỘNG TÀI SẢN]]</f>
        <v>1.0484327019608297</v>
      </c>
      <c r="V2443" s="23">
        <f>1.2*Table1[[#This Row],[X1]] + 1.4*Table1[[#This Row],[X2]] + 3.3*Table1[[#This Row],[x3]] + 0.6*Table1[[#This Row],[x4]] + 1*Table1[[#This Row],[x5]]</f>
        <v>3.0888449667633386</v>
      </c>
      <c r="W2443" s="23">
        <f>IF(Table1[[#This Row],[Zscore]]&lt;1.81,1,0)</f>
        <v>0</v>
      </c>
    </row>
    <row r="2444" spans="1:23" x14ac:dyDescent="0.45">
      <c r="A2444" s="7">
        <v>2438</v>
      </c>
      <c r="B2444" s="5" t="s">
        <v>4885</v>
      </c>
      <c r="C2444" s="6" t="s">
        <v>4886</v>
      </c>
      <c r="D2444" s="6" t="s">
        <v>36</v>
      </c>
      <c r="E2444" s="8">
        <v>124326597273</v>
      </c>
      <c r="F2444" s="8">
        <v>102566766737</v>
      </c>
      <c r="G2444" s="8">
        <v>46636247491</v>
      </c>
      <c r="H2444" s="8">
        <v>2086095360</v>
      </c>
      <c r="I2444" s="8">
        <v>22529463879</v>
      </c>
      <c r="J2444" s="8"/>
      <c r="K2444" s="8">
        <v>46867184007</v>
      </c>
      <c r="L2444" s="8">
        <v>196919023047</v>
      </c>
      <c r="M2444" s="8">
        <v>267121008000</v>
      </c>
      <c r="N2444" s="8">
        <v>187524344000</v>
      </c>
      <c r="O2444" s="8">
        <v>234068156000</v>
      </c>
      <c r="P2444" s="8">
        <v>248908212000</v>
      </c>
      <c r="Q2444" s="18">
        <f>(Table1[[#This Row],[A. TÀI SẢN NGẮN HẠN]]-Table1[[#This Row],[I. Nợ ngắn hạn]])/Table1[[#This Row],[TỔNG CỘNG TÀI SẢN]]</f>
        <v>0.44986769100730811</v>
      </c>
      <c r="R2444" s="18">
        <f>Table1[[#This Row],[- LNST chưa phân phối kỳ này]]/Table1[[#This Row],[TỔNG CỘNG TÀI SẢN]]</f>
        <v>1.6779155914798265E-2</v>
      </c>
      <c r="S2444" s="21">
        <f>Table1[[#This Row],[5. Lợi nhuận gộp về bán hàng và cung cấp dịch vụ]]/Table1[[#This Row],[TỔNG CỘNG TÀI SẢN]]</f>
        <v>0.18121193994820867</v>
      </c>
      <c r="T244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5.0014831265516104</v>
      </c>
      <c r="U2444" s="23">
        <f>Table1[[#This Row],[1. Doanh thu bán hàng và cung cấp dịch vụ ]]/Table1[[#This Row],[TỔNG CỘNG TÀI SẢN]]</f>
        <v>1.5838849237914829</v>
      </c>
      <c r="V2444" s="23">
        <f>1.2*Table1[[#This Row],[X1]] + 1.4*Table1[[#This Row],[X2]] + 3.3*Table1[[#This Row],[x3]] + 0.6*Table1[[#This Row],[x4]] + 1*Table1[[#This Row],[x5]]</f>
        <v>5.7461062490410244</v>
      </c>
      <c r="W2444" s="23">
        <f>IF(Table1[[#This Row],[Zscore]]&lt;1.81,1,0)</f>
        <v>0</v>
      </c>
    </row>
    <row r="2445" spans="1:23" ht="26.25" x14ac:dyDescent="0.45">
      <c r="A2445" s="7">
        <v>2439</v>
      </c>
      <c r="B2445" s="5" t="s">
        <v>4887</v>
      </c>
      <c r="C2445" s="6" t="s">
        <v>4888</v>
      </c>
      <c r="D2445" s="6" t="s">
        <v>21</v>
      </c>
      <c r="E2445" s="8">
        <v>3554541008308</v>
      </c>
      <c r="F2445" s="8">
        <v>1516909909455</v>
      </c>
      <c r="G2445" s="8">
        <v>749001745342</v>
      </c>
      <c r="H2445" s="8">
        <v>-20394185923</v>
      </c>
      <c r="I2445" s="8">
        <v>162635257881</v>
      </c>
      <c r="J2445" s="8"/>
      <c r="K2445" s="8">
        <v>1054237311004</v>
      </c>
      <c r="L2445" s="8">
        <v>755611963188</v>
      </c>
      <c r="M2445" s="8">
        <v>602388310500</v>
      </c>
      <c r="N2445" s="8">
        <v>602388310500</v>
      </c>
      <c r="O2445" s="8">
        <v>549236400750</v>
      </c>
      <c r="P2445" s="8">
        <v>614199846000</v>
      </c>
      <c r="Q2445" s="18">
        <f>(Table1[[#This Row],[A. TÀI SẢN NGẮN HẠN]]-Table1[[#This Row],[I. Nợ ngắn hạn]])/Table1[[#This Row],[TỔNG CỘNG TÀI SẢN]]</f>
        <v>0.21603581512160766</v>
      </c>
      <c r="R2445" s="18">
        <f>Table1[[#This Row],[- LNST chưa phân phối kỳ này]]/Table1[[#This Row],[TỔNG CỘNG TÀI SẢN]]</f>
        <v>-5.737501937755911E-3</v>
      </c>
      <c r="S2445" s="21">
        <f>Table1[[#This Row],[5. Lợi nhuận gộp về bán hàng và cung cấp dịch vụ]]/Table1[[#This Row],[TỔNG CỘNG TÀI SẢN]]</f>
        <v>4.575422185336276E-2</v>
      </c>
      <c r="T244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0.56159387526671745</v>
      </c>
      <c r="U2445" s="23">
        <f>Table1[[#This Row],[1. Doanh thu bán hàng và cung cấp dịch vụ ]]/Table1[[#This Row],[TỔNG CỘNG TÀI SẢN]]</f>
        <v>0.21257652153172921</v>
      </c>
      <c r="V2445" s="23">
        <f>1.2*Table1[[#This Row],[X1]] + 1.4*Table1[[#This Row],[X2]] + 3.3*Table1[[#This Row],[x3]] + 0.6*Table1[[#This Row],[x4]] + 1*Table1[[#This Row],[x5]]</f>
        <v>0.95173225424092767</v>
      </c>
      <c r="W2445" s="23">
        <f>IF(Table1[[#This Row],[Zscore]]&lt;1.81,1,0)</f>
        <v>1</v>
      </c>
    </row>
    <row r="2446" spans="1:23" ht="26.25" hidden="1" x14ac:dyDescent="0.45">
      <c r="A2446" s="7">
        <v>2440</v>
      </c>
      <c r="B2446" s="5" t="s">
        <v>4889</v>
      </c>
      <c r="C2446" s="6" t="s">
        <v>4890</v>
      </c>
      <c r="D2446" s="6" t="s">
        <v>18</v>
      </c>
      <c r="E2446" s="8">
        <v>15189628620</v>
      </c>
      <c r="F2446" s="8">
        <v>6968123036</v>
      </c>
      <c r="G2446" s="8">
        <v>9566129278</v>
      </c>
      <c r="H2446" s="8">
        <v>2272079011</v>
      </c>
      <c r="I2446" s="8">
        <v>5070418173</v>
      </c>
      <c r="J2446" s="8"/>
      <c r="K2446" s="8">
        <v>9566129278</v>
      </c>
      <c r="L2446" s="8">
        <v>36096643067</v>
      </c>
      <c r="M2446" s="8"/>
      <c r="N2446" s="8"/>
      <c r="O2446" s="8"/>
      <c r="P2446" s="8"/>
      <c r="Q2446" s="18">
        <f>(Table1[[#This Row],[A. TÀI SẢN NGẮN HẠN]]-Table1[[#This Row],[I. Nợ ngắn hạn]])/Table1[[#This Row],[TỔNG CỘNG TÀI SẢN]]</f>
        <v>-0.17103816735711608</v>
      </c>
      <c r="R2446" s="18">
        <f>Table1[[#This Row],[- LNST chưa phân phối kỳ này]]/Table1[[#This Row],[TỔNG CỘNG TÀI SẢN]]</f>
        <v>0.1495809455149141</v>
      </c>
      <c r="S2446" s="21">
        <f>Table1[[#This Row],[5. Lợi nhuận gộp về bán hàng và cung cấp dịch vụ]]/Table1[[#This Row],[TỔNG CỘNG TÀI SẢN]]</f>
        <v>0.33380790932069543</v>
      </c>
      <c r="T244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446" s="23">
        <f>Table1[[#This Row],[1. Doanh thu bán hàng và cung cấp dịch vụ ]]/Table1[[#This Row],[TỔNG CỘNG TÀI SẢN]]</f>
        <v>2.3764006329603076</v>
      </c>
      <c r="V2446" s="23" t="e">
        <f>1.2*Table1[[#This Row],[X1]] + 1.4*Table1[[#This Row],[X2]] + 3.3*Table1[[#This Row],[x3]] + 0.6*Table1[[#This Row],[x4]] + 1*Table1[[#This Row],[x5]]</f>
        <v>#DIV/0!</v>
      </c>
      <c r="W2446" s="23" t="e">
        <f>IF(Table1[[#This Row],[Zscore]]&lt;1.81,1,0)</f>
        <v>#DIV/0!</v>
      </c>
    </row>
    <row r="2447" spans="1:23" ht="26.25" hidden="1" x14ac:dyDescent="0.45">
      <c r="A2447" s="7">
        <v>2441</v>
      </c>
      <c r="B2447" s="5" t="s">
        <v>4891</v>
      </c>
      <c r="C2447" s="6" t="s">
        <v>4892</v>
      </c>
      <c r="D2447" s="6" t="s">
        <v>18</v>
      </c>
      <c r="E2447" s="8">
        <v>113027399675</v>
      </c>
      <c r="F2447" s="8">
        <v>95292862166</v>
      </c>
      <c r="G2447" s="8">
        <v>69447592793</v>
      </c>
      <c r="H2447" s="8">
        <v>6865588032</v>
      </c>
      <c r="I2447" s="8">
        <v>27842502265</v>
      </c>
      <c r="J2447" s="8"/>
      <c r="K2447" s="8">
        <v>69790209953</v>
      </c>
      <c r="L2447" s="8">
        <v>211182781529</v>
      </c>
      <c r="M2447" s="8"/>
      <c r="N2447" s="8"/>
      <c r="O2447" s="8"/>
      <c r="P2447" s="8"/>
      <c r="Q2447" s="18">
        <f>(Table1[[#This Row],[A. TÀI SẢN NGẮN HẠN]]-Table1[[#This Row],[I. Nợ ngắn hạn]])/Table1[[#This Row],[TỔNG CỘNG TÀI SẢN]]</f>
        <v>0.22866375274770295</v>
      </c>
      <c r="R2447" s="18">
        <f>Table1[[#This Row],[- LNST chưa phân phối kỳ này]]/Table1[[#This Row],[TỔNG CỘNG TÀI SẢN]]</f>
        <v>6.0742687629206489E-2</v>
      </c>
      <c r="S2447" s="21">
        <f>Table1[[#This Row],[5. Lợi nhuận gộp về bán hàng và cung cấp dịch vụ]]/Table1[[#This Row],[TỔNG CỘNG TÀI SẢN]]</f>
        <v>0.24633409549417734</v>
      </c>
      <c r="T244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447" s="23">
        <f>Table1[[#This Row],[1. Doanh thu bán hàng và cung cấp dịch vụ ]]/Table1[[#This Row],[TỔNG CỘNG TÀI SẢN]]</f>
        <v>1.8684211274101401</v>
      </c>
      <c r="V2447" s="23" t="e">
        <f>1.2*Table1[[#This Row],[X1]] + 1.4*Table1[[#This Row],[X2]] + 3.3*Table1[[#This Row],[x3]] + 0.6*Table1[[#This Row],[x4]] + 1*Table1[[#This Row],[x5]]</f>
        <v>#DIV/0!</v>
      </c>
      <c r="W2447" s="23" t="e">
        <f>IF(Table1[[#This Row],[Zscore]]&lt;1.81,1,0)</f>
        <v>#DIV/0!</v>
      </c>
    </row>
    <row r="2448" spans="1:23" x14ac:dyDescent="0.45">
      <c r="A2448" s="7">
        <v>2442</v>
      </c>
      <c r="B2448" s="5" t="s">
        <v>4893</v>
      </c>
      <c r="C2448" s="6" t="s">
        <v>4894</v>
      </c>
      <c r="D2448" s="6" t="s">
        <v>18</v>
      </c>
      <c r="E2448" s="8">
        <v>912547915317</v>
      </c>
      <c r="F2448" s="8">
        <v>580530961710</v>
      </c>
      <c r="G2448" s="8">
        <v>25493888616</v>
      </c>
      <c r="H2448" s="8">
        <v>100129644047</v>
      </c>
      <c r="I2448" s="8">
        <v>38127088753</v>
      </c>
      <c r="J2448" s="8"/>
      <c r="K2448" s="8">
        <v>32780444176</v>
      </c>
      <c r="L2448" s="8">
        <v>139394858195</v>
      </c>
      <c r="M2448" s="8">
        <v>2707665880000</v>
      </c>
      <c r="N2448" s="8">
        <v>2842301200000</v>
      </c>
      <c r="O2448" s="8">
        <v>2879699900000</v>
      </c>
      <c r="P2448" s="8">
        <v>2677746920000</v>
      </c>
      <c r="Q2448" s="18">
        <f>(Table1[[#This Row],[A. TÀI SẢN NGẮN HẠN]]-Table1[[#This Row],[I. Nợ ngắn hạn]])/Table1[[#This Row],[TỔNG CỘNG TÀI SẢN]]</f>
        <v>0.60822786812371576</v>
      </c>
      <c r="R2448" s="18">
        <f>Table1[[#This Row],[- LNST chưa phân phối kỳ này]]/Table1[[#This Row],[TỔNG CỘNG TÀI SẢN]]</f>
        <v>0.10972535509241403</v>
      </c>
      <c r="S2448" s="21">
        <f>Table1[[#This Row],[5. Lợi nhuận gộp về bán hàng và cung cấp dịch vụ]]/Table1[[#This Row],[TỔNG CỘNG TÀI SẢN]]</f>
        <v>4.178091704889321E-2</v>
      </c>
      <c r="T244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84.710672622095103</v>
      </c>
      <c r="U2448" s="23">
        <f>Table1[[#This Row],[1. Doanh thu bán hàng và cung cấp dịch vụ ]]/Table1[[#This Row],[TỔNG CỘNG TÀI SẢN]]</f>
        <v>0.15275346735801501</v>
      </c>
      <c r="V2448" s="23">
        <f>1.2*Table1[[#This Row],[X1]] + 1.4*Table1[[#This Row],[X2]] + 3.3*Table1[[#This Row],[x3]] + 0.6*Table1[[#This Row],[x4]] + 1*Table1[[#This Row],[x5]]</f>
        <v>52.000523005754268</v>
      </c>
      <c r="W2448" s="23">
        <f>IF(Table1[[#This Row],[Zscore]]&lt;1.81,1,0)</f>
        <v>0</v>
      </c>
    </row>
    <row r="2449" spans="1:23" hidden="1" x14ac:dyDescent="0.45">
      <c r="A2449" s="7">
        <v>2443</v>
      </c>
      <c r="B2449" s="5" t="s">
        <v>4895</v>
      </c>
      <c r="C2449" s="6" t="s">
        <v>4896</v>
      </c>
      <c r="D2449" s="6" t="s">
        <v>13</v>
      </c>
      <c r="E2449" s="6"/>
      <c r="F2449" s="6"/>
      <c r="G2449" s="6"/>
      <c r="H2449" s="6"/>
      <c r="I2449" s="6"/>
      <c r="J2449" s="8"/>
      <c r="K2449" s="6"/>
      <c r="L2449" s="6"/>
      <c r="M2449" s="8"/>
      <c r="N2449" s="8"/>
      <c r="O2449" s="8"/>
      <c r="P2449" s="8"/>
      <c r="Q2449" s="18" t="e">
        <f>(Table1[[#This Row],[A. TÀI SẢN NGẮN HẠN]]-Table1[[#This Row],[I. Nợ ngắn hạn]])/Table1[[#This Row],[TỔNG CỘNG TÀI SẢN]]</f>
        <v>#DIV/0!</v>
      </c>
      <c r="R2449" s="18" t="e">
        <f>Table1[[#This Row],[- LNST chưa phân phối kỳ này]]/Table1[[#This Row],[TỔNG CỘNG TÀI SẢN]]</f>
        <v>#DIV/0!</v>
      </c>
      <c r="S2449" s="21" t="e">
        <f>Table1[[#This Row],[5. Lợi nhuận gộp về bán hàng và cung cấp dịch vụ]]/Table1[[#This Row],[TỔNG CỘNG TÀI SẢN]]</f>
        <v>#DIV/0!</v>
      </c>
      <c r="T244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449" s="23" t="e">
        <f>Table1[[#This Row],[1. Doanh thu bán hàng và cung cấp dịch vụ ]]/Table1[[#This Row],[TỔNG CỘNG TÀI SẢN]]</f>
        <v>#DIV/0!</v>
      </c>
      <c r="V2449" s="23" t="e">
        <f>1.2*Table1[[#This Row],[X1]] + 1.4*Table1[[#This Row],[X2]] + 3.3*Table1[[#This Row],[x3]] + 0.6*Table1[[#This Row],[x4]] + 1*Table1[[#This Row],[x5]]</f>
        <v>#DIV/0!</v>
      </c>
      <c r="W2449" s="23" t="e">
        <f>IF(Table1[[#This Row],[Zscore]]&lt;1.81,1,0)</f>
        <v>#DIV/0!</v>
      </c>
    </row>
    <row r="2450" spans="1:23" hidden="1" x14ac:dyDescent="0.45">
      <c r="A2450" s="7">
        <v>2444</v>
      </c>
      <c r="B2450" s="5" t="s">
        <v>4897</v>
      </c>
      <c r="C2450" s="6" t="s">
        <v>4898</v>
      </c>
      <c r="D2450" s="6" t="s">
        <v>13</v>
      </c>
      <c r="E2450" s="6"/>
      <c r="F2450" s="6"/>
      <c r="G2450" s="6"/>
      <c r="H2450" s="6"/>
      <c r="I2450" s="6"/>
      <c r="J2450" s="8"/>
      <c r="K2450" s="6"/>
      <c r="L2450" s="6"/>
      <c r="M2450" s="8"/>
      <c r="N2450" s="8"/>
      <c r="O2450" s="8"/>
      <c r="P2450" s="8"/>
      <c r="Q2450" s="18" t="e">
        <f>(Table1[[#This Row],[A. TÀI SẢN NGẮN HẠN]]-Table1[[#This Row],[I. Nợ ngắn hạn]])/Table1[[#This Row],[TỔNG CỘNG TÀI SẢN]]</f>
        <v>#DIV/0!</v>
      </c>
      <c r="R2450" s="18" t="e">
        <f>Table1[[#This Row],[- LNST chưa phân phối kỳ này]]/Table1[[#This Row],[TỔNG CỘNG TÀI SẢN]]</f>
        <v>#DIV/0!</v>
      </c>
      <c r="S2450" s="21" t="e">
        <f>Table1[[#This Row],[5. Lợi nhuận gộp về bán hàng và cung cấp dịch vụ]]/Table1[[#This Row],[TỔNG CỘNG TÀI SẢN]]</f>
        <v>#DIV/0!</v>
      </c>
      <c r="T245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450" s="23" t="e">
        <f>Table1[[#This Row],[1. Doanh thu bán hàng và cung cấp dịch vụ ]]/Table1[[#This Row],[TỔNG CỘNG TÀI SẢN]]</f>
        <v>#DIV/0!</v>
      </c>
      <c r="V2450" s="23" t="e">
        <f>1.2*Table1[[#This Row],[X1]] + 1.4*Table1[[#This Row],[X2]] + 3.3*Table1[[#This Row],[x3]] + 0.6*Table1[[#This Row],[x4]] + 1*Table1[[#This Row],[x5]]</f>
        <v>#DIV/0!</v>
      </c>
      <c r="W2450" s="23" t="e">
        <f>IF(Table1[[#This Row],[Zscore]]&lt;1.81,1,0)</f>
        <v>#DIV/0!</v>
      </c>
    </row>
    <row r="2451" spans="1:23" hidden="1" x14ac:dyDescent="0.45">
      <c r="A2451" s="7">
        <v>2445</v>
      </c>
      <c r="B2451" s="5" t="s">
        <v>4899</v>
      </c>
      <c r="C2451" s="6" t="s">
        <v>4900</v>
      </c>
      <c r="D2451" s="6" t="s">
        <v>18</v>
      </c>
      <c r="E2451" s="6"/>
      <c r="F2451" s="6"/>
      <c r="G2451" s="6"/>
      <c r="H2451" s="6"/>
      <c r="I2451" s="6"/>
      <c r="J2451" s="8"/>
      <c r="K2451" s="6"/>
      <c r="L2451" s="6"/>
      <c r="M2451" s="8"/>
      <c r="N2451" s="8"/>
      <c r="O2451" s="8"/>
      <c r="P2451" s="8"/>
      <c r="Q2451" s="18" t="e">
        <f>(Table1[[#This Row],[A. TÀI SẢN NGẮN HẠN]]-Table1[[#This Row],[I. Nợ ngắn hạn]])/Table1[[#This Row],[TỔNG CỘNG TÀI SẢN]]</f>
        <v>#DIV/0!</v>
      </c>
      <c r="R2451" s="18" t="e">
        <f>Table1[[#This Row],[- LNST chưa phân phối kỳ này]]/Table1[[#This Row],[TỔNG CỘNG TÀI SẢN]]</f>
        <v>#DIV/0!</v>
      </c>
      <c r="S2451" s="21" t="e">
        <f>Table1[[#This Row],[5. Lợi nhuận gộp về bán hàng và cung cấp dịch vụ]]/Table1[[#This Row],[TỔNG CỘNG TÀI SẢN]]</f>
        <v>#DIV/0!</v>
      </c>
      <c r="T245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451" s="23" t="e">
        <f>Table1[[#This Row],[1. Doanh thu bán hàng và cung cấp dịch vụ ]]/Table1[[#This Row],[TỔNG CỘNG TÀI SẢN]]</f>
        <v>#DIV/0!</v>
      </c>
      <c r="V2451" s="23" t="e">
        <f>1.2*Table1[[#This Row],[X1]] + 1.4*Table1[[#This Row],[X2]] + 3.3*Table1[[#This Row],[x3]] + 0.6*Table1[[#This Row],[x4]] + 1*Table1[[#This Row],[x5]]</f>
        <v>#DIV/0!</v>
      </c>
      <c r="W2451" s="23" t="e">
        <f>IF(Table1[[#This Row],[Zscore]]&lt;1.81,1,0)</f>
        <v>#DIV/0!</v>
      </c>
    </row>
    <row r="2452" spans="1:23" x14ac:dyDescent="0.45">
      <c r="A2452" s="7">
        <v>2446</v>
      </c>
      <c r="B2452" s="5" t="s">
        <v>4901</v>
      </c>
      <c r="C2452" s="6" t="s">
        <v>4902</v>
      </c>
      <c r="D2452" s="6" t="s">
        <v>18</v>
      </c>
      <c r="E2452" s="8">
        <v>487961107323</v>
      </c>
      <c r="F2452" s="8">
        <v>365191046901</v>
      </c>
      <c r="G2452" s="8">
        <v>201147973341</v>
      </c>
      <c r="H2452" s="8">
        <v>17655821410</v>
      </c>
      <c r="I2452" s="8">
        <v>48767062625</v>
      </c>
      <c r="J2452" s="8"/>
      <c r="K2452" s="8">
        <v>237350516550</v>
      </c>
      <c r="L2452" s="8">
        <v>343084144971</v>
      </c>
      <c r="M2452" s="8">
        <v>137656860000</v>
      </c>
      <c r="N2452" s="8">
        <v>139115312900</v>
      </c>
      <c r="O2452" s="8">
        <v>125329380000</v>
      </c>
      <c r="P2452" s="8">
        <v>143820600000</v>
      </c>
      <c r="Q2452" s="18">
        <f>(Table1[[#This Row],[A. TÀI SẢN NGẮN HẠN]]-Table1[[#This Row],[I. Nợ ngắn hạn]])/Table1[[#This Row],[TỔNG CỘNG TÀI SẢN]]</f>
        <v>0.3361806322228334</v>
      </c>
      <c r="R2452" s="18">
        <f>Table1[[#This Row],[- LNST chưa phân phối kỳ này]]/Table1[[#This Row],[TỔNG CỘNG TÀI SẢN]]</f>
        <v>3.6182845610096832E-2</v>
      </c>
      <c r="S2452" s="21">
        <f>Table1[[#This Row],[5. Lợi nhuận gộp về bán hàng và cung cấp dịch vụ]]/Table1[[#This Row],[TỔNG CỘNG TÀI SẢN]]</f>
        <v>9.9940470445566115E-2</v>
      </c>
      <c r="T245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0.57501681567332574</v>
      </c>
      <c r="U2452" s="23">
        <f>Table1[[#This Row],[1. Doanh thu bán hàng và cung cấp dịch vụ ]]/Table1[[#This Row],[TỔNG CỘNG TÀI SẢN]]</f>
        <v>0.70309731620454652</v>
      </c>
      <c r="V2452" s="23">
        <f>1.2*Table1[[#This Row],[X1]] + 1.4*Table1[[#This Row],[X2]] + 3.3*Table1[[#This Row],[x3]] + 0.6*Table1[[#This Row],[x4]] + 1*Table1[[#This Row],[x5]]</f>
        <v>1.8319837006004458</v>
      </c>
      <c r="W2452" s="23">
        <f>IF(Table1[[#This Row],[Zscore]]&lt;1.81,1,0)</f>
        <v>0</v>
      </c>
    </row>
    <row r="2453" spans="1:23" ht="26.25" x14ac:dyDescent="0.45">
      <c r="A2453" s="7">
        <v>2447</v>
      </c>
      <c r="B2453" s="5" t="s">
        <v>4903</v>
      </c>
      <c r="C2453" s="6" t="s">
        <v>4904</v>
      </c>
      <c r="D2453" s="6" t="s">
        <v>21</v>
      </c>
      <c r="E2453" s="8">
        <v>4149551242022</v>
      </c>
      <c r="F2453" s="8">
        <v>329752094315</v>
      </c>
      <c r="G2453" s="8">
        <v>390914292859</v>
      </c>
      <c r="H2453" s="8">
        <v>200620709707</v>
      </c>
      <c r="I2453" s="8">
        <v>408210115898</v>
      </c>
      <c r="J2453" s="8"/>
      <c r="K2453" s="8">
        <v>1784174249667</v>
      </c>
      <c r="L2453" s="8">
        <v>728111408415</v>
      </c>
      <c r="M2453" s="8">
        <v>1998176717750</v>
      </c>
      <c r="N2453" s="8">
        <v>1802610485800</v>
      </c>
      <c r="O2453" s="8">
        <v>1802610485800</v>
      </c>
      <c r="P2453" s="8">
        <v>2176737190400</v>
      </c>
      <c r="Q2453" s="18">
        <f>(Table1[[#This Row],[A. TÀI SẢN NGẮN HẠN]]-Table1[[#This Row],[I. Nợ ngắn hạn]])/Table1[[#This Row],[TỔNG CỘNG TÀI SẢN]]</f>
        <v>-1.4739473012073659E-2</v>
      </c>
      <c r="R2453" s="18">
        <f>Table1[[#This Row],[- LNST chưa phân phối kỳ này]]/Table1[[#This Row],[TỔNG CỘNG TÀI SẢN]]</f>
        <v>4.8347567726200968E-2</v>
      </c>
      <c r="S2453" s="21">
        <f>Table1[[#This Row],[5. Lợi nhuận gộp về bán hàng và cung cấp dịch vụ]]/Table1[[#This Row],[TỔNG CỘNG TÀI SẢN]]</f>
        <v>9.8374521023889494E-2</v>
      </c>
      <c r="T245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1.0901590583433893</v>
      </c>
      <c r="U2453" s="23">
        <f>Table1[[#This Row],[1. Doanh thu bán hàng và cung cấp dịch vụ ]]/Table1[[#This Row],[TỔNG CỘNG TÀI SẢN]]</f>
        <v>0.17546750623091587</v>
      </c>
      <c r="V2453" s="23">
        <f>1.2*Table1[[#This Row],[X1]] + 1.4*Table1[[#This Row],[X2]] + 3.3*Table1[[#This Row],[x3]] + 0.6*Table1[[#This Row],[x4]] + 1*Table1[[#This Row],[x5]]</f>
        <v>1.2041980878179779</v>
      </c>
      <c r="W2453" s="23">
        <f>IF(Table1[[#This Row],[Zscore]]&lt;1.81,1,0)</f>
        <v>1</v>
      </c>
    </row>
    <row r="2454" spans="1:23" x14ac:dyDescent="0.45">
      <c r="A2454" s="7">
        <v>2448</v>
      </c>
      <c r="B2454" s="5" t="s">
        <v>4905</v>
      </c>
      <c r="C2454" s="6" t="s">
        <v>4906</v>
      </c>
      <c r="D2454" s="6" t="s">
        <v>18</v>
      </c>
      <c r="E2454" s="8">
        <v>2053519289867</v>
      </c>
      <c r="F2454" s="8">
        <v>1221380170584</v>
      </c>
      <c r="G2454" s="8">
        <v>970956938775</v>
      </c>
      <c r="H2454" s="8">
        <v>39623265</v>
      </c>
      <c r="I2454" s="8">
        <v>24380502117</v>
      </c>
      <c r="J2454" s="8"/>
      <c r="K2454" s="8">
        <v>1002573416943</v>
      </c>
      <c r="L2454" s="8">
        <v>194909228016</v>
      </c>
      <c r="M2454" s="8">
        <v>182717249400</v>
      </c>
      <c r="N2454" s="8">
        <v>182717249400</v>
      </c>
      <c r="O2454" s="8">
        <v>182717249400</v>
      </c>
      <c r="P2454" s="8">
        <v>182717249400</v>
      </c>
      <c r="Q2454" s="18">
        <f>(Table1[[#This Row],[A. TÀI SẢN NGẮN HẠN]]-Table1[[#This Row],[I. Nợ ngắn hạn]])/Table1[[#This Row],[TỔNG CỘNG TÀI SẢN]]</f>
        <v>0.12194832210474105</v>
      </c>
      <c r="R2454" s="18">
        <f>Table1[[#This Row],[- LNST chưa phân phối kỳ này]]/Table1[[#This Row],[TỔNG CỘNG TÀI SẢN]]</f>
        <v>1.9295297198092681E-5</v>
      </c>
      <c r="S2454" s="21">
        <f>Table1[[#This Row],[5. Lợi nhuận gộp về bán hàng và cung cấp dịch vụ]]/Table1[[#This Row],[TỔNG CỘNG TÀI SẢN]]</f>
        <v>1.1872545944566729E-2</v>
      </c>
      <c r="T245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0.18224824866904302</v>
      </c>
      <c r="U2454" s="23">
        <f>Table1[[#This Row],[1. Doanh thu bán hàng và cung cấp dịch vụ ]]/Table1[[#This Row],[TỔNG CỘNG TÀI SẢN]]</f>
        <v>9.4914729546379695E-2</v>
      </c>
      <c r="V2454" s="23">
        <f>1.2*Table1[[#This Row],[X1]] + 1.4*Table1[[#This Row],[X2]] + 3.3*Table1[[#This Row],[x3]] + 0.6*Table1[[#This Row],[x4]] + 1*Table1[[#This Row],[x5]]</f>
        <v>0.38980808030664227</v>
      </c>
      <c r="W2454" s="23">
        <f>IF(Table1[[#This Row],[Zscore]]&lt;1.81,1,0)</f>
        <v>1</v>
      </c>
    </row>
    <row r="2455" spans="1:23" x14ac:dyDescent="0.45">
      <c r="A2455" s="7">
        <v>2449</v>
      </c>
      <c r="B2455" s="5" t="s">
        <v>4907</v>
      </c>
      <c r="C2455" s="6" t="s">
        <v>4908</v>
      </c>
      <c r="D2455" s="6" t="s">
        <v>36</v>
      </c>
      <c r="E2455" s="8">
        <v>137814797861</v>
      </c>
      <c r="F2455" s="8">
        <v>133674830472</v>
      </c>
      <c r="G2455" s="8">
        <v>20477830759</v>
      </c>
      <c r="H2455" s="8">
        <v>2774156762</v>
      </c>
      <c r="I2455" s="8">
        <v>-3370023060</v>
      </c>
      <c r="J2455" s="8"/>
      <c r="K2455" s="8">
        <v>21582830759</v>
      </c>
      <c r="L2455" s="8">
        <v>129953274551</v>
      </c>
      <c r="M2455" s="8">
        <v>54652857600</v>
      </c>
      <c r="N2455" s="8">
        <v>53464752000</v>
      </c>
      <c r="O2455" s="8">
        <v>38019379200</v>
      </c>
      <c r="P2455" s="8">
        <v>45148012800</v>
      </c>
      <c r="Q2455" s="18">
        <f>(Table1[[#This Row],[A. TÀI SẢN NGẮN HẠN]]-Table1[[#This Row],[I. Nợ ngắn hạn]])/Table1[[#This Row],[TỔNG CỘNG TÀI SẢN]]</f>
        <v>0.82137042951781192</v>
      </c>
      <c r="R2455" s="18">
        <f>Table1[[#This Row],[- LNST chưa phân phối kỳ này]]/Table1[[#This Row],[TỔNG CỘNG TÀI SẢN]]</f>
        <v>2.0129600050627468E-2</v>
      </c>
      <c r="S2455" s="21">
        <f>Table1[[#This Row],[5. Lợi nhuận gộp về bán hàng và cung cấp dịch vụ]]/Table1[[#This Row],[TỔNG CỘNG TÀI SẢN]]</f>
        <v>-2.4453274338500319E-2</v>
      </c>
      <c r="T245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2.2157079826082882</v>
      </c>
      <c r="U2455" s="23">
        <f>Table1[[#This Row],[1. Doanh thu bán hàng và cung cấp dịch vụ ]]/Table1[[#This Row],[TỔNG CỘNG TÀI SẢN]]</f>
        <v>0.94295588404135577</v>
      </c>
      <c r="V2455" s="23">
        <f>1.2*Table1[[#This Row],[X1]] + 1.4*Table1[[#This Row],[X2]] + 3.3*Table1[[#This Row],[x3]] + 0.6*Table1[[#This Row],[x4]] + 1*Table1[[#This Row],[x5]]</f>
        <v>3.20551082378153</v>
      </c>
      <c r="W2455" s="23">
        <f>IF(Table1[[#This Row],[Zscore]]&lt;1.81,1,0)</f>
        <v>0</v>
      </c>
    </row>
    <row r="2456" spans="1:23" ht="26.25" hidden="1" x14ac:dyDescent="0.45">
      <c r="A2456" s="7">
        <v>2450</v>
      </c>
      <c r="B2456" s="5" t="s">
        <v>4909</v>
      </c>
      <c r="C2456" s="6" t="s">
        <v>4910</v>
      </c>
      <c r="D2456" s="6" t="s">
        <v>13</v>
      </c>
      <c r="E2456" s="6"/>
      <c r="F2456" s="6"/>
      <c r="G2456" s="6"/>
      <c r="H2456" s="6"/>
      <c r="I2456" s="6"/>
      <c r="J2456" s="8"/>
      <c r="K2456" s="6"/>
      <c r="L2456" s="6"/>
      <c r="M2456" s="8"/>
      <c r="N2456" s="8"/>
      <c r="O2456" s="8"/>
      <c r="P2456" s="8"/>
      <c r="Q2456" s="18" t="e">
        <f>(Table1[[#This Row],[A. TÀI SẢN NGẮN HẠN]]-Table1[[#This Row],[I. Nợ ngắn hạn]])/Table1[[#This Row],[TỔNG CỘNG TÀI SẢN]]</f>
        <v>#DIV/0!</v>
      </c>
      <c r="R2456" s="18" t="e">
        <f>Table1[[#This Row],[- LNST chưa phân phối kỳ này]]/Table1[[#This Row],[TỔNG CỘNG TÀI SẢN]]</f>
        <v>#DIV/0!</v>
      </c>
      <c r="S2456" s="21" t="e">
        <f>Table1[[#This Row],[5. Lợi nhuận gộp về bán hàng và cung cấp dịch vụ]]/Table1[[#This Row],[TỔNG CỘNG TÀI SẢN]]</f>
        <v>#DIV/0!</v>
      </c>
      <c r="T245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456" s="23" t="e">
        <f>Table1[[#This Row],[1. Doanh thu bán hàng và cung cấp dịch vụ ]]/Table1[[#This Row],[TỔNG CỘNG TÀI SẢN]]</f>
        <v>#DIV/0!</v>
      </c>
      <c r="V2456" s="23" t="e">
        <f>1.2*Table1[[#This Row],[X1]] + 1.4*Table1[[#This Row],[X2]] + 3.3*Table1[[#This Row],[x3]] + 0.6*Table1[[#This Row],[x4]] + 1*Table1[[#This Row],[x5]]</f>
        <v>#DIV/0!</v>
      </c>
      <c r="W2456" s="23" t="e">
        <f>IF(Table1[[#This Row],[Zscore]]&lt;1.81,1,0)</f>
        <v>#DIV/0!</v>
      </c>
    </row>
    <row r="2457" spans="1:23" x14ac:dyDescent="0.45">
      <c r="A2457" s="7">
        <v>2451</v>
      </c>
      <c r="B2457" s="5" t="s">
        <v>4911</v>
      </c>
      <c r="C2457" s="6" t="s">
        <v>4912</v>
      </c>
      <c r="D2457" s="6" t="s">
        <v>18</v>
      </c>
      <c r="E2457" s="8">
        <v>442777528415</v>
      </c>
      <c r="F2457" s="8">
        <v>277970712697</v>
      </c>
      <c r="G2457" s="8">
        <v>83080341129</v>
      </c>
      <c r="H2457" s="8">
        <v>72418394106</v>
      </c>
      <c r="I2457" s="8">
        <v>183783027775</v>
      </c>
      <c r="J2457" s="8"/>
      <c r="K2457" s="8">
        <v>83110341129</v>
      </c>
      <c r="L2457" s="8">
        <v>835932450940</v>
      </c>
      <c r="M2457" s="8">
        <v>1073088000000</v>
      </c>
      <c r="N2457" s="8">
        <v>1365465600000</v>
      </c>
      <c r="O2457" s="8">
        <v>1153958400000</v>
      </c>
      <c r="P2457" s="8">
        <v>1214611200000</v>
      </c>
      <c r="Q2457" s="18">
        <f>(Table1[[#This Row],[A. TÀI SẢN NGẮN HẠN]]-Table1[[#This Row],[I. Nợ ngắn hạn]])/Table1[[#This Row],[TỔNG CỘNG TÀI SẢN]]</f>
        <v>0.44015416108772354</v>
      </c>
      <c r="R2457" s="18">
        <f>Table1[[#This Row],[- LNST chưa phân phối kỳ này]]/Table1[[#This Row],[TỔNG CỘNG TÀI SẢN]]</f>
        <v>0.16355480903747391</v>
      </c>
      <c r="S2457" s="21">
        <f>Table1[[#This Row],[5. Lợi nhuận gộp về bán hàng và cung cấp dịch vụ]]/Table1[[#This Row],[TỔNG CỘNG TÀI SẢN]]</f>
        <v>0.41506855244638013</v>
      </c>
      <c r="T245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14.46006337688654</v>
      </c>
      <c r="U2457" s="23">
        <f>Table1[[#This Row],[1. Doanh thu bán hàng và cung cấp dịch vụ ]]/Table1[[#This Row],[TỔNG CỘNG TÀI SẢN]]</f>
        <v>1.8879288068939883</v>
      </c>
      <c r="V2457" s="23">
        <f>1.2*Table1[[#This Row],[X1]] + 1.4*Table1[[#This Row],[X2]] + 3.3*Table1[[#This Row],[x3]] + 0.6*Table1[[#This Row],[x4]] + 1*Table1[[#This Row],[x5]]</f>
        <v>12.690854782056698</v>
      </c>
      <c r="W2457" s="23">
        <f>IF(Table1[[#This Row],[Zscore]]&lt;1.81,1,0)</f>
        <v>0</v>
      </c>
    </row>
    <row r="2458" spans="1:23" ht="26.25" x14ac:dyDescent="0.45">
      <c r="A2458" s="7">
        <v>2452</v>
      </c>
      <c r="B2458" s="5" t="s">
        <v>4913</v>
      </c>
      <c r="C2458" s="6" t="s">
        <v>4914</v>
      </c>
      <c r="D2458" s="6" t="s">
        <v>21</v>
      </c>
      <c r="E2458" s="8">
        <v>795352134709</v>
      </c>
      <c r="F2458" s="8">
        <v>45270139477</v>
      </c>
      <c r="G2458" s="8">
        <v>190289411900</v>
      </c>
      <c r="H2458" s="8">
        <v>85609092511</v>
      </c>
      <c r="I2458" s="8">
        <v>84320822736</v>
      </c>
      <c r="J2458" s="8"/>
      <c r="K2458" s="8">
        <v>416765769776</v>
      </c>
      <c r="L2458" s="8">
        <v>142933276876</v>
      </c>
      <c r="M2458" s="8">
        <v>1230785280000</v>
      </c>
      <c r="N2458" s="8">
        <v>1113974640000</v>
      </c>
      <c r="O2458" s="8">
        <v>1138191480000</v>
      </c>
      <c r="P2458" s="8">
        <v>1126795320000</v>
      </c>
      <c r="Q2458" s="18">
        <f>(Table1[[#This Row],[A. TÀI SẢN NGẮN HẠN]]-Table1[[#This Row],[I. Nợ ngắn hạn]])/Table1[[#This Row],[TỔNG CỘNG TÀI SẢN]]</f>
        <v>-0.18233341697895741</v>
      </c>
      <c r="R2458" s="18">
        <f>Table1[[#This Row],[- LNST chưa phân phối kỳ này]]/Table1[[#This Row],[TỔNG CỘNG TÀI SẢN]]</f>
        <v>0.10763671683904172</v>
      </c>
      <c r="S2458" s="21">
        <f>Table1[[#This Row],[5. Lợi nhuận gộp về bán hàng và cung cấp dịch vụ]]/Table1[[#This Row],[TỔNG CỘNG TÀI SẢN]]</f>
        <v>0.106016969159014</v>
      </c>
      <c r="T245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2.7651903384949361</v>
      </c>
      <c r="U2458" s="23">
        <f>Table1[[#This Row],[1. Doanh thu bán hàng và cung cấp dịch vụ ]]/Table1[[#This Row],[TỔNG CỘNG TÀI SẢN]]</f>
        <v>0.17971068491353934</v>
      </c>
      <c r="V2458" s="23">
        <f>1.2*Table1[[#This Row],[X1]] + 1.4*Table1[[#This Row],[X2]] + 3.3*Table1[[#This Row],[x3]] + 0.6*Table1[[#This Row],[x4]] + 1*Table1[[#This Row],[x5]]</f>
        <v>2.1205721894351566</v>
      </c>
      <c r="W2458" s="23">
        <f>IF(Table1[[#This Row],[Zscore]]&lt;1.81,1,0)</f>
        <v>0</v>
      </c>
    </row>
    <row r="2459" spans="1:23" ht="26.25" x14ac:dyDescent="0.45">
      <c r="A2459" s="7">
        <v>2453</v>
      </c>
      <c r="B2459" s="5" t="s">
        <v>4915</v>
      </c>
      <c r="C2459" s="6" t="s">
        <v>4916</v>
      </c>
      <c r="D2459" s="6" t="s">
        <v>21</v>
      </c>
      <c r="E2459" s="8">
        <v>2893620590586</v>
      </c>
      <c r="F2459" s="8">
        <v>1618521417885</v>
      </c>
      <c r="G2459" s="8">
        <v>1070606683421</v>
      </c>
      <c r="H2459" s="8">
        <v>15042106419</v>
      </c>
      <c r="I2459" s="8">
        <v>197554869924</v>
      </c>
      <c r="J2459" s="8"/>
      <c r="K2459" s="8">
        <v>2500091053610</v>
      </c>
      <c r="L2459" s="8">
        <v>1225705476043</v>
      </c>
      <c r="M2459" s="8">
        <v>1216015384830</v>
      </c>
      <c r="N2459" s="8">
        <v>1274713133500</v>
      </c>
      <c r="O2459" s="8">
        <v>1081450313940</v>
      </c>
      <c r="P2459" s="8">
        <v>1270601319420</v>
      </c>
      <c r="Q2459" s="18">
        <f>(Table1[[#This Row],[A. TÀI SẢN NGẮN HẠN]]-Table1[[#This Row],[I. Nợ ngắn hạn]])/Table1[[#This Row],[TỔNG CỘNG TÀI SẢN]]</f>
        <v>0.1893526526064149</v>
      </c>
      <c r="R2459" s="18">
        <f>Table1[[#This Row],[- LNST chưa phân phối kỳ này]]/Table1[[#This Row],[TỔNG CỘNG TÀI SẢN]]</f>
        <v>5.1983686002019204E-3</v>
      </c>
      <c r="S2459" s="21">
        <f>Table1[[#This Row],[5. Lợi nhuận gộp về bán hàng và cung cấp dịch vụ]]/Table1[[#This Row],[TỔNG CỘNG TÀI SẢN]]</f>
        <v>6.8272554655823853E-2</v>
      </c>
      <c r="T245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0.48426037770677194</v>
      </c>
      <c r="U2459" s="23">
        <f>Table1[[#This Row],[1. Doanh thu bán hàng và cung cấp dịch vụ ]]/Table1[[#This Row],[TỔNG CỘNG TÀI SẢN]]</f>
        <v>0.4235888699543629</v>
      </c>
      <c r="V2459" s="23">
        <f>1.2*Table1[[#This Row],[X1]] + 1.4*Table1[[#This Row],[X2]] + 3.3*Table1[[#This Row],[x3]] + 0.6*Table1[[#This Row],[x4]] + 1*Table1[[#This Row],[x5]]</f>
        <v>1.1739454261106252</v>
      </c>
      <c r="W2459" s="23">
        <f>IF(Table1[[#This Row],[Zscore]]&lt;1.81,1,0)</f>
        <v>1</v>
      </c>
    </row>
    <row r="2460" spans="1:23" hidden="1" x14ac:dyDescent="0.45">
      <c r="A2460" s="7">
        <v>2454</v>
      </c>
      <c r="B2460" s="5" t="s">
        <v>4917</v>
      </c>
      <c r="C2460" s="6" t="s">
        <v>4918</v>
      </c>
      <c r="D2460" s="6" t="s">
        <v>18</v>
      </c>
      <c r="E2460" s="6"/>
      <c r="F2460" s="6"/>
      <c r="G2460" s="6"/>
      <c r="H2460" s="6"/>
      <c r="I2460" s="6"/>
      <c r="J2460" s="8"/>
      <c r="K2460" s="6"/>
      <c r="L2460" s="6"/>
      <c r="M2460" s="8"/>
      <c r="N2460" s="8"/>
      <c r="O2460" s="8"/>
      <c r="P2460" s="8"/>
      <c r="Q2460" s="18" t="e">
        <f>(Table1[[#This Row],[A. TÀI SẢN NGẮN HẠN]]-Table1[[#This Row],[I. Nợ ngắn hạn]])/Table1[[#This Row],[TỔNG CỘNG TÀI SẢN]]</f>
        <v>#DIV/0!</v>
      </c>
      <c r="R2460" s="18" t="e">
        <f>Table1[[#This Row],[- LNST chưa phân phối kỳ này]]/Table1[[#This Row],[TỔNG CỘNG TÀI SẢN]]</f>
        <v>#DIV/0!</v>
      </c>
      <c r="S2460" s="21" t="e">
        <f>Table1[[#This Row],[5. Lợi nhuận gộp về bán hàng và cung cấp dịch vụ]]/Table1[[#This Row],[TỔNG CỘNG TÀI SẢN]]</f>
        <v>#DIV/0!</v>
      </c>
      <c r="T246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460" s="23" t="e">
        <f>Table1[[#This Row],[1. Doanh thu bán hàng và cung cấp dịch vụ ]]/Table1[[#This Row],[TỔNG CỘNG TÀI SẢN]]</f>
        <v>#DIV/0!</v>
      </c>
      <c r="V2460" s="23" t="e">
        <f>1.2*Table1[[#This Row],[X1]] + 1.4*Table1[[#This Row],[X2]] + 3.3*Table1[[#This Row],[x3]] + 0.6*Table1[[#This Row],[x4]] + 1*Table1[[#This Row],[x5]]</f>
        <v>#DIV/0!</v>
      </c>
      <c r="W2460" s="23" t="e">
        <f>IF(Table1[[#This Row],[Zscore]]&lt;1.81,1,0)</f>
        <v>#DIV/0!</v>
      </c>
    </row>
    <row r="2461" spans="1:23" ht="26.25" x14ac:dyDescent="0.45">
      <c r="A2461" s="7">
        <v>2455</v>
      </c>
      <c r="B2461" s="5" t="s">
        <v>4919</v>
      </c>
      <c r="C2461" s="6" t="s">
        <v>4920</v>
      </c>
      <c r="D2461" s="6" t="s">
        <v>36</v>
      </c>
      <c r="E2461" s="8">
        <v>481660928380</v>
      </c>
      <c r="F2461" s="8">
        <v>428839994368</v>
      </c>
      <c r="G2461" s="8">
        <v>81651072214</v>
      </c>
      <c r="H2461" s="8">
        <v>-9605253318</v>
      </c>
      <c r="I2461" s="8">
        <v>8305749640</v>
      </c>
      <c r="J2461" s="8"/>
      <c r="K2461" s="8">
        <v>81651072214</v>
      </c>
      <c r="L2461" s="8">
        <v>578869503536</v>
      </c>
      <c r="M2461" s="8">
        <v>104649568800</v>
      </c>
      <c r="N2461" s="8">
        <v>85962145800</v>
      </c>
      <c r="O2461" s="8">
        <v>93437115000</v>
      </c>
      <c r="P2461" s="8">
        <v>100912084200</v>
      </c>
      <c r="Q2461" s="18">
        <f>(Table1[[#This Row],[A. TÀI SẢN NGẮN HẠN]]-Table1[[#This Row],[I. Nợ ngắn hạn]])/Table1[[#This Row],[TỔNG CỘNG TÀI SẢN]]</f>
        <v>0.72081603820704743</v>
      </c>
      <c r="R2461" s="18">
        <f>Table1[[#This Row],[- LNST chưa phân phối kỳ này]]/Table1[[#This Row],[TỔNG CỘNG TÀI SẢN]]</f>
        <v>-1.9941939966577615E-2</v>
      </c>
      <c r="S2461" s="21">
        <f>Table1[[#This Row],[5. Lợi nhuận gộp về bán hàng và cung cấp dịch vụ]]/Table1[[#This Row],[TỔNG CỘNG TÀI SẢN]]</f>
        <v>1.7243976313244345E-2</v>
      </c>
      <c r="T246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1.1786768482079837</v>
      </c>
      <c r="U2461" s="23">
        <f>Table1[[#This Row],[1. Doanh thu bán hàng và cung cấp dịch vụ ]]/Table1[[#This Row],[TỔNG CỘNG TÀI SẢN]]</f>
        <v>1.2018195154067148</v>
      </c>
      <c r="V2461" s="23">
        <f>1.2*Table1[[#This Row],[X1]] + 1.4*Table1[[#This Row],[X2]] + 3.3*Table1[[#This Row],[x3]] + 0.6*Table1[[#This Row],[x4]] + 1*Table1[[#This Row],[x5]]</f>
        <v>2.8029912760604594</v>
      </c>
      <c r="W2461" s="23">
        <f>IF(Table1[[#This Row],[Zscore]]&lt;1.81,1,0)</f>
        <v>0</v>
      </c>
    </row>
    <row r="2462" spans="1:23" hidden="1" x14ac:dyDescent="0.45">
      <c r="A2462" s="7">
        <v>2456</v>
      </c>
      <c r="B2462" s="5" t="s">
        <v>4921</v>
      </c>
      <c r="C2462" s="6" t="s">
        <v>4922</v>
      </c>
      <c r="D2462" s="6" t="s">
        <v>13</v>
      </c>
      <c r="E2462" s="6"/>
      <c r="F2462" s="6"/>
      <c r="G2462" s="6"/>
      <c r="H2462" s="6"/>
      <c r="I2462" s="6"/>
      <c r="J2462" s="8"/>
      <c r="K2462" s="6"/>
      <c r="L2462" s="6"/>
      <c r="M2462" s="8"/>
      <c r="N2462" s="8"/>
      <c r="O2462" s="8"/>
      <c r="P2462" s="8"/>
      <c r="Q2462" s="18" t="e">
        <f>(Table1[[#This Row],[A. TÀI SẢN NGẮN HẠN]]-Table1[[#This Row],[I. Nợ ngắn hạn]])/Table1[[#This Row],[TỔNG CỘNG TÀI SẢN]]</f>
        <v>#DIV/0!</v>
      </c>
      <c r="R2462" s="18" t="e">
        <f>Table1[[#This Row],[- LNST chưa phân phối kỳ này]]/Table1[[#This Row],[TỔNG CỘNG TÀI SẢN]]</f>
        <v>#DIV/0!</v>
      </c>
      <c r="S2462" s="21" t="e">
        <f>Table1[[#This Row],[5. Lợi nhuận gộp về bán hàng và cung cấp dịch vụ]]/Table1[[#This Row],[TỔNG CỘNG TÀI SẢN]]</f>
        <v>#DIV/0!</v>
      </c>
      <c r="T246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462" s="23" t="e">
        <f>Table1[[#This Row],[1. Doanh thu bán hàng và cung cấp dịch vụ ]]/Table1[[#This Row],[TỔNG CỘNG TÀI SẢN]]</f>
        <v>#DIV/0!</v>
      </c>
      <c r="V2462" s="23" t="e">
        <f>1.2*Table1[[#This Row],[X1]] + 1.4*Table1[[#This Row],[X2]] + 3.3*Table1[[#This Row],[x3]] + 0.6*Table1[[#This Row],[x4]] + 1*Table1[[#This Row],[x5]]</f>
        <v>#DIV/0!</v>
      </c>
      <c r="W2462" s="23" t="e">
        <f>IF(Table1[[#This Row],[Zscore]]&lt;1.81,1,0)</f>
        <v>#DIV/0!</v>
      </c>
    </row>
    <row r="2463" spans="1:23" x14ac:dyDescent="0.45">
      <c r="A2463" s="7">
        <v>2457</v>
      </c>
      <c r="B2463" s="5" t="s">
        <v>4923</v>
      </c>
      <c r="C2463" s="6" t="s">
        <v>4924</v>
      </c>
      <c r="D2463" s="6" t="s">
        <v>36</v>
      </c>
      <c r="E2463" s="8">
        <v>3524551265754</v>
      </c>
      <c r="F2463" s="8">
        <v>3021929076119</v>
      </c>
      <c r="G2463" s="8">
        <v>2633310194789</v>
      </c>
      <c r="H2463" s="8">
        <v>50248145139</v>
      </c>
      <c r="I2463" s="8">
        <v>194431345319</v>
      </c>
      <c r="J2463" s="8"/>
      <c r="K2463" s="8">
        <v>2852457302378</v>
      </c>
      <c r="L2463" s="8">
        <v>1844917861664</v>
      </c>
      <c r="M2463" s="8">
        <v>339014970000</v>
      </c>
      <c r="N2463" s="8">
        <v>364127190000</v>
      </c>
      <c r="O2463" s="8">
        <v>318088120000</v>
      </c>
      <c r="P2463" s="8">
        <v>364127190000</v>
      </c>
      <c r="Q2463" s="18">
        <f>(Table1[[#This Row],[A. TÀI SẢN NGẮN HẠN]]-Table1[[#This Row],[I. Nợ ngắn hạn]])/Table1[[#This Row],[TỔNG CỘNG TÀI SẢN]]</f>
        <v>0.11026052737719608</v>
      </c>
      <c r="R2463" s="18">
        <f>Table1[[#This Row],[- LNST chưa phân phối kỳ này]]/Table1[[#This Row],[TỔNG CỘNG TÀI SẢN]]</f>
        <v>1.4256607820471159E-2</v>
      </c>
      <c r="S2463" s="21">
        <f>Table1[[#This Row],[5. Lợi nhuận gộp về bán hàng và cung cấp dịch vụ]]/Table1[[#This Row],[TỔNG CỘNG TÀI SẢN]]</f>
        <v>5.5164850972143742E-2</v>
      </c>
      <c r="T246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0.12141789719736322</v>
      </c>
      <c r="U2463" s="23">
        <f>Table1[[#This Row],[1. Doanh thu bán hàng và cung cấp dịch vụ ]]/Table1[[#This Row],[TỔNG CỘNG TÀI SẢN]]</f>
        <v>0.52344758880087405</v>
      </c>
      <c r="V2463" s="23">
        <f>1.2*Table1[[#This Row],[X1]] + 1.4*Table1[[#This Row],[X2]] + 3.3*Table1[[#This Row],[x3]] + 0.6*Table1[[#This Row],[x4]] + 1*Table1[[#This Row],[x5]]</f>
        <v>0.93061421912866127</v>
      </c>
      <c r="W2463" s="23">
        <f>IF(Table1[[#This Row],[Zscore]]&lt;1.81,1,0)</f>
        <v>1</v>
      </c>
    </row>
    <row r="2464" spans="1:23" ht="26.25" x14ac:dyDescent="0.45">
      <c r="A2464" s="7">
        <v>2458</v>
      </c>
      <c r="B2464" s="5" t="s">
        <v>4925</v>
      </c>
      <c r="C2464" s="6" t="s">
        <v>4926</v>
      </c>
      <c r="D2464" s="6" t="s">
        <v>18</v>
      </c>
      <c r="E2464" s="8">
        <v>631815528924</v>
      </c>
      <c r="F2464" s="8">
        <v>476225525076</v>
      </c>
      <c r="G2464" s="8">
        <v>113413397338</v>
      </c>
      <c r="H2464" s="8">
        <v>71926840078</v>
      </c>
      <c r="I2464" s="8">
        <v>126866146148</v>
      </c>
      <c r="J2464" s="8"/>
      <c r="K2464" s="8">
        <v>126867512709</v>
      </c>
      <c r="L2464" s="8">
        <v>418248227743</v>
      </c>
      <c r="M2464" s="8">
        <v>653749500000</v>
      </c>
      <c r="N2464" s="8">
        <v>624367500000</v>
      </c>
      <c r="O2464" s="8">
        <v>675786000000</v>
      </c>
      <c r="P2464" s="8">
        <v>620694750000</v>
      </c>
      <c r="Q2464" s="18">
        <f>(Table1[[#This Row],[A. TÀI SẢN NGẮN HẠN]]-Table1[[#This Row],[I. Nợ ngắn hạn]])/Table1[[#This Row],[TỔNG CỘNG TÀI SẢN]]</f>
        <v>0.5742374334418141</v>
      </c>
      <c r="R2464" s="18">
        <f>Table1[[#This Row],[- LNST chưa phân phối kỳ này]]/Table1[[#This Row],[TỔNG CỘNG TÀI SẢN]]</f>
        <v>0.11384151985072838</v>
      </c>
      <c r="S2464" s="21">
        <f>Table1[[#This Row],[5. Lợi nhuận gộp về bán hàng và cung cấp dịch vụ]]/Table1[[#This Row],[TỔNG CỘNG TÀI SẢN]]</f>
        <v>0.20079618233514565</v>
      </c>
      <c r="T246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5.0733984119035966</v>
      </c>
      <c r="U2464" s="23">
        <f>Table1[[#This Row],[1. Doanh thu bán hàng và cung cấp dịch vụ ]]/Table1[[#This Row],[TỔNG CỘNG TÀI SẢN]]</f>
        <v>0.66197839178674311</v>
      </c>
      <c r="V2464" s="23">
        <f>1.2*Table1[[#This Row],[X1]] + 1.4*Table1[[#This Row],[X2]] + 3.3*Table1[[#This Row],[x3]] + 0.6*Table1[[#This Row],[x4]] + 1*Table1[[#This Row],[x5]]</f>
        <v>5.217107888556078</v>
      </c>
      <c r="W2464" s="23">
        <f>IF(Table1[[#This Row],[Zscore]]&lt;1.81,1,0)</f>
        <v>0</v>
      </c>
    </row>
    <row r="2465" spans="1:23" hidden="1" x14ac:dyDescent="0.45">
      <c r="A2465" s="7">
        <v>2459</v>
      </c>
      <c r="B2465" s="5" t="s">
        <v>4927</v>
      </c>
      <c r="C2465" s="6" t="s">
        <v>4928</v>
      </c>
      <c r="D2465" s="6" t="s">
        <v>13</v>
      </c>
      <c r="E2465" s="6"/>
      <c r="F2465" s="6"/>
      <c r="G2465" s="6"/>
      <c r="H2465" s="6"/>
      <c r="I2465" s="6"/>
      <c r="J2465" s="8"/>
      <c r="K2465" s="6"/>
      <c r="L2465" s="6"/>
      <c r="M2465" s="8"/>
      <c r="N2465" s="8"/>
      <c r="O2465" s="8"/>
      <c r="P2465" s="8"/>
      <c r="Q2465" s="18" t="e">
        <f>(Table1[[#This Row],[A. TÀI SẢN NGẮN HẠN]]-Table1[[#This Row],[I. Nợ ngắn hạn]])/Table1[[#This Row],[TỔNG CỘNG TÀI SẢN]]</f>
        <v>#DIV/0!</v>
      </c>
      <c r="R2465" s="18" t="e">
        <f>Table1[[#This Row],[- LNST chưa phân phối kỳ này]]/Table1[[#This Row],[TỔNG CỘNG TÀI SẢN]]</f>
        <v>#DIV/0!</v>
      </c>
      <c r="S2465" s="21" t="e">
        <f>Table1[[#This Row],[5. Lợi nhuận gộp về bán hàng và cung cấp dịch vụ]]/Table1[[#This Row],[TỔNG CỘNG TÀI SẢN]]</f>
        <v>#DIV/0!</v>
      </c>
      <c r="T246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465" s="23" t="e">
        <f>Table1[[#This Row],[1. Doanh thu bán hàng và cung cấp dịch vụ ]]/Table1[[#This Row],[TỔNG CỘNG TÀI SẢN]]</f>
        <v>#DIV/0!</v>
      </c>
      <c r="V2465" s="23" t="e">
        <f>1.2*Table1[[#This Row],[X1]] + 1.4*Table1[[#This Row],[X2]] + 3.3*Table1[[#This Row],[x3]] + 0.6*Table1[[#This Row],[x4]] + 1*Table1[[#This Row],[x5]]</f>
        <v>#DIV/0!</v>
      </c>
      <c r="W2465" s="23" t="e">
        <f>IF(Table1[[#This Row],[Zscore]]&lt;1.81,1,0)</f>
        <v>#DIV/0!</v>
      </c>
    </row>
    <row r="2466" spans="1:23" ht="26.25" hidden="1" x14ac:dyDescent="0.45">
      <c r="A2466" s="7">
        <v>2460</v>
      </c>
      <c r="B2466" s="5" t="s">
        <v>4929</v>
      </c>
      <c r="C2466" s="6" t="s">
        <v>4930</v>
      </c>
      <c r="D2466" s="6" t="s">
        <v>13</v>
      </c>
      <c r="E2466" s="6"/>
      <c r="F2466" s="6"/>
      <c r="G2466" s="6"/>
      <c r="H2466" s="6"/>
      <c r="I2466" s="6"/>
      <c r="J2466" s="8"/>
      <c r="K2466" s="6"/>
      <c r="L2466" s="6"/>
      <c r="M2466" s="8"/>
      <c r="N2466" s="8"/>
      <c r="O2466" s="8"/>
      <c r="P2466" s="8"/>
      <c r="Q2466" s="18" t="e">
        <f>(Table1[[#This Row],[A. TÀI SẢN NGẮN HẠN]]-Table1[[#This Row],[I. Nợ ngắn hạn]])/Table1[[#This Row],[TỔNG CỘNG TÀI SẢN]]</f>
        <v>#DIV/0!</v>
      </c>
      <c r="R2466" s="18" t="e">
        <f>Table1[[#This Row],[- LNST chưa phân phối kỳ này]]/Table1[[#This Row],[TỔNG CỘNG TÀI SẢN]]</f>
        <v>#DIV/0!</v>
      </c>
      <c r="S2466" s="21" t="e">
        <f>Table1[[#This Row],[5. Lợi nhuận gộp về bán hàng và cung cấp dịch vụ]]/Table1[[#This Row],[TỔNG CỘNG TÀI SẢN]]</f>
        <v>#DIV/0!</v>
      </c>
      <c r="T246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466" s="23" t="e">
        <f>Table1[[#This Row],[1. Doanh thu bán hàng và cung cấp dịch vụ ]]/Table1[[#This Row],[TỔNG CỘNG TÀI SẢN]]</f>
        <v>#DIV/0!</v>
      </c>
      <c r="V2466" s="23" t="e">
        <f>1.2*Table1[[#This Row],[X1]] + 1.4*Table1[[#This Row],[X2]] + 3.3*Table1[[#This Row],[x3]] + 0.6*Table1[[#This Row],[x4]] + 1*Table1[[#This Row],[x5]]</f>
        <v>#DIV/0!</v>
      </c>
      <c r="W2466" s="23" t="e">
        <f>IF(Table1[[#This Row],[Zscore]]&lt;1.81,1,0)</f>
        <v>#DIV/0!</v>
      </c>
    </row>
    <row r="2467" spans="1:23" x14ac:dyDescent="0.45">
      <c r="A2467" s="7">
        <v>2461</v>
      </c>
      <c r="B2467" s="5" t="s">
        <v>4931</v>
      </c>
      <c r="C2467" s="6" t="s">
        <v>4932</v>
      </c>
      <c r="D2467" s="6" t="s">
        <v>18</v>
      </c>
      <c r="E2467" s="8">
        <v>1053377163994</v>
      </c>
      <c r="F2467" s="8">
        <v>437833061045</v>
      </c>
      <c r="G2467" s="8">
        <v>745808168714</v>
      </c>
      <c r="H2467" s="8">
        <v>2302319555</v>
      </c>
      <c r="I2467" s="8">
        <v>37170014869</v>
      </c>
      <c r="J2467" s="8"/>
      <c r="K2467" s="8">
        <v>745808168714</v>
      </c>
      <c r="L2467" s="8">
        <v>5969119032351</v>
      </c>
      <c r="M2467" s="8">
        <v>203200000000</v>
      </c>
      <c r="N2467" s="8">
        <v>228600000000</v>
      </c>
      <c r="O2467" s="8">
        <v>218440000000</v>
      </c>
      <c r="P2467" s="8">
        <v>254000000000</v>
      </c>
      <c r="Q2467" s="18">
        <f>(Table1[[#This Row],[A. TÀI SẢN NGẮN HẠN]]-Table1[[#This Row],[I. Nợ ngắn hạn]])/Table1[[#This Row],[TỔNG CỘNG TÀI SẢN]]</f>
        <v>-0.29236926544076308</v>
      </c>
      <c r="R2467" s="18">
        <f>Table1[[#This Row],[- LNST chưa phân phối kỳ này]]/Table1[[#This Row],[TỔNG CỘNG TÀI SẢN]]</f>
        <v>2.1856554648199246E-3</v>
      </c>
      <c r="S2467" s="21">
        <f>Table1[[#This Row],[5. Lợi nhuận gộp về bán hàng và cung cấp dịch vụ]]/Table1[[#This Row],[TỔNG CỘNG TÀI SẢN]]</f>
        <v>3.5286520478634301E-2</v>
      </c>
      <c r="T246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0.30310743363108528</v>
      </c>
      <c r="U2467" s="23">
        <f>Table1[[#This Row],[1. Doanh thu bán hàng và cung cấp dịch vụ ]]/Table1[[#This Row],[TỔNG CỘNG TÀI SẢN]]</f>
        <v>5.6666493601573844</v>
      </c>
      <c r="V2467" s="23">
        <f>1.2*Table1[[#This Row],[X1]] + 1.4*Table1[[#This Row],[X2]] + 3.3*Table1[[#This Row],[x3]] + 0.6*Table1[[#This Row],[x4]] + 1*Table1[[#This Row],[x5]]</f>
        <v>5.6171761370373607</v>
      </c>
      <c r="W2467" s="23">
        <f>IF(Table1[[#This Row],[Zscore]]&lt;1.81,1,0)</f>
        <v>0</v>
      </c>
    </row>
    <row r="2468" spans="1:23" ht="26.25" x14ac:dyDescent="0.45">
      <c r="A2468" s="7">
        <v>2462</v>
      </c>
      <c r="B2468" s="5" t="s">
        <v>4933</v>
      </c>
      <c r="C2468" s="6" t="s">
        <v>4934</v>
      </c>
      <c r="D2468" s="6" t="s">
        <v>36</v>
      </c>
      <c r="E2468" s="8">
        <v>508935948227</v>
      </c>
      <c r="F2468" s="8">
        <v>492195708739</v>
      </c>
      <c r="G2468" s="8">
        <v>30448910880</v>
      </c>
      <c r="H2468" s="8">
        <v>32182385790</v>
      </c>
      <c r="I2468" s="8">
        <v>37550458332</v>
      </c>
      <c r="J2468" s="8"/>
      <c r="K2468" s="8">
        <v>30673910880</v>
      </c>
      <c r="L2468" s="8">
        <v>157351810015</v>
      </c>
      <c r="M2468" s="8">
        <v>139391405000</v>
      </c>
      <c r="N2468" s="8">
        <v>159957350000</v>
      </c>
      <c r="O2468" s="8">
        <v>142133531000</v>
      </c>
      <c r="P2468" s="8">
        <v>157672245000</v>
      </c>
      <c r="Q2468" s="18">
        <f>(Table1[[#This Row],[A. TÀI SẢN NGẮN HẠN]]-Table1[[#This Row],[I. Nợ ngắn hạn]])/Table1[[#This Row],[TỔNG CỘNG TÀI SẢN]]</f>
        <v>0.90727880289770313</v>
      </c>
      <c r="R2468" s="18">
        <f>Table1[[#This Row],[- LNST chưa phân phối kỳ này]]/Table1[[#This Row],[TỔNG CỘNG TÀI SẢN]]</f>
        <v>6.3234648489883707E-2</v>
      </c>
      <c r="S2468" s="21">
        <f>Table1[[#This Row],[5. Lợi nhuận gộp về bán hàng và cung cấp dịch vụ]]/Table1[[#This Row],[TỔNG CỘNG TÀI SẢN]]</f>
        <v>7.3782287265845528E-2</v>
      </c>
      <c r="T246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4.8832583929708546</v>
      </c>
      <c r="U2468" s="23">
        <f>Table1[[#This Row],[1. Doanh thu bán hàng và cung cấp dịch vụ ]]/Table1[[#This Row],[TỔNG CỘNG TÀI SẢN]]</f>
        <v>0.30917802242732634</v>
      </c>
      <c r="V2468" s="23">
        <f>1.2*Table1[[#This Row],[X1]] + 1.4*Table1[[#This Row],[X2]] + 3.3*Table1[[#This Row],[x3]] + 0.6*Table1[[#This Row],[x4]] + 1*Table1[[#This Row],[x5]]</f>
        <v>4.6598776775502095</v>
      </c>
      <c r="W2468" s="23">
        <f>IF(Table1[[#This Row],[Zscore]]&lt;1.81,1,0)</f>
        <v>0</v>
      </c>
    </row>
    <row r="2469" spans="1:23" ht="26.25" hidden="1" x14ac:dyDescent="0.45">
      <c r="A2469" s="7">
        <v>2463</v>
      </c>
      <c r="B2469" s="5" t="s">
        <v>4935</v>
      </c>
      <c r="C2469" s="6" t="s">
        <v>4936</v>
      </c>
      <c r="D2469" s="6" t="s">
        <v>13</v>
      </c>
      <c r="E2469" s="6"/>
      <c r="F2469" s="6"/>
      <c r="G2469" s="6"/>
      <c r="H2469" s="6"/>
      <c r="I2469" s="6"/>
      <c r="J2469" s="8"/>
      <c r="K2469" s="6"/>
      <c r="L2469" s="6"/>
      <c r="M2469" s="8"/>
      <c r="N2469" s="8"/>
      <c r="O2469" s="8"/>
      <c r="P2469" s="8"/>
      <c r="Q2469" s="18" t="e">
        <f>(Table1[[#This Row],[A. TÀI SẢN NGẮN HẠN]]-Table1[[#This Row],[I. Nợ ngắn hạn]])/Table1[[#This Row],[TỔNG CỘNG TÀI SẢN]]</f>
        <v>#DIV/0!</v>
      </c>
      <c r="R2469" s="18" t="e">
        <f>Table1[[#This Row],[- LNST chưa phân phối kỳ này]]/Table1[[#This Row],[TỔNG CỘNG TÀI SẢN]]</f>
        <v>#DIV/0!</v>
      </c>
      <c r="S2469" s="21" t="e">
        <f>Table1[[#This Row],[5. Lợi nhuận gộp về bán hàng và cung cấp dịch vụ]]/Table1[[#This Row],[TỔNG CỘNG TÀI SẢN]]</f>
        <v>#DIV/0!</v>
      </c>
      <c r="T246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469" s="23" t="e">
        <f>Table1[[#This Row],[1. Doanh thu bán hàng và cung cấp dịch vụ ]]/Table1[[#This Row],[TỔNG CỘNG TÀI SẢN]]</f>
        <v>#DIV/0!</v>
      </c>
      <c r="V2469" s="23" t="e">
        <f>1.2*Table1[[#This Row],[X1]] + 1.4*Table1[[#This Row],[X2]] + 3.3*Table1[[#This Row],[x3]] + 0.6*Table1[[#This Row],[x4]] + 1*Table1[[#This Row],[x5]]</f>
        <v>#DIV/0!</v>
      </c>
      <c r="W2469" s="23" t="e">
        <f>IF(Table1[[#This Row],[Zscore]]&lt;1.81,1,0)</f>
        <v>#DIV/0!</v>
      </c>
    </row>
    <row r="2470" spans="1:23" ht="26.25" hidden="1" x14ac:dyDescent="0.45">
      <c r="A2470" s="7">
        <v>2464</v>
      </c>
      <c r="B2470" s="5" t="s">
        <v>4937</v>
      </c>
      <c r="C2470" s="6" t="s">
        <v>4938</v>
      </c>
      <c r="D2470" s="6" t="s">
        <v>18</v>
      </c>
      <c r="E2470" s="6"/>
      <c r="F2470" s="6"/>
      <c r="G2470" s="6"/>
      <c r="H2470" s="6"/>
      <c r="I2470" s="6"/>
      <c r="J2470" s="8"/>
      <c r="K2470" s="6"/>
      <c r="L2470" s="6"/>
      <c r="M2470" s="8"/>
      <c r="N2470" s="8"/>
      <c r="O2470" s="8"/>
      <c r="P2470" s="8"/>
      <c r="Q2470" s="18" t="e">
        <f>(Table1[[#This Row],[A. TÀI SẢN NGẮN HẠN]]-Table1[[#This Row],[I. Nợ ngắn hạn]])/Table1[[#This Row],[TỔNG CỘNG TÀI SẢN]]</f>
        <v>#DIV/0!</v>
      </c>
      <c r="R2470" s="18" t="e">
        <f>Table1[[#This Row],[- LNST chưa phân phối kỳ này]]/Table1[[#This Row],[TỔNG CỘNG TÀI SẢN]]</f>
        <v>#DIV/0!</v>
      </c>
      <c r="S2470" s="21" t="e">
        <f>Table1[[#This Row],[5. Lợi nhuận gộp về bán hàng và cung cấp dịch vụ]]/Table1[[#This Row],[TỔNG CỘNG TÀI SẢN]]</f>
        <v>#DIV/0!</v>
      </c>
      <c r="T247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470" s="23" t="e">
        <f>Table1[[#This Row],[1. Doanh thu bán hàng và cung cấp dịch vụ ]]/Table1[[#This Row],[TỔNG CỘNG TÀI SẢN]]</f>
        <v>#DIV/0!</v>
      </c>
      <c r="V2470" s="23" t="e">
        <f>1.2*Table1[[#This Row],[X1]] + 1.4*Table1[[#This Row],[X2]] + 3.3*Table1[[#This Row],[x3]] + 0.6*Table1[[#This Row],[x4]] + 1*Table1[[#This Row],[x5]]</f>
        <v>#DIV/0!</v>
      </c>
      <c r="W2470" s="23" t="e">
        <f>IF(Table1[[#This Row],[Zscore]]&lt;1.81,1,0)</f>
        <v>#DIV/0!</v>
      </c>
    </row>
    <row r="2471" spans="1:23" ht="26.25" hidden="1" x14ac:dyDescent="0.45">
      <c r="A2471" s="7">
        <v>2465</v>
      </c>
      <c r="B2471" s="5" t="s">
        <v>4939</v>
      </c>
      <c r="C2471" s="6" t="s">
        <v>4940</v>
      </c>
      <c r="D2471" s="6" t="s">
        <v>18</v>
      </c>
      <c r="E2471" s="8">
        <v>146824340060</v>
      </c>
      <c r="F2471" s="8">
        <v>50593295213</v>
      </c>
      <c r="G2471" s="8">
        <v>26362805110</v>
      </c>
      <c r="H2471" s="8">
        <v>8745871957</v>
      </c>
      <c r="I2471" s="8">
        <v>24961697017</v>
      </c>
      <c r="J2471" s="8"/>
      <c r="K2471" s="8">
        <v>56482910360</v>
      </c>
      <c r="L2471" s="8">
        <v>102480901865</v>
      </c>
      <c r="M2471" s="8"/>
      <c r="N2471" s="8"/>
      <c r="O2471" s="8"/>
      <c r="P2471" s="8"/>
      <c r="Q2471" s="18">
        <f>(Table1[[#This Row],[A. TÀI SẢN NGẮN HẠN]]-Table1[[#This Row],[I. Nợ ngắn hạn]])/Table1[[#This Row],[TỔNG CỘNG TÀI SẢN]]</f>
        <v>0.16503047173989116</v>
      </c>
      <c r="R2471" s="18">
        <f>Table1[[#This Row],[- LNST chưa phân phối kỳ này]]/Table1[[#This Row],[TỔNG CỘNG TÀI SẢN]]</f>
        <v>5.9566908003305073E-2</v>
      </c>
      <c r="S2471" s="21">
        <f>Table1[[#This Row],[5. Lợi nhuận gộp về bán hàng và cung cấp dịch vụ]]/Table1[[#This Row],[TỔNG CỘNG TÀI SẢN]]</f>
        <v>0.1700106195389631</v>
      </c>
      <c r="T247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471" s="23">
        <f>Table1[[#This Row],[1. Doanh thu bán hàng và cung cấp dịch vụ ]]/Table1[[#This Row],[TỔNG CỘNG TÀI SẢN]]</f>
        <v>0.697983058007419</v>
      </c>
      <c r="V2471" s="23" t="e">
        <f>1.2*Table1[[#This Row],[X1]] + 1.4*Table1[[#This Row],[X2]] + 3.3*Table1[[#This Row],[x3]] + 0.6*Table1[[#This Row],[x4]] + 1*Table1[[#This Row],[x5]]</f>
        <v>#DIV/0!</v>
      </c>
      <c r="W2471" s="23" t="e">
        <f>IF(Table1[[#This Row],[Zscore]]&lt;1.81,1,0)</f>
        <v>#DIV/0!</v>
      </c>
    </row>
    <row r="2472" spans="1:23" hidden="1" x14ac:dyDescent="0.45">
      <c r="A2472" s="7">
        <v>2466</v>
      </c>
      <c r="B2472" s="5" t="s">
        <v>4941</v>
      </c>
      <c r="C2472" s="6" t="s">
        <v>4942</v>
      </c>
      <c r="D2472" s="6" t="s">
        <v>13</v>
      </c>
      <c r="E2472" s="6"/>
      <c r="F2472" s="6"/>
      <c r="G2472" s="6"/>
      <c r="H2472" s="6"/>
      <c r="I2472" s="6"/>
      <c r="J2472" s="8"/>
      <c r="K2472" s="6"/>
      <c r="L2472" s="6"/>
      <c r="M2472" s="8"/>
      <c r="N2472" s="8"/>
      <c r="O2472" s="8"/>
      <c r="P2472" s="8"/>
      <c r="Q2472" s="18" t="e">
        <f>(Table1[[#This Row],[A. TÀI SẢN NGẮN HẠN]]-Table1[[#This Row],[I. Nợ ngắn hạn]])/Table1[[#This Row],[TỔNG CỘNG TÀI SẢN]]</f>
        <v>#DIV/0!</v>
      </c>
      <c r="R2472" s="18" t="e">
        <f>Table1[[#This Row],[- LNST chưa phân phối kỳ này]]/Table1[[#This Row],[TỔNG CỘNG TÀI SẢN]]</f>
        <v>#DIV/0!</v>
      </c>
      <c r="S2472" s="21" t="e">
        <f>Table1[[#This Row],[5. Lợi nhuận gộp về bán hàng và cung cấp dịch vụ]]/Table1[[#This Row],[TỔNG CỘNG TÀI SẢN]]</f>
        <v>#DIV/0!</v>
      </c>
      <c r="T247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472" s="23" t="e">
        <f>Table1[[#This Row],[1. Doanh thu bán hàng và cung cấp dịch vụ ]]/Table1[[#This Row],[TỔNG CỘNG TÀI SẢN]]</f>
        <v>#DIV/0!</v>
      </c>
      <c r="V2472" s="23" t="e">
        <f>1.2*Table1[[#This Row],[X1]] + 1.4*Table1[[#This Row],[X2]] + 3.3*Table1[[#This Row],[x3]] + 0.6*Table1[[#This Row],[x4]] + 1*Table1[[#This Row],[x5]]</f>
        <v>#DIV/0!</v>
      </c>
      <c r="W2472" s="23" t="e">
        <f>IF(Table1[[#This Row],[Zscore]]&lt;1.81,1,0)</f>
        <v>#DIV/0!</v>
      </c>
    </row>
    <row r="2473" spans="1:23" x14ac:dyDescent="0.45">
      <c r="A2473" s="7">
        <v>2467</v>
      </c>
      <c r="B2473" s="5" t="s">
        <v>4943</v>
      </c>
      <c r="C2473" s="6" t="s">
        <v>4944</v>
      </c>
      <c r="D2473" s="6" t="s">
        <v>18</v>
      </c>
      <c r="E2473" s="8">
        <v>1078924979990</v>
      </c>
      <c r="F2473" s="8">
        <v>537701852036</v>
      </c>
      <c r="G2473" s="8">
        <v>567118697666</v>
      </c>
      <c r="H2473" s="8">
        <v>63845642182</v>
      </c>
      <c r="I2473" s="8">
        <v>245895458801</v>
      </c>
      <c r="J2473" s="8"/>
      <c r="K2473" s="8">
        <v>567602030994</v>
      </c>
      <c r="L2473" s="8">
        <v>708618098604</v>
      </c>
      <c r="M2473" s="8">
        <v>656606447400</v>
      </c>
      <c r="N2473" s="8">
        <v>597885545600</v>
      </c>
      <c r="O2473" s="8">
        <v>680628634500</v>
      </c>
      <c r="P2473" s="8">
        <v>648599051700</v>
      </c>
      <c r="Q2473" s="18">
        <f>(Table1[[#This Row],[A. TÀI SẢN NGẮN HẠN]]-Table1[[#This Row],[I. Nợ ngắn hạn]])/Table1[[#This Row],[TỔNG CỘNG TÀI SẢN]]</f>
        <v>-2.7264959265539158E-2</v>
      </c>
      <c r="R2473" s="18">
        <f>Table1[[#This Row],[- LNST chưa phân phối kỳ này]]/Table1[[#This Row],[TỔNG CỘNG TÀI SẢN]]</f>
        <v>5.9175237728383817E-2</v>
      </c>
      <c r="S2473" s="21">
        <f>Table1[[#This Row],[5. Lợi nhuận gộp về bán hàng và cung cấp dịch vụ]]/Table1[[#This Row],[TỔNG CỘNG TÀI SẢN]]</f>
        <v>0.22790783730234801</v>
      </c>
      <c r="T247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1.1379979008687302</v>
      </c>
      <c r="U2473" s="23">
        <f>Table1[[#This Row],[1. Doanh thu bán hàng và cung cấp dịch vụ ]]/Table1[[#This Row],[TỔNG CỘNG TÀI SẢN]]</f>
        <v>0.65678162221303638</v>
      </c>
      <c r="V2473" s="23">
        <f>1.2*Table1[[#This Row],[X1]] + 1.4*Table1[[#This Row],[X2]] + 3.3*Table1[[#This Row],[x3]] + 0.6*Table1[[#This Row],[x4]] + 1*Table1[[#This Row],[x5]]</f>
        <v>2.1418036075331131</v>
      </c>
      <c r="W2473" s="23">
        <f>IF(Table1[[#This Row],[Zscore]]&lt;1.81,1,0)</f>
        <v>0</v>
      </c>
    </row>
    <row r="2474" spans="1:23" x14ac:dyDescent="0.45">
      <c r="A2474" s="7">
        <v>2468</v>
      </c>
      <c r="B2474" s="5" t="s">
        <v>4945</v>
      </c>
      <c r="C2474" s="6" t="s">
        <v>4946</v>
      </c>
      <c r="D2474" s="6" t="s">
        <v>21</v>
      </c>
      <c r="E2474" s="8">
        <v>2978277222652</v>
      </c>
      <c r="F2474" s="8">
        <v>2104348486337</v>
      </c>
      <c r="G2474" s="8">
        <v>1615042568821</v>
      </c>
      <c r="H2474" s="8">
        <v>94436498625</v>
      </c>
      <c r="I2474" s="8">
        <v>199451108838</v>
      </c>
      <c r="J2474" s="8"/>
      <c r="K2474" s="8">
        <v>1640118019198</v>
      </c>
      <c r="L2474" s="8">
        <v>1306277915280</v>
      </c>
      <c r="M2474" s="8">
        <v>2295889610000</v>
      </c>
      <c r="N2474" s="8">
        <v>2326276384250</v>
      </c>
      <c r="O2474" s="8">
        <v>2528854879250</v>
      </c>
      <c r="P2474" s="8">
        <v>2329652692500</v>
      </c>
      <c r="Q2474" s="18">
        <f>(Table1[[#This Row],[A. TÀI SẢN NGẮN HẠN]]-Table1[[#This Row],[I. Nợ ngắn hạn]])/Table1[[#This Row],[TỔNG CỘNG TÀI SẢN]]</f>
        <v>0.16429159575692509</v>
      </c>
      <c r="R2474" s="18">
        <f>Table1[[#This Row],[- LNST chưa phân phối kỳ này]]/Table1[[#This Row],[TỔNG CỘNG TÀI SẢN]]</f>
        <v>3.1708431272529168E-2</v>
      </c>
      <c r="S2474" s="21">
        <f>Table1[[#This Row],[5. Lợi nhuận gộp về bán hàng và cung cấp dịch vụ]]/Table1[[#This Row],[TỔNG CỘNG TÀI SẢN]]</f>
        <v>6.6968617736799949E-2</v>
      </c>
      <c r="T247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1.4451206338547433</v>
      </c>
      <c r="U2474" s="23">
        <f>Table1[[#This Row],[1. Doanh thu bán hàng và cung cấp dịch vụ ]]/Table1[[#This Row],[TỔNG CỘNG TÀI SẢN]]</f>
        <v>0.43860185524194684</v>
      </c>
      <c r="V2474" s="23">
        <f>1.2*Table1[[#This Row],[X1]] + 1.4*Table1[[#This Row],[X2]] + 3.3*Table1[[#This Row],[x3]] + 0.6*Table1[[#This Row],[x4]] + 1*Table1[[#This Row],[x5]]</f>
        <v>1.7682123927760836</v>
      </c>
      <c r="W2474" s="23">
        <f>IF(Table1[[#This Row],[Zscore]]&lt;1.81,1,0)</f>
        <v>1</v>
      </c>
    </row>
    <row r="2475" spans="1:23" x14ac:dyDescent="0.45">
      <c r="A2475" s="7">
        <v>2469</v>
      </c>
      <c r="B2475" s="5" t="s">
        <v>4947</v>
      </c>
      <c r="C2475" s="6" t="s">
        <v>4948</v>
      </c>
      <c r="D2475" s="6" t="s">
        <v>36</v>
      </c>
      <c r="E2475" s="8">
        <v>289747246313</v>
      </c>
      <c r="F2475" s="8">
        <v>175993011357</v>
      </c>
      <c r="G2475" s="8">
        <v>124311760574</v>
      </c>
      <c r="H2475" s="8">
        <v>16949408701</v>
      </c>
      <c r="I2475" s="8">
        <v>85963849512</v>
      </c>
      <c r="J2475" s="8"/>
      <c r="K2475" s="8">
        <v>124311760574</v>
      </c>
      <c r="L2475" s="8">
        <v>315440416886</v>
      </c>
      <c r="M2475" s="8">
        <v>118014383600</v>
      </c>
      <c r="N2475" s="8">
        <v>176069846500</v>
      </c>
      <c r="O2475" s="8">
        <v>114207468000</v>
      </c>
      <c r="P2475" s="8">
        <v>169407744200</v>
      </c>
      <c r="Q2475" s="18">
        <f>(Table1[[#This Row],[A. TÀI SẢN NGẮN HẠN]]-Table1[[#This Row],[I. Nợ ngắn hạn]])/Table1[[#This Row],[TỔNG CỘNG TÀI SẢN]]</f>
        <v>0.17836666764097986</v>
      </c>
      <c r="R2475" s="18">
        <f>Table1[[#This Row],[- LNST chưa phân phối kỳ này]]/Table1[[#This Row],[TỔNG CỘNG TÀI SẢN]]</f>
        <v>5.8497220997539248E-2</v>
      </c>
      <c r="S2475" s="21">
        <f>Table1[[#This Row],[5. Lợi nhuận gộp về bán hàng và cung cấp dịch vụ]]/Table1[[#This Row],[TỔNG CỘNG TÀI SẢN]]</f>
        <v>0.29668564794275004</v>
      </c>
      <c r="T247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1.1617956330771064</v>
      </c>
      <c r="U2475" s="23">
        <f>Table1[[#This Row],[1. Doanh thu bán hàng và cung cấp dịch vụ ]]/Table1[[#This Row],[TỔNG CỘNG TÀI SẢN]]</f>
        <v>1.0886744253826139</v>
      </c>
      <c r="V2475" s="23">
        <f>1.2*Table1[[#This Row],[X1]] + 1.4*Table1[[#This Row],[X2]] + 3.3*Table1[[#This Row],[x3]] + 0.6*Table1[[#This Row],[x4]] + 1*Table1[[#This Row],[x5]]</f>
        <v>3.0607505540056836</v>
      </c>
      <c r="W2475" s="23">
        <f>IF(Table1[[#This Row],[Zscore]]&lt;1.81,1,0)</f>
        <v>0</v>
      </c>
    </row>
    <row r="2476" spans="1:23" x14ac:dyDescent="0.45">
      <c r="A2476" s="7">
        <v>2470</v>
      </c>
      <c r="B2476" s="5" t="s">
        <v>4949</v>
      </c>
      <c r="C2476" s="6" t="s">
        <v>4950</v>
      </c>
      <c r="D2476" s="6" t="s">
        <v>36</v>
      </c>
      <c r="E2476" s="8">
        <v>418123546410</v>
      </c>
      <c r="F2476" s="8">
        <v>261644500213</v>
      </c>
      <c r="G2476" s="8">
        <v>142707529449</v>
      </c>
      <c r="H2476" s="8">
        <v>36955232751</v>
      </c>
      <c r="I2476" s="8">
        <v>66231602353</v>
      </c>
      <c r="J2476" s="8"/>
      <c r="K2476" s="8">
        <v>142707529449</v>
      </c>
      <c r="L2476" s="8">
        <v>278973306275</v>
      </c>
      <c r="M2476" s="8">
        <v>296722395000</v>
      </c>
      <c r="N2476" s="8">
        <v>296722395000</v>
      </c>
      <c r="O2476" s="8">
        <v>296722395000</v>
      </c>
      <c r="P2476" s="8">
        <v>310569440100</v>
      </c>
      <c r="Q2476" s="18">
        <f>(Table1[[#This Row],[A. TÀI SẢN NGẮN HẠN]]-Table1[[#This Row],[I. Nợ ngắn hạn]])/Table1[[#This Row],[TỔNG CỘNG TÀI SẢN]]</f>
        <v>0.28445413272031755</v>
      </c>
      <c r="R2476" s="18">
        <f>Table1[[#This Row],[- LNST chưa phân phối kỳ này]]/Table1[[#This Row],[TỔNG CỘNG TÀI SẢN]]</f>
        <v>8.8383524602469427E-2</v>
      </c>
      <c r="S2476" s="21">
        <f>Table1[[#This Row],[5. Lợi nhuận gộp về bán hàng và cung cấp dịch vụ]]/Table1[[#This Row],[TỔNG CỘNG TÀI SẢN]]</f>
        <v>0.1584019912814362</v>
      </c>
      <c r="T247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2.1034920682463225</v>
      </c>
      <c r="U2476" s="23">
        <f>Table1[[#This Row],[1. Doanh thu bán hàng và cung cấp dịch vụ ]]/Table1[[#This Row],[TỔNG CỘNG TÀI SẢN]]</f>
        <v>0.66720305199326602</v>
      </c>
      <c r="V2476" s="23">
        <f>1.2*Table1[[#This Row],[X1]] + 1.4*Table1[[#This Row],[X2]] + 3.3*Table1[[#This Row],[x3]] + 0.6*Table1[[#This Row],[x4]] + 1*Table1[[#This Row],[x5]]</f>
        <v>2.9171067578776371</v>
      </c>
      <c r="W2476" s="23">
        <f>IF(Table1[[#This Row],[Zscore]]&lt;1.81,1,0)</f>
        <v>0</v>
      </c>
    </row>
    <row r="2477" spans="1:23" hidden="1" x14ac:dyDescent="0.45">
      <c r="A2477" s="7">
        <v>2471</v>
      </c>
      <c r="B2477" s="5" t="s">
        <v>4951</v>
      </c>
      <c r="C2477" s="6" t="s">
        <v>4952</v>
      </c>
      <c r="D2477" s="6" t="s">
        <v>18</v>
      </c>
      <c r="E2477" s="6"/>
      <c r="F2477" s="6"/>
      <c r="G2477" s="6"/>
      <c r="H2477" s="6"/>
      <c r="I2477" s="6"/>
      <c r="J2477" s="8"/>
      <c r="K2477" s="6"/>
      <c r="L2477" s="6"/>
      <c r="M2477" s="8"/>
      <c r="N2477" s="8"/>
      <c r="O2477" s="8"/>
      <c r="P2477" s="8"/>
      <c r="Q2477" s="18" t="e">
        <f>(Table1[[#This Row],[A. TÀI SẢN NGẮN HẠN]]-Table1[[#This Row],[I. Nợ ngắn hạn]])/Table1[[#This Row],[TỔNG CỘNG TÀI SẢN]]</f>
        <v>#DIV/0!</v>
      </c>
      <c r="R2477" s="18" t="e">
        <f>Table1[[#This Row],[- LNST chưa phân phối kỳ này]]/Table1[[#This Row],[TỔNG CỘNG TÀI SẢN]]</f>
        <v>#DIV/0!</v>
      </c>
      <c r="S2477" s="21" t="e">
        <f>Table1[[#This Row],[5. Lợi nhuận gộp về bán hàng và cung cấp dịch vụ]]/Table1[[#This Row],[TỔNG CỘNG TÀI SẢN]]</f>
        <v>#DIV/0!</v>
      </c>
      <c r="T247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477" s="23" t="e">
        <f>Table1[[#This Row],[1. Doanh thu bán hàng và cung cấp dịch vụ ]]/Table1[[#This Row],[TỔNG CỘNG TÀI SẢN]]</f>
        <v>#DIV/0!</v>
      </c>
      <c r="V2477" s="23" t="e">
        <f>1.2*Table1[[#This Row],[X1]] + 1.4*Table1[[#This Row],[X2]] + 3.3*Table1[[#This Row],[x3]] + 0.6*Table1[[#This Row],[x4]] + 1*Table1[[#This Row],[x5]]</f>
        <v>#DIV/0!</v>
      </c>
      <c r="W2477" s="23" t="e">
        <f>IF(Table1[[#This Row],[Zscore]]&lt;1.81,1,0)</f>
        <v>#DIV/0!</v>
      </c>
    </row>
    <row r="2478" spans="1:23" hidden="1" x14ac:dyDescent="0.45">
      <c r="A2478" s="7">
        <v>2472</v>
      </c>
      <c r="B2478" s="5" t="s">
        <v>4953</v>
      </c>
      <c r="C2478" s="6" t="s">
        <v>4954</v>
      </c>
      <c r="D2478" s="6" t="s">
        <v>18</v>
      </c>
      <c r="E2478" s="8">
        <v>144433320793</v>
      </c>
      <c r="F2478" s="8">
        <v>95819187944</v>
      </c>
      <c r="G2478" s="8">
        <v>41273824973</v>
      </c>
      <c r="H2478" s="8">
        <v>10803679874</v>
      </c>
      <c r="I2478" s="8">
        <v>30739734249</v>
      </c>
      <c r="J2478" s="8"/>
      <c r="K2478" s="8">
        <v>43650130314</v>
      </c>
      <c r="L2478" s="8">
        <v>217502029943</v>
      </c>
      <c r="M2478" s="8"/>
      <c r="N2478" s="8"/>
      <c r="O2478" s="8"/>
      <c r="P2478" s="8"/>
      <c r="Q2478" s="18">
        <f>(Table1[[#This Row],[A. TÀI SẢN NGẮN HẠN]]-Table1[[#This Row],[I. Nợ ngắn hạn]])/Table1[[#This Row],[TỔNG CỘNG TÀI SẢN]]</f>
        <v>0.37765082649573445</v>
      </c>
      <c r="R2478" s="18">
        <f>Table1[[#This Row],[- LNST chưa phân phối kỳ này]]/Table1[[#This Row],[TỔNG CỘNG TÀI SẢN]]</f>
        <v>7.4800467196095954E-2</v>
      </c>
      <c r="S2478" s="21">
        <f>Table1[[#This Row],[5. Lợi nhuận gộp về bán hàng và cung cấp dịch vụ]]/Table1[[#This Row],[TỔNG CỘNG TÀI SẢN]]</f>
        <v>0.21282993481162008</v>
      </c>
      <c r="T247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478" s="23">
        <f>Table1[[#This Row],[1. Doanh thu bán hàng và cung cấp dịch vụ ]]/Table1[[#This Row],[TỔNG CỘNG TÀI SẢN]]</f>
        <v>1.5058992533635722</v>
      </c>
      <c r="V2478" s="23" t="e">
        <f>1.2*Table1[[#This Row],[X1]] + 1.4*Table1[[#This Row],[X2]] + 3.3*Table1[[#This Row],[x3]] + 0.6*Table1[[#This Row],[x4]] + 1*Table1[[#This Row],[x5]]</f>
        <v>#DIV/0!</v>
      </c>
      <c r="W2478" s="23" t="e">
        <f>IF(Table1[[#This Row],[Zscore]]&lt;1.81,1,0)</f>
        <v>#DIV/0!</v>
      </c>
    </row>
    <row r="2479" spans="1:23" hidden="1" x14ac:dyDescent="0.45">
      <c r="A2479" s="7">
        <v>2473</v>
      </c>
      <c r="B2479" s="5" t="s">
        <v>4955</v>
      </c>
      <c r="C2479" s="6" t="s">
        <v>4956</v>
      </c>
      <c r="D2479" s="6" t="s">
        <v>13</v>
      </c>
      <c r="E2479" s="6"/>
      <c r="F2479" s="6"/>
      <c r="G2479" s="6"/>
      <c r="H2479" s="6"/>
      <c r="I2479" s="6"/>
      <c r="J2479" s="8"/>
      <c r="K2479" s="6"/>
      <c r="L2479" s="6"/>
      <c r="M2479" s="8"/>
      <c r="N2479" s="8"/>
      <c r="O2479" s="8"/>
      <c r="P2479" s="8"/>
      <c r="Q2479" s="18" t="e">
        <f>(Table1[[#This Row],[A. TÀI SẢN NGẮN HẠN]]-Table1[[#This Row],[I. Nợ ngắn hạn]])/Table1[[#This Row],[TỔNG CỘNG TÀI SẢN]]</f>
        <v>#DIV/0!</v>
      </c>
      <c r="R2479" s="18" t="e">
        <f>Table1[[#This Row],[- LNST chưa phân phối kỳ này]]/Table1[[#This Row],[TỔNG CỘNG TÀI SẢN]]</f>
        <v>#DIV/0!</v>
      </c>
      <c r="S2479" s="21" t="e">
        <f>Table1[[#This Row],[5. Lợi nhuận gộp về bán hàng và cung cấp dịch vụ]]/Table1[[#This Row],[TỔNG CỘNG TÀI SẢN]]</f>
        <v>#DIV/0!</v>
      </c>
      <c r="T247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479" s="23" t="e">
        <f>Table1[[#This Row],[1. Doanh thu bán hàng và cung cấp dịch vụ ]]/Table1[[#This Row],[TỔNG CỘNG TÀI SẢN]]</f>
        <v>#DIV/0!</v>
      </c>
      <c r="V2479" s="23" t="e">
        <f>1.2*Table1[[#This Row],[X1]] + 1.4*Table1[[#This Row],[X2]] + 3.3*Table1[[#This Row],[x3]] + 0.6*Table1[[#This Row],[x4]] + 1*Table1[[#This Row],[x5]]</f>
        <v>#DIV/0!</v>
      </c>
      <c r="W2479" s="23" t="e">
        <f>IF(Table1[[#This Row],[Zscore]]&lt;1.81,1,0)</f>
        <v>#DIV/0!</v>
      </c>
    </row>
    <row r="2480" spans="1:23" x14ac:dyDescent="0.45">
      <c r="A2480" s="7">
        <v>2474</v>
      </c>
      <c r="B2480" s="5" t="s">
        <v>4957</v>
      </c>
      <c r="C2480" s="6" t="s">
        <v>4958</v>
      </c>
      <c r="D2480" s="6" t="s">
        <v>21</v>
      </c>
      <c r="E2480" s="8">
        <v>1144586947944</v>
      </c>
      <c r="F2480" s="8">
        <v>1127468746340</v>
      </c>
      <c r="G2480" s="8">
        <v>30366576547</v>
      </c>
      <c r="H2480" s="8">
        <v>-1966087793</v>
      </c>
      <c r="I2480" s="8">
        <v>40271844657</v>
      </c>
      <c r="J2480" s="8"/>
      <c r="K2480" s="8">
        <v>30366576547</v>
      </c>
      <c r="L2480" s="8">
        <v>90871618220</v>
      </c>
      <c r="M2480" s="8">
        <v>873235778010</v>
      </c>
      <c r="N2480" s="8">
        <v>881701873520</v>
      </c>
      <c r="O2480" s="8">
        <v>975244065300</v>
      </c>
      <c r="P2480" s="8">
        <v>1033534515180</v>
      </c>
      <c r="Q2480" s="18">
        <f>(Table1[[#This Row],[A. TÀI SẢN NGẮN HẠN]]-Table1[[#This Row],[I. Nợ ngắn hạn]])/Table1[[#This Row],[TỔNG CỘNG TÀI SẢN]]</f>
        <v>0.95851361206215391</v>
      </c>
      <c r="R2480" s="18">
        <f>Table1[[#This Row],[- LNST chưa phân phối kỳ này]]/Table1[[#This Row],[TỔNG CỘNG TÀI SẢN]]</f>
        <v>-1.7177269027325941E-3</v>
      </c>
      <c r="S2480" s="21">
        <f>Table1[[#This Row],[5. Lợi nhuận gộp về bán hàng và cung cấp dịch vụ]]/Table1[[#This Row],[TỔNG CỘNG TÀI SẢN]]</f>
        <v>3.5184609373136361E-2</v>
      </c>
      <c r="T248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30.985681133537494</v>
      </c>
      <c r="U2480" s="23">
        <f>Table1[[#This Row],[1. Doanh thu bán hàng và cung cấp dịch vụ ]]/Table1[[#This Row],[TỔNG CỘNG TÀI SẢN]]</f>
        <v>7.9392499087317894E-2</v>
      </c>
      <c r="V2480" s="23">
        <f>1.2*Table1[[#This Row],[X1]] + 1.4*Table1[[#This Row],[X2]] + 3.3*Table1[[#This Row],[x3]] + 0.6*Table1[[#This Row],[x4]] + 1*Table1[[#This Row],[x5]]</f>
        <v>19.934721906951921</v>
      </c>
      <c r="W2480" s="23">
        <f>IF(Table1[[#This Row],[Zscore]]&lt;1.81,1,0)</f>
        <v>0</v>
      </c>
    </row>
    <row r="2481" spans="1:23" ht="26.25" x14ac:dyDescent="0.45">
      <c r="A2481" s="7">
        <v>2475</v>
      </c>
      <c r="B2481" s="5" t="s">
        <v>4959</v>
      </c>
      <c r="C2481" s="6" t="s">
        <v>4960</v>
      </c>
      <c r="D2481" s="6" t="s">
        <v>36</v>
      </c>
      <c r="E2481" s="8">
        <v>2362908087751</v>
      </c>
      <c r="F2481" s="8">
        <v>2344618272029</v>
      </c>
      <c r="G2481" s="8">
        <v>613296394888</v>
      </c>
      <c r="H2481" s="8">
        <v>16953158562</v>
      </c>
      <c r="I2481" s="8">
        <v>46760323519</v>
      </c>
      <c r="J2481" s="8"/>
      <c r="K2481" s="8">
        <v>613296394888</v>
      </c>
      <c r="L2481" s="8">
        <v>92853777810</v>
      </c>
      <c r="M2481" s="8">
        <v>1006557097000</v>
      </c>
      <c r="N2481" s="8">
        <v>826937902000</v>
      </c>
      <c r="O2481" s="8">
        <v>973373896000</v>
      </c>
      <c r="P2481" s="8">
        <v>1205656303000</v>
      </c>
      <c r="Q2481" s="18">
        <f>(Table1[[#This Row],[A. TÀI SẢN NGẮN HẠN]]-Table1[[#This Row],[I. Nợ ngắn hạn]])/Table1[[#This Row],[TỔNG CỘNG TÀI SẢN]]</f>
        <v>0.73270809225121425</v>
      </c>
      <c r="R2481" s="18">
        <f>Table1[[#This Row],[- LNST chưa phân phối kỳ này]]/Table1[[#This Row],[TỔNG CỘNG TÀI SẢN]]</f>
        <v>7.1747008061307628E-3</v>
      </c>
      <c r="S2481" s="21">
        <f>Table1[[#This Row],[5. Lợi nhuận gộp về bán hàng và cung cấp dịch vụ]]/Table1[[#This Row],[TỔNG CỘNG TÀI SẢN]]</f>
        <v>1.9789311214176833E-2</v>
      </c>
      <c r="T248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1.6356386697547627</v>
      </c>
      <c r="U2481" s="23">
        <f>Table1[[#This Row],[1. Doanh thu bán hàng và cung cấp dịch vụ ]]/Table1[[#This Row],[TỔNG CỘNG TÀI SẢN]]</f>
        <v>3.9296398489362151E-2</v>
      </c>
      <c r="V2481" s="23">
        <f>1.2*Table1[[#This Row],[X1]] + 1.4*Table1[[#This Row],[X2]] + 3.3*Table1[[#This Row],[x3]] + 0.6*Table1[[#This Row],[x4]] + 1*Table1[[#This Row],[x5]]</f>
        <v>1.9752786191790435</v>
      </c>
      <c r="W2481" s="23">
        <f>IF(Table1[[#This Row],[Zscore]]&lt;1.81,1,0)</f>
        <v>0</v>
      </c>
    </row>
    <row r="2482" spans="1:23" ht="26.25" x14ac:dyDescent="0.45">
      <c r="A2482" s="7">
        <v>2476</v>
      </c>
      <c r="B2482" s="5" t="s">
        <v>4961</v>
      </c>
      <c r="C2482" s="6" t="s">
        <v>4962</v>
      </c>
      <c r="D2482" s="6" t="s">
        <v>36</v>
      </c>
      <c r="E2482" s="8">
        <v>2570807660564</v>
      </c>
      <c r="F2482" s="8">
        <v>1234383127154</v>
      </c>
      <c r="G2482" s="8">
        <v>1197894252713</v>
      </c>
      <c r="H2482" s="8">
        <v>78395186553</v>
      </c>
      <c r="I2482" s="8">
        <v>373046056301</v>
      </c>
      <c r="J2482" s="8"/>
      <c r="K2482" s="8">
        <v>1912800837869</v>
      </c>
      <c r="L2482" s="8">
        <v>6679385890028</v>
      </c>
      <c r="M2482" s="8">
        <v>548546940800</v>
      </c>
      <c r="N2482" s="8">
        <v>454124926400</v>
      </c>
      <c r="O2482" s="8">
        <v>476606358400</v>
      </c>
      <c r="P2482" s="8">
        <v>463117499200</v>
      </c>
      <c r="Q2482" s="18">
        <f>(Table1[[#This Row],[A. TÀI SẢN NGẮN HẠN]]-Table1[[#This Row],[I. Nợ ngắn hạn]])/Table1[[#This Row],[TỔNG CỘNG TÀI SẢN]]</f>
        <v>1.4193545087303357E-2</v>
      </c>
      <c r="R2482" s="18">
        <f>Table1[[#This Row],[- LNST chưa phân phối kỳ này]]/Table1[[#This Row],[TỔNG CỘNG TÀI SẢN]]</f>
        <v>3.0494380328632276E-2</v>
      </c>
      <c r="S2482" s="21">
        <f>Table1[[#This Row],[5. Lợi nhuận gộp về bán hàng và cung cấp dịch vụ]]/Table1[[#This Row],[TỔNG CỘNG TÀI SẢN]]</f>
        <v>0.1451085050132295</v>
      </c>
      <c r="T248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0.25386800423037909</v>
      </c>
      <c r="U2482" s="23">
        <f>Table1[[#This Row],[1. Doanh thu bán hàng và cung cấp dịch vụ ]]/Table1[[#This Row],[TỔNG CỘNG TÀI SẢN]]</f>
        <v>2.5981663243381785</v>
      </c>
      <c r="V2482" s="23">
        <f>1.2*Table1[[#This Row],[X1]] + 1.4*Table1[[#This Row],[X2]] + 3.3*Table1[[#This Row],[x3]] + 0.6*Table1[[#This Row],[x4]] + 1*Table1[[#This Row],[x5]]</f>
        <v>3.2890695799849126</v>
      </c>
      <c r="W2482" s="23">
        <f>IF(Table1[[#This Row],[Zscore]]&lt;1.81,1,0)</f>
        <v>0</v>
      </c>
    </row>
    <row r="2483" spans="1:23" ht="26.25" hidden="1" x14ac:dyDescent="0.45">
      <c r="A2483" s="7">
        <v>2477</v>
      </c>
      <c r="B2483" s="5" t="s">
        <v>4963</v>
      </c>
      <c r="C2483" s="6" t="s">
        <v>4964</v>
      </c>
      <c r="D2483" s="6" t="s">
        <v>13</v>
      </c>
      <c r="E2483" s="6"/>
      <c r="F2483" s="6"/>
      <c r="G2483" s="6"/>
      <c r="H2483" s="6"/>
      <c r="I2483" s="6"/>
      <c r="J2483" s="8"/>
      <c r="K2483" s="6"/>
      <c r="L2483" s="6"/>
      <c r="M2483" s="8"/>
      <c r="N2483" s="8"/>
      <c r="O2483" s="8"/>
      <c r="P2483" s="8"/>
      <c r="Q2483" s="18" t="e">
        <f>(Table1[[#This Row],[A. TÀI SẢN NGẮN HẠN]]-Table1[[#This Row],[I. Nợ ngắn hạn]])/Table1[[#This Row],[TỔNG CỘNG TÀI SẢN]]</f>
        <v>#DIV/0!</v>
      </c>
      <c r="R2483" s="18" t="e">
        <f>Table1[[#This Row],[- LNST chưa phân phối kỳ này]]/Table1[[#This Row],[TỔNG CỘNG TÀI SẢN]]</f>
        <v>#DIV/0!</v>
      </c>
      <c r="S2483" s="21" t="e">
        <f>Table1[[#This Row],[5. Lợi nhuận gộp về bán hàng và cung cấp dịch vụ]]/Table1[[#This Row],[TỔNG CỘNG TÀI SẢN]]</f>
        <v>#DIV/0!</v>
      </c>
      <c r="T248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483" s="23" t="e">
        <f>Table1[[#This Row],[1. Doanh thu bán hàng và cung cấp dịch vụ ]]/Table1[[#This Row],[TỔNG CỘNG TÀI SẢN]]</f>
        <v>#DIV/0!</v>
      </c>
      <c r="V2483" s="23" t="e">
        <f>1.2*Table1[[#This Row],[X1]] + 1.4*Table1[[#This Row],[X2]] + 3.3*Table1[[#This Row],[x3]] + 0.6*Table1[[#This Row],[x4]] + 1*Table1[[#This Row],[x5]]</f>
        <v>#DIV/0!</v>
      </c>
      <c r="W2483" s="23" t="e">
        <f>IF(Table1[[#This Row],[Zscore]]&lt;1.81,1,0)</f>
        <v>#DIV/0!</v>
      </c>
    </row>
    <row r="2484" spans="1:23" ht="26.25" hidden="1" x14ac:dyDescent="0.45">
      <c r="A2484" s="7">
        <v>2478</v>
      </c>
      <c r="B2484" s="5" t="s">
        <v>4965</v>
      </c>
      <c r="C2484" s="6" t="s">
        <v>4966</v>
      </c>
      <c r="D2484" s="6" t="s">
        <v>18</v>
      </c>
      <c r="E2484" s="6"/>
      <c r="F2484" s="6"/>
      <c r="G2484" s="6"/>
      <c r="H2484" s="6"/>
      <c r="I2484" s="6"/>
      <c r="J2484" s="8"/>
      <c r="K2484" s="6"/>
      <c r="L2484" s="6"/>
      <c r="M2484" s="8"/>
      <c r="N2484" s="8"/>
      <c r="O2484" s="8"/>
      <c r="P2484" s="8"/>
      <c r="Q2484" s="18" t="e">
        <f>(Table1[[#This Row],[A. TÀI SẢN NGẮN HẠN]]-Table1[[#This Row],[I. Nợ ngắn hạn]])/Table1[[#This Row],[TỔNG CỘNG TÀI SẢN]]</f>
        <v>#DIV/0!</v>
      </c>
      <c r="R2484" s="18" t="e">
        <f>Table1[[#This Row],[- LNST chưa phân phối kỳ này]]/Table1[[#This Row],[TỔNG CỘNG TÀI SẢN]]</f>
        <v>#DIV/0!</v>
      </c>
      <c r="S2484" s="21" t="e">
        <f>Table1[[#This Row],[5. Lợi nhuận gộp về bán hàng và cung cấp dịch vụ]]/Table1[[#This Row],[TỔNG CỘNG TÀI SẢN]]</f>
        <v>#DIV/0!</v>
      </c>
      <c r="T248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484" s="23" t="e">
        <f>Table1[[#This Row],[1. Doanh thu bán hàng và cung cấp dịch vụ ]]/Table1[[#This Row],[TỔNG CỘNG TÀI SẢN]]</f>
        <v>#DIV/0!</v>
      </c>
      <c r="V2484" s="23" t="e">
        <f>1.2*Table1[[#This Row],[X1]] + 1.4*Table1[[#This Row],[X2]] + 3.3*Table1[[#This Row],[x3]] + 0.6*Table1[[#This Row],[x4]] + 1*Table1[[#This Row],[x5]]</f>
        <v>#DIV/0!</v>
      </c>
      <c r="W2484" s="23" t="e">
        <f>IF(Table1[[#This Row],[Zscore]]&lt;1.81,1,0)</f>
        <v>#DIV/0!</v>
      </c>
    </row>
    <row r="2485" spans="1:23" ht="26.25" hidden="1" x14ac:dyDescent="0.45">
      <c r="A2485" s="7">
        <v>2479</v>
      </c>
      <c r="B2485" s="5" t="s">
        <v>4967</v>
      </c>
      <c r="C2485" s="6" t="s">
        <v>4968</v>
      </c>
      <c r="D2485" s="6" t="s">
        <v>18</v>
      </c>
      <c r="E2485" s="8">
        <v>465235774903</v>
      </c>
      <c r="F2485" s="8">
        <v>313460315808</v>
      </c>
      <c r="G2485" s="8">
        <v>373306614788</v>
      </c>
      <c r="H2485" s="8">
        <v>25457657615</v>
      </c>
      <c r="I2485" s="8">
        <v>62223747938</v>
      </c>
      <c r="J2485" s="8"/>
      <c r="K2485" s="8">
        <v>373437614788</v>
      </c>
      <c r="L2485" s="8">
        <v>171773979717</v>
      </c>
      <c r="M2485" s="8"/>
      <c r="N2485" s="8"/>
      <c r="O2485" s="8"/>
      <c r="P2485" s="8"/>
      <c r="Q2485" s="18">
        <f>(Table1[[#This Row],[A. TÀI SẢN NGẮN HẠN]]-Table1[[#This Row],[I. Nợ ngắn hạn]])/Table1[[#This Row],[TỔNG CỘNG TÀI SẢN]]</f>
        <v>-0.12863649402816826</v>
      </c>
      <c r="R2485" s="18">
        <f>Table1[[#This Row],[- LNST chưa phân phối kỳ này]]/Table1[[#This Row],[TỔNG CỘNG TÀI SẢN]]</f>
        <v>5.4719905450753073E-2</v>
      </c>
      <c r="S2485" s="21">
        <f>Table1[[#This Row],[5. Lợi nhuận gộp về bán hàng và cung cấp dịch vụ]]/Table1[[#This Row],[TỔNG CỘNG TÀI SẢN]]</f>
        <v>0.13374669639490522</v>
      </c>
      <c r="T248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485" s="23">
        <f>Table1[[#This Row],[1. Doanh thu bán hàng và cung cấp dịch vụ ]]/Table1[[#This Row],[TỔNG CỘNG TÀI SẢN]]</f>
        <v>0.3692191980567579</v>
      </c>
      <c r="V2485" s="23" t="e">
        <f>1.2*Table1[[#This Row],[X1]] + 1.4*Table1[[#This Row],[X2]] + 3.3*Table1[[#This Row],[x3]] + 0.6*Table1[[#This Row],[x4]] + 1*Table1[[#This Row],[x5]]</f>
        <v>#DIV/0!</v>
      </c>
      <c r="W2485" s="23" t="e">
        <f>IF(Table1[[#This Row],[Zscore]]&lt;1.81,1,0)</f>
        <v>#DIV/0!</v>
      </c>
    </row>
    <row r="2486" spans="1:23" hidden="1" x14ac:dyDescent="0.45">
      <c r="A2486" s="7">
        <v>2480</v>
      </c>
      <c r="B2486" s="5" t="s">
        <v>4969</v>
      </c>
      <c r="C2486" s="6" t="s">
        <v>4970</v>
      </c>
      <c r="D2486" s="6" t="s">
        <v>13</v>
      </c>
      <c r="E2486" s="6"/>
      <c r="F2486" s="6"/>
      <c r="G2486" s="6"/>
      <c r="H2486" s="6"/>
      <c r="I2486" s="6"/>
      <c r="J2486" s="8"/>
      <c r="K2486" s="6"/>
      <c r="L2486" s="6"/>
      <c r="M2486" s="8"/>
      <c r="N2486" s="8"/>
      <c r="O2486" s="8"/>
      <c r="P2486" s="8"/>
      <c r="Q2486" s="18" t="e">
        <f>(Table1[[#This Row],[A. TÀI SẢN NGẮN HẠN]]-Table1[[#This Row],[I. Nợ ngắn hạn]])/Table1[[#This Row],[TỔNG CỘNG TÀI SẢN]]</f>
        <v>#DIV/0!</v>
      </c>
      <c r="R2486" s="18" t="e">
        <f>Table1[[#This Row],[- LNST chưa phân phối kỳ này]]/Table1[[#This Row],[TỔNG CỘNG TÀI SẢN]]</f>
        <v>#DIV/0!</v>
      </c>
      <c r="S2486" s="21" t="e">
        <f>Table1[[#This Row],[5. Lợi nhuận gộp về bán hàng và cung cấp dịch vụ]]/Table1[[#This Row],[TỔNG CỘNG TÀI SẢN]]</f>
        <v>#DIV/0!</v>
      </c>
      <c r="T248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486" s="23" t="e">
        <f>Table1[[#This Row],[1. Doanh thu bán hàng và cung cấp dịch vụ ]]/Table1[[#This Row],[TỔNG CỘNG TÀI SẢN]]</f>
        <v>#DIV/0!</v>
      </c>
      <c r="V2486" s="23" t="e">
        <f>1.2*Table1[[#This Row],[X1]] + 1.4*Table1[[#This Row],[X2]] + 3.3*Table1[[#This Row],[x3]] + 0.6*Table1[[#This Row],[x4]] + 1*Table1[[#This Row],[x5]]</f>
        <v>#DIV/0!</v>
      </c>
      <c r="W2486" s="23" t="e">
        <f>IF(Table1[[#This Row],[Zscore]]&lt;1.81,1,0)</f>
        <v>#DIV/0!</v>
      </c>
    </row>
    <row r="2487" spans="1:23" ht="26.25" hidden="1" x14ac:dyDescent="0.45">
      <c r="A2487" s="7">
        <v>2481</v>
      </c>
      <c r="B2487" s="5" t="s">
        <v>4971</v>
      </c>
      <c r="C2487" s="6" t="s">
        <v>4972</v>
      </c>
      <c r="D2487" s="6" t="s">
        <v>18</v>
      </c>
      <c r="E2487" s="6"/>
      <c r="F2487" s="6"/>
      <c r="G2487" s="6"/>
      <c r="H2487" s="6"/>
      <c r="I2487" s="6"/>
      <c r="J2487" s="8"/>
      <c r="K2487" s="6"/>
      <c r="L2487" s="6"/>
      <c r="M2487" s="8"/>
      <c r="N2487" s="8"/>
      <c r="O2487" s="8"/>
      <c r="P2487" s="8"/>
      <c r="Q2487" s="18" t="e">
        <f>(Table1[[#This Row],[A. TÀI SẢN NGẮN HẠN]]-Table1[[#This Row],[I. Nợ ngắn hạn]])/Table1[[#This Row],[TỔNG CỘNG TÀI SẢN]]</f>
        <v>#DIV/0!</v>
      </c>
      <c r="R2487" s="18" t="e">
        <f>Table1[[#This Row],[- LNST chưa phân phối kỳ này]]/Table1[[#This Row],[TỔNG CỘNG TÀI SẢN]]</f>
        <v>#DIV/0!</v>
      </c>
      <c r="S2487" s="21" t="e">
        <f>Table1[[#This Row],[5. Lợi nhuận gộp về bán hàng và cung cấp dịch vụ]]/Table1[[#This Row],[TỔNG CỘNG TÀI SẢN]]</f>
        <v>#DIV/0!</v>
      </c>
      <c r="T248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487" s="23" t="e">
        <f>Table1[[#This Row],[1. Doanh thu bán hàng và cung cấp dịch vụ ]]/Table1[[#This Row],[TỔNG CỘNG TÀI SẢN]]</f>
        <v>#DIV/0!</v>
      </c>
      <c r="V2487" s="23" t="e">
        <f>1.2*Table1[[#This Row],[X1]] + 1.4*Table1[[#This Row],[X2]] + 3.3*Table1[[#This Row],[x3]] + 0.6*Table1[[#This Row],[x4]] + 1*Table1[[#This Row],[x5]]</f>
        <v>#DIV/0!</v>
      </c>
      <c r="W2487" s="23" t="e">
        <f>IF(Table1[[#This Row],[Zscore]]&lt;1.81,1,0)</f>
        <v>#DIV/0!</v>
      </c>
    </row>
    <row r="2488" spans="1:23" ht="26.25" x14ac:dyDescent="0.45">
      <c r="A2488" s="7">
        <v>2482</v>
      </c>
      <c r="B2488" s="5" t="s">
        <v>4973</v>
      </c>
      <c r="C2488" s="6" t="s">
        <v>4974</v>
      </c>
      <c r="D2488" s="6" t="s">
        <v>18</v>
      </c>
      <c r="E2488" s="8">
        <v>28038438864555</v>
      </c>
      <c r="F2488" s="8">
        <v>15061504786308</v>
      </c>
      <c r="G2488" s="8">
        <v>14196777297491</v>
      </c>
      <c r="H2488" s="8">
        <v>519212060749</v>
      </c>
      <c r="I2488" s="8">
        <v>1824435316596</v>
      </c>
      <c r="J2488" s="8"/>
      <c r="K2488" s="8">
        <v>17733420411211</v>
      </c>
      <c r="L2488" s="8">
        <v>44392494526413</v>
      </c>
      <c r="M2488" s="8">
        <v>5627400000000</v>
      </c>
      <c r="N2488" s="8">
        <v>5017200000000</v>
      </c>
      <c r="O2488" s="8">
        <v>4813800000000</v>
      </c>
      <c r="P2488" s="8">
        <v>5559600000000</v>
      </c>
      <c r="Q2488" s="18">
        <f>(Table1[[#This Row],[A. TÀI SẢN NGẮN HẠN]]-Table1[[#This Row],[I. Nợ ngắn hạn]])/Table1[[#This Row],[TỔNG CỘNG TÀI SẢN]]</f>
        <v>3.0840785858093963E-2</v>
      </c>
      <c r="R2488" s="18">
        <f>Table1[[#This Row],[- LNST chưa phân phối kỳ này]]/Table1[[#This Row],[TỔNG CỘNG TÀI SẢN]]</f>
        <v>1.8517866249870486E-2</v>
      </c>
      <c r="S2488" s="21">
        <f>Table1[[#This Row],[5. Lợi nhuận gộp về bán hàng và cung cấp dịch vụ]]/Table1[[#This Row],[TỔNG CỘNG TÀI SẢN]]</f>
        <v>6.5069076256680375E-2</v>
      </c>
      <c r="T248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0.2963049359997198</v>
      </c>
      <c r="U2488" s="23">
        <f>Table1[[#This Row],[1. Doanh thu bán hàng và cung cấp dịch vụ ]]/Table1[[#This Row],[TỔNG CỘNG TÀI SẢN]]</f>
        <v>1.5832726900687792</v>
      </c>
      <c r="V2488" s="23">
        <f>1.2*Table1[[#This Row],[X1]] + 1.4*Table1[[#This Row],[X2]] + 3.3*Table1[[#This Row],[x3]] + 0.6*Table1[[#This Row],[x4]] + 1*Table1[[#This Row],[x5]]</f>
        <v>2.0387175590951876</v>
      </c>
      <c r="W2488" s="23">
        <f>IF(Table1[[#This Row],[Zscore]]&lt;1.81,1,0)</f>
        <v>0</v>
      </c>
    </row>
    <row r="2489" spans="1:23" hidden="1" x14ac:dyDescent="0.45">
      <c r="A2489" s="7">
        <v>2483</v>
      </c>
      <c r="B2489" s="5" t="s">
        <v>4975</v>
      </c>
      <c r="C2489" s="6" t="s">
        <v>4976</v>
      </c>
      <c r="D2489" s="6" t="s">
        <v>13</v>
      </c>
      <c r="E2489" s="6"/>
      <c r="F2489" s="6"/>
      <c r="G2489" s="6"/>
      <c r="H2489" s="6"/>
      <c r="I2489" s="6"/>
      <c r="J2489" s="8"/>
      <c r="K2489" s="6"/>
      <c r="L2489" s="6"/>
      <c r="M2489" s="8"/>
      <c r="N2489" s="8"/>
      <c r="O2489" s="8"/>
      <c r="P2489" s="8"/>
      <c r="Q2489" s="18" t="e">
        <f>(Table1[[#This Row],[A. TÀI SẢN NGẮN HẠN]]-Table1[[#This Row],[I. Nợ ngắn hạn]])/Table1[[#This Row],[TỔNG CỘNG TÀI SẢN]]</f>
        <v>#DIV/0!</v>
      </c>
      <c r="R2489" s="18" t="e">
        <f>Table1[[#This Row],[- LNST chưa phân phối kỳ này]]/Table1[[#This Row],[TỔNG CỘNG TÀI SẢN]]</f>
        <v>#DIV/0!</v>
      </c>
      <c r="S2489" s="21" t="e">
        <f>Table1[[#This Row],[5. Lợi nhuận gộp về bán hàng và cung cấp dịch vụ]]/Table1[[#This Row],[TỔNG CỘNG TÀI SẢN]]</f>
        <v>#DIV/0!</v>
      </c>
      <c r="T248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489" s="23" t="e">
        <f>Table1[[#This Row],[1. Doanh thu bán hàng và cung cấp dịch vụ ]]/Table1[[#This Row],[TỔNG CỘNG TÀI SẢN]]</f>
        <v>#DIV/0!</v>
      </c>
      <c r="V2489" s="23" t="e">
        <f>1.2*Table1[[#This Row],[X1]] + 1.4*Table1[[#This Row],[X2]] + 3.3*Table1[[#This Row],[x3]] + 0.6*Table1[[#This Row],[x4]] + 1*Table1[[#This Row],[x5]]</f>
        <v>#DIV/0!</v>
      </c>
      <c r="W2489" s="23" t="e">
        <f>IF(Table1[[#This Row],[Zscore]]&lt;1.81,1,0)</f>
        <v>#DIV/0!</v>
      </c>
    </row>
    <row r="2490" spans="1:23" x14ac:dyDescent="0.45">
      <c r="A2490" s="7">
        <v>2484</v>
      </c>
      <c r="B2490" s="5" t="s">
        <v>4977</v>
      </c>
      <c r="C2490" s="6" t="s">
        <v>4978</v>
      </c>
      <c r="D2490" s="6" t="s">
        <v>21</v>
      </c>
      <c r="E2490" s="8">
        <v>7641043978707</v>
      </c>
      <c r="F2490" s="8">
        <v>7176437172654</v>
      </c>
      <c r="G2490" s="8">
        <v>4384087185359</v>
      </c>
      <c r="H2490" s="8">
        <v>46887643704</v>
      </c>
      <c r="I2490" s="8">
        <v>602194893322</v>
      </c>
      <c r="J2490" s="8"/>
      <c r="K2490" s="8">
        <v>4701724857637</v>
      </c>
      <c r="L2490" s="8">
        <v>1007499706143</v>
      </c>
      <c r="M2490" s="8">
        <v>3172910206000</v>
      </c>
      <c r="N2490" s="8">
        <v>3316515221950</v>
      </c>
      <c r="O2490" s="8">
        <v>2922417295000</v>
      </c>
      <c r="P2490" s="8">
        <v>3056013514200</v>
      </c>
      <c r="Q2490" s="18">
        <f>(Table1[[#This Row],[A. TÀI SẢN NGẮN HẠN]]-Table1[[#This Row],[I. Nợ ngắn hạn]])/Table1[[#This Row],[TỔNG CỘNG TÀI SẢN]]</f>
        <v>0.36544089983990841</v>
      </c>
      <c r="R2490" s="18">
        <f>Table1[[#This Row],[- LNST chưa phân phối kỳ này]]/Table1[[#This Row],[TỔNG CỘNG TÀI SẢN]]</f>
        <v>6.1362876374825188E-3</v>
      </c>
      <c r="S2490" s="21">
        <f>Table1[[#This Row],[5. Lợi nhuận gộp về bán hàng và cung cấp dịch vụ]]/Table1[[#This Row],[TỔNG CỘNG TÀI SẢN]]</f>
        <v>7.8810551935064518E-2</v>
      </c>
      <c r="T249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0.66294054919539225</v>
      </c>
      <c r="U2490" s="23">
        <f>Table1[[#This Row],[1. Doanh thu bán hàng và cung cấp dịch vụ ]]/Table1[[#This Row],[TỔNG CỘNG TÀI SẢN]]</f>
        <v>0.1318536719524924</v>
      </c>
      <c r="V2490" s="23">
        <f>1.2*Table1[[#This Row],[X1]] + 1.4*Table1[[#This Row],[X2]] + 3.3*Table1[[#This Row],[x3]] + 0.6*Table1[[#This Row],[x4]] + 1*Table1[[#This Row],[x5]]</f>
        <v>1.2368127053558062</v>
      </c>
      <c r="W2490" s="23">
        <f>IF(Table1[[#This Row],[Zscore]]&lt;1.81,1,0)</f>
        <v>1</v>
      </c>
    </row>
    <row r="2491" spans="1:23" hidden="1" x14ac:dyDescent="0.45">
      <c r="A2491" s="7">
        <v>2485</v>
      </c>
      <c r="B2491" s="5" t="s">
        <v>4979</v>
      </c>
      <c r="C2491" s="6" t="s">
        <v>4980</v>
      </c>
      <c r="D2491" s="6" t="s">
        <v>13</v>
      </c>
      <c r="E2491" s="8">
        <v>4047542635134</v>
      </c>
      <c r="F2491" s="8">
        <v>4018510196441</v>
      </c>
      <c r="G2491" s="8">
        <v>798731127596</v>
      </c>
      <c r="H2491" s="8">
        <v>14029815114</v>
      </c>
      <c r="I2491" s="8">
        <v>-29519793435</v>
      </c>
      <c r="J2491" s="8"/>
      <c r="K2491" s="8">
        <v>810478570966</v>
      </c>
      <c r="L2491" s="8">
        <v>164260315145</v>
      </c>
      <c r="M2491" s="8"/>
      <c r="N2491" s="8"/>
      <c r="O2491" s="8"/>
      <c r="P2491" s="8"/>
      <c r="Q2491" s="18">
        <f>(Table1[[#This Row],[A. TÀI SẢN NGẮN HẠN]]-Table1[[#This Row],[I. Nợ ngắn hạn]])/Table1[[#This Row],[TỔNG CỘNG TÀI SẢN]]</f>
        <v>0.79548984633200892</v>
      </c>
      <c r="R2491" s="18">
        <f>Table1[[#This Row],[- LNST chưa phân phối kỳ này]]/Table1[[#This Row],[TỔNG CỘNG TÀI SẢN]]</f>
        <v>3.4662550536754314E-3</v>
      </c>
      <c r="S2491" s="21">
        <f>Table1[[#This Row],[5. Lợi nhuận gộp về bán hàng và cung cấp dịch vụ]]/Table1[[#This Row],[TỔNG CỘNG TÀI SẢN]]</f>
        <v>-7.2932631218652257E-3</v>
      </c>
      <c r="T249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491" s="23">
        <f>Table1[[#This Row],[1. Doanh thu bán hàng và cung cấp dịch vụ ]]/Table1[[#This Row],[TỔNG CỘNG TÀI SẢN]]</f>
        <v>4.0582726348369132E-2</v>
      </c>
      <c r="V2491" s="23" t="e">
        <f>1.2*Table1[[#This Row],[X1]] + 1.4*Table1[[#This Row],[X2]] + 3.3*Table1[[#This Row],[x3]] + 0.6*Table1[[#This Row],[x4]] + 1*Table1[[#This Row],[x5]]</f>
        <v>#DIV/0!</v>
      </c>
      <c r="W2491" s="23" t="e">
        <f>IF(Table1[[#This Row],[Zscore]]&lt;1.81,1,0)</f>
        <v>#DIV/0!</v>
      </c>
    </row>
    <row r="2492" spans="1:23" x14ac:dyDescent="0.45">
      <c r="A2492" s="7">
        <v>2486</v>
      </c>
      <c r="B2492" s="5" t="s">
        <v>4981</v>
      </c>
      <c r="C2492" s="6" t="s">
        <v>4982</v>
      </c>
      <c r="D2492" s="6" t="s">
        <v>21</v>
      </c>
      <c r="E2492" s="8">
        <v>1302211391110</v>
      </c>
      <c r="F2492" s="8">
        <v>957861907750</v>
      </c>
      <c r="G2492" s="8">
        <v>689999213525</v>
      </c>
      <c r="H2492" s="8">
        <v>29819612840</v>
      </c>
      <c r="I2492" s="8">
        <v>224131015933</v>
      </c>
      <c r="J2492" s="8"/>
      <c r="K2492" s="8">
        <v>724726245272</v>
      </c>
      <c r="L2492" s="8">
        <v>1604355922012</v>
      </c>
      <c r="M2492" s="8">
        <v>354900000000</v>
      </c>
      <c r="N2492" s="8">
        <v>342300000000</v>
      </c>
      <c r="O2492" s="8">
        <v>319200000000</v>
      </c>
      <c r="P2492" s="8">
        <v>337050000000</v>
      </c>
      <c r="Q2492" s="18">
        <f>(Table1[[#This Row],[A. TÀI SẢN NGẮN HẠN]]-Table1[[#This Row],[I. Nợ ngắn hạn]])/Table1[[#This Row],[TỔNG CỘNG TÀI SẢN]]</f>
        <v>0.20569831906989761</v>
      </c>
      <c r="R2492" s="18">
        <f>Table1[[#This Row],[- LNST chưa phân phối kỳ này]]/Table1[[#This Row],[TỔNG CỘNG TÀI SẢN]]</f>
        <v>2.2899210561030246E-2</v>
      </c>
      <c r="S2492" s="21">
        <f>Table1[[#This Row],[5. Lợi nhuận gộp về bán hàng và cung cấp dịch vụ]]/Table1[[#This Row],[TỔNG CỘNG TÀI SẢN]]</f>
        <v>0.17211569293826526</v>
      </c>
      <c r="T249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0.46688318824856107</v>
      </c>
      <c r="U2492" s="23">
        <f>Table1[[#This Row],[1. Doanh thu bán hàng và cung cấp dịch vụ ]]/Table1[[#This Row],[TỔNG CỘNG TÀI SẢN]]</f>
        <v>1.2320241805322047</v>
      </c>
      <c r="V2492" s="23">
        <f>1.2*Table1[[#This Row],[X1]] + 1.4*Table1[[#This Row],[X2]] + 3.3*Table1[[#This Row],[x3]] + 0.6*Table1[[#This Row],[x4]] + 1*Table1[[#This Row],[x5]]</f>
        <v>2.3590327578469363</v>
      </c>
      <c r="W2492" s="23">
        <f>IF(Table1[[#This Row],[Zscore]]&lt;1.81,1,0)</f>
        <v>0</v>
      </c>
    </row>
    <row r="2493" spans="1:23" hidden="1" x14ac:dyDescent="0.45">
      <c r="A2493" s="7">
        <v>2487</v>
      </c>
      <c r="B2493" s="5" t="s">
        <v>4983</v>
      </c>
      <c r="C2493" s="6" t="s">
        <v>4984</v>
      </c>
      <c r="D2493" s="6" t="s">
        <v>13</v>
      </c>
      <c r="E2493" s="6"/>
      <c r="F2493" s="6"/>
      <c r="G2493" s="6"/>
      <c r="H2493" s="6"/>
      <c r="I2493" s="6"/>
      <c r="J2493" s="8"/>
      <c r="K2493" s="6"/>
      <c r="L2493" s="6"/>
      <c r="M2493" s="8"/>
      <c r="N2493" s="8"/>
      <c r="O2493" s="8"/>
      <c r="P2493" s="8"/>
      <c r="Q2493" s="18" t="e">
        <f>(Table1[[#This Row],[A. TÀI SẢN NGẮN HẠN]]-Table1[[#This Row],[I. Nợ ngắn hạn]])/Table1[[#This Row],[TỔNG CỘNG TÀI SẢN]]</f>
        <v>#DIV/0!</v>
      </c>
      <c r="R2493" s="18" t="e">
        <f>Table1[[#This Row],[- LNST chưa phân phối kỳ này]]/Table1[[#This Row],[TỔNG CỘNG TÀI SẢN]]</f>
        <v>#DIV/0!</v>
      </c>
      <c r="S2493" s="21" t="e">
        <f>Table1[[#This Row],[5. Lợi nhuận gộp về bán hàng và cung cấp dịch vụ]]/Table1[[#This Row],[TỔNG CỘNG TÀI SẢN]]</f>
        <v>#DIV/0!</v>
      </c>
      <c r="T249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493" s="23" t="e">
        <f>Table1[[#This Row],[1. Doanh thu bán hàng và cung cấp dịch vụ ]]/Table1[[#This Row],[TỔNG CỘNG TÀI SẢN]]</f>
        <v>#DIV/0!</v>
      </c>
      <c r="V2493" s="23" t="e">
        <f>1.2*Table1[[#This Row],[X1]] + 1.4*Table1[[#This Row],[X2]] + 3.3*Table1[[#This Row],[x3]] + 0.6*Table1[[#This Row],[x4]] + 1*Table1[[#This Row],[x5]]</f>
        <v>#DIV/0!</v>
      </c>
      <c r="W2493" s="23" t="e">
        <f>IF(Table1[[#This Row],[Zscore]]&lt;1.81,1,0)</f>
        <v>#DIV/0!</v>
      </c>
    </row>
    <row r="2494" spans="1:23" hidden="1" x14ac:dyDescent="0.45">
      <c r="A2494" s="7">
        <v>2488</v>
      </c>
      <c r="B2494" s="5" t="s">
        <v>4985</v>
      </c>
      <c r="C2494" s="6" t="s">
        <v>4986</v>
      </c>
      <c r="D2494" s="6" t="s">
        <v>13</v>
      </c>
      <c r="E2494" s="6"/>
      <c r="F2494" s="6"/>
      <c r="G2494" s="6"/>
      <c r="H2494" s="6"/>
      <c r="I2494" s="6"/>
      <c r="J2494" s="8"/>
      <c r="K2494" s="6"/>
      <c r="L2494" s="6"/>
      <c r="M2494" s="8">
        <v>94886090000</v>
      </c>
      <c r="N2494" s="8"/>
      <c r="O2494" s="8">
        <v>94886090000</v>
      </c>
      <c r="P2494" s="8">
        <v>94886090000</v>
      </c>
      <c r="Q2494" s="18" t="e">
        <f>(Table1[[#This Row],[A. TÀI SẢN NGẮN HẠN]]-Table1[[#This Row],[I. Nợ ngắn hạn]])/Table1[[#This Row],[TỔNG CỘNG TÀI SẢN]]</f>
        <v>#DIV/0!</v>
      </c>
      <c r="R2494" s="18" t="e">
        <f>Table1[[#This Row],[- LNST chưa phân phối kỳ này]]/Table1[[#This Row],[TỔNG CỘNG TÀI SẢN]]</f>
        <v>#DIV/0!</v>
      </c>
      <c r="S2494" s="21" t="e">
        <f>Table1[[#This Row],[5. Lợi nhuận gộp về bán hàng và cung cấp dịch vụ]]/Table1[[#This Row],[TỔNG CỘNG TÀI SẢN]]</f>
        <v>#DIV/0!</v>
      </c>
      <c r="T249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494" s="23" t="e">
        <f>Table1[[#This Row],[1. Doanh thu bán hàng và cung cấp dịch vụ ]]/Table1[[#This Row],[TỔNG CỘNG TÀI SẢN]]</f>
        <v>#DIV/0!</v>
      </c>
      <c r="V2494" s="23" t="e">
        <f>1.2*Table1[[#This Row],[X1]] + 1.4*Table1[[#This Row],[X2]] + 3.3*Table1[[#This Row],[x3]] + 0.6*Table1[[#This Row],[x4]] + 1*Table1[[#This Row],[x5]]</f>
        <v>#DIV/0!</v>
      </c>
      <c r="W2494" s="23" t="e">
        <f>IF(Table1[[#This Row],[Zscore]]&lt;1.81,1,0)</f>
        <v>#DIV/0!</v>
      </c>
    </row>
    <row r="2495" spans="1:23" hidden="1" x14ac:dyDescent="0.45">
      <c r="A2495" s="7">
        <v>2489</v>
      </c>
      <c r="B2495" s="5" t="s">
        <v>4987</v>
      </c>
      <c r="C2495" s="6" t="s">
        <v>4988</v>
      </c>
      <c r="D2495" s="6" t="s">
        <v>18</v>
      </c>
      <c r="E2495" s="6"/>
      <c r="F2495" s="6"/>
      <c r="G2495" s="6"/>
      <c r="H2495" s="6"/>
      <c r="I2495" s="6"/>
      <c r="J2495" s="8"/>
      <c r="K2495" s="6"/>
      <c r="L2495" s="6"/>
      <c r="M2495" s="8"/>
      <c r="N2495" s="8"/>
      <c r="O2495" s="8"/>
      <c r="P2495" s="8"/>
      <c r="Q2495" s="18" t="e">
        <f>(Table1[[#This Row],[A. TÀI SẢN NGẮN HẠN]]-Table1[[#This Row],[I. Nợ ngắn hạn]])/Table1[[#This Row],[TỔNG CỘNG TÀI SẢN]]</f>
        <v>#DIV/0!</v>
      </c>
      <c r="R2495" s="18" t="e">
        <f>Table1[[#This Row],[- LNST chưa phân phối kỳ này]]/Table1[[#This Row],[TỔNG CỘNG TÀI SẢN]]</f>
        <v>#DIV/0!</v>
      </c>
      <c r="S2495" s="21" t="e">
        <f>Table1[[#This Row],[5. Lợi nhuận gộp về bán hàng và cung cấp dịch vụ]]/Table1[[#This Row],[TỔNG CỘNG TÀI SẢN]]</f>
        <v>#DIV/0!</v>
      </c>
      <c r="T249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495" s="23" t="e">
        <f>Table1[[#This Row],[1. Doanh thu bán hàng và cung cấp dịch vụ ]]/Table1[[#This Row],[TỔNG CỘNG TÀI SẢN]]</f>
        <v>#DIV/0!</v>
      </c>
      <c r="V2495" s="23" t="e">
        <f>1.2*Table1[[#This Row],[X1]] + 1.4*Table1[[#This Row],[X2]] + 3.3*Table1[[#This Row],[x3]] + 0.6*Table1[[#This Row],[x4]] + 1*Table1[[#This Row],[x5]]</f>
        <v>#DIV/0!</v>
      </c>
      <c r="W2495" s="23" t="e">
        <f>IF(Table1[[#This Row],[Zscore]]&lt;1.81,1,0)</f>
        <v>#DIV/0!</v>
      </c>
    </row>
    <row r="2496" spans="1:23" x14ac:dyDescent="0.45">
      <c r="A2496" s="7">
        <v>2490</v>
      </c>
      <c r="B2496" s="5" t="s">
        <v>4989</v>
      </c>
      <c r="C2496" s="6" t="s">
        <v>4990</v>
      </c>
      <c r="D2496" s="6" t="s">
        <v>36</v>
      </c>
      <c r="E2496" s="8">
        <v>139688740422</v>
      </c>
      <c r="F2496" s="8">
        <v>139410571185</v>
      </c>
      <c r="G2496" s="8">
        <v>29016164390</v>
      </c>
      <c r="H2496" s="8">
        <v>554631288</v>
      </c>
      <c r="I2496" s="8">
        <v>14691349230</v>
      </c>
      <c r="J2496" s="8"/>
      <c r="K2496" s="8">
        <v>29016164390</v>
      </c>
      <c r="L2496" s="8">
        <v>209945750464</v>
      </c>
      <c r="M2496" s="8">
        <v>32900000000</v>
      </c>
      <c r="N2496" s="8">
        <v>31500000000</v>
      </c>
      <c r="O2496" s="8">
        <v>32200000000</v>
      </c>
      <c r="P2496" s="8">
        <v>35700000000</v>
      </c>
      <c r="Q2496" s="18">
        <f>(Table1[[#This Row],[A. TÀI SẢN NGẮN HẠN]]-Table1[[#This Row],[I. Nợ ngắn hạn]])/Table1[[#This Row],[TỔNG CỘNG TÀI SẢN]]</f>
        <v>0.79028851188362248</v>
      </c>
      <c r="R2496" s="18">
        <f>Table1[[#This Row],[- LNST chưa phân phối kỳ này]]/Table1[[#This Row],[TỔNG CỘNG TÀI SẢN]]</f>
        <v>3.9704795556496364E-3</v>
      </c>
      <c r="S2496" s="21">
        <f>Table1[[#This Row],[5. Lợi nhuận gộp về bán hàng và cung cấp dịch vụ]]/Table1[[#This Row],[TỔNG CỘNG TÀI SẢN]]</f>
        <v>0.10517203595377408</v>
      </c>
      <c r="T249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1.1398818794740087</v>
      </c>
      <c r="U2496" s="23">
        <f>Table1[[#This Row],[1. Doanh thu bán hàng và cung cấp dịch vụ ]]/Table1[[#This Row],[TỔNG CỘNG TÀI SẢN]]</f>
        <v>1.5029539949301096</v>
      </c>
      <c r="V2496" s="23">
        <f>1.2*Table1[[#This Row],[X1]] + 1.4*Table1[[#This Row],[X2]] + 3.3*Table1[[#This Row],[x3]] + 0.6*Table1[[#This Row],[x4]] + 1*Table1[[#This Row],[x5]]</f>
        <v>3.4878557269002255</v>
      </c>
      <c r="W2496" s="23">
        <f>IF(Table1[[#This Row],[Zscore]]&lt;1.81,1,0)</f>
        <v>0</v>
      </c>
    </row>
    <row r="2497" spans="1:23" ht="26.25" x14ac:dyDescent="0.45">
      <c r="A2497" s="7">
        <v>2491</v>
      </c>
      <c r="B2497" s="5" t="s">
        <v>4991</v>
      </c>
      <c r="C2497" s="6" t="s">
        <v>4992</v>
      </c>
      <c r="D2497" s="6" t="s">
        <v>21</v>
      </c>
      <c r="E2497" s="8">
        <v>1640749210979</v>
      </c>
      <c r="F2497" s="8">
        <v>1562083162285</v>
      </c>
      <c r="G2497" s="8">
        <v>999758658671</v>
      </c>
      <c r="H2497" s="8">
        <v>118512074299</v>
      </c>
      <c r="I2497" s="8">
        <v>253830586068</v>
      </c>
      <c r="J2497" s="8"/>
      <c r="K2497" s="8">
        <v>999758658671</v>
      </c>
      <c r="L2497" s="8">
        <v>2346649714331</v>
      </c>
      <c r="M2497" s="8">
        <v>475549021000</v>
      </c>
      <c r="N2497" s="8">
        <v>106582134000</v>
      </c>
      <c r="O2497" s="8">
        <v>87899633500</v>
      </c>
      <c r="P2497" s="8">
        <v>109338568500</v>
      </c>
      <c r="Q2497" s="18">
        <f>(Table1[[#This Row],[A. TÀI SẢN NGẮN HẠN]]-Table1[[#This Row],[I. Nợ ngắn hạn]])/Table1[[#This Row],[TỔNG CỘNG TÀI SẢN]]</f>
        <v>0.34272422613476256</v>
      </c>
      <c r="R2497" s="18">
        <f>Table1[[#This Row],[- LNST chưa phân phối kỳ này]]/Table1[[#This Row],[TỔNG CỘNG TÀI SẢN]]</f>
        <v>7.2230462465550344E-2</v>
      </c>
      <c r="S2497" s="21">
        <f>Table1[[#This Row],[5. Lợi nhuận gộp về bán hàng và cung cấp dịch vụ]]/Table1[[#This Row],[TỔNG CỘNG TÀI SẢN]]</f>
        <v>0.15470407321820054</v>
      </c>
      <c r="T249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0.19488937411055582</v>
      </c>
      <c r="U2497" s="23">
        <f>Table1[[#This Row],[1. Doanh thu bán hàng và cung cấp dịch vụ ]]/Table1[[#This Row],[TỔNG CỘNG TÀI SẢN]]</f>
        <v>1.4302305913838009</v>
      </c>
      <c r="V2497" s="23">
        <f>1.2*Table1[[#This Row],[X1]] + 1.4*Table1[[#This Row],[X2]] + 3.3*Table1[[#This Row],[x3]] + 0.6*Table1[[#This Row],[x4]] + 1*Table1[[#This Row],[x5]]</f>
        <v>2.5700793762836818</v>
      </c>
      <c r="W2497" s="23">
        <f>IF(Table1[[#This Row],[Zscore]]&lt;1.81,1,0)</f>
        <v>0</v>
      </c>
    </row>
    <row r="2498" spans="1:23" hidden="1" x14ac:dyDescent="0.45">
      <c r="A2498" s="7">
        <v>2492</v>
      </c>
      <c r="B2498" s="5" t="s">
        <v>4993</v>
      </c>
      <c r="C2498" s="6" t="s">
        <v>4994</v>
      </c>
      <c r="D2498" s="6" t="s">
        <v>13</v>
      </c>
      <c r="E2498" s="6"/>
      <c r="F2498" s="6"/>
      <c r="G2498" s="6"/>
      <c r="H2498" s="6"/>
      <c r="I2498" s="6"/>
      <c r="J2498" s="8"/>
      <c r="K2498" s="6"/>
      <c r="L2498" s="6"/>
      <c r="M2498" s="8"/>
      <c r="N2498" s="8"/>
      <c r="O2498" s="8"/>
      <c r="P2498" s="8"/>
      <c r="Q2498" s="18" t="e">
        <f>(Table1[[#This Row],[A. TÀI SẢN NGẮN HẠN]]-Table1[[#This Row],[I. Nợ ngắn hạn]])/Table1[[#This Row],[TỔNG CỘNG TÀI SẢN]]</f>
        <v>#DIV/0!</v>
      </c>
      <c r="R2498" s="18" t="e">
        <f>Table1[[#This Row],[- LNST chưa phân phối kỳ này]]/Table1[[#This Row],[TỔNG CỘNG TÀI SẢN]]</f>
        <v>#DIV/0!</v>
      </c>
      <c r="S2498" s="21" t="e">
        <f>Table1[[#This Row],[5. Lợi nhuận gộp về bán hàng và cung cấp dịch vụ]]/Table1[[#This Row],[TỔNG CỘNG TÀI SẢN]]</f>
        <v>#DIV/0!</v>
      </c>
      <c r="T249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498" s="23" t="e">
        <f>Table1[[#This Row],[1. Doanh thu bán hàng và cung cấp dịch vụ ]]/Table1[[#This Row],[TỔNG CỘNG TÀI SẢN]]</f>
        <v>#DIV/0!</v>
      </c>
      <c r="V2498" s="23" t="e">
        <f>1.2*Table1[[#This Row],[X1]] + 1.4*Table1[[#This Row],[X2]] + 3.3*Table1[[#This Row],[x3]] + 0.6*Table1[[#This Row],[x4]] + 1*Table1[[#This Row],[x5]]</f>
        <v>#DIV/0!</v>
      </c>
      <c r="W2498" s="23" t="e">
        <f>IF(Table1[[#This Row],[Zscore]]&lt;1.81,1,0)</f>
        <v>#DIV/0!</v>
      </c>
    </row>
    <row r="2499" spans="1:23" hidden="1" x14ac:dyDescent="0.45">
      <c r="A2499" s="7">
        <v>2493</v>
      </c>
      <c r="B2499" s="5" t="s">
        <v>4995</v>
      </c>
      <c r="C2499" s="6" t="s">
        <v>4996</v>
      </c>
      <c r="D2499" s="6" t="s">
        <v>18</v>
      </c>
      <c r="E2499" s="6"/>
      <c r="F2499" s="6"/>
      <c r="G2499" s="6"/>
      <c r="H2499" s="6"/>
      <c r="I2499" s="6"/>
      <c r="J2499" s="8"/>
      <c r="K2499" s="6"/>
      <c r="L2499" s="6"/>
      <c r="M2499" s="8"/>
      <c r="N2499" s="8"/>
      <c r="O2499" s="8"/>
      <c r="P2499" s="8"/>
      <c r="Q2499" s="18" t="e">
        <f>(Table1[[#This Row],[A. TÀI SẢN NGẮN HẠN]]-Table1[[#This Row],[I. Nợ ngắn hạn]])/Table1[[#This Row],[TỔNG CỘNG TÀI SẢN]]</f>
        <v>#DIV/0!</v>
      </c>
      <c r="R2499" s="18" t="e">
        <f>Table1[[#This Row],[- LNST chưa phân phối kỳ này]]/Table1[[#This Row],[TỔNG CỘNG TÀI SẢN]]</f>
        <v>#DIV/0!</v>
      </c>
      <c r="S2499" s="21" t="e">
        <f>Table1[[#This Row],[5. Lợi nhuận gộp về bán hàng và cung cấp dịch vụ]]/Table1[[#This Row],[TỔNG CỘNG TÀI SẢN]]</f>
        <v>#DIV/0!</v>
      </c>
      <c r="T249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499" s="23" t="e">
        <f>Table1[[#This Row],[1. Doanh thu bán hàng và cung cấp dịch vụ ]]/Table1[[#This Row],[TỔNG CỘNG TÀI SẢN]]</f>
        <v>#DIV/0!</v>
      </c>
      <c r="V2499" s="23" t="e">
        <f>1.2*Table1[[#This Row],[X1]] + 1.4*Table1[[#This Row],[X2]] + 3.3*Table1[[#This Row],[x3]] + 0.6*Table1[[#This Row],[x4]] + 1*Table1[[#This Row],[x5]]</f>
        <v>#DIV/0!</v>
      </c>
      <c r="W2499" s="23" t="e">
        <f>IF(Table1[[#This Row],[Zscore]]&lt;1.81,1,0)</f>
        <v>#DIV/0!</v>
      </c>
    </row>
    <row r="2500" spans="1:23" x14ac:dyDescent="0.45">
      <c r="A2500" s="7">
        <v>2494</v>
      </c>
      <c r="B2500" s="5" t="s">
        <v>4997</v>
      </c>
      <c r="C2500" s="6" t="s">
        <v>4998</v>
      </c>
      <c r="D2500" s="6" t="s">
        <v>18</v>
      </c>
      <c r="E2500" s="8">
        <v>850102221995</v>
      </c>
      <c r="F2500" s="8">
        <v>464860924519</v>
      </c>
      <c r="G2500" s="8">
        <v>621814427190</v>
      </c>
      <c r="H2500" s="8">
        <v>-58724615004</v>
      </c>
      <c r="I2500" s="8">
        <v>-2574166441</v>
      </c>
      <c r="J2500" s="8"/>
      <c r="K2500" s="8">
        <v>712271943899</v>
      </c>
      <c r="L2500" s="8">
        <v>276354417135</v>
      </c>
      <c r="M2500" s="8">
        <v>156177000000</v>
      </c>
      <c r="N2500" s="8">
        <v>138824000000</v>
      </c>
      <c r="O2500" s="8">
        <v>159647600000</v>
      </c>
      <c r="P2500" s="8">
        <v>142294600000</v>
      </c>
      <c r="Q2500" s="18">
        <f>(Table1[[#This Row],[A. TÀI SẢN NGẮN HẠN]]-Table1[[#This Row],[I. Nợ ngắn hạn]])/Table1[[#This Row],[TỔNG CỘNG TÀI SẢN]]</f>
        <v>-0.184628975916173</v>
      </c>
      <c r="R2500" s="18">
        <f>Table1[[#This Row],[- LNST chưa phân phối kỳ này]]/Table1[[#This Row],[TỔNG CỘNG TÀI SẢN]]</f>
        <v>-6.9079474779146499E-2</v>
      </c>
      <c r="S2500" s="21">
        <f>Table1[[#This Row],[5. Lợi nhuận gộp về bán hàng và cung cấp dịch vụ]]/Table1[[#This Row],[TỔNG CỘNG TÀI SẢN]]</f>
        <v>-3.0280669481830154E-3</v>
      </c>
      <c r="T250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0.20952081754488086</v>
      </c>
      <c r="U2500" s="23">
        <f>Table1[[#This Row],[1. Doanh thu bán hàng và cung cấp dịch vụ ]]/Table1[[#This Row],[TỔNG CỘNG TÀI SẢN]]</f>
        <v>0.3250837487360731</v>
      </c>
      <c r="V2500" s="23">
        <f>1.2*Table1[[#This Row],[X1]] + 1.4*Table1[[#This Row],[X2]] + 3.3*Table1[[#This Row],[x3]] + 0.6*Table1[[#This Row],[x4]] + 1*Table1[[#This Row],[x5]]</f>
        <v>0.12253758254378494</v>
      </c>
      <c r="W2500" s="23">
        <f>IF(Table1[[#This Row],[Zscore]]&lt;1.81,1,0)</f>
        <v>1</v>
      </c>
    </row>
    <row r="2501" spans="1:23" x14ac:dyDescent="0.45">
      <c r="A2501" s="7">
        <v>2495</v>
      </c>
      <c r="B2501" s="5" t="s">
        <v>4999</v>
      </c>
      <c r="C2501" s="6" t="s">
        <v>5000</v>
      </c>
      <c r="D2501" s="6" t="s">
        <v>18</v>
      </c>
      <c r="E2501" s="8">
        <v>408954158407</v>
      </c>
      <c r="F2501" s="8">
        <v>207062846933</v>
      </c>
      <c r="G2501" s="8">
        <v>167734068881</v>
      </c>
      <c r="H2501" s="8">
        <v>5061308602</v>
      </c>
      <c r="I2501" s="8">
        <v>12153824123</v>
      </c>
      <c r="J2501" s="8"/>
      <c r="K2501" s="8">
        <v>181341582092</v>
      </c>
      <c r="L2501" s="8">
        <v>60719249031</v>
      </c>
      <c r="M2501" s="8">
        <v>141900000000</v>
      </c>
      <c r="N2501" s="8">
        <v>133650000000</v>
      </c>
      <c r="O2501" s="8">
        <v>127050000000</v>
      </c>
      <c r="P2501" s="8">
        <v>122100000000</v>
      </c>
      <c r="Q2501" s="18">
        <f>(Table1[[#This Row],[A. TÀI SẢN NGẮN HẠN]]-Table1[[#This Row],[I. Nợ ngắn hạn]])/Table1[[#This Row],[TỔNG CỘNG TÀI SẢN]]</f>
        <v>9.6169160389999384E-2</v>
      </c>
      <c r="R2501" s="18">
        <f>Table1[[#This Row],[- LNST chưa phân phối kỳ này]]/Table1[[#This Row],[TỔNG CỘNG TÀI SẢN]]</f>
        <v>1.2376224811395307E-2</v>
      </c>
      <c r="S2501" s="21">
        <f>Table1[[#This Row],[5. Lợi nhuận gộp về bán hàng và cung cấp dịch vụ]]/Table1[[#This Row],[TỔNG CỘNG TÀI SẢN]]</f>
        <v>2.9719282401584609E-2</v>
      </c>
      <c r="T250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0.72335863891079877</v>
      </c>
      <c r="U2501" s="23">
        <f>Table1[[#This Row],[1. Doanh thu bán hàng và cung cấp dịch vụ ]]/Table1[[#This Row],[TỔNG CỘNG TÀI SẢN]]</f>
        <v>0.14847446292640676</v>
      </c>
      <c r="V2501" s="23">
        <f>1.2*Table1[[#This Row],[X1]] + 1.4*Table1[[#This Row],[X2]] + 3.3*Table1[[#This Row],[x3]] + 0.6*Table1[[#This Row],[x4]] + 1*Table1[[#This Row],[x5]]</f>
        <v>0.81329298540206785</v>
      </c>
      <c r="W2501" s="23">
        <f>IF(Table1[[#This Row],[Zscore]]&lt;1.81,1,0)</f>
        <v>1</v>
      </c>
    </row>
    <row r="2502" spans="1:23" ht="26.25" hidden="1" x14ac:dyDescent="0.45">
      <c r="A2502" s="7">
        <v>2496</v>
      </c>
      <c r="B2502" s="5" t="s">
        <v>5001</v>
      </c>
      <c r="C2502" s="6" t="s">
        <v>5002</v>
      </c>
      <c r="D2502" s="6" t="s">
        <v>18</v>
      </c>
      <c r="E2502" s="6"/>
      <c r="F2502" s="6"/>
      <c r="G2502" s="6"/>
      <c r="H2502" s="6"/>
      <c r="I2502" s="6"/>
      <c r="J2502" s="8"/>
      <c r="K2502" s="6"/>
      <c r="L2502" s="6"/>
      <c r="M2502" s="8"/>
      <c r="N2502" s="8"/>
      <c r="O2502" s="8"/>
      <c r="P2502" s="8"/>
      <c r="Q2502" s="18" t="e">
        <f>(Table1[[#This Row],[A. TÀI SẢN NGẮN HẠN]]-Table1[[#This Row],[I. Nợ ngắn hạn]])/Table1[[#This Row],[TỔNG CỘNG TÀI SẢN]]</f>
        <v>#DIV/0!</v>
      </c>
      <c r="R2502" s="18" t="e">
        <f>Table1[[#This Row],[- LNST chưa phân phối kỳ này]]/Table1[[#This Row],[TỔNG CỘNG TÀI SẢN]]</f>
        <v>#DIV/0!</v>
      </c>
      <c r="S2502" s="21" t="e">
        <f>Table1[[#This Row],[5. Lợi nhuận gộp về bán hàng và cung cấp dịch vụ]]/Table1[[#This Row],[TỔNG CỘNG TÀI SẢN]]</f>
        <v>#DIV/0!</v>
      </c>
      <c r="T250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502" s="23" t="e">
        <f>Table1[[#This Row],[1. Doanh thu bán hàng và cung cấp dịch vụ ]]/Table1[[#This Row],[TỔNG CỘNG TÀI SẢN]]</f>
        <v>#DIV/0!</v>
      </c>
      <c r="V2502" s="23" t="e">
        <f>1.2*Table1[[#This Row],[X1]] + 1.4*Table1[[#This Row],[X2]] + 3.3*Table1[[#This Row],[x3]] + 0.6*Table1[[#This Row],[x4]] + 1*Table1[[#This Row],[x5]]</f>
        <v>#DIV/0!</v>
      </c>
      <c r="W2502" s="23" t="e">
        <f>IF(Table1[[#This Row],[Zscore]]&lt;1.81,1,0)</f>
        <v>#DIV/0!</v>
      </c>
    </row>
    <row r="2503" spans="1:23" hidden="1" x14ac:dyDescent="0.45">
      <c r="A2503" s="7">
        <v>2497</v>
      </c>
      <c r="B2503" s="5" t="s">
        <v>5003</v>
      </c>
      <c r="C2503" s="6" t="s">
        <v>5004</v>
      </c>
      <c r="D2503" s="6" t="s">
        <v>18</v>
      </c>
      <c r="E2503" s="8">
        <v>105101559851</v>
      </c>
      <c r="F2503" s="8">
        <v>86824941254</v>
      </c>
      <c r="G2503" s="8">
        <v>78781393593</v>
      </c>
      <c r="H2503" s="8">
        <v>1588845850</v>
      </c>
      <c r="I2503" s="8">
        <v>19244977515</v>
      </c>
      <c r="J2503" s="8"/>
      <c r="K2503" s="8">
        <v>78781393593</v>
      </c>
      <c r="L2503" s="8">
        <v>161723778924</v>
      </c>
      <c r="M2503" s="8"/>
      <c r="N2503" s="8"/>
      <c r="O2503" s="8"/>
      <c r="P2503" s="8"/>
      <c r="Q2503" s="18">
        <f>(Table1[[#This Row],[A. TÀI SẢN NGẮN HẠN]]-Table1[[#This Row],[I. Nợ ngắn hạn]])/Table1[[#This Row],[TỔNG CỘNG TÀI SẢN]]</f>
        <v>7.6531192043230833E-2</v>
      </c>
      <c r="R2503" s="18">
        <f>Table1[[#This Row],[- LNST chưa phân phối kỳ này]]/Table1[[#This Row],[TỔNG CỘNG TÀI SẢN]]</f>
        <v>1.5117243285946177E-2</v>
      </c>
      <c r="S2503" s="21">
        <f>Table1[[#This Row],[5. Lợi nhuận gộp về bán hàng và cung cấp dịch vụ]]/Table1[[#This Row],[TỔNG CỘNG TÀI SẢN]]</f>
        <v>0.18310839099137205</v>
      </c>
      <c r="T250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503" s="23">
        <f>Table1[[#This Row],[1. Doanh thu bán hàng và cung cấp dịch vụ ]]/Table1[[#This Row],[TỔNG CỘNG TÀI SẢN]]</f>
        <v>1.538738141976884</v>
      </c>
      <c r="V2503" s="23" t="e">
        <f>1.2*Table1[[#This Row],[X1]] + 1.4*Table1[[#This Row],[X2]] + 3.3*Table1[[#This Row],[x3]] + 0.6*Table1[[#This Row],[x4]] + 1*Table1[[#This Row],[x5]]</f>
        <v>#DIV/0!</v>
      </c>
      <c r="W2503" s="23" t="e">
        <f>IF(Table1[[#This Row],[Zscore]]&lt;1.81,1,0)</f>
        <v>#DIV/0!</v>
      </c>
    </row>
    <row r="2504" spans="1:23" ht="26.25" x14ac:dyDescent="0.45">
      <c r="A2504" s="7">
        <v>2498</v>
      </c>
      <c r="B2504" s="5" t="s">
        <v>5005</v>
      </c>
      <c r="C2504" s="6" t="s">
        <v>5006</v>
      </c>
      <c r="D2504" s="6" t="s">
        <v>21</v>
      </c>
      <c r="E2504" s="8">
        <v>821528629202</v>
      </c>
      <c r="F2504" s="8">
        <v>537985751994</v>
      </c>
      <c r="G2504" s="8">
        <v>254117920227</v>
      </c>
      <c r="H2504" s="8">
        <v>102037831911</v>
      </c>
      <c r="I2504" s="8">
        <v>145542624323</v>
      </c>
      <c r="J2504" s="8"/>
      <c r="K2504" s="8">
        <v>254223130911</v>
      </c>
      <c r="L2504" s="8">
        <v>3379696916302</v>
      </c>
      <c r="M2504" s="8">
        <v>355200000000</v>
      </c>
      <c r="N2504" s="8">
        <v>473100000000</v>
      </c>
      <c r="O2504" s="8">
        <v>324012000000</v>
      </c>
      <c r="P2504" s="8">
        <v>405455000000</v>
      </c>
      <c r="Q2504" s="18">
        <f>(Table1[[#This Row],[A. TÀI SẢN NGẮN HẠN]]-Table1[[#This Row],[I. Nợ ngắn hạn]])/Table1[[#This Row],[TỔNG CỘNG TÀI SẢN]]</f>
        <v>0.34553614040540237</v>
      </c>
      <c r="R2504" s="18">
        <f>Table1[[#This Row],[- LNST chưa phân phối kỳ này]]/Table1[[#This Row],[TỔNG CỘNG TÀI SẢN]]</f>
        <v>0.12420483995806143</v>
      </c>
      <c r="S2504" s="21">
        <f>Table1[[#This Row],[5. Lợi nhuận gộp về bán hàng và cung cấp dịch vụ]]/Table1[[#This Row],[TỔNG CỘNG TÀI SẢN]]</f>
        <v>0.17716074540746593</v>
      </c>
      <c r="T250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1.531889520062351</v>
      </c>
      <c r="U2504" s="23">
        <f>Table1[[#This Row],[1. Doanh thu bán hàng và cung cấp dịch vụ ]]/Table1[[#This Row],[TỔNG CỘNG TÀI SẢN]]</f>
        <v>4.1139125237606171</v>
      </c>
      <c r="V2504" s="23">
        <f>1.2*Table1[[#This Row],[X1]] + 1.4*Table1[[#This Row],[X2]] + 3.3*Table1[[#This Row],[x3]] + 0.6*Table1[[#This Row],[x4]] + 1*Table1[[#This Row],[x5]]</f>
        <v>6.2062068400704344</v>
      </c>
      <c r="W2504" s="23">
        <f>IF(Table1[[#This Row],[Zscore]]&lt;1.81,1,0)</f>
        <v>0</v>
      </c>
    </row>
    <row r="2505" spans="1:23" hidden="1" x14ac:dyDescent="0.45">
      <c r="A2505" s="7">
        <v>2499</v>
      </c>
      <c r="B2505" s="5" t="s">
        <v>5007</v>
      </c>
      <c r="C2505" s="6" t="s">
        <v>5008</v>
      </c>
      <c r="D2505" s="6" t="s">
        <v>18</v>
      </c>
      <c r="E2505" s="6"/>
      <c r="F2505" s="6"/>
      <c r="G2505" s="6"/>
      <c r="H2505" s="6"/>
      <c r="I2505" s="6"/>
      <c r="J2505" s="8"/>
      <c r="K2505" s="6"/>
      <c r="L2505" s="6"/>
      <c r="M2505" s="8"/>
      <c r="N2505" s="8"/>
      <c r="O2505" s="8"/>
      <c r="P2505" s="8"/>
      <c r="Q2505" s="18" t="e">
        <f>(Table1[[#This Row],[A. TÀI SẢN NGẮN HẠN]]-Table1[[#This Row],[I. Nợ ngắn hạn]])/Table1[[#This Row],[TỔNG CỘNG TÀI SẢN]]</f>
        <v>#DIV/0!</v>
      </c>
      <c r="R2505" s="18" t="e">
        <f>Table1[[#This Row],[- LNST chưa phân phối kỳ này]]/Table1[[#This Row],[TỔNG CỘNG TÀI SẢN]]</f>
        <v>#DIV/0!</v>
      </c>
      <c r="S2505" s="21" t="e">
        <f>Table1[[#This Row],[5. Lợi nhuận gộp về bán hàng và cung cấp dịch vụ]]/Table1[[#This Row],[TỔNG CỘNG TÀI SẢN]]</f>
        <v>#DIV/0!</v>
      </c>
      <c r="T250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505" s="23" t="e">
        <f>Table1[[#This Row],[1. Doanh thu bán hàng và cung cấp dịch vụ ]]/Table1[[#This Row],[TỔNG CỘNG TÀI SẢN]]</f>
        <v>#DIV/0!</v>
      </c>
      <c r="V2505" s="23" t="e">
        <f>1.2*Table1[[#This Row],[X1]] + 1.4*Table1[[#This Row],[X2]] + 3.3*Table1[[#This Row],[x3]] + 0.6*Table1[[#This Row],[x4]] + 1*Table1[[#This Row],[x5]]</f>
        <v>#DIV/0!</v>
      </c>
      <c r="W2505" s="23" t="e">
        <f>IF(Table1[[#This Row],[Zscore]]&lt;1.81,1,0)</f>
        <v>#DIV/0!</v>
      </c>
    </row>
    <row r="2506" spans="1:23" ht="26.25" x14ac:dyDescent="0.45">
      <c r="A2506" s="7">
        <v>2500</v>
      </c>
      <c r="B2506" s="5" t="s">
        <v>5009</v>
      </c>
      <c r="C2506" s="6" t="s">
        <v>5010</v>
      </c>
      <c r="D2506" s="6" t="s">
        <v>36</v>
      </c>
      <c r="E2506" s="8">
        <v>902862351108</v>
      </c>
      <c r="F2506" s="8">
        <v>842081118385</v>
      </c>
      <c r="G2506" s="8">
        <v>401520379883</v>
      </c>
      <c r="H2506" s="8">
        <v>32411006</v>
      </c>
      <c r="I2506" s="8">
        <v>2150051203</v>
      </c>
      <c r="J2506" s="8"/>
      <c r="K2506" s="8">
        <v>469187554000</v>
      </c>
      <c r="L2506" s="8">
        <v>4500000000</v>
      </c>
      <c r="M2506" s="8">
        <v>101514608000</v>
      </c>
      <c r="N2506" s="8">
        <v>379296924800</v>
      </c>
      <c r="O2506" s="8">
        <v>336679292800</v>
      </c>
      <c r="P2506" s="8">
        <v>417652793600</v>
      </c>
      <c r="Q2506" s="18">
        <f>(Table1[[#This Row],[A. TÀI SẢN NGẮN HẠN]]-Table1[[#This Row],[I. Nợ ngắn hạn]])/Table1[[#This Row],[TỔNG CỘNG TÀI SẢN]]</f>
        <v>0.48796002841556113</v>
      </c>
      <c r="R2506" s="18">
        <f>Table1[[#This Row],[- LNST chưa phân phối kỳ này]]/Table1[[#This Row],[TỔNG CỘNG TÀI SẢN]]</f>
        <v>3.58980590565383E-5</v>
      </c>
      <c r="S2506" s="21">
        <f>Table1[[#This Row],[5. Lợi nhuận gộp về bán hàng và cung cấp dịch vụ]]/Table1[[#This Row],[TỔNG CỘNG TÀI SẢN]]</f>
        <v>2.3813720888476962E-3</v>
      </c>
      <c r="T250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0.65812893408506745</v>
      </c>
      <c r="U2506" s="23">
        <f>Table1[[#This Row],[1. Doanh thu bán hàng và cung cấp dịch vụ ]]/Table1[[#This Row],[TỔNG CỘNG TÀI SẢN]]</f>
        <v>4.9841484634701666E-3</v>
      </c>
      <c r="V2506" s="23">
        <f>1.2*Table1[[#This Row],[X1]] + 1.4*Table1[[#This Row],[X2]] + 3.3*Table1[[#This Row],[x3]] + 0.6*Table1[[#This Row],[x4]] + 1*Table1[[#This Row],[x5]]</f>
        <v>0.99332232818906052</v>
      </c>
      <c r="W2506" s="23">
        <f>IF(Table1[[#This Row],[Zscore]]&lt;1.81,1,0)</f>
        <v>1</v>
      </c>
    </row>
    <row r="2507" spans="1:23" ht="26.25" hidden="1" x14ac:dyDescent="0.45">
      <c r="A2507" s="7">
        <v>2501</v>
      </c>
      <c r="B2507" s="5" t="s">
        <v>5011</v>
      </c>
      <c r="C2507" s="6" t="s">
        <v>5012</v>
      </c>
      <c r="D2507" s="6" t="s">
        <v>13</v>
      </c>
      <c r="E2507" s="6"/>
      <c r="F2507" s="6"/>
      <c r="G2507" s="6"/>
      <c r="H2507" s="6"/>
      <c r="I2507" s="6"/>
      <c r="J2507" s="8"/>
      <c r="K2507" s="6"/>
      <c r="L2507" s="6"/>
      <c r="M2507" s="8"/>
      <c r="N2507" s="8"/>
      <c r="O2507" s="8"/>
      <c r="P2507" s="8"/>
      <c r="Q2507" s="18" t="e">
        <f>(Table1[[#This Row],[A. TÀI SẢN NGẮN HẠN]]-Table1[[#This Row],[I. Nợ ngắn hạn]])/Table1[[#This Row],[TỔNG CỘNG TÀI SẢN]]</f>
        <v>#DIV/0!</v>
      </c>
      <c r="R2507" s="18" t="e">
        <f>Table1[[#This Row],[- LNST chưa phân phối kỳ này]]/Table1[[#This Row],[TỔNG CỘNG TÀI SẢN]]</f>
        <v>#DIV/0!</v>
      </c>
      <c r="S2507" s="21" t="e">
        <f>Table1[[#This Row],[5. Lợi nhuận gộp về bán hàng và cung cấp dịch vụ]]/Table1[[#This Row],[TỔNG CỘNG TÀI SẢN]]</f>
        <v>#DIV/0!</v>
      </c>
      <c r="T250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507" s="23" t="e">
        <f>Table1[[#This Row],[1. Doanh thu bán hàng và cung cấp dịch vụ ]]/Table1[[#This Row],[TỔNG CỘNG TÀI SẢN]]</f>
        <v>#DIV/0!</v>
      </c>
      <c r="V2507" s="23" t="e">
        <f>1.2*Table1[[#This Row],[X1]] + 1.4*Table1[[#This Row],[X2]] + 3.3*Table1[[#This Row],[x3]] + 0.6*Table1[[#This Row],[x4]] + 1*Table1[[#This Row],[x5]]</f>
        <v>#DIV/0!</v>
      </c>
      <c r="W2507" s="23" t="e">
        <f>IF(Table1[[#This Row],[Zscore]]&lt;1.81,1,0)</f>
        <v>#DIV/0!</v>
      </c>
    </row>
    <row r="2508" spans="1:23" ht="26.25" hidden="1" x14ac:dyDescent="0.45">
      <c r="A2508" s="7">
        <v>2502</v>
      </c>
      <c r="B2508" s="5" t="s">
        <v>5013</v>
      </c>
      <c r="C2508" s="6" t="s">
        <v>5014</v>
      </c>
      <c r="D2508" s="6" t="s">
        <v>18</v>
      </c>
      <c r="E2508" s="6"/>
      <c r="F2508" s="6"/>
      <c r="G2508" s="6"/>
      <c r="H2508" s="6"/>
      <c r="I2508" s="6"/>
      <c r="J2508" s="8"/>
      <c r="K2508" s="6"/>
      <c r="L2508" s="6"/>
      <c r="M2508" s="8"/>
      <c r="N2508" s="8"/>
      <c r="O2508" s="8"/>
      <c r="P2508" s="8"/>
      <c r="Q2508" s="18" t="e">
        <f>(Table1[[#This Row],[A. TÀI SẢN NGẮN HẠN]]-Table1[[#This Row],[I. Nợ ngắn hạn]])/Table1[[#This Row],[TỔNG CỘNG TÀI SẢN]]</f>
        <v>#DIV/0!</v>
      </c>
      <c r="R2508" s="18" t="e">
        <f>Table1[[#This Row],[- LNST chưa phân phối kỳ này]]/Table1[[#This Row],[TỔNG CỘNG TÀI SẢN]]</f>
        <v>#DIV/0!</v>
      </c>
      <c r="S2508" s="21" t="e">
        <f>Table1[[#This Row],[5. Lợi nhuận gộp về bán hàng và cung cấp dịch vụ]]/Table1[[#This Row],[TỔNG CỘNG TÀI SẢN]]</f>
        <v>#DIV/0!</v>
      </c>
      <c r="T250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508" s="23" t="e">
        <f>Table1[[#This Row],[1. Doanh thu bán hàng và cung cấp dịch vụ ]]/Table1[[#This Row],[TỔNG CỘNG TÀI SẢN]]</f>
        <v>#DIV/0!</v>
      </c>
      <c r="V2508" s="23" t="e">
        <f>1.2*Table1[[#This Row],[X1]] + 1.4*Table1[[#This Row],[X2]] + 3.3*Table1[[#This Row],[x3]] + 0.6*Table1[[#This Row],[x4]] + 1*Table1[[#This Row],[x5]]</f>
        <v>#DIV/0!</v>
      </c>
      <c r="W2508" s="23" t="e">
        <f>IF(Table1[[#This Row],[Zscore]]&lt;1.81,1,0)</f>
        <v>#DIV/0!</v>
      </c>
    </row>
    <row r="2509" spans="1:23" ht="39" hidden="1" x14ac:dyDescent="0.45">
      <c r="A2509" s="7">
        <v>2503</v>
      </c>
      <c r="B2509" s="5" t="s">
        <v>5015</v>
      </c>
      <c r="C2509" s="6" t="s">
        <v>5016</v>
      </c>
      <c r="D2509" s="6" t="s">
        <v>13</v>
      </c>
      <c r="E2509" s="6"/>
      <c r="F2509" s="6"/>
      <c r="G2509" s="6"/>
      <c r="H2509" s="6"/>
      <c r="I2509" s="6"/>
      <c r="J2509" s="8"/>
      <c r="K2509" s="6"/>
      <c r="L2509" s="6"/>
      <c r="M2509" s="8"/>
      <c r="N2509" s="8"/>
      <c r="O2509" s="8"/>
      <c r="P2509" s="8"/>
      <c r="Q2509" s="18" t="e">
        <f>(Table1[[#This Row],[A. TÀI SẢN NGẮN HẠN]]-Table1[[#This Row],[I. Nợ ngắn hạn]])/Table1[[#This Row],[TỔNG CỘNG TÀI SẢN]]</f>
        <v>#DIV/0!</v>
      </c>
      <c r="R2509" s="18" t="e">
        <f>Table1[[#This Row],[- LNST chưa phân phối kỳ này]]/Table1[[#This Row],[TỔNG CỘNG TÀI SẢN]]</f>
        <v>#DIV/0!</v>
      </c>
      <c r="S2509" s="21" t="e">
        <f>Table1[[#This Row],[5. Lợi nhuận gộp về bán hàng và cung cấp dịch vụ]]/Table1[[#This Row],[TỔNG CỘNG TÀI SẢN]]</f>
        <v>#DIV/0!</v>
      </c>
      <c r="T250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509" s="23" t="e">
        <f>Table1[[#This Row],[1. Doanh thu bán hàng và cung cấp dịch vụ ]]/Table1[[#This Row],[TỔNG CỘNG TÀI SẢN]]</f>
        <v>#DIV/0!</v>
      </c>
      <c r="V2509" s="23" t="e">
        <f>1.2*Table1[[#This Row],[X1]] + 1.4*Table1[[#This Row],[X2]] + 3.3*Table1[[#This Row],[x3]] + 0.6*Table1[[#This Row],[x4]] + 1*Table1[[#This Row],[x5]]</f>
        <v>#DIV/0!</v>
      </c>
      <c r="W2509" s="23" t="e">
        <f>IF(Table1[[#This Row],[Zscore]]&lt;1.81,1,0)</f>
        <v>#DIV/0!</v>
      </c>
    </row>
    <row r="2510" spans="1:23" x14ac:dyDescent="0.45">
      <c r="A2510" s="7">
        <v>2504</v>
      </c>
      <c r="B2510" s="5" t="s">
        <v>5017</v>
      </c>
      <c r="C2510" s="6" t="s">
        <v>5018</v>
      </c>
      <c r="D2510" s="6" t="s">
        <v>18</v>
      </c>
      <c r="E2510" s="8">
        <v>387651355355</v>
      </c>
      <c r="F2510" s="8">
        <v>295618663334</v>
      </c>
      <c r="G2510" s="8">
        <v>224259546759</v>
      </c>
      <c r="H2510" s="8">
        <v>2264971110</v>
      </c>
      <c r="I2510" s="8">
        <v>14451687201</v>
      </c>
      <c r="J2510" s="8"/>
      <c r="K2510" s="8">
        <v>230234279073</v>
      </c>
      <c r="L2510" s="8">
        <v>113349195564</v>
      </c>
      <c r="M2510" s="8">
        <v>132946410000</v>
      </c>
      <c r="N2510" s="8">
        <v>134275874100</v>
      </c>
      <c r="O2510" s="8">
        <v>132946410000</v>
      </c>
      <c r="P2510" s="8">
        <v>127628553600</v>
      </c>
      <c r="Q2510" s="18">
        <f>(Table1[[#This Row],[A. TÀI SẢN NGẮN HẠN]]-Table1[[#This Row],[I. Nợ ngắn hạn]])/Table1[[#This Row],[TỔNG CỘNG TÀI SẢN]]</f>
        <v>0.18408065801717982</v>
      </c>
      <c r="R2510" s="18">
        <f>Table1[[#This Row],[- LNST chưa phân phối kỳ này]]/Table1[[#This Row],[TỔNG CỘNG TÀI SẢN]]</f>
        <v>5.8428045683622193E-3</v>
      </c>
      <c r="S2510" s="21">
        <f>Table1[[#This Row],[5. Lợi nhuận gộp về bán hàng và cung cấp dịch vụ]]/Table1[[#This Row],[TỔNG CỘNG TÀI SẢN]]</f>
        <v>3.7280115241092239E-2</v>
      </c>
      <c r="T251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0.57310888915530711</v>
      </c>
      <c r="U2510" s="23">
        <f>Table1[[#This Row],[1. Doanh thu bán hàng và cung cấp dịch vụ ]]/Table1[[#This Row],[TỔNG CỘNG TÀI SẢN]]</f>
        <v>0.29239984330816554</v>
      </c>
      <c r="V2510" s="23">
        <f>1.2*Table1[[#This Row],[X1]] + 1.4*Table1[[#This Row],[X2]] + 3.3*Table1[[#This Row],[x3]] + 0.6*Table1[[#This Row],[x4]] + 1*Table1[[#This Row],[x5]]</f>
        <v>0.98836627311327718</v>
      </c>
      <c r="W2510" s="23">
        <f>IF(Table1[[#This Row],[Zscore]]&lt;1.81,1,0)</f>
        <v>1</v>
      </c>
    </row>
    <row r="2511" spans="1:23" hidden="1" x14ac:dyDescent="0.45">
      <c r="A2511" s="7">
        <v>2505</v>
      </c>
      <c r="B2511" s="5" t="s">
        <v>5019</v>
      </c>
      <c r="C2511" s="6" t="s">
        <v>5020</v>
      </c>
      <c r="D2511" s="6" t="s">
        <v>13</v>
      </c>
      <c r="E2511" s="8">
        <v>914095291174</v>
      </c>
      <c r="F2511" s="8">
        <v>860122902039</v>
      </c>
      <c r="G2511" s="8">
        <v>566951867171</v>
      </c>
      <c r="H2511" s="8">
        <v>-946013043</v>
      </c>
      <c r="I2511" s="8">
        <v>76740411497</v>
      </c>
      <c r="J2511" s="8"/>
      <c r="K2511" s="8">
        <v>580251867171</v>
      </c>
      <c r="L2511" s="8">
        <v>174501201461</v>
      </c>
      <c r="M2511" s="8"/>
      <c r="N2511" s="8"/>
      <c r="O2511" s="8"/>
      <c r="P2511" s="8"/>
      <c r="Q2511" s="18">
        <f>(Table1[[#This Row],[A. TÀI SẢN NGẮN HẠN]]-Table1[[#This Row],[I. Nợ ngắn hạn]])/Table1[[#This Row],[TỔNG CỘNG TÀI SẢN]]</f>
        <v>0.32072261797943585</v>
      </c>
      <c r="R2511" s="18">
        <f>Table1[[#This Row],[- LNST chưa phân phối kỳ này]]/Table1[[#This Row],[TỔNG CỘNG TÀI SẢN]]</f>
        <v>-1.0349173134728733E-3</v>
      </c>
      <c r="S2511" s="21">
        <f>Table1[[#This Row],[5. Lợi nhuận gộp về bán hàng và cung cấp dịch vụ]]/Table1[[#This Row],[TỔNG CỘNG TÀI SẢN]]</f>
        <v>8.3952310265639804E-2</v>
      </c>
      <c r="T251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511" s="23">
        <f>Table1[[#This Row],[1. Doanh thu bán hàng và cung cấp dịch vụ ]]/Table1[[#This Row],[TỔNG CỘNG TÀI SẢN]]</f>
        <v>0.19090044894212602</v>
      </c>
      <c r="V2511" s="23" t="e">
        <f>1.2*Table1[[#This Row],[X1]] + 1.4*Table1[[#This Row],[X2]] + 3.3*Table1[[#This Row],[x3]] + 0.6*Table1[[#This Row],[x4]] + 1*Table1[[#This Row],[x5]]</f>
        <v>#DIV/0!</v>
      </c>
      <c r="W2511" s="23" t="e">
        <f>IF(Table1[[#This Row],[Zscore]]&lt;1.81,1,0)</f>
        <v>#DIV/0!</v>
      </c>
    </row>
    <row r="2512" spans="1:23" ht="26.25" hidden="1" x14ac:dyDescent="0.45">
      <c r="A2512" s="7">
        <v>2506</v>
      </c>
      <c r="B2512" s="5" t="s">
        <v>5021</v>
      </c>
      <c r="C2512" s="6" t="s">
        <v>5022</v>
      </c>
      <c r="D2512" s="6" t="s">
        <v>18</v>
      </c>
      <c r="E2512" s="6"/>
      <c r="F2512" s="6"/>
      <c r="G2512" s="6"/>
      <c r="H2512" s="6"/>
      <c r="I2512" s="6"/>
      <c r="J2512" s="8"/>
      <c r="K2512" s="6"/>
      <c r="L2512" s="6"/>
      <c r="M2512" s="8"/>
      <c r="N2512" s="8"/>
      <c r="O2512" s="8"/>
      <c r="P2512" s="8"/>
      <c r="Q2512" s="18" t="e">
        <f>(Table1[[#This Row],[A. TÀI SẢN NGẮN HẠN]]-Table1[[#This Row],[I. Nợ ngắn hạn]])/Table1[[#This Row],[TỔNG CỘNG TÀI SẢN]]</f>
        <v>#DIV/0!</v>
      </c>
      <c r="R2512" s="18" t="e">
        <f>Table1[[#This Row],[- LNST chưa phân phối kỳ này]]/Table1[[#This Row],[TỔNG CỘNG TÀI SẢN]]</f>
        <v>#DIV/0!</v>
      </c>
      <c r="S2512" s="21" t="e">
        <f>Table1[[#This Row],[5. Lợi nhuận gộp về bán hàng và cung cấp dịch vụ]]/Table1[[#This Row],[TỔNG CỘNG TÀI SẢN]]</f>
        <v>#DIV/0!</v>
      </c>
      <c r="T251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512" s="23" t="e">
        <f>Table1[[#This Row],[1. Doanh thu bán hàng và cung cấp dịch vụ ]]/Table1[[#This Row],[TỔNG CỘNG TÀI SẢN]]</f>
        <v>#DIV/0!</v>
      </c>
      <c r="V2512" s="23" t="e">
        <f>1.2*Table1[[#This Row],[X1]] + 1.4*Table1[[#This Row],[X2]] + 3.3*Table1[[#This Row],[x3]] + 0.6*Table1[[#This Row],[x4]] + 1*Table1[[#This Row],[x5]]</f>
        <v>#DIV/0!</v>
      </c>
      <c r="W2512" s="23" t="e">
        <f>IF(Table1[[#This Row],[Zscore]]&lt;1.81,1,0)</f>
        <v>#DIV/0!</v>
      </c>
    </row>
    <row r="2513" spans="1:23" hidden="1" x14ac:dyDescent="0.45">
      <c r="A2513" s="7">
        <v>2507</v>
      </c>
      <c r="B2513" s="5" t="s">
        <v>5023</v>
      </c>
      <c r="C2513" s="6" t="s">
        <v>5024</v>
      </c>
      <c r="D2513" s="6" t="s">
        <v>18</v>
      </c>
      <c r="E2513" s="8">
        <v>219077550051</v>
      </c>
      <c r="F2513" s="8">
        <v>178522640117</v>
      </c>
      <c r="G2513" s="8">
        <v>133879866939</v>
      </c>
      <c r="H2513" s="8">
        <v>11063948858</v>
      </c>
      <c r="I2513" s="8">
        <v>55479514090</v>
      </c>
      <c r="J2513" s="8"/>
      <c r="K2513" s="8">
        <v>134745066939</v>
      </c>
      <c r="L2513" s="8">
        <v>221509732977</v>
      </c>
      <c r="M2513" s="8"/>
      <c r="N2513" s="8"/>
      <c r="O2513" s="8"/>
      <c r="P2513" s="8"/>
      <c r="Q2513" s="18">
        <f>(Table1[[#This Row],[A. TÀI SẢN NGẮN HẠN]]-Table1[[#This Row],[I. Nợ ngắn hạn]])/Table1[[#This Row],[TỔNG CỘNG TÀI SẢN]]</f>
        <v>0.20377612022595387</v>
      </c>
      <c r="R2513" s="18">
        <f>Table1[[#This Row],[- LNST chưa phân phối kỳ này]]/Table1[[#This Row],[TỔNG CỘNG TÀI SẢN]]</f>
        <v>5.0502431013238813E-2</v>
      </c>
      <c r="S2513" s="21">
        <f>Table1[[#This Row],[5. Lợi nhuận gộp về bán hàng và cung cấp dịch vụ]]/Table1[[#This Row],[TỔNG CỘNG TÀI SẢN]]</f>
        <v>0.25324143928524256</v>
      </c>
      <c r="T251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513" s="23">
        <f>Table1[[#This Row],[1. Doanh thu bán hàng và cung cấp dịch vụ ]]/Table1[[#This Row],[TỔNG CỘNG TÀI SẢN]]</f>
        <v>1.0111019268082639</v>
      </c>
      <c r="V2513" s="23" t="e">
        <f>1.2*Table1[[#This Row],[X1]] + 1.4*Table1[[#This Row],[X2]] + 3.3*Table1[[#This Row],[x3]] + 0.6*Table1[[#This Row],[x4]] + 1*Table1[[#This Row],[x5]]</f>
        <v>#DIV/0!</v>
      </c>
      <c r="W2513" s="23" t="e">
        <f>IF(Table1[[#This Row],[Zscore]]&lt;1.81,1,0)</f>
        <v>#DIV/0!</v>
      </c>
    </row>
    <row r="2514" spans="1:23" hidden="1" x14ac:dyDescent="0.45">
      <c r="A2514" s="7">
        <v>2508</v>
      </c>
      <c r="B2514" s="5" t="s">
        <v>5025</v>
      </c>
      <c r="C2514" s="6" t="s">
        <v>5026</v>
      </c>
      <c r="D2514" s="6" t="s">
        <v>18</v>
      </c>
      <c r="E2514" s="6"/>
      <c r="F2514" s="6"/>
      <c r="G2514" s="6"/>
      <c r="H2514" s="6"/>
      <c r="I2514" s="6"/>
      <c r="J2514" s="8"/>
      <c r="K2514" s="6"/>
      <c r="L2514" s="6"/>
      <c r="M2514" s="8"/>
      <c r="N2514" s="8"/>
      <c r="O2514" s="8"/>
      <c r="P2514" s="8"/>
      <c r="Q2514" s="18" t="e">
        <f>(Table1[[#This Row],[A. TÀI SẢN NGẮN HẠN]]-Table1[[#This Row],[I. Nợ ngắn hạn]])/Table1[[#This Row],[TỔNG CỘNG TÀI SẢN]]</f>
        <v>#DIV/0!</v>
      </c>
      <c r="R2514" s="18" t="e">
        <f>Table1[[#This Row],[- LNST chưa phân phối kỳ này]]/Table1[[#This Row],[TỔNG CỘNG TÀI SẢN]]</f>
        <v>#DIV/0!</v>
      </c>
      <c r="S2514" s="21" t="e">
        <f>Table1[[#This Row],[5. Lợi nhuận gộp về bán hàng và cung cấp dịch vụ]]/Table1[[#This Row],[TỔNG CỘNG TÀI SẢN]]</f>
        <v>#DIV/0!</v>
      </c>
      <c r="T251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514" s="23" t="e">
        <f>Table1[[#This Row],[1. Doanh thu bán hàng và cung cấp dịch vụ ]]/Table1[[#This Row],[TỔNG CỘNG TÀI SẢN]]</f>
        <v>#DIV/0!</v>
      </c>
      <c r="V2514" s="23" t="e">
        <f>1.2*Table1[[#This Row],[X1]] + 1.4*Table1[[#This Row],[X2]] + 3.3*Table1[[#This Row],[x3]] + 0.6*Table1[[#This Row],[x4]] + 1*Table1[[#This Row],[x5]]</f>
        <v>#DIV/0!</v>
      </c>
      <c r="W2514" s="23" t="e">
        <f>IF(Table1[[#This Row],[Zscore]]&lt;1.81,1,0)</f>
        <v>#DIV/0!</v>
      </c>
    </row>
    <row r="2515" spans="1:23" ht="26.25" hidden="1" x14ac:dyDescent="0.45">
      <c r="A2515" s="7">
        <v>2509</v>
      </c>
      <c r="B2515" s="5" t="s">
        <v>5027</v>
      </c>
      <c r="C2515" s="6" t="s">
        <v>5028</v>
      </c>
      <c r="D2515" s="6" t="s">
        <v>13</v>
      </c>
      <c r="E2515" s="6"/>
      <c r="F2515" s="6"/>
      <c r="G2515" s="6"/>
      <c r="H2515" s="6"/>
      <c r="I2515" s="6"/>
      <c r="J2515" s="8"/>
      <c r="K2515" s="6"/>
      <c r="L2515" s="6"/>
      <c r="M2515" s="8"/>
      <c r="N2515" s="8"/>
      <c r="O2515" s="8"/>
      <c r="P2515" s="8"/>
      <c r="Q2515" s="18" t="e">
        <f>(Table1[[#This Row],[A. TÀI SẢN NGẮN HẠN]]-Table1[[#This Row],[I. Nợ ngắn hạn]])/Table1[[#This Row],[TỔNG CỘNG TÀI SẢN]]</f>
        <v>#DIV/0!</v>
      </c>
      <c r="R2515" s="18" t="e">
        <f>Table1[[#This Row],[- LNST chưa phân phối kỳ này]]/Table1[[#This Row],[TỔNG CỘNG TÀI SẢN]]</f>
        <v>#DIV/0!</v>
      </c>
      <c r="S2515" s="21" t="e">
        <f>Table1[[#This Row],[5. Lợi nhuận gộp về bán hàng và cung cấp dịch vụ]]/Table1[[#This Row],[TỔNG CỘNG TÀI SẢN]]</f>
        <v>#DIV/0!</v>
      </c>
      <c r="T251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515" s="23" t="e">
        <f>Table1[[#This Row],[1. Doanh thu bán hàng và cung cấp dịch vụ ]]/Table1[[#This Row],[TỔNG CỘNG TÀI SẢN]]</f>
        <v>#DIV/0!</v>
      </c>
      <c r="V2515" s="23" t="e">
        <f>1.2*Table1[[#This Row],[X1]] + 1.4*Table1[[#This Row],[X2]] + 3.3*Table1[[#This Row],[x3]] + 0.6*Table1[[#This Row],[x4]] + 1*Table1[[#This Row],[x5]]</f>
        <v>#DIV/0!</v>
      </c>
      <c r="W2515" s="23" t="e">
        <f>IF(Table1[[#This Row],[Zscore]]&lt;1.81,1,0)</f>
        <v>#DIV/0!</v>
      </c>
    </row>
    <row r="2516" spans="1:23" x14ac:dyDescent="0.45">
      <c r="A2516" s="7">
        <v>2510</v>
      </c>
      <c r="B2516" s="5" t="s">
        <v>5029</v>
      </c>
      <c r="C2516" s="6" t="s">
        <v>5030</v>
      </c>
      <c r="D2516" s="6" t="s">
        <v>18</v>
      </c>
      <c r="E2516" s="8">
        <v>833358160016</v>
      </c>
      <c r="F2516" s="8">
        <v>743095166881</v>
      </c>
      <c r="G2516" s="8">
        <v>916144942231</v>
      </c>
      <c r="H2516" s="8">
        <v>-1623326910</v>
      </c>
      <c r="I2516" s="8">
        <v>65490559801</v>
      </c>
      <c r="J2516" s="8"/>
      <c r="K2516" s="8">
        <v>923662942231</v>
      </c>
      <c r="L2516" s="8">
        <v>394423748464</v>
      </c>
      <c r="M2516" s="8">
        <v>198239820800</v>
      </c>
      <c r="N2516" s="8">
        <v>70799936000</v>
      </c>
      <c r="O2516" s="8">
        <v>226559795200</v>
      </c>
      <c r="P2516" s="8">
        <v>106199904000</v>
      </c>
      <c r="Q2516" s="18">
        <f>(Table1[[#This Row],[A. TÀI SẢN NGẮN HẠN]]-Table1[[#This Row],[I. Nợ ngắn hạn]])/Table1[[#This Row],[TỔNG CỘNG TÀI SẢN]]</f>
        <v>-0.20765354400163016</v>
      </c>
      <c r="R2516" s="18">
        <f>Table1[[#This Row],[- LNST chưa phân phối kỳ này]]/Table1[[#This Row],[TỔNG CỘNG TÀI SẢN]]</f>
        <v>-1.9479342591051524E-3</v>
      </c>
      <c r="S2516" s="21">
        <f>Table1[[#This Row],[5. Lợi nhuận gộp về bán hàng và cung cấp dịch vụ]]/Table1[[#This Row],[TỔNG CỘNG TÀI SẢN]]</f>
        <v>7.8586330515732411E-2</v>
      </c>
      <c r="T251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0.16288394512895138</v>
      </c>
      <c r="U2516" s="23">
        <f>Table1[[#This Row],[1. Doanh thu bán hàng và cung cấp dịch vụ ]]/Table1[[#This Row],[TỔNG CỘNG TÀI SẢN]]</f>
        <v>0.47329439776101467</v>
      </c>
      <c r="V2516" s="23">
        <f>1.2*Table1[[#This Row],[X1]] + 1.4*Table1[[#This Row],[X2]] + 3.3*Table1[[#This Row],[x3]] + 0.6*Table1[[#This Row],[x4]] + 1*Table1[[#This Row],[x5]]</f>
        <v>0.57844829477559911</v>
      </c>
      <c r="W2516" s="23">
        <f>IF(Table1[[#This Row],[Zscore]]&lt;1.81,1,0)</f>
        <v>1</v>
      </c>
    </row>
    <row r="2517" spans="1:23" hidden="1" x14ac:dyDescent="0.45">
      <c r="A2517" s="7">
        <v>2511</v>
      </c>
      <c r="B2517" s="5" t="s">
        <v>5031</v>
      </c>
      <c r="C2517" s="6" t="s">
        <v>5032</v>
      </c>
      <c r="D2517" s="6" t="s">
        <v>13</v>
      </c>
      <c r="E2517" s="6"/>
      <c r="F2517" s="6"/>
      <c r="G2517" s="6"/>
      <c r="H2517" s="6"/>
      <c r="I2517" s="6"/>
      <c r="J2517" s="8"/>
      <c r="K2517" s="6"/>
      <c r="L2517" s="6"/>
      <c r="M2517" s="8"/>
      <c r="N2517" s="8"/>
      <c r="O2517" s="8"/>
      <c r="P2517" s="8"/>
      <c r="Q2517" s="18" t="e">
        <f>(Table1[[#This Row],[A. TÀI SẢN NGẮN HẠN]]-Table1[[#This Row],[I. Nợ ngắn hạn]])/Table1[[#This Row],[TỔNG CỘNG TÀI SẢN]]</f>
        <v>#DIV/0!</v>
      </c>
      <c r="R2517" s="18" t="e">
        <f>Table1[[#This Row],[- LNST chưa phân phối kỳ này]]/Table1[[#This Row],[TỔNG CỘNG TÀI SẢN]]</f>
        <v>#DIV/0!</v>
      </c>
      <c r="S2517" s="21" t="e">
        <f>Table1[[#This Row],[5. Lợi nhuận gộp về bán hàng và cung cấp dịch vụ]]/Table1[[#This Row],[TỔNG CỘNG TÀI SẢN]]</f>
        <v>#DIV/0!</v>
      </c>
      <c r="T251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517" s="23" t="e">
        <f>Table1[[#This Row],[1. Doanh thu bán hàng và cung cấp dịch vụ ]]/Table1[[#This Row],[TỔNG CỘNG TÀI SẢN]]</f>
        <v>#DIV/0!</v>
      </c>
      <c r="V2517" s="23" t="e">
        <f>1.2*Table1[[#This Row],[X1]] + 1.4*Table1[[#This Row],[X2]] + 3.3*Table1[[#This Row],[x3]] + 0.6*Table1[[#This Row],[x4]] + 1*Table1[[#This Row],[x5]]</f>
        <v>#DIV/0!</v>
      </c>
      <c r="W2517" s="23" t="e">
        <f>IF(Table1[[#This Row],[Zscore]]&lt;1.81,1,0)</f>
        <v>#DIV/0!</v>
      </c>
    </row>
    <row r="2518" spans="1:23" x14ac:dyDescent="0.45">
      <c r="A2518" s="7">
        <v>2512</v>
      </c>
      <c r="B2518" s="5" t="s">
        <v>5033</v>
      </c>
      <c r="C2518" s="6" t="s">
        <v>5034</v>
      </c>
      <c r="D2518" s="6" t="s">
        <v>36</v>
      </c>
      <c r="E2518" s="8">
        <v>874974074123</v>
      </c>
      <c r="F2518" s="8">
        <v>820385353930</v>
      </c>
      <c r="G2518" s="8">
        <v>687473790889</v>
      </c>
      <c r="H2518" s="8">
        <v>11232295602</v>
      </c>
      <c r="I2518" s="8">
        <v>49273210628</v>
      </c>
      <c r="J2518" s="8"/>
      <c r="K2518" s="8">
        <v>710635690845</v>
      </c>
      <c r="L2518" s="8">
        <v>551083758245</v>
      </c>
      <c r="M2518" s="8">
        <v>146613600000</v>
      </c>
      <c r="N2518" s="8">
        <v>137304800000</v>
      </c>
      <c r="O2518" s="8">
        <v>148940800000</v>
      </c>
      <c r="P2518" s="8">
        <v>136141200000</v>
      </c>
      <c r="Q2518" s="18">
        <f>(Table1[[#This Row],[A. TÀI SẢN NGẮN HẠN]]-Table1[[#This Row],[I. Nợ ngắn hạn]])/Table1[[#This Row],[TỔNG CỘNG TÀI SẢN]]</f>
        <v>0.15190343002359163</v>
      </c>
      <c r="R2518" s="18">
        <f>Table1[[#This Row],[- LNST chưa phân phối kỳ này]]/Table1[[#This Row],[TỔNG CỘNG TÀI SẢN]]</f>
        <v>1.2837289622847744E-2</v>
      </c>
      <c r="S2518" s="21">
        <f>Table1[[#This Row],[5. Lợi nhuận gộp về bán hàng và cung cấp dịch vụ]]/Table1[[#This Row],[TỔNG CỘNG TÀI SẢN]]</f>
        <v>5.6313909274840285E-2</v>
      </c>
      <c r="T251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0.20017303075624276</v>
      </c>
      <c r="U2518" s="23">
        <f>Table1[[#This Row],[1. Doanh thu bán hàng và cung cấp dịch vụ ]]/Table1[[#This Row],[TỔNG CỘNG TÀI SẢN]]</f>
        <v>0.6298286709778913</v>
      </c>
      <c r="V2518" s="23">
        <f>1.2*Table1[[#This Row],[X1]] + 1.4*Table1[[#This Row],[X2]] + 3.3*Table1[[#This Row],[x3]] + 0.6*Table1[[#This Row],[x4]] + 1*Table1[[#This Row],[x5]]</f>
        <v>1.1360247115389068</v>
      </c>
      <c r="W2518" s="23">
        <f>IF(Table1[[#This Row],[Zscore]]&lt;1.81,1,0)</f>
        <v>1</v>
      </c>
    </row>
    <row r="2519" spans="1:23" hidden="1" x14ac:dyDescent="0.45">
      <c r="A2519" s="7">
        <v>2513</v>
      </c>
      <c r="B2519" s="5" t="s">
        <v>5035</v>
      </c>
      <c r="C2519" s="6" t="s">
        <v>5036</v>
      </c>
      <c r="D2519" s="6" t="s">
        <v>13</v>
      </c>
      <c r="E2519" s="6"/>
      <c r="F2519" s="6"/>
      <c r="G2519" s="6"/>
      <c r="H2519" s="6"/>
      <c r="I2519" s="6"/>
      <c r="J2519" s="8"/>
      <c r="K2519" s="6"/>
      <c r="L2519" s="6"/>
      <c r="M2519" s="8"/>
      <c r="N2519" s="8"/>
      <c r="O2519" s="8"/>
      <c r="P2519" s="8"/>
      <c r="Q2519" s="18" t="e">
        <f>(Table1[[#This Row],[A. TÀI SẢN NGẮN HẠN]]-Table1[[#This Row],[I. Nợ ngắn hạn]])/Table1[[#This Row],[TỔNG CỘNG TÀI SẢN]]</f>
        <v>#DIV/0!</v>
      </c>
      <c r="R2519" s="18" t="e">
        <f>Table1[[#This Row],[- LNST chưa phân phối kỳ này]]/Table1[[#This Row],[TỔNG CỘNG TÀI SẢN]]</f>
        <v>#DIV/0!</v>
      </c>
      <c r="S2519" s="21" t="e">
        <f>Table1[[#This Row],[5. Lợi nhuận gộp về bán hàng và cung cấp dịch vụ]]/Table1[[#This Row],[TỔNG CỘNG TÀI SẢN]]</f>
        <v>#DIV/0!</v>
      </c>
      <c r="T251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519" s="23" t="e">
        <f>Table1[[#This Row],[1. Doanh thu bán hàng và cung cấp dịch vụ ]]/Table1[[#This Row],[TỔNG CỘNG TÀI SẢN]]</f>
        <v>#DIV/0!</v>
      </c>
      <c r="V2519" s="23" t="e">
        <f>1.2*Table1[[#This Row],[X1]] + 1.4*Table1[[#This Row],[X2]] + 3.3*Table1[[#This Row],[x3]] + 0.6*Table1[[#This Row],[x4]] + 1*Table1[[#This Row],[x5]]</f>
        <v>#DIV/0!</v>
      </c>
      <c r="W2519" s="23" t="e">
        <f>IF(Table1[[#This Row],[Zscore]]&lt;1.81,1,0)</f>
        <v>#DIV/0!</v>
      </c>
    </row>
    <row r="2520" spans="1:23" x14ac:dyDescent="0.45">
      <c r="A2520" s="7">
        <v>2514</v>
      </c>
      <c r="B2520" s="5" t="s">
        <v>5037</v>
      </c>
      <c r="C2520" s="6" t="s">
        <v>5038</v>
      </c>
      <c r="D2520" s="6" t="s">
        <v>36</v>
      </c>
      <c r="E2520" s="8">
        <v>484517971021</v>
      </c>
      <c r="F2520" s="8">
        <v>403256673522</v>
      </c>
      <c r="G2520" s="8">
        <v>246596412517</v>
      </c>
      <c r="H2520" s="8">
        <v>886482073</v>
      </c>
      <c r="I2520" s="8">
        <v>14918482785</v>
      </c>
      <c r="J2520" s="8"/>
      <c r="K2520" s="8">
        <v>362902001024</v>
      </c>
      <c r="L2520" s="8">
        <v>159807575999</v>
      </c>
      <c r="M2520" s="8">
        <v>83998523000</v>
      </c>
      <c r="N2520" s="8">
        <v>79198607400</v>
      </c>
      <c r="O2520" s="8">
        <v>74398691800</v>
      </c>
      <c r="P2520" s="8">
        <v>82798544100</v>
      </c>
      <c r="Q2520" s="18">
        <f>(Table1[[#This Row],[A. TÀI SẢN NGẮN HẠN]]-Table1[[#This Row],[I. Nợ ngắn hạn]])/Table1[[#This Row],[TỔNG CỘNG TÀI SẢN]]</f>
        <v>0.32333219895823023</v>
      </c>
      <c r="R2520" s="18">
        <f>Table1[[#This Row],[- LNST chưa phân phối kỳ này]]/Table1[[#This Row],[TỔNG CỘNG TÀI SẢN]]</f>
        <v>1.8296164972621378E-3</v>
      </c>
      <c r="S2520" s="21">
        <f>Table1[[#This Row],[5. Lợi nhuận gộp về bán hàng và cung cấp dịch vụ]]/Table1[[#This Row],[TỔNG CỘNG TÀI SẢN]]</f>
        <v>3.0790360063555625E-2</v>
      </c>
      <c r="T252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0.22071686391639045</v>
      </c>
      <c r="U2520" s="23">
        <f>Table1[[#This Row],[1. Doanh thu bán hàng và cung cấp dịch vụ ]]/Table1[[#This Row],[TỔNG CỘNG TÀI SẢN]]</f>
        <v>0.32982796419758309</v>
      </c>
      <c r="V2520" s="23">
        <f>1.2*Table1[[#This Row],[X1]] + 1.4*Table1[[#This Row],[X2]] + 3.3*Table1[[#This Row],[x3]] + 0.6*Table1[[#This Row],[x4]] + 1*Table1[[#This Row],[x5]]</f>
        <v>0.95442637260319418</v>
      </c>
      <c r="W2520" s="23">
        <f>IF(Table1[[#This Row],[Zscore]]&lt;1.81,1,0)</f>
        <v>1</v>
      </c>
    </row>
    <row r="2521" spans="1:23" hidden="1" x14ac:dyDescent="0.45">
      <c r="A2521" s="7">
        <v>2515</v>
      </c>
      <c r="B2521" s="5" t="s">
        <v>5039</v>
      </c>
      <c r="C2521" s="6" t="s">
        <v>5040</v>
      </c>
      <c r="D2521" s="6" t="s">
        <v>13</v>
      </c>
      <c r="E2521" s="6"/>
      <c r="F2521" s="6"/>
      <c r="G2521" s="6"/>
      <c r="H2521" s="6"/>
      <c r="I2521" s="6"/>
      <c r="J2521" s="8"/>
      <c r="K2521" s="6"/>
      <c r="L2521" s="6"/>
      <c r="M2521" s="8"/>
      <c r="N2521" s="8"/>
      <c r="O2521" s="8"/>
      <c r="P2521" s="8"/>
      <c r="Q2521" s="18" t="e">
        <f>(Table1[[#This Row],[A. TÀI SẢN NGẮN HẠN]]-Table1[[#This Row],[I. Nợ ngắn hạn]])/Table1[[#This Row],[TỔNG CỘNG TÀI SẢN]]</f>
        <v>#DIV/0!</v>
      </c>
      <c r="R2521" s="18" t="e">
        <f>Table1[[#This Row],[- LNST chưa phân phối kỳ này]]/Table1[[#This Row],[TỔNG CỘNG TÀI SẢN]]</f>
        <v>#DIV/0!</v>
      </c>
      <c r="S2521" s="21" t="e">
        <f>Table1[[#This Row],[5. Lợi nhuận gộp về bán hàng và cung cấp dịch vụ]]/Table1[[#This Row],[TỔNG CỘNG TÀI SẢN]]</f>
        <v>#DIV/0!</v>
      </c>
      <c r="T252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521" s="23" t="e">
        <f>Table1[[#This Row],[1. Doanh thu bán hàng và cung cấp dịch vụ ]]/Table1[[#This Row],[TỔNG CỘNG TÀI SẢN]]</f>
        <v>#DIV/0!</v>
      </c>
      <c r="V2521" s="23" t="e">
        <f>1.2*Table1[[#This Row],[X1]] + 1.4*Table1[[#This Row],[X2]] + 3.3*Table1[[#This Row],[x3]] + 0.6*Table1[[#This Row],[x4]] + 1*Table1[[#This Row],[x5]]</f>
        <v>#DIV/0!</v>
      </c>
      <c r="W2521" s="23" t="e">
        <f>IF(Table1[[#This Row],[Zscore]]&lt;1.81,1,0)</f>
        <v>#DIV/0!</v>
      </c>
    </row>
    <row r="2522" spans="1:23" x14ac:dyDescent="0.45">
      <c r="A2522" s="7">
        <v>2516</v>
      </c>
      <c r="B2522" s="5" t="s">
        <v>5041</v>
      </c>
      <c r="C2522" s="6" t="s">
        <v>5042</v>
      </c>
      <c r="D2522" s="6" t="s">
        <v>21</v>
      </c>
      <c r="E2522" s="8">
        <v>140486060429802</v>
      </c>
      <c r="F2522" s="6"/>
      <c r="G2522" s="6"/>
      <c r="H2522" s="6"/>
      <c r="I2522" s="6"/>
      <c r="J2522" s="8"/>
      <c r="K2522" s="8">
        <v>130349098958262</v>
      </c>
      <c r="L2522" s="8">
        <v>9575808324018</v>
      </c>
      <c r="M2522" s="8">
        <v>5669580451500</v>
      </c>
      <c r="N2522" s="8">
        <v>8490150988800</v>
      </c>
      <c r="O2522" s="8">
        <v>8207392653600</v>
      </c>
      <c r="P2522" s="8">
        <v>9469783795200</v>
      </c>
      <c r="Q2522" s="18">
        <f>(Table1[[#This Row],[A. TÀI SẢN NGẮN HẠN]]-Table1[[#This Row],[I. Nợ ngắn hạn]])/Table1[[#This Row],[TỔNG CỘNG TÀI SẢN]]</f>
        <v>0</v>
      </c>
      <c r="R2522" s="18">
        <f>Table1[[#This Row],[- LNST chưa phân phối kỳ này]]/Table1[[#This Row],[TỔNG CỘNG TÀI SẢN]]</f>
        <v>0</v>
      </c>
      <c r="S2522" s="21">
        <f>Table1[[#This Row],[5. Lợi nhuận gộp về bán hàng và cung cấp dịch vụ]]/Table1[[#This Row],[TỔNG CỘNG TÀI SẢN]]</f>
        <v>0</v>
      </c>
      <c r="T252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6.1060851481785521E-2</v>
      </c>
      <c r="U2522" s="23">
        <f>Table1[[#This Row],[1. Doanh thu bán hàng và cung cấp dịch vụ ]]/Table1[[#This Row],[TỔNG CỘNG TÀI SẢN]]</f>
        <v>6.8161982012463332E-2</v>
      </c>
      <c r="V2522" s="23">
        <f>1.2*Table1[[#This Row],[X1]] + 1.4*Table1[[#This Row],[X2]] + 3.3*Table1[[#This Row],[x3]] + 0.6*Table1[[#This Row],[x4]] + 1*Table1[[#This Row],[x5]]</f>
        <v>0.10479849290153465</v>
      </c>
      <c r="W2522" s="23">
        <f>IF(Table1[[#This Row],[Zscore]]&lt;1.81,1,0)</f>
        <v>1</v>
      </c>
    </row>
    <row r="2523" spans="1:23" ht="26.25" x14ac:dyDescent="0.45">
      <c r="A2523" s="7">
        <v>2517</v>
      </c>
      <c r="B2523" s="5" t="s">
        <v>5043</v>
      </c>
      <c r="C2523" s="6" t="s">
        <v>5044</v>
      </c>
      <c r="D2523" s="6" t="s">
        <v>21</v>
      </c>
      <c r="E2523" s="8">
        <v>1212158156581</v>
      </c>
      <c r="F2523" s="8">
        <v>901875420479</v>
      </c>
      <c r="G2523" s="8">
        <v>554066359586</v>
      </c>
      <c r="H2523" s="8">
        <v>170420115521</v>
      </c>
      <c r="I2523" s="8">
        <v>408671285838</v>
      </c>
      <c r="J2523" s="8"/>
      <c r="K2523" s="8">
        <v>554527702535</v>
      </c>
      <c r="L2523" s="8">
        <v>1620016338396</v>
      </c>
      <c r="M2523" s="8">
        <v>677976264000</v>
      </c>
      <c r="N2523" s="8">
        <v>696808938000</v>
      </c>
      <c r="O2523" s="8">
        <v>742007355600</v>
      </c>
      <c r="P2523" s="8">
        <v>698692205400</v>
      </c>
      <c r="Q2523" s="18">
        <f>(Table1[[#This Row],[A. TÀI SẢN NGẮN HẠN]]-Table1[[#This Row],[I. Nợ ngắn hạn]])/Table1[[#This Row],[TỔNG CỘNG TÀI SẢN]]</f>
        <v>0.28693372973212211</v>
      </c>
      <c r="R2523" s="18">
        <f>Table1[[#This Row],[- LNST chưa phân phối kỳ này]]/Table1[[#This Row],[TỔNG CỘNG TÀI SẢN]]</f>
        <v>0.14059231016659171</v>
      </c>
      <c r="S2523" s="21">
        <f>Table1[[#This Row],[5. Lợi nhuận gộp về bán hàng và cung cấp dịch vụ]]/Table1[[#This Row],[TỔNG CỘNG TÀI SẢN]]</f>
        <v>0.33714353495808974</v>
      </c>
      <c r="T252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1.2693165508815565</v>
      </c>
      <c r="U2523" s="23">
        <f>Table1[[#This Row],[1. Doanh thu bán hàng và cung cấp dịch vụ ]]/Table1[[#This Row],[TỔNG CỘNG TÀI SẢN]]</f>
        <v>1.3364727445842548</v>
      </c>
      <c r="V2523" s="23">
        <f>1.2*Table1[[#This Row],[X1]] + 1.4*Table1[[#This Row],[X2]] + 3.3*Table1[[#This Row],[x3]] + 0.6*Table1[[#This Row],[x4]] + 1*Table1[[#This Row],[x5]]</f>
        <v>3.7517860503866594</v>
      </c>
      <c r="W2523" s="23">
        <f>IF(Table1[[#This Row],[Zscore]]&lt;1.81,1,0)</f>
        <v>0</v>
      </c>
    </row>
    <row r="2524" spans="1:23" hidden="1" x14ac:dyDescent="0.45">
      <c r="A2524" s="7">
        <v>2518</v>
      </c>
      <c r="B2524" s="5" t="s">
        <v>5045</v>
      </c>
      <c r="C2524" s="6" t="s">
        <v>5046</v>
      </c>
      <c r="D2524" s="6" t="s">
        <v>13</v>
      </c>
      <c r="E2524" s="6"/>
      <c r="F2524" s="6"/>
      <c r="G2524" s="6"/>
      <c r="H2524" s="6"/>
      <c r="I2524" s="6"/>
      <c r="J2524" s="8"/>
      <c r="K2524" s="6"/>
      <c r="L2524" s="6"/>
      <c r="M2524" s="8"/>
      <c r="N2524" s="8"/>
      <c r="O2524" s="8"/>
      <c r="P2524" s="8"/>
      <c r="Q2524" s="18" t="e">
        <f>(Table1[[#This Row],[A. TÀI SẢN NGẮN HẠN]]-Table1[[#This Row],[I. Nợ ngắn hạn]])/Table1[[#This Row],[TỔNG CỘNG TÀI SẢN]]</f>
        <v>#DIV/0!</v>
      </c>
      <c r="R2524" s="18" t="e">
        <f>Table1[[#This Row],[- LNST chưa phân phối kỳ này]]/Table1[[#This Row],[TỔNG CỘNG TÀI SẢN]]</f>
        <v>#DIV/0!</v>
      </c>
      <c r="S2524" s="21" t="e">
        <f>Table1[[#This Row],[5. Lợi nhuận gộp về bán hàng và cung cấp dịch vụ]]/Table1[[#This Row],[TỔNG CỘNG TÀI SẢN]]</f>
        <v>#DIV/0!</v>
      </c>
      <c r="T252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524" s="23" t="e">
        <f>Table1[[#This Row],[1. Doanh thu bán hàng và cung cấp dịch vụ ]]/Table1[[#This Row],[TỔNG CỘNG TÀI SẢN]]</f>
        <v>#DIV/0!</v>
      </c>
      <c r="V2524" s="23" t="e">
        <f>1.2*Table1[[#This Row],[X1]] + 1.4*Table1[[#This Row],[X2]] + 3.3*Table1[[#This Row],[x3]] + 0.6*Table1[[#This Row],[x4]] + 1*Table1[[#This Row],[x5]]</f>
        <v>#DIV/0!</v>
      </c>
      <c r="W2524" s="23" t="e">
        <f>IF(Table1[[#This Row],[Zscore]]&lt;1.81,1,0)</f>
        <v>#DIV/0!</v>
      </c>
    </row>
    <row r="2525" spans="1:23" hidden="1" x14ac:dyDescent="0.45">
      <c r="A2525" s="7">
        <v>2519</v>
      </c>
      <c r="B2525" s="5" t="s">
        <v>5047</v>
      </c>
      <c r="C2525" s="6" t="s">
        <v>5048</v>
      </c>
      <c r="D2525" s="6" t="s">
        <v>13</v>
      </c>
      <c r="E2525" s="6"/>
      <c r="F2525" s="6"/>
      <c r="G2525" s="6"/>
      <c r="H2525" s="6"/>
      <c r="I2525" s="6"/>
      <c r="J2525" s="8"/>
      <c r="K2525" s="6"/>
      <c r="L2525" s="6"/>
      <c r="M2525" s="8"/>
      <c r="N2525" s="8"/>
      <c r="O2525" s="8"/>
      <c r="P2525" s="8"/>
      <c r="Q2525" s="18" t="e">
        <f>(Table1[[#This Row],[A. TÀI SẢN NGẮN HẠN]]-Table1[[#This Row],[I. Nợ ngắn hạn]])/Table1[[#This Row],[TỔNG CỘNG TÀI SẢN]]</f>
        <v>#DIV/0!</v>
      </c>
      <c r="R2525" s="18" t="e">
        <f>Table1[[#This Row],[- LNST chưa phân phối kỳ này]]/Table1[[#This Row],[TỔNG CỘNG TÀI SẢN]]</f>
        <v>#DIV/0!</v>
      </c>
      <c r="S2525" s="21" t="e">
        <f>Table1[[#This Row],[5. Lợi nhuận gộp về bán hàng và cung cấp dịch vụ]]/Table1[[#This Row],[TỔNG CỘNG TÀI SẢN]]</f>
        <v>#DIV/0!</v>
      </c>
      <c r="T252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525" s="23" t="e">
        <f>Table1[[#This Row],[1. Doanh thu bán hàng và cung cấp dịch vụ ]]/Table1[[#This Row],[TỔNG CỘNG TÀI SẢN]]</f>
        <v>#DIV/0!</v>
      </c>
      <c r="V2525" s="23" t="e">
        <f>1.2*Table1[[#This Row],[X1]] + 1.4*Table1[[#This Row],[X2]] + 3.3*Table1[[#This Row],[x3]] + 0.6*Table1[[#This Row],[x4]] + 1*Table1[[#This Row],[x5]]</f>
        <v>#DIV/0!</v>
      </c>
      <c r="W2525" s="23" t="e">
        <f>IF(Table1[[#This Row],[Zscore]]&lt;1.81,1,0)</f>
        <v>#DIV/0!</v>
      </c>
    </row>
    <row r="2526" spans="1:23" ht="26.25" hidden="1" x14ac:dyDescent="0.45">
      <c r="A2526" s="7">
        <v>2520</v>
      </c>
      <c r="B2526" s="5" t="s">
        <v>5049</v>
      </c>
      <c r="C2526" s="6" t="s">
        <v>5050</v>
      </c>
      <c r="D2526" s="6" t="s">
        <v>13</v>
      </c>
      <c r="E2526" s="6"/>
      <c r="F2526" s="6"/>
      <c r="G2526" s="6"/>
      <c r="H2526" s="6"/>
      <c r="I2526" s="6"/>
      <c r="J2526" s="8"/>
      <c r="K2526" s="6"/>
      <c r="L2526" s="6"/>
      <c r="M2526" s="8"/>
      <c r="N2526" s="8"/>
      <c r="O2526" s="8"/>
      <c r="P2526" s="8"/>
      <c r="Q2526" s="18" t="e">
        <f>(Table1[[#This Row],[A. TÀI SẢN NGẮN HẠN]]-Table1[[#This Row],[I. Nợ ngắn hạn]])/Table1[[#This Row],[TỔNG CỘNG TÀI SẢN]]</f>
        <v>#DIV/0!</v>
      </c>
      <c r="R2526" s="18" t="e">
        <f>Table1[[#This Row],[- LNST chưa phân phối kỳ này]]/Table1[[#This Row],[TỔNG CỘNG TÀI SẢN]]</f>
        <v>#DIV/0!</v>
      </c>
      <c r="S2526" s="21" t="e">
        <f>Table1[[#This Row],[5. Lợi nhuận gộp về bán hàng và cung cấp dịch vụ]]/Table1[[#This Row],[TỔNG CỘNG TÀI SẢN]]</f>
        <v>#DIV/0!</v>
      </c>
      <c r="T252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526" s="23" t="e">
        <f>Table1[[#This Row],[1. Doanh thu bán hàng và cung cấp dịch vụ ]]/Table1[[#This Row],[TỔNG CỘNG TÀI SẢN]]</f>
        <v>#DIV/0!</v>
      </c>
      <c r="V2526" s="23" t="e">
        <f>1.2*Table1[[#This Row],[X1]] + 1.4*Table1[[#This Row],[X2]] + 3.3*Table1[[#This Row],[x3]] + 0.6*Table1[[#This Row],[x4]] + 1*Table1[[#This Row],[x5]]</f>
        <v>#DIV/0!</v>
      </c>
      <c r="W2526" s="23" t="e">
        <f>IF(Table1[[#This Row],[Zscore]]&lt;1.81,1,0)</f>
        <v>#DIV/0!</v>
      </c>
    </row>
    <row r="2527" spans="1:23" hidden="1" x14ac:dyDescent="0.45">
      <c r="A2527" s="7">
        <v>2521</v>
      </c>
      <c r="B2527" s="5" t="s">
        <v>5051</v>
      </c>
      <c r="C2527" s="6" t="s">
        <v>5052</v>
      </c>
      <c r="D2527" s="6" t="s">
        <v>13</v>
      </c>
      <c r="E2527" s="6"/>
      <c r="F2527" s="6"/>
      <c r="G2527" s="6"/>
      <c r="H2527" s="6"/>
      <c r="I2527" s="6"/>
      <c r="J2527" s="8"/>
      <c r="K2527" s="6"/>
      <c r="L2527" s="6"/>
      <c r="M2527" s="8"/>
      <c r="N2527" s="8"/>
      <c r="O2527" s="8"/>
      <c r="P2527" s="8"/>
      <c r="Q2527" s="18" t="e">
        <f>(Table1[[#This Row],[A. TÀI SẢN NGẮN HẠN]]-Table1[[#This Row],[I. Nợ ngắn hạn]])/Table1[[#This Row],[TỔNG CỘNG TÀI SẢN]]</f>
        <v>#DIV/0!</v>
      </c>
      <c r="R2527" s="18" t="e">
        <f>Table1[[#This Row],[- LNST chưa phân phối kỳ này]]/Table1[[#This Row],[TỔNG CỘNG TÀI SẢN]]</f>
        <v>#DIV/0!</v>
      </c>
      <c r="S2527" s="21" t="e">
        <f>Table1[[#This Row],[5. Lợi nhuận gộp về bán hàng và cung cấp dịch vụ]]/Table1[[#This Row],[TỔNG CỘNG TÀI SẢN]]</f>
        <v>#DIV/0!</v>
      </c>
      <c r="T252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527" s="23" t="e">
        <f>Table1[[#This Row],[1. Doanh thu bán hàng và cung cấp dịch vụ ]]/Table1[[#This Row],[TỔNG CỘNG TÀI SẢN]]</f>
        <v>#DIV/0!</v>
      </c>
      <c r="V2527" s="23" t="e">
        <f>1.2*Table1[[#This Row],[X1]] + 1.4*Table1[[#This Row],[X2]] + 3.3*Table1[[#This Row],[x3]] + 0.6*Table1[[#This Row],[x4]] + 1*Table1[[#This Row],[x5]]</f>
        <v>#DIV/0!</v>
      </c>
      <c r="W2527" s="23" t="e">
        <f>IF(Table1[[#This Row],[Zscore]]&lt;1.81,1,0)</f>
        <v>#DIV/0!</v>
      </c>
    </row>
    <row r="2528" spans="1:23" hidden="1" x14ac:dyDescent="0.45">
      <c r="A2528" s="7">
        <v>2522</v>
      </c>
      <c r="B2528" s="5" t="s">
        <v>5053</v>
      </c>
      <c r="C2528" s="6" t="s">
        <v>5054</v>
      </c>
      <c r="D2528" s="6" t="s">
        <v>13</v>
      </c>
      <c r="E2528" s="6"/>
      <c r="F2528" s="6"/>
      <c r="G2528" s="6"/>
      <c r="H2528" s="6"/>
      <c r="I2528" s="6"/>
      <c r="J2528" s="8"/>
      <c r="K2528" s="6"/>
      <c r="L2528" s="6"/>
      <c r="M2528" s="8"/>
      <c r="N2528" s="8"/>
      <c r="O2528" s="8"/>
      <c r="P2528" s="8"/>
      <c r="Q2528" s="18" t="e">
        <f>(Table1[[#This Row],[A. TÀI SẢN NGẮN HẠN]]-Table1[[#This Row],[I. Nợ ngắn hạn]])/Table1[[#This Row],[TỔNG CỘNG TÀI SẢN]]</f>
        <v>#DIV/0!</v>
      </c>
      <c r="R2528" s="18" t="e">
        <f>Table1[[#This Row],[- LNST chưa phân phối kỳ này]]/Table1[[#This Row],[TỔNG CỘNG TÀI SẢN]]</f>
        <v>#DIV/0!</v>
      </c>
      <c r="S2528" s="21" t="e">
        <f>Table1[[#This Row],[5. Lợi nhuận gộp về bán hàng và cung cấp dịch vụ]]/Table1[[#This Row],[TỔNG CỘNG TÀI SẢN]]</f>
        <v>#DIV/0!</v>
      </c>
      <c r="T252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528" s="23" t="e">
        <f>Table1[[#This Row],[1. Doanh thu bán hàng và cung cấp dịch vụ ]]/Table1[[#This Row],[TỔNG CỘNG TÀI SẢN]]</f>
        <v>#DIV/0!</v>
      </c>
      <c r="V2528" s="23" t="e">
        <f>1.2*Table1[[#This Row],[X1]] + 1.4*Table1[[#This Row],[X2]] + 3.3*Table1[[#This Row],[x3]] + 0.6*Table1[[#This Row],[x4]] + 1*Table1[[#This Row],[x5]]</f>
        <v>#DIV/0!</v>
      </c>
      <c r="W2528" s="23" t="e">
        <f>IF(Table1[[#This Row],[Zscore]]&lt;1.81,1,0)</f>
        <v>#DIV/0!</v>
      </c>
    </row>
    <row r="2529" spans="1:23" hidden="1" x14ac:dyDescent="0.45">
      <c r="A2529" s="7">
        <v>2523</v>
      </c>
      <c r="B2529" s="5" t="s">
        <v>5055</v>
      </c>
      <c r="C2529" s="6" t="s">
        <v>5056</v>
      </c>
      <c r="D2529" s="6" t="s">
        <v>13</v>
      </c>
      <c r="E2529" s="6"/>
      <c r="F2529" s="6"/>
      <c r="G2529" s="6"/>
      <c r="H2529" s="6"/>
      <c r="I2529" s="6"/>
      <c r="J2529" s="8"/>
      <c r="K2529" s="6"/>
      <c r="L2529" s="6"/>
      <c r="M2529" s="8"/>
      <c r="N2529" s="8"/>
      <c r="O2529" s="8"/>
      <c r="P2529" s="8"/>
      <c r="Q2529" s="18" t="e">
        <f>(Table1[[#This Row],[A. TÀI SẢN NGẮN HẠN]]-Table1[[#This Row],[I. Nợ ngắn hạn]])/Table1[[#This Row],[TỔNG CỘNG TÀI SẢN]]</f>
        <v>#DIV/0!</v>
      </c>
      <c r="R2529" s="18" t="e">
        <f>Table1[[#This Row],[- LNST chưa phân phối kỳ này]]/Table1[[#This Row],[TỔNG CỘNG TÀI SẢN]]</f>
        <v>#DIV/0!</v>
      </c>
      <c r="S2529" s="21" t="e">
        <f>Table1[[#This Row],[5. Lợi nhuận gộp về bán hàng và cung cấp dịch vụ]]/Table1[[#This Row],[TỔNG CỘNG TÀI SẢN]]</f>
        <v>#DIV/0!</v>
      </c>
      <c r="T252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529" s="23" t="e">
        <f>Table1[[#This Row],[1. Doanh thu bán hàng và cung cấp dịch vụ ]]/Table1[[#This Row],[TỔNG CỘNG TÀI SẢN]]</f>
        <v>#DIV/0!</v>
      </c>
      <c r="V2529" s="23" t="e">
        <f>1.2*Table1[[#This Row],[X1]] + 1.4*Table1[[#This Row],[X2]] + 3.3*Table1[[#This Row],[x3]] + 0.6*Table1[[#This Row],[x4]] + 1*Table1[[#This Row],[x5]]</f>
        <v>#DIV/0!</v>
      </c>
      <c r="W2529" s="23" t="e">
        <f>IF(Table1[[#This Row],[Zscore]]&lt;1.81,1,0)</f>
        <v>#DIV/0!</v>
      </c>
    </row>
    <row r="2530" spans="1:23" hidden="1" x14ac:dyDescent="0.45">
      <c r="A2530" s="7">
        <v>2524</v>
      </c>
      <c r="B2530" s="5" t="s">
        <v>5057</v>
      </c>
      <c r="C2530" s="6" t="s">
        <v>5058</v>
      </c>
      <c r="D2530" s="6" t="s">
        <v>13</v>
      </c>
      <c r="E2530" s="6"/>
      <c r="F2530" s="6"/>
      <c r="G2530" s="6"/>
      <c r="H2530" s="6"/>
      <c r="I2530" s="6"/>
      <c r="J2530" s="8"/>
      <c r="K2530" s="6"/>
      <c r="L2530" s="6"/>
      <c r="M2530" s="8"/>
      <c r="N2530" s="8"/>
      <c r="O2530" s="8"/>
      <c r="P2530" s="8"/>
      <c r="Q2530" s="18" t="e">
        <f>(Table1[[#This Row],[A. TÀI SẢN NGẮN HẠN]]-Table1[[#This Row],[I. Nợ ngắn hạn]])/Table1[[#This Row],[TỔNG CỘNG TÀI SẢN]]</f>
        <v>#DIV/0!</v>
      </c>
      <c r="R2530" s="18" t="e">
        <f>Table1[[#This Row],[- LNST chưa phân phối kỳ này]]/Table1[[#This Row],[TỔNG CỘNG TÀI SẢN]]</f>
        <v>#DIV/0!</v>
      </c>
      <c r="S2530" s="21" t="e">
        <f>Table1[[#This Row],[5. Lợi nhuận gộp về bán hàng và cung cấp dịch vụ]]/Table1[[#This Row],[TỔNG CỘNG TÀI SẢN]]</f>
        <v>#DIV/0!</v>
      </c>
      <c r="T253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530" s="23" t="e">
        <f>Table1[[#This Row],[1. Doanh thu bán hàng và cung cấp dịch vụ ]]/Table1[[#This Row],[TỔNG CỘNG TÀI SẢN]]</f>
        <v>#DIV/0!</v>
      </c>
      <c r="V2530" s="23" t="e">
        <f>1.2*Table1[[#This Row],[X1]] + 1.4*Table1[[#This Row],[X2]] + 3.3*Table1[[#This Row],[x3]] + 0.6*Table1[[#This Row],[x4]] + 1*Table1[[#This Row],[x5]]</f>
        <v>#DIV/0!</v>
      </c>
      <c r="W2530" s="23" t="e">
        <f>IF(Table1[[#This Row],[Zscore]]&lt;1.81,1,0)</f>
        <v>#DIV/0!</v>
      </c>
    </row>
    <row r="2531" spans="1:23" hidden="1" x14ac:dyDescent="0.45">
      <c r="A2531" s="7">
        <v>2525</v>
      </c>
      <c r="B2531" s="5" t="s">
        <v>5059</v>
      </c>
      <c r="C2531" s="6" t="s">
        <v>5060</v>
      </c>
      <c r="D2531" s="6" t="s">
        <v>13</v>
      </c>
      <c r="E2531" s="6"/>
      <c r="F2531" s="6"/>
      <c r="G2531" s="6"/>
      <c r="H2531" s="6"/>
      <c r="I2531" s="6"/>
      <c r="J2531" s="8"/>
      <c r="K2531" s="6"/>
      <c r="L2531" s="6"/>
      <c r="M2531" s="8"/>
      <c r="N2531" s="8"/>
      <c r="O2531" s="8"/>
      <c r="P2531" s="8"/>
      <c r="Q2531" s="18" t="e">
        <f>(Table1[[#This Row],[A. TÀI SẢN NGẮN HẠN]]-Table1[[#This Row],[I. Nợ ngắn hạn]])/Table1[[#This Row],[TỔNG CỘNG TÀI SẢN]]</f>
        <v>#DIV/0!</v>
      </c>
      <c r="R2531" s="18" t="e">
        <f>Table1[[#This Row],[- LNST chưa phân phối kỳ này]]/Table1[[#This Row],[TỔNG CỘNG TÀI SẢN]]</f>
        <v>#DIV/0!</v>
      </c>
      <c r="S2531" s="21" t="e">
        <f>Table1[[#This Row],[5. Lợi nhuận gộp về bán hàng và cung cấp dịch vụ]]/Table1[[#This Row],[TỔNG CỘNG TÀI SẢN]]</f>
        <v>#DIV/0!</v>
      </c>
      <c r="T253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531" s="23" t="e">
        <f>Table1[[#This Row],[1. Doanh thu bán hàng và cung cấp dịch vụ ]]/Table1[[#This Row],[TỔNG CỘNG TÀI SẢN]]</f>
        <v>#DIV/0!</v>
      </c>
      <c r="V2531" s="23" t="e">
        <f>1.2*Table1[[#This Row],[X1]] + 1.4*Table1[[#This Row],[X2]] + 3.3*Table1[[#This Row],[x3]] + 0.6*Table1[[#This Row],[x4]] + 1*Table1[[#This Row],[x5]]</f>
        <v>#DIV/0!</v>
      </c>
      <c r="W2531" s="23" t="e">
        <f>IF(Table1[[#This Row],[Zscore]]&lt;1.81,1,0)</f>
        <v>#DIV/0!</v>
      </c>
    </row>
    <row r="2532" spans="1:23" x14ac:dyDescent="0.45">
      <c r="A2532" s="7">
        <v>2526</v>
      </c>
      <c r="B2532" s="5" t="s">
        <v>5061</v>
      </c>
      <c r="C2532" s="6" t="s">
        <v>5062</v>
      </c>
      <c r="D2532" s="6" t="s">
        <v>18</v>
      </c>
      <c r="E2532" s="8">
        <v>1310944910650</v>
      </c>
      <c r="F2532" s="8">
        <v>613879055944</v>
      </c>
      <c r="G2532" s="8">
        <v>340534796755</v>
      </c>
      <c r="H2532" s="8">
        <v>172525105956</v>
      </c>
      <c r="I2532" s="8">
        <v>245376771942</v>
      </c>
      <c r="J2532" s="8"/>
      <c r="K2532" s="8">
        <v>463321081077</v>
      </c>
      <c r="L2532" s="8">
        <v>1115714054208</v>
      </c>
      <c r="M2532" s="8">
        <v>2012800000000</v>
      </c>
      <c r="N2532" s="8">
        <v>1703999822500</v>
      </c>
      <c r="O2532" s="8">
        <v>1836800000000</v>
      </c>
      <c r="P2532" s="8">
        <v>1155200000000</v>
      </c>
      <c r="Q2532" s="18">
        <f>(Table1[[#This Row],[A. TÀI SẢN NGẮN HẠN]]-Table1[[#This Row],[I. Nợ ngắn hạn]])/Table1[[#This Row],[TỔNG CỘNG TÀI SẢN]]</f>
        <v>0.20850934083375702</v>
      </c>
      <c r="R2532" s="18">
        <f>Table1[[#This Row],[- LNST chưa phân phối kỳ này]]/Table1[[#This Row],[TỔNG CỘNG TÀI SẢN]]</f>
        <v>0.13160362769970069</v>
      </c>
      <c r="S2532" s="21">
        <f>Table1[[#This Row],[5. Lợi nhuận gộp về bán hàng và cung cấp dịch vụ]]/Table1[[#This Row],[TỔNG CỘNG TÀI SẢN]]</f>
        <v>0.18717550215007581</v>
      </c>
      <c r="T253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3.619951744320185</v>
      </c>
      <c r="U2532" s="23">
        <f>Table1[[#This Row],[1. Doanh thu bán hàng và cung cấp dịch vụ ]]/Table1[[#This Row],[TỔNG CỘNG TÀI SẢN]]</f>
        <v>0.85107623146025291</v>
      </c>
      <c r="V2532" s="23">
        <f>1.2*Table1[[#This Row],[X1]] + 1.4*Table1[[#This Row],[X2]] + 3.3*Table1[[#This Row],[x3]] + 0.6*Table1[[#This Row],[x4]] + 1*Table1[[#This Row],[x5]]</f>
        <v>4.0751827229277033</v>
      </c>
      <c r="W2532" s="23">
        <f>IF(Table1[[#This Row],[Zscore]]&lt;1.81,1,0)</f>
        <v>0</v>
      </c>
    </row>
    <row r="2533" spans="1:23" ht="26.25" x14ac:dyDescent="0.45">
      <c r="A2533" s="7">
        <v>2527</v>
      </c>
      <c r="B2533" s="5" t="s">
        <v>5063</v>
      </c>
      <c r="C2533" s="6" t="s">
        <v>5064</v>
      </c>
      <c r="D2533" s="6" t="s">
        <v>18</v>
      </c>
      <c r="E2533" s="8">
        <v>196771033000000</v>
      </c>
      <c r="F2533" s="6"/>
      <c r="G2533" s="6"/>
      <c r="H2533" s="6"/>
      <c r="I2533" s="6"/>
      <c r="J2533" s="8"/>
      <c r="K2533" s="8">
        <v>184339310000000</v>
      </c>
      <c r="L2533" s="8">
        <v>11980393000000</v>
      </c>
      <c r="M2533" s="8">
        <v>7068019157100</v>
      </c>
      <c r="N2533" s="8">
        <v>8538732488000</v>
      </c>
      <c r="O2533" s="8">
        <v>7282201555800</v>
      </c>
      <c r="P2533" s="8">
        <v>9277661261000</v>
      </c>
      <c r="Q2533" s="18">
        <f>(Table1[[#This Row],[A. TÀI SẢN NGẮN HẠN]]-Table1[[#This Row],[I. Nợ ngắn hạn]])/Table1[[#This Row],[TỔNG CỘNG TÀI SẢN]]</f>
        <v>0</v>
      </c>
      <c r="R2533" s="18">
        <f>Table1[[#This Row],[- LNST chưa phân phối kỳ này]]/Table1[[#This Row],[TỔNG CỘNG TÀI SẢN]]</f>
        <v>0</v>
      </c>
      <c r="S2533" s="21">
        <f>Table1[[#This Row],[5. Lợi nhuận gộp về bán hàng và cung cấp dịch vụ]]/Table1[[#This Row],[TỔNG CỘNG TÀI SẢN]]</f>
        <v>0</v>
      </c>
      <c r="T253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4.3624192883628565E-2</v>
      </c>
      <c r="U2533" s="23">
        <f>Table1[[#This Row],[1. Doanh thu bán hàng và cung cấp dịch vụ ]]/Table1[[#This Row],[TỔNG CỘNG TÀI SẢN]]</f>
        <v>6.0884942348196136E-2</v>
      </c>
      <c r="V2533" s="23">
        <f>1.2*Table1[[#This Row],[X1]] + 1.4*Table1[[#This Row],[X2]] + 3.3*Table1[[#This Row],[x3]] + 0.6*Table1[[#This Row],[x4]] + 1*Table1[[#This Row],[x5]]</f>
        <v>8.7059458078373272E-2</v>
      </c>
      <c r="W2533" s="23">
        <f>IF(Table1[[#This Row],[Zscore]]&lt;1.81,1,0)</f>
        <v>1</v>
      </c>
    </row>
    <row r="2534" spans="1:23" x14ac:dyDescent="0.45">
      <c r="A2534" s="7">
        <v>2528</v>
      </c>
      <c r="B2534" s="5" t="s">
        <v>5065</v>
      </c>
      <c r="C2534" s="6" t="s">
        <v>5066</v>
      </c>
      <c r="D2534" s="6" t="s">
        <v>36</v>
      </c>
      <c r="E2534" s="8">
        <v>383592477390</v>
      </c>
      <c r="F2534" s="8">
        <v>324266218747</v>
      </c>
      <c r="G2534" s="8">
        <v>207673544516</v>
      </c>
      <c r="H2534" s="8">
        <v>28063858575</v>
      </c>
      <c r="I2534" s="8">
        <v>76712691882</v>
      </c>
      <c r="J2534" s="8"/>
      <c r="K2534" s="8">
        <v>207673544516</v>
      </c>
      <c r="L2534" s="8">
        <v>844435433375</v>
      </c>
      <c r="M2534" s="8">
        <v>161249140000</v>
      </c>
      <c r="N2534" s="8">
        <v>157499160000</v>
      </c>
      <c r="O2534" s="8">
        <v>152249188000</v>
      </c>
      <c r="P2534" s="8">
        <v>146999216000</v>
      </c>
      <c r="Q2534" s="18">
        <f>(Table1[[#This Row],[A. TÀI SẢN NGẮN HẠN]]-Table1[[#This Row],[I. Nợ ngắn hạn]])/Table1[[#This Row],[TỔNG CỘNG TÀI SẢN]]</f>
        <v>0.30394932409599829</v>
      </c>
      <c r="R2534" s="18">
        <f>Table1[[#This Row],[- LNST chưa phân phối kỳ này]]/Table1[[#This Row],[TỔNG CỘNG TÀI SẢN]]</f>
        <v>7.316060723074963E-2</v>
      </c>
      <c r="S2534" s="21">
        <f>Table1[[#This Row],[5. Lợi nhuận gộp về bán hàng và cung cấp dịch vụ]]/Table1[[#This Row],[TỔNG CỘNG TÀI SẢN]]</f>
        <v>0.19998487041237228</v>
      </c>
      <c r="T253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0.74395213102406876</v>
      </c>
      <c r="U2534" s="23">
        <f>Table1[[#This Row],[1. Doanh thu bán hàng và cung cấp dịch vụ ]]/Table1[[#This Row],[TỔNG CỘNG TÀI SẢN]]</f>
        <v>2.2013868444986713</v>
      </c>
      <c r="V2534" s="23">
        <f>1.2*Table1[[#This Row],[X1]] + 1.4*Table1[[#This Row],[X2]] + 3.3*Table1[[#This Row],[x3]] + 0.6*Table1[[#This Row],[x4]] + 1*Table1[[#This Row],[x5]]</f>
        <v>3.7748722345121886</v>
      </c>
      <c r="W2534" s="23">
        <f>IF(Table1[[#This Row],[Zscore]]&lt;1.81,1,0)</f>
        <v>0</v>
      </c>
    </row>
    <row r="2535" spans="1:23" hidden="1" x14ac:dyDescent="0.45">
      <c r="A2535" s="7">
        <v>2529</v>
      </c>
      <c r="B2535" s="5" t="s">
        <v>5067</v>
      </c>
      <c r="C2535" s="6" t="s">
        <v>5068</v>
      </c>
      <c r="D2535" s="6" t="s">
        <v>18</v>
      </c>
      <c r="E2535" s="6"/>
      <c r="F2535" s="6"/>
      <c r="G2535" s="6"/>
      <c r="H2535" s="6"/>
      <c r="I2535" s="6"/>
      <c r="J2535" s="8"/>
      <c r="K2535" s="6"/>
      <c r="L2535" s="6"/>
      <c r="M2535" s="8"/>
      <c r="N2535" s="8"/>
      <c r="O2535" s="8"/>
      <c r="P2535" s="8"/>
      <c r="Q2535" s="18" t="e">
        <f>(Table1[[#This Row],[A. TÀI SẢN NGẮN HẠN]]-Table1[[#This Row],[I. Nợ ngắn hạn]])/Table1[[#This Row],[TỔNG CỘNG TÀI SẢN]]</f>
        <v>#DIV/0!</v>
      </c>
      <c r="R2535" s="18" t="e">
        <f>Table1[[#This Row],[- LNST chưa phân phối kỳ này]]/Table1[[#This Row],[TỔNG CỘNG TÀI SẢN]]</f>
        <v>#DIV/0!</v>
      </c>
      <c r="S2535" s="21" t="e">
        <f>Table1[[#This Row],[5. Lợi nhuận gộp về bán hàng và cung cấp dịch vụ]]/Table1[[#This Row],[TỔNG CỘNG TÀI SẢN]]</f>
        <v>#DIV/0!</v>
      </c>
      <c r="T253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535" s="23" t="e">
        <f>Table1[[#This Row],[1. Doanh thu bán hàng và cung cấp dịch vụ ]]/Table1[[#This Row],[TỔNG CỘNG TÀI SẢN]]</f>
        <v>#DIV/0!</v>
      </c>
      <c r="V2535" s="23" t="e">
        <f>1.2*Table1[[#This Row],[X1]] + 1.4*Table1[[#This Row],[X2]] + 3.3*Table1[[#This Row],[x3]] + 0.6*Table1[[#This Row],[x4]] + 1*Table1[[#This Row],[x5]]</f>
        <v>#DIV/0!</v>
      </c>
      <c r="W2535" s="23" t="e">
        <f>IF(Table1[[#This Row],[Zscore]]&lt;1.81,1,0)</f>
        <v>#DIV/0!</v>
      </c>
    </row>
    <row r="2536" spans="1:23" hidden="1" x14ac:dyDescent="0.45">
      <c r="A2536" s="7">
        <v>2530</v>
      </c>
      <c r="B2536" s="5" t="s">
        <v>5069</v>
      </c>
      <c r="C2536" s="6" t="s">
        <v>5070</v>
      </c>
      <c r="D2536" s="6" t="s">
        <v>18</v>
      </c>
      <c r="E2536" s="8">
        <v>33567757187</v>
      </c>
      <c r="F2536" s="8">
        <v>31944956480</v>
      </c>
      <c r="G2536" s="8">
        <v>2372579172</v>
      </c>
      <c r="H2536" s="8">
        <v>4226773504</v>
      </c>
      <c r="I2536" s="8">
        <v>15165015404</v>
      </c>
      <c r="J2536" s="8"/>
      <c r="K2536" s="8">
        <v>3156179172</v>
      </c>
      <c r="L2536" s="8">
        <v>34001826126</v>
      </c>
      <c r="M2536" s="8"/>
      <c r="N2536" s="8"/>
      <c r="O2536" s="8"/>
      <c r="P2536" s="8"/>
      <c r="Q2536" s="18">
        <f>(Table1[[#This Row],[A. TÀI SẢN NGẮN HẠN]]-Table1[[#This Row],[I. Nợ ngắn hạn]])/Table1[[#This Row],[TỔNG CỘNG TÀI SẢN]]</f>
        <v>0.88097566790827131</v>
      </c>
      <c r="R2536" s="18">
        <f>Table1[[#This Row],[- LNST chưa phân phối kỳ này]]/Table1[[#This Row],[TỔNG CỘNG TÀI SẢN]]</f>
        <v>0.12591766201278795</v>
      </c>
      <c r="S2536" s="21">
        <f>Table1[[#This Row],[5. Lợi nhuận gộp về bán hàng và cung cấp dịch vụ]]/Table1[[#This Row],[TỔNG CỘNG TÀI SẢN]]</f>
        <v>0.45177326919753374</v>
      </c>
      <c r="T253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536" s="23">
        <f>Table1[[#This Row],[1. Doanh thu bán hàng và cung cấp dịch vụ ]]/Table1[[#This Row],[TỔNG CỘNG TÀI SẢN]]</f>
        <v>1.012931127229677</v>
      </c>
      <c r="V2536" s="23" t="e">
        <f>1.2*Table1[[#This Row],[X1]] + 1.4*Table1[[#This Row],[X2]] + 3.3*Table1[[#This Row],[x3]] + 0.6*Table1[[#This Row],[x4]] + 1*Table1[[#This Row],[x5]]</f>
        <v>#DIV/0!</v>
      </c>
      <c r="W2536" s="23" t="e">
        <f>IF(Table1[[#This Row],[Zscore]]&lt;1.81,1,0)</f>
        <v>#DIV/0!</v>
      </c>
    </row>
    <row r="2537" spans="1:23" x14ac:dyDescent="0.45">
      <c r="A2537" s="7">
        <v>2531</v>
      </c>
      <c r="B2537" s="5" t="s">
        <v>5071</v>
      </c>
      <c r="C2537" s="6" t="s">
        <v>5072</v>
      </c>
      <c r="D2537" s="6" t="s">
        <v>36</v>
      </c>
      <c r="E2537" s="8">
        <v>728674371737</v>
      </c>
      <c r="F2537" s="8">
        <v>649460322109</v>
      </c>
      <c r="G2537" s="8">
        <v>469662642932</v>
      </c>
      <c r="H2537" s="8">
        <v>6885925052</v>
      </c>
      <c r="I2537" s="8">
        <v>39994952276</v>
      </c>
      <c r="J2537" s="8"/>
      <c r="K2537" s="8">
        <v>471727356181</v>
      </c>
      <c r="L2537" s="8">
        <v>557050573629</v>
      </c>
      <c r="M2537" s="8">
        <v>115200000000</v>
      </c>
      <c r="N2537" s="8">
        <v>154800000000</v>
      </c>
      <c r="O2537" s="8">
        <v>120000000000</v>
      </c>
      <c r="P2537" s="8">
        <v>144000000000</v>
      </c>
      <c r="Q2537" s="18">
        <f>(Table1[[#This Row],[A. TÀI SẢN NGẮN HẠN]]-Table1[[#This Row],[I. Nợ ngắn hạn]])/Table1[[#This Row],[TỔNG CỘNG TÀI SẢN]]</f>
        <v>0.24674626438199238</v>
      </c>
      <c r="R2537" s="18">
        <f>Table1[[#This Row],[- LNST chưa phân phối kỳ này]]/Table1[[#This Row],[TỔNG CỘNG TÀI SẢN]]</f>
        <v>9.4499344550645625E-3</v>
      </c>
      <c r="S2537" s="21">
        <f>Table1[[#This Row],[5. Lợi nhuận gộp về bán hàng và cung cấp dịch vụ]]/Table1[[#This Row],[TỔNG CỘNG TÀI SẢN]]</f>
        <v>5.4887277263039727E-2</v>
      </c>
      <c r="T253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0.28300245523343481</v>
      </c>
      <c r="U2537" s="23">
        <f>Table1[[#This Row],[1. Doanh thu bán hàng và cung cấp dịch vụ ]]/Table1[[#This Row],[TỔNG CỘNG TÀI SẢN]]</f>
        <v>0.76447120309873606</v>
      </c>
      <c r="V2537" s="23">
        <f>1.2*Table1[[#This Row],[X1]] + 1.4*Table1[[#This Row],[X2]] + 3.3*Table1[[#This Row],[x3]] + 0.6*Table1[[#This Row],[x4]] + 1*Table1[[#This Row],[x5]]</f>
        <v>1.4247261167023093</v>
      </c>
      <c r="W2537" s="23">
        <f>IF(Table1[[#This Row],[Zscore]]&lt;1.81,1,0)</f>
        <v>1</v>
      </c>
    </row>
    <row r="2538" spans="1:23" x14ac:dyDescent="0.45">
      <c r="A2538" s="7">
        <v>2532</v>
      </c>
      <c r="B2538" s="5" t="s">
        <v>5073</v>
      </c>
      <c r="C2538" s="6" t="s">
        <v>5074</v>
      </c>
      <c r="D2538" s="6" t="s">
        <v>36</v>
      </c>
      <c r="E2538" s="8">
        <v>3069046037660</v>
      </c>
      <c r="F2538" s="8">
        <v>2448748828623</v>
      </c>
      <c r="G2538" s="8">
        <v>1790456697290</v>
      </c>
      <c r="H2538" s="8">
        <v>17050707199</v>
      </c>
      <c r="I2538" s="8">
        <v>104400383314</v>
      </c>
      <c r="J2538" s="8"/>
      <c r="K2538" s="8">
        <v>2124726645931</v>
      </c>
      <c r="L2538" s="8">
        <v>1141898609173</v>
      </c>
      <c r="M2538" s="8">
        <v>577663044000</v>
      </c>
      <c r="N2538" s="8">
        <v>433247283000</v>
      </c>
      <c r="O2538" s="8">
        <v>522647516000</v>
      </c>
      <c r="P2538" s="8">
        <v>570786103000</v>
      </c>
      <c r="Q2538" s="18">
        <f>(Table1[[#This Row],[A. TÀI SẢN NGẮN HẠN]]-Table1[[#This Row],[I. Nợ ngắn hạn]])/Table1[[#This Row],[TỔNG CỘNG TÀI SẢN]]</f>
        <v>0.21449405556487386</v>
      </c>
      <c r="R2538" s="18">
        <f>Table1[[#This Row],[- LNST chưa phân phối kỳ này]]/Table1[[#This Row],[TỔNG CỘNG TÀI SẢN]]</f>
        <v>5.5557026482406062E-3</v>
      </c>
      <c r="S2538" s="21">
        <f>Table1[[#This Row],[5. Lợi nhuận gộp về bán hàng và cung cấp dịch vụ]]/Table1[[#This Row],[TỔNG CỘNG TÀI SẢN]]</f>
        <v>3.4017209918949368E-2</v>
      </c>
      <c r="T253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0.24760172679506393</v>
      </c>
      <c r="U2538" s="23">
        <f>Table1[[#This Row],[1. Doanh thu bán hàng và cung cấp dịch vụ ]]/Table1[[#This Row],[TỔNG CỘNG TÀI SẢN]]</f>
        <v>0.37206956010462544</v>
      </c>
      <c r="V2538" s="23">
        <f>1.2*Table1[[#This Row],[X1]] + 1.4*Table1[[#This Row],[X2]] + 3.3*Table1[[#This Row],[x3]] + 0.6*Table1[[#This Row],[x4]] + 1*Table1[[#This Row],[x5]]</f>
        <v>0.89805823929958217</v>
      </c>
      <c r="W2538" s="23">
        <f>IF(Table1[[#This Row],[Zscore]]&lt;1.81,1,0)</f>
        <v>1</v>
      </c>
    </row>
    <row r="2539" spans="1:23" x14ac:dyDescent="0.45">
      <c r="A2539" s="7">
        <v>2533</v>
      </c>
      <c r="B2539" s="5" t="s">
        <v>5075</v>
      </c>
      <c r="C2539" s="6" t="s">
        <v>5076</v>
      </c>
      <c r="D2539" s="6" t="s">
        <v>36</v>
      </c>
      <c r="E2539" s="8">
        <v>3067091903111</v>
      </c>
      <c r="F2539" s="8">
        <v>2374309580085</v>
      </c>
      <c r="G2539" s="8">
        <v>1167805690292</v>
      </c>
      <c r="H2539" s="8">
        <v>109932337568</v>
      </c>
      <c r="I2539" s="8">
        <v>191571860258</v>
      </c>
      <c r="J2539" s="8"/>
      <c r="K2539" s="8">
        <v>1551365685199</v>
      </c>
      <c r="L2539" s="8">
        <v>607948751737</v>
      </c>
      <c r="M2539" s="8">
        <v>3416620634700</v>
      </c>
      <c r="N2539" s="8">
        <v>3683184966000</v>
      </c>
      <c r="O2539" s="8">
        <v>3529256479800</v>
      </c>
      <c r="P2539" s="8">
        <v>3429135728600</v>
      </c>
      <c r="Q2539" s="18">
        <f>(Table1[[#This Row],[A. TÀI SẢN NGẮN HẠN]]-Table1[[#This Row],[I. Nợ ngắn hạn]])/Table1[[#This Row],[TỔNG CỘNG TÀI SẢN]]</f>
        <v>0.39337063508570574</v>
      </c>
      <c r="R2539" s="18">
        <f>Table1[[#This Row],[- LNST chưa phân phối kỳ này]]/Table1[[#This Row],[TỔNG CỘNG TÀI SẢN]]</f>
        <v>3.5842531310031463E-2</v>
      </c>
      <c r="S2539" s="21">
        <f>Table1[[#This Row],[5. Lợi nhuận gộp về bán hàng và cung cấp dịch vụ]]/Table1[[#This Row],[TỔNG CỘNG TÀI SẢN]]</f>
        <v>6.2460423850907637E-2</v>
      </c>
      <c r="T253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2.2654551958999751</v>
      </c>
      <c r="U2539" s="23">
        <f>Table1[[#This Row],[1. Doanh thu bán hàng và cung cấp dịch vụ ]]/Table1[[#This Row],[TỔNG CỘNG TÀI SẢN]]</f>
        <v>0.19821667264692913</v>
      </c>
      <c r="V2539" s="23">
        <f>1.2*Table1[[#This Row],[X1]] + 1.4*Table1[[#This Row],[X2]] + 3.3*Table1[[#This Row],[x3]] + 0.6*Table1[[#This Row],[x4]] + 1*Table1[[#This Row],[x5]]</f>
        <v>2.2858334948318002</v>
      </c>
      <c r="W2539" s="23">
        <f>IF(Table1[[#This Row],[Zscore]]&lt;1.81,1,0)</f>
        <v>0</v>
      </c>
    </row>
    <row r="2540" spans="1:23" hidden="1" x14ac:dyDescent="0.45">
      <c r="A2540" s="7">
        <v>2534</v>
      </c>
      <c r="B2540" s="5" t="s">
        <v>5077</v>
      </c>
      <c r="C2540" s="6" t="s">
        <v>4016</v>
      </c>
      <c r="D2540" s="6" t="s">
        <v>18</v>
      </c>
      <c r="E2540" s="6"/>
      <c r="F2540" s="6"/>
      <c r="G2540" s="6"/>
      <c r="H2540" s="6"/>
      <c r="I2540" s="6"/>
      <c r="J2540" s="8"/>
      <c r="K2540" s="6"/>
      <c r="L2540" s="6"/>
      <c r="M2540" s="8"/>
      <c r="N2540" s="8"/>
      <c r="O2540" s="8"/>
      <c r="P2540" s="8"/>
      <c r="Q2540" s="18" t="e">
        <f>(Table1[[#This Row],[A. TÀI SẢN NGẮN HẠN]]-Table1[[#This Row],[I. Nợ ngắn hạn]])/Table1[[#This Row],[TỔNG CỘNG TÀI SẢN]]</f>
        <v>#DIV/0!</v>
      </c>
      <c r="R2540" s="18" t="e">
        <f>Table1[[#This Row],[- LNST chưa phân phối kỳ này]]/Table1[[#This Row],[TỔNG CỘNG TÀI SẢN]]</f>
        <v>#DIV/0!</v>
      </c>
      <c r="S2540" s="21" t="e">
        <f>Table1[[#This Row],[5. Lợi nhuận gộp về bán hàng và cung cấp dịch vụ]]/Table1[[#This Row],[TỔNG CỘNG TÀI SẢN]]</f>
        <v>#DIV/0!</v>
      </c>
      <c r="T254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540" s="23" t="e">
        <f>Table1[[#This Row],[1. Doanh thu bán hàng và cung cấp dịch vụ ]]/Table1[[#This Row],[TỔNG CỘNG TÀI SẢN]]</f>
        <v>#DIV/0!</v>
      </c>
      <c r="V2540" s="23" t="e">
        <f>1.2*Table1[[#This Row],[X1]] + 1.4*Table1[[#This Row],[X2]] + 3.3*Table1[[#This Row],[x3]] + 0.6*Table1[[#This Row],[x4]] + 1*Table1[[#This Row],[x5]]</f>
        <v>#DIV/0!</v>
      </c>
      <c r="W2540" s="23" t="e">
        <f>IF(Table1[[#This Row],[Zscore]]&lt;1.81,1,0)</f>
        <v>#DIV/0!</v>
      </c>
    </row>
    <row r="2541" spans="1:23" ht="26.25" x14ac:dyDescent="0.45">
      <c r="A2541" s="7">
        <v>2535</v>
      </c>
      <c r="B2541" s="5" t="s">
        <v>5078</v>
      </c>
      <c r="C2541" s="6" t="s">
        <v>5079</v>
      </c>
      <c r="D2541" s="6" t="s">
        <v>36</v>
      </c>
      <c r="E2541" s="8">
        <v>1177843378382</v>
      </c>
      <c r="F2541" s="8">
        <v>1097175960565</v>
      </c>
      <c r="G2541" s="8">
        <v>992651720268</v>
      </c>
      <c r="H2541" s="8">
        <v>34395219273</v>
      </c>
      <c r="I2541" s="8">
        <v>121940700947</v>
      </c>
      <c r="J2541" s="8"/>
      <c r="K2541" s="8">
        <v>992651720268</v>
      </c>
      <c r="L2541" s="8">
        <v>2207586954154</v>
      </c>
      <c r="M2541" s="8">
        <v>308781983400</v>
      </c>
      <c r="N2541" s="8">
        <v>216817540000</v>
      </c>
      <c r="O2541" s="8">
        <v>279742925400</v>
      </c>
      <c r="P2541" s="8">
        <v>454232746300</v>
      </c>
      <c r="Q2541" s="18">
        <f>(Table1[[#This Row],[A. TÀI SẢN NGẮN HẠN]]-Table1[[#This Row],[I. Nợ ngắn hạn]])/Table1[[#This Row],[TỔNG CỘNG TÀI SẢN]]</f>
        <v>8.8742053668107085E-2</v>
      </c>
      <c r="R2541" s="18">
        <f>Table1[[#This Row],[- LNST chưa phân phối kỳ này]]/Table1[[#This Row],[TỔNG CỘNG TÀI SẢN]]</f>
        <v>2.9201861558409075E-2</v>
      </c>
      <c r="S2541" s="21">
        <f>Table1[[#This Row],[5. Lợi nhuận gộp về bán hàng và cung cấp dịch vụ]]/Table1[[#This Row],[TỔNG CỘNG TÀI SẢN]]</f>
        <v>0.10352879099639681</v>
      </c>
      <c r="T254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0.31722485575301651</v>
      </c>
      <c r="U2541" s="23">
        <f>Table1[[#This Row],[1. Doanh thu bán hàng và cung cấp dịch vụ ]]/Table1[[#This Row],[TỔNG CỘNG TÀI SẢN]]</f>
        <v>1.8742618880165169</v>
      </c>
      <c r="V2541" s="23">
        <f>1.2*Table1[[#This Row],[X1]] + 1.4*Table1[[#This Row],[X2]] + 3.3*Table1[[#This Row],[x3]] + 0.6*Table1[[#This Row],[x4]] + 1*Table1[[#This Row],[x5]]</f>
        <v>2.5536148823399376</v>
      </c>
      <c r="W2541" s="23">
        <f>IF(Table1[[#This Row],[Zscore]]&lt;1.81,1,0)</f>
        <v>0</v>
      </c>
    </row>
    <row r="2542" spans="1:23" x14ac:dyDescent="0.45">
      <c r="A2542" s="7">
        <v>2536</v>
      </c>
      <c r="B2542" s="5" t="s">
        <v>5080</v>
      </c>
      <c r="C2542" s="6" t="s">
        <v>5081</v>
      </c>
      <c r="D2542" s="6" t="s">
        <v>36</v>
      </c>
      <c r="E2542" s="8">
        <v>1736307032018</v>
      </c>
      <c r="F2542" s="8">
        <v>621296505721</v>
      </c>
      <c r="G2542" s="8">
        <v>553881126256</v>
      </c>
      <c r="H2542" s="8">
        <v>25393669518</v>
      </c>
      <c r="I2542" s="8">
        <v>62011772251</v>
      </c>
      <c r="J2542" s="8"/>
      <c r="K2542" s="8">
        <v>663114439014</v>
      </c>
      <c r="L2542" s="8">
        <v>533061461859</v>
      </c>
      <c r="M2542" s="8">
        <v>970514615600</v>
      </c>
      <c r="N2542" s="8">
        <v>912860282000</v>
      </c>
      <c r="O2542" s="8">
        <v>835987837200</v>
      </c>
      <c r="P2542" s="8">
        <v>1133868560800</v>
      </c>
      <c r="Q2542" s="18">
        <f>(Table1[[#This Row],[A. TÀI SẢN NGẮN HẠN]]-Table1[[#This Row],[I. Nợ ngắn hạn]])/Table1[[#This Row],[TỔNG CỘNG TÀI SẢN]]</f>
        <v>3.882687694160137E-2</v>
      </c>
      <c r="R2542" s="18">
        <f>Table1[[#This Row],[- LNST chưa phân phối kỳ này]]/Table1[[#This Row],[TỔNG CỘNG TÀI SẢN]]</f>
        <v>1.4625103193002992E-2</v>
      </c>
      <c r="S2542" s="21">
        <f>Table1[[#This Row],[5. Lợi nhuận gộp về bán hàng và cung cấp dịch vụ]]/Table1[[#This Row],[TỔNG CỘNG TÀI SẢN]]</f>
        <v>3.5714750391195288E-2</v>
      </c>
      <c r="T254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1.4527022293955238</v>
      </c>
      <c r="U2542" s="23">
        <f>Table1[[#This Row],[1. Doanh thu bán hàng và cung cấp dịch vụ ]]/Table1[[#This Row],[TỔNG CỘNG TÀI SẢN]]</f>
        <v>0.30700875595686344</v>
      </c>
      <c r="V2542" s="23">
        <f>1.2*Table1[[#This Row],[X1]] + 1.4*Table1[[#This Row],[X2]] + 3.3*Table1[[#This Row],[x3]] + 0.6*Table1[[#This Row],[x4]] + 1*Table1[[#This Row],[x5]]</f>
        <v>1.363556166685248</v>
      </c>
      <c r="W2542" s="23">
        <f>IF(Table1[[#This Row],[Zscore]]&lt;1.81,1,0)</f>
        <v>1</v>
      </c>
    </row>
    <row r="2543" spans="1:23" x14ac:dyDescent="0.45">
      <c r="A2543" s="7">
        <v>2537</v>
      </c>
      <c r="B2543" s="5" t="s">
        <v>5082</v>
      </c>
      <c r="C2543" s="6" t="s">
        <v>5083</v>
      </c>
      <c r="D2543" s="6" t="s">
        <v>36</v>
      </c>
      <c r="E2543" s="8">
        <v>710591021738</v>
      </c>
      <c r="F2543" s="8">
        <v>501598727827</v>
      </c>
      <c r="G2543" s="8">
        <v>488726292153</v>
      </c>
      <c r="H2543" s="8">
        <v>810539604</v>
      </c>
      <c r="I2543" s="8">
        <v>16570832258</v>
      </c>
      <c r="J2543" s="8"/>
      <c r="K2543" s="8">
        <v>646350820308</v>
      </c>
      <c r="L2543" s="8">
        <v>237010737616</v>
      </c>
      <c r="M2543" s="8">
        <v>73458880000</v>
      </c>
      <c r="N2543" s="8">
        <v>61772240000</v>
      </c>
      <c r="O2543" s="8">
        <v>66780800000</v>
      </c>
      <c r="P2543" s="8">
        <v>66780800000</v>
      </c>
      <c r="Q2543" s="18">
        <f>(Table1[[#This Row],[A. TÀI SẢN NGẮN HẠN]]-Table1[[#This Row],[I. Nợ ngắn hạn]])/Table1[[#This Row],[TỔNG CỘNG TÀI SẢN]]</f>
        <v>1.8115111618657854E-2</v>
      </c>
      <c r="R2543" s="18">
        <f>Table1[[#This Row],[- LNST chưa phân phối kỳ này]]/Table1[[#This Row],[TỔNG CỘNG TÀI SẢN]]</f>
        <v>1.1406555658662004E-3</v>
      </c>
      <c r="S2543" s="21">
        <f>Table1[[#This Row],[5. Lợi nhuận gộp về bán hàng và cung cấp dịch vụ]]/Table1[[#This Row],[TỔNG CỘNG TÀI SẢN]]</f>
        <v>2.3319788388924768E-2</v>
      </c>
      <c r="T254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0.10396549039417731</v>
      </c>
      <c r="U2543" s="23">
        <f>Table1[[#This Row],[1. Doanh thu bán hàng và cung cấp dịch vụ ]]/Table1[[#This Row],[TỔNG CỘNG TÀI SẢN]]</f>
        <v>0.33354029303143595</v>
      </c>
      <c r="V2543" s="23">
        <f>1.2*Table1[[#This Row],[X1]] + 1.4*Table1[[#This Row],[X2]] + 3.3*Table1[[#This Row],[x3]] + 0.6*Table1[[#This Row],[x4]] + 1*Table1[[#This Row],[x5]]</f>
        <v>0.49620994068599616</v>
      </c>
      <c r="W2543" s="23">
        <f>IF(Table1[[#This Row],[Zscore]]&lt;1.81,1,0)</f>
        <v>1</v>
      </c>
    </row>
    <row r="2544" spans="1:23" x14ac:dyDescent="0.45">
      <c r="A2544" s="7">
        <v>2538</v>
      </c>
      <c r="B2544" s="5" t="s">
        <v>5084</v>
      </c>
      <c r="C2544" s="6" t="s">
        <v>5085</v>
      </c>
      <c r="D2544" s="6" t="s">
        <v>21</v>
      </c>
      <c r="E2544" s="8">
        <v>181807148876</v>
      </c>
      <c r="F2544" s="8">
        <v>165453252900</v>
      </c>
      <c r="G2544" s="8">
        <v>4354235294</v>
      </c>
      <c r="H2544" s="8">
        <v>-14799785034</v>
      </c>
      <c r="I2544" s="8">
        <v>17099089820</v>
      </c>
      <c r="J2544" s="8"/>
      <c r="K2544" s="8">
        <v>4354235294</v>
      </c>
      <c r="L2544" s="8">
        <v>1018989152500</v>
      </c>
      <c r="M2544" s="8">
        <v>173894836900</v>
      </c>
      <c r="N2544" s="8">
        <v>124080420740</v>
      </c>
      <c r="O2544" s="8">
        <v>143520192900</v>
      </c>
      <c r="P2544" s="8">
        <v>140178982060</v>
      </c>
      <c r="Q2544" s="18">
        <f>(Table1[[#This Row],[A. TÀI SẢN NGẮN HẠN]]-Table1[[#This Row],[I. Nợ ngắn hạn]])/Table1[[#This Row],[TỔNG CỘNG TÀI SẢN]]</f>
        <v>0.88609836632923711</v>
      </c>
      <c r="R2544" s="18">
        <f>Table1[[#This Row],[- LNST chưa phân phối kỳ này]]/Table1[[#This Row],[TỔNG CỘNG TÀI SẢN]]</f>
        <v>-8.1403757363216048E-2</v>
      </c>
      <c r="S2544" s="21">
        <f>Table1[[#This Row],[5. Lợi nhuận gộp về bán hàng và cung cấp dịch vụ]]/Table1[[#This Row],[TỔNG CỘNG TÀI SẢN]]</f>
        <v>9.4050701117711757E-2</v>
      </c>
      <c r="T254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33.397048696560404</v>
      </c>
      <c r="U2544" s="23">
        <f>Table1[[#This Row],[1. Doanh thu bán hàng và cung cấp dịch vụ ]]/Table1[[#This Row],[TỔNG CỘNG TÀI SẢN]]</f>
        <v>5.6047804434521593</v>
      </c>
      <c r="V2544" s="23">
        <f>1.2*Table1[[#This Row],[X1]] + 1.4*Table1[[#This Row],[X2]] + 3.3*Table1[[#This Row],[x3]] + 0.6*Table1[[#This Row],[x4]] + 1*Table1[[#This Row],[x5]]</f>
        <v>26.902729754363431</v>
      </c>
      <c r="W2544" s="23">
        <f>IF(Table1[[#This Row],[Zscore]]&lt;1.81,1,0)</f>
        <v>0</v>
      </c>
    </row>
    <row r="2545" spans="1:23" hidden="1" x14ac:dyDescent="0.45">
      <c r="A2545" s="7">
        <v>2539</v>
      </c>
      <c r="B2545" s="5" t="s">
        <v>5086</v>
      </c>
      <c r="C2545" s="6" t="s">
        <v>5087</v>
      </c>
      <c r="D2545" s="6" t="s">
        <v>13</v>
      </c>
      <c r="E2545" s="6"/>
      <c r="F2545" s="6"/>
      <c r="G2545" s="6"/>
      <c r="H2545" s="6"/>
      <c r="I2545" s="6"/>
      <c r="J2545" s="8"/>
      <c r="K2545" s="6"/>
      <c r="L2545" s="6"/>
      <c r="M2545" s="8"/>
      <c r="N2545" s="8"/>
      <c r="O2545" s="8"/>
      <c r="P2545" s="8"/>
      <c r="Q2545" s="18" t="e">
        <f>(Table1[[#This Row],[A. TÀI SẢN NGẮN HẠN]]-Table1[[#This Row],[I. Nợ ngắn hạn]])/Table1[[#This Row],[TỔNG CỘNG TÀI SẢN]]</f>
        <v>#DIV/0!</v>
      </c>
      <c r="R2545" s="18" t="e">
        <f>Table1[[#This Row],[- LNST chưa phân phối kỳ này]]/Table1[[#This Row],[TỔNG CỘNG TÀI SẢN]]</f>
        <v>#DIV/0!</v>
      </c>
      <c r="S2545" s="21" t="e">
        <f>Table1[[#This Row],[5. Lợi nhuận gộp về bán hàng và cung cấp dịch vụ]]/Table1[[#This Row],[TỔNG CỘNG TÀI SẢN]]</f>
        <v>#DIV/0!</v>
      </c>
      <c r="T254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545" s="23" t="e">
        <f>Table1[[#This Row],[1. Doanh thu bán hàng và cung cấp dịch vụ ]]/Table1[[#This Row],[TỔNG CỘNG TÀI SẢN]]</f>
        <v>#DIV/0!</v>
      </c>
      <c r="V2545" s="23" t="e">
        <f>1.2*Table1[[#This Row],[X1]] + 1.4*Table1[[#This Row],[X2]] + 3.3*Table1[[#This Row],[x3]] + 0.6*Table1[[#This Row],[x4]] + 1*Table1[[#This Row],[x5]]</f>
        <v>#DIV/0!</v>
      </c>
      <c r="W2545" s="23" t="e">
        <f>IF(Table1[[#This Row],[Zscore]]&lt;1.81,1,0)</f>
        <v>#DIV/0!</v>
      </c>
    </row>
    <row r="2546" spans="1:23" hidden="1" x14ac:dyDescent="0.45">
      <c r="A2546" s="7">
        <v>2540</v>
      </c>
      <c r="B2546" s="5" t="s">
        <v>5088</v>
      </c>
      <c r="C2546" s="6" t="s">
        <v>5089</v>
      </c>
      <c r="D2546" s="6" t="s">
        <v>13</v>
      </c>
      <c r="E2546" s="6"/>
      <c r="F2546" s="6"/>
      <c r="G2546" s="6"/>
      <c r="H2546" s="6"/>
      <c r="I2546" s="6"/>
      <c r="J2546" s="8"/>
      <c r="K2546" s="6"/>
      <c r="L2546" s="6"/>
      <c r="M2546" s="8"/>
      <c r="N2546" s="8"/>
      <c r="O2546" s="8"/>
      <c r="P2546" s="8"/>
      <c r="Q2546" s="18" t="e">
        <f>(Table1[[#This Row],[A. TÀI SẢN NGẮN HẠN]]-Table1[[#This Row],[I. Nợ ngắn hạn]])/Table1[[#This Row],[TỔNG CỘNG TÀI SẢN]]</f>
        <v>#DIV/0!</v>
      </c>
      <c r="R2546" s="18" t="e">
        <f>Table1[[#This Row],[- LNST chưa phân phối kỳ này]]/Table1[[#This Row],[TỔNG CỘNG TÀI SẢN]]</f>
        <v>#DIV/0!</v>
      </c>
      <c r="S2546" s="21" t="e">
        <f>Table1[[#This Row],[5. Lợi nhuận gộp về bán hàng và cung cấp dịch vụ]]/Table1[[#This Row],[TỔNG CỘNG TÀI SẢN]]</f>
        <v>#DIV/0!</v>
      </c>
      <c r="T254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546" s="23" t="e">
        <f>Table1[[#This Row],[1. Doanh thu bán hàng và cung cấp dịch vụ ]]/Table1[[#This Row],[TỔNG CỘNG TÀI SẢN]]</f>
        <v>#DIV/0!</v>
      </c>
      <c r="V2546" s="23" t="e">
        <f>1.2*Table1[[#This Row],[X1]] + 1.4*Table1[[#This Row],[X2]] + 3.3*Table1[[#This Row],[x3]] + 0.6*Table1[[#This Row],[x4]] + 1*Table1[[#This Row],[x5]]</f>
        <v>#DIV/0!</v>
      </c>
      <c r="W2546" s="23" t="e">
        <f>IF(Table1[[#This Row],[Zscore]]&lt;1.81,1,0)</f>
        <v>#DIV/0!</v>
      </c>
    </row>
    <row r="2547" spans="1:23" ht="26.25" x14ac:dyDescent="0.45">
      <c r="A2547" s="7">
        <v>2541</v>
      </c>
      <c r="B2547" s="5" t="s">
        <v>5090</v>
      </c>
      <c r="C2547" s="6" t="s">
        <v>5091</v>
      </c>
      <c r="D2547" s="6" t="s">
        <v>21</v>
      </c>
      <c r="E2547" s="8">
        <v>2441928945000000</v>
      </c>
      <c r="F2547" s="6"/>
      <c r="G2547" s="6"/>
      <c r="H2547" s="6"/>
      <c r="I2547" s="6"/>
      <c r="J2547" s="8"/>
      <c r="K2547" s="8">
        <v>2214393069000000</v>
      </c>
      <c r="L2547" s="8">
        <v>105119449000000</v>
      </c>
      <c r="M2547" s="8">
        <v>534763206016000</v>
      </c>
      <c r="N2547" s="8">
        <v>480451317905000</v>
      </c>
      <c r="O2547" s="8">
        <v>476273480358000</v>
      </c>
      <c r="P2547" s="8">
        <v>518051855828000</v>
      </c>
      <c r="Q2547" s="18">
        <f>(Table1[[#This Row],[A. TÀI SẢN NGẮN HẠN]]-Table1[[#This Row],[I. Nợ ngắn hạn]])/Table1[[#This Row],[TỔNG CỘNG TÀI SẢN]]</f>
        <v>0</v>
      </c>
      <c r="R2547" s="18">
        <f>Table1[[#This Row],[- LNST chưa phân phối kỳ này]]/Table1[[#This Row],[TỔNG CỘNG TÀI SẢN]]</f>
        <v>0</v>
      </c>
      <c r="S2547" s="21">
        <f>Table1[[#This Row],[5. Lợi nhuận gộp về bán hàng và cung cấp dịch vụ]]/Table1[[#This Row],[TỔNG CỘNG TÀI SẢN]]</f>
        <v>0</v>
      </c>
      <c r="T254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0.22687253318292877</v>
      </c>
      <c r="U2547" s="23">
        <f>Table1[[#This Row],[1. Doanh thu bán hàng và cung cấp dịch vụ ]]/Table1[[#This Row],[TỔNG CỘNG TÀI SẢN]]</f>
        <v>4.3047709973395645E-2</v>
      </c>
      <c r="V2547" s="23">
        <f>1.2*Table1[[#This Row],[X1]] + 1.4*Table1[[#This Row],[X2]] + 3.3*Table1[[#This Row],[x3]] + 0.6*Table1[[#This Row],[x4]] + 1*Table1[[#This Row],[x5]]</f>
        <v>0.17917122988315293</v>
      </c>
      <c r="W2547" s="23">
        <f>IF(Table1[[#This Row],[Zscore]]&lt;1.81,1,0)</f>
        <v>1</v>
      </c>
    </row>
    <row r="2548" spans="1:23" ht="26.25" hidden="1" x14ac:dyDescent="0.45">
      <c r="A2548" s="7">
        <v>2542</v>
      </c>
      <c r="B2548" s="5" t="s">
        <v>5092</v>
      </c>
      <c r="C2548" s="6" t="s">
        <v>5093</v>
      </c>
      <c r="D2548" s="6" t="s">
        <v>13</v>
      </c>
      <c r="E2548" s="6"/>
      <c r="F2548" s="6"/>
      <c r="G2548" s="6"/>
      <c r="H2548" s="6"/>
      <c r="I2548" s="6"/>
      <c r="J2548" s="8"/>
      <c r="K2548" s="6"/>
      <c r="L2548" s="6"/>
      <c r="M2548" s="8"/>
      <c r="N2548" s="8"/>
      <c r="O2548" s="8"/>
      <c r="P2548" s="8"/>
      <c r="Q2548" s="18" t="e">
        <f>(Table1[[#This Row],[A. TÀI SẢN NGẮN HẠN]]-Table1[[#This Row],[I. Nợ ngắn hạn]])/Table1[[#This Row],[TỔNG CỘNG TÀI SẢN]]</f>
        <v>#DIV/0!</v>
      </c>
      <c r="R2548" s="18" t="e">
        <f>Table1[[#This Row],[- LNST chưa phân phối kỳ này]]/Table1[[#This Row],[TỔNG CỘNG TÀI SẢN]]</f>
        <v>#DIV/0!</v>
      </c>
      <c r="S2548" s="21" t="e">
        <f>Table1[[#This Row],[5. Lợi nhuận gộp về bán hàng và cung cấp dịch vụ]]/Table1[[#This Row],[TỔNG CỘNG TÀI SẢN]]</f>
        <v>#DIV/0!</v>
      </c>
      <c r="T254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548" s="23" t="e">
        <f>Table1[[#This Row],[1. Doanh thu bán hàng và cung cấp dịch vụ ]]/Table1[[#This Row],[TỔNG CỘNG TÀI SẢN]]</f>
        <v>#DIV/0!</v>
      </c>
      <c r="V2548" s="23" t="e">
        <f>1.2*Table1[[#This Row],[X1]] + 1.4*Table1[[#This Row],[X2]] + 3.3*Table1[[#This Row],[x3]] + 0.6*Table1[[#This Row],[x4]] + 1*Table1[[#This Row],[x5]]</f>
        <v>#DIV/0!</v>
      </c>
      <c r="W2548" s="23" t="e">
        <f>IF(Table1[[#This Row],[Zscore]]&lt;1.81,1,0)</f>
        <v>#DIV/0!</v>
      </c>
    </row>
    <row r="2549" spans="1:23" hidden="1" x14ac:dyDescent="0.45">
      <c r="A2549" s="7">
        <v>2543</v>
      </c>
      <c r="B2549" s="5" t="s">
        <v>5094</v>
      </c>
      <c r="C2549" s="6" t="s">
        <v>5095</v>
      </c>
      <c r="D2549" s="6" t="s">
        <v>13</v>
      </c>
      <c r="E2549" s="6"/>
      <c r="F2549" s="6"/>
      <c r="G2549" s="6"/>
      <c r="H2549" s="6"/>
      <c r="I2549" s="6"/>
      <c r="J2549" s="8"/>
      <c r="K2549" s="6"/>
      <c r="L2549" s="6"/>
      <c r="M2549" s="8"/>
      <c r="N2549" s="8"/>
      <c r="O2549" s="8"/>
      <c r="P2549" s="8"/>
      <c r="Q2549" s="18" t="e">
        <f>(Table1[[#This Row],[A. TÀI SẢN NGẮN HẠN]]-Table1[[#This Row],[I. Nợ ngắn hạn]])/Table1[[#This Row],[TỔNG CỘNG TÀI SẢN]]</f>
        <v>#DIV/0!</v>
      </c>
      <c r="R2549" s="18" t="e">
        <f>Table1[[#This Row],[- LNST chưa phân phối kỳ này]]/Table1[[#This Row],[TỔNG CỘNG TÀI SẢN]]</f>
        <v>#DIV/0!</v>
      </c>
      <c r="S2549" s="21" t="e">
        <f>Table1[[#This Row],[5. Lợi nhuận gộp về bán hàng và cung cấp dịch vụ]]/Table1[[#This Row],[TỔNG CỘNG TÀI SẢN]]</f>
        <v>#DIV/0!</v>
      </c>
      <c r="T254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549" s="23" t="e">
        <f>Table1[[#This Row],[1. Doanh thu bán hàng và cung cấp dịch vụ ]]/Table1[[#This Row],[TỔNG CỘNG TÀI SẢN]]</f>
        <v>#DIV/0!</v>
      </c>
      <c r="V2549" s="23" t="e">
        <f>1.2*Table1[[#This Row],[X1]] + 1.4*Table1[[#This Row],[X2]] + 3.3*Table1[[#This Row],[x3]] + 0.6*Table1[[#This Row],[x4]] + 1*Table1[[#This Row],[x5]]</f>
        <v>#DIV/0!</v>
      </c>
      <c r="W2549" s="23" t="e">
        <f>IF(Table1[[#This Row],[Zscore]]&lt;1.81,1,0)</f>
        <v>#DIV/0!</v>
      </c>
    </row>
    <row r="2550" spans="1:23" x14ac:dyDescent="0.45">
      <c r="A2550" s="7">
        <v>2544</v>
      </c>
      <c r="B2550" s="5" t="s">
        <v>5096</v>
      </c>
      <c r="C2550" s="6" t="s">
        <v>5097</v>
      </c>
      <c r="D2550" s="6" t="s">
        <v>36</v>
      </c>
      <c r="E2550" s="8">
        <v>1413536092947</v>
      </c>
      <c r="F2550" s="8">
        <v>1336958587408</v>
      </c>
      <c r="G2550" s="8">
        <v>1104756209837</v>
      </c>
      <c r="H2550" s="8">
        <v>25040750777</v>
      </c>
      <c r="I2550" s="8">
        <v>141881615331</v>
      </c>
      <c r="J2550" s="8"/>
      <c r="K2550" s="8">
        <v>1117421899453</v>
      </c>
      <c r="L2550" s="8">
        <v>1621007845613</v>
      </c>
      <c r="M2550" s="8">
        <v>232800000000</v>
      </c>
      <c r="N2550" s="8">
        <v>237600000000</v>
      </c>
      <c r="O2550" s="8">
        <v>223200000000</v>
      </c>
      <c r="P2550" s="8">
        <v>237600000000</v>
      </c>
      <c r="Q2550" s="18">
        <f>(Table1[[#This Row],[A. TÀI SẢN NGẮN HẠN]]-Table1[[#This Row],[I. Nợ ngắn hạn]])/Table1[[#This Row],[TỔNG CỘNG TÀI SẢN]]</f>
        <v>0.16427056849103489</v>
      </c>
      <c r="R2550" s="18">
        <f>Table1[[#This Row],[- LNST chưa phân phối kỳ này]]/Table1[[#This Row],[TỔNG CỘNG TÀI SẢN]]</f>
        <v>1.7714970917222198E-2</v>
      </c>
      <c r="S2550" s="21">
        <f>Table1[[#This Row],[5. Lợi nhuận gộp về bán hàng và cung cấp dịch vụ]]/Table1[[#This Row],[TỔNG CỘNG TÀI SẢN]]</f>
        <v>0.1003735355884682</v>
      </c>
      <c r="T255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0.20833670801866347</v>
      </c>
      <c r="U2550" s="23">
        <f>Table1[[#This Row],[1. Doanh thu bán hàng và cung cấp dịch vụ ]]/Table1[[#This Row],[TỔNG CỘNG TÀI SẢN]]</f>
        <v>1.1467749947816712</v>
      </c>
      <c r="V2550" s="23">
        <f>1.2*Table1[[#This Row],[X1]] + 1.4*Table1[[#This Row],[X2]] + 3.3*Table1[[#This Row],[x3]] + 0.6*Table1[[#This Row],[x4]] + 1*Table1[[#This Row],[x5]]</f>
        <v>1.8249353285081673</v>
      </c>
      <c r="W2550" s="23">
        <f>IF(Table1[[#This Row],[Zscore]]&lt;1.81,1,0)</f>
        <v>0</v>
      </c>
    </row>
    <row r="2551" spans="1:23" hidden="1" x14ac:dyDescent="0.45">
      <c r="A2551" s="7">
        <v>2545</v>
      </c>
      <c r="B2551" s="5" t="s">
        <v>5098</v>
      </c>
      <c r="C2551" s="6" t="s">
        <v>5099</v>
      </c>
      <c r="D2551" s="6" t="s">
        <v>18</v>
      </c>
      <c r="E2551" s="8">
        <v>77904142093</v>
      </c>
      <c r="F2551" s="8">
        <v>77904142093</v>
      </c>
      <c r="G2551" s="8">
        <v>21511993852</v>
      </c>
      <c r="H2551" s="8">
        <v>-1026613965</v>
      </c>
      <c r="I2551" s="8">
        <v>226173744</v>
      </c>
      <c r="J2551" s="8"/>
      <c r="K2551" s="8">
        <v>21511993852</v>
      </c>
      <c r="L2551" s="8">
        <v>226173744</v>
      </c>
      <c r="M2551" s="8"/>
      <c r="N2551" s="8"/>
      <c r="O2551" s="8"/>
      <c r="P2551" s="8"/>
      <c r="Q2551" s="18">
        <f>(Table1[[#This Row],[A. TÀI SẢN NGẮN HẠN]]-Table1[[#This Row],[I. Nợ ngắn hạn]])/Table1[[#This Row],[TỔNG CỘNG TÀI SẢN]]</f>
        <v>0.72386585264850845</v>
      </c>
      <c r="R2551" s="18">
        <f>Table1[[#This Row],[- LNST chưa phân phối kỳ này]]/Table1[[#This Row],[TỔNG CỘNG TÀI SẢN]]</f>
        <v>-1.3177912462914413E-2</v>
      </c>
      <c r="S2551" s="21">
        <f>Table1[[#This Row],[5. Lợi nhuận gộp về bán hàng và cung cấp dịch vụ]]/Table1[[#This Row],[TỔNG CỘNG TÀI SẢN]]</f>
        <v>2.9032313035422365E-3</v>
      </c>
      <c r="T255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551" s="23">
        <f>Table1[[#This Row],[1. Doanh thu bán hàng và cung cấp dịch vụ ]]/Table1[[#This Row],[TỔNG CỘNG TÀI SẢN]]</f>
        <v>2.9032313035422365E-3</v>
      </c>
      <c r="V2551" s="23" t="e">
        <f>1.2*Table1[[#This Row],[X1]] + 1.4*Table1[[#This Row],[X2]] + 3.3*Table1[[#This Row],[x3]] + 0.6*Table1[[#This Row],[x4]] + 1*Table1[[#This Row],[x5]]</f>
        <v>#DIV/0!</v>
      </c>
      <c r="W2551" s="23" t="e">
        <f>IF(Table1[[#This Row],[Zscore]]&lt;1.81,1,0)</f>
        <v>#DIV/0!</v>
      </c>
    </row>
    <row r="2552" spans="1:23" x14ac:dyDescent="0.45">
      <c r="A2552" s="7">
        <v>2546</v>
      </c>
      <c r="B2552" s="5" t="s">
        <v>5100</v>
      </c>
      <c r="C2552" s="6" t="s">
        <v>5101</v>
      </c>
      <c r="D2552" s="6" t="s">
        <v>21</v>
      </c>
      <c r="E2552" s="8">
        <v>1622245048203</v>
      </c>
      <c r="F2552" s="8">
        <v>1291835237511</v>
      </c>
      <c r="G2552" s="8">
        <v>481368346388</v>
      </c>
      <c r="H2552" s="8">
        <v>517819424945</v>
      </c>
      <c r="I2552" s="8">
        <v>590686424360</v>
      </c>
      <c r="J2552" s="8"/>
      <c r="K2552" s="8">
        <v>485480394663</v>
      </c>
      <c r="L2552" s="8">
        <v>2772608235474</v>
      </c>
      <c r="M2552" s="8">
        <v>7253445941500</v>
      </c>
      <c r="N2552" s="8">
        <v>7636185485500</v>
      </c>
      <c r="O2552" s="8">
        <v>7835528998000</v>
      </c>
      <c r="P2552" s="8">
        <v>8771114550000</v>
      </c>
      <c r="Q2552" s="18">
        <f>(Table1[[#This Row],[A. TÀI SẢN NGẮN HẠN]]-Table1[[#This Row],[I. Nợ ngắn hạn]])/Table1[[#This Row],[TỔNG CỘNG TÀI SẢN]]</f>
        <v>0.49959584837122711</v>
      </c>
      <c r="R2552" s="18">
        <f>Table1[[#This Row],[- LNST chưa phân phối kỳ này]]/Table1[[#This Row],[TỔNG CỘNG TÀI SẢN]]</f>
        <v>0.31919926371086849</v>
      </c>
      <c r="S2552" s="21">
        <f>Table1[[#This Row],[5. Lợi nhuận gộp về bán hàng và cung cấp dịch vụ]]/Table1[[#This Row],[TỔNG CỘNG TÀI SẢN]]</f>
        <v>0.36411664502494095</v>
      </c>
      <c r="T255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16.219128167298798</v>
      </c>
      <c r="U2552" s="23">
        <f>Table1[[#This Row],[1. Doanh thu bán hàng và cung cấp dịch vụ ]]/Table1[[#This Row],[TỔNG CỘNG TÀI SẢN]]</f>
        <v>1.709118014288461</v>
      </c>
      <c r="V2552" s="23">
        <f>1.2*Table1[[#This Row],[X1]] + 1.4*Table1[[#This Row],[X2]] + 3.3*Table1[[#This Row],[x3]] + 0.6*Table1[[#This Row],[x4]] + 1*Table1[[#This Row],[x5]]</f>
        <v>13.688573830490732</v>
      </c>
      <c r="W2552" s="23">
        <f>IF(Table1[[#This Row],[Zscore]]&lt;1.81,1,0)</f>
        <v>0</v>
      </c>
    </row>
    <row r="2553" spans="1:23" ht="26.25" hidden="1" x14ac:dyDescent="0.45">
      <c r="A2553" s="7">
        <v>2547</v>
      </c>
      <c r="B2553" s="5" t="s">
        <v>5102</v>
      </c>
      <c r="C2553" s="6" t="s">
        <v>5103</v>
      </c>
      <c r="D2553" s="6" t="s">
        <v>13</v>
      </c>
      <c r="E2553" s="6"/>
      <c r="F2553" s="6"/>
      <c r="G2553" s="6"/>
      <c r="H2553" s="6"/>
      <c r="I2553" s="6"/>
      <c r="J2553" s="8"/>
      <c r="K2553" s="6"/>
      <c r="L2553" s="6"/>
      <c r="M2553" s="8"/>
      <c r="N2553" s="8"/>
      <c r="O2553" s="8"/>
      <c r="P2553" s="8"/>
      <c r="Q2553" s="18" t="e">
        <f>(Table1[[#This Row],[A. TÀI SẢN NGẮN HẠN]]-Table1[[#This Row],[I. Nợ ngắn hạn]])/Table1[[#This Row],[TỔNG CỘNG TÀI SẢN]]</f>
        <v>#DIV/0!</v>
      </c>
      <c r="R2553" s="18" t="e">
        <f>Table1[[#This Row],[- LNST chưa phân phối kỳ này]]/Table1[[#This Row],[TỔNG CỘNG TÀI SẢN]]</f>
        <v>#DIV/0!</v>
      </c>
      <c r="S2553" s="21" t="e">
        <f>Table1[[#This Row],[5. Lợi nhuận gộp về bán hàng và cung cấp dịch vụ]]/Table1[[#This Row],[TỔNG CỘNG TÀI SẢN]]</f>
        <v>#DIV/0!</v>
      </c>
      <c r="T255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553" s="23" t="e">
        <f>Table1[[#This Row],[1. Doanh thu bán hàng và cung cấp dịch vụ ]]/Table1[[#This Row],[TỔNG CỘNG TÀI SẢN]]</f>
        <v>#DIV/0!</v>
      </c>
      <c r="V2553" s="23" t="e">
        <f>1.2*Table1[[#This Row],[X1]] + 1.4*Table1[[#This Row],[X2]] + 3.3*Table1[[#This Row],[x3]] + 0.6*Table1[[#This Row],[x4]] + 1*Table1[[#This Row],[x5]]</f>
        <v>#DIV/0!</v>
      </c>
      <c r="W2553" s="23" t="e">
        <f>IF(Table1[[#This Row],[Zscore]]&lt;1.81,1,0)</f>
        <v>#DIV/0!</v>
      </c>
    </row>
    <row r="2554" spans="1:23" ht="26.25" x14ac:dyDescent="0.45">
      <c r="A2554" s="7">
        <v>2548</v>
      </c>
      <c r="B2554" s="5" t="s">
        <v>5104</v>
      </c>
      <c r="C2554" s="6" t="s">
        <v>5105</v>
      </c>
      <c r="D2554" s="6" t="s">
        <v>21</v>
      </c>
      <c r="E2554" s="8">
        <v>31529887360849</v>
      </c>
      <c r="F2554" s="8">
        <v>24110345573464</v>
      </c>
      <c r="G2554" s="8">
        <v>15910620965371</v>
      </c>
      <c r="H2554" s="8">
        <v>3932837795495</v>
      </c>
      <c r="I2554" s="8">
        <v>2030521815750</v>
      </c>
      <c r="J2554" s="8"/>
      <c r="K2554" s="8">
        <v>18953671977805</v>
      </c>
      <c r="L2554" s="8">
        <v>16064470538289</v>
      </c>
      <c r="M2554" s="8">
        <v>13019407711500</v>
      </c>
      <c r="N2554" s="8">
        <v>14610184393600</v>
      </c>
      <c r="O2554" s="8">
        <v>13198985748900</v>
      </c>
      <c r="P2554" s="8">
        <v>17907172907200</v>
      </c>
      <c r="Q2554" s="18">
        <f>(Table1[[#This Row],[A. TÀI SẢN NGẮN HẠN]]-Table1[[#This Row],[I. Nợ ngắn hạn]])/Table1[[#This Row],[TỔNG CỘNG TÀI SẢN]]</f>
        <v>0.26006196959252975</v>
      </c>
      <c r="R2554" s="18">
        <f>Table1[[#This Row],[- LNST chưa phân phối kỳ này]]/Table1[[#This Row],[TỔNG CỘNG TÀI SẢN]]</f>
        <v>0.12473364558791437</v>
      </c>
      <c r="S2554" s="21">
        <f>Table1[[#This Row],[5. Lợi nhuận gộp về bán hàng và cung cấp dịch vụ]]/Table1[[#This Row],[TỔNG CỘNG TÀI SẢN]]</f>
        <v>6.4399907063141651E-2</v>
      </c>
      <c r="T255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0.77472785787867837</v>
      </c>
      <c r="U2554" s="23">
        <f>Table1[[#This Row],[1. Doanh thu bán hàng và cung cấp dịch vụ ]]/Table1[[#This Row],[TỔNG CỘNG TÀI SẢN]]</f>
        <v>0.50949977570285976</v>
      </c>
      <c r="V2554" s="23">
        <f>1.2*Table1[[#This Row],[X1]] + 1.4*Table1[[#This Row],[X2]] + 3.3*Table1[[#This Row],[x3]] + 0.6*Table1[[#This Row],[x4]] + 1*Table1[[#This Row],[x5]]</f>
        <v>1.6735576510725498</v>
      </c>
      <c r="W2554" s="23">
        <f>IF(Table1[[#This Row],[Zscore]]&lt;1.81,1,0)</f>
        <v>1</v>
      </c>
    </row>
    <row r="2555" spans="1:23" ht="26.25" hidden="1" x14ac:dyDescent="0.45">
      <c r="A2555" s="7">
        <v>2549</v>
      </c>
      <c r="B2555" s="5" t="s">
        <v>5106</v>
      </c>
      <c r="C2555" s="6" t="s">
        <v>5107</v>
      </c>
      <c r="D2555" s="6" t="s">
        <v>13</v>
      </c>
      <c r="E2555" s="6"/>
      <c r="F2555" s="6"/>
      <c r="G2555" s="6"/>
      <c r="H2555" s="6"/>
      <c r="I2555" s="6"/>
      <c r="J2555" s="8"/>
      <c r="K2555" s="6"/>
      <c r="L2555" s="6"/>
      <c r="M2555" s="8"/>
      <c r="N2555" s="8"/>
      <c r="O2555" s="8"/>
      <c r="P2555" s="8"/>
      <c r="Q2555" s="18" t="e">
        <f>(Table1[[#This Row],[A. TÀI SẢN NGẮN HẠN]]-Table1[[#This Row],[I. Nợ ngắn hạn]])/Table1[[#This Row],[TỔNG CỘNG TÀI SẢN]]</f>
        <v>#DIV/0!</v>
      </c>
      <c r="R2555" s="18" t="e">
        <f>Table1[[#This Row],[- LNST chưa phân phối kỳ này]]/Table1[[#This Row],[TỔNG CỘNG TÀI SẢN]]</f>
        <v>#DIV/0!</v>
      </c>
      <c r="S2555" s="21" t="e">
        <f>Table1[[#This Row],[5. Lợi nhuận gộp về bán hàng và cung cấp dịch vụ]]/Table1[[#This Row],[TỔNG CỘNG TÀI SẢN]]</f>
        <v>#DIV/0!</v>
      </c>
      <c r="T255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555" s="23" t="e">
        <f>Table1[[#This Row],[1. Doanh thu bán hàng và cung cấp dịch vụ ]]/Table1[[#This Row],[TỔNG CỘNG TÀI SẢN]]</f>
        <v>#DIV/0!</v>
      </c>
      <c r="V2555" s="23" t="e">
        <f>1.2*Table1[[#This Row],[X1]] + 1.4*Table1[[#This Row],[X2]] + 3.3*Table1[[#This Row],[x3]] + 0.6*Table1[[#This Row],[x4]] + 1*Table1[[#This Row],[x5]]</f>
        <v>#DIV/0!</v>
      </c>
      <c r="W2555" s="23" t="e">
        <f>IF(Table1[[#This Row],[Zscore]]&lt;1.81,1,0)</f>
        <v>#DIV/0!</v>
      </c>
    </row>
    <row r="2556" spans="1:23" x14ac:dyDescent="0.45">
      <c r="A2556" s="7">
        <v>2550</v>
      </c>
      <c r="B2556" s="5" t="s">
        <v>5108</v>
      </c>
      <c r="C2556" s="6" t="s">
        <v>5109</v>
      </c>
      <c r="D2556" s="6" t="s">
        <v>21</v>
      </c>
      <c r="E2556" s="8">
        <v>36005864835815</v>
      </c>
      <c r="F2556" s="8">
        <v>35868914519259</v>
      </c>
      <c r="G2556" s="8">
        <v>17325115213461</v>
      </c>
      <c r="H2556" s="8">
        <v>-8686929001</v>
      </c>
      <c r="I2556" s="8">
        <v>2589221010050</v>
      </c>
      <c r="J2556" s="8"/>
      <c r="K2556" s="8">
        <v>17995968295866</v>
      </c>
      <c r="L2556" s="8">
        <v>4980201525108</v>
      </c>
      <c r="M2556" s="8">
        <v>27503210084000</v>
      </c>
      <c r="N2556" s="8">
        <v>30008530000000</v>
      </c>
      <c r="O2556" s="8">
        <v>25672056410000</v>
      </c>
      <c r="P2556" s="8">
        <v>31396970000000</v>
      </c>
      <c r="Q2556" s="18">
        <f>(Table1[[#This Row],[A. TÀI SẢN NGẮN HẠN]]-Table1[[#This Row],[I. Nợ ngắn hạn]])/Table1[[#This Row],[TỔNG CỘNG TÀI SẢN]]</f>
        <v>0.51502163301331116</v>
      </c>
      <c r="R2556" s="18">
        <f>Table1[[#This Row],[- LNST chưa phân phối kỳ này]]/Table1[[#This Row],[TỔNG CỘNG TÀI SẢN]]</f>
        <v>-2.4126427848940654E-4</v>
      </c>
      <c r="S2556" s="21">
        <f>Table1[[#This Row],[5. Lợi nhuận gộp về bán hàng và cung cấp dịch vụ]]/Table1[[#This Row],[TỔNG CỘNG TÀI SẢN]]</f>
        <v>7.1911090647502077E-2</v>
      </c>
      <c r="T255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1.5917560618330451</v>
      </c>
      <c r="U2556" s="23">
        <f>Table1[[#This Row],[1. Doanh thu bán hàng và cung cấp dịch vụ ]]/Table1[[#This Row],[TỔNG CỘNG TÀI SẢN]]</f>
        <v>0.13831639783733782</v>
      </c>
      <c r="V2556" s="23">
        <f>1.2*Table1[[#This Row],[X1]] + 1.4*Table1[[#This Row],[X2]] + 3.3*Table1[[#This Row],[x3]] + 0.6*Table1[[#This Row],[x4]] + 1*Table1[[#This Row],[x5]]</f>
        <v>1.94836482370001</v>
      </c>
      <c r="W2556" s="23">
        <f>IF(Table1[[#This Row],[Zscore]]&lt;1.81,1,0)</f>
        <v>0</v>
      </c>
    </row>
    <row r="2557" spans="1:23" x14ac:dyDescent="0.45">
      <c r="A2557" s="7">
        <v>2551</v>
      </c>
      <c r="B2557" s="5" t="s">
        <v>5110</v>
      </c>
      <c r="C2557" s="6" t="s">
        <v>5111</v>
      </c>
      <c r="D2557" s="6" t="s">
        <v>21</v>
      </c>
      <c r="E2557" s="8">
        <v>48402380273658</v>
      </c>
      <c r="F2557" s="8">
        <v>47710682737676</v>
      </c>
      <c r="G2557" s="8">
        <v>14567364351531</v>
      </c>
      <c r="H2557" s="8">
        <v>2884127682</v>
      </c>
      <c r="I2557" s="8">
        <v>4938908834559</v>
      </c>
      <c r="J2557" s="8"/>
      <c r="K2557" s="8">
        <v>19567271018191</v>
      </c>
      <c r="L2557" s="8">
        <v>8260714445897</v>
      </c>
      <c r="M2557" s="8"/>
      <c r="N2557" s="8">
        <v>74264016570000</v>
      </c>
      <c r="O2557" s="8"/>
      <c r="P2557" s="8"/>
      <c r="Q2557" s="18">
        <f>(Table1[[#This Row],[A. TÀI SẢN NGẮN HẠN]]-Table1[[#This Row],[I. Nợ ngắn hạn]])/Table1[[#This Row],[TỔNG CỘNG TÀI SẢN]]</f>
        <v>0.6847456302512166</v>
      </c>
      <c r="R2557" s="18">
        <f>Table1[[#This Row],[- LNST chưa phân phối kỳ này]]/Table1[[#This Row],[TỔNG CỘNG TÀI SẢN]]</f>
        <v>5.9586484501251424E-5</v>
      </c>
      <c r="S2557" s="21">
        <f>Table1[[#This Row],[5. Lợi nhuận gộp về bán hàng và cung cấp dịch vụ]]/Table1[[#This Row],[TỔNG CỘNG TÀI SẢN]]</f>
        <v>0.10203855278677068</v>
      </c>
      <c r="T255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3.7953180339230426</v>
      </c>
      <c r="U2557" s="23">
        <f>Table1[[#This Row],[1. Doanh thu bán hàng và cung cấp dịch vụ ]]/Table1[[#This Row],[TỔNG CỘNG TÀI SẢN]]</f>
        <v>0.17066752500997814</v>
      </c>
      <c r="V2557" s="23">
        <f>1.2*Table1[[#This Row],[X1]] + 1.4*Table1[[#This Row],[X2]] + 3.3*Table1[[#This Row],[x3]] + 0.6*Table1[[#This Row],[x4]] + 1*Table1[[#This Row],[x5]]</f>
        <v>3.6063637469399086</v>
      </c>
      <c r="W2557" s="23">
        <f>IF(Table1[[#This Row],[Zscore]]&lt;1.81,1,0)</f>
        <v>0</v>
      </c>
    </row>
    <row r="2558" spans="1:23" x14ac:dyDescent="0.45">
      <c r="A2558" s="7">
        <v>2552</v>
      </c>
      <c r="B2558" s="5" t="s">
        <v>5112</v>
      </c>
      <c r="C2558" s="6" t="s">
        <v>5113</v>
      </c>
      <c r="D2558" s="6" t="s">
        <v>36</v>
      </c>
      <c r="E2558" s="8">
        <v>287270908952</v>
      </c>
      <c r="F2558" s="8">
        <v>162131019302</v>
      </c>
      <c r="G2558" s="8">
        <v>26979097320</v>
      </c>
      <c r="H2558" s="8">
        <v>31348248692</v>
      </c>
      <c r="I2558" s="8">
        <v>46039908085</v>
      </c>
      <c r="J2558" s="8"/>
      <c r="K2558" s="8">
        <v>50733663008</v>
      </c>
      <c r="L2558" s="8">
        <v>178272991331</v>
      </c>
      <c r="M2558" s="8">
        <v>45000000000</v>
      </c>
      <c r="N2558" s="8">
        <v>114000000000</v>
      </c>
      <c r="O2558" s="8">
        <v>45000000000</v>
      </c>
      <c r="P2558" s="8">
        <v>55800000000</v>
      </c>
      <c r="Q2558" s="18">
        <f>(Table1[[#This Row],[A. TÀI SẢN NGẮN HẠN]]-Table1[[#This Row],[I. Nợ ngắn hạn]])/Table1[[#This Row],[TỔNG CỘNG TÀI SẢN]]</f>
        <v>0.47046852907957515</v>
      </c>
      <c r="R2558" s="18">
        <f>Table1[[#This Row],[- LNST chưa phân phối kỳ này]]/Table1[[#This Row],[TỔNG CỘNG TÀI SẢN]]</f>
        <v>0.10912434122328052</v>
      </c>
      <c r="S2558" s="21">
        <f>Table1[[#This Row],[5. Lợi nhuận gộp về bán hàng và cung cấp dịch vụ]]/Table1[[#This Row],[TỔNG CỘNG TÀI SẢN]]</f>
        <v>0.16026651725007349</v>
      </c>
      <c r="T255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1.2802150711995364</v>
      </c>
      <c r="U2558" s="23">
        <f>Table1[[#This Row],[1. Doanh thu bán hàng và cung cấp dịch vụ ]]/Table1[[#This Row],[TỔNG CỘNG TÀI SẢN]]</f>
        <v>0.62057446742993239</v>
      </c>
      <c r="V2558" s="23">
        <f>1.2*Table1[[#This Row],[X1]] + 1.4*Table1[[#This Row],[X2]] + 3.3*Table1[[#This Row],[x3]] + 0.6*Table1[[#This Row],[x4]] + 1*Table1[[#This Row],[x5]]</f>
        <v>2.6349193296829796</v>
      </c>
      <c r="W2558" s="23">
        <f>IF(Table1[[#This Row],[Zscore]]&lt;1.81,1,0)</f>
        <v>0</v>
      </c>
    </row>
    <row r="2559" spans="1:23" hidden="1" x14ac:dyDescent="0.45">
      <c r="A2559" s="7">
        <v>2553</v>
      </c>
      <c r="B2559" s="5" t="s">
        <v>5114</v>
      </c>
      <c r="C2559" s="6" t="s">
        <v>5115</v>
      </c>
      <c r="D2559" s="6" t="s">
        <v>13</v>
      </c>
      <c r="E2559" s="6"/>
      <c r="F2559" s="6"/>
      <c r="G2559" s="6"/>
      <c r="H2559" s="6"/>
      <c r="I2559" s="6"/>
      <c r="J2559" s="8"/>
      <c r="K2559" s="6"/>
      <c r="L2559" s="6"/>
      <c r="M2559" s="8"/>
      <c r="N2559" s="8"/>
      <c r="O2559" s="8"/>
      <c r="P2559" s="8"/>
      <c r="Q2559" s="18" t="e">
        <f>(Table1[[#This Row],[A. TÀI SẢN NGẮN HẠN]]-Table1[[#This Row],[I. Nợ ngắn hạn]])/Table1[[#This Row],[TỔNG CỘNG TÀI SẢN]]</f>
        <v>#DIV/0!</v>
      </c>
      <c r="R2559" s="18" t="e">
        <f>Table1[[#This Row],[- LNST chưa phân phối kỳ này]]/Table1[[#This Row],[TỔNG CỘNG TÀI SẢN]]</f>
        <v>#DIV/0!</v>
      </c>
      <c r="S2559" s="21" t="e">
        <f>Table1[[#This Row],[5. Lợi nhuận gộp về bán hàng và cung cấp dịch vụ]]/Table1[[#This Row],[TỔNG CỘNG TÀI SẢN]]</f>
        <v>#DIV/0!</v>
      </c>
      <c r="T255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559" s="23" t="e">
        <f>Table1[[#This Row],[1. Doanh thu bán hàng và cung cấp dịch vụ ]]/Table1[[#This Row],[TỔNG CỘNG TÀI SẢN]]</f>
        <v>#DIV/0!</v>
      </c>
      <c r="V2559" s="23" t="e">
        <f>1.2*Table1[[#This Row],[X1]] + 1.4*Table1[[#This Row],[X2]] + 3.3*Table1[[#This Row],[x3]] + 0.6*Table1[[#This Row],[x4]] + 1*Table1[[#This Row],[x5]]</f>
        <v>#DIV/0!</v>
      </c>
      <c r="W2559" s="23" t="e">
        <f>IF(Table1[[#This Row],[Zscore]]&lt;1.81,1,0)</f>
        <v>#DIV/0!</v>
      </c>
    </row>
    <row r="2560" spans="1:23" ht="26.25" x14ac:dyDescent="0.45">
      <c r="A2560" s="7">
        <v>2554</v>
      </c>
      <c r="B2560" s="5" t="s">
        <v>5116</v>
      </c>
      <c r="C2560" s="6" t="s">
        <v>5117</v>
      </c>
      <c r="D2560" s="6" t="s">
        <v>18</v>
      </c>
      <c r="E2560" s="8">
        <v>6313923532268</v>
      </c>
      <c r="F2560" s="8">
        <v>2886051784854</v>
      </c>
      <c r="G2560" s="8">
        <v>1025581509510</v>
      </c>
      <c r="H2560" s="8">
        <v>444404901353</v>
      </c>
      <c r="I2560" s="8">
        <v>798781261517</v>
      </c>
      <c r="J2560" s="8"/>
      <c r="K2560" s="8">
        <v>3856216478868</v>
      </c>
      <c r="L2560" s="8">
        <v>2286797014856</v>
      </c>
      <c r="M2560" s="8">
        <v>2178531108000</v>
      </c>
      <c r="N2560" s="8">
        <v>2061225586800</v>
      </c>
      <c r="O2560" s="8">
        <v>2136636279000</v>
      </c>
      <c r="P2560" s="8">
        <v>2178531108000</v>
      </c>
      <c r="Q2560" s="18">
        <f>(Table1[[#This Row],[A. TÀI SẢN NGẮN HẠN]]-Table1[[#This Row],[I. Nợ ngắn hạn]])/Table1[[#This Row],[TỔNG CỘNG TÀI SẢN]]</f>
        <v>0.29466151527427631</v>
      </c>
      <c r="R2560" s="18">
        <f>Table1[[#This Row],[- LNST chưa phân phối kỳ này]]/Table1[[#This Row],[TỔNG CỘNG TÀI SẢN]]</f>
        <v>7.0384903947889127E-2</v>
      </c>
      <c r="S2560" s="21">
        <f>Table1[[#This Row],[5. Lợi nhuận gộp về bán hàng và cung cấp dịch vụ]]/Table1[[#This Row],[TỔNG CỘNG TÀI SẢN]]</f>
        <v>0.1265110762641867</v>
      </c>
      <c r="T256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0.55461902415754127</v>
      </c>
      <c r="U2560" s="23">
        <f>Table1[[#This Row],[1. Doanh thu bán hàng và cung cấp dịch vụ ]]/Table1[[#This Row],[TỔNG CỘNG TÀI SẢN]]</f>
        <v>0.36218319768509588</v>
      </c>
      <c r="V2560" s="23">
        <f>1.2*Table1[[#This Row],[X1]] + 1.4*Table1[[#This Row],[X2]] + 3.3*Table1[[#This Row],[x3]] + 0.6*Table1[[#This Row],[x4]] + 1*Table1[[#This Row],[x5]]</f>
        <v>1.5645738477076128</v>
      </c>
      <c r="W2560" s="23">
        <f>IF(Table1[[#This Row],[Zscore]]&lt;1.81,1,0)</f>
        <v>1</v>
      </c>
    </row>
    <row r="2561" spans="1:23" ht="26.25" x14ac:dyDescent="0.45">
      <c r="A2561" s="7">
        <v>2555</v>
      </c>
      <c r="B2561" s="5" t="s">
        <v>5118</v>
      </c>
      <c r="C2561" s="6" t="s">
        <v>5119</v>
      </c>
      <c r="D2561" s="6" t="s">
        <v>18</v>
      </c>
      <c r="E2561" s="8">
        <v>5461121104595</v>
      </c>
      <c r="F2561" s="8">
        <v>274558640289</v>
      </c>
      <c r="G2561" s="8">
        <v>2526545552789</v>
      </c>
      <c r="H2561" s="8">
        <v>-77337602356</v>
      </c>
      <c r="I2561" s="8">
        <v>454954846</v>
      </c>
      <c r="J2561" s="8"/>
      <c r="K2561" s="8">
        <v>3955734819949</v>
      </c>
      <c r="L2561" s="8">
        <v>3158373876</v>
      </c>
      <c r="M2561" s="8">
        <v>7245000000000</v>
      </c>
      <c r="N2561" s="8">
        <v>10374000000000</v>
      </c>
      <c r="O2561" s="8">
        <v>8967000000000</v>
      </c>
      <c r="P2561" s="8">
        <v>8757000000000</v>
      </c>
      <c r="Q2561" s="18">
        <f>(Table1[[#This Row],[A. TÀI SẢN NGẮN HẠN]]-Table1[[#This Row],[I. Nợ ngắn hạn]])/Table1[[#This Row],[TỔNG CỘNG TÀI SẢN]]</f>
        <v>-0.4123671439194368</v>
      </c>
      <c r="R2561" s="18">
        <f>Table1[[#This Row],[- LNST chưa phân phối kỳ này]]/Table1[[#This Row],[TỔNG CỘNG TÀI SẢN]]</f>
        <v>-1.4161488250265676E-2</v>
      </c>
      <c r="S2561" s="21">
        <f>Table1[[#This Row],[5. Lợi nhuận gộp về bán hàng và cung cấp dịch vụ]]/Table1[[#This Row],[TỔNG CỘNG TÀI SẢN]]</f>
        <v>8.3307957704362192E-5</v>
      </c>
      <c r="T256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2.2336557939730439</v>
      </c>
      <c r="U2561" s="23">
        <f>Table1[[#This Row],[1. Doanh thu bán hàng và cung cấp dịch vụ ]]/Table1[[#This Row],[TỔNG CỘNG TÀI SẢN]]</f>
        <v>5.7833800340786011E-4</v>
      </c>
      <c r="V2561" s="23">
        <f>1.2*Table1[[#This Row],[X1]] + 1.4*Table1[[#This Row],[X2]] + 3.3*Table1[[#This Row],[x3]] + 0.6*Table1[[#This Row],[x4]] + 1*Table1[[#This Row],[x5]]</f>
        <v>0.82638007439396255</v>
      </c>
      <c r="W2561" s="23">
        <f>IF(Table1[[#This Row],[Zscore]]&lt;1.81,1,0)</f>
        <v>1</v>
      </c>
    </row>
    <row r="2562" spans="1:23" x14ac:dyDescent="0.45">
      <c r="A2562" s="7">
        <v>2556</v>
      </c>
      <c r="B2562" s="5" t="s">
        <v>5120</v>
      </c>
      <c r="C2562" s="6" t="s">
        <v>5121</v>
      </c>
      <c r="D2562" s="6" t="s">
        <v>36</v>
      </c>
      <c r="E2562" s="8">
        <v>5750396960709</v>
      </c>
      <c r="F2562" s="8">
        <v>4803940768233</v>
      </c>
      <c r="G2562" s="8">
        <v>523542666175</v>
      </c>
      <c r="H2562" s="8">
        <v>46620637663</v>
      </c>
      <c r="I2562" s="8">
        <v>1044822937373</v>
      </c>
      <c r="J2562" s="8"/>
      <c r="K2562" s="8">
        <v>617702305864</v>
      </c>
      <c r="L2562" s="8">
        <v>4147639579100</v>
      </c>
      <c r="M2562" s="8">
        <v>9280000000000</v>
      </c>
      <c r="N2562" s="8">
        <v>6848000000000</v>
      </c>
      <c r="O2562" s="8">
        <v>7712000000000</v>
      </c>
      <c r="P2562" s="8">
        <v>7712000000000</v>
      </c>
      <c r="Q2562" s="18">
        <f>(Table1[[#This Row],[A. TÀI SẢN NGẮN HẠN]]-Table1[[#This Row],[I. Nợ ngắn hạn]])/Table1[[#This Row],[TỔNG CỘNG TÀI SẢN]]</f>
        <v>0.74436567271874821</v>
      </c>
      <c r="R2562" s="18">
        <f>Table1[[#This Row],[- LNST chưa phân phối kỳ này]]/Table1[[#This Row],[TỔNG CỘNG TÀI SẢN]]</f>
        <v>8.1073772787421394E-3</v>
      </c>
      <c r="S2562" s="21">
        <f>Table1[[#This Row],[5. Lợi nhuận gộp về bán hàng và cung cấp dịch vụ]]/Table1[[#This Row],[TỔNG CỘNG TÀI SẢN]]</f>
        <v>0.18169579326644916</v>
      </c>
      <c r="T256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12.769905381795203</v>
      </c>
      <c r="U2562" s="23">
        <f>Table1[[#This Row],[1. Doanh thu bán hàng và cung cấp dịch vụ ]]/Table1[[#This Row],[TỔNG CỘNG TÀI SẢN]]</f>
        <v>0.721278827781763</v>
      </c>
      <c r="V2562" s="23">
        <f>1.2*Table1[[#This Row],[X1]] + 1.4*Table1[[#This Row],[X2]] + 3.3*Table1[[#This Row],[x3]] + 0.6*Table1[[#This Row],[x4]] + 1*Table1[[#This Row],[x5]]</f>
        <v>9.8874073100909037</v>
      </c>
      <c r="W2562" s="23">
        <f>IF(Table1[[#This Row],[Zscore]]&lt;1.81,1,0)</f>
        <v>0</v>
      </c>
    </row>
    <row r="2563" spans="1:23" hidden="1" x14ac:dyDescent="0.45">
      <c r="A2563" s="7">
        <v>2557</v>
      </c>
      <c r="B2563" s="5" t="s">
        <v>5122</v>
      </c>
      <c r="C2563" s="6" t="s">
        <v>5123</v>
      </c>
      <c r="D2563" s="6" t="s">
        <v>18</v>
      </c>
      <c r="E2563" s="6"/>
      <c r="F2563" s="6"/>
      <c r="G2563" s="6"/>
      <c r="H2563" s="6"/>
      <c r="I2563" s="6"/>
      <c r="J2563" s="8"/>
      <c r="K2563" s="6"/>
      <c r="L2563" s="6"/>
      <c r="M2563" s="8"/>
      <c r="N2563" s="8"/>
      <c r="O2563" s="8"/>
      <c r="P2563" s="8"/>
      <c r="Q2563" s="18" t="e">
        <f>(Table1[[#This Row],[A. TÀI SẢN NGẮN HẠN]]-Table1[[#This Row],[I. Nợ ngắn hạn]])/Table1[[#This Row],[TỔNG CỘNG TÀI SẢN]]</f>
        <v>#DIV/0!</v>
      </c>
      <c r="R2563" s="18" t="e">
        <f>Table1[[#This Row],[- LNST chưa phân phối kỳ này]]/Table1[[#This Row],[TỔNG CỘNG TÀI SẢN]]</f>
        <v>#DIV/0!</v>
      </c>
      <c r="S2563" s="21" t="e">
        <f>Table1[[#This Row],[5. Lợi nhuận gộp về bán hàng và cung cấp dịch vụ]]/Table1[[#This Row],[TỔNG CỘNG TÀI SẢN]]</f>
        <v>#DIV/0!</v>
      </c>
      <c r="T256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563" s="23" t="e">
        <f>Table1[[#This Row],[1. Doanh thu bán hàng và cung cấp dịch vụ ]]/Table1[[#This Row],[TỔNG CỘNG TÀI SẢN]]</f>
        <v>#DIV/0!</v>
      </c>
      <c r="V2563" s="23" t="e">
        <f>1.2*Table1[[#This Row],[X1]] + 1.4*Table1[[#This Row],[X2]] + 3.3*Table1[[#This Row],[x3]] + 0.6*Table1[[#This Row],[x4]] + 1*Table1[[#This Row],[x5]]</f>
        <v>#DIV/0!</v>
      </c>
      <c r="W2563" s="23" t="e">
        <f>IF(Table1[[#This Row],[Zscore]]&lt;1.81,1,0)</f>
        <v>#DIV/0!</v>
      </c>
    </row>
    <row r="2564" spans="1:23" ht="26.25" hidden="1" x14ac:dyDescent="0.45">
      <c r="A2564" s="7">
        <v>2558</v>
      </c>
      <c r="B2564" s="5" t="s">
        <v>5124</v>
      </c>
      <c r="C2564" s="6" t="s">
        <v>5125</v>
      </c>
      <c r="D2564" s="6" t="s">
        <v>13</v>
      </c>
      <c r="E2564" s="6"/>
      <c r="F2564" s="6"/>
      <c r="G2564" s="6"/>
      <c r="H2564" s="6"/>
      <c r="I2564" s="6"/>
      <c r="J2564" s="8"/>
      <c r="K2564" s="6"/>
      <c r="L2564" s="6"/>
      <c r="M2564" s="8"/>
      <c r="N2564" s="8"/>
      <c r="O2564" s="8"/>
      <c r="P2564" s="8"/>
      <c r="Q2564" s="18" t="e">
        <f>(Table1[[#This Row],[A. TÀI SẢN NGẮN HẠN]]-Table1[[#This Row],[I. Nợ ngắn hạn]])/Table1[[#This Row],[TỔNG CỘNG TÀI SẢN]]</f>
        <v>#DIV/0!</v>
      </c>
      <c r="R2564" s="18" t="e">
        <f>Table1[[#This Row],[- LNST chưa phân phối kỳ này]]/Table1[[#This Row],[TỔNG CỘNG TÀI SẢN]]</f>
        <v>#DIV/0!</v>
      </c>
      <c r="S2564" s="21" t="e">
        <f>Table1[[#This Row],[5. Lợi nhuận gộp về bán hàng và cung cấp dịch vụ]]/Table1[[#This Row],[TỔNG CỘNG TÀI SẢN]]</f>
        <v>#DIV/0!</v>
      </c>
      <c r="T256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564" s="23" t="e">
        <f>Table1[[#This Row],[1. Doanh thu bán hàng và cung cấp dịch vụ ]]/Table1[[#This Row],[TỔNG CỘNG TÀI SẢN]]</f>
        <v>#DIV/0!</v>
      </c>
      <c r="V2564" s="23" t="e">
        <f>1.2*Table1[[#This Row],[X1]] + 1.4*Table1[[#This Row],[X2]] + 3.3*Table1[[#This Row],[x3]] + 0.6*Table1[[#This Row],[x4]] + 1*Table1[[#This Row],[x5]]</f>
        <v>#DIV/0!</v>
      </c>
      <c r="W2564" s="23" t="e">
        <f>IF(Table1[[#This Row],[Zscore]]&lt;1.81,1,0)</f>
        <v>#DIV/0!</v>
      </c>
    </row>
    <row r="2565" spans="1:23" hidden="1" x14ac:dyDescent="0.45">
      <c r="A2565" s="7">
        <v>2559</v>
      </c>
      <c r="B2565" s="5" t="s">
        <v>5126</v>
      </c>
      <c r="C2565" s="6" t="s">
        <v>5127</v>
      </c>
      <c r="D2565" s="6" t="s">
        <v>13</v>
      </c>
      <c r="E2565" s="6"/>
      <c r="F2565" s="6"/>
      <c r="G2565" s="6"/>
      <c r="H2565" s="6"/>
      <c r="I2565" s="6"/>
      <c r="J2565" s="8"/>
      <c r="K2565" s="6"/>
      <c r="L2565" s="6"/>
      <c r="M2565" s="8"/>
      <c r="N2565" s="8"/>
      <c r="O2565" s="8"/>
      <c r="P2565" s="8"/>
      <c r="Q2565" s="18" t="e">
        <f>(Table1[[#This Row],[A. TÀI SẢN NGẮN HẠN]]-Table1[[#This Row],[I. Nợ ngắn hạn]])/Table1[[#This Row],[TỔNG CỘNG TÀI SẢN]]</f>
        <v>#DIV/0!</v>
      </c>
      <c r="R2565" s="18" t="e">
        <f>Table1[[#This Row],[- LNST chưa phân phối kỳ này]]/Table1[[#This Row],[TỔNG CỘNG TÀI SẢN]]</f>
        <v>#DIV/0!</v>
      </c>
      <c r="S2565" s="21" t="e">
        <f>Table1[[#This Row],[5. Lợi nhuận gộp về bán hàng và cung cấp dịch vụ]]/Table1[[#This Row],[TỔNG CỘNG TÀI SẢN]]</f>
        <v>#DIV/0!</v>
      </c>
      <c r="T256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565" s="23" t="e">
        <f>Table1[[#This Row],[1. Doanh thu bán hàng và cung cấp dịch vụ ]]/Table1[[#This Row],[TỔNG CỘNG TÀI SẢN]]</f>
        <v>#DIV/0!</v>
      </c>
      <c r="V2565" s="23" t="e">
        <f>1.2*Table1[[#This Row],[X1]] + 1.4*Table1[[#This Row],[X2]] + 3.3*Table1[[#This Row],[x3]] + 0.6*Table1[[#This Row],[x4]] + 1*Table1[[#This Row],[x5]]</f>
        <v>#DIV/0!</v>
      </c>
      <c r="W2565" s="23" t="e">
        <f>IF(Table1[[#This Row],[Zscore]]&lt;1.81,1,0)</f>
        <v>#DIV/0!</v>
      </c>
    </row>
    <row r="2566" spans="1:23" hidden="1" x14ac:dyDescent="0.45">
      <c r="A2566" s="7">
        <v>2560</v>
      </c>
      <c r="B2566" s="5" t="s">
        <v>5128</v>
      </c>
      <c r="C2566" s="6" t="s">
        <v>5129</v>
      </c>
      <c r="D2566" s="6" t="s">
        <v>13</v>
      </c>
      <c r="E2566" s="6"/>
      <c r="F2566" s="6"/>
      <c r="G2566" s="6"/>
      <c r="H2566" s="6"/>
      <c r="I2566" s="6"/>
      <c r="J2566" s="8"/>
      <c r="K2566" s="6"/>
      <c r="L2566" s="6"/>
      <c r="M2566" s="8">
        <v>2505000000000</v>
      </c>
      <c r="N2566" s="8"/>
      <c r="O2566" s="8">
        <v>2430000000000</v>
      </c>
      <c r="P2566" s="8">
        <v>3007500000000</v>
      </c>
      <c r="Q2566" s="18" t="e">
        <f>(Table1[[#This Row],[A. TÀI SẢN NGẮN HẠN]]-Table1[[#This Row],[I. Nợ ngắn hạn]])/Table1[[#This Row],[TỔNG CỘNG TÀI SẢN]]</f>
        <v>#DIV/0!</v>
      </c>
      <c r="R2566" s="18" t="e">
        <f>Table1[[#This Row],[- LNST chưa phân phối kỳ này]]/Table1[[#This Row],[TỔNG CỘNG TÀI SẢN]]</f>
        <v>#DIV/0!</v>
      </c>
      <c r="S2566" s="21" t="e">
        <f>Table1[[#This Row],[5. Lợi nhuận gộp về bán hàng và cung cấp dịch vụ]]/Table1[[#This Row],[TỔNG CỘNG TÀI SẢN]]</f>
        <v>#DIV/0!</v>
      </c>
      <c r="T256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566" s="23" t="e">
        <f>Table1[[#This Row],[1. Doanh thu bán hàng và cung cấp dịch vụ ]]/Table1[[#This Row],[TỔNG CỘNG TÀI SẢN]]</f>
        <v>#DIV/0!</v>
      </c>
      <c r="V2566" s="23" t="e">
        <f>1.2*Table1[[#This Row],[X1]] + 1.4*Table1[[#This Row],[X2]] + 3.3*Table1[[#This Row],[x3]] + 0.6*Table1[[#This Row],[x4]] + 1*Table1[[#This Row],[x5]]</f>
        <v>#DIV/0!</v>
      </c>
      <c r="W2566" s="23" t="e">
        <f>IF(Table1[[#This Row],[Zscore]]&lt;1.81,1,0)</f>
        <v>#DIV/0!</v>
      </c>
    </row>
    <row r="2567" spans="1:23" x14ac:dyDescent="0.45">
      <c r="A2567" s="7">
        <v>2561</v>
      </c>
      <c r="B2567" s="5" t="s">
        <v>5130</v>
      </c>
      <c r="C2567" s="6" t="s">
        <v>5131</v>
      </c>
      <c r="D2567" s="6" t="s">
        <v>18</v>
      </c>
      <c r="E2567" s="8">
        <v>551800780501</v>
      </c>
      <c r="F2567" s="8">
        <v>206487414999</v>
      </c>
      <c r="G2567" s="8">
        <v>284176603802</v>
      </c>
      <c r="H2567" s="8">
        <v>27897608618</v>
      </c>
      <c r="I2567" s="8">
        <v>60856186639</v>
      </c>
      <c r="J2567" s="8"/>
      <c r="K2567" s="8">
        <v>284983244560</v>
      </c>
      <c r="L2567" s="8">
        <v>825135992381</v>
      </c>
      <c r="M2567" s="8">
        <v>358155000000</v>
      </c>
      <c r="N2567" s="8">
        <v>196322000000</v>
      </c>
      <c r="O2567" s="8">
        <v>252035000000</v>
      </c>
      <c r="P2567" s="8">
        <v>265300000000</v>
      </c>
      <c r="Q2567" s="18">
        <f>(Table1[[#This Row],[A. TÀI SẢN NGẮN HẠN]]-Table1[[#This Row],[I. Nợ ngắn hạn]])/Table1[[#This Row],[TỔNG CỘNG TÀI SẢN]]</f>
        <v>-0.1407920966194777</v>
      </c>
      <c r="R2567" s="18">
        <f>Table1[[#This Row],[- LNST chưa phân phối kỳ này]]/Table1[[#This Row],[TỔNG CỘNG TÀI SẢN]]</f>
        <v>5.0557392457239274E-2</v>
      </c>
      <c r="S2567" s="21">
        <f>Table1[[#This Row],[5. Lợi nhuận gộp về bán hàng và cung cấp dịch vụ]]/Table1[[#This Row],[TỔNG CỘNG TÀI SẢN]]</f>
        <v>0.11028651786926878</v>
      </c>
      <c r="T256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0.94024124265167286</v>
      </c>
      <c r="U2567" s="23">
        <f>Table1[[#This Row],[1. Doanh thu bán hàng và cung cấp dịch vụ ]]/Table1[[#This Row],[TỔNG CỘNG TÀI SẢN]]</f>
        <v>1.4953512599815988</v>
      </c>
      <c r="V2567" s="23">
        <f>1.2*Table1[[#This Row],[X1]] + 1.4*Table1[[#This Row],[X2]] + 3.3*Table1[[#This Row],[x3]] + 0.6*Table1[[#This Row],[x4]] + 1*Table1[[#This Row],[x5]]</f>
        <v>2.3252713480379512</v>
      </c>
      <c r="W2567" s="23">
        <f>IF(Table1[[#This Row],[Zscore]]&lt;1.81,1,0)</f>
        <v>0</v>
      </c>
    </row>
    <row r="2568" spans="1:23" ht="26.25" hidden="1" x14ac:dyDescent="0.45">
      <c r="A2568" s="7">
        <v>2562</v>
      </c>
      <c r="B2568" s="5" t="s">
        <v>5132</v>
      </c>
      <c r="C2568" s="6" t="s">
        <v>5133</v>
      </c>
      <c r="D2568" s="6" t="s">
        <v>18</v>
      </c>
      <c r="E2568" s="6"/>
      <c r="F2568" s="6"/>
      <c r="G2568" s="6"/>
      <c r="H2568" s="6"/>
      <c r="I2568" s="6"/>
      <c r="J2568" s="8"/>
      <c r="K2568" s="6"/>
      <c r="L2568" s="6"/>
      <c r="M2568" s="8"/>
      <c r="N2568" s="8"/>
      <c r="O2568" s="8"/>
      <c r="P2568" s="8"/>
      <c r="Q2568" s="18" t="e">
        <f>(Table1[[#This Row],[A. TÀI SẢN NGẮN HẠN]]-Table1[[#This Row],[I. Nợ ngắn hạn]])/Table1[[#This Row],[TỔNG CỘNG TÀI SẢN]]</f>
        <v>#DIV/0!</v>
      </c>
      <c r="R2568" s="18" t="e">
        <f>Table1[[#This Row],[- LNST chưa phân phối kỳ này]]/Table1[[#This Row],[TỔNG CỘNG TÀI SẢN]]</f>
        <v>#DIV/0!</v>
      </c>
      <c r="S2568" s="21" t="e">
        <f>Table1[[#This Row],[5. Lợi nhuận gộp về bán hàng và cung cấp dịch vụ]]/Table1[[#This Row],[TỔNG CỘNG TÀI SẢN]]</f>
        <v>#DIV/0!</v>
      </c>
      <c r="T256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568" s="23" t="e">
        <f>Table1[[#This Row],[1. Doanh thu bán hàng và cung cấp dịch vụ ]]/Table1[[#This Row],[TỔNG CỘNG TÀI SẢN]]</f>
        <v>#DIV/0!</v>
      </c>
      <c r="V2568" s="23" t="e">
        <f>1.2*Table1[[#This Row],[X1]] + 1.4*Table1[[#This Row],[X2]] + 3.3*Table1[[#This Row],[x3]] + 0.6*Table1[[#This Row],[x4]] + 1*Table1[[#This Row],[x5]]</f>
        <v>#DIV/0!</v>
      </c>
      <c r="W2568" s="23" t="e">
        <f>IF(Table1[[#This Row],[Zscore]]&lt;1.81,1,0)</f>
        <v>#DIV/0!</v>
      </c>
    </row>
    <row r="2569" spans="1:23" ht="26.25" hidden="1" x14ac:dyDescent="0.45">
      <c r="A2569" s="7">
        <v>2563</v>
      </c>
      <c r="B2569" s="5" t="s">
        <v>5134</v>
      </c>
      <c r="C2569" s="6" t="s">
        <v>5135</v>
      </c>
      <c r="D2569" s="6" t="s">
        <v>13</v>
      </c>
      <c r="E2569" s="6"/>
      <c r="F2569" s="6"/>
      <c r="G2569" s="6"/>
      <c r="H2569" s="6"/>
      <c r="I2569" s="6"/>
      <c r="J2569" s="8"/>
      <c r="K2569" s="6"/>
      <c r="L2569" s="6"/>
      <c r="M2569" s="8"/>
      <c r="N2569" s="8"/>
      <c r="O2569" s="8"/>
      <c r="P2569" s="8"/>
      <c r="Q2569" s="18" t="e">
        <f>(Table1[[#This Row],[A. TÀI SẢN NGẮN HẠN]]-Table1[[#This Row],[I. Nợ ngắn hạn]])/Table1[[#This Row],[TỔNG CỘNG TÀI SẢN]]</f>
        <v>#DIV/0!</v>
      </c>
      <c r="R2569" s="18" t="e">
        <f>Table1[[#This Row],[- LNST chưa phân phối kỳ này]]/Table1[[#This Row],[TỔNG CỘNG TÀI SẢN]]</f>
        <v>#DIV/0!</v>
      </c>
      <c r="S2569" s="21" t="e">
        <f>Table1[[#This Row],[5. Lợi nhuận gộp về bán hàng và cung cấp dịch vụ]]/Table1[[#This Row],[TỔNG CỘNG TÀI SẢN]]</f>
        <v>#DIV/0!</v>
      </c>
      <c r="T256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569" s="23" t="e">
        <f>Table1[[#This Row],[1. Doanh thu bán hàng và cung cấp dịch vụ ]]/Table1[[#This Row],[TỔNG CỘNG TÀI SẢN]]</f>
        <v>#DIV/0!</v>
      </c>
      <c r="V2569" s="23" t="e">
        <f>1.2*Table1[[#This Row],[X1]] + 1.4*Table1[[#This Row],[X2]] + 3.3*Table1[[#This Row],[x3]] + 0.6*Table1[[#This Row],[x4]] + 1*Table1[[#This Row],[x5]]</f>
        <v>#DIV/0!</v>
      </c>
      <c r="W2569" s="23" t="e">
        <f>IF(Table1[[#This Row],[Zscore]]&lt;1.81,1,0)</f>
        <v>#DIV/0!</v>
      </c>
    </row>
    <row r="2570" spans="1:23" hidden="1" x14ac:dyDescent="0.45">
      <c r="A2570" s="7">
        <v>2564</v>
      </c>
      <c r="B2570" s="5" t="s">
        <v>5136</v>
      </c>
      <c r="C2570" s="6" t="s">
        <v>5137</v>
      </c>
      <c r="D2570" s="6" t="s">
        <v>18</v>
      </c>
      <c r="E2570" s="6"/>
      <c r="F2570" s="6"/>
      <c r="G2570" s="6"/>
      <c r="H2570" s="6"/>
      <c r="I2570" s="6"/>
      <c r="J2570" s="8"/>
      <c r="K2570" s="6"/>
      <c r="L2570" s="6"/>
      <c r="M2570" s="8"/>
      <c r="N2570" s="8"/>
      <c r="O2570" s="8"/>
      <c r="P2570" s="8"/>
      <c r="Q2570" s="18" t="e">
        <f>(Table1[[#This Row],[A. TÀI SẢN NGẮN HẠN]]-Table1[[#This Row],[I. Nợ ngắn hạn]])/Table1[[#This Row],[TỔNG CỘNG TÀI SẢN]]</f>
        <v>#DIV/0!</v>
      </c>
      <c r="R2570" s="18" t="e">
        <f>Table1[[#This Row],[- LNST chưa phân phối kỳ này]]/Table1[[#This Row],[TỔNG CỘNG TÀI SẢN]]</f>
        <v>#DIV/0!</v>
      </c>
      <c r="S2570" s="21" t="e">
        <f>Table1[[#This Row],[5. Lợi nhuận gộp về bán hàng và cung cấp dịch vụ]]/Table1[[#This Row],[TỔNG CỘNG TÀI SẢN]]</f>
        <v>#DIV/0!</v>
      </c>
      <c r="T257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570" s="23" t="e">
        <f>Table1[[#This Row],[1. Doanh thu bán hàng và cung cấp dịch vụ ]]/Table1[[#This Row],[TỔNG CỘNG TÀI SẢN]]</f>
        <v>#DIV/0!</v>
      </c>
      <c r="V2570" s="23" t="e">
        <f>1.2*Table1[[#This Row],[X1]] + 1.4*Table1[[#This Row],[X2]] + 3.3*Table1[[#This Row],[x3]] + 0.6*Table1[[#This Row],[x4]] + 1*Table1[[#This Row],[x5]]</f>
        <v>#DIV/0!</v>
      </c>
      <c r="W2570" s="23" t="e">
        <f>IF(Table1[[#This Row],[Zscore]]&lt;1.81,1,0)</f>
        <v>#DIV/0!</v>
      </c>
    </row>
    <row r="2571" spans="1:23" hidden="1" x14ac:dyDescent="0.45">
      <c r="A2571" s="7">
        <v>2565</v>
      </c>
      <c r="B2571" s="5" t="s">
        <v>5138</v>
      </c>
      <c r="C2571" s="6" t="s">
        <v>5139</v>
      </c>
      <c r="D2571" s="6" t="s">
        <v>36</v>
      </c>
      <c r="E2571" s="6"/>
      <c r="F2571" s="6"/>
      <c r="G2571" s="6"/>
      <c r="H2571" s="6"/>
      <c r="I2571" s="6"/>
      <c r="J2571" s="8"/>
      <c r="K2571" s="6"/>
      <c r="L2571" s="6"/>
      <c r="M2571" s="8">
        <v>175885800000</v>
      </c>
      <c r="N2571" s="8"/>
      <c r="O2571" s="8">
        <v>156831505000</v>
      </c>
      <c r="P2571" s="8">
        <v>131914350000</v>
      </c>
      <c r="Q2571" s="18" t="e">
        <f>(Table1[[#This Row],[A. TÀI SẢN NGẮN HẠN]]-Table1[[#This Row],[I. Nợ ngắn hạn]])/Table1[[#This Row],[TỔNG CỘNG TÀI SẢN]]</f>
        <v>#DIV/0!</v>
      </c>
      <c r="R2571" s="18" t="e">
        <f>Table1[[#This Row],[- LNST chưa phân phối kỳ này]]/Table1[[#This Row],[TỔNG CỘNG TÀI SẢN]]</f>
        <v>#DIV/0!</v>
      </c>
      <c r="S2571" s="21" t="e">
        <f>Table1[[#This Row],[5. Lợi nhuận gộp về bán hàng và cung cấp dịch vụ]]/Table1[[#This Row],[TỔNG CỘNG TÀI SẢN]]</f>
        <v>#DIV/0!</v>
      </c>
      <c r="T257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571" s="23" t="e">
        <f>Table1[[#This Row],[1. Doanh thu bán hàng và cung cấp dịch vụ ]]/Table1[[#This Row],[TỔNG CỘNG TÀI SẢN]]</f>
        <v>#DIV/0!</v>
      </c>
      <c r="V2571" s="23" t="e">
        <f>1.2*Table1[[#This Row],[X1]] + 1.4*Table1[[#This Row],[X2]] + 3.3*Table1[[#This Row],[x3]] + 0.6*Table1[[#This Row],[x4]] + 1*Table1[[#This Row],[x5]]</f>
        <v>#DIV/0!</v>
      </c>
      <c r="W2571" s="23" t="e">
        <f>IF(Table1[[#This Row],[Zscore]]&lt;1.81,1,0)</f>
        <v>#DIV/0!</v>
      </c>
    </row>
    <row r="2572" spans="1:23" hidden="1" x14ac:dyDescent="0.45">
      <c r="A2572" s="7">
        <v>2566</v>
      </c>
      <c r="B2572" s="5" t="s">
        <v>5140</v>
      </c>
      <c r="C2572" s="6" t="s">
        <v>5141</v>
      </c>
      <c r="D2572" s="6" t="s">
        <v>13</v>
      </c>
      <c r="E2572" s="6"/>
      <c r="F2572" s="6"/>
      <c r="G2572" s="6"/>
      <c r="H2572" s="6"/>
      <c r="I2572" s="6"/>
      <c r="J2572" s="8"/>
      <c r="K2572" s="6"/>
      <c r="L2572" s="6"/>
      <c r="M2572" s="8"/>
      <c r="N2572" s="8"/>
      <c r="O2572" s="8"/>
      <c r="P2572" s="8"/>
      <c r="Q2572" s="18" t="e">
        <f>(Table1[[#This Row],[A. TÀI SẢN NGẮN HẠN]]-Table1[[#This Row],[I. Nợ ngắn hạn]])/Table1[[#This Row],[TỔNG CỘNG TÀI SẢN]]</f>
        <v>#DIV/0!</v>
      </c>
      <c r="R2572" s="18" t="e">
        <f>Table1[[#This Row],[- LNST chưa phân phối kỳ này]]/Table1[[#This Row],[TỔNG CỘNG TÀI SẢN]]</f>
        <v>#DIV/0!</v>
      </c>
      <c r="S2572" s="21" t="e">
        <f>Table1[[#This Row],[5. Lợi nhuận gộp về bán hàng và cung cấp dịch vụ]]/Table1[[#This Row],[TỔNG CỘNG TÀI SẢN]]</f>
        <v>#DIV/0!</v>
      </c>
      <c r="T257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572" s="23" t="e">
        <f>Table1[[#This Row],[1. Doanh thu bán hàng và cung cấp dịch vụ ]]/Table1[[#This Row],[TỔNG CỘNG TÀI SẢN]]</f>
        <v>#DIV/0!</v>
      </c>
      <c r="V2572" s="23" t="e">
        <f>1.2*Table1[[#This Row],[X1]] + 1.4*Table1[[#This Row],[X2]] + 3.3*Table1[[#This Row],[x3]] + 0.6*Table1[[#This Row],[x4]] + 1*Table1[[#This Row],[x5]]</f>
        <v>#DIV/0!</v>
      </c>
      <c r="W2572" s="23" t="e">
        <f>IF(Table1[[#This Row],[Zscore]]&lt;1.81,1,0)</f>
        <v>#DIV/0!</v>
      </c>
    </row>
    <row r="2573" spans="1:23" hidden="1" x14ac:dyDescent="0.45">
      <c r="A2573" s="7">
        <v>2567</v>
      </c>
      <c r="B2573" s="5" t="s">
        <v>5142</v>
      </c>
      <c r="C2573" s="6" t="s">
        <v>5143</v>
      </c>
      <c r="D2573" s="6" t="s">
        <v>18</v>
      </c>
      <c r="E2573" s="6"/>
      <c r="F2573" s="6"/>
      <c r="G2573" s="6"/>
      <c r="H2573" s="6"/>
      <c r="I2573" s="6"/>
      <c r="J2573" s="8"/>
      <c r="K2573" s="6"/>
      <c r="L2573" s="6"/>
      <c r="M2573" s="8"/>
      <c r="N2573" s="8"/>
      <c r="O2573" s="8"/>
      <c r="P2573" s="8"/>
      <c r="Q2573" s="18" t="e">
        <f>(Table1[[#This Row],[A. TÀI SẢN NGẮN HẠN]]-Table1[[#This Row],[I. Nợ ngắn hạn]])/Table1[[#This Row],[TỔNG CỘNG TÀI SẢN]]</f>
        <v>#DIV/0!</v>
      </c>
      <c r="R2573" s="18" t="e">
        <f>Table1[[#This Row],[- LNST chưa phân phối kỳ này]]/Table1[[#This Row],[TỔNG CỘNG TÀI SẢN]]</f>
        <v>#DIV/0!</v>
      </c>
      <c r="S2573" s="21" t="e">
        <f>Table1[[#This Row],[5. Lợi nhuận gộp về bán hàng và cung cấp dịch vụ]]/Table1[[#This Row],[TỔNG CỘNG TÀI SẢN]]</f>
        <v>#DIV/0!</v>
      </c>
      <c r="T257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573" s="23" t="e">
        <f>Table1[[#This Row],[1. Doanh thu bán hàng và cung cấp dịch vụ ]]/Table1[[#This Row],[TỔNG CỘNG TÀI SẢN]]</f>
        <v>#DIV/0!</v>
      </c>
      <c r="V2573" s="23" t="e">
        <f>1.2*Table1[[#This Row],[X1]] + 1.4*Table1[[#This Row],[X2]] + 3.3*Table1[[#This Row],[x3]] + 0.6*Table1[[#This Row],[x4]] + 1*Table1[[#This Row],[x5]]</f>
        <v>#DIV/0!</v>
      </c>
      <c r="W2573" s="23" t="e">
        <f>IF(Table1[[#This Row],[Zscore]]&lt;1.81,1,0)</f>
        <v>#DIV/0!</v>
      </c>
    </row>
    <row r="2574" spans="1:23" ht="26.25" x14ac:dyDescent="0.45">
      <c r="A2574" s="7">
        <v>2568</v>
      </c>
      <c r="B2574" s="5" t="s">
        <v>5144</v>
      </c>
      <c r="C2574" s="6" t="s">
        <v>5145</v>
      </c>
      <c r="D2574" s="6" t="s">
        <v>21</v>
      </c>
      <c r="E2574" s="8">
        <v>1102269978805</v>
      </c>
      <c r="F2574" s="8">
        <v>916201755234</v>
      </c>
      <c r="G2574" s="8">
        <v>347657828780</v>
      </c>
      <c r="H2574" s="8">
        <v>63806997092</v>
      </c>
      <c r="I2574" s="8">
        <v>256726038407</v>
      </c>
      <c r="J2574" s="8"/>
      <c r="K2574" s="8">
        <v>347657828780</v>
      </c>
      <c r="L2574" s="8">
        <v>996724296502</v>
      </c>
      <c r="M2574" s="8">
        <v>764085363200</v>
      </c>
      <c r="N2574" s="8">
        <v>1280836736000</v>
      </c>
      <c r="O2574" s="8">
        <v>817085504000</v>
      </c>
      <c r="P2574" s="8">
        <v>1066627833600</v>
      </c>
      <c r="Q2574" s="18">
        <f>(Table1[[#This Row],[A. TÀI SẢN NGẮN HẠN]]-Table1[[#This Row],[I. Nợ ngắn hạn]])/Table1[[#This Row],[TỔNG CỘNG TÀI SẢN]]</f>
        <v>0.51579371423176512</v>
      </c>
      <c r="R2574" s="18">
        <f>Table1[[#This Row],[- LNST chưa phân phối kỳ này]]/Table1[[#This Row],[TỔNG CỘNG TÀI SẢN]]</f>
        <v>5.7886904586818964E-2</v>
      </c>
      <c r="S2574" s="21">
        <f>Table1[[#This Row],[5. Lợi nhuận gộp về bán hàng và cung cấp dịch vụ]]/Table1[[#This Row],[TỔNG CỘNG TÀI SẢN]]</f>
        <v>0.23290667744151344</v>
      </c>
      <c r="T257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2.8250733275490716</v>
      </c>
      <c r="U2574" s="23">
        <f>Table1[[#This Row],[1. Doanh thu bán hàng và cung cấp dịch vụ ]]/Table1[[#This Row],[TỔNG CỘNG TÀI SẢN]]</f>
        <v>0.90424697729913239</v>
      </c>
      <c r="V2574" s="23">
        <f>1.2*Table1[[#This Row],[X1]] + 1.4*Table1[[#This Row],[X2]] + 3.3*Table1[[#This Row],[x3]] + 0.6*Table1[[#This Row],[x4]] + 1*Table1[[#This Row],[x5]]</f>
        <v>4.0678771328852346</v>
      </c>
      <c r="W2574" s="23">
        <f>IF(Table1[[#This Row],[Zscore]]&lt;1.81,1,0)</f>
        <v>0</v>
      </c>
    </row>
    <row r="2575" spans="1:23" x14ac:dyDescent="0.45">
      <c r="A2575" s="7">
        <v>2569</v>
      </c>
      <c r="B2575" s="5" t="s">
        <v>5146</v>
      </c>
      <c r="C2575" s="6" t="s">
        <v>5147</v>
      </c>
      <c r="D2575" s="6" t="s">
        <v>21</v>
      </c>
      <c r="E2575" s="8">
        <v>8121452969623</v>
      </c>
      <c r="F2575" s="8">
        <v>6925802937636</v>
      </c>
      <c r="G2575" s="8">
        <v>4998480395596</v>
      </c>
      <c r="H2575" s="8">
        <v>47948195686</v>
      </c>
      <c r="I2575" s="8">
        <v>499813773355</v>
      </c>
      <c r="J2575" s="8"/>
      <c r="K2575" s="8">
        <v>5022323459557</v>
      </c>
      <c r="L2575" s="8">
        <v>1041834370118</v>
      </c>
      <c r="M2575" s="8">
        <v>4568400000000</v>
      </c>
      <c r="N2575" s="8">
        <v>4596800000000</v>
      </c>
      <c r="O2575" s="8">
        <v>3487050000000</v>
      </c>
      <c r="P2575" s="8">
        <v>6079200000000</v>
      </c>
      <c r="Q2575" s="18">
        <f>(Table1[[#This Row],[A. TÀI SẢN NGẮN HẠN]]-Table1[[#This Row],[I. Nợ ngắn hạn]])/Table1[[#This Row],[TỔNG CỘNG TÀI SẢN]]</f>
        <v>0.23731252883552276</v>
      </c>
      <c r="R2575" s="18">
        <f>Table1[[#This Row],[- LNST chưa phân phối kỳ này]]/Table1[[#This Row],[TỔNG CỘNG TÀI SẢN]]</f>
        <v>5.9038937817337094E-3</v>
      </c>
      <c r="S2575" s="21">
        <f>Table1[[#This Row],[5. Lợi nhuận gộp về bán hàng và cung cấp dịch vụ]]/Table1[[#This Row],[TỔNG CỘNG TÀI SẢN]]</f>
        <v>6.1542408141064625E-2</v>
      </c>
      <c r="T257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0.93240957849677353</v>
      </c>
      <c r="U2575" s="23">
        <f>Table1[[#This Row],[1. Doanh thu bán hàng và cung cấp dịch vụ ]]/Table1[[#This Row],[TỔNG CỘNG TÀI SẢN]]</f>
        <v>0.1282817710100416</v>
      </c>
      <c r="V2575" s="23">
        <f>1.2*Table1[[#This Row],[X1]] + 1.4*Table1[[#This Row],[X2]] + 3.3*Table1[[#This Row],[x3]] + 0.6*Table1[[#This Row],[x4]] + 1*Table1[[#This Row],[x5]]</f>
        <v>1.1838579508706735</v>
      </c>
      <c r="W2575" s="23">
        <f>IF(Table1[[#This Row],[Zscore]]&lt;1.81,1,0)</f>
        <v>1</v>
      </c>
    </row>
    <row r="2576" spans="1:23" hidden="1" x14ac:dyDescent="0.45">
      <c r="A2576" s="7">
        <v>2570</v>
      </c>
      <c r="B2576" s="5" t="s">
        <v>5148</v>
      </c>
      <c r="C2576" s="6" t="s">
        <v>5149</v>
      </c>
      <c r="D2576" s="6" t="s">
        <v>13</v>
      </c>
      <c r="E2576" s="6"/>
      <c r="F2576" s="6"/>
      <c r="G2576" s="6"/>
      <c r="H2576" s="6"/>
      <c r="I2576" s="6"/>
      <c r="J2576" s="8"/>
      <c r="K2576" s="6"/>
      <c r="L2576" s="6"/>
      <c r="M2576" s="8"/>
      <c r="N2576" s="8"/>
      <c r="O2576" s="8"/>
      <c r="P2576" s="8"/>
      <c r="Q2576" s="18" t="e">
        <f>(Table1[[#This Row],[A. TÀI SẢN NGẮN HẠN]]-Table1[[#This Row],[I. Nợ ngắn hạn]])/Table1[[#This Row],[TỔNG CỘNG TÀI SẢN]]</f>
        <v>#DIV/0!</v>
      </c>
      <c r="R2576" s="18" t="e">
        <f>Table1[[#This Row],[- LNST chưa phân phối kỳ này]]/Table1[[#This Row],[TỔNG CỘNG TÀI SẢN]]</f>
        <v>#DIV/0!</v>
      </c>
      <c r="S2576" s="21" t="e">
        <f>Table1[[#This Row],[5. Lợi nhuận gộp về bán hàng và cung cấp dịch vụ]]/Table1[[#This Row],[TỔNG CỘNG TÀI SẢN]]</f>
        <v>#DIV/0!</v>
      </c>
      <c r="T257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576" s="23" t="e">
        <f>Table1[[#This Row],[1. Doanh thu bán hàng và cung cấp dịch vụ ]]/Table1[[#This Row],[TỔNG CỘNG TÀI SẢN]]</f>
        <v>#DIV/0!</v>
      </c>
      <c r="V2576" s="23" t="e">
        <f>1.2*Table1[[#This Row],[X1]] + 1.4*Table1[[#This Row],[X2]] + 3.3*Table1[[#This Row],[x3]] + 0.6*Table1[[#This Row],[x4]] + 1*Table1[[#This Row],[x5]]</f>
        <v>#DIV/0!</v>
      </c>
      <c r="W2576" s="23" t="e">
        <f>IF(Table1[[#This Row],[Zscore]]&lt;1.81,1,0)</f>
        <v>#DIV/0!</v>
      </c>
    </row>
    <row r="2577" spans="1:23" hidden="1" x14ac:dyDescent="0.45">
      <c r="A2577" s="7">
        <v>2571</v>
      </c>
      <c r="B2577" s="5" t="s">
        <v>5150</v>
      </c>
      <c r="C2577" s="6" t="s">
        <v>5151</v>
      </c>
      <c r="D2577" s="6" t="s">
        <v>18</v>
      </c>
      <c r="E2577" s="8">
        <v>36890172609</v>
      </c>
      <c r="F2577" s="8">
        <v>28800302612</v>
      </c>
      <c r="G2577" s="8">
        <v>9877457078</v>
      </c>
      <c r="H2577" s="8">
        <v>1599480497</v>
      </c>
      <c r="I2577" s="8">
        <v>8061548993</v>
      </c>
      <c r="J2577" s="8"/>
      <c r="K2577" s="8">
        <v>10118457078</v>
      </c>
      <c r="L2577" s="8">
        <v>83644105929</v>
      </c>
      <c r="M2577" s="8"/>
      <c r="N2577" s="8"/>
      <c r="O2577" s="8"/>
      <c r="P2577" s="8"/>
      <c r="Q2577" s="18">
        <f>(Table1[[#This Row],[A. TÀI SẢN NGẮN HẠN]]-Table1[[#This Row],[I. Nợ ngắn hạn]])/Table1[[#This Row],[TỔNG CỘNG TÀI SẢN]]</f>
        <v>0.51295085372908888</v>
      </c>
      <c r="R2577" s="18">
        <f>Table1[[#This Row],[- LNST chưa phân phối kỳ này]]/Table1[[#This Row],[TỔNG CỘNG TÀI SẢN]]</f>
        <v>4.3357902223796561E-2</v>
      </c>
      <c r="S2577" s="21">
        <f>Table1[[#This Row],[5. Lợi nhuận gộp về bán hàng và cung cấp dịch vụ]]/Table1[[#This Row],[TỔNG CỘNG TÀI SẢN]]</f>
        <v>0.21852836196904227</v>
      </c>
      <c r="T257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577" s="23">
        <f>Table1[[#This Row],[1. Doanh thu bán hàng và cung cấp dịch vụ ]]/Table1[[#This Row],[TỔNG CỘNG TÀI SẢN]]</f>
        <v>2.2673817988206855</v>
      </c>
      <c r="V2577" s="23" t="e">
        <f>1.2*Table1[[#This Row],[X1]] + 1.4*Table1[[#This Row],[X2]] + 3.3*Table1[[#This Row],[x3]] + 0.6*Table1[[#This Row],[x4]] + 1*Table1[[#This Row],[x5]]</f>
        <v>#DIV/0!</v>
      </c>
      <c r="W2577" s="23" t="e">
        <f>IF(Table1[[#This Row],[Zscore]]&lt;1.81,1,0)</f>
        <v>#DIV/0!</v>
      </c>
    </row>
    <row r="2578" spans="1:23" x14ac:dyDescent="0.45">
      <c r="A2578" s="7">
        <v>2572</v>
      </c>
      <c r="B2578" s="5" t="s">
        <v>5152</v>
      </c>
      <c r="C2578" s="6" t="s">
        <v>5153</v>
      </c>
      <c r="D2578" s="6" t="s">
        <v>36</v>
      </c>
      <c r="E2578" s="8">
        <v>40170480481</v>
      </c>
      <c r="F2578" s="8">
        <v>39740960526</v>
      </c>
      <c r="G2578" s="8">
        <v>9566177067</v>
      </c>
      <c r="H2578" s="8">
        <v>3663085450</v>
      </c>
      <c r="I2578" s="8">
        <v>822676746</v>
      </c>
      <c r="J2578" s="8"/>
      <c r="K2578" s="8">
        <v>9566177067</v>
      </c>
      <c r="L2578" s="8">
        <v>12528373757</v>
      </c>
      <c r="M2578" s="8">
        <v>23131992000</v>
      </c>
      <c r="N2578" s="8">
        <v>20166352000</v>
      </c>
      <c r="O2578" s="8">
        <v>22538864000</v>
      </c>
      <c r="P2578" s="8">
        <v>20759480000</v>
      </c>
      <c r="Q2578" s="18">
        <f>(Table1[[#This Row],[A. TÀI SẢN NGẮN HẠN]]-Table1[[#This Row],[I. Nợ ngắn hạn]])/Table1[[#This Row],[TỔNG CỘNG TÀI SẢN]]</f>
        <v>0.75116809900424752</v>
      </c>
      <c r="R2578" s="18">
        <f>Table1[[#This Row],[- LNST chưa phân phối kỳ này]]/Table1[[#This Row],[TỔNG CỘNG TÀI SẢN]]</f>
        <v>9.1188489809888668E-2</v>
      </c>
      <c r="S2578" s="21">
        <f>Table1[[#This Row],[5. Lợi nhuận gộp về bán hàng và cung cấp dịch vụ]]/Table1[[#This Row],[TỔNG CỘNG TÀI SẢN]]</f>
        <v>2.0479634202760236E-2</v>
      </c>
      <c r="T257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2.2630954715109914</v>
      </c>
      <c r="U2578" s="23">
        <f>Table1[[#This Row],[1. Doanh thu bán hàng và cung cấp dịch vụ ]]/Table1[[#This Row],[TỔNG CỘNG TÀI SẢN]]</f>
        <v>0.31188010715793457</v>
      </c>
      <c r="V2578" s="23">
        <f>1.2*Table1[[#This Row],[X1]] + 1.4*Table1[[#This Row],[X2]] + 3.3*Table1[[#This Row],[x3]] + 0.6*Table1[[#This Row],[x4]] + 1*Table1[[#This Row],[x5]]</f>
        <v>2.7663857874725792</v>
      </c>
      <c r="W2578" s="23">
        <f>IF(Table1[[#This Row],[Zscore]]&lt;1.81,1,0)</f>
        <v>0</v>
      </c>
    </row>
    <row r="2579" spans="1:23" x14ac:dyDescent="0.45">
      <c r="A2579" s="7">
        <v>2573</v>
      </c>
      <c r="B2579" s="5" t="s">
        <v>5154</v>
      </c>
      <c r="C2579" s="6" t="s">
        <v>5155</v>
      </c>
      <c r="D2579" s="6" t="s">
        <v>18</v>
      </c>
      <c r="E2579" s="8">
        <v>49944726570</v>
      </c>
      <c r="F2579" s="8">
        <v>34306275161</v>
      </c>
      <c r="G2579" s="8">
        <v>48716865407</v>
      </c>
      <c r="H2579" s="8">
        <v>-1615504014</v>
      </c>
      <c r="I2579" s="8">
        <v>496781115</v>
      </c>
      <c r="J2579" s="8"/>
      <c r="K2579" s="8">
        <v>49336865407</v>
      </c>
      <c r="L2579" s="8">
        <v>571877778</v>
      </c>
      <c r="M2579" s="8">
        <v>20980800000</v>
      </c>
      <c r="N2579" s="8">
        <v>14896368000</v>
      </c>
      <c r="O2579" s="8">
        <v>20980800000</v>
      </c>
      <c r="P2579" s="8">
        <v>14896368000</v>
      </c>
      <c r="Q2579" s="18">
        <f>(Table1[[#This Row],[A. TÀI SẢN NGẮN HẠN]]-Table1[[#This Row],[I. Nợ ngắn hạn]])/Table1[[#This Row],[TỔNG CỘNG TÀI SẢN]]</f>
        <v>-0.28853076662263527</v>
      </c>
      <c r="R2579" s="18">
        <f>Table1[[#This Row],[- LNST chưa phân phối kỳ này]]/Table1[[#This Row],[TỔNG CỘNG TÀI SẢN]]</f>
        <v>-3.2345837587794003E-2</v>
      </c>
      <c r="S2579" s="21">
        <f>Table1[[#This Row],[5. Lợi nhuận gộp về bán hàng và cung cấp dịch vụ]]/Table1[[#This Row],[TỔNG CỘNG TÀI SẢN]]</f>
        <v>9.9466179738462827E-3</v>
      </c>
      <c r="T257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0.36359391404413877</v>
      </c>
      <c r="U2579" s="23">
        <f>Table1[[#This Row],[1. Doanh thu bán hàng và cung cấp dịch vụ ]]/Table1[[#This Row],[TỔNG CỘNG TÀI SẢN]]</f>
        <v>1.145021341138959E-2</v>
      </c>
      <c r="V2579" s="23">
        <f>1.2*Table1[[#This Row],[X1]] + 1.4*Table1[[#This Row],[X2]] + 3.3*Table1[[#This Row],[x3]] + 0.6*Table1[[#This Row],[x4]] + 1*Table1[[#This Row],[x5]]</f>
        <v>-0.12909069141850837</v>
      </c>
      <c r="W2579" s="23">
        <f>IF(Table1[[#This Row],[Zscore]]&lt;1.81,1,0)</f>
        <v>1</v>
      </c>
    </row>
    <row r="2580" spans="1:23" x14ac:dyDescent="0.45">
      <c r="A2580" s="7">
        <v>2574</v>
      </c>
      <c r="B2580" s="5" t="s">
        <v>5156</v>
      </c>
      <c r="C2580" s="6" t="s">
        <v>5157</v>
      </c>
      <c r="D2580" s="6" t="s">
        <v>36</v>
      </c>
      <c r="E2580" s="8">
        <v>225730855009</v>
      </c>
      <c r="F2580" s="8">
        <v>181631352449</v>
      </c>
      <c r="G2580" s="8">
        <v>184497747360</v>
      </c>
      <c r="H2580" s="8">
        <v>128606254</v>
      </c>
      <c r="I2580" s="8">
        <v>13840177807</v>
      </c>
      <c r="J2580" s="8"/>
      <c r="K2580" s="8">
        <v>185547747360</v>
      </c>
      <c r="L2580" s="8">
        <v>169543503349</v>
      </c>
      <c r="M2580" s="8">
        <v>13065129000</v>
      </c>
      <c r="N2580" s="8">
        <v>11349506000</v>
      </c>
      <c r="O2580" s="8">
        <v>11349506000</v>
      </c>
      <c r="P2580" s="8">
        <v>11349506000</v>
      </c>
      <c r="Q2580" s="18">
        <f>(Table1[[#This Row],[A. TÀI SẢN NGẮN HẠN]]-Table1[[#This Row],[I. Nợ ngắn hạn]])/Table1[[#This Row],[TỔNG CỘNG TÀI SẢN]]</f>
        <v>-1.26982858009629E-2</v>
      </c>
      <c r="R2580" s="18">
        <f>Table1[[#This Row],[- LNST chưa phân phối kỳ này]]/Table1[[#This Row],[TỔNG CỘNG TÀI SẢN]]</f>
        <v>5.6973271994593922E-4</v>
      </c>
      <c r="S2580" s="21">
        <f>Table1[[#This Row],[5. Lợi nhuận gộp về bán hàng và cung cấp dịch vụ]]/Table1[[#This Row],[TỔNG CỘNG TÀI SẢN]]</f>
        <v>6.1312742586511648E-2</v>
      </c>
      <c r="T258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6.3479141717347337E-2</v>
      </c>
      <c r="U2580" s="23">
        <f>Table1[[#This Row],[1. Doanh thu bán hàng và cung cấp dịch vụ ]]/Table1[[#This Row],[TỔNG CỘNG TÀI SẢN]]</f>
        <v>0.75108696745174786</v>
      </c>
      <c r="V2580" s="23">
        <f>1.2*Table1[[#This Row],[X1]] + 1.4*Table1[[#This Row],[X2]] + 3.3*Table1[[#This Row],[x3]] + 0.6*Table1[[#This Row],[x4]] + 1*Table1[[#This Row],[x5]]</f>
        <v>0.97706618586441352</v>
      </c>
      <c r="W2580" s="23">
        <f>IF(Table1[[#This Row],[Zscore]]&lt;1.81,1,0)</f>
        <v>1</v>
      </c>
    </row>
    <row r="2581" spans="1:23" x14ac:dyDescent="0.45">
      <c r="A2581" s="7">
        <v>2575</v>
      </c>
      <c r="B2581" s="5" t="s">
        <v>5158</v>
      </c>
      <c r="C2581" s="6" t="s">
        <v>5159</v>
      </c>
      <c r="D2581" s="6" t="s">
        <v>36</v>
      </c>
      <c r="E2581" s="8">
        <v>60654474544</v>
      </c>
      <c r="F2581" s="8">
        <v>51623109530</v>
      </c>
      <c r="G2581" s="8">
        <v>47683931374</v>
      </c>
      <c r="H2581" s="8">
        <v>79738773</v>
      </c>
      <c r="I2581" s="8">
        <v>2967272414</v>
      </c>
      <c r="J2581" s="8"/>
      <c r="K2581" s="8">
        <v>50670598344</v>
      </c>
      <c r="L2581" s="8">
        <v>59647587227</v>
      </c>
      <c r="M2581" s="8">
        <v>266663200000</v>
      </c>
      <c r="N2581" s="8">
        <v>267280000000</v>
      </c>
      <c r="O2581" s="8">
        <v>266663200000</v>
      </c>
      <c r="P2581" s="8">
        <v>266663200000</v>
      </c>
      <c r="Q2581" s="18">
        <f>(Table1[[#This Row],[A. TÀI SẢN NGẮN HẠN]]-Table1[[#This Row],[I. Nợ ngắn hạn]])/Table1[[#This Row],[TỔNG CỘNG TÀI SẢN]]</f>
        <v>6.4944559912763558E-2</v>
      </c>
      <c r="R2581" s="18">
        <f>Table1[[#This Row],[- LNST chưa phân phối kỳ này]]/Table1[[#This Row],[TỔNG CỘNG TÀI SẢN]]</f>
        <v>1.314639580995065E-3</v>
      </c>
      <c r="S2581" s="21">
        <f>Table1[[#This Row],[5. Lợi nhuận gộp về bán hàng và cung cấp dịch vụ]]/Table1[[#This Row],[TỔNG CỘNG TÀI SẢN]]</f>
        <v>4.8920915337375144E-2</v>
      </c>
      <c r="T258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5.265724280352698</v>
      </c>
      <c r="U2581" s="23">
        <f>Table1[[#This Row],[1. Doanh thu bán hàng và cung cấp dịch vụ ]]/Table1[[#This Row],[TỔNG CỘNG TÀI SẢN]]</f>
        <v>0.98339962015053672</v>
      </c>
      <c r="V2581" s="23">
        <f>1.2*Table1[[#This Row],[X1]] + 1.4*Table1[[#This Row],[X2]] + 3.3*Table1[[#This Row],[x3]] + 0.6*Table1[[#This Row],[x4]] + 1*Table1[[#This Row],[x5]]</f>
        <v>4.384047176284203</v>
      </c>
      <c r="W2581" s="23">
        <f>IF(Table1[[#This Row],[Zscore]]&lt;1.81,1,0)</f>
        <v>0</v>
      </c>
    </row>
    <row r="2582" spans="1:23" hidden="1" x14ac:dyDescent="0.45">
      <c r="A2582" s="7">
        <v>2576</v>
      </c>
      <c r="B2582" s="5" t="s">
        <v>5160</v>
      </c>
      <c r="C2582" s="6" t="s">
        <v>5161</v>
      </c>
      <c r="D2582" s="6" t="s">
        <v>18</v>
      </c>
      <c r="E2582" s="6"/>
      <c r="F2582" s="6"/>
      <c r="G2582" s="6"/>
      <c r="H2582" s="6"/>
      <c r="I2582" s="6"/>
      <c r="J2582" s="8"/>
      <c r="K2582" s="6"/>
      <c r="L2582" s="6"/>
      <c r="M2582" s="8">
        <v>7920000000</v>
      </c>
      <c r="N2582" s="8"/>
      <c r="O2582" s="8"/>
      <c r="P2582" s="8"/>
      <c r="Q2582" s="18" t="e">
        <f>(Table1[[#This Row],[A. TÀI SẢN NGẮN HẠN]]-Table1[[#This Row],[I. Nợ ngắn hạn]])/Table1[[#This Row],[TỔNG CỘNG TÀI SẢN]]</f>
        <v>#DIV/0!</v>
      </c>
      <c r="R2582" s="18" t="e">
        <f>Table1[[#This Row],[- LNST chưa phân phối kỳ này]]/Table1[[#This Row],[TỔNG CỘNG TÀI SẢN]]</f>
        <v>#DIV/0!</v>
      </c>
      <c r="S2582" s="21" t="e">
        <f>Table1[[#This Row],[5. Lợi nhuận gộp về bán hàng và cung cấp dịch vụ]]/Table1[[#This Row],[TỔNG CỘNG TÀI SẢN]]</f>
        <v>#DIV/0!</v>
      </c>
      <c r="T258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582" s="23" t="e">
        <f>Table1[[#This Row],[1. Doanh thu bán hàng và cung cấp dịch vụ ]]/Table1[[#This Row],[TỔNG CỘNG TÀI SẢN]]</f>
        <v>#DIV/0!</v>
      </c>
      <c r="V2582" s="23" t="e">
        <f>1.2*Table1[[#This Row],[X1]] + 1.4*Table1[[#This Row],[X2]] + 3.3*Table1[[#This Row],[x3]] + 0.6*Table1[[#This Row],[x4]] + 1*Table1[[#This Row],[x5]]</f>
        <v>#DIV/0!</v>
      </c>
      <c r="W2582" s="23" t="e">
        <f>IF(Table1[[#This Row],[Zscore]]&lt;1.81,1,0)</f>
        <v>#DIV/0!</v>
      </c>
    </row>
    <row r="2583" spans="1:23" ht="26.25" x14ac:dyDescent="0.45">
      <c r="A2583" s="7">
        <v>2577</v>
      </c>
      <c r="B2583" s="5" t="s">
        <v>5162</v>
      </c>
      <c r="C2583" s="6" t="s">
        <v>5163</v>
      </c>
      <c r="D2583" s="6" t="s">
        <v>18</v>
      </c>
      <c r="E2583" s="8">
        <v>16932852636</v>
      </c>
      <c r="F2583" s="8">
        <v>14548191992</v>
      </c>
      <c r="G2583" s="8">
        <v>4615981435</v>
      </c>
      <c r="H2583" s="8">
        <v>2826670271</v>
      </c>
      <c r="I2583" s="8">
        <v>60665430</v>
      </c>
      <c r="J2583" s="8"/>
      <c r="K2583" s="8">
        <v>4834031435</v>
      </c>
      <c r="L2583" s="8">
        <v>246214833</v>
      </c>
      <c r="M2583" s="8">
        <v>26299587300</v>
      </c>
      <c r="N2583" s="8">
        <v>46892090700</v>
      </c>
      <c r="O2583" s="8">
        <v>33666116400</v>
      </c>
      <c r="P2583" s="8">
        <v>52903897200</v>
      </c>
      <c r="Q2583" s="18">
        <f>(Table1[[#This Row],[A. TÀI SẢN NGẮN HẠN]]-Table1[[#This Row],[I. Nợ ngắn hạn]])/Table1[[#This Row],[TỔNG CỘNG TÀI SẢN]]</f>
        <v>0.58656451872047111</v>
      </c>
      <c r="R2583" s="18">
        <f>Table1[[#This Row],[- LNST chưa phân phối kỳ này]]/Table1[[#This Row],[TỔNG CỘNG TÀI SẢN]]</f>
        <v>0.16693408557695547</v>
      </c>
      <c r="S2583" s="21">
        <f>Table1[[#This Row],[5. Lợi nhuận gộp về bán hàng và cung cấp dịch vụ]]/Table1[[#This Row],[TỔNG CỘNG TÀI SẢN]]</f>
        <v>3.5827058384139358E-3</v>
      </c>
      <c r="T258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8.2623424024134415</v>
      </c>
      <c r="U2583" s="23">
        <f>Table1[[#This Row],[1. Doanh thu bán hàng và cung cấp dịch vụ ]]/Table1[[#This Row],[TỔNG CỘNG TÀI SẢN]]</f>
        <v>1.4540658818262924E-2</v>
      </c>
      <c r="V2583" s="23">
        <f>1.2*Table1[[#This Row],[X1]] + 1.4*Table1[[#This Row],[X2]] + 3.3*Table1[[#This Row],[x3]] + 0.6*Table1[[#This Row],[x4]] + 1*Table1[[#This Row],[x5]]</f>
        <v>5.9213541718053966</v>
      </c>
      <c r="W2583" s="23">
        <f>IF(Table1[[#This Row],[Zscore]]&lt;1.81,1,0)</f>
        <v>0</v>
      </c>
    </row>
    <row r="2584" spans="1:23" ht="26.25" x14ac:dyDescent="0.45">
      <c r="A2584" s="7">
        <v>2578</v>
      </c>
      <c r="B2584" s="5" t="s">
        <v>5164</v>
      </c>
      <c r="C2584" s="6" t="s">
        <v>5165</v>
      </c>
      <c r="D2584" s="6" t="s">
        <v>18</v>
      </c>
      <c r="E2584" s="8">
        <v>28541992809584</v>
      </c>
      <c r="F2584" s="8">
        <v>19753918458616</v>
      </c>
      <c r="G2584" s="8">
        <v>1274217558340</v>
      </c>
      <c r="H2584" s="8">
        <v>7324715705781</v>
      </c>
      <c r="I2584" s="8">
        <v>683528471156</v>
      </c>
      <c r="J2584" s="8"/>
      <c r="K2584" s="8">
        <v>1325282572569</v>
      </c>
      <c r="L2584" s="8">
        <v>4473941251543</v>
      </c>
      <c r="M2584" s="8">
        <v>53550640000000</v>
      </c>
      <c r="N2584" s="8">
        <v>45444960000000</v>
      </c>
      <c r="O2584" s="8">
        <v>52221840000000</v>
      </c>
      <c r="P2584" s="8">
        <v>52221840000000</v>
      </c>
      <c r="Q2584" s="18">
        <f>(Table1[[#This Row],[A. TÀI SẢN NGẮN HẠN]]-Table1[[#This Row],[I. Nợ ngắn hạn]])/Table1[[#This Row],[TỔNG CỘNG TÀI SẢN]]</f>
        <v>0.64745657472349916</v>
      </c>
      <c r="R2584" s="18">
        <f>Table1[[#This Row],[- LNST chưa phân phối kỳ này]]/Table1[[#This Row],[TỔNG CỘNG TÀI SẢN]]</f>
        <v>0.25662944261276188</v>
      </c>
      <c r="S2584" s="21">
        <f>Table1[[#This Row],[5. Lợi nhuận gộp về bán hàng và cung cấp dịch vụ]]/Table1[[#This Row],[TỔNG CỘNG TÀI SẢN]]</f>
        <v>2.3948169131570964E-2</v>
      </c>
      <c r="T258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38.376585531801382</v>
      </c>
      <c r="U2584" s="23">
        <f>Table1[[#This Row],[1. Doanh thu bán hàng và cung cấp dịch vụ ]]/Table1[[#This Row],[TỔNG CỘNG TÀI SẢN]]</f>
        <v>0.15674943517050827</v>
      </c>
      <c r="V2584" s="23">
        <f>1.2*Table1[[#This Row],[X1]] + 1.4*Table1[[#This Row],[X2]] + 3.3*Table1[[#This Row],[x3]] + 0.6*Table1[[#This Row],[x4]] + 1*Table1[[#This Row],[x5]]</f>
        <v>24.397958821711587</v>
      </c>
      <c r="W2584" s="23">
        <f>IF(Table1[[#This Row],[Zscore]]&lt;1.81,1,0)</f>
        <v>0</v>
      </c>
    </row>
    <row r="2585" spans="1:23" ht="26.25" x14ac:dyDescent="0.45">
      <c r="A2585" s="7">
        <v>2579</v>
      </c>
      <c r="B2585" s="5" t="s">
        <v>5166</v>
      </c>
      <c r="C2585" s="6" t="s">
        <v>5167</v>
      </c>
      <c r="D2585" s="6" t="s">
        <v>18</v>
      </c>
      <c r="E2585" s="8">
        <v>821470462848</v>
      </c>
      <c r="F2585" s="8">
        <v>627069568624</v>
      </c>
      <c r="G2585" s="8">
        <v>126631300744</v>
      </c>
      <c r="H2585" s="8">
        <v>69079006841</v>
      </c>
      <c r="I2585" s="8">
        <v>101882953001</v>
      </c>
      <c r="J2585" s="8"/>
      <c r="K2585" s="8">
        <v>205415794514</v>
      </c>
      <c r="L2585" s="8">
        <v>390610026144</v>
      </c>
      <c r="M2585" s="8">
        <v>367920000000</v>
      </c>
      <c r="N2585" s="8">
        <v>2338920000000</v>
      </c>
      <c r="O2585" s="8">
        <v>521220000000</v>
      </c>
      <c r="P2585" s="8">
        <v>630720000000</v>
      </c>
      <c r="Q2585" s="18">
        <f>(Table1[[#This Row],[A. TÀI SẢN NGẮN HẠN]]-Table1[[#This Row],[I. Nợ ngắn hạn]])/Table1[[#This Row],[TỔNG CỘNG TÀI SẢN]]</f>
        <v>0.60919812764174597</v>
      </c>
      <c r="R2585" s="18">
        <f>Table1[[#This Row],[- LNST chưa phân phối kỳ này]]/Table1[[#This Row],[TỔNG CỘNG TÀI SẢN]]</f>
        <v>8.4091893701821352E-2</v>
      </c>
      <c r="S2585" s="21">
        <f>Table1[[#This Row],[5. Lợi nhuận gộp về bán hàng và cung cấp dịch vụ]]/Table1[[#This Row],[TỔNG CỘNG TÀI SẢN]]</f>
        <v>0.12402509598187685</v>
      </c>
      <c r="T258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4.6963039151025541</v>
      </c>
      <c r="U2585" s="23">
        <f>Table1[[#This Row],[1. Doanh thu bán hàng và cung cấp dịch vụ ]]/Table1[[#This Row],[TỔNG CỘNG TÀI SẢN]]</f>
        <v>0.47550099950005892</v>
      </c>
      <c r="V2585" s="23">
        <f>1.2*Table1[[#This Row],[X1]] + 1.4*Table1[[#This Row],[X2]] + 3.3*Table1[[#This Row],[x3]] + 0.6*Table1[[#This Row],[x4]] + 1*Table1[[#This Row],[x5]]</f>
        <v>4.5513325696544298</v>
      </c>
      <c r="W2585" s="23">
        <f>IF(Table1[[#This Row],[Zscore]]&lt;1.81,1,0)</f>
        <v>0</v>
      </c>
    </row>
    <row r="2586" spans="1:23" ht="26.25" hidden="1" x14ac:dyDescent="0.45">
      <c r="A2586" s="7">
        <v>2580</v>
      </c>
      <c r="B2586" s="5" t="s">
        <v>5168</v>
      </c>
      <c r="C2586" s="6" t="s">
        <v>5169</v>
      </c>
      <c r="D2586" s="6" t="s">
        <v>13</v>
      </c>
      <c r="E2586" s="6"/>
      <c r="F2586" s="6"/>
      <c r="G2586" s="6"/>
      <c r="H2586" s="6"/>
      <c r="I2586" s="6"/>
      <c r="J2586" s="8"/>
      <c r="K2586" s="6"/>
      <c r="L2586" s="6"/>
      <c r="M2586" s="8"/>
      <c r="N2586" s="8"/>
      <c r="O2586" s="8"/>
      <c r="P2586" s="8"/>
      <c r="Q2586" s="18" t="e">
        <f>(Table1[[#This Row],[A. TÀI SẢN NGẮN HẠN]]-Table1[[#This Row],[I. Nợ ngắn hạn]])/Table1[[#This Row],[TỔNG CỘNG TÀI SẢN]]</f>
        <v>#DIV/0!</v>
      </c>
      <c r="R2586" s="18" t="e">
        <f>Table1[[#This Row],[- LNST chưa phân phối kỳ này]]/Table1[[#This Row],[TỔNG CỘNG TÀI SẢN]]</f>
        <v>#DIV/0!</v>
      </c>
      <c r="S2586" s="21" t="e">
        <f>Table1[[#This Row],[5. Lợi nhuận gộp về bán hàng và cung cấp dịch vụ]]/Table1[[#This Row],[TỔNG CỘNG TÀI SẢN]]</f>
        <v>#DIV/0!</v>
      </c>
      <c r="T258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586" s="23" t="e">
        <f>Table1[[#This Row],[1. Doanh thu bán hàng và cung cấp dịch vụ ]]/Table1[[#This Row],[TỔNG CỘNG TÀI SẢN]]</f>
        <v>#DIV/0!</v>
      </c>
      <c r="V2586" s="23" t="e">
        <f>1.2*Table1[[#This Row],[X1]] + 1.4*Table1[[#This Row],[X2]] + 3.3*Table1[[#This Row],[x3]] + 0.6*Table1[[#This Row],[x4]] + 1*Table1[[#This Row],[x5]]</f>
        <v>#DIV/0!</v>
      </c>
      <c r="W2586" s="23" t="e">
        <f>IF(Table1[[#This Row],[Zscore]]&lt;1.81,1,0)</f>
        <v>#DIV/0!</v>
      </c>
    </row>
    <row r="2587" spans="1:23" hidden="1" x14ac:dyDescent="0.45">
      <c r="A2587" s="7">
        <v>2581</v>
      </c>
      <c r="B2587" s="5" t="s">
        <v>5170</v>
      </c>
      <c r="C2587" s="6" t="s">
        <v>5171</v>
      </c>
      <c r="D2587" s="6" t="s">
        <v>13</v>
      </c>
      <c r="E2587" s="6"/>
      <c r="F2587" s="6"/>
      <c r="G2587" s="6"/>
      <c r="H2587" s="6"/>
      <c r="I2587" s="6"/>
      <c r="J2587" s="8"/>
      <c r="K2587" s="6"/>
      <c r="L2587" s="6"/>
      <c r="M2587" s="8"/>
      <c r="N2587" s="8"/>
      <c r="O2587" s="8"/>
      <c r="P2587" s="8"/>
      <c r="Q2587" s="18" t="e">
        <f>(Table1[[#This Row],[A. TÀI SẢN NGẮN HẠN]]-Table1[[#This Row],[I. Nợ ngắn hạn]])/Table1[[#This Row],[TỔNG CỘNG TÀI SẢN]]</f>
        <v>#DIV/0!</v>
      </c>
      <c r="R2587" s="18" t="e">
        <f>Table1[[#This Row],[- LNST chưa phân phối kỳ này]]/Table1[[#This Row],[TỔNG CỘNG TÀI SẢN]]</f>
        <v>#DIV/0!</v>
      </c>
      <c r="S2587" s="21" t="e">
        <f>Table1[[#This Row],[5. Lợi nhuận gộp về bán hàng và cung cấp dịch vụ]]/Table1[[#This Row],[TỔNG CỘNG TÀI SẢN]]</f>
        <v>#DIV/0!</v>
      </c>
      <c r="T258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587" s="23" t="e">
        <f>Table1[[#This Row],[1. Doanh thu bán hàng và cung cấp dịch vụ ]]/Table1[[#This Row],[TỔNG CỘNG TÀI SẢN]]</f>
        <v>#DIV/0!</v>
      </c>
      <c r="V2587" s="23" t="e">
        <f>1.2*Table1[[#This Row],[X1]] + 1.4*Table1[[#This Row],[X2]] + 3.3*Table1[[#This Row],[x3]] + 0.6*Table1[[#This Row],[x4]] + 1*Table1[[#This Row],[x5]]</f>
        <v>#DIV/0!</v>
      </c>
      <c r="W2587" s="23" t="e">
        <f>IF(Table1[[#This Row],[Zscore]]&lt;1.81,1,0)</f>
        <v>#DIV/0!</v>
      </c>
    </row>
    <row r="2588" spans="1:23" ht="26.25" x14ac:dyDescent="0.45">
      <c r="A2588" s="7">
        <v>2582</v>
      </c>
      <c r="B2588" s="5" t="s">
        <v>5172</v>
      </c>
      <c r="C2588" s="6" t="s">
        <v>5173</v>
      </c>
      <c r="D2588" s="6" t="s">
        <v>18</v>
      </c>
      <c r="E2588" s="8">
        <v>22556108000000</v>
      </c>
      <c r="F2588" s="8">
        <v>10370100000000</v>
      </c>
      <c r="G2588" s="8">
        <v>7912197000000</v>
      </c>
      <c r="H2588" s="8">
        <v>4906961000000</v>
      </c>
      <c r="I2588" s="8">
        <v>16795444000000</v>
      </c>
      <c r="J2588" s="8"/>
      <c r="K2588" s="8">
        <v>15880002000000</v>
      </c>
      <c r="L2588" s="8">
        <v>44724577000000</v>
      </c>
      <c r="M2588" s="8">
        <v>30138129945000</v>
      </c>
      <c r="N2588" s="8">
        <v>21858057760000</v>
      </c>
      <c r="O2588" s="8">
        <v>30204770365000</v>
      </c>
      <c r="P2588" s="8">
        <v>30571292675000</v>
      </c>
      <c r="Q2588" s="18">
        <f>(Table1[[#This Row],[A. TÀI SẢN NGẮN HẠN]]-Table1[[#This Row],[I. Nợ ngắn hạn]])/Table1[[#This Row],[TỔNG CỘNG TÀI SẢN]]</f>
        <v>0.10896840004490137</v>
      </c>
      <c r="R2588" s="18">
        <f>Table1[[#This Row],[- LNST chưa phân phối kỳ này]]/Table1[[#This Row],[TỔNG CỘNG TÀI SẢN]]</f>
        <v>0.21754466683702703</v>
      </c>
      <c r="S2588" s="21">
        <f>Table1[[#This Row],[5. Lợi nhuận gộp về bán hàng và cung cấp dịch vụ]]/Table1[[#This Row],[TỔNG CỘNG TÀI SẢN]]</f>
        <v>0.74460735868085048</v>
      </c>
      <c r="T258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1.7753815576503076</v>
      </c>
      <c r="U2588" s="23">
        <f>Table1[[#This Row],[1. Doanh thu bán hàng và cung cấp dịch vụ ]]/Table1[[#This Row],[TỔNG CỘNG TÀI SẢN]]</f>
        <v>1.9828144554016145</v>
      </c>
      <c r="V2588" s="23">
        <f>1.2*Table1[[#This Row],[X1]] + 1.4*Table1[[#This Row],[X2]] + 3.3*Table1[[#This Row],[x3]] + 0.6*Table1[[#This Row],[x4]] + 1*Table1[[#This Row],[x5]]</f>
        <v>5.9405722872643247</v>
      </c>
      <c r="W2588" s="23">
        <f>IF(Table1[[#This Row],[Zscore]]&lt;1.81,1,0)</f>
        <v>0</v>
      </c>
    </row>
    <row r="2589" spans="1:23" ht="26.25" hidden="1" x14ac:dyDescent="0.45">
      <c r="A2589" s="7">
        <v>2583</v>
      </c>
      <c r="B2589" s="5" t="s">
        <v>5174</v>
      </c>
      <c r="C2589" s="6" t="s">
        <v>5175</v>
      </c>
      <c r="D2589" s="6" t="s">
        <v>13</v>
      </c>
      <c r="E2589" s="6"/>
      <c r="F2589" s="6"/>
      <c r="G2589" s="6"/>
      <c r="H2589" s="6"/>
      <c r="I2589" s="6"/>
      <c r="J2589" s="8"/>
      <c r="K2589" s="6"/>
      <c r="L2589" s="6"/>
      <c r="M2589" s="8"/>
      <c r="N2589" s="8"/>
      <c r="O2589" s="8"/>
      <c r="P2589" s="8"/>
      <c r="Q2589" s="18" t="e">
        <f>(Table1[[#This Row],[A. TÀI SẢN NGẮN HẠN]]-Table1[[#This Row],[I. Nợ ngắn hạn]])/Table1[[#This Row],[TỔNG CỘNG TÀI SẢN]]</f>
        <v>#DIV/0!</v>
      </c>
      <c r="R2589" s="18" t="e">
        <f>Table1[[#This Row],[- LNST chưa phân phối kỳ này]]/Table1[[#This Row],[TỔNG CỘNG TÀI SẢN]]</f>
        <v>#DIV/0!</v>
      </c>
      <c r="S2589" s="21" t="e">
        <f>Table1[[#This Row],[5. Lợi nhuận gộp về bán hàng và cung cấp dịch vụ]]/Table1[[#This Row],[TỔNG CỘNG TÀI SẢN]]</f>
        <v>#DIV/0!</v>
      </c>
      <c r="T258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589" s="23" t="e">
        <f>Table1[[#This Row],[1. Doanh thu bán hàng và cung cấp dịch vụ ]]/Table1[[#This Row],[TỔNG CỘNG TÀI SẢN]]</f>
        <v>#DIV/0!</v>
      </c>
      <c r="V2589" s="23" t="e">
        <f>1.2*Table1[[#This Row],[X1]] + 1.4*Table1[[#This Row],[X2]] + 3.3*Table1[[#This Row],[x3]] + 0.6*Table1[[#This Row],[x4]] + 1*Table1[[#This Row],[x5]]</f>
        <v>#DIV/0!</v>
      </c>
      <c r="W2589" s="23" t="e">
        <f>IF(Table1[[#This Row],[Zscore]]&lt;1.81,1,0)</f>
        <v>#DIV/0!</v>
      </c>
    </row>
    <row r="2590" spans="1:23" hidden="1" x14ac:dyDescent="0.45">
      <c r="A2590" s="7">
        <v>2584</v>
      </c>
      <c r="B2590" s="5" t="s">
        <v>5176</v>
      </c>
      <c r="C2590" s="6" t="s">
        <v>5177</v>
      </c>
      <c r="D2590" s="6" t="s">
        <v>13</v>
      </c>
      <c r="E2590" s="6"/>
      <c r="F2590" s="6"/>
      <c r="G2590" s="6"/>
      <c r="H2590" s="6"/>
      <c r="I2590" s="6"/>
      <c r="J2590" s="8"/>
      <c r="K2590" s="6"/>
      <c r="L2590" s="6"/>
      <c r="M2590" s="8"/>
      <c r="N2590" s="8"/>
      <c r="O2590" s="8"/>
      <c r="P2590" s="8"/>
      <c r="Q2590" s="18" t="e">
        <f>(Table1[[#This Row],[A. TÀI SẢN NGẮN HẠN]]-Table1[[#This Row],[I. Nợ ngắn hạn]])/Table1[[#This Row],[TỔNG CỘNG TÀI SẢN]]</f>
        <v>#DIV/0!</v>
      </c>
      <c r="R2590" s="18" t="e">
        <f>Table1[[#This Row],[- LNST chưa phân phối kỳ này]]/Table1[[#This Row],[TỔNG CỘNG TÀI SẢN]]</f>
        <v>#DIV/0!</v>
      </c>
      <c r="S2590" s="21" t="e">
        <f>Table1[[#This Row],[5. Lợi nhuận gộp về bán hàng và cung cấp dịch vụ]]/Table1[[#This Row],[TỔNG CỘNG TÀI SẢN]]</f>
        <v>#DIV/0!</v>
      </c>
      <c r="T259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590" s="23" t="e">
        <f>Table1[[#This Row],[1. Doanh thu bán hàng và cung cấp dịch vụ ]]/Table1[[#This Row],[TỔNG CỘNG TÀI SẢN]]</f>
        <v>#DIV/0!</v>
      </c>
      <c r="V2590" s="23" t="e">
        <f>1.2*Table1[[#This Row],[X1]] + 1.4*Table1[[#This Row],[X2]] + 3.3*Table1[[#This Row],[x3]] + 0.6*Table1[[#This Row],[x4]] + 1*Table1[[#This Row],[x5]]</f>
        <v>#DIV/0!</v>
      </c>
      <c r="W2590" s="23" t="e">
        <f>IF(Table1[[#This Row],[Zscore]]&lt;1.81,1,0)</f>
        <v>#DIV/0!</v>
      </c>
    </row>
    <row r="2591" spans="1:23" ht="26.25" hidden="1" x14ac:dyDescent="0.45">
      <c r="A2591" s="7">
        <v>2585</v>
      </c>
      <c r="B2591" s="5" t="s">
        <v>5178</v>
      </c>
      <c r="C2591" s="6" t="s">
        <v>5179</v>
      </c>
      <c r="D2591" s="6" t="s">
        <v>13</v>
      </c>
      <c r="E2591" s="6"/>
      <c r="F2591" s="6"/>
      <c r="G2591" s="6"/>
      <c r="H2591" s="6"/>
      <c r="I2591" s="6"/>
      <c r="J2591" s="8"/>
      <c r="K2591" s="6"/>
      <c r="L2591" s="6"/>
      <c r="M2591" s="8"/>
      <c r="N2591" s="8"/>
      <c r="O2591" s="8"/>
      <c r="P2591" s="8"/>
      <c r="Q2591" s="18" t="e">
        <f>(Table1[[#This Row],[A. TÀI SẢN NGẮN HẠN]]-Table1[[#This Row],[I. Nợ ngắn hạn]])/Table1[[#This Row],[TỔNG CỘNG TÀI SẢN]]</f>
        <v>#DIV/0!</v>
      </c>
      <c r="R2591" s="18" t="e">
        <f>Table1[[#This Row],[- LNST chưa phân phối kỳ này]]/Table1[[#This Row],[TỔNG CỘNG TÀI SẢN]]</f>
        <v>#DIV/0!</v>
      </c>
      <c r="S2591" s="21" t="e">
        <f>Table1[[#This Row],[5. Lợi nhuận gộp về bán hàng và cung cấp dịch vụ]]/Table1[[#This Row],[TỔNG CỘNG TÀI SẢN]]</f>
        <v>#DIV/0!</v>
      </c>
      <c r="T259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591" s="23" t="e">
        <f>Table1[[#This Row],[1. Doanh thu bán hàng và cung cấp dịch vụ ]]/Table1[[#This Row],[TỔNG CỘNG TÀI SẢN]]</f>
        <v>#DIV/0!</v>
      </c>
      <c r="V2591" s="23" t="e">
        <f>1.2*Table1[[#This Row],[X1]] + 1.4*Table1[[#This Row],[X2]] + 3.3*Table1[[#This Row],[x3]] + 0.6*Table1[[#This Row],[x4]] + 1*Table1[[#This Row],[x5]]</f>
        <v>#DIV/0!</v>
      </c>
      <c r="W2591" s="23" t="e">
        <f>IF(Table1[[#This Row],[Zscore]]&lt;1.81,1,0)</f>
        <v>#DIV/0!</v>
      </c>
    </row>
    <row r="2592" spans="1:23" ht="26.25" hidden="1" x14ac:dyDescent="0.45">
      <c r="A2592" s="7">
        <v>2586</v>
      </c>
      <c r="B2592" s="5" t="s">
        <v>5180</v>
      </c>
      <c r="C2592" s="6" t="s">
        <v>5181</v>
      </c>
      <c r="D2592" s="6" t="s">
        <v>13</v>
      </c>
      <c r="E2592" s="6"/>
      <c r="F2592" s="6"/>
      <c r="G2592" s="6"/>
      <c r="H2592" s="6"/>
      <c r="I2592" s="6"/>
      <c r="J2592" s="8"/>
      <c r="K2592" s="6"/>
      <c r="L2592" s="6"/>
      <c r="M2592" s="8"/>
      <c r="N2592" s="8"/>
      <c r="O2592" s="8"/>
      <c r="P2592" s="8"/>
      <c r="Q2592" s="18" t="e">
        <f>(Table1[[#This Row],[A. TÀI SẢN NGẮN HẠN]]-Table1[[#This Row],[I. Nợ ngắn hạn]])/Table1[[#This Row],[TỔNG CỘNG TÀI SẢN]]</f>
        <v>#DIV/0!</v>
      </c>
      <c r="R2592" s="18" t="e">
        <f>Table1[[#This Row],[- LNST chưa phân phối kỳ này]]/Table1[[#This Row],[TỔNG CỘNG TÀI SẢN]]</f>
        <v>#DIV/0!</v>
      </c>
      <c r="S2592" s="21" t="e">
        <f>Table1[[#This Row],[5. Lợi nhuận gộp về bán hàng và cung cấp dịch vụ]]/Table1[[#This Row],[TỔNG CỘNG TÀI SẢN]]</f>
        <v>#DIV/0!</v>
      </c>
      <c r="T259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592" s="23" t="e">
        <f>Table1[[#This Row],[1. Doanh thu bán hàng và cung cấp dịch vụ ]]/Table1[[#This Row],[TỔNG CỘNG TÀI SẢN]]</f>
        <v>#DIV/0!</v>
      </c>
      <c r="V2592" s="23" t="e">
        <f>1.2*Table1[[#This Row],[X1]] + 1.4*Table1[[#This Row],[X2]] + 3.3*Table1[[#This Row],[x3]] + 0.6*Table1[[#This Row],[x4]] + 1*Table1[[#This Row],[x5]]</f>
        <v>#DIV/0!</v>
      </c>
      <c r="W2592" s="23" t="e">
        <f>IF(Table1[[#This Row],[Zscore]]&lt;1.81,1,0)</f>
        <v>#DIV/0!</v>
      </c>
    </row>
    <row r="2593" spans="1:23" ht="26.25" hidden="1" x14ac:dyDescent="0.45">
      <c r="A2593" s="7">
        <v>2587</v>
      </c>
      <c r="B2593" s="5" t="s">
        <v>5182</v>
      </c>
      <c r="C2593" s="6" t="s">
        <v>5183</v>
      </c>
      <c r="D2593" s="6" t="s">
        <v>18</v>
      </c>
      <c r="E2593" s="6"/>
      <c r="F2593" s="6"/>
      <c r="G2593" s="6"/>
      <c r="H2593" s="6"/>
      <c r="I2593" s="6"/>
      <c r="J2593" s="8"/>
      <c r="K2593" s="6"/>
      <c r="L2593" s="6"/>
      <c r="M2593" s="8"/>
      <c r="N2593" s="8"/>
      <c r="O2593" s="8"/>
      <c r="P2593" s="8"/>
      <c r="Q2593" s="18" t="e">
        <f>(Table1[[#This Row],[A. TÀI SẢN NGẮN HẠN]]-Table1[[#This Row],[I. Nợ ngắn hạn]])/Table1[[#This Row],[TỔNG CỘNG TÀI SẢN]]</f>
        <v>#DIV/0!</v>
      </c>
      <c r="R2593" s="18" t="e">
        <f>Table1[[#This Row],[- LNST chưa phân phối kỳ này]]/Table1[[#This Row],[TỔNG CỘNG TÀI SẢN]]</f>
        <v>#DIV/0!</v>
      </c>
      <c r="S2593" s="21" t="e">
        <f>Table1[[#This Row],[5. Lợi nhuận gộp về bán hàng và cung cấp dịch vụ]]/Table1[[#This Row],[TỔNG CỘNG TÀI SẢN]]</f>
        <v>#DIV/0!</v>
      </c>
      <c r="T259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593" s="23" t="e">
        <f>Table1[[#This Row],[1. Doanh thu bán hàng và cung cấp dịch vụ ]]/Table1[[#This Row],[TỔNG CỘNG TÀI SẢN]]</f>
        <v>#DIV/0!</v>
      </c>
      <c r="V2593" s="23" t="e">
        <f>1.2*Table1[[#This Row],[X1]] + 1.4*Table1[[#This Row],[X2]] + 3.3*Table1[[#This Row],[x3]] + 0.6*Table1[[#This Row],[x4]] + 1*Table1[[#This Row],[x5]]</f>
        <v>#DIV/0!</v>
      </c>
      <c r="W2593" s="23" t="e">
        <f>IF(Table1[[#This Row],[Zscore]]&lt;1.81,1,0)</f>
        <v>#DIV/0!</v>
      </c>
    </row>
    <row r="2594" spans="1:23" ht="26.25" x14ac:dyDescent="0.45">
      <c r="A2594" s="7">
        <v>2588</v>
      </c>
      <c r="B2594" s="5" t="s">
        <v>5184</v>
      </c>
      <c r="C2594" s="6" t="s">
        <v>5185</v>
      </c>
      <c r="D2594" s="6" t="s">
        <v>18</v>
      </c>
      <c r="E2594" s="8">
        <v>789662163933</v>
      </c>
      <c r="F2594" s="8">
        <v>501372758930</v>
      </c>
      <c r="G2594" s="8">
        <v>269306343356</v>
      </c>
      <c r="H2594" s="8">
        <v>18514868699</v>
      </c>
      <c r="I2594" s="8">
        <v>129283384041</v>
      </c>
      <c r="J2594" s="8"/>
      <c r="K2594" s="8">
        <v>470806343356</v>
      </c>
      <c r="L2594" s="8">
        <v>307140329057</v>
      </c>
      <c r="M2594" s="8">
        <v>288000000000</v>
      </c>
      <c r="N2594" s="8">
        <v>265600000000</v>
      </c>
      <c r="O2594" s="8">
        <v>300800000000</v>
      </c>
      <c r="P2594" s="8">
        <v>262400000000</v>
      </c>
      <c r="Q2594" s="18">
        <f>(Table1[[#This Row],[A. TÀI SẢN NGẮN HẠN]]-Table1[[#This Row],[I. Nợ ngắn hạn]])/Table1[[#This Row],[TỔNG CỘNG TÀI SẢN]]</f>
        <v>0.29388063170985357</v>
      </c>
      <c r="R2594" s="18">
        <f>Table1[[#This Row],[- LNST chưa phân phối kỳ này]]/Table1[[#This Row],[TỔNG CỘNG TÀI SẢN]]</f>
        <v>2.3446569361744069E-2</v>
      </c>
      <c r="S2594" s="21">
        <f>Table1[[#This Row],[5. Lợi nhuận gộp về bán hàng và cung cấp dịch vụ]]/Table1[[#This Row],[TỔNG CỘNG TÀI SẢN]]</f>
        <v>0.16371986647693712</v>
      </c>
      <c r="T259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0.5930251449243602</v>
      </c>
      <c r="U2594" s="23">
        <f>Table1[[#This Row],[1. Doanh thu bán hàng và cung cấp dịch vụ ]]/Table1[[#This Row],[TỔNG CỘNG TÀI SẢN]]</f>
        <v>0.38895155812867305</v>
      </c>
      <c r="V2594" s="23">
        <f>1.2*Table1[[#This Row],[X1]] + 1.4*Table1[[#This Row],[X2]] + 3.3*Table1[[#This Row],[x3]] + 0.6*Table1[[#This Row],[x4]] + 1*Table1[[#This Row],[x5]]</f>
        <v>1.6705241596154476</v>
      </c>
      <c r="W2594" s="23">
        <f>IF(Table1[[#This Row],[Zscore]]&lt;1.81,1,0)</f>
        <v>1</v>
      </c>
    </row>
    <row r="2595" spans="1:23" x14ac:dyDescent="0.45">
      <c r="A2595" s="7">
        <v>2589</v>
      </c>
      <c r="B2595" s="5" t="s">
        <v>5186</v>
      </c>
      <c r="C2595" s="6" t="s">
        <v>5187</v>
      </c>
      <c r="D2595" s="6" t="s">
        <v>18</v>
      </c>
      <c r="E2595" s="8">
        <v>1146001382764</v>
      </c>
      <c r="F2595" s="8">
        <v>802186018083</v>
      </c>
      <c r="G2595" s="8">
        <v>394027009023</v>
      </c>
      <c r="H2595" s="8">
        <v>13766692926</v>
      </c>
      <c r="I2595" s="8">
        <v>101617783734</v>
      </c>
      <c r="J2595" s="8"/>
      <c r="K2595" s="8">
        <v>447166528315</v>
      </c>
      <c r="L2595" s="8">
        <v>1354643764581</v>
      </c>
      <c r="M2595" s="8">
        <v>2991393987000</v>
      </c>
      <c r="N2595" s="8">
        <v>3258422376800</v>
      </c>
      <c r="O2595" s="8">
        <v>3623473846400</v>
      </c>
      <c r="P2595" s="8">
        <v>3292223438800</v>
      </c>
      <c r="Q2595" s="18">
        <f>(Table1[[#This Row],[A. TÀI SẢN NGẮN HẠN]]-Table1[[#This Row],[I. Nợ ngắn hạn]])/Table1[[#This Row],[TỔNG CỘNG TÀI SẢN]]</f>
        <v>0.35615926402774123</v>
      </c>
      <c r="R2595" s="18">
        <f>Table1[[#This Row],[- LNST chưa phân phối kỳ này]]/Table1[[#This Row],[TỔNG CỘNG TÀI SẢN]]</f>
        <v>1.2012806557699436E-2</v>
      </c>
      <c r="S2595" s="21">
        <f>Table1[[#This Row],[5. Lợi nhuận gộp về bán hàng và cung cấp dịch vụ]]/Table1[[#This Row],[TỔNG CỘNG TÀI SẢN]]</f>
        <v>8.8671606563782396E-2</v>
      </c>
      <c r="T259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7.3605205305783441</v>
      </c>
      <c r="U2595" s="23">
        <f>Table1[[#This Row],[1. Doanh thu bán hàng và cung cấp dịch vụ ]]/Table1[[#This Row],[TỔNG CỘNG TÀI SẢN]]</f>
        <v>1.1820611955229783</v>
      </c>
      <c r="V2595" s="23">
        <f>1.2*Table1[[#This Row],[X1]] + 1.4*Table1[[#This Row],[X2]] + 3.3*Table1[[#This Row],[x3]] + 0.6*Table1[[#This Row],[x4]] + 1*Table1[[#This Row],[x5]]</f>
        <v>6.3351988615445354</v>
      </c>
      <c r="W2595" s="23">
        <f>IF(Table1[[#This Row],[Zscore]]&lt;1.81,1,0)</f>
        <v>0</v>
      </c>
    </row>
    <row r="2596" spans="1:23" x14ac:dyDescent="0.45">
      <c r="A2596" s="7">
        <v>2590</v>
      </c>
      <c r="B2596" s="5" t="s">
        <v>5188</v>
      </c>
      <c r="C2596" s="6" t="s">
        <v>5189</v>
      </c>
      <c r="D2596" s="6" t="s">
        <v>21</v>
      </c>
      <c r="E2596" s="8">
        <v>2419378833084</v>
      </c>
      <c r="F2596" s="8">
        <v>2148500120435</v>
      </c>
      <c r="G2596" s="8">
        <v>688883687394</v>
      </c>
      <c r="H2596" s="8">
        <v>337129053469</v>
      </c>
      <c r="I2596" s="8">
        <v>855696211991</v>
      </c>
      <c r="J2596" s="8"/>
      <c r="K2596" s="8">
        <v>704643409691</v>
      </c>
      <c r="L2596" s="8">
        <v>3669956880043</v>
      </c>
      <c r="M2596" s="8">
        <v>2969938116800</v>
      </c>
      <c r="N2596" s="8">
        <v>2194083496400</v>
      </c>
      <c r="O2596" s="8">
        <v>2698806125800</v>
      </c>
      <c r="P2596" s="8">
        <v>2402646566400</v>
      </c>
      <c r="Q2596" s="18">
        <f>(Table1[[#This Row],[A. TÀI SẢN NGẮN HẠN]]-Table1[[#This Row],[I. Nợ ngắn hạn]])/Table1[[#This Row],[TỔNG CỘNG TÀI SẢN]]</f>
        <v>0.60330214230254142</v>
      </c>
      <c r="R2596" s="18">
        <f>Table1[[#This Row],[- LNST chưa phân phối kỳ này]]/Table1[[#This Row],[TỔNG CỘNG TÀI SẢN]]</f>
        <v>0.13934529345255911</v>
      </c>
      <c r="S2596" s="21">
        <f>Table1[[#This Row],[5. Lợi nhuận gộp về bán hàng và cung cấp dịch vụ]]/Table1[[#This Row],[TỔNG CỘNG TÀI SẢN]]</f>
        <v>0.35368425989750341</v>
      </c>
      <c r="T259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3.6420812868673575</v>
      </c>
      <c r="U2596" s="23">
        <f>Table1[[#This Row],[1. Doanh thu bán hàng và cung cấp dịch vụ ]]/Table1[[#This Row],[TỔNG CỘNG TÀI SẢN]]</f>
        <v>1.516900466292366</v>
      </c>
      <c r="V2596" s="23">
        <f>1.2*Table1[[#This Row],[X1]] + 1.4*Table1[[#This Row],[X2]] + 3.3*Table1[[#This Row],[x3]] + 0.6*Table1[[#This Row],[x4]] + 1*Table1[[#This Row],[x5]]</f>
        <v>5.7883532776711739</v>
      </c>
      <c r="W2596" s="23">
        <f>IF(Table1[[#This Row],[Zscore]]&lt;1.81,1,0)</f>
        <v>0</v>
      </c>
    </row>
    <row r="2597" spans="1:23" ht="26.25" hidden="1" x14ac:dyDescent="0.45">
      <c r="A2597" s="7">
        <v>2591</v>
      </c>
      <c r="B2597" s="5" t="s">
        <v>5190</v>
      </c>
      <c r="C2597" s="6" t="s">
        <v>5191</v>
      </c>
      <c r="D2597" s="6" t="s">
        <v>13</v>
      </c>
      <c r="E2597" s="6"/>
      <c r="F2597" s="6"/>
      <c r="G2597" s="6"/>
      <c r="H2597" s="6"/>
      <c r="I2597" s="6"/>
      <c r="J2597" s="8"/>
      <c r="K2597" s="6"/>
      <c r="L2597" s="6"/>
      <c r="M2597" s="8"/>
      <c r="N2597" s="8"/>
      <c r="O2597" s="8"/>
      <c r="P2597" s="8"/>
      <c r="Q2597" s="18" t="e">
        <f>(Table1[[#This Row],[A. TÀI SẢN NGẮN HẠN]]-Table1[[#This Row],[I. Nợ ngắn hạn]])/Table1[[#This Row],[TỔNG CỘNG TÀI SẢN]]</f>
        <v>#DIV/0!</v>
      </c>
      <c r="R2597" s="18" t="e">
        <f>Table1[[#This Row],[- LNST chưa phân phối kỳ này]]/Table1[[#This Row],[TỔNG CỘNG TÀI SẢN]]</f>
        <v>#DIV/0!</v>
      </c>
      <c r="S2597" s="21" t="e">
        <f>Table1[[#This Row],[5. Lợi nhuận gộp về bán hàng và cung cấp dịch vụ]]/Table1[[#This Row],[TỔNG CỘNG TÀI SẢN]]</f>
        <v>#DIV/0!</v>
      </c>
      <c r="T259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597" s="23" t="e">
        <f>Table1[[#This Row],[1. Doanh thu bán hàng và cung cấp dịch vụ ]]/Table1[[#This Row],[TỔNG CỘNG TÀI SẢN]]</f>
        <v>#DIV/0!</v>
      </c>
      <c r="V2597" s="23" t="e">
        <f>1.2*Table1[[#This Row],[X1]] + 1.4*Table1[[#This Row],[X2]] + 3.3*Table1[[#This Row],[x3]] + 0.6*Table1[[#This Row],[x4]] + 1*Table1[[#This Row],[x5]]</f>
        <v>#DIV/0!</v>
      </c>
      <c r="W2597" s="23" t="e">
        <f>IF(Table1[[#This Row],[Zscore]]&lt;1.81,1,0)</f>
        <v>#DIV/0!</v>
      </c>
    </row>
    <row r="2598" spans="1:23" hidden="1" x14ac:dyDescent="0.45">
      <c r="A2598" s="7">
        <v>2592</v>
      </c>
      <c r="B2598" s="5" t="s">
        <v>5192</v>
      </c>
      <c r="C2598" s="6" t="s">
        <v>5193</v>
      </c>
      <c r="D2598" s="6" t="s">
        <v>13</v>
      </c>
      <c r="E2598" s="6"/>
      <c r="F2598" s="6"/>
      <c r="G2598" s="6"/>
      <c r="H2598" s="6"/>
      <c r="I2598" s="6"/>
      <c r="J2598" s="8"/>
      <c r="K2598" s="6"/>
      <c r="L2598" s="6"/>
      <c r="M2598" s="8"/>
      <c r="N2598" s="8"/>
      <c r="O2598" s="8"/>
      <c r="P2598" s="8"/>
      <c r="Q2598" s="18" t="e">
        <f>(Table1[[#This Row],[A. TÀI SẢN NGẮN HẠN]]-Table1[[#This Row],[I. Nợ ngắn hạn]])/Table1[[#This Row],[TỔNG CỘNG TÀI SẢN]]</f>
        <v>#DIV/0!</v>
      </c>
      <c r="R2598" s="18" t="e">
        <f>Table1[[#This Row],[- LNST chưa phân phối kỳ này]]/Table1[[#This Row],[TỔNG CỘNG TÀI SẢN]]</f>
        <v>#DIV/0!</v>
      </c>
      <c r="S2598" s="21" t="e">
        <f>Table1[[#This Row],[5. Lợi nhuận gộp về bán hàng và cung cấp dịch vụ]]/Table1[[#This Row],[TỔNG CỘNG TÀI SẢN]]</f>
        <v>#DIV/0!</v>
      </c>
      <c r="T259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598" s="23" t="e">
        <f>Table1[[#This Row],[1. Doanh thu bán hàng và cung cấp dịch vụ ]]/Table1[[#This Row],[TỔNG CỘNG TÀI SẢN]]</f>
        <v>#DIV/0!</v>
      </c>
      <c r="V2598" s="23" t="e">
        <f>1.2*Table1[[#This Row],[X1]] + 1.4*Table1[[#This Row],[X2]] + 3.3*Table1[[#This Row],[x3]] + 0.6*Table1[[#This Row],[x4]] + 1*Table1[[#This Row],[x5]]</f>
        <v>#DIV/0!</v>
      </c>
      <c r="W2598" s="23" t="e">
        <f>IF(Table1[[#This Row],[Zscore]]&lt;1.81,1,0)</f>
        <v>#DIV/0!</v>
      </c>
    </row>
    <row r="2599" spans="1:23" x14ac:dyDescent="0.45">
      <c r="A2599" s="7">
        <v>2593</v>
      </c>
      <c r="B2599" s="5" t="s">
        <v>5194</v>
      </c>
      <c r="C2599" s="6" t="s">
        <v>5195</v>
      </c>
      <c r="D2599" s="6" t="s">
        <v>18</v>
      </c>
      <c r="E2599" s="8">
        <v>373436389973</v>
      </c>
      <c r="F2599" s="8">
        <v>246919619768</v>
      </c>
      <c r="G2599" s="8">
        <v>40392651894</v>
      </c>
      <c r="H2599" s="8">
        <v>23011161290</v>
      </c>
      <c r="I2599" s="8">
        <v>19294318551</v>
      </c>
      <c r="J2599" s="8"/>
      <c r="K2599" s="8">
        <v>47784532739</v>
      </c>
      <c r="L2599" s="8">
        <v>122039288507</v>
      </c>
      <c r="M2599" s="8">
        <v>171000000000</v>
      </c>
      <c r="N2599" s="8">
        <v>153000000000</v>
      </c>
      <c r="O2599" s="8">
        <v>165000000000</v>
      </c>
      <c r="P2599" s="8">
        <v>171000000000</v>
      </c>
      <c r="Q2599" s="18">
        <f>(Table1[[#This Row],[A. TÀI SẢN NGẮN HẠN]]-Table1[[#This Row],[I. Nợ ngắn hạn]])/Table1[[#This Row],[TỔNG CỘNG TÀI SẢN]]</f>
        <v>0.55304457042585542</v>
      </c>
      <c r="R2599" s="18">
        <f>Table1[[#This Row],[- LNST chưa phân phối kỳ này]]/Table1[[#This Row],[TỔNG CỘNG TÀI SẢN]]</f>
        <v>6.1620029295119685E-2</v>
      </c>
      <c r="S2599" s="21">
        <f>Table1[[#This Row],[5. Lợi nhuận gộp về bán hàng và cung cấp dịch vụ]]/Table1[[#This Row],[TỔNG CỘNG TÀI SẢN]]</f>
        <v>5.1666948023986116E-2</v>
      </c>
      <c r="T259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3.4530001768821941</v>
      </c>
      <c r="U2599" s="23">
        <f>Table1[[#This Row],[1. Doanh thu bán hàng và cung cấp dịch vụ ]]/Table1[[#This Row],[TỔNG CỘNG TÀI SẢN]]</f>
        <v>0.32680073978817015</v>
      </c>
      <c r="V2599" s="23">
        <f>1.2*Table1[[#This Row],[X1]] + 1.4*Table1[[#This Row],[X2]] + 3.3*Table1[[#This Row],[x3]] + 0.6*Table1[[#This Row],[x4]] + 1*Table1[[#This Row],[x5]]</f>
        <v>3.3190232999208349</v>
      </c>
      <c r="W2599" s="23">
        <f>IF(Table1[[#This Row],[Zscore]]&lt;1.81,1,0)</f>
        <v>0</v>
      </c>
    </row>
    <row r="2600" spans="1:23" x14ac:dyDescent="0.45">
      <c r="A2600" s="7">
        <v>2594</v>
      </c>
      <c r="B2600" s="5" t="s">
        <v>5196</v>
      </c>
      <c r="C2600" s="6" t="s">
        <v>5197</v>
      </c>
      <c r="D2600" s="6" t="s">
        <v>36</v>
      </c>
      <c r="E2600" s="8">
        <v>4663696866870</v>
      </c>
      <c r="F2600" s="8">
        <v>3827834859322</v>
      </c>
      <c r="G2600" s="8">
        <v>2921038986447</v>
      </c>
      <c r="H2600" s="8">
        <v>39486824571</v>
      </c>
      <c r="I2600" s="8">
        <v>422180829835</v>
      </c>
      <c r="J2600" s="8"/>
      <c r="K2600" s="8">
        <v>2930910692589</v>
      </c>
      <c r="L2600" s="8">
        <v>509076050477</v>
      </c>
      <c r="M2600" s="8">
        <v>1956000000000</v>
      </c>
      <c r="N2600" s="8">
        <v>2141501862600</v>
      </c>
      <c r="O2600" s="8">
        <v>3214076999200</v>
      </c>
      <c r="P2600" s="8">
        <v>2449437713100</v>
      </c>
      <c r="Q2600" s="18">
        <f>(Table1[[#This Row],[A. TÀI SẢN NGẮN HẠN]]-Table1[[#This Row],[I. Nợ ngắn hạn]])/Table1[[#This Row],[TỔNG CỘNG TÀI SẢN]]</f>
        <v>0.1944371383390508</v>
      </c>
      <c r="R2600" s="18">
        <f>Table1[[#This Row],[- LNST chưa phân phối kỳ này]]/Table1[[#This Row],[TỔNG CỘNG TÀI SẢN]]</f>
        <v>8.4668505904632787E-3</v>
      </c>
      <c r="S2600" s="21">
        <f>Table1[[#This Row],[5. Lợi nhuận gộp về bán hàng và cung cấp dịch vụ]]/Table1[[#This Row],[TỔNG CỘNG TÀI SẢN]]</f>
        <v>9.0524929446870989E-2</v>
      </c>
      <c r="T260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0.83259246004845622</v>
      </c>
      <c r="U2600" s="23">
        <f>Table1[[#This Row],[1. Doanh thu bán hàng và cung cấp dịch vụ ]]/Table1[[#This Row],[TỔNG CỘNG TÀI SẢN]]</f>
        <v>0.10915719117453318</v>
      </c>
      <c r="V2600" s="23">
        <f>1.2*Table1[[#This Row],[X1]] + 1.4*Table1[[#This Row],[X2]] + 3.3*Table1[[#This Row],[x3]] + 0.6*Table1[[#This Row],[x4]] + 1*Table1[[#This Row],[x5]]</f>
        <v>1.1526230912117907</v>
      </c>
      <c r="W2600" s="23">
        <f>IF(Table1[[#This Row],[Zscore]]&lt;1.81,1,0)</f>
        <v>1</v>
      </c>
    </row>
    <row r="2601" spans="1:23" x14ac:dyDescent="0.45">
      <c r="A2601" s="7">
        <v>2595</v>
      </c>
      <c r="B2601" s="5" t="s">
        <v>5198</v>
      </c>
      <c r="C2601" s="6" t="s">
        <v>5199</v>
      </c>
      <c r="D2601" s="6" t="s">
        <v>21</v>
      </c>
      <c r="E2601" s="8">
        <v>26436634618157</v>
      </c>
      <c r="F2601" s="8">
        <v>10364401828920</v>
      </c>
      <c r="G2601" s="8">
        <v>8357778358535</v>
      </c>
      <c r="H2601" s="8">
        <v>1403242274945</v>
      </c>
      <c r="I2601" s="8">
        <v>3999383654768</v>
      </c>
      <c r="J2601" s="8"/>
      <c r="K2601" s="8">
        <v>14865741722704</v>
      </c>
      <c r="L2601" s="8">
        <v>13513943161664</v>
      </c>
      <c r="M2601" s="8">
        <v>21969150000000</v>
      </c>
      <c r="N2601" s="8">
        <v>18763447500000</v>
      </c>
      <c r="O2601" s="8">
        <v>20153332500000</v>
      </c>
      <c r="P2601" s="8">
        <v>25600785000000</v>
      </c>
      <c r="Q2601" s="18">
        <f>(Table1[[#This Row],[A. TÀI SẢN NGẮN HẠN]]-Table1[[#This Row],[I. Nợ ngắn hạn]])/Table1[[#This Row],[TỔNG CỘNG TÀI SẢN]]</f>
        <v>7.5903135908487643E-2</v>
      </c>
      <c r="R2601" s="18">
        <f>Table1[[#This Row],[- LNST chưa phân phối kỳ này]]/Table1[[#This Row],[TỔNG CỘNG TÀI SẢN]]</f>
        <v>5.3079459440016477E-2</v>
      </c>
      <c r="S2601" s="21">
        <f>Table1[[#This Row],[5. Lợi nhuận gộp về bán hàng và cung cấp dịch vụ]]/Table1[[#This Row],[TỔNG CỘNG TÀI SẢN]]</f>
        <v>0.15128187503946416</v>
      </c>
      <c r="T260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1.4544635009350297</v>
      </c>
      <c r="U2601" s="23">
        <f>Table1[[#This Row],[1. Doanh thu bán hàng và cung cấp dịch vụ ]]/Table1[[#This Row],[TỔNG CỘNG TÀI SẢN]]</f>
        <v>0.51118243138188479</v>
      </c>
      <c r="V2601" s="23">
        <f>1.2*Table1[[#This Row],[X1]] + 1.4*Table1[[#This Row],[X2]] + 3.3*Table1[[#This Row],[x3]] + 0.6*Table1[[#This Row],[x4]] + 1*Table1[[#This Row],[x5]]</f>
        <v>2.0484857258793423</v>
      </c>
      <c r="W2601" s="23">
        <f>IF(Table1[[#This Row],[Zscore]]&lt;1.81,1,0)</f>
        <v>0</v>
      </c>
    </row>
    <row r="2602" spans="1:23" ht="26.25" x14ac:dyDescent="0.45">
      <c r="A2602" s="7">
        <v>2596</v>
      </c>
      <c r="B2602" s="5" t="s">
        <v>5200</v>
      </c>
      <c r="C2602" s="6" t="s">
        <v>5201</v>
      </c>
      <c r="D2602" s="6" t="s">
        <v>18</v>
      </c>
      <c r="E2602" s="8">
        <v>5872727656023</v>
      </c>
      <c r="F2602" s="8">
        <v>4597405190093</v>
      </c>
      <c r="G2602" s="8">
        <v>3401162747699</v>
      </c>
      <c r="H2602" s="8">
        <v>354998961596</v>
      </c>
      <c r="I2602" s="8">
        <v>1128514331253</v>
      </c>
      <c r="J2602" s="8"/>
      <c r="K2602" s="8">
        <v>3430407444349</v>
      </c>
      <c r="L2602" s="8">
        <v>10510903558693</v>
      </c>
      <c r="M2602" s="8">
        <v>2050650000000</v>
      </c>
      <c r="N2602" s="8">
        <v>1896300000000</v>
      </c>
      <c r="O2602" s="8">
        <v>2063880000000</v>
      </c>
      <c r="P2602" s="8">
        <v>1931580000000</v>
      </c>
      <c r="Q2602" s="18">
        <f>(Table1[[#This Row],[A. TÀI SẢN NGẮN HẠN]]-Table1[[#This Row],[I. Nợ ngắn hạn]])/Table1[[#This Row],[TỔNG CỘNG TÀI SẢN]]</f>
        <v>0.20369452024003665</v>
      </c>
      <c r="R2602" s="18">
        <f>Table1[[#This Row],[- LNST chưa phân phối kỳ này]]/Table1[[#This Row],[TỔNG CỘNG TÀI SẢN]]</f>
        <v>6.0448735645338036E-2</v>
      </c>
      <c r="S2602" s="21">
        <f>Table1[[#This Row],[5. Lợi nhuận gộp về bán hàng và cung cấp dịch vụ]]/Table1[[#This Row],[TỔNG CỘNG TÀI SẢN]]</f>
        <v>0.19216187048885353</v>
      </c>
      <c r="T260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0.57882409953107317</v>
      </c>
      <c r="U2602" s="23">
        <f>Table1[[#This Row],[1. Doanh thu bán hàng và cung cấp dịch vụ ]]/Table1[[#This Row],[TỔNG CỘNG TÀI SẢN]]</f>
        <v>1.7897822229016769</v>
      </c>
      <c r="V2602" s="23">
        <f>1.2*Table1[[#This Row],[X1]] + 1.4*Table1[[#This Row],[X2]] + 3.3*Table1[[#This Row],[x3]] + 0.6*Table1[[#This Row],[x4]] + 1*Table1[[#This Row],[x5]]</f>
        <v>3.1002725094250545</v>
      </c>
      <c r="W2602" s="23">
        <f>IF(Table1[[#This Row],[Zscore]]&lt;1.81,1,0)</f>
        <v>0</v>
      </c>
    </row>
    <row r="2603" spans="1:23" ht="26.25" x14ac:dyDescent="0.45">
      <c r="A2603" s="7">
        <v>2597</v>
      </c>
      <c r="B2603" s="5" t="s">
        <v>5202</v>
      </c>
      <c r="C2603" s="6" t="s">
        <v>5203</v>
      </c>
      <c r="D2603" s="6" t="s">
        <v>18</v>
      </c>
      <c r="E2603" s="8">
        <v>81473834207309</v>
      </c>
      <c r="F2603" s="8">
        <v>58016967208797</v>
      </c>
      <c r="G2603" s="8">
        <v>32252647493767</v>
      </c>
      <c r="H2603" s="8">
        <v>9321330007477</v>
      </c>
      <c r="I2603" s="8">
        <v>22652282675414</v>
      </c>
      <c r="J2603" s="8"/>
      <c r="K2603" s="8">
        <v>38630591639704</v>
      </c>
      <c r="L2603" s="8">
        <v>44187803003862</v>
      </c>
      <c r="M2603" s="8">
        <v>222198217600000</v>
      </c>
      <c r="N2603" s="8">
        <v>215501832960000</v>
      </c>
      <c r="O2603" s="8">
        <v>226155172160000</v>
      </c>
      <c r="P2603" s="8">
        <v>206979161600000</v>
      </c>
      <c r="Q2603" s="18">
        <f>(Table1[[#This Row],[A. TÀI SẢN NGẮN HẠN]]-Table1[[#This Row],[I. Nợ ngắn hạn]])/Table1[[#This Row],[TỔNG CỘNG TÀI SẢN]]</f>
        <v>0.31622814816193701</v>
      </c>
      <c r="R2603" s="18">
        <f>Table1[[#This Row],[- LNST chưa phân phối kỳ này]]/Table1[[#This Row],[TỔNG CỘNG TÀI SẢN]]</f>
        <v>0.11440887860707537</v>
      </c>
      <c r="S2603" s="21">
        <f>Table1[[#This Row],[5. Lợi nhuận gộp về bán hàng và cung cấp dịch vụ]]/Table1[[#This Row],[TỔNG CỘNG TÀI SẢN]]</f>
        <v>0.27803138143438288</v>
      </c>
      <c r="T260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5.6356526483079294</v>
      </c>
      <c r="U2603" s="23">
        <f>Table1[[#This Row],[1. Doanh thu bán hàng và cung cấp dịch vụ ]]/Table1[[#This Row],[TỔNG CỘNG TÀI SẢN]]</f>
        <v>0.54235575671358205</v>
      </c>
      <c r="V2603" s="23">
        <f>1.2*Table1[[#This Row],[X1]] + 1.4*Table1[[#This Row],[X2]] + 3.3*Table1[[#This Row],[x3]] + 0.6*Table1[[#This Row],[x4]] + 1*Table1[[#This Row],[x5]]</f>
        <v>5.380897112276033</v>
      </c>
      <c r="W2603" s="23">
        <f>IF(Table1[[#This Row],[Zscore]]&lt;1.81,1,0)</f>
        <v>0</v>
      </c>
    </row>
    <row r="2604" spans="1:23" ht="26.25" hidden="1" x14ac:dyDescent="0.45">
      <c r="A2604" s="7">
        <v>2598</v>
      </c>
      <c r="B2604" s="5" t="s">
        <v>5204</v>
      </c>
      <c r="C2604" s="6" t="s">
        <v>5205</v>
      </c>
      <c r="D2604" s="6" t="s">
        <v>18</v>
      </c>
      <c r="E2604" s="8">
        <v>163508169012</v>
      </c>
      <c r="F2604" s="8">
        <v>142474706085</v>
      </c>
      <c r="G2604" s="8">
        <v>44635220987</v>
      </c>
      <c r="H2604" s="8">
        <v>17623581793</v>
      </c>
      <c r="I2604" s="8">
        <v>67335831607</v>
      </c>
      <c r="J2604" s="8"/>
      <c r="K2604" s="8">
        <v>44635220987</v>
      </c>
      <c r="L2604" s="8">
        <v>413918492898</v>
      </c>
      <c r="M2604" s="8"/>
      <c r="N2604" s="8"/>
      <c r="O2604" s="8"/>
      <c r="P2604" s="8"/>
      <c r="Q2604" s="18">
        <f>(Table1[[#This Row],[A. TÀI SẢN NGẮN HẠN]]-Table1[[#This Row],[I. Nợ ngắn hạn]])/Table1[[#This Row],[TỔNG CỘNG TÀI SẢN]]</f>
        <v>0.59837673976288908</v>
      </c>
      <c r="R2604" s="18">
        <f>Table1[[#This Row],[- LNST chưa phân phối kỳ này]]/Table1[[#This Row],[TỔNG CỘNG TÀI SẢN]]</f>
        <v>0.10778410583086274</v>
      </c>
      <c r="S2604" s="21">
        <f>Table1[[#This Row],[5. Lợi nhuận gộp về bán hàng và cung cấp dịch vụ]]/Table1[[#This Row],[TỔNG CỘNG TÀI SẢN]]</f>
        <v>0.4118193727804399</v>
      </c>
      <c r="T260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604" s="23">
        <f>Table1[[#This Row],[1. Doanh thu bán hàng và cung cấp dịch vụ ]]/Table1[[#This Row],[TỔNG CỘNG TÀI SẢN]]</f>
        <v>2.531485095815746</v>
      </c>
      <c r="V2604" s="23" t="e">
        <f>1.2*Table1[[#This Row],[X1]] + 1.4*Table1[[#This Row],[X2]] + 3.3*Table1[[#This Row],[x3]] + 0.6*Table1[[#This Row],[x4]] + 1*Table1[[#This Row],[x5]]</f>
        <v>#DIV/0!</v>
      </c>
      <c r="W2604" s="23" t="e">
        <f>IF(Table1[[#This Row],[Zscore]]&lt;1.81,1,0)</f>
        <v>#DIV/0!</v>
      </c>
    </row>
    <row r="2605" spans="1:23" x14ac:dyDescent="0.45">
      <c r="A2605" s="7">
        <v>2599</v>
      </c>
      <c r="B2605" s="5" t="s">
        <v>5206</v>
      </c>
      <c r="C2605" s="6" t="s">
        <v>5207</v>
      </c>
      <c r="D2605" s="6" t="s">
        <v>36</v>
      </c>
      <c r="E2605" s="8">
        <v>5494980197202</v>
      </c>
      <c r="F2605" s="8">
        <v>5465990886437</v>
      </c>
      <c r="G2605" s="8">
        <v>5246449614867</v>
      </c>
      <c r="H2605" s="8">
        <v>17241192175</v>
      </c>
      <c r="I2605" s="8">
        <v>34130129220</v>
      </c>
      <c r="J2605" s="8"/>
      <c r="K2605" s="8">
        <v>5246449614867</v>
      </c>
      <c r="L2605" s="8">
        <v>11875362000935</v>
      </c>
      <c r="M2605" s="8">
        <v>244168766400</v>
      </c>
      <c r="N2605" s="8">
        <v>215212855000</v>
      </c>
      <c r="O2605" s="8">
        <v>237908028800</v>
      </c>
      <c r="P2605" s="8">
        <v>219908408200</v>
      </c>
      <c r="Q2605" s="18">
        <f>(Table1[[#This Row],[A. TÀI SẢN NGẮN HẠN]]-Table1[[#This Row],[I. Nợ ngắn hạn]])/Table1[[#This Row],[TỔNG CỘNG TÀI SẢN]]</f>
        <v>3.9953059645563171E-2</v>
      </c>
      <c r="R2605" s="18">
        <f>Table1[[#This Row],[- LNST chưa phân phối kỳ này]]/Table1[[#This Row],[TỔNG CỘNG TÀI SẢN]]</f>
        <v>3.1376258978656696E-3</v>
      </c>
      <c r="S2605" s="21">
        <f>Table1[[#This Row],[5. Lợi nhuận gộp về bán hàng và cung cấp dịch vụ]]/Table1[[#This Row],[TỔNG CỘNG TÀI SẢN]]</f>
        <v>6.2111469004708679E-3</v>
      </c>
      <c r="T260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4.3705654572613835E-2</v>
      </c>
      <c r="U2605" s="23">
        <f>Table1[[#This Row],[1. Doanh thu bán hàng và cung cấp dịch vụ ]]/Table1[[#This Row],[TỔNG CỘNG TÀI SẢN]]</f>
        <v>2.1611291714903431</v>
      </c>
      <c r="V2605" s="23">
        <f>1.2*Table1[[#This Row],[X1]] + 1.4*Table1[[#This Row],[X2]] + 3.3*Table1[[#This Row],[x3]] + 0.6*Table1[[#This Row],[x4]] + 1*Table1[[#This Row],[x5]]</f>
        <v>2.2601856968371532</v>
      </c>
      <c r="W2605" s="23">
        <f>IF(Table1[[#This Row],[Zscore]]&lt;1.81,1,0)</f>
        <v>0</v>
      </c>
    </row>
    <row r="2606" spans="1:23" x14ac:dyDescent="0.45">
      <c r="A2606" s="7">
        <v>2600</v>
      </c>
      <c r="B2606" s="5" t="s">
        <v>5208</v>
      </c>
      <c r="C2606" s="6" t="s">
        <v>5209</v>
      </c>
      <c r="D2606" s="6" t="s">
        <v>18</v>
      </c>
      <c r="E2606" s="8">
        <v>1397226358282</v>
      </c>
      <c r="F2606" s="8">
        <v>969886603739</v>
      </c>
      <c r="G2606" s="8">
        <v>203512948417</v>
      </c>
      <c r="H2606" s="8">
        <v>332224585625</v>
      </c>
      <c r="I2606" s="8">
        <v>602454809318</v>
      </c>
      <c r="J2606" s="8"/>
      <c r="K2606" s="8">
        <v>203512948417</v>
      </c>
      <c r="L2606" s="8">
        <v>1153228375257</v>
      </c>
      <c r="M2606" s="8">
        <v>4301000000000</v>
      </c>
      <c r="N2606" s="8">
        <v>7235796392000</v>
      </c>
      <c r="O2606" s="8">
        <v>3921500000000</v>
      </c>
      <c r="P2606" s="8">
        <v>3542000000000</v>
      </c>
      <c r="Q2606" s="18">
        <f>(Table1[[#This Row],[A. TÀI SẢN NGẮN HẠN]]-Table1[[#This Row],[I. Nợ ngắn hạn]])/Table1[[#This Row],[TỔNG CỘNG TÀI SẢN]]</f>
        <v>0.54849641991031206</v>
      </c>
      <c r="R2606" s="18">
        <f>Table1[[#This Row],[- LNST chưa phân phối kỳ này]]/Table1[[#This Row],[TỔNG CỘNG TÀI SẢN]]</f>
        <v>0.23777434748189</v>
      </c>
      <c r="S2606" s="21">
        <f>Table1[[#This Row],[5. Lợi nhuận gộp về bán hàng và cung cấp dịch vụ]]/Table1[[#This Row],[TỔNG CỘNG TÀI SẢN]]</f>
        <v>0.43117910404922916</v>
      </c>
      <c r="T260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23.34040234269051</v>
      </c>
      <c r="U2606" s="23">
        <f>Table1[[#This Row],[1. Doanh thu bán hàng và cung cấp dịch vụ ]]/Table1[[#This Row],[TỔNG CỘNG TÀI SẢN]]</f>
        <v>0.82536975374196719</v>
      </c>
      <c r="V2606" s="23">
        <f>1.2*Table1[[#This Row],[X1]] + 1.4*Table1[[#This Row],[X2]] + 3.3*Table1[[#This Row],[x3]] + 0.6*Table1[[#This Row],[x4]] + 1*Table1[[#This Row],[x5]]</f>
        <v>17.243581993085748</v>
      </c>
      <c r="W2606" s="23">
        <f>IF(Table1[[#This Row],[Zscore]]&lt;1.81,1,0)</f>
        <v>0</v>
      </c>
    </row>
    <row r="2607" spans="1:23" ht="26.25" x14ac:dyDescent="0.45">
      <c r="A2607" s="7">
        <v>2601</v>
      </c>
      <c r="B2607" s="5" t="s">
        <v>5210</v>
      </c>
      <c r="C2607" s="6" t="s">
        <v>5211</v>
      </c>
      <c r="D2607" s="6" t="s">
        <v>36</v>
      </c>
      <c r="E2607" s="8">
        <v>2329393901949</v>
      </c>
      <c r="F2607" s="8">
        <v>1238928268723</v>
      </c>
      <c r="G2607" s="8">
        <v>825601310143</v>
      </c>
      <c r="H2607" s="8">
        <v>207837621764</v>
      </c>
      <c r="I2607" s="8">
        <v>285679580991</v>
      </c>
      <c r="J2607" s="8"/>
      <c r="K2607" s="8">
        <v>1033651665477</v>
      </c>
      <c r="L2607" s="8">
        <v>7379958291373</v>
      </c>
      <c r="M2607" s="8">
        <v>1554913102800</v>
      </c>
      <c r="N2607" s="8">
        <v>1593475614500</v>
      </c>
      <c r="O2607" s="8">
        <v>1498980976800</v>
      </c>
      <c r="P2607" s="8">
        <v>1689150205200</v>
      </c>
      <c r="Q2607" s="18">
        <f>(Table1[[#This Row],[A. TÀI SẢN NGẮN HẠN]]-Table1[[#This Row],[I. Nợ ngắn hạn]])/Table1[[#This Row],[TỔNG CỘNG TÀI SẢN]]</f>
        <v>0.1774397014752078</v>
      </c>
      <c r="R2607" s="18">
        <f>Table1[[#This Row],[- LNST chưa phân phối kỳ này]]/Table1[[#This Row],[TỔNG CỘNG TÀI SẢN]]</f>
        <v>8.922390566494684E-2</v>
      </c>
      <c r="S2607" s="21">
        <f>Table1[[#This Row],[5. Lợi nhuận gộp về bán hàng và cung cấp dịch vụ]]/Table1[[#This Row],[TỔNG CỘNG TÀI SẢN]]</f>
        <v>0.12264116461881881</v>
      </c>
      <c r="T260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1.5325568832648959</v>
      </c>
      <c r="U2607" s="23">
        <f>Table1[[#This Row],[1. Doanh thu bán hàng và cung cấp dịch vụ ]]/Table1[[#This Row],[TỔNG CỘNG TÀI SẢN]]</f>
        <v>3.1681882077557604</v>
      </c>
      <c r="V2607" s="23">
        <f>1.2*Table1[[#This Row],[X1]] + 1.4*Table1[[#This Row],[X2]] + 3.3*Table1[[#This Row],[x3]] + 0.6*Table1[[#This Row],[x4]] + 1*Table1[[#This Row],[x5]]</f>
        <v>4.830279290657975</v>
      </c>
      <c r="W2607" s="23">
        <f>IF(Table1[[#This Row],[Zscore]]&lt;1.81,1,0)</f>
        <v>0</v>
      </c>
    </row>
    <row r="2608" spans="1:23" x14ac:dyDescent="0.45">
      <c r="A2608" s="7">
        <v>2602</v>
      </c>
      <c r="B2608" s="5" t="s">
        <v>5212</v>
      </c>
      <c r="C2608" s="6" t="s">
        <v>5213</v>
      </c>
      <c r="D2608" s="6" t="s">
        <v>18</v>
      </c>
      <c r="E2608" s="8">
        <v>20583738737429</v>
      </c>
      <c r="F2608" s="8">
        <v>10682747641699</v>
      </c>
      <c r="G2608" s="8">
        <v>8048239694137</v>
      </c>
      <c r="H2608" s="8">
        <v>872720826560</v>
      </c>
      <c r="I2608" s="8">
        <v>2379336534762</v>
      </c>
      <c r="J2608" s="8"/>
      <c r="K2608" s="8">
        <v>10538966329136</v>
      </c>
      <c r="L2608" s="8">
        <v>18418382941476</v>
      </c>
      <c r="M2608" s="8">
        <v>6400000000000</v>
      </c>
      <c r="N2608" s="8">
        <v>6050000000000</v>
      </c>
      <c r="O2608" s="8">
        <v>6200000000000</v>
      </c>
      <c r="P2608" s="8">
        <v>6100000000000</v>
      </c>
      <c r="Q2608" s="18">
        <f>(Table1[[#This Row],[A. TÀI SẢN NGẮN HẠN]]-Table1[[#This Row],[I. Nợ ngắn hạn]])/Table1[[#This Row],[TỔNG CỘNG TÀI SẢN]]</f>
        <v>0.12798976809647661</v>
      </c>
      <c r="R2608" s="18">
        <f>Table1[[#This Row],[- LNST chưa phân phối kỳ này]]/Table1[[#This Row],[TỔNG CỘNG TÀI SẢN]]</f>
        <v>4.2398557312285763E-2</v>
      </c>
      <c r="S2608" s="21">
        <f>Table1[[#This Row],[5. Lợi nhuận gộp về bán hàng và cung cấp dịch vụ]]/Table1[[#This Row],[TỔNG CỘNG TÀI SẢN]]</f>
        <v>0.11559302054468214</v>
      </c>
      <c r="T260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0.58710691416615057</v>
      </c>
      <c r="U2608" s="23">
        <f>Table1[[#This Row],[1. Doanh thu bán hàng và cung cấp dịch vụ ]]/Table1[[#This Row],[TỔNG CỘNG TÀI SẢN]]</f>
        <v>0.89480260007305834</v>
      </c>
      <c r="V2608" s="23">
        <f>1.2*Table1[[#This Row],[X1]] + 1.4*Table1[[#This Row],[X2]] + 3.3*Table1[[#This Row],[x3]] + 0.6*Table1[[#This Row],[x4]] + 1*Table1[[#This Row],[x5]]</f>
        <v>1.8414694183231717</v>
      </c>
      <c r="W2608" s="23">
        <f>IF(Table1[[#This Row],[Zscore]]&lt;1.81,1,0)</f>
        <v>0</v>
      </c>
    </row>
    <row r="2609" spans="1:23" ht="26.25" x14ac:dyDescent="0.45">
      <c r="A2609" s="7">
        <v>2603</v>
      </c>
      <c r="B2609" s="5" t="s">
        <v>5214</v>
      </c>
      <c r="C2609" s="6" t="s">
        <v>5215</v>
      </c>
      <c r="D2609" s="6" t="s">
        <v>18</v>
      </c>
      <c r="E2609" s="8">
        <v>1367825139436</v>
      </c>
      <c r="F2609" s="8">
        <v>1120551960722</v>
      </c>
      <c r="G2609" s="8">
        <v>863647839770</v>
      </c>
      <c r="H2609" s="8">
        <v>42985151690</v>
      </c>
      <c r="I2609" s="8">
        <v>189648854460</v>
      </c>
      <c r="J2609" s="8"/>
      <c r="K2609" s="8">
        <v>876072082849</v>
      </c>
      <c r="L2609" s="8">
        <v>1104152450745</v>
      </c>
      <c r="M2609" s="8">
        <v>1051768771200</v>
      </c>
      <c r="N2609" s="8">
        <v>1717173504000</v>
      </c>
      <c r="O2609" s="8">
        <v>1151937225600</v>
      </c>
      <c r="P2609" s="8">
        <v>1269992904000</v>
      </c>
      <c r="Q2609" s="18">
        <f>(Table1[[#This Row],[A. TÀI SẢN NGẮN HẠN]]-Table1[[#This Row],[I. Nợ ngắn hạn]])/Table1[[#This Row],[TỔNG CỘNG TÀI SẢN]]</f>
        <v>0.18781941751555331</v>
      </c>
      <c r="R2609" s="18">
        <f>Table1[[#This Row],[- LNST chưa phân phối kỳ này]]/Table1[[#This Row],[TỔNG CỘNG TÀI SẢN]]</f>
        <v>3.1425911434647423E-2</v>
      </c>
      <c r="S2609" s="21">
        <f>Table1[[#This Row],[5. Lợi nhuận gộp về bán hàng và cung cấp dịch vụ]]/Table1[[#This Row],[TỔNG CỘNG TÀI SẢN]]</f>
        <v>0.13864992607037371</v>
      </c>
      <c r="T260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1.4812914674552813</v>
      </c>
      <c r="U2609" s="23">
        <f>Table1[[#This Row],[1. Doanh thu bán hàng và cung cấp dịch vụ ]]/Table1[[#This Row],[TỔNG CỘNG TÀI SẢN]]</f>
        <v>0.80723216653283547</v>
      </c>
      <c r="V2609" s="23">
        <f>1.2*Table1[[#This Row],[X1]] + 1.4*Table1[[#This Row],[X2]] + 3.3*Table1[[#This Row],[x3]] + 0.6*Table1[[#This Row],[x4]] + 1*Table1[[#This Row],[x5]]</f>
        <v>2.4229313800654078</v>
      </c>
      <c r="W2609" s="23">
        <f>IF(Table1[[#This Row],[Zscore]]&lt;1.81,1,0)</f>
        <v>0</v>
      </c>
    </row>
    <row r="2610" spans="1:23" x14ac:dyDescent="0.45">
      <c r="A2610" s="7">
        <v>2604</v>
      </c>
      <c r="B2610" s="5" t="s">
        <v>5216</v>
      </c>
      <c r="C2610" s="6" t="s">
        <v>5217</v>
      </c>
      <c r="D2610" s="6" t="s">
        <v>21</v>
      </c>
      <c r="E2610" s="8">
        <v>13421614624845</v>
      </c>
      <c r="F2610" s="8">
        <v>9331712781517</v>
      </c>
      <c r="G2610" s="8">
        <v>3382318690117</v>
      </c>
      <c r="H2610" s="8">
        <v>1363034755021</v>
      </c>
      <c r="I2610" s="8">
        <v>1983230090909</v>
      </c>
      <c r="J2610" s="8"/>
      <c r="K2610" s="8">
        <v>3434638919097</v>
      </c>
      <c r="L2610" s="8">
        <v>12074000615814</v>
      </c>
      <c r="M2610" s="8">
        <v>14028322437500</v>
      </c>
      <c r="N2610" s="8">
        <v>12591822219900</v>
      </c>
      <c r="O2610" s="8">
        <v>13399853592300</v>
      </c>
      <c r="P2610" s="8">
        <v>12502040956300</v>
      </c>
      <c r="Q2610" s="18">
        <f>(Table1[[#This Row],[A. TÀI SẢN NGẮN HẠN]]-Table1[[#This Row],[I. Nợ ngắn hạn]])/Table1[[#This Row],[TỔNG CỘNG TÀI SẢN]]</f>
        <v>0.44326962572647305</v>
      </c>
      <c r="R2610" s="18">
        <f>Table1[[#This Row],[- LNST chưa phân phối kỳ này]]/Table1[[#This Row],[TỔNG CỘNG TÀI SẢN]]</f>
        <v>0.10155519981164271</v>
      </c>
      <c r="S2610" s="21">
        <f>Table1[[#This Row],[5. Lợi nhuận gộp về bán hàng và cung cấp dịch vụ]]/Table1[[#This Row],[TỔNG CỘNG TÀI SẢN]]</f>
        <v>0.14776389773833962</v>
      </c>
      <c r="T261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3.822966579832543</v>
      </c>
      <c r="U2610" s="23">
        <f>Table1[[#This Row],[1. Doanh thu bán hàng và cung cấp dịch vụ ]]/Table1[[#This Row],[TỔNG CỘNG TÀI SẢN]]</f>
        <v>0.89959374883731147</v>
      </c>
      <c r="V2610" s="23">
        <f>1.2*Table1[[#This Row],[X1]] + 1.4*Table1[[#This Row],[X2]] + 3.3*Table1[[#This Row],[x3]] + 0.6*Table1[[#This Row],[x4]] + 1*Table1[[#This Row],[x5]]</f>
        <v>4.3550953898814253</v>
      </c>
      <c r="W2610" s="23">
        <f>IF(Table1[[#This Row],[Zscore]]&lt;1.81,1,0)</f>
        <v>0</v>
      </c>
    </row>
    <row r="2611" spans="1:23" ht="26.25" x14ac:dyDescent="0.45">
      <c r="A2611" s="7">
        <v>2605</v>
      </c>
      <c r="B2611" s="5" t="s">
        <v>5218</v>
      </c>
      <c r="C2611" s="6" t="s">
        <v>5219</v>
      </c>
      <c r="D2611" s="6" t="s">
        <v>18</v>
      </c>
      <c r="E2611" s="8">
        <v>3391696884751</v>
      </c>
      <c r="F2611" s="8">
        <v>2697686222904</v>
      </c>
      <c r="G2611" s="8">
        <v>2901948864373</v>
      </c>
      <c r="H2611" s="8">
        <v>-111804814012</v>
      </c>
      <c r="I2611" s="8">
        <v>3893495983</v>
      </c>
      <c r="J2611" s="8"/>
      <c r="K2611" s="8">
        <v>3412985541263</v>
      </c>
      <c r="L2611" s="8">
        <v>39319806936</v>
      </c>
      <c r="M2611" s="8">
        <v>349600000000</v>
      </c>
      <c r="N2611" s="8">
        <v>159600000000</v>
      </c>
      <c r="O2611" s="8">
        <v>178600000000</v>
      </c>
      <c r="P2611" s="8">
        <v>197600000000</v>
      </c>
      <c r="Q2611" s="18">
        <f>(Table1[[#This Row],[A. TÀI SẢN NGẮN HẠN]]-Table1[[#This Row],[I. Nợ ngắn hạn]])/Table1[[#This Row],[TỔNG CỘNG TÀI SẢN]]</f>
        <v>-6.0224320866454982E-2</v>
      </c>
      <c r="R2611" s="18">
        <f>Table1[[#This Row],[- LNST chưa phân phối kỳ này]]/Table1[[#This Row],[TỔNG CỘNG TÀI SẢN]]</f>
        <v>-3.2964270632400011E-2</v>
      </c>
      <c r="S2611" s="21">
        <f>Table1[[#This Row],[5. Lợi nhuận gộp về bán hàng và cung cấp dịch vụ]]/Table1[[#This Row],[TỔNG CỘNG TÀI SẢN]]</f>
        <v>1.1479492759229395E-3</v>
      </c>
      <c r="T261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6.4855241056218427E-2</v>
      </c>
      <c r="U2611" s="23">
        <f>Table1[[#This Row],[1. Doanh thu bán hàng và cung cấp dịch vụ ]]/Table1[[#This Row],[TỔNG CỘNG TÀI SẢN]]</f>
        <v>1.1592960182491853E-2</v>
      </c>
      <c r="V2611" s="23">
        <f>1.2*Table1[[#This Row],[X1]] + 1.4*Table1[[#This Row],[X2]] + 3.3*Table1[[#This Row],[x3]] + 0.6*Table1[[#This Row],[x4]] + 1*Table1[[#This Row],[x5]]</f>
        <v>-6.4124826498337381E-2</v>
      </c>
      <c r="W2611" s="23">
        <f>IF(Table1[[#This Row],[Zscore]]&lt;1.81,1,0)</f>
        <v>1</v>
      </c>
    </row>
    <row r="2612" spans="1:23" ht="26.25" x14ac:dyDescent="0.45">
      <c r="A2612" s="7">
        <v>2606</v>
      </c>
      <c r="B2612" s="5" t="s">
        <v>5220</v>
      </c>
      <c r="C2612" s="6" t="s">
        <v>5221</v>
      </c>
      <c r="D2612" s="6" t="s">
        <v>36</v>
      </c>
      <c r="E2612" s="8">
        <v>620158917541</v>
      </c>
      <c r="F2612" s="8">
        <v>424392861103</v>
      </c>
      <c r="G2612" s="8">
        <v>242612902366</v>
      </c>
      <c r="H2612" s="8">
        <v>17592428170</v>
      </c>
      <c r="I2612" s="8">
        <v>42902595654</v>
      </c>
      <c r="J2612" s="8"/>
      <c r="K2612" s="8">
        <v>243233404217</v>
      </c>
      <c r="L2612" s="8">
        <v>534710664379</v>
      </c>
      <c r="M2612" s="8">
        <v>102733987600</v>
      </c>
      <c r="N2612" s="8">
        <v>125931984800</v>
      </c>
      <c r="O2612" s="8">
        <v>135873983600</v>
      </c>
      <c r="P2612" s="8">
        <v>162385980400</v>
      </c>
      <c r="Q2612" s="18">
        <f>(Table1[[#This Row],[A. TÀI SẢN NGẮN HẠN]]-Table1[[#This Row],[I. Nợ ngắn hạn]])/Table1[[#This Row],[TỔNG CỘNG TÀI SẢN]]</f>
        <v>0.29311835014447268</v>
      </c>
      <c r="R2612" s="18">
        <f>Table1[[#This Row],[- LNST chưa phân phối kỳ này]]/Table1[[#This Row],[TỔNG CỘNG TÀI SẢN]]</f>
        <v>2.836761299790054E-2</v>
      </c>
      <c r="S2612" s="21">
        <f>Table1[[#This Row],[5. Lợi nhuận gộp về bán hàng và cung cấp dịch vụ]]/Table1[[#This Row],[TỔNG CỘNG TÀI SẢN]]</f>
        <v>6.918000280333568E-2</v>
      </c>
      <c r="T261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0.54158467470395688</v>
      </c>
      <c r="U2612" s="23">
        <f>Table1[[#This Row],[1. Doanh thu bán hàng và cung cấp dịch vụ ]]/Table1[[#This Row],[TỔNG CỘNG TÀI SẢN]]</f>
        <v>0.86221555355389878</v>
      </c>
      <c r="V2612" s="23">
        <f>1.2*Table1[[#This Row],[X1]] + 1.4*Table1[[#This Row],[X2]] + 3.3*Table1[[#This Row],[x3]] + 0.6*Table1[[#This Row],[x4]] + 1*Table1[[#This Row],[x5]]</f>
        <v>1.8069170459977086</v>
      </c>
      <c r="W2612" s="23">
        <f>IF(Table1[[#This Row],[Zscore]]&lt;1.81,1,0)</f>
        <v>1</v>
      </c>
    </row>
    <row r="2613" spans="1:23" ht="26.25" x14ac:dyDescent="0.45">
      <c r="A2613" s="7">
        <v>2607</v>
      </c>
      <c r="B2613" s="5" t="s">
        <v>5222</v>
      </c>
      <c r="C2613" s="6" t="s">
        <v>5223</v>
      </c>
      <c r="D2613" s="6" t="s">
        <v>18</v>
      </c>
      <c r="E2613" s="8">
        <v>376857346358</v>
      </c>
      <c r="F2613" s="8">
        <v>340837212902</v>
      </c>
      <c r="G2613" s="8">
        <v>145224732062</v>
      </c>
      <c r="H2613" s="8">
        <v>6936551803</v>
      </c>
      <c r="I2613" s="8">
        <v>38667370387</v>
      </c>
      <c r="J2613" s="8"/>
      <c r="K2613" s="8">
        <v>145894171467</v>
      </c>
      <c r="L2613" s="8">
        <v>630583017173</v>
      </c>
      <c r="M2613" s="8">
        <v>419250000000</v>
      </c>
      <c r="N2613" s="8">
        <v>414950000000</v>
      </c>
      <c r="O2613" s="8">
        <v>419250000000</v>
      </c>
      <c r="P2613" s="8">
        <v>419250000000</v>
      </c>
      <c r="Q2613" s="18">
        <f>(Table1[[#This Row],[A. TÀI SẢN NGẮN HẠN]]-Table1[[#This Row],[I. Nợ ngắn hạn]])/Table1[[#This Row],[TỔNG CỘNG TÀI SẢN]]</f>
        <v>0.51906240578941942</v>
      </c>
      <c r="R2613" s="18">
        <f>Table1[[#This Row],[- LNST chưa phân phối kỳ này]]/Table1[[#This Row],[TỔNG CỘNG TÀI SẢN]]</f>
        <v>1.8406306444695236E-2</v>
      </c>
      <c r="S2613" s="21">
        <f>Table1[[#This Row],[5. Lợi nhuận gộp về bán hàng và cung cấp dịch vụ]]/Table1[[#This Row],[TỔNG CỘNG TÀI SẢN]]</f>
        <v>0.10260479399084736</v>
      </c>
      <c r="T261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2.866289967550812</v>
      </c>
      <c r="U2613" s="23">
        <f>Table1[[#This Row],[1. Doanh thu bán hàng và cung cấp dịch vụ ]]/Table1[[#This Row],[TỔNG CỘNG TÀI SẢN]]</f>
        <v>1.6732671480788128</v>
      </c>
      <c r="V2613" s="23">
        <f>1.2*Table1[[#This Row],[X1]] + 1.4*Table1[[#This Row],[X2]] + 3.3*Table1[[#This Row],[x3]] + 0.6*Table1[[#This Row],[x4]] + 1*Table1[[#This Row],[x5]]</f>
        <v>4.3802806647489732</v>
      </c>
      <c r="W2613" s="23">
        <f>IF(Table1[[#This Row],[Zscore]]&lt;1.81,1,0)</f>
        <v>0</v>
      </c>
    </row>
    <row r="2614" spans="1:23" ht="26.25" x14ac:dyDescent="0.45">
      <c r="A2614" s="7">
        <v>2608</v>
      </c>
      <c r="B2614" s="5" t="s">
        <v>5224</v>
      </c>
      <c r="C2614" s="6" t="s">
        <v>5225</v>
      </c>
      <c r="D2614" s="6" t="s">
        <v>18</v>
      </c>
      <c r="E2614" s="8">
        <v>145535610322</v>
      </c>
      <c r="F2614" s="8">
        <v>12127077202</v>
      </c>
      <c r="G2614" s="8">
        <v>6865704077</v>
      </c>
      <c r="H2614" s="8">
        <v>2012065784</v>
      </c>
      <c r="I2614" s="6"/>
      <c r="J2614" s="8"/>
      <c r="K2614" s="8">
        <v>6865704077</v>
      </c>
      <c r="L2614" s="6"/>
      <c r="M2614" s="8">
        <v>270000000000</v>
      </c>
      <c r="N2614" s="8">
        <v>300000000000</v>
      </c>
      <c r="O2614" s="8">
        <v>240000000000</v>
      </c>
      <c r="P2614" s="8">
        <v>345000000000</v>
      </c>
      <c r="Q2614" s="18">
        <f>(Table1[[#This Row],[A. TÀI SẢN NGẮN HẠN]]-Table1[[#This Row],[I. Nợ ngắn hạn]])/Table1[[#This Row],[TỔNG CỘNG TÀI SẢN]]</f>
        <v>3.615179208277014E-2</v>
      </c>
      <c r="R2614" s="18">
        <f>Table1[[#This Row],[- LNST chưa phân phối kỳ này]]/Table1[[#This Row],[TỔNG CỘNG TÀI SẢN]]</f>
        <v>1.3825247164925962E-2</v>
      </c>
      <c r="S2614" s="21">
        <f>Table1[[#This Row],[5. Lợi nhuận gộp về bán hàng và cung cấp dịch vụ]]/Table1[[#This Row],[TỔNG CỘNG TÀI SẢN]]</f>
        <v>0</v>
      </c>
      <c r="T261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42.056866529873886</v>
      </c>
      <c r="U2614" s="23">
        <f>Table1[[#This Row],[1. Doanh thu bán hàng và cung cấp dịch vụ ]]/Table1[[#This Row],[TỔNG CỘNG TÀI SẢN]]</f>
        <v>0</v>
      </c>
      <c r="V2614" s="23">
        <f>1.2*Table1[[#This Row],[X1]] + 1.4*Table1[[#This Row],[X2]] + 3.3*Table1[[#This Row],[x3]] + 0.6*Table1[[#This Row],[x4]] + 1*Table1[[#This Row],[x5]]</f>
        <v>25.296857414454553</v>
      </c>
      <c r="W2614" s="23">
        <f>IF(Table1[[#This Row],[Zscore]]&lt;1.81,1,0)</f>
        <v>0</v>
      </c>
    </row>
    <row r="2615" spans="1:23" ht="26.25" hidden="1" x14ac:dyDescent="0.45">
      <c r="A2615" s="7">
        <v>2609</v>
      </c>
      <c r="B2615" s="5" t="s">
        <v>5226</v>
      </c>
      <c r="C2615" s="6" t="s">
        <v>5227</v>
      </c>
      <c r="D2615" s="6" t="s">
        <v>18</v>
      </c>
      <c r="E2615" s="6"/>
      <c r="F2615" s="6"/>
      <c r="G2615" s="6"/>
      <c r="H2615" s="6"/>
      <c r="I2615" s="6"/>
      <c r="J2615" s="8"/>
      <c r="K2615" s="6"/>
      <c r="L2615" s="6"/>
      <c r="M2615" s="8"/>
      <c r="N2615" s="8"/>
      <c r="O2615" s="8"/>
      <c r="P2615" s="8"/>
      <c r="Q2615" s="18" t="e">
        <f>(Table1[[#This Row],[A. TÀI SẢN NGẮN HẠN]]-Table1[[#This Row],[I. Nợ ngắn hạn]])/Table1[[#This Row],[TỔNG CỘNG TÀI SẢN]]</f>
        <v>#DIV/0!</v>
      </c>
      <c r="R2615" s="18" t="e">
        <f>Table1[[#This Row],[- LNST chưa phân phối kỳ này]]/Table1[[#This Row],[TỔNG CỘNG TÀI SẢN]]</f>
        <v>#DIV/0!</v>
      </c>
      <c r="S2615" s="21" t="e">
        <f>Table1[[#This Row],[5. Lợi nhuận gộp về bán hàng và cung cấp dịch vụ]]/Table1[[#This Row],[TỔNG CỘNG TÀI SẢN]]</f>
        <v>#DIV/0!</v>
      </c>
      <c r="T261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615" s="23" t="e">
        <f>Table1[[#This Row],[1. Doanh thu bán hàng và cung cấp dịch vụ ]]/Table1[[#This Row],[TỔNG CỘNG TÀI SẢN]]</f>
        <v>#DIV/0!</v>
      </c>
      <c r="V2615" s="23" t="e">
        <f>1.2*Table1[[#This Row],[X1]] + 1.4*Table1[[#This Row],[X2]] + 3.3*Table1[[#This Row],[x3]] + 0.6*Table1[[#This Row],[x4]] + 1*Table1[[#This Row],[x5]]</f>
        <v>#DIV/0!</v>
      </c>
      <c r="W2615" s="23" t="e">
        <f>IF(Table1[[#This Row],[Zscore]]&lt;1.81,1,0)</f>
        <v>#DIV/0!</v>
      </c>
    </row>
    <row r="2616" spans="1:23" ht="26.25" hidden="1" x14ac:dyDescent="0.45">
      <c r="A2616" s="7">
        <v>2610</v>
      </c>
      <c r="B2616" s="5" t="s">
        <v>5228</v>
      </c>
      <c r="C2616" s="6" t="s">
        <v>5229</v>
      </c>
      <c r="D2616" s="6" t="s">
        <v>13</v>
      </c>
      <c r="E2616" s="6"/>
      <c r="F2616" s="6"/>
      <c r="G2616" s="6"/>
      <c r="H2616" s="6"/>
      <c r="I2616" s="6"/>
      <c r="J2616" s="8"/>
      <c r="K2616" s="6"/>
      <c r="L2616" s="6"/>
      <c r="M2616" s="8"/>
      <c r="N2616" s="8"/>
      <c r="O2616" s="8"/>
      <c r="P2616" s="8"/>
      <c r="Q2616" s="18" t="e">
        <f>(Table1[[#This Row],[A. TÀI SẢN NGẮN HẠN]]-Table1[[#This Row],[I. Nợ ngắn hạn]])/Table1[[#This Row],[TỔNG CỘNG TÀI SẢN]]</f>
        <v>#DIV/0!</v>
      </c>
      <c r="R2616" s="18" t="e">
        <f>Table1[[#This Row],[- LNST chưa phân phối kỳ này]]/Table1[[#This Row],[TỔNG CỘNG TÀI SẢN]]</f>
        <v>#DIV/0!</v>
      </c>
      <c r="S2616" s="21" t="e">
        <f>Table1[[#This Row],[5. Lợi nhuận gộp về bán hàng và cung cấp dịch vụ]]/Table1[[#This Row],[TỔNG CỘNG TÀI SẢN]]</f>
        <v>#DIV/0!</v>
      </c>
      <c r="T261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616" s="23" t="e">
        <f>Table1[[#This Row],[1. Doanh thu bán hàng và cung cấp dịch vụ ]]/Table1[[#This Row],[TỔNG CỘNG TÀI SẢN]]</f>
        <v>#DIV/0!</v>
      </c>
      <c r="V2616" s="23" t="e">
        <f>1.2*Table1[[#This Row],[X1]] + 1.4*Table1[[#This Row],[X2]] + 3.3*Table1[[#This Row],[x3]] + 0.6*Table1[[#This Row],[x4]] + 1*Table1[[#This Row],[x5]]</f>
        <v>#DIV/0!</v>
      </c>
      <c r="W2616" s="23" t="e">
        <f>IF(Table1[[#This Row],[Zscore]]&lt;1.81,1,0)</f>
        <v>#DIV/0!</v>
      </c>
    </row>
    <row r="2617" spans="1:23" x14ac:dyDescent="0.45">
      <c r="A2617" s="7">
        <v>2611</v>
      </c>
      <c r="B2617" s="5" t="s">
        <v>5230</v>
      </c>
      <c r="C2617" s="6" t="s">
        <v>5231</v>
      </c>
      <c r="D2617" s="6" t="s">
        <v>36</v>
      </c>
      <c r="E2617" s="8">
        <v>767751329023</v>
      </c>
      <c r="F2617" s="8">
        <v>504064960453</v>
      </c>
      <c r="G2617" s="8">
        <v>238948091458</v>
      </c>
      <c r="H2617" s="8">
        <v>29895706308</v>
      </c>
      <c r="I2617" s="8">
        <v>184197552566</v>
      </c>
      <c r="J2617" s="8"/>
      <c r="K2617" s="8">
        <v>266000962047</v>
      </c>
      <c r="L2617" s="8">
        <v>1109243061667</v>
      </c>
      <c r="M2617" s="8">
        <v>262500000000</v>
      </c>
      <c r="N2617" s="8">
        <v>267500000000</v>
      </c>
      <c r="O2617" s="8">
        <v>275000000000</v>
      </c>
      <c r="P2617" s="8">
        <v>262500000000</v>
      </c>
      <c r="Q2617" s="18">
        <f>(Table1[[#This Row],[A. TÀI SẢN NGẮN HẠN]]-Table1[[#This Row],[I. Nợ ngắn hạn]])/Table1[[#This Row],[TỔNG CỘNG TÀI SẢN]]</f>
        <v>0.34531606650863605</v>
      </c>
      <c r="R2617" s="18">
        <f>Table1[[#This Row],[- LNST chưa phân phối kỳ này]]/Table1[[#This Row],[TỔNG CỘNG TÀI SẢN]]</f>
        <v>3.8939309093796955E-2</v>
      </c>
      <c r="S2617" s="21">
        <f>Table1[[#This Row],[5. Lợi nhuận gộp về bán hàng và cung cấp dịch vụ]]/Table1[[#This Row],[TỔNG CỘNG TÀI SẢN]]</f>
        <v>0.23991824644628115</v>
      </c>
      <c r="T261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1.0032858450821902</v>
      </c>
      <c r="U2617" s="23">
        <f>Table1[[#This Row],[1. Doanh thu bán hàng và cung cấp dịch vụ ]]/Table1[[#This Row],[TỔNG CỘNG TÀI SẢN]]</f>
        <v>1.4447947137760926</v>
      </c>
      <c r="V2617" s="23">
        <f>1.2*Table1[[#This Row],[X1]] + 1.4*Table1[[#This Row],[X2]] + 3.3*Table1[[#This Row],[x3]] + 0.6*Table1[[#This Row],[x4]] + 1*Table1[[#This Row],[x5]]</f>
        <v>3.3073907466398134</v>
      </c>
      <c r="W2617" s="23">
        <f>IF(Table1[[#This Row],[Zscore]]&lt;1.81,1,0)</f>
        <v>0</v>
      </c>
    </row>
    <row r="2618" spans="1:23" x14ac:dyDescent="0.45">
      <c r="A2618" s="7">
        <v>2612</v>
      </c>
      <c r="B2618" s="5" t="s">
        <v>5232</v>
      </c>
      <c r="C2618" s="6" t="s">
        <v>5233</v>
      </c>
      <c r="D2618" s="6" t="s">
        <v>21</v>
      </c>
      <c r="E2618" s="8">
        <v>786375247000000</v>
      </c>
      <c r="F2618" s="8">
        <v>500834700000000</v>
      </c>
      <c r="G2618" s="8">
        <v>345174167000000</v>
      </c>
      <c r="H2618" s="8">
        <v>33568156000000</v>
      </c>
      <c r="I2618" s="8">
        <v>45431799000000</v>
      </c>
      <c r="J2618" s="8"/>
      <c r="K2618" s="8">
        <v>538469649000000</v>
      </c>
      <c r="L2618" s="8">
        <v>154102382000000</v>
      </c>
      <c r="M2618" s="8">
        <v>210710235805200</v>
      </c>
      <c r="N2618" s="8">
        <v>509319088496000</v>
      </c>
      <c r="O2618" s="8">
        <v>315038500706800</v>
      </c>
      <c r="P2618" s="8">
        <v>423063436412000</v>
      </c>
      <c r="Q2618" s="18">
        <f>(Table1[[#This Row],[A. TÀI SẢN NGẮN HẠN]]-Table1[[#This Row],[I. Nợ ngắn hạn]])/Table1[[#This Row],[TỔNG CỘNG TÀI SẢN]]</f>
        <v>0.19794688807136371</v>
      </c>
      <c r="R2618" s="18">
        <f>Table1[[#This Row],[- LNST chưa phân phối kỳ này]]/Table1[[#This Row],[TỔNG CỘNG TÀI SẢN]]</f>
        <v>4.2687198164059199E-2</v>
      </c>
      <c r="S2618" s="21">
        <f>Table1[[#This Row],[5. Lợi nhuận gộp về bán hàng và cung cấp dịch vụ]]/Table1[[#This Row],[TỔNG CỘNG TÀI SẢN]]</f>
        <v>5.7773689054075733E-2</v>
      </c>
      <c r="T261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0.67697931727810345</v>
      </c>
      <c r="U2618" s="23">
        <f>Table1[[#This Row],[1. Doanh thu bán hàng và cung cấp dịch vụ ]]/Table1[[#This Row],[TỔNG CỘNG TÀI SẢN]]</f>
        <v>0.19596545362776405</v>
      </c>
      <c r="V2618" s="23">
        <f>1.2*Table1[[#This Row],[X1]] + 1.4*Table1[[#This Row],[X2]] + 3.3*Table1[[#This Row],[x3]] + 0.6*Table1[[#This Row],[x4]] + 1*Table1[[#This Row],[x5]]</f>
        <v>1.0901045609883953</v>
      </c>
      <c r="W2618" s="23">
        <f>IF(Table1[[#This Row],[Zscore]]&lt;1.81,1,0)</f>
        <v>1</v>
      </c>
    </row>
    <row r="2619" spans="1:23" hidden="1" x14ac:dyDescent="0.45">
      <c r="A2619" s="7">
        <v>2613</v>
      </c>
      <c r="B2619" s="5" t="s">
        <v>5234</v>
      </c>
      <c r="C2619" s="6" t="s">
        <v>5235</v>
      </c>
      <c r="D2619" s="6" t="s">
        <v>13</v>
      </c>
      <c r="E2619" s="6"/>
      <c r="F2619" s="6"/>
      <c r="G2619" s="6"/>
      <c r="H2619" s="6"/>
      <c r="I2619" s="6"/>
      <c r="J2619" s="8"/>
      <c r="K2619" s="6"/>
      <c r="L2619" s="6"/>
      <c r="M2619" s="8"/>
      <c r="N2619" s="8"/>
      <c r="O2619" s="8"/>
      <c r="P2619" s="8"/>
      <c r="Q2619" s="18" t="e">
        <f>(Table1[[#This Row],[A. TÀI SẢN NGẮN HẠN]]-Table1[[#This Row],[I. Nợ ngắn hạn]])/Table1[[#This Row],[TỔNG CỘNG TÀI SẢN]]</f>
        <v>#DIV/0!</v>
      </c>
      <c r="R2619" s="18" t="e">
        <f>Table1[[#This Row],[- LNST chưa phân phối kỳ này]]/Table1[[#This Row],[TỔNG CỘNG TÀI SẢN]]</f>
        <v>#DIV/0!</v>
      </c>
      <c r="S2619" s="21" t="e">
        <f>Table1[[#This Row],[5. Lợi nhuận gộp về bán hàng và cung cấp dịch vụ]]/Table1[[#This Row],[TỔNG CỘNG TÀI SẢN]]</f>
        <v>#DIV/0!</v>
      </c>
      <c r="T261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619" s="23" t="e">
        <f>Table1[[#This Row],[1. Doanh thu bán hàng và cung cấp dịch vụ ]]/Table1[[#This Row],[TỔNG CỘNG TÀI SẢN]]</f>
        <v>#DIV/0!</v>
      </c>
      <c r="V2619" s="23" t="e">
        <f>1.2*Table1[[#This Row],[X1]] + 1.4*Table1[[#This Row],[X2]] + 3.3*Table1[[#This Row],[x3]] + 0.6*Table1[[#This Row],[x4]] + 1*Table1[[#This Row],[x5]]</f>
        <v>#DIV/0!</v>
      </c>
      <c r="W2619" s="23" t="e">
        <f>IF(Table1[[#This Row],[Zscore]]&lt;1.81,1,0)</f>
        <v>#DIV/0!</v>
      </c>
    </row>
    <row r="2620" spans="1:23" hidden="1" x14ac:dyDescent="0.45">
      <c r="A2620" s="7">
        <v>2614</v>
      </c>
      <c r="B2620" s="5" t="s">
        <v>5236</v>
      </c>
      <c r="C2620" s="6" t="s">
        <v>5237</v>
      </c>
      <c r="D2620" s="6" t="s">
        <v>13</v>
      </c>
      <c r="E2620" s="6"/>
      <c r="F2620" s="6"/>
      <c r="G2620" s="6"/>
      <c r="H2620" s="6"/>
      <c r="I2620" s="6"/>
      <c r="J2620" s="8"/>
      <c r="K2620" s="6"/>
      <c r="L2620" s="6"/>
      <c r="M2620" s="8"/>
      <c r="N2620" s="8"/>
      <c r="O2620" s="8"/>
      <c r="P2620" s="8"/>
      <c r="Q2620" s="18" t="e">
        <f>(Table1[[#This Row],[A. TÀI SẢN NGẮN HẠN]]-Table1[[#This Row],[I. Nợ ngắn hạn]])/Table1[[#This Row],[TỔNG CỘNG TÀI SẢN]]</f>
        <v>#DIV/0!</v>
      </c>
      <c r="R2620" s="18" t="e">
        <f>Table1[[#This Row],[- LNST chưa phân phối kỳ này]]/Table1[[#This Row],[TỔNG CỘNG TÀI SẢN]]</f>
        <v>#DIV/0!</v>
      </c>
      <c r="S2620" s="21" t="e">
        <f>Table1[[#This Row],[5. Lợi nhuận gộp về bán hàng và cung cấp dịch vụ]]/Table1[[#This Row],[TỔNG CỘNG TÀI SẢN]]</f>
        <v>#DIV/0!</v>
      </c>
      <c r="T262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620" s="23" t="e">
        <f>Table1[[#This Row],[1. Doanh thu bán hàng và cung cấp dịch vụ ]]/Table1[[#This Row],[TỔNG CỘNG TÀI SẢN]]</f>
        <v>#DIV/0!</v>
      </c>
      <c r="V2620" s="23" t="e">
        <f>1.2*Table1[[#This Row],[X1]] + 1.4*Table1[[#This Row],[X2]] + 3.3*Table1[[#This Row],[x3]] + 0.6*Table1[[#This Row],[x4]] + 1*Table1[[#This Row],[x5]]</f>
        <v>#DIV/0!</v>
      </c>
      <c r="W2620" s="23" t="e">
        <f>IF(Table1[[#This Row],[Zscore]]&lt;1.81,1,0)</f>
        <v>#DIV/0!</v>
      </c>
    </row>
    <row r="2621" spans="1:23" ht="26.25" x14ac:dyDescent="0.45">
      <c r="A2621" s="7">
        <v>2615</v>
      </c>
      <c r="B2621" s="5" t="s">
        <v>5238</v>
      </c>
      <c r="C2621" s="6" t="s">
        <v>5239</v>
      </c>
      <c r="D2621" s="6" t="s">
        <v>21</v>
      </c>
      <c r="E2621" s="8">
        <v>556098441000000</v>
      </c>
      <c r="F2621" s="6"/>
      <c r="G2621" s="6"/>
      <c r="H2621" s="6"/>
      <c r="I2621" s="6"/>
      <c r="J2621" s="8"/>
      <c r="K2621" s="8">
        <v>509193702000000</v>
      </c>
      <c r="L2621" s="8">
        <v>36324009000000</v>
      </c>
      <c r="M2621" s="8">
        <v>59135687127750</v>
      </c>
      <c r="N2621" s="8">
        <v>60421101352500</v>
      </c>
      <c r="O2621" s="8">
        <v>54518039014500</v>
      </c>
      <c r="P2621" s="8">
        <v>67739713629000</v>
      </c>
      <c r="Q2621" s="18">
        <f>(Table1[[#This Row],[A. TÀI SẢN NGẮN HẠN]]-Table1[[#This Row],[I. Nợ ngắn hạn]])/Table1[[#This Row],[TỔNG CỘNG TÀI SẢN]]</f>
        <v>0</v>
      </c>
      <c r="R2621" s="18">
        <f>Table1[[#This Row],[- LNST chưa phân phối kỳ này]]/Table1[[#This Row],[TỔNG CỘNG TÀI SẢN]]</f>
        <v>0</v>
      </c>
      <c r="S2621" s="21">
        <f>Table1[[#This Row],[5. Lợi nhuận gộp về bán hàng và cung cấp dịch vụ]]/Table1[[#This Row],[TỔNG CỘNG TÀI SẢN]]</f>
        <v>0</v>
      </c>
      <c r="T262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0.118724239996467</v>
      </c>
      <c r="U2621" s="23">
        <f>Table1[[#This Row],[1. Doanh thu bán hàng và cung cấp dịch vụ ]]/Table1[[#This Row],[TỔNG CỘNG TÀI SẢN]]</f>
        <v>6.5319386500491919E-2</v>
      </c>
      <c r="V2621" s="23">
        <f>1.2*Table1[[#This Row],[X1]] + 1.4*Table1[[#This Row],[X2]] + 3.3*Table1[[#This Row],[x3]] + 0.6*Table1[[#This Row],[x4]] + 1*Table1[[#This Row],[x5]]</f>
        <v>0.13655393049837211</v>
      </c>
      <c r="W2621" s="23">
        <f>IF(Table1[[#This Row],[Zscore]]&lt;1.81,1,0)</f>
        <v>1</v>
      </c>
    </row>
    <row r="2622" spans="1:23" hidden="1" x14ac:dyDescent="0.45">
      <c r="A2622" s="7">
        <v>2616</v>
      </c>
      <c r="B2622" s="5" t="s">
        <v>5240</v>
      </c>
      <c r="C2622" s="6" t="s">
        <v>5241</v>
      </c>
      <c r="D2622" s="6" t="s">
        <v>13</v>
      </c>
      <c r="E2622" s="6"/>
      <c r="F2622" s="6"/>
      <c r="G2622" s="6"/>
      <c r="H2622" s="6"/>
      <c r="I2622" s="6"/>
      <c r="J2622" s="8"/>
      <c r="K2622" s="6"/>
      <c r="L2622" s="6"/>
      <c r="M2622" s="8"/>
      <c r="N2622" s="8"/>
      <c r="O2622" s="8"/>
      <c r="P2622" s="8"/>
      <c r="Q2622" s="18" t="e">
        <f>(Table1[[#This Row],[A. TÀI SẢN NGẮN HẠN]]-Table1[[#This Row],[I. Nợ ngắn hạn]])/Table1[[#This Row],[TỔNG CỘNG TÀI SẢN]]</f>
        <v>#DIV/0!</v>
      </c>
      <c r="R2622" s="18" t="e">
        <f>Table1[[#This Row],[- LNST chưa phân phối kỳ này]]/Table1[[#This Row],[TỔNG CỘNG TÀI SẢN]]</f>
        <v>#DIV/0!</v>
      </c>
      <c r="S2622" s="21" t="e">
        <f>Table1[[#This Row],[5. Lợi nhuận gộp về bán hàng và cung cấp dịch vụ]]/Table1[[#This Row],[TỔNG CỘNG TÀI SẢN]]</f>
        <v>#DIV/0!</v>
      </c>
      <c r="T262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622" s="23" t="e">
        <f>Table1[[#This Row],[1. Doanh thu bán hàng và cung cấp dịch vụ ]]/Table1[[#This Row],[TỔNG CỘNG TÀI SẢN]]</f>
        <v>#DIV/0!</v>
      </c>
      <c r="V2622" s="23" t="e">
        <f>1.2*Table1[[#This Row],[X1]] + 1.4*Table1[[#This Row],[X2]] + 3.3*Table1[[#This Row],[x3]] + 0.6*Table1[[#This Row],[x4]] + 1*Table1[[#This Row],[x5]]</f>
        <v>#DIV/0!</v>
      </c>
      <c r="W2622" s="23" t="e">
        <f>IF(Table1[[#This Row],[Zscore]]&lt;1.81,1,0)</f>
        <v>#DIV/0!</v>
      </c>
    </row>
    <row r="2623" spans="1:23" x14ac:dyDescent="0.45">
      <c r="A2623" s="7">
        <v>2617</v>
      </c>
      <c r="B2623" s="5" t="s">
        <v>5242</v>
      </c>
      <c r="C2623" s="6" t="s">
        <v>5243</v>
      </c>
      <c r="D2623" s="6" t="s">
        <v>21</v>
      </c>
      <c r="E2623" s="8">
        <v>1121457028000000</v>
      </c>
      <c r="F2623" s="8">
        <v>660924812000000</v>
      </c>
      <c r="G2623" s="8">
        <v>592409830000000</v>
      </c>
      <c r="H2623" s="8">
        <v>11208691000000</v>
      </c>
      <c r="I2623" s="8">
        <v>52338199000000</v>
      </c>
      <c r="J2623" s="8"/>
      <c r="K2623" s="8">
        <v>970001804000000</v>
      </c>
      <c r="L2623" s="8">
        <v>332808782000000</v>
      </c>
      <c r="M2623" s="8">
        <v>221772370538000</v>
      </c>
      <c r="N2623" s="8">
        <v>1311600225561600</v>
      </c>
      <c r="O2623" s="8">
        <v>370792564053600</v>
      </c>
      <c r="P2623" s="8">
        <v>678695319561600</v>
      </c>
      <c r="Q2623" s="18">
        <f>(Table1[[#This Row],[A. TÀI SẢN NGẮN HẠN]]-Table1[[#This Row],[I. Nợ ngắn hạn]])/Table1[[#This Row],[TỔNG CỘNG TÀI SẢN]]</f>
        <v>6.1094611999702945E-2</v>
      </c>
      <c r="R2623" s="18">
        <f>Table1[[#This Row],[- LNST chưa phân phối kỳ này]]/Table1[[#This Row],[TỔNG CỘNG TÀI SẢN]]</f>
        <v>9.9947574629671854E-3</v>
      </c>
      <c r="S2623" s="21">
        <f>Table1[[#This Row],[5. Lợi nhuận gộp về bán hàng và cung cấp dịch vụ]]/Table1[[#This Row],[TỔNG CỘNG TÀI SẢN]]</f>
        <v>4.6669821217616911E-2</v>
      </c>
      <c r="T262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0.66568445261231701</v>
      </c>
      <c r="U2623" s="23">
        <f>Table1[[#This Row],[1. Doanh thu bán hàng và cung cấp dịch vụ ]]/Table1[[#This Row],[TỔNG CỘNG TÀI SẢN]]</f>
        <v>0.29676463180540164</v>
      </c>
      <c r="V2623" s="23">
        <f>1.2*Table1[[#This Row],[X1]] + 1.4*Table1[[#This Row],[X2]] + 3.3*Table1[[#This Row],[x3]] + 0.6*Table1[[#This Row],[x4]] + 1*Table1[[#This Row],[x5]]</f>
        <v>0.93749190823872519</v>
      </c>
      <c r="W2623" s="23">
        <f>IF(Table1[[#This Row],[Zscore]]&lt;1.81,1,0)</f>
        <v>1</v>
      </c>
    </row>
    <row r="2624" spans="1:23" hidden="1" x14ac:dyDescent="0.45">
      <c r="A2624" s="7">
        <v>2618</v>
      </c>
      <c r="B2624" s="5" t="s">
        <v>5244</v>
      </c>
      <c r="C2624" s="6" t="s">
        <v>5245</v>
      </c>
      <c r="D2624" s="6" t="s">
        <v>13</v>
      </c>
      <c r="E2624" s="6"/>
      <c r="F2624" s="6"/>
      <c r="G2624" s="6"/>
      <c r="H2624" s="6"/>
      <c r="I2624" s="6"/>
      <c r="J2624" s="8"/>
      <c r="K2624" s="6"/>
      <c r="L2624" s="6"/>
      <c r="M2624" s="8"/>
      <c r="N2624" s="8"/>
      <c r="O2624" s="8"/>
      <c r="P2624" s="8"/>
      <c r="Q2624" s="18" t="e">
        <f>(Table1[[#This Row],[A. TÀI SẢN NGẮN HẠN]]-Table1[[#This Row],[I. Nợ ngắn hạn]])/Table1[[#This Row],[TỔNG CỘNG TÀI SẢN]]</f>
        <v>#DIV/0!</v>
      </c>
      <c r="R2624" s="18" t="e">
        <f>Table1[[#This Row],[- LNST chưa phân phối kỳ này]]/Table1[[#This Row],[TỔNG CỘNG TÀI SẢN]]</f>
        <v>#DIV/0!</v>
      </c>
      <c r="S2624" s="21" t="e">
        <f>Table1[[#This Row],[5. Lợi nhuận gộp về bán hàng và cung cấp dịch vụ]]/Table1[[#This Row],[TỔNG CỘNG TÀI SẢN]]</f>
        <v>#DIV/0!</v>
      </c>
      <c r="T262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624" s="23" t="e">
        <f>Table1[[#This Row],[1. Doanh thu bán hàng và cung cấp dịch vụ ]]/Table1[[#This Row],[TỔNG CỘNG TÀI SẢN]]</f>
        <v>#DIV/0!</v>
      </c>
      <c r="V2624" s="23" t="e">
        <f>1.2*Table1[[#This Row],[X1]] + 1.4*Table1[[#This Row],[X2]] + 3.3*Table1[[#This Row],[x3]] + 0.6*Table1[[#This Row],[x4]] + 1*Table1[[#This Row],[x5]]</f>
        <v>#DIV/0!</v>
      </c>
      <c r="W2624" s="23" t="e">
        <f>IF(Table1[[#This Row],[Zscore]]&lt;1.81,1,0)</f>
        <v>#DIV/0!</v>
      </c>
    </row>
    <row r="2625" spans="1:23" hidden="1" x14ac:dyDescent="0.45">
      <c r="A2625" s="7">
        <v>2619</v>
      </c>
      <c r="B2625" s="5" t="s">
        <v>5246</v>
      </c>
      <c r="C2625" s="6" t="s">
        <v>5247</v>
      </c>
      <c r="D2625" s="6" t="s">
        <v>13</v>
      </c>
      <c r="E2625" s="6"/>
      <c r="F2625" s="6"/>
      <c r="G2625" s="6"/>
      <c r="H2625" s="6"/>
      <c r="I2625" s="6"/>
      <c r="J2625" s="8"/>
      <c r="K2625" s="6"/>
      <c r="L2625" s="6"/>
      <c r="M2625" s="8"/>
      <c r="N2625" s="8"/>
      <c r="O2625" s="8"/>
      <c r="P2625" s="8"/>
      <c r="Q2625" s="18" t="e">
        <f>(Table1[[#This Row],[A. TÀI SẢN NGẮN HẠN]]-Table1[[#This Row],[I. Nợ ngắn hạn]])/Table1[[#This Row],[TỔNG CỘNG TÀI SẢN]]</f>
        <v>#DIV/0!</v>
      </c>
      <c r="R2625" s="18" t="e">
        <f>Table1[[#This Row],[- LNST chưa phân phối kỳ này]]/Table1[[#This Row],[TỔNG CỘNG TÀI SẢN]]</f>
        <v>#DIV/0!</v>
      </c>
      <c r="S2625" s="21" t="e">
        <f>Table1[[#This Row],[5. Lợi nhuận gộp về bán hàng và cung cấp dịch vụ]]/Table1[[#This Row],[TỔNG CỘNG TÀI SẢN]]</f>
        <v>#DIV/0!</v>
      </c>
      <c r="T262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625" s="23" t="e">
        <f>Table1[[#This Row],[1. Doanh thu bán hàng và cung cấp dịch vụ ]]/Table1[[#This Row],[TỔNG CỘNG TÀI SẢN]]</f>
        <v>#DIV/0!</v>
      </c>
      <c r="V2625" s="23" t="e">
        <f>1.2*Table1[[#This Row],[X1]] + 1.4*Table1[[#This Row],[X2]] + 3.3*Table1[[#This Row],[x3]] + 0.6*Table1[[#This Row],[x4]] + 1*Table1[[#This Row],[x5]]</f>
        <v>#DIV/0!</v>
      </c>
      <c r="W2625" s="23" t="e">
        <f>IF(Table1[[#This Row],[Zscore]]&lt;1.81,1,0)</f>
        <v>#DIV/0!</v>
      </c>
    </row>
    <row r="2626" spans="1:23" hidden="1" x14ac:dyDescent="0.45">
      <c r="A2626" s="7">
        <v>2620</v>
      </c>
      <c r="B2626" s="5" t="s">
        <v>5248</v>
      </c>
      <c r="C2626" s="6" t="s">
        <v>5249</v>
      </c>
      <c r="D2626" s="6" t="s">
        <v>13</v>
      </c>
      <c r="E2626" s="6"/>
      <c r="F2626" s="6"/>
      <c r="G2626" s="6"/>
      <c r="H2626" s="6"/>
      <c r="I2626" s="6"/>
      <c r="J2626" s="8"/>
      <c r="K2626" s="6"/>
      <c r="L2626" s="6"/>
      <c r="M2626" s="8"/>
      <c r="N2626" s="8"/>
      <c r="O2626" s="8"/>
      <c r="P2626" s="8"/>
      <c r="Q2626" s="18" t="e">
        <f>(Table1[[#This Row],[A. TÀI SẢN NGẮN HẠN]]-Table1[[#This Row],[I. Nợ ngắn hạn]])/Table1[[#This Row],[TỔNG CỘNG TÀI SẢN]]</f>
        <v>#DIV/0!</v>
      </c>
      <c r="R2626" s="18" t="e">
        <f>Table1[[#This Row],[- LNST chưa phân phối kỳ này]]/Table1[[#This Row],[TỔNG CỘNG TÀI SẢN]]</f>
        <v>#DIV/0!</v>
      </c>
      <c r="S2626" s="21" t="e">
        <f>Table1[[#This Row],[5. Lợi nhuận gộp về bán hàng và cung cấp dịch vụ]]/Table1[[#This Row],[TỔNG CỘNG TÀI SẢN]]</f>
        <v>#DIV/0!</v>
      </c>
      <c r="T262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626" s="23" t="e">
        <f>Table1[[#This Row],[1. Doanh thu bán hàng và cung cấp dịch vụ ]]/Table1[[#This Row],[TỔNG CỘNG TÀI SẢN]]</f>
        <v>#DIV/0!</v>
      </c>
      <c r="V2626" s="23" t="e">
        <f>1.2*Table1[[#This Row],[X1]] + 1.4*Table1[[#This Row],[X2]] + 3.3*Table1[[#This Row],[x3]] + 0.6*Table1[[#This Row],[x4]] + 1*Table1[[#This Row],[x5]]</f>
        <v>#DIV/0!</v>
      </c>
      <c r="W2626" s="23" t="e">
        <f>IF(Table1[[#This Row],[Zscore]]&lt;1.81,1,0)</f>
        <v>#DIV/0!</v>
      </c>
    </row>
    <row r="2627" spans="1:23" ht="26.25" x14ac:dyDescent="0.45">
      <c r="A2627" s="7">
        <v>2621</v>
      </c>
      <c r="B2627" s="5" t="s">
        <v>5250</v>
      </c>
      <c r="C2627" s="6" t="s">
        <v>5251</v>
      </c>
      <c r="D2627" s="6" t="s">
        <v>21</v>
      </c>
      <c r="E2627" s="8">
        <v>1125797512505</v>
      </c>
      <c r="F2627" s="8">
        <v>581250408709</v>
      </c>
      <c r="G2627" s="8">
        <v>482952660778</v>
      </c>
      <c r="H2627" s="8">
        <v>8425384483</v>
      </c>
      <c r="I2627" s="8">
        <v>63894641346</v>
      </c>
      <c r="J2627" s="8"/>
      <c r="K2627" s="8">
        <v>487052660778</v>
      </c>
      <c r="L2627" s="8">
        <v>1136851273833</v>
      </c>
      <c r="M2627" s="8">
        <v>211939198110</v>
      </c>
      <c r="N2627" s="8">
        <v>202138541550</v>
      </c>
      <c r="O2627" s="8">
        <v>211530837420</v>
      </c>
      <c r="P2627" s="8">
        <v>211122476730</v>
      </c>
      <c r="Q2627" s="18">
        <f>(Table1[[#This Row],[A. TÀI SẢN NGẮN HẠN]]-Table1[[#This Row],[I. Nợ ngắn hạn]])/Table1[[#This Row],[TỔNG CỘNG TÀI SẢN]]</f>
        <v>8.7313879129363794E-2</v>
      </c>
      <c r="R2627" s="18">
        <f>Table1[[#This Row],[- LNST chưa phân phối kỳ này]]/Table1[[#This Row],[TỔNG CỘNG TÀI SẢN]]</f>
        <v>7.483925296879336E-3</v>
      </c>
      <c r="S2627" s="21">
        <f>Table1[[#This Row],[5. Lợi nhuận gộp về bán hàng và cung cấp dịch vụ]]/Table1[[#This Row],[TỔNG CỘNG TÀI SẢN]]</f>
        <v>5.6755003130028875E-2</v>
      </c>
      <c r="T262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0.42948695346075955</v>
      </c>
      <c r="U2627" s="23">
        <f>Table1[[#This Row],[1. Doanh thu bán hàng và cung cấp dịch vụ ]]/Table1[[#This Row],[TỔNG CỘNG TÀI SẢN]]</f>
        <v>1.009818605215608</v>
      </c>
      <c r="V2627" s="23">
        <f>1.2*Table1[[#This Row],[X1]] + 1.4*Table1[[#This Row],[X2]] + 3.3*Table1[[#This Row],[x3]] + 0.6*Table1[[#This Row],[x4]] + 1*Table1[[#This Row],[x5]]</f>
        <v>1.5700564379920265</v>
      </c>
      <c r="W2627" s="23">
        <f>IF(Table1[[#This Row],[Zscore]]&lt;1.81,1,0)</f>
        <v>1</v>
      </c>
    </row>
    <row r="2628" spans="1:23" hidden="1" x14ac:dyDescent="0.45">
      <c r="A2628" s="7">
        <v>2622</v>
      </c>
      <c r="B2628" s="5" t="s">
        <v>5252</v>
      </c>
      <c r="C2628" s="6" t="s">
        <v>5253</v>
      </c>
      <c r="D2628" s="6" t="s">
        <v>13</v>
      </c>
      <c r="E2628" s="6"/>
      <c r="F2628" s="6"/>
      <c r="G2628" s="6"/>
      <c r="H2628" s="6"/>
      <c r="I2628" s="6"/>
      <c r="J2628" s="8"/>
      <c r="K2628" s="6"/>
      <c r="L2628" s="6"/>
      <c r="M2628" s="8"/>
      <c r="N2628" s="8"/>
      <c r="O2628" s="8"/>
      <c r="P2628" s="8"/>
      <c r="Q2628" s="18" t="e">
        <f>(Table1[[#This Row],[A. TÀI SẢN NGẮN HẠN]]-Table1[[#This Row],[I. Nợ ngắn hạn]])/Table1[[#This Row],[TỔNG CỘNG TÀI SẢN]]</f>
        <v>#DIV/0!</v>
      </c>
      <c r="R2628" s="18" t="e">
        <f>Table1[[#This Row],[- LNST chưa phân phối kỳ này]]/Table1[[#This Row],[TỔNG CỘNG TÀI SẢN]]</f>
        <v>#DIV/0!</v>
      </c>
      <c r="S2628" s="21" t="e">
        <f>Table1[[#This Row],[5. Lợi nhuận gộp về bán hàng và cung cấp dịch vụ]]/Table1[[#This Row],[TỔNG CỘNG TÀI SẢN]]</f>
        <v>#DIV/0!</v>
      </c>
      <c r="T262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628" s="23" t="e">
        <f>Table1[[#This Row],[1. Doanh thu bán hàng và cung cấp dịch vụ ]]/Table1[[#This Row],[TỔNG CỘNG TÀI SẢN]]</f>
        <v>#DIV/0!</v>
      </c>
      <c r="V2628" s="23" t="e">
        <f>1.2*Table1[[#This Row],[X1]] + 1.4*Table1[[#This Row],[X2]] + 3.3*Table1[[#This Row],[x3]] + 0.6*Table1[[#This Row],[x4]] + 1*Table1[[#This Row],[x5]]</f>
        <v>#DIV/0!</v>
      </c>
      <c r="W2628" s="23" t="e">
        <f>IF(Table1[[#This Row],[Zscore]]&lt;1.81,1,0)</f>
        <v>#DIV/0!</v>
      </c>
    </row>
    <row r="2629" spans="1:23" ht="26.25" hidden="1" x14ac:dyDescent="0.45">
      <c r="A2629" s="7">
        <v>2623</v>
      </c>
      <c r="B2629" s="5" t="s">
        <v>5254</v>
      </c>
      <c r="C2629" s="6" t="s">
        <v>5255</v>
      </c>
      <c r="D2629" s="6" t="s">
        <v>18</v>
      </c>
      <c r="E2629" s="6"/>
      <c r="F2629" s="6"/>
      <c r="G2629" s="6"/>
      <c r="H2629" s="6"/>
      <c r="I2629" s="6"/>
      <c r="J2629" s="8"/>
      <c r="K2629" s="6"/>
      <c r="L2629" s="6"/>
      <c r="M2629" s="8"/>
      <c r="N2629" s="8"/>
      <c r="O2629" s="8"/>
      <c r="P2629" s="8"/>
      <c r="Q2629" s="18" t="e">
        <f>(Table1[[#This Row],[A. TÀI SẢN NGẮN HẠN]]-Table1[[#This Row],[I. Nợ ngắn hạn]])/Table1[[#This Row],[TỔNG CỘNG TÀI SẢN]]</f>
        <v>#DIV/0!</v>
      </c>
      <c r="R2629" s="18" t="e">
        <f>Table1[[#This Row],[- LNST chưa phân phối kỳ này]]/Table1[[#This Row],[TỔNG CỘNG TÀI SẢN]]</f>
        <v>#DIV/0!</v>
      </c>
      <c r="S2629" s="21" t="e">
        <f>Table1[[#This Row],[5. Lợi nhuận gộp về bán hàng và cung cấp dịch vụ]]/Table1[[#This Row],[TỔNG CỘNG TÀI SẢN]]</f>
        <v>#DIV/0!</v>
      </c>
      <c r="T262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629" s="23" t="e">
        <f>Table1[[#This Row],[1. Doanh thu bán hàng và cung cấp dịch vụ ]]/Table1[[#This Row],[TỔNG CỘNG TÀI SẢN]]</f>
        <v>#DIV/0!</v>
      </c>
      <c r="V2629" s="23" t="e">
        <f>1.2*Table1[[#This Row],[X1]] + 1.4*Table1[[#This Row],[X2]] + 3.3*Table1[[#This Row],[x3]] + 0.6*Table1[[#This Row],[x4]] + 1*Table1[[#This Row],[x5]]</f>
        <v>#DIV/0!</v>
      </c>
      <c r="W2629" s="23" t="e">
        <f>IF(Table1[[#This Row],[Zscore]]&lt;1.81,1,0)</f>
        <v>#DIV/0!</v>
      </c>
    </row>
    <row r="2630" spans="1:23" ht="26.25" hidden="1" x14ac:dyDescent="0.45">
      <c r="A2630" s="7">
        <v>2624</v>
      </c>
      <c r="B2630" s="5" t="s">
        <v>5256</v>
      </c>
      <c r="C2630" s="6" t="s">
        <v>5257</v>
      </c>
      <c r="D2630" s="6" t="s">
        <v>13</v>
      </c>
      <c r="E2630" s="6"/>
      <c r="F2630" s="6"/>
      <c r="G2630" s="6"/>
      <c r="H2630" s="6"/>
      <c r="I2630" s="6"/>
      <c r="J2630" s="8"/>
      <c r="K2630" s="6"/>
      <c r="L2630" s="6"/>
      <c r="M2630" s="8"/>
      <c r="N2630" s="8"/>
      <c r="O2630" s="8"/>
      <c r="P2630" s="8"/>
      <c r="Q2630" s="18" t="e">
        <f>(Table1[[#This Row],[A. TÀI SẢN NGẮN HẠN]]-Table1[[#This Row],[I. Nợ ngắn hạn]])/Table1[[#This Row],[TỔNG CỘNG TÀI SẢN]]</f>
        <v>#DIV/0!</v>
      </c>
      <c r="R2630" s="18" t="e">
        <f>Table1[[#This Row],[- LNST chưa phân phối kỳ này]]/Table1[[#This Row],[TỔNG CỘNG TÀI SẢN]]</f>
        <v>#DIV/0!</v>
      </c>
      <c r="S2630" s="21" t="e">
        <f>Table1[[#This Row],[5. Lợi nhuận gộp về bán hàng và cung cấp dịch vụ]]/Table1[[#This Row],[TỔNG CỘNG TÀI SẢN]]</f>
        <v>#DIV/0!</v>
      </c>
      <c r="T263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630" s="23" t="e">
        <f>Table1[[#This Row],[1. Doanh thu bán hàng và cung cấp dịch vụ ]]/Table1[[#This Row],[TỔNG CỘNG TÀI SẢN]]</f>
        <v>#DIV/0!</v>
      </c>
      <c r="V2630" s="23" t="e">
        <f>1.2*Table1[[#This Row],[X1]] + 1.4*Table1[[#This Row],[X2]] + 3.3*Table1[[#This Row],[x3]] + 0.6*Table1[[#This Row],[x4]] + 1*Table1[[#This Row],[x5]]</f>
        <v>#DIV/0!</v>
      </c>
      <c r="W2630" s="23" t="e">
        <f>IF(Table1[[#This Row],[Zscore]]&lt;1.81,1,0)</f>
        <v>#DIV/0!</v>
      </c>
    </row>
    <row r="2631" spans="1:23" ht="26.25" hidden="1" x14ac:dyDescent="0.45">
      <c r="A2631" s="7">
        <v>2625</v>
      </c>
      <c r="B2631" s="5" t="s">
        <v>5258</v>
      </c>
      <c r="C2631" s="6" t="s">
        <v>5259</v>
      </c>
      <c r="D2631" s="6" t="s">
        <v>13</v>
      </c>
      <c r="E2631" s="6"/>
      <c r="F2631" s="6"/>
      <c r="G2631" s="6"/>
      <c r="H2631" s="6"/>
      <c r="I2631" s="6"/>
      <c r="J2631" s="8"/>
      <c r="K2631" s="6"/>
      <c r="L2631" s="6"/>
      <c r="M2631" s="8"/>
      <c r="N2631" s="8"/>
      <c r="O2631" s="8"/>
      <c r="P2631" s="8"/>
      <c r="Q2631" s="18" t="e">
        <f>(Table1[[#This Row],[A. TÀI SẢN NGẮN HẠN]]-Table1[[#This Row],[I. Nợ ngắn hạn]])/Table1[[#This Row],[TỔNG CỘNG TÀI SẢN]]</f>
        <v>#DIV/0!</v>
      </c>
      <c r="R2631" s="18" t="e">
        <f>Table1[[#This Row],[- LNST chưa phân phối kỳ này]]/Table1[[#This Row],[TỔNG CỘNG TÀI SẢN]]</f>
        <v>#DIV/0!</v>
      </c>
      <c r="S2631" s="21" t="e">
        <f>Table1[[#This Row],[5. Lợi nhuận gộp về bán hàng và cung cấp dịch vụ]]/Table1[[#This Row],[TỔNG CỘNG TÀI SẢN]]</f>
        <v>#DIV/0!</v>
      </c>
      <c r="T263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631" s="23" t="e">
        <f>Table1[[#This Row],[1. Doanh thu bán hàng và cung cấp dịch vụ ]]/Table1[[#This Row],[TỔNG CỘNG TÀI SẢN]]</f>
        <v>#DIV/0!</v>
      </c>
      <c r="V2631" s="23" t="e">
        <f>1.2*Table1[[#This Row],[X1]] + 1.4*Table1[[#This Row],[X2]] + 3.3*Table1[[#This Row],[x3]] + 0.6*Table1[[#This Row],[x4]] + 1*Table1[[#This Row],[x5]]</f>
        <v>#DIV/0!</v>
      </c>
      <c r="W2631" s="23" t="e">
        <f>IF(Table1[[#This Row],[Zscore]]&lt;1.81,1,0)</f>
        <v>#DIV/0!</v>
      </c>
    </row>
    <row r="2632" spans="1:23" ht="26.25" hidden="1" x14ac:dyDescent="0.45">
      <c r="A2632" s="7">
        <v>2626</v>
      </c>
      <c r="B2632" s="5" t="s">
        <v>5260</v>
      </c>
      <c r="C2632" s="6" t="s">
        <v>5261</v>
      </c>
      <c r="D2632" s="6" t="s">
        <v>13</v>
      </c>
      <c r="E2632" s="6"/>
      <c r="F2632" s="6"/>
      <c r="G2632" s="6"/>
      <c r="H2632" s="6"/>
      <c r="I2632" s="6"/>
      <c r="J2632" s="8"/>
      <c r="K2632" s="6"/>
      <c r="L2632" s="6"/>
      <c r="M2632" s="8"/>
      <c r="N2632" s="8"/>
      <c r="O2632" s="8"/>
      <c r="P2632" s="8"/>
      <c r="Q2632" s="18" t="e">
        <f>(Table1[[#This Row],[A. TÀI SẢN NGẮN HẠN]]-Table1[[#This Row],[I. Nợ ngắn hạn]])/Table1[[#This Row],[TỔNG CỘNG TÀI SẢN]]</f>
        <v>#DIV/0!</v>
      </c>
      <c r="R2632" s="18" t="e">
        <f>Table1[[#This Row],[- LNST chưa phân phối kỳ này]]/Table1[[#This Row],[TỔNG CỘNG TÀI SẢN]]</f>
        <v>#DIV/0!</v>
      </c>
      <c r="S2632" s="21" t="e">
        <f>Table1[[#This Row],[5. Lợi nhuận gộp về bán hàng và cung cấp dịch vụ]]/Table1[[#This Row],[TỔNG CỘNG TÀI SẢN]]</f>
        <v>#DIV/0!</v>
      </c>
      <c r="T263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632" s="23" t="e">
        <f>Table1[[#This Row],[1. Doanh thu bán hàng và cung cấp dịch vụ ]]/Table1[[#This Row],[TỔNG CỘNG TÀI SẢN]]</f>
        <v>#DIV/0!</v>
      </c>
      <c r="V2632" s="23" t="e">
        <f>1.2*Table1[[#This Row],[X1]] + 1.4*Table1[[#This Row],[X2]] + 3.3*Table1[[#This Row],[x3]] + 0.6*Table1[[#This Row],[x4]] + 1*Table1[[#This Row],[x5]]</f>
        <v>#DIV/0!</v>
      </c>
      <c r="W2632" s="23" t="e">
        <f>IF(Table1[[#This Row],[Zscore]]&lt;1.81,1,0)</f>
        <v>#DIV/0!</v>
      </c>
    </row>
    <row r="2633" spans="1:23" ht="26.25" hidden="1" x14ac:dyDescent="0.45">
      <c r="A2633" s="7">
        <v>2627</v>
      </c>
      <c r="B2633" s="5" t="s">
        <v>5262</v>
      </c>
      <c r="C2633" s="6" t="s">
        <v>5263</v>
      </c>
      <c r="D2633" s="6" t="s">
        <v>13</v>
      </c>
      <c r="E2633" s="6"/>
      <c r="F2633" s="6"/>
      <c r="G2633" s="6"/>
      <c r="H2633" s="6"/>
      <c r="I2633" s="6"/>
      <c r="J2633" s="8"/>
      <c r="K2633" s="6"/>
      <c r="L2633" s="6"/>
      <c r="M2633" s="8"/>
      <c r="N2633" s="8"/>
      <c r="O2633" s="8"/>
      <c r="P2633" s="8"/>
      <c r="Q2633" s="18" t="e">
        <f>(Table1[[#This Row],[A. TÀI SẢN NGẮN HẠN]]-Table1[[#This Row],[I. Nợ ngắn hạn]])/Table1[[#This Row],[TỔNG CỘNG TÀI SẢN]]</f>
        <v>#DIV/0!</v>
      </c>
      <c r="R2633" s="18" t="e">
        <f>Table1[[#This Row],[- LNST chưa phân phối kỳ này]]/Table1[[#This Row],[TỔNG CỘNG TÀI SẢN]]</f>
        <v>#DIV/0!</v>
      </c>
      <c r="S2633" s="21" t="e">
        <f>Table1[[#This Row],[5. Lợi nhuận gộp về bán hàng và cung cấp dịch vụ]]/Table1[[#This Row],[TỔNG CỘNG TÀI SẢN]]</f>
        <v>#DIV/0!</v>
      </c>
      <c r="T263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633" s="23" t="e">
        <f>Table1[[#This Row],[1. Doanh thu bán hàng và cung cấp dịch vụ ]]/Table1[[#This Row],[TỔNG CỘNG TÀI SẢN]]</f>
        <v>#DIV/0!</v>
      </c>
      <c r="V2633" s="23" t="e">
        <f>1.2*Table1[[#This Row],[X1]] + 1.4*Table1[[#This Row],[X2]] + 3.3*Table1[[#This Row],[x3]] + 0.6*Table1[[#This Row],[x4]] + 1*Table1[[#This Row],[x5]]</f>
        <v>#DIV/0!</v>
      </c>
      <c r="W2633" s="23" t="e">
        <f>IF(Table1[[#This Row],[Zscore]]&lt;1.81,1,0)</f>
        <v>#DIV/0!</v>
      </c>
    </row>
    <row r="2634" spans="1:23" hidden="1" x14ac:dyDescent="0.45">
      <c r="A2634" s="7">
        <v>2628</v>
      </c>
      <c r="B2634" s="5" t="s">
        <v>5264</v>
      </c>
      <c r="C2634" s="6" t="s">
        <v>5265</v>
      </c>
      <c r="D2634" s="6" t="s">
        <v>13</v>
      </c>
      <c r="E2634" s="6"/>
      <c r="F2634" s="6"/>
      <c r="G2634" s="6"/>
      <c r="H2634" s="6"/>
      <c r="I2634" s="6"/>
      <c r="J2634" s="8"/>
      <c r="K2634" s="6"/>
      <c r="L2634" s="6"/>
      <c r="M2634" s="8"/>
      <c r="N2634" s="8"/>
      <c r="O2634" s="8"/>
      <c r="P2634" s="8"/>
      <c r="Q2634" s="18" t="e">
        <f>(Table1[[#This Row],[A. TÀI SẢN NGẮN HẠN]]-Table1[[#This Row],[I. Nợ ngắn hạn]])/Table1[[#This Row],[TỔNG CỘNG TÀI SẢN]]</f>
        <v>#DIV/0!</v>
      </c>
      <c r="R2634" s="18" t="e">
        <f>Table1[[#This Row],[- LNST chưa phân phối kỳ này]]/Table1[[#This Row],[TỔNG CỘNG TÀI SẢN]]</f>
        <v>#DIV/0!</v>
      </c>
      <c r="S2634" s="21" t="e">
        <f>Table1[[#This Row],[5. Lợi nhuận gộp về bán hàng và cung cấp dịch vụ]]/Table1[[#This Row],[TỔNG CỘNG TÀI SẢN]]</f>
        <v>#DIV/0!</v>
      </c>
      <c r="T263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634" s="23" t="e">
        <f>Table1[[#This Row],[1. Doanh thu bán hàng và cung cấp dịch vụ ]]/Table1[[#This Row],[TỔNG CỘNG TÀI SẢN]]</f>
        <v>#DIV/0!</v>
      </c>
      <c r="V2634" s="23" t="e">
        <f>1.2*Table1[[#This Row],[X1]] + 1.4*Table1[[#This Row],[X2]] + 3.3*Table1[[#This Row],[x3]] + 0.6*Table1[[#This Row],[x4]] + 1*Table1[[#This Row],[x5]]</f>
        <v>#DIV/0!</v>
      </c>
      <c r="W2634" s="23" t="e">
        <f>IF(Table1[[#This Row],[Zscore]]&lt;1.81,1,0)</f>
        <v>#DIV/0!</v>
      </c>
    </row>
    <row r="2635" spans="1:23" ht="26.25" hidden="1" x14ac:dyDescent="0.45">
      <c r="A2635" s="7">
        <v>2629</v>
      </c>
      <c r="B2635" s="5" t="s">
        <v>5266</v>
      </c>
      <c r="C2635" s="6" t="s">
        <v>5267</v>
      </c>
      <c r="D2635" s="6" t="s">
        <v>13</v>
      </c>
      <c r="E2635" s="6"/>
      <c r="F2635" s="6"/>
      <c r="G2635" s="6"/>
      <c r="H2635" s="6"/>
      <c r="I2635" s="6"/>
      <c r="J2635" s="8"/>
      <c r="K2635" s="6"/>
      <c r="L2635" s="6"/>
      <c r="M2635" s="8"/>
      <c r="N2635" s="8"/>
      <c r="O2635" s="8"/>
      <c r="P2635" s="8"/>
      <c r="Q2635" s="18" t="e">
        <f>(Table1[[#This Row],[A. TÀI SẢN NGẮN HẠN]]-Table1[[#This Row],[I. Nợ ngắn hạn]])/Table1[[#This Row],[TỔNG CỘNG TÀI SẢN]]</f>
        <v>#DIV/0!</v>
      </c>
      <c r="R2635" s="18" t="e">
        <f>Table1[[#This Row],[- LNST chưa phân phối kỳ này]]/Table1[[#This Row],[TỔNG CỘNG TÀI SẢN]]</f>
        <v>#DIV/0!</v>
      </c>
      <c r="S2635" s="21" t="e">
        <f>Table1[[#This Row],[5. Lợi nhuận gộp về bán hàng và cung cấp dịch vụ]]/Table1[[#This Row],[TỔNG CỘNG TÀI SẢN]]</f>
        <v>#DIV/0!</v>
      </c>
      <c r="T263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635" s="23" t="e">
        <f>Table1[[#This Row],[1. Doanh thu bán hàng và cung cấp dịch vụ ]]/Table1[[#This Row],[TỔNG CỘNG TÀI SẢN]]</f>
        <v>#DIV/0!</v>
      </c>
      <c r="V2635" s="23" t="e">
        <f>1.2*Table1[[#This Row],[X1]] + 1.4*Table1[[#This Row],[X2]] + 3.3*Table1[[#This Row],[x3]] + 0.6*Table1[[#This Row],[x4]] + 1*Table1[[#This Row],[x5]]</f>
        <v>#DIV/0!</v>
      </c>
      <c r="W2635" s="23" t="e">
        <f>IF(Table1[[#This Row],[Zscore]]&lt;1.81,1,0)</f>
        <v>#DIV/0!</v>
      </c>
    </row>
    <row r="2636" spans="1:23" hidden="1" x14ac:dyDescent="0.45">
      <c r="A2636" s="7">
        <v>2630</v>
      </c>
      <c r="B2636" s="5" t="s">
        <v>5268</v>
      </c>
      <c r="C2636" s="6" t="s">
        <v>5269</v>
      </c>
      <c r="D2636" s="6" t="s">
        <v>13</v>
      </c>
      <c r="E2636" s="6"/>
      <c r="F2636" s="6"/>
      <c r="G2636" s="6"/>
      <c r="H2636" s="6"/>
      <c r="I2636" s="6"/>
      <c r="J2636" s="8"/>
      <c r="K2636" s="6"/>
      <c r="L2636" s="6"/>
      <c r="M2636" s="8"/>
      <c r="N2636" s="8"/>
      <c r="O2636" s="8"/>
      <c r="P2636" s="8"/>
      <c r="Q2636" s="18" t="e">
        <f>(Table1[[#This Row],[A. TÀI SẢN NGẮN HẠN]]-Table1[[#This Row],[I. Nợ ngắn hạn]])/Table1[[#This Row],[TỔNG CỘNG TÀI SẢN]]</f>
        <v>#DIV/0!</v>
      </c>
      <c r="R2636" s="18" t="e">
        <f>Table1[[#This Row],[- LNST chưa phân phối kỳ này]]/Table1[[#This Row],[TỔNG CỘNG TÀI SẢN]]</f>
        <v>#DIV/0!</v>
      </c>
      <c r="S2636" s="21" t="e">
        <f>Table1[[#This Row],[5. Lợi nhuận gộp về bán hàng và cung cấp dịch vụ]]/Table1[[#This Row],[TỔNG CỘNG TÀI SẢN]]</f>
        <v>#DIV/0!</v>
      </c>
      <c r="T263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636" s="23" t="e">
        <f>Table1[[#This Row],[1. Doanh thu bán hàng và cung cấp dịch vụ ]]/Table1[[#This Row],[TỔNG CỘNG TÀI SẢN]]</f>
        <v>#DIV/0!</v>
      </c>
      <c r="V2636" s="23" t="e">
        <f>1.2*Table1[[#This Row],[X1]] + 1.4*Table1[[#This Row],[X2]] + 3.3*Table1[[#This Row],[x3]] + 0.6*Table1[[#This Row],[x4]] + 1*Table1[[#This Row],[x5]]</f>
        <v>#DIV/0!</v>
      </c>
      <c r="W2636" s="23" t="e">
        <f>IF(Table1[[#This Row],[Zscore]]&lt;1.81,1,0)</f>
        <v>#DIV/0!</v>
      </c>
    </row>
    <row r="2637" spans="1:23" ht="26.25" hidden="1" x14ac:dyDescent="0.45">
      <c r="A2637" s="7">
        <v>2631</v>
      </c>
      <c r="B2637" s="5" t="s">
        <v>5270</v>
      </c>
      <c r="C2637" s="6" t="s">
        <v>5271</v>
      </c>
      <c r="D2637" s="6" t="s">
        <v>13</v>
      </c>
      <c r="E2637" s="6"/>
      <c r="F2637" s="6"/>
      <c r="G2637" s="6"/>
      <c r="H2637" s="6"/>
      <c r="I2637" s="6"/>
      <c r="J2637" s="8"/>
      <c r="K2637" s="6"/>
      <c r="L2637" s="6"/>
      <c r="M2637" s="8"/>
      <c r="N2637" s="8"/>
      <c r="O2637" s="8"/>
      <c r="P2637" s="8"/>
      <c r="Q2637" s="18" t="e">
        <f>(Table1[[#This Row],[A. TÀI SẢN NGẮN HẠN]]-Table1[[#This Row],[I. Nợ ngắn hạn]])/Table1[[#This Row],[TỔNG CỘNG TÀI SẢN]]</f>
        <v>#DIV/0!</v>
      </c>
      <c r="R2637" s="18" t="e">
        <f>Table1[[#This Row],[- LNST chưa phân phối kỳ này]]/Table1[[#This Row],[TỔNG CỘNG TÀI SẢN]]</f>
        <v>#DIV/0!</v>
      </c>
      <c r="S2637" s="21" t="e">
        <f>Table1[[#This Row],[5. Lợi nhuận gộp về bán hàng và cung cấp dịch vụ]]/Table1[[#This Row],[TỔNG CỘNG TÀI SẢN]]</f>
        <v>#DIV/0!</v>
      </c>
      <c r="T263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637" s="23" t="e">
        <f>Table1[[#This Row],[1. Doanh thu bán hàng và cung cấp dịch vụ ]]/Table1[[#This Row],[TỔNG CỘNG TÀI SẢN]]</f>
        <v>#DIV/0!</v>
      </c>
      <c r="V2637" s="23" t="e">
        <f>1.2*Table1[[#This Row],[X1]] + 1.4*Table1[[#This Row],[X2]] + 3.3*Table1[[#This Row],[x3]] + 0.6*Table1[[#This Row],[x4]] + 1*Table1[[#This Row],[x5]]</f>
        <v>#DIV/0!</v>
      </c>
      <c r="W2637" s="23" t="e">
        <f>IF(Table1[[#This Row],[Zscore]]&lt;1.81,1,0)</f>
        <v>#DIV/0!</v>
      </c>
    </row>
    <row r="2638" spans="1:23" hidden="1" x14ac:dyDescent="0.45">
      <c r="A2638" s="7">
        <v>2632</v>
      </c>
      <c r="B2638" s="5" t="s">
        <v>5272</v>
      </c>
      <c r="C2638" s="6" t="s">
        <v>5273</v>
      </c>
      <c r="D2638" s="6" t="s">
        <v>13</v>
      </c>
      <c r="E2638" s="6"/>
      <c r="F2638" s="6"/>
      <c r="G2638" s="6"/>
      <c r="H2638" s="6"/>
      <c r="I2638" s="6"/>
      <c r="J2638" s="8"/>
      <c r="K2638" s="6"/>
      <c r="L2638" s="6"/>
      <c r="M2638" s="8"/>
      <c r="N2638" s="8"/>
      <c r="O2638" s="8"/>
      <c r="P2638" s="8"/>
      <c r="Q2638" s="18" t="e">
        <f>(Table1[[#This Row],[A. TÀI SẢN NGẮN HẠN]]-Table1[[#This Row],[I. Nợ ngắn hạn]])/Table1[[#This Row],[TỔNG CỘNG TÀI SẢN]]</f>
        <v>#DIV/0!</v>
      </c>
      <c r="R2638" s="18" t="e">
        <f>Table1[[#This Row],[- LNST chưa phân phối kỳ này]]/Table1[[#This Row],[TỔNG CỘNG TÀI SẢN]]</f>
        <v>#DIV/0!</v>
      </c>
      <c r="S2638" s="21" t="e">
        <f>Table1[[#This Row],[5. Lợi nhuận gộp về bán hàng và cung cấp dịch vụ]]/Table1[[#This Row],[TỔNG CỘNG TÀI SẢN]]</f>
        <v>#DIV/0!</v>
      </c>
      <c r="T263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638" s="23" t="e">
        <f>Table1[[#This Row],[1. Doanh thu bán hàng và cung cấp dịch vụ ]]/Table1[[#This Row],[TỔNG CỘNG TÀI SẢN]]</f>
        <v>#DIV/0!</v>
      </c>
      <c r="V2638" s="23" t="e">
        <f>1.2*Table1[[#This Row],[X1]] + 1.4*Table1[[#This Row],[X2]] + 3.3*Table1[[#This Row],[x3]] + 0.6*Table1[[#This Row],[x4]] + 1*Table1[[#This Row],[x5]]</f>
        <v>#DIV/0!</v>
      </c>
      <c r="W2638" s="23" t="e">
        <f>IF(Table1[[#This Row],[Zscore]]&lt;1.81,1,0)</f>
        <v>#DIV/0!</v>
      </c>
    </row>
    <row r="2639" spans="1:23" hidden="1" x14ac:dyDescent="0.45">
      <c r="A2639" s="7">
        <v>2633</v>
      </c>
      <c r="B2639" s="5" t="s">
        <v>5274</v>
      </c>
      <c r="C2639" s="6" t="s">
        <v>5275</v>
      </c>
      <c r="D2639" s="6" t="s">
        <v>13</v>
      </c>
      <c r="E2639" s="6"/>
      <c r="F2639" s="6"/>
      <c r="G2639" s="6"/>
      <c r="H2639" s="6"/>
      <c r="I2639" s="6"/>
      <c r="J2639" s="8"/>
      <c r="K2639" s="6"/>
      <c r="L2639" s="6"/>
      <c r="M2639" s="8"/>
      <c r="N2639" s="8"/>
      <c r="O2639" s="8"/>
      <c r="P2639" s="8"/>
      <c r="Q2639" s="18" t="e">
        <f>(Table1[[#This Row],[A. TÀI SẢN NGẮN HẠN]]-Table1[[#This Row],[I. Nợ ngắn hạn]])/Table1[[#This Row],[TỔNG CỘNG TÀI SẢN]]</f>
        <v>#DIV/0!</v>
      </c>
      <c r="R2639" s="18" t="e">
        <f>Table1[[#This Row],[- LNST chưa phân phối kỳ này]]/Table1[[#This Row],[TỔNG CỘNG TÀI SẢN]]</f>
        <v>#DIV/0!</v>
      </c>
      <c r="S2639" s="21" t="e">
        <f>Table1[[#This Row],[5. Lợi nhuận gộp về bán hàng và cung cấp dịch vụ]]/Table1[[#This Row],[TỔNG CỘNG TÀI SẢN]]</f>
        <v>#DIV/0!</v>
      </c>
      <c r="T263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639" s="23" t="e">
        <f>Table1[[#This Row],[1. Doanh thu bán hàng và cung cấp dịch vụ ]]/Table1[[#This Row],[TỔNG CỘNG TÀI SẢN]]</f>
        <v>#DIV/0!</v>
      </c>
      <c r="V2639" s="23" t="e">
        <f>1.2*Table1[[#This Row],[X1]] + 1.4*Table1[[#This Row],[X2]] + 3.3*Table1[[#This Row],[x3]] + 0.6*Table1[[#This Row],[x4]] + 1*Table1[[#This Row],[x5]]</f>
        <v>#DIV/0!</v>
      </c>
      <c r="W2639" s="23" t="e">
        <f>IF(Table1[[#This Row],[Zscore]]&lt;1.81,1,0)</f>
        <v>#DIV/0!</v>
      </c>
    </row>
    <row r="2640" spans="1:23" hidden="1" x14ac:dyDescent="0.45">
      <c r="A2640" s="7">
        <v>2634</v>
      </c>
      <c r="B2640" s="5" t="s">
        <v>5276</v>
      </c>
      <c r="C2640" s="6" t="s">
        <v>5277</v>
      </c>
      <c r="D2640" s="6" t="s">
        <v>13</v>
      </c>
      <c r="E2640" s="6"/>
      <c r="F2640" s="6"/>
      <c r="G2640" s="6"/>
      <c r="H2640" s="6"/>
      <c r="I2640" s="6"/>
      <c r="J2640" s="8"/>
      <c r="K2640" s="6"/>
      <c r="L2640" s="6"/>
      <c r="M2640" s="8"/>
      <c r="N2640" s="8"/>
      <c r="O2640" s="8"/>
      <c r="P2640" s="8"/>
      <c r="Q2640" s="18" t="e">
        <f>(Table1[[#This Row],[A. TÀI SẢN NGẮN HẠN]]-Table1[[#This Row],[I. Nợ ngắn hạn]])/Table1[[#This Row],[TỔNG CỘNG TÀI SẢN]]</f>
        <v>#DIV/0!</v>
      </c>
      <c r="R2640" s="18" t="e">
        <f>Table1[[#This Row],[- LNST chưa phân phối kỳ này]]/Table1[[#This Row],[TỔNG CỘNG TÀI SẢN]]</f>
        <v>#DIV/0!</v>
      </c>
      <c r="S2640" s="21" t="e">
        <f>Table1[[#This Row],[5. Lợi nhuận gộp về bán hàng và cung cấp dịch vụ]]/Table1[[#This Row],[TỔNG CỘNG TÀI SẢN]]</f>
        <v>#DIV/0!</v>
      </c>
      <c r="T264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640" s="23" t="e">
        <f>Table1[[#This Row],[1. Doanh thu bán hàng và cung cấp dịch vụ ]]/Table1[[#This Row],[TỔNG CỘNG TÀI SẢN]]</f>
        <v>#DIV/0!</v>
      </c>
      <c r="V2640" s="23" t="e">
        <f>1.2*Table1[[#This Row],[X1]] + 1.4*Table1[[#This Row],[X2]] + 3.3*Table1[[#This Row],[x3]] + 0.6*Table1[[#This Row],[x4]] + 1*Table1[[#This Row],[x5]]</f>
        <v>#DIV/0!</v>
      </c>
      <c r="W2640" s="23" t="e">
        <f>IF(Table1[[#This Row],[Zscore]]&lt;1.81,1,0)</f>
        <v>#DIV/0!</v>
      </c>
    </row>
    <row r="2641" spans="1:23" hidden="1" x14ac:dyDescent="0.45">
      <c r="A2641" s="7">
        <v>2635</v>
      </c>
      <c r="B2641" s="5" t="s">
        <v>5278</v>
      </c>
      <c r="C2641" s="6" t="s">
        <v>5279</v>
      </c>
      <c r="D2641" s="6" t="s">
        <v>13</v>
      </c>
      <c r="E2641" s="6"/>
      <c r="F2641" s="6"/>
      <c r="G2641" s="6"/>
      <c r="H2641" s="6"/>
      <c r="I2641" s="6"/>
      <c r="J2641" s="8"/>
      <c r="K2641" s="6"/>
      <c r="L2641" s="6"/>
      <c r="M2641" s="8"/>
      <c r="N2641" s="8"/>
      <c r="O2641" s="8"/>
      <c r="P2641" s="8"/>
      <c r="Q2641" s="18" t="e">
        <f>(Table1[[#This Row],[A. TÀI SẢN NGẮN HẠN]]-Table1[[#This Row],[I. Nợ ngắn hạn]])/Table1[[#This Row],[TỔNG CỘNG TÀI SẢN]]</f>
        <v>#DIV/0!</v>
      </c>
      <c r="R2641" s="18" t="e">
        <f>Table1[[#This Row],[- LNST chưa phân phối kỳ này]]/Table1[[#This Row],[TỔNG CỘNG TÀI SẢN]]</f>
        <v>#DIV/0!</v>
      </c>
      <c r="S2641" s="21" t="e">
        <f>Table1[[#This Row],[5. Lợi nhuận gộp về bán hàng và cung cấp dịch vụ]]/Table1[[#This Row],[TỔNG CỘNG TÀI SẢN]]</f>
        <v>#DIV/0!</v>
      </c>
      <c r="T264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641" s="23" t="e">
        <f>Table1[[#This Row],[1. Doanh thu bán hàng và cung cấp dịch vụ ]]/Table1[[#This Row],[TỔNG CỘNG TÀI SẢN]]</f>
        <v>#DIV/0!</v>
      </c>
      <c r="V2641" s="23" t="e">
        <f>1.2*Table1[[#This Row],[X1]] + 1.4*Table1[[#This Row],[X2]] + 3.3*Table1[[#This Row],[x3]] + 0.6*Table1[[#This Row],[x4]] + 1*Table1[[#This Row],[x5]]</f>
        <v>#DIV/0!</v>
      </c>
      <c r="W2641" s="23" t="e">
        <f>IF(Table1[[#This Row],[Zscore]]&lt;1.81,1,0)</f>
        <v>#DIV/0!</v>
      </c>
    </row>
    <row r="2642" spans="1:23" ht="26.25" hidden="1" x14ac:dyDescent="0.45">
      <c r="A2642" s="7">
        <v>2636</v>
      </c>
      <c r="B2642" s="5" t="s">
        <v>5280</v>
      </c>
      <c r="C2642" s="6" t="s">
        <v>5281</v>
      </c>
      <c r="D2642" s="6" t="s">
        <v>13</v>
      </c>
      <c r="E2642" s="6"/>
      <c r="F2642" s="6"/>
      <c r="G2642" s="6"/>
      <c r="H2642" s="6"/>
      <c r="I2642" s="6"/>
      <c r="J2642" s="8"/>
      <c r="K2642" s="6"/>
      <c r="L2642" s="6"/>
      <c r="M2642" s="8"/>
      <c r="N2642" s="8"/>
      <c r="O2642" s="8"/>
      <c r="P2642" s="8"/>
      <c r="Q2642" s="18" t="e">
        <f>(Table1[[#This Row],[A. TÀI SẢN NGẮN HẠN]]-Table1[[#This Row],[I. Nợ ngắn hạn]])/Table1[[#This Row],[TỔNG CỘNG TÀI SẢN]]</f>
        <v>#DIV/0!</v>
      </c>
      <c r="R2642" s="18" t="e">
        <f>Table1[[#This Row],[- LNST chưa phân phối kỳ này]]/Table1[[#This Row],[TỔNG CỘNG TÀI SẢN]]</f>
        <v>#DIV/0!</v>
      </c>
      <c r="S2642" s="21" t="e">
        <f>Table1[[#This Row],[5. Lợi nhuận gộp về bán hàng và cung cấp dịch vụ]]/Table1[[#This Row],[TỔNG CỘNG TÀI SẢN]]</f>
        <v>#DIV/0!</v>
      </c>
      <c r="T264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642" s="23" t="e">
        <f>Table1[[#This Row],[1. Doanh thu bán hàng và cung cấp dịch vụ ]]/Table1[[#This Row],[TỔNG CỘNG TÀI SẢN]]</f>
        <v>#DIV/0!</v>
      </c>
      <c r="V2642" s="23" t="e">
        <f>1.2*Table1[[#This Row],[X1]] + 1.4*Table1[[#This Row],[X2]] + 3.3*Table1[[#This Row],[x3]] + 0.6*Table1[[#This Row],[x4]] + 1*Table1[[#This Row],[x5]]</f>
        <v>#DIV/0!</v>
      </c>
      <c r="W2642" s="23" t="e">
        <f>IF(Table1[[#This Row],[Zscore]]&lt;1.81,1,0)</f>
        <v>#DIV/0!</v>
      </c>
    </row>
    <row r="2643" spans="1:23" hidden="1" x14ac:dyDescent="0.45">
      <c r="A2643" s="7">
        <v>2637</v>
      </c>
      <c r="B2643" s="5" t="s">
        <v>5282</v>
      </c>
      <c r="C2643" s="6" t="s">
        <v>5283</v>
      </c>
      <c r="D2643" s="6" t="s">
        <v>13</v>
      </c>
      <c r="E2643" s="6"/>
      <c r="F2643" s="6"/>
      <c r="G2643" s="6"/>
      <c r="H2643" s="6"/>
      <c r="I2643" s="6"/>
      <c r="J2643" s="8"/>
      <c r="K2643" s="6"/>
      <c r="L2643" s="6"/>
      <c r="M2643" s="8"/>
      <c r="N2643" s="8"/>
      <c r="O2643" s="8"/>
      <c r="P2643" s="8"/>
      <c r="Q2643" s="18" t="e">
        <f>(Table1[[#This Row],[A. TÀI SẢN NGẮN HẠN]]-Table1[[#This Row],[I. Nợ ngắn hạn]])/Table1[[#This Row],[TỔNG CỘNG TÀI SẢN]]</f>
        <v>#DIV/0!</v>
      </c>
      <c r="R2643" s="18" t="e">
        <f>Table1[[#This Row],[- LNST chưa phân phối kỳ này]]/Table1[[#This Row],[TỔNG CỘNG TÀI SẢN]]</f>
        <v>#DIV/0!</v>
      </c>
      <c r="S2643" s="21" t="e">
        <f>Table1[[#This Row],[5. Lợi nhuận gộp về bán hàng và cung cấp dịch vụ]]/Table1[[#This Row],[TỔNG CỘNG TÀI SẢN]]</f>
        <v>#DIV/0!</v>
      </c>
      <c r="T264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643" s="23" t="e">
        <f>Table1[[#This Row],[1. Doanh thu bán hàng và cung cấp dịch vụ ]]/Table1[[#This Row],[TỔNG CỘNG TÀI SẢN]]</f>
        <v>#DIV/0!</v>
      </c>
      <c r="V2643" s="23" t="e">
        <f>1.2*Table1[[#This Row],[X1]] + 1.4*Table1[[#This Row],[X2]] + 3.3*Table1[[#This Row],[x3]] + 0.6*Table1[[#This Row],[x4]] + 1*Table1[[#This Row],[x5]]</f>
        <v>#DIV/0!</v>
      </c>
      <c r="W2643" s="23" t="e">
        <f>IF(Table1[[#This Row],[Zscore]]&lt;1.81,1,0)</f>
        <v>#DIV/0!</v>
      </c>
    </row>
    <row r="2644" spans="1:23" hidden="1" x14ac:dyDescent="0.45">
      <c r="A2644" s="7">
        <v>2638</v>
      </c>
      <c r="B2644" s="5" t="s">
        <v>5284</v>
      </c>
      <c r="C2644" s="6" t="s">
        <v>5285</v>
      </c>
      <c r="D2644" s="6" t="s">
        <v>13</v>
      </c>
      <c r="E2644" s="6"/>
      <c r="F2644" s="6"/>
      <c r="G2644" s="6"/>
      <c r="H2644" s="6"/>
      <c r="I2644" s="6"/>
      <c r="J2644" s="8"/>
      <c r="K2644" s="6"/>
      <c r="L2644" s="6"/>
      <c r="M2644" s="8"/>
      <c r="N2644" s="8"/>
      <c r="O2644" s="8"/>
      <c r="P2644" s="8"/>
      <c r="Q2644" s="18" t="e">
        <f>(Table1[[#This Row],[A. TÀI SẢN NGẮN HẠN]]-Table1[[#This Row],[I. Nợ ngắn hạn]])/Table1[[#This Row],[TỔNG CỘNG TÀI SẢN]]</f>
        <v>#DIV/0!</v>
      </c>
      <c r="R2644" s="18" t="e">
        <f>Table1[[#This Row],[- LNST chưa phân phối kỳ này]]/Table1[[#This Row],[TỔNG CỘNG TÀI SẢN]]</f>
        <v>#DIV/0!</v>
      </c>
      <c r="S2644" s="21" t="e">
        <f>Table1[[#This Row],[5. Lợi nhuận gộp về bán hàng và cung cấp dịch vụ]]/Table1[[#This Row],[TỔNG CỘNG TÀI SẢN]]</f>
        <v>#DIV/0!</v>
      </c>
      <c r="T264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644" s="23" t="e">
        <f>Table1[[#This Row],[1. Doanh thu bán hàng và cung cấp dịch vụ ]]/Table1[[#This Row],[TỔNG CỘNG TÀI SẢN]]</f>
        <v>#DIV/0!</v>
      </c>
      <c r="V2644" s="23" t="e">
        <f>1.2*Table1[[#This Row],[X1]] + 1.4*Table1[[#This Row],[X2]] + 3.3*Table1[[#This Row],[x3]] + 0.6*Table1[[#This Row],[x4]] + 1*Table1[[#This Row],[x5]]</f>
        <v>#DIV/0!</v>
      </c>
      <c r="W2644" s="23" t="e">
        <f>IF(Table1[[#This Row],[Zscore]]&lt;1.81,1,0)</f>
        <v>#DIV/0!</v>
      </c>
    </row>
    <row r="2645" spans="1:23" ht="26.25" x14ac:dyDescent="0.45">
      <c r="A2645" s="7">
        <v>2639</v>
      </c>
      <c r="B2645" s="5" t="s">
        <v>5286</v>
      </c>
      <c r="C2645" s="6" t="s">
        <v>5287</v>
      </c>
      <c r="D2645" s="6" t="s">
        <v>36</v>
      </c>
      <c r="E2645" s="8">
        <v>5595946013287</v>
      </c>
      <c r="F2645" s="8">
        <v>3463278474196</v>
      </c>
      <c r="G2645" s="8">
        <v>453195417101</v>
      </c>
      <c r="H2645" s="8">
        <v>305454379069</v>
      </c>
      <c r="I2645" s="8">
        <v>331795021424</v>
      </c>
      <c r="J2645" s="8"/>
      <c r="K2645" s="8">
        <v>516808720203</v>
      </c>
      <c r="L2645" s="8">
        <v>1899386624876</v>
      </c>
      <c r="M2645" s="8">
        <v>6405000000000</v>
      </c>
      <c r="N2645" s="8">
        <v>5565000000000</v>
      </c>
      <c r="O2645" s="8">
        <v>5950000000000</v>
      </c>
      <c r="P2645" s="8">
        <v>5355000000000</v>
      </c>
      <c r="Q2645" s="18">
        <f>(Table1[[#This Row],[A. TÀI SẢN NGẮN HẠN]]-Table1[[#This Row],[I. Nợ ngắn hạn]])/Table1[[#This Row],[TỔNG CỘNG TÀI SẢN]]</f>
        <v>0.53790423459194681</v>
      </c>
      <c r="R2645" s="18">
        <f>Table1[[#This Row],[- LNST chưa phân phối kỳ này]]/Table1[[#This Row],[TỔNG CỘNG TÀI SẢN]]</f>
        <v>5.4584940302091892E-2</v>
      </c>
      <c r="S2645" s="21">
        <f>Table1[[#This Row],[5. Lợi nhuận gộp về bán hàng và cung cấp dịch vụ]]/Table1[[#This Row],[TỔNG CỘNG TÀI SẢN]]</f>
        <v>5.9292034025379574E-2</v>
      </c>
      <c r="T264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11.259001198188805</v>
      </c>
      <c r="U2645" s="23">
        <f>Table1[[#This Row],[1. Doanh thu bán hàng và cung cấp dịch vụ ]]/Table1[[#This Row],[TỔNG CỘNG TÀI SẢN]]</f>
        <v>0.33942189941899031</v>
      </c>
      <c r="V2645" s="23">
        <f>1.2*Table1[[#This Row],[X1]] + 1.4*Table1[[#This Row],[X2]] + 3.3*Table1[[#This Row],[x3]] + 0.6*Table1[[#This Row],[x4]] + 1*Table1[[#This Row],[x5]]</f>
        <v>8.0123903285492908</v>
      </c>
      <c r="W2645" s="23">
        <f>IF(Table1[[#This Row],[Zscore]]&lt;1.81,1,0)</f>
        <v>0</v>
      </c>
    </row>
    <row r="2646" spans="1:23" ht="26.25" hidden="1" x14ac:dyDescent="0.45">
      <c r="A2646" s="7">
        <v>2640</v>
      </c>
      <c r="B2646" s="5" t="s">
        <v>5288</v>
      </c>
      <c r="C2646" s="6" t="s">
        <v>5289</v>
      </c>
      <c r="D2646" s="6" t="s">
        <v>13</v>
      </c>
      <c r="E2646" s="6"/>
      <c r="F2646" s="6"/>
      <c r="G2646" s="6"/>
      <c r="H2646" s="6"/>
      <c r="I2646" s="6"/>
      <c r="J2646" s="8"/>
      <c r="K2646" s="6"/>
      <c r="L2646" s="6"/>
      <c r="M2646" s="8"/>
      <c r="N2646" s="8"/>
      <c r="O2646" s="8"/>
      <c r="P2646" s="8"/>
      <c r="Q2646" s="18" t="e">
        <f>(Table1[[#This Row],[A. TÀI SẢN NGẮN HẠN]]-Table1[[#This Row],[I. Nợ ngắn hạn]])/Table1[[#This Row],[TỔNG CỘNG TÀI SẢN]]</f>
        <v>#DIV/0!</v>
      </c>
      <c r="R2646" s="18" t="e">
        <f>Table1[[#This Row],[- LNST chưa phân phối kỳ này]]/Table1[[#This Row],[TỔNG CỘNG TÀI SẢN]]</f>
        <v>#DIV/0!</v>
      </c>
      <c r="S2646" s="21" t="e">
        <f>Table1[[#This Row],[5. Lợi nhuận gộp về bán hàng và cung cấp dịch vụ]]/Table1[[#This Row],[TỔNG CỘNG TÀI SẢN]]</f>
        <v>#DIV/0!</v>
      </c>
      <c r="T264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646" s="23" t="e">
        <f>Table1[[#This Row],[1. Doanh thu bán hàng và cung cấp dịch vụ ]]/Table1[[#This Row],[TỔNG CỘNG TÀI SẢN]]</f>
        <v>#DIV/0!</v>
      </c>
      <c r="V2646" s="23" t="e">
        <f>1.2*Table1[[#This Row],[X1]] + 1.4*Table1[[#This Row],[X2]] + 3.3*Table1[[#This Row],[x3]] + 0.6*Table1[[#This Row],[x4]] + 1*Table1[[#This Row],[x5]]</f>
        <v>#DIV/0!</v>
      </c>
      <c r="W2646" s="23" t="e">
        <f>IF(Table1[[#This Row],[Zscore]]&lt;1.81,1,0)</f>
        <v>#DIV/0!</v>
      </c>
    </row>
    <row r="2647" spans="1:23" ht="26.25" x14ac:dyDescent="0.45">
      <c r="A2647" s="7">
        <v>2641</v>
      </c>
      <c r="B2647" s="5" t="s">
        <v>5290</v>
      </c>
      <c r="C2647" s="6" t="s">
        <v>5291</v>
      </c>
      <c r="D2647" s="6" t="s">
        <v>36</v>
      </c>
      <c r="E2647" s="8">
        <v>365569922726</v>
      </c>
      <c r="F2647" s="8">
        <v>216416992007</v>
      </c>
      <c r="G2647" s="8">
        <v>8349367273</v>
      </c>
      <c r="H2647" s="6"/>
      <c r="I2647" s="8">
        <v>12115611776</v>
      </c>
      <c r="J2647" s="8"/>
      <c r="K2647" s="8">
        <v>8349367273</v>
      </c>
      <c r="L2647" s="8">
        <v>38546905313</v>
      </c>
      <c r="M2647" s="8">
        <v>329473090000</v>
      </c>
      <c r="N2647" s="8">
        <v>257259810000</v>
      </c>
      <c r="O2647" s="8">
        <v>288853120000</v>
      </c>
      <c r="P2647" s="8">
        <v>315933100000</v>
      </c>
      <c r="Q2647" s="18">
        <f>(Table1[[#This Row],[A. TÀI SẢN NGẮN HẠN]]-Table1[[#This Row],[I. Nợ ngắn hạn]])/Table1[[#This Row],[TỔNG CỘNG TÀI SẢN]]</f>
        <v>0.56915958288491286</v>
      </c>
      <c r="R2647" s="18">
        <f>Table1[[#This Row],[- LNST chưa phân phối kỳ này]]/Table1[[#This Row],[TỔNG CỘNG TÀI SẢN]]</f>
        <v>0</v>
      </c>
      <c r="S2647" s="21">
        <f>Table1[[#This Row],[5. Lợi nhuận gộp về bán hàng và cung cấp dịch vụ]]/Table1[[#This Row],[TỔNG CỘNG TÀI SẢN]]</f>
        <v>3.3141708392352691E-2</v>
      </c>
      <c r="T264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35.676928593532722</v>
      </c>
      <c r="U2647" s="23">
        <f>Table1[[#This Row],[1. Doanh thu bán hàng và cung cấp dịch vụ ]]/Table1[[#This Row],[TỔNG CỘNG TÀI SẢN]]</f>
        <v>0.10544331717872607</v>
      </c>
      <c r="V2647" s="23">
        <f>1.2*Table1[[#This Row],[X1]] + 1.4*Table1[[#This Row],[X2]] + 3.3*Table1[[#This Row],[x3]] + 0.6*Table1[[#This Row],[x4]] + 1*Table1[[#This Row],[x5]]</f>
        <v>22.303959610455017</v>
      </c>
      <c r="W2647" s="23">
        <f>IF(Table1[[#This Row],[Zscore]]&lt;1.81,1,0)</f>
        <v>0</v>
      </c>
    </row>
    <row r="2648" spans="1:23" hidden="1" x14ac:dyDescent="0.45">
      <c r="A2648" s="7">
        <v>2642</v>
      </c>
      <c r="B2648" s="5" t="s">
        <v>5292</v>
      </c>
      <c r="C2648" s="6" t="s">
        <v>5293</v>
      </c>
      <c r="D2648" s="6" t="s">
        <v>13</v>
      </c>
      <c r="E2648" s="6"/>
      <c r="F2648" s="6"/>
      <c r="G2648" s="6"/>
      <c r="H2648" s="6"/>
      <c r="I2648" s="6"/>
      <c r="J2648" s="8"/>
      <c r="K2648" s="6"/>
      <c r="L2648" s="6"/>
      <c r="M2648" s="8"/>
      <c r="N2648" s="8"/>
      <c r="O2648" s="8"/>
      <c r="P2648" s="8"/>
      <c r="Q2648" s="18" t="e">
        <f>(Table1[[#This Row],[A. TÀI SẢN NGẮN HẠN]]-Table1[[#This Row],[I. Nợ ngắn hạn]])/Table1[[#This Row],[TỔNG CỘNG TÀI SẢN]]</f>
        <v>#DIV/0!</v>
      </c>
      <c r="R2648" s="18" t="e">
        <f>Table1[[#This Row],[- LNST chưa phân phối kỳ này]]/Table1[[#This Row],[TỔNG CỘNG TÀI SẢN]]</f>
        <v>#DIV/0!</v>
      </c>
      <c r="S2648" s="21" t="e">
        <f>Table1[[#This Row],[5. Lợi nhuận gộp về bán hàng và cung cấp dịch vụ]]/Table1[[#This Row],[TỔNG CỘNG TÀI SẢN]]</f>
        <v>#DIV/0!</v>
      </c>
      <c r="T264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648" s="23" t="e">
        <f>Table1[[#This Row],[1. Doanh thu bán hàng và cung cấp dịch vụ ]]/Table1[[#This Row],[TỔNG CỘNG TÀI SẢN]]</f>
        <v>#DIV/0!</v>
      </c>
      <c r="V2648" s="23" t="e">
        <f>1.2*Table1[[#This Row],[X1]] + 1.4*Table1[[#This Row],[X2]] + 3.3*Table1[[#This Row],[x3]] + 0.6*Table1[[#This Row],[x4]] + 1*Table1[[#This Row],[x5]]</f>
        <v>#DIV/0!</v>
      </c>
      <c r="W2648" s="23" t="e">
        <f>IF(Table1[[#This Row],[Zscore]]&lt;1.81,1,0)</f>
        <v>#DIV/0!</v>
      </c>
    </row>
    <row r="2649" spans="1:23" hidden="1" x14ac:dyDescent="0.45">
      <c r="A2649" s="7">
        <v>2643</v>
      </c>
      <c r="B2649" s="5" t="s">
        <v>5294</v>
      </c>
      <c r="C2649" s="6" t="s">
        <v>5295</v>
      </c>
      <c r="D2649" s="6" t="s">
        <v>13</v>
      </c>
      <c r="E2649" s="6"/>
      <c r="F2649" s="6"/>
      <c r="G2649" s="6"/>
      <c r="H2649" s="6"/>
      <c r="I2649" s="6"/>
      <c r="J2649" s="8"/>
      <c r="K2649" s="6"/>
      <c r="L2649" s="6"/>
      <c r="M2649" s="8"/>
      <c r="N2649" s="8"/>
      <c r="O2649" s="8"/>
      <c r="P2649" s="8"/>
      <c r="Q2649" s="18" t="e">
        <f>(Table1[[#This Row],[A. TÀI SẢN NGẮN HẠN]]-Table1[[#This Row],[I. Nợ ngắn hạn]])/Table1[[#This Row],[TỔNG CỘNG TÀI SẢN]]</f>
        <v>#DIV/0!</v>
      </c>
      <c r="R2649" s="18" t="e">
        <f>Table1[[#This Row],[- LNST chưa phân phối kỳ này]]/Table1[[#This Row],[TỔNG CỘNG TÀI SẢN]]</f>
        <v>#DIV/0!</v>
      </c>
      <c r="S2649" s="21" t="e">
        <f>Table1[[#This Row],[5. Lợi nhuận gộp về bán hàng và cung cấp dịch vụ]]/Table1[[#This Row],[TỔNG CỘNG TÀI SẢN]]</f>
        <v>#DIV/0!</v>
      </c>
      <c r="T264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649" s="23" t="e">
        <f>Table1[[#This Row],[1. Doanh thu bán hàng và cung cấp dịch vụ ]]/Table1[[#This Row],[TỔNG CỘNG TÀI SẢN]]</f>
        <v>#DIV/0!</v>
      </c>
      <c r="V2649" s="23" t="e">
        <f>1.2*Table1[[#This Row],[X1]] + 1.4*Table1[[#This Row],[X2]] + 3.3*Table1[[#This Row],[x3]] + 0.6*Table1[[#This Row],[x4]] + 1*Table1[[#This Row],[x5]]</f>
        <v>#DIV/0!</v>
      </c>
      <c r="W2649" s="23" t="e">
        <f>IF(Table1[[#This Row],[Zscore]]&lt;1.81,1,0)</f>
        <v>#DIV/0!</v>
      </c>
    </row>
    <row r="2650" spans="1:23" ht="26.25" hidden="1" x14ac:dyDescent="0.45">
      <c r="A2650" s="7">
        <v>2644</v>
      </c>
      <c r="B2650" s="5" t="s">
        <v>5296</v>
      </c>
      <c r="C2650" s="6" t="s">
        <v>5297</v>
      </c>
      <c r="D2650" s="6" t="s">
        <v>13</v>
      </c>
      <c r="E2650" s="6"/>
      <c r="F2650" s="6"/>
      <c r="G2650" s="6"/>
      <c r="H2650" s="6"/>
      <c r="I2650" s="6"/>
      <c r="J2650" s="8"/>
      <c r="K2650" s="6"/>
      <c r="L2650" s="6"/>
      <c r="M2650" s="8"/>
      <c r="N2650" s="8"/>
      <c r="O2650" s="8"/>
      <c r="P2650" s="8"/>
      <c r="Q2650" s="18" t="e">
        <f>(Table1[[#This Row],[A. TÀI SẢN NGẮN HẠN]]-Table1[[#This Row],[I. Nợ ngắn hạn]])/Table1[[#This Row],[TỔNG CỘNG TÀI SẢN]]</f>
        <v>#DIV/0!</v>
      </c>
      <c r="R2650" s="18" t="e">
        <f>Table1[[#This Row],[- LNST chưa phân phối kỳ này]]/Table1[[#This Row],[TỔNG CỘNG TÀI SẢN]]</f>
        <v>#DIV/0!</v>
      </c>
      <c r="S2650" s="21" t="e">
        <f>Table1[[#This Row],[5. Lợi nhuận gộp về bán hàng và cung cấp dịch vụ]]/Table1[[#This Row],[TỔNG CỘNG TÀI SẢN]]</f>
        <v>#DIV/0!</v>
      </c>
      <c r="T265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650" s="23" t="e">
        <f>Table1[[#This Row],[1. Doanh thu bán hàng và cung cấp dịch vụ ]]/Table1[[#This Row],[TỔNG CỘNG TÀI SẢN]]</f>
        <v>#DIV/0!</v>
      </c>
      <c r="V2650" s="23" t="e">
        <f>1.2*Table1[[#This Row],[X1]] + 1.4*Table1[[#This Row],[X2]] + 3.3*Table1[[#This Row],[x3]] + 0.6*Table1[[#This Row],[x4]] + 1*Table1[[#This Row],[x5]]</f>
        <v>#DIV/0!</v>
      </c>
      <c r="W2650" s="23" t="e">
        <f>IF(Table1[[#This Row],[Zscore]]&lt;1.81,1,0)</f>
        <v>#DIV/0!</v>
      </c>
    </row>
    <row r="2651" spans="1:23" hidden="1" x14ac:dyDescent="0.45">
      <c r="A2651" s="7">
        <v>2645</v>
      </c>
      <c r="B2651" s="5" t="s">
        <v>5298</v>
      </c>
      <c r="C2651" s="6" t="s">
        <v>5299</v>
      </c>
      <c r="D2651" s="6" t="s">
        <v>13</v>
      </c>
      <c r="E2651" s="6"/>
      <c r="F2651" s="6"/>
      <c r="G2651" s="6"/>
      <c r="H2651" s="6"/>
      <c r="I2651" s="6"/>
      <c r="J2651" s="8"/>
      <c r="K2651" s="6"/>
      <c r="L2651" s="6"/>
      <c r="M2651" s="8"/>
      <c r="N2651" s="8"/>
      <c r="O2651" s="8"/>
      <c r="P2651" s="8"/>
      <c r="Q2651" s="18" t="e">
        <f>(Table1[[#This Row],[A. TÀI SẢN NGẮN HẠN]]-Table1[[#This Row],[I. Nợ ngắn hạn]])/Table1[[#This Row],[TỔNG CỘNG TÀI SẢN]]</f>
        <v>#DIV/0!</v>
      </c>
      <c r="R2651" s="18" t="e">
        <f>Table1[[#This Row],[- LNST chưa phân phối kỳ này]]/Table1[[#This Row],[TỔNG CỘNG TÀI SẢN]]</f>
        <v>#DIV/0!</v>
      </c>
      <c r="S2651" s="21" t="e">
        <f>Table1[[#This Row],[5. Lợi nhuận gộp về bán hàng và cung cấp dịch vụ]]/Table1[[#This Row],[TỔNG CỘNG TÀI SẢN]]</f>
        <v>#DIV/0!</v>
      </c>
      <c r="T265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651" s="23" t="e">
        <f>Table1[[#This Row],[1. Doanh thu bán hàng và cung cấp dịch vụ ]]/Table1[[#This Row],[TỔNG CỘNG TÀI SẢN]]</f>
        <v>#DIV/0!</v>
      </c>
      <c r="V2651" s="23" t="e">
        <f>1.2*Table1[[#This Row],[X1]] + 1.4*Table1[[#This Row],[X2]] + 3.3*Table1[[#This Row],[x3]] + 0.6*Table1[[#This Row],[x4]] + 1*Table1[[#This Row],[x5]]</f>
        <v>#DIV/0!</v>
      </c>
      <c r="W2651" s="23" t="e">
        <f>IF(Table1[[#This Row],[Zscore]]&lt;1.81,1,0)</f>
        <v>#DIV/0!</v>
      </c>
    </row>
    <row r="2652" spans="1:23" hidden="1" x14ac:dyDescent="0.45">
      <c r="A2652" s="7">
        <v>2646</v>
      </c>
      <c r="B2652" s="5" t="s">
        <v>5300</v>
      </c>
      <c r="C2652" s="6" t="s">
        <v>5301</v>
      </c>
      <c r="D2652" s="6" t="s">
        <v>18</v>
      </c>
      <c r="E2652" s="8">
        <v>337622622975</v>
      </c>
      <c r="F2652" s="8">
        <v>182388048921</v>
      </c>
      <c r="G2652" s="8">
        <v>240095658070</v>
      </c>
      <c r="H2652" s="8">
        <v>10370324788</v>
      </c>
      <c r="I2652" s="8">
        <v>46096356733</v>
      </c>
      <c r="J2652" s="8"/>
      <c r="K2652" s="8">
        <v>252558818165</v>
      </c>
      <c r="L2652" s="8">
        <v>554683133803</v>
      </c>
      <c r="M2652" s="8"/>
      <c r="N2652" s="8"/>
      <c r="O2652" s="8"/>
      <c r="P2652" s="8"/>
      <c r="Q2652" s="18">
        <f>(Table1[[#This Row],[A. TÀI SẢN NGẮN HẠN]]-Table1[[#This Row],[I. Nợ ngắn hạn]])/Table1[[#This Row],[TỔNG CỘNG TÀI SẢN]]</f>
        <v>-0.17092340744379883</v>
      </c>
      <c r="R2652" s="18">
        <f>Table1[[#This Row],[- LNST chưa phân phối kỳ này]]/Table1[[#This Row],[TỔNG CỘNG TÀI SẢN]]</f>
        <v>3.0715728397050848E-2</v>
      </c>
      <c r="S2652" s="21">
        <f>Table1[[#This Row],[5. Lợi nhuận gộp về bán hàng và cung cấp dịch vụ]]/Table1[[#This Row],[TỔNG CỘNG TÀI SẢN]]</f>
        <v>0.1365321918502283</v>
      </c>
      <c r="T265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652" s="23">
        <f>Table1[[#This Row],[1. Doanh thu bán hàng và cung cấp dịch vụ ]]/Table1[[#This Row],[TỔNG CỘNG TÀI SẢN]]</f>
        <v>1.642908668013259</v>
      </c>
      <c r="V2652" s="23" t="e">
        <f>1.2*Table1[[#This Row],[X1]] + 1.4*Table1[[#This Row],[X2]] + 3.3*Table1[[#This Row],[x3]] + 0.6*Table1[[#This Row],[x4]] + 1*Table1[[#This Row],[x5]]</f>
        <v>#DIV/0!</v>
      </c>
      <c r="W2652" s="23" t="e">
        <f>IF(Table1[[#This Row],[Zscore]]&lt;1.81,1,0)</f>
        <v>#DIV/0!</v>
      </c>
    </row>
    <row r="2653" spans="1:23" hidden="1" x14ac:dyDescent="0.45">
      <c r="A2653" s="7">
        <v>2647</v>
      </c>
      <c r="B2653" s="5" t="s">
        <v>5302</v>
      </c>
      <c r="C2653" s="6" t="s">
        <v>5303</v>
      </c>
      <c r="D2653" s="6" t="s">
        <v>13</v>
      </c>
      <c r="E2653" s="6"/>
      <c r="F2653" s="6"/>
      <c r="G2653" s="6"/>
      <c r="H2653" s="6"/>
      <c r="I2653" s="6"/>
      <c r="J2653" s="8"/>
      <c r="K2653" s="6"/>
      <c r="L2653" s="6"/>
      <c r="M2653" s="8"/>
      <c r="N2653" s="8"/>
      <c r="O2653" s="8"/>
      <c r="P2653" s="8"/>
      <c r="Q2653" s="18" t="e">
        <f>(Table1[[#This Row],[A. TÀI SẢN NGẮN HẠN]]-Table1[[#This Row],[I. Nợ ngắn hạn]])/Table1[[#This Row],[TỔNG CỘNG TÀI SẢN]]</f>
        <v>#DIV/0!</v>
      </c>
      <c r="R2653" s="18" t="e">
        <f>Table1[[#This Row],[- LNST chưa phân phối kỳ này]]/Table1[[#This Row],[TỔNG CỘNG TÀI SẢN]]</f>
        <v>#DIV/0!</v>
      </c>
      <c r="S2653" s="21" t="e">
        <f>Table1[[#This Row],[5. Lợi nhuận gộp về bán hàng và cung cấp dịch vụ]]/Table1[[#This Row],[TỔNG CỘNG TÀI SẢN]]</f>
        <v>#DIV/0!</v>
      </c>
      <c r="T265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653" s="23" t="e">
        <f>Table1[[#This Row],[1. Doanh thu bán hàng và cung cấp dịch vụ ]]/Table1[[#This Row],[TỔNG CỘNG TÀI SẢN]]</f>
        <v>#DIV/0!</v>
      </c>
      <c r="V2653" s="23" t="e">
        <f>1.2*Table1[[#This Row],[X1]] + 1.4*Table1[[#This Row],[X2]] + 3.3*Table1[[#This Row],[x3]] + 0.6*Table1[[#This Row],[x4]] + 1*Table1[[#This Row],[x5]]</f>
        <v>#DIV/0!</v>
      </c>
      <c r="W2653" s="23" t="e">
        <f>IF(Table1[[#This Row],[Zscore]]&lt;1.81,1,0)</f>
        <v>#DIV/0!</v>
      </c>
    </row>
    <row r="2654" spans="1:23" ht="26.25" hidden="1" x14ac:dyDescent="0.45">
      <c r="A2654" s="7">
        <v>2648</v>
      </c>
      <c r="B2654" s="5" t="s">
        <v>5304</v>
      </c>
      <c r="C2654" s="6" t="s">
        <v>5305</v>
      </c>
      <c r="D2654" s="6" t="s">
        <v>13</v>
      </c>
      <c r="E2654" s="6"/>
      <c r="F2654" s="6"/>
      <c r="G2654" s="6"/>
      <c r="H2654" s="6"/>
      <c r="I2654" s="6"/>
      <c r="J2654" s="8"/>
      <c r="K2654" s="6"/>
      <c r="L2654" s="6"/>
      <c r="M2654" s="8"/>
      <c r="N2654" s="8"/>
      <c r="O2654" s="8"/>
      <c r="P2654" s="8"/>
      <c r="Q2654" s="18" t="e">
        <f>(Table1[[#This Row],[A. TÀI SẢN NGẮN HẠN]]-Table1[[#This Row],[I. Nợ ngắn hạn]])/Table1[[#This Row],[TỔNG CỘNG TÀI SẢN]]</f>
        <v>#DIV/0!</v>
      </c>
      <c r="R2654" s="18" t="e">
        <f>Table1[[#This Row],[- LNST chưa phân phối kỳ này]]/Table1[[#This Row],[TỔNG CỘNG TÀI SẢN]]</f>
        <v>#DIV/0!</v>
      </c>
      <c r="S2654" s="21" t="e">
        <f>Table1[[#This Row],[5. Lợi nhuận gộp về bán hàng và cung cấp dịch vụ]]/Table1[[#This Row],[TỔNG CỘNG TÀI SẢN]]</f>
        <v>#DIV/0!</v>
      </c>
      <c r="T265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654" s="23" t="e">
        <f>Table1[[#This Row],[1. Doanh thu bán hàng và cung cấp dịch vụ ]]/Table1[[#This Row],[TỔNG CỘNG TÀI SẢN]]</f>
        <v>#DIV/0!</v>
      </c>
      <c r="V2654" s="23" t="e">
        <f>1.2*Table1[[#This Row],[X1]] + 1.4*Table1[[#This Row],[X2]] + 3.3*Table1[[#This Row],[x3]] + 0.6*Table1[[#This Row],[x4]] + 1*Table1[[#This Row],[x5]]</f>
        <v>#DIV/0!</v>
      </c>
      <c r="W2654" s="23" t="e">
        <f>IF(Table1[[#This Row],[Zscore]]&lt;1.81,1,0)</f>
        <v>#DIV/0!</v>
      </c>
    </row>
    <row r="2655" spans="1:23" ht="26.25" hidden="1" x14ac:dyDescent="0.45">
      <c r="A2655" s="7">
        <v>2649</v>
      </c>
      <c r="B2655" s="5" t="s">
        <v>5306</v>
      </c>
      <c r="C2655" s="6" t="s">
        <v>5307</v>
      </c>
      <c r="D2655" s="6" t="s">
        <v>13</v>
      </c>
      <c r="E2655" s="6"/>
      <c r="F2655" s="6"/>
      <c r="G2655" s="6"/>
      <c r="H2655" s="6"/>
      <c r="I2655" s="6"/>
      <c r="J2655" s="8"/>
      <c r="K2655" s="6"/>
      <c r="L2655" s="6"/>
      <c r="M2655" s="8"/>
      <c r="N2655" s="8"/>
      <c r="O2655" s="8"/>
      <c r="P2655" s="8"/>
      <c r="Q2655" s="18" t="e">
        <f>(Table1[[#This Row],[A. TÀI SẢN NGẮN HẠN]]-Table1[[#This Row],[I. Nợ ngắn hạn]])/Table1[[#This Row],[TỔNG CỘNG TÀI SẢN]]</f>
        <v>#DIV/0!</v>
      </c>
      <c r="R2655" s="18" t="e">
        <f>Table1[[#This Row],[- LNST chưa phân phối kỳ này]]/Table1[[#This Row],[TỔNG CỘNG TÀI SẢN]]</f>
        <v>#DIV/0!</v>
      </c>
      <c r="S2655" s="21" t="e">
        <f>Table1[[#This Row],[5. Lợi nhuận gộp về bán hàng và cung cấp dịch vụ]]/Table1[[#This Row],[TỔNG CỘNG TÀI SẢN]]</f>
        <v>#DIV/0!</v>
      </c>
      <c r="T265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655" s="23" t="e">
        <f>Table1[[#This Row],[1. Doanh thu bán hàng và cung cấp dịch vụ ]]/Table1[[#This Row],[TỔNG CỘNG TÀI SẢN]]</f>
        <v>#DIV/0!</v>
      </c>
      <c r="V2655" s="23" t="e">
        <f>1.2*Table1[[#This Row],[X1]] + 1.4*Table1[[#This Row],[X2]] + 3.3*Table1[[#This Row],[x3]] + 0.6*Table1[[#This Row],[x4]] + 1*Table1[[#This Row],[x5]]</f>
        <v>#DIV/0!</v>
      </c>
      <c r="W2655" s="23" t="e">
        <f>IF(Table1[[#This Row],[Zscore]]&lt;1.81,1,0)</f>
        <v>#DIV/0!</v>
      </c>
    </row>
    <row r="2656" spans="1:23" hidden="1" x14ac:dyDescent="0.45">
      <c r="A2656" s="7">
        <v>2650</v>
      </c>
      <c r="B2656" s="5" t="s">
        <v>5308</v>
      </c>
      <c r="C2656" s="6" t="s">
        <v>5309</v>
      </c>
      <c r="D2656" s="6" t="s">
        <v>13</v>
      </c>
      <c r="E2656" s="6"/>
      <c r="F2656" s="6"/>
      <c r="G2656" s="6"/>
      <c r="H2656" s="6"/>
      <c r="I2656" s="6"/>
      <c r="J2656" s="8"/>
      <c r="K2656" s="6"/>
      <c r="L2656" s="6"/>
      <c r="M2656" s="8"/>
      <c r="N2656" s="8"/>
      <c r="O2656" s="8"/>
      <c r="P2656" s="8"/>
      <c r="Q2656" s="18" t="e">
        <f>(Table1[[#This Row],[A. TÀI SẢN NGẮN HẠN]]-Table1[[#This Row],[I. Nợ ngắn hạn]])/Table1[[#This Row],[TỔNG CỘNG TÀI SẢN]]</f>
        <v>#DIV/0!</v>
      </c>
      <c r="R2656" s="18" t="e">
        <f>Table1[[#This Row],[- LNST chưa phân phối kỳ này]]/Table1[[#This Row],[TỔNG CỘNG TÀI SẢN]]</f>
        <v>#DIV/0!</v>
      </c>
      <c r="S2656" s="21" t="e">
        <f>Table1[[#This Row],[5. Lợi nhuận gộp về bán hàng và cung cấp dịch vụ]]/Table1[[#This Row],[TỔNG CỘNG TÀI SẢN]]</f>
        <v>#DIV/0!</v>
      </c>
      <c r="T265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656" s="23" t="e">
        <f>Table1[[#This Row],[1. Doanh thu bán hàng và cung cấp dịch vụ ]]/Table1[[#This Row],[TỔNG CỘNG TÀI SẢN]]</f>
        <v>#DIV/0!</v>
      </c>
      <c r="V2656" s="23" t="e">
        <f>1.2*Table1[[#This Row],[X1]] + 1.4*Table1[[#This Row],[X2]] + 3.3*Table1[[#This Row],[x3]] + 0.6*Table1[[#This Row],[x4]] + 1*Table1[[#This Row],[x5]]</f>
        <v>#DIV/0!</v>
      </c>
      <c r="W2656" s="23" t="e">
        <f>IF(Table1[[#This Row],[Zscore]]&lt;1.81,1,0)</f>
        <v>#DIV/0!</v>
      </c>
    </row>
    <row r="2657" spans="1:23" ht="26.25" hidden="1" x14ac:dyDescent="0.45">
      <c r="A2657" s="7">
        <v>2651</v>
      </c>
      <c r="B2657" s="5" t="s">
        <v>5310</v>
      </c>
      <c r="C2657" s="6" t="s">
        <v>5311</v>
      </c>
      <c r="D2657" s="6" t="s">
        <v>13</v>
      </c>
      <c r="E2657" s="6"/>
      <c r="F2657" s="6"/>
      <c r="G2657" s="6"/>
      <c r="H2657" s="6"/>
      <c r="I2657" s="6"/>
      <c r="J2657" s="8"/>
      <c r="K2657" s="6"/>
      <c r="L2657" s="6"/>
      <c r="M2657" s="8"/>
      <c r="N2657" s="8"/>
      <c r="O2657" s="8"/>
      <c r="P2657" s="8"/>
      <c r="Q2657" s="18" t="e">
        <f>(Table1[[#This Row],[A. TÀI SẢN NGẮN HẠN]]-Table1[[#This Row],[I. Nợ ngắn hạn]])/Table1[[#This Row],[TỔNG CỘNG TÀI SẢN]]</f>
        <v>#DIV/0!</v>
      </c>
      <c r="R2657" s="18" t="e">
        <f>Table1[[#This Row],[- LNST chưa phân phối kỳ này]]/Table1[[#This Row],[TỔNG CỘNG TÀI SẢN]]</f>
        <v>#DIV/0!</v>
      </c>
      <c r="S2657" s="21" t="e">
        <f>Table1[[#This Row],[5. Lợi nhuận gộp về bán hàng và cung cấp dịch vụ]]/Table1[[#This Row],[TỔNG CỘNG TÀI SẢN]]</f>
        <v>#DIV/0!</v>
      </c>
      <c r="T265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657" s="23" t="e">
        <f>Table1[[#This Row],[1. Doanh thu bán hàng và cung cấp dịch vụ ]]/Table1[[#This Row],[TỔNG CỘNG TÀI SẢN]]</f>
        <v>#DIV/0!</v>
      </c>
      <c r="V2657" s="23" t="e">
        <f>1.2*Table1[[#This Row],[X1]] + 1.4*Table1[[#This Row],[X2]] + 3.3*Table1[[#This Row],[x3]] + 0.6*Table1[[#This Row],[x4]] + 1*Table1[[#This Row],[x5]]</f>
        <v>#DIV/0!</v>
      </c>
      <c r="W2657" s="23" t="e">
        <f>IF(Table1[[#This Row],[Zscore]]&lt;1.81,1,0)</f>
        <v>#DIV/0!</v>
      </c>
    </row>
    <row r="2658" spans="1:23" hidden="1" x14ac:dyDescent="0.45">
      <c r="A2658" s="7">
        <v>2652</v>
      </c>
      <c r="B2658" s="5" t="s">
        <v>5312</v>
      </c>
      <c r="C2658" s="6" t="s">
        <v>5313</v>
      </c>
      <c r="D2658" s="6" t="s">
        <v>18</v>
      </c>
      <c r="E2658" s="8">
        <v>51745685506</v>
      </c>
      <c r="F2658" s="8">
        <v>40708217634</v>
      </c>
      <c r="G2658" s="8">
        <v>25460475990</v>
      </c>
      <c r="H2658" s="8">
        <v>1296093798</v>
      </c>
      <c r="I2658" s="8">
        <v>9792534214</v>
      </c>
      <c r="J2658" s="8"/>
      <c r="K2658" s="8">
        <v>28179650585</v>
      </c>
      <c r="L2658" s="8">
        <v>68805213889</v>
      </c>
      <c r="M2658" s="8"/>
      <c r="N2658" s="8"/>
      <c r="O2658" s="8"/>
      <c r="P2658" s="8"/>
      <c r="Q2658" s="18">
        <f>(Table1[[#This Row],[A. TÀI SẢN NGẮN HẠN]]-Table1[[#This Row],[I. Nợ ngắn hạn]])/Table1[[#This Row],[TỔNG CỘNG TÀI SẢN]]</f>
        <v>0.29466691753908641</v>
      </c>
      <c r="R2658" s="18">
        <f>Table1[[#This Row],[- LNST chưa phân phối kỳ này]]/Table1[[#This Row],[TỔNG CỘNG TÀI SẢN]]</f>
        <v>2.5047379029305077E-2</v>
      </c>
      <c r="S2658" s="21">
        <f>Table1[[#This Row],[5. Lợi nhuận gộp về bán hàng và cung cấp dịch vụ]]/Table1[[#This Row],[TỔNG CỘNG TÀI SẢN]]</f>
        <v>0.18924349186299869</v>
      </c>
      <c r="T265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658" s="23">
        <f>Table1[[#This Row],[1. Doanh thu bán hàng và cung cấp dịch vụ ]]/Table1[[#This Row],[TỔNG CỘNG TÀI SẢN]]</f>
        <v>1.3296802084305543</v>
      </c>
      <c r="V2658" s="23" t="e">
        <f>1.2*Table1[[#This Row],[X1]] + 1.4*Table1[[#This Row],[X2]] + 3.3*Table1[[#This Row],[x3]] + 0.6*Table1[[#This Row],[x4]] + 1*Table1[[#This Row],[x5]]</f>
        <v>#DIV/0!</v>
      </c>
      <c r="W2658" s="23" t="e">
        <f>IF(Table1[[#This Row],[Zscore]]&lt;1.81,1,0)</f>
        <v>#DIV/0!</v>
      </c>
    </row>
    <row r="2659" spans="1:23" hidden="1" x14ac:dyDescent="0.45">
      <c r="A2659" s="7">
        <v>2653</v>
      </c>
      <c r="B2659" s="5" t="s">
        <v>5314</v>
      </c>
      <c r="C2659" s="6" t="s">
        <v>5315</v>
      </c>
      <c r="D2659" s="6" t="s">
        <v>13</v>
      </c>
      <c r="E2659" s="6"/>
      <c r="F2659" s="6"/>
      <c r="G2659" s="6"/>
      <c r="H2659" s="6"/>
      <c r="I2659" s="6"/>
      <c r="J2659" s="8"/>
      <c r="K2659" s="6"/>
      <c r="L2659" s="6"/>
      <c r="M2659" s="8"/>
      <c r="N2659" s="8"/>
      <c r="O2659" s="8"/>
      <c r="P2659" s="8"/>
      <c r="Q2659" s="18" t="e">
        <f>(Table1[[#This Row],[A. TÀI SẢN NGẮN HẠN]]-Table1[[#This Row],[I. Nợ ngắn hạn]])/Table1[[#This Row],[TỔNG CỘNG TÀI SẢN]]</f>
        <v>#DIV/0!</v>
      </c>
      <c r="R2659" s="18" t="e">
        <f>Table1[[#This Row],[- LNST chưa phân phối kỳ này]]/Table1[[#This Row],[TỔNG CỘNG TÀI SẢN]]</f>
        <v>#DIV/0!</v>
      </c>
      <c r="S2659" s="21" t="e">
        <f>Table1[[#This Row],[5. Lợi nhuận gộp về bán hàng và cung cấp dịch vụ]]/Table1[[#This Row],[TỔNG CỘNG TÀI SẢN]]</f>
        <v>#DIV/0!</v>
      </c>
      <c r="T265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659" s="23" t="e">
        <f>Table1[[#This Row],[1. Doanh thu bán hàng và cung cấp dịch vụ ]]/Table1[[#This Row],[TỔNG CỘNG TÀI SẢN]]</f>
        <v>#DIV/0!</v>
      </c>
      <c r="V2659" s="23" t="e">
        <f>1.2*Table1[[#This Row],[X1]] + 1.4*Table1[[#This Row],[X2]] + 3.3*Table1[[#This Row],[x3]] + 0.6*Table1[[#This Row],[x4]] + 1*Table1[[#This Row],[x5]]</f>
        <v>#DIV/0!</v>
      </c>
      <c r="W2659" s="23" t="e">
        <f>IF(Table1[[#This Row],[Zscore]]&lt;1.81,1,0)</f>
        <v>#DIV/0!</v>
      </c>
    </row>
    <row r="2660" spans="1:23" hidden="1" x14ac:dyDescent="0.45">
      <c r="A2660" s="7">
        <v>2654</v>
      </c>
      <c r="B2660" s="5" t="s">
        <v>5316</v>
      </c>
      <c r="C2660" s="6" t="s">
        <v>5317</v>
      </c>
      <c r="D2660" s="6" t="s">
        <v>13</v>
      </c>
      <c r="E2660" s="6"/>
      <c r="F2660" s="6"/>
      <c r="G2660" s="6"/>
      <c r="H2660" s="6"/>
      <c r="I2660" s="6"/>
      <c r="J2660" s="8"/>
      <c r="K2660" s="6"/>
      <c r="L2660" s="6"/>
      <c r="M2660" s="8"/>
      <c r="N2660" s="8"/>
      <c r="O2660" s="8"/>
      <c r="P2660" s="8"/>
      <c r="Q2660" s="18" t="e">
        <f>(Table1[[#This Row],[A. TÀI SẢN NGẮN HẠN]]-Table1[[#This Row],[I. Nợ ngắn hạn]])/Table1[[#This Row],[TỔNG CỘNG TÀI SẢN]]</f>
        <v>#DIV/0!</v>
      </c>
      <c r="R2660" s="18" t="e">
        <f>Table1[[#This Row],[- LNST chưa phân phối kỳ này]]/Table1[[#This Row],[TỔNG CỘNG TÀI SẢN]]</f>
        <v>#DIV/0!</v>
      </c>
      <c r="S2660" s="21" t="e">
        <f>Table1[[#This Row],[5. Lợi nhuận gộp về bán hàng và cung cấp dịch vụ]]/Table1[[#This Row],[TỔNG CỘNG TÀI SẢN]]</f>
        <v>#DIV/0!</v>
      </c>
      <c r="T266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660" s="23" t="e">
        <f>Table1[[#This Row],[1. Doanh thu bán hàng và cung cấp dịch vụ ]]/Table1[[#This Row],[TỔNG CỘNG TÀI SẢN]]</f>
        <v>#DIV/0!</v>
      </c>
      <c r="V2660" s="23" t="e">
        <f>1.2*Table1[[#This Row],[X1]] + 1.4*Table1[[#This Row],[X2]] + 3.3*Table1[[#This Row],[x3]] + 0.6*Table1[[#This Row],[x4]] + 1*Table1[[#This Row],[x5]]</f>
        <v>#DIV/0!</v>
      </c>
      <c r="W2660" s="23" t="e">
        <f>IF(Table1[[#This Row],[Zscore]]&lt;1.81,1,0)</f>
        <v>#DIV/0!</v>
      </c>
    </row>
    <row r="2661" spans="1:23" hidden="1" x14ac:dyDescent="0.45">
      <c r="A2661" s="7">
        <v>2655</v>
      </c>
      <c r="B2661" s="5" t="s">
        <v>5318</v>
      </c>
      <c r="C2661" s="6" t="s">
        <v>5319</v>
      </c>
      <c r="D2661" s="6" t="s">
        <v>13</v>
      </c>
      <c r="E2661" s="6"/>
      <c r="F2661" s="6"/>
      <c r="G2661" s="6"/>
      <c r="H2661" s="6"/>
      <c r="I2661" s="6"/>
      <c r="J2661" s="8"/>
      <c r="K2661" s="6"/>
      <c r="L2661" s="6"/>
      <c r="M2661" s="8"/>
      <c r="N2661" s="8"/>
      <c r="O2661" s="8"/>
      <c r="P2661" s="8"/>
      <c r="Q2661" s="18" t="e">
        <f>(Table1[[#This Row],[A. TÀI SẢN NGẮN HẠN]]-Table1[[#This Row],[I. Nợ ngắn hạn]])/Table1[[#This Row],[TỔNG CỘNG TÀI SẢN]]</f>
        <v>#DIV/0!</v>
      </c>
      <c r="R2661" s="18" t="e">
        <f>Table1[[#This Row],[- LNST chưa phân phối kỳ này]]/Table1[[#This Row],[TỔNG CỘNG TÀI SẢN]]</f>
        <v>#DIV/0!</v>
      </c>
      <c r="S2661" s="21" t="e">
        <f>Table1[[#This Row],[5. Lợi nhuận gộp về bán hàng và cung cấp dịch vụ]]/Table1[[#This Row],[TỔNG CỘNG TÀI SẢN]]</f>
        <v>#DIV/0!</v>
      </c>
      <c r="T266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661" s="23" t="e">
        <f>Table1[[#This Row],[1. Doanh thu bán hàng và cung cấp dịch vụ ]]/Table1[[#This Row],[TỔNG CỘNG TÀI SẢN]]</f>
        <v>#DIV/0!</v>
      </c>
      <c r="V2661" s="23" t="e">
        <f>1.2*Table1[[#This Row],[X1]] + 1.4*Table1[[#This Row],[X2]] + 3.3*Table1[[#This Row],[x3]] + 0.6*Table1[[#This Row],[x4]] + 1*Table1[[#This Row],[x5]]</f>
        <v>#DIV/0!</v>
      </c>
      <c r="W2661" s="23" t="e">
        <f>IF(Table1[[#This Row],[Zscore]]&lt;1.81,1,0)</f>
        <v>#DIV/0!</v>
      </c>
    </row>
    <row r="2662" spans="1:23" ht="26.25" x14ac:dyDescent="0.45">
      <c r="A2662" s="7">
        <v>2656</v>
      </c>
      <c r="B2662" s="5" t="s">
        <v>5320</v>
      </c>
      <c r="C2662" s="6" t="s">
        <v>5321</v>
      </c>
      <c r="D2662" s="6" t="s">
        <v>18</v>
      </c>
      <c r="E2662" s="8">
        <v>596685597843</v>
      </c>
      <c r="F2662" s="8">
        <v>252190157832</v>
      </c>
      <c r="G2662" s="8">
        <v>31155650571</v>
      </c>
      <c r="H2662" s="8">
        <v>11676837379</v>
      </c>
      <c r="I2662" s="8">
        <v>12386448200</v>
      </c>
      <c r="J2662" s="8"/>
      <c r="K2662" s="8">
        <v>31365650571</v>
      </c>
      <c r="L2662" s="8">
        <v>492930608926</v>
      </c>
      <c r="M2662" s="8">
        <v>390150000000</v>
      </c>
      <c r="N2662" s="8">
        <v>453900000000</v>
      </c>
      <c r="O2662" s="8">
        <v>344250000000</v>
      </c>
      <c r="P2662" s="8">
        <v>433500000000</v>
      </c>
      <c r="Q2662" s="18">
        <f>(Table1[[#This Row],[A. TÀI SẢN NGẮN HẠN]]-Table1[[#This Row],[I. Nợ ngắn hạn]])/Table1[[#This Row],[TỔNG CỘNG TÀI SẢN]]</f>
        <v>0.37043714153656954</v>
      </c>
      <c r="R2662" s="18">
        <f>Table1[[#This Row],[- LNST chưa phân phối kỳ này]]/Table1[[#This Row],[TỔNG CỘNG TÀI SẢN]]</f>
        <v>1.9569497606798967E-2</v>
      </c>
      <c r="S2662" s="21">
        <f>Table1[[#This Row],[5. Lợi nhuận gộp về bán hàng và cung cấp dịch vụ]]/Table1[[#This Row],[TỔNG CỘNG TÀI SẢN]]</f>
        <v>2.0758751752642645E-2</v>
      </c>
      <c r="T266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12.92656114631559</v>
      </c>
      <c r="U2662" s="23">
        <f>Table1[[#This Row],[1. Doanh thu bán hàng và cung cấp dịch vụ ]]/Table1[[#This Row],[TỔNG CỘNG TÀI SẢN]]</f>
        <v>0.82611447420204032</v>
      </c>
      <c r="V2662" s="23">
        <f>1.2*Table1[[#This Row],[X1]] + 1.4*Table1[[#This Row],[X2]] + 3.3*Table1[[#This Row],[x3]] + 0.6*Table1[[#This Row],[x4]] + 1*Table1[[#This Row],[x5]]</f>
        <v>9.1224769092685172</v>
      </c>
      <c r="W2662" s="23">
        <f>IF(Table1[[#This Row],[Zscore]]&lt;1.81,1,0)</f>
        <v>0</v>
      </c>
    </row>
    <row r="2663" spans="1:23" hidden="1" x14ac:dyDescent="0.45">
      <c r="A2663" s="7">
        <v>2657</v>
      </c>
      <c r="B2663" s="5" t="s">
        <v>5322</v>
      </c>
      <c r="C2663" s="6" t="s">
        <v>5323</v>
      </c>
      <c r="D2663" s="6" t="s">
        <v>13</v>
      </c>
      <c r="E2663" s="6"/>
      <c r="F2663" s="6"/>
      <c r="G2663" s="6"/>
      <c r="H2663" s="6"/>
      <c r="I2663" s="6"/>
      <c r="J2663" s="8"/>
      <c r="K2663" s="6"/>
      <c r="L2663" s="6"/>
      <c r="M2663" s="8"/>
      <c r="N2663" s="8"/>
      <c r="O2663" s="8"/>
      <c r="P2663" s="8"/>
      <c r="Q2663" s="18" t="e">
        <f>(Table1[[#This Row],[A. TÀI SẢN NGẮN HẠN]]-Table1[[#This Row],[I. Nợ ngắn hạn]])/Table1[[#This Row],[TỔNG CỘNG TÀI SẢN]]</f>
        <v>#DIV/0!</v>
      </c>
      <c r="R2663" s="18" t="e">
        <f>Table1[[#This Row],[- LNST chưa phân phối kỳ này]]/Table1[[#This Row],[TỔNG CỘNG TÀI SẢN]]</f>
        <v>#DIV/0!</v>
      </c>
      <c r="S2663" s="21" t="e">
        <f>Table1[[#This Row],[5. Lợi nhuận gộp về bán hàng và cung cấp dịch vụ]]/Table1[[#This Row],[TỔNG CỘNG TÀI SẢN]]</f>
        <v>#DIV/0!</v>
      </c>
      <c r="T266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663" s="23" t="e">
        <f>Table1[[#This Row],[1. Doanh thu bán hàng và cung cấp dịch vụ ]]/Table1[[#This Row],[TỔNG CỘNG TÀI SẢN]]</f>
        <v>#DIV/0!</v>
      </c>
      <c r="V2663" s="23" t="e">
        <f>1.2*Table1[[#This Row],[X1]] + 1.4*Table1[[#This Row],[X2]] + 3.3*Table1[[#This Row],[x3]] + 0.6*Table1[[#This Row],[x4]] + 1*Table1[[#This Row],[x5]]</f>
        <v>#DIV/0!</v>
      </c>
      <c r="W2663" s="23" t="e">
        <f>IF(Table1[[#This Row],[Zscore]]&lt;1.81,1,0)</f>
        <v>#DIV/0!</v>
      </c>
    </row>
    <row r="2664" spans="1:23" hidden="1" x14ac:dyDescent="0.45">
      <c r="A2664" s="7">
        <v>2658</v>
      </c>
      <c r="B2664" s="5" t="s">
        <v>5324</v>
      </c>
      <c r="C2664" s="6" t="s">
        <v>5325</v>
      </c>
      <c r="D2664" s="6" t="s">
        <v>13</v>
      </c>
      <c r="E2664" s="6"/>
      <c r="F2664" s="6"/>
      <c r="G2664" s="6"/>
      <c r="H2664" s="6"/>
      <c r="I2664" s="6"/>
      <c r="J2664" s="8"/>
      <c r="K2664" s="6"/>
      <c r="L2664" s="6"/>
      <c r="M2664" s="8"/>
      <c r="N2664" s="8"/>
      <c r="O2664" s="8"/>
      <c r="P2664" s="8"/>
      <c r="Q2664" s="18" t="e">
        <f>(Table1[[#This Row],[A. TÀI SẢN NGẮN HẠN]]-Table1[[#This Row],[I. Nợ ngắn hạn]])/Table1[[#This Row],[TỔNG CỘNG TÀI SẢN]]</f>
        <v>#DIV/0!</v>
      </c>
      <c r="R2664" s="18" t="e">
        <f>Table1[[#This Row],[- LNST chưa phân phối kỳ này]]/Table1[[#This Row],[TỔNG CỘNG TÀI SẢN]]</f>
        <v>#DIV/0!</v>
      </c>
      <c r="S2664" s="21" t="e">
        <f>Table1[[#This Row],[5. Lợi nhuận gộp về bán hàng và cung cấp dịch vụ]]/Table1[[#This Row],[TỔNG CỘNG TÀI SẢN]]</f>
        <v>#DIV/0!</v>
      </c>
      <c r="T266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664" s="23" t="e">
        <f>Table1[[#This Row],[1. Doanh thu bán hàng và cung cấp dịch vụ ]]/Table1[[#This Row],[TỔNG CỘNG TÀI SẢN]]</f>
        <v>#DIV/0!</v>
      </c>
      <c r="V2664" s="23" t="e">
        <f>1.2*Table1[[#This Row],[X1]] + 1.4*Table1[[#This Row],[X2]] + 3.3*Table1[[#This Row],[x3]] + 0.6*Table1[[#This Row],[x4]] + 1*Table1[[#This Row],[x5]]</f>
        <v>#DIV/0!</v>
      </c>
      <c r="W2664" s="23" t="e">
        <f>IF(Table1[[#This Row],[Zscore]]&lt;1.81,1,0)</f>
        <v>#DIV/0!</v>
      </c>
    </row>
    <row r="2665" spans="1:23" hidden="1" x14ac:dyDescent="0.45">
      <c r="A2665" s="7">
        <v>2659</v>
      </c>
      <c r="B2665" s="5" t="s">
        <v>5326</v>
      </c>
      <c r="C2665" s="6" t="s">
        <v>5327</v>
      </c>
      <c r="D2665" s="6" t="s">
        <v>13</v>
      </c>
      <c r="E2665" s="6"/>
      <c r="F2665" s="6"/>
      <c r="G2665" s="6"/>
      <c r="H2665" s="6"/>
      <c r="I2665" s="6"/>
      <c r="J2665" s="8"/>
      <c r="K2665" s="6"/>
      <c r="L2665" s="6"/>
      <c r="M2665" s="8"/>
      <c r="N2665" s="8"/>
      <c r="O2665" s="8"/>
      <c r="P2665" s="8"/>
      <c r="Q2665" s="18" t="e">
        <f>(Table1[[#This Row],[A. TÀI SẢN NGẮN HẠN]]-Table1[[#This Row],[I. Nợ ngắn hạn]])/Table1[[#This Row],[TỔNG CỘNG TÀI SẢN]]</f>
        <v>#DIV/0!</v>
      </c>
      <c r="R2665" s="18" t="e">
        <f>Table1[[#This Row],[- LNST chưa phân phối kỳ này]]/Table1[[#This Row],[TỔNG CỘNG TÀI SẢN]]</f>
        <v>#DIV/0!</v>
      </c>
      <c r="S2665" s="21" t="e">
        <f>Table1[[#This Row],[5. Lợi nhuận gộp về bán hàng và cung cấp dịch vụ]]/Table1[[#This Row],[TỔNG CỘNG TÀI SẢN]]</f>
        <v>#DIV/0!</v>
      </c>
      <c r="T266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665" s="23" t="e">
        <f>Table1[[#This Row],[1. Doanh thu bán hàng và cung cấp dịch vụ ]]/Table1[[#This Row],[TỔNG CỘNG TÀI SẢN]]</f>
        <v>#DIV/0!</v>
      </c>
      <c r="V2665" s="23" t="e">
        <f>1.2*Table1[[#This Row],[X1]] + 1.4*Table1[[#This Row],[X2]] + 3.3*Table1[[#This Row],[x3]] + 0.6*Table1[[#This Row],[x4]] + 1*Table1[[#This Row],[x5]]</f>
        <v>#DIV/0!</v>
      </c>
      <c r="W2665" s="23" t="e">
        <f>IF(Table1[[#This Row],[Zscore]]&lt;1.81,1,0)</f>
        <v>#DIV/0!</v>
      </c>
    </row>
    <row r="2666" spans="1:23" ht="26.25" hidden="1" x14ac:dyDescent="0.45">
      <c r="A2666" s="7">
        <v>2660</v>
      </c>
      <c r="B2666" s="5" t="s">
        <v>5328</v>
      </c>
      <c r="C2666" s="6" t="s">
        <v>5329</v>
      </c>
      <c r="D2666" s="6" t="s">
        <v>13</v>
      </c>
      <c r="E2666" s="6"/>
      <c r="F2666" s="6"/>
      <c r="G2666" s="6"/>
      <c r="H2666" s="6"/>
      <c r="I2666" s="6"/>
      <c r="J2666" s="8"/>
      <c r="K2666" s="6"/>
      <c r="L2666" s="6"/>
      <c r="M2666" s="8"/>
      <c r="N2666" s="8"/>
      <c r="O2666" s="8"/>
      <c r="P2666" s="8"/>
      <c r="Q2666" s="18" t="e">
        <f>(Table1[[#This Row],[A. TÀI SẢN NGẮN HẠN]]-Table1[[#This Row],[I. Nợ ngắn hạn]])/Table1[[#This Row],[TỔNG CỘNG TÀI SẢN]]</f>
        <v>#DIV/0!</v>
      </c>
      <c r="R2666" s="18" t="e">
        <f>Table1[[#This Row],[- LNST chưa phân phối kỳ này]]/Table1[[#This Row],[TỔNG CỘNG TÀI SẢN]]</f>
        <v>#DIV/0!</v>
      </c>
      <c r="S2666" s="21" t="e">
        <f>Table1[[#This Row],[5. Lợi nhuận gộp về bán hàng và cung cấp dịch vụ]]/Table1[[#This Row],[TỔNG CỘNG TÀI SẢN]]</f>
        <v>#DIV/0!</v>
      </c>
      <c r="T266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666" s="23" t="e">
        <f>Table1[[#This Row],[1. Doanh thu bán hàng và cung cấp dịch vụ ]]/Table1[[#This Row],[TỔNG CỘNG TÀI SẢN]]</f>
        <v>#DIV/0!</v>
      </c>
      <c r="V2666" s="23" t="e">
        <f>1.2*Table1[[#This Row],[X1]] + 1.4*Table1[[#This Row],[X2]] + 3.3*Table1[[#This Row],[x3]] + 0.6*Table1[[#This Row],[x4]] + 1*Table1[[#This Row],[x5]]</f>
        <v>#DIV/0!</v>
      </c>
      <c r="W2666" s="23" t="e">
        <f>IF(Table1[[#This Row],[Zscore]]&lt;1.81,1,0)</f>
        <v>#DIV/0!</v>
      </c>
    </row>
    <row r="2667" spans="1:23" hidden="1" x14ac:dyDescent="0.45">
      <c r="A2667" s="7">
        <v>2661</v>
      </c>
      <c r="B2667" s="5" t="s">
        <v>5330</v>
      </c>
      <c r="C2667" s="6" t="s">
        <v>5331</v>
      </c>
      <c r="D2667" s="6" t="s">
        <v>13</v>
      </c>
      <c r="E2667" s="6"/>
      <c r="F2667" s="6"/>
      <c r="G2667" s="6"/>
      <c r="H2667" s="6"/>
      <c r="I2667" s="6"/>
      <c r="J2667" s="8"/>
      <c r="K2667" s="6"/>
      <c r="L2667" s="6"/>
      <c r="M2667" s="8"/>
      <c r="N2667" s="8"/>
      <c r="O2667" s="8"/>
      <c r="P2667" s="8"/>
      <c r="Q2667" s="18" t="e">
        <f>(Table1[[#This Row],[A. TÀI SẢN NGẮN HẠN]]-Table1[[#This Row],[I. Nợ ngắn hạn]])/Table1[[#This Row],[TỔNG CỘNG TÀI SẢN]]</f>
        <v>#DIV/0!</v>
      </c>
      <c r="R2667" s="18" t="e">
        <f>Table1[[#This Row],[- LNST chưa phân phối kỳ này]]/Table1[[#This Row],[TỔNG CỘNG TÀI SẢN]]</f>
        <v>#DIV/0!</v>
      </c>
      <c r="S2667" s="21" t="e">
        <f>Table1[[#This Row],[5. Lợi nhuận gộp về bán hàng và cung cấp dịch vụ]]/Table1[[#This Row],[TỔNG CỘNG TÀI SẢN]]</f>
        <v>#DIV/0!</v>
      </c>
      <c r="T266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667" s="23" t="e">
        <f>Table1[[#This Row],[1. Doanh thu bán hàng và cung cấp dịch vụ ]]/Table1[[#This Row],[TỔNG CỘNG TÀI SẢN]]</f>
        <v>#DIV/0!</v>
      </c>
      <c r="V2667" s="23" t="e">
        <f>1.2*Table1[[#This Row],[X1]] + 1.4*Table1[[#This Row],[X2]] + 3.3*Table1[[#This Row],[x3]] + 0.6*Table1[[#This Row],[x4]] + 1*Table1[[#This Row],[x5]]</f>
        <v>#DIV/0!</v>
      </c>
      <c r="W2667" s="23" t="e">
        <f>IF(Table1[[#This Row],[Zscore]]&lt;1.81,1,0)</f>
        <v>#DIV/0!</v>
      </c>
    </row>
    <row r="2668" spans="1:23" hidden="1" x14ac:dyDescent="0.45">
      <c r="A2668" s="7">
        <v>2662</v>
      </c>
      <c r="B2668" s="5" t="s">
        <v>5332</v>
      </c>
      <c r="C2668" s="6" t="s">
        <v>5333</v>
      </c>
      <c r="D2668" s="6" t="s">
        <v>13</v>
      </c>
      <c r="E2668" s="6"/>
      <c r="F2668" s="6"/>
      <c r="G2668" s="6"/>
      <c r="H2668" s="6"/>
      <c r="I2668" s="6"/>
      <c r="J2668" s="8"/>
      <c r="K2668" s="6"/>
      <c r="L2668" s="6"/>
      <c r="M2668" s="8"/>
      <c r="N2668" s="8"/>
      <c r="O2668" s="8"/>
      <c r="P2668" s="8"/>
      <c r="Q2668" s="18" t="e">
        <f>(Table1[[#This Row],[A. TÀI SẢN NGẮN HẠN]]-Table1[[#This Row],[I. Nợ ngắn hạn]])/Table1[[#This Row],[TỔNG CỘNG TÀI SẢN]]</f>
        <v>#DIV/0!</v>
      </c>
      <c r="R2668" s="18" t="e">
        <f>Table1[[#This Row],[- LNST chưa phân phối kỳ này]]/Table1[[#This Row],[TỔNG CỘNG TÀI SẢN]]</f>
        <v>#DIV/0!</v>
      </c>
      <c r="S2668" s="21" t="e">
        <f>Table1[[#This Row],[5. Lợi nhuận gộp về bán hàng và cung cấp dịch vụ]]/Table1[[#This Row],[TỔNG CỘNG TÀI SẢN]]</f>
        <v>#DIV/0!</v>
      </c>
      <c r="T266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668" s="23" t="e">
        <f>Table1[[#This Row],[1. Doanh thu bán hàng và cung cấp dịch vụ ]]/Table1[[#This Row],[TỔNG CỘNG TÀI SẢN]]</f>
        <v>#DIV/0!</v>
      </c>
      <c r="V2668" s="23" t="e">
        <f>1.2*Table1[[#This Row],[X1]] + 1.4*Table1[[#This Row],[X2]] + 3.3*Table1[[#This Row],[x3]] + 0.6*Table1[[#This Row],[x4]] + 1*Table1[[#This Row],[x5]]</f>
        <v>#DIV/0!</v>
      </c>
      <c r="W2668" s="23" t="e">
        <f>IF(Table1[[#This Row],[Zscore]]&lt;1.81,1,0)</f>
        <v>#DIV/0!</v>
      </c>
    </row>
    <row r="2669" spans="1:23" ht="26.25" hidden="1" x14ac:dyDescent="0.45">
      <c r="A2669" s="7">
        <v>2663</v>
      </c>
      <c r="B2669" s="5" t="s">
        <v>5334</v>
      </c>
      <c r="C2669" s="6" t="s">
        <v>5335</v>
      </c>
      <c r="D2669" s="6" t="s">
        <v>13</v>
      </c>
      <c r="E2669" s="6"/>
      <c r="F2669" s="6"/>
      <c r="G2669" s="6"/>
      <c r="H2669" s="6"/>
      <c r="I2669" s="6"/>
      <c r="J2669" s="8"/>
      <c r="K2669" s="6"/>
      <c r="L2669" s="6"/>
      <c r="M2669" s="8"/>
      <c r="N2669" s="8"/>
      <c r="O2669" s="8"/>
      <c r="P2669" s="8"/>
      <c r="Q2669" s="18" t="e">
        <f>(Table1[[#This Row],[A. TÀI SẢN NGẮN HẠN]]-Table1[[#This Row],[I. Nợ ngắn hạn]])/Table1[[#This Row],[TỔNG CỘNG TÀI SẢN]]</f>
        <v>#DIV/0!</v>
      </c>
      <c r="R2669" s="18" t="e">
        <f>Table1[[#This Row],[- LNST chưa phân phối kỳ này]]/Table1[[#This Row],[TỔNG CỘNG TÀI SẢN]]</f>
        <v>#DIV/0!</v>
      </c>
      <c r="S2669" s="21" t="e">
        <f>Table1[[#This Row],[5. Lợi nhuận gộp về bán hàng và cung cấp dịch vụ]]/Table1[[#This Row],[TỔNG CỘNG TÀI SẢN]]</f>
        <v>#DIV/0!</v>
      </c>
      <c r="T266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669" s="23" t="e">
        <f>Table1[[#This Row],[1. Doanh thu bán hàng và cung cấp dịch vụ ]]/Table1[[#This Row],[TỔNG CỘNG TÀI SẢN]]</f>
        <v>#DIV/0!</v>
      </c>
      <c r="V2669" s="23" t="e">
        <f>1.2*Table1[[#This Row],[X1]] + 1.4*Table1[[#This Row],[X2]] + 3.3*Table1[[#This Row],[x3]] + 0.6*Table1[[#This Row],[x4]] + 1*Table1[[#This Row],[x5]]</f>
        <v>#DIV/0!</v>
      </c>
      <c r="W2669" s="23" t="e">
        <f>IF(Table1[[#This Row],[Zscore]]&lt;1.81,1,0)</f>
        <v>#DIV/0!</v>
      </c>
    </row>
    <row r="2670" spans="1:23" ht="26.25" hidden="1" x14ac:dyDescent="0.45">
      <c r="A2670" s="7">
        <v>2664</v>
      </c>
      <c r="B2670" s="5" t="s">
        <v>5336</v>
      </c>
      <c r="C2670" s="6" t="s">
        <v>5337</v>
      </c>
      <c r="D2670" s="6" t="s">
        <v>13</v>
      </c>
      <c r="E2670" s="6"/>
      <c r="F2670" s="6"/>
      <c r="G2670" s="6"/>
      <c r="H2670" s="6"/>
      <c r="I2670" s="6"/>
      <c r="J2670" s="8"/>
      <c r="K2670" s="6"/>
      <c r="L2670" s="6"/>
      <c r="M2670" s="8"/>
      <c r="N2670" s="8"/>
      <c r="O2670" s="8"/>
      <c r="P2670" s="8"/>
      <c r="Q2670" s="18" t="e">
        <f>(Table1[[#This Row],[A. TÀI SẢN NGẮN HẠN]]-Table1[[#This Row],[I. Nợ ngắn hạn]])/Table1[[#This Row],[TỔNG CỘNG TÀI SẢN]]</f>
        <v>#DIV/0!</v>
      </c>
      <c r="R2670" s="18" t="e">
        <f>Table1[[#This Row],[- LNST chưa phân phối kỳ này]]/Table1[[#This Row],[TỔNG CỘNG TÀI SẢN]]</f>
        <v>#DIV/0!</v>
      </c>
      <c r="S2670" s="21" t="e">
        <f>Table1[[#This Row],[5. Lợi nhuận gộp về bán hàng và cung cấp dịch vụ]]/Table1[[#This Row],[TỔNG CỘNG TÀI SẢN]]</f>
        <v>#DIV/0!</v>
      </c>
      <c r="T267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670" s="23" t="e">
        <f>Table1[[#This Row],[1. Doanh thu bán hàng và cung cấp dịch vụ ]]/Table1[[#This Row],[TỔNG CỘNG TÀI SẢN]]</f>
        <v>#DIV/0!</v>
      </c>
      <c r="V2670" s="23" t="e">
        <f>1.2*Table1[[#This Row],[X1]] + 1.4*Table1[[#This Row],[X2]] + 3.3*Table1[[#This Row],[x3]] + 0.6*Table1[[#This Row],[x4]] + 1*Table1[[#This Row],[x5]]</f>
        <v>#DIV/0!</v>
      </c>
      <c r="W2670" s="23" t="e">
        <f>IF(Table1[[#This Row],[Zscore]]&lt;1.81,1,0)</f>
        <v>#DIV/0!</v>
      </c>
    </row>
    <row r="2671" spans="1:23" hidden="1" x14ac:dyDescent="0.45">
      <c r="A2671" s="7">
        <v>2665</v>
      </c>
      <c r="B2671" s="5" t="s">
        <v>5338</v>
      </c>
      <c r="C2671" s="6" t="s">
        <v>5339</v>
      </c>
      <c r="D2671" s="6" t="s">
        <v>13</v>
      </c>
      <c r="E2671" s="6"/>
      <c r="F2671" s="6"/>
      <c r="G2671" s="6"/>
      <c r="H2671" s="6"/>
      <c r="I2671" s="6"/>
      <c r="J2671" s="8"/>
      <c r="K2671" s="6"/>
      <c r="L2671" s="6"/>
      <c r="M2671" s="8"/>
      <c r="N2671" s="8"/>
      <c r="O2671" s="8"/>
      <c r="P2671" s="8"/>
      <c r="Q2671" s="18" t="e">
        <f>(Table1[[#This Row],[A. TÀI SẢN NGẮN HẠN]]-Table1[[#This Row],[I. Nợ ngắn hạn]])/Table1[[#This Row],[TỔNG CỘNG TÀI SẢN]]</f>
        <v>#DIV/0!</v>
      </c>
      <c r="R2671" s="18" t="e">
        <f>Table1[[#This Row],[- LNST chưa phân phối kỳ này]]/Table1[[#This Row],[TỔNG CỘNG TÀI SẢN]]</f>
        <v>#DIV/0!</v>
      </c>
      <c r="S2671" s="21" t="e">
        <f>Table1[[#This Row],[5. Lợi nhuận gộp về bán hàng và cung cấp dịch vụ]]/Table1[[#This Row],[TỔNG CỘNG TÀI SẢN]]</f>
        <v>#DIV/0!</v>
      </c>
      <c r="T267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671" s="23" t="e">
        <f>Table1[[#This Row],[1. Doanh thu bán hàng và cung cấp dịch vụ ]]/Table1[[#This Row],[TỔNG CỘNG TÀI SẢN]]</f>
        <v>#DIV/0!</v>
      </c>
      <c r="V2671" s="23" t="e">
        <f>1.2*Table1[[#This Row],[X1]] + 1.4*Table1[[#This Row],[X2]] + 3.3*Table1[[#This Row],[x3]] + 0.6*Table1[[#This Row],[x4]] + 1*Table1[[#This Row],[x5]]</f>
        <v>#DIV/0!</v>
      </c>
      <c r="W2671" s="23" t="e">
        <f>IF(Table1[[#This Row],[Zscore]]&lt;1.81,1,0)</f>
        <v>#DIV/0!</v>
      </c>
    </row>
    <row r="2672" spans="1:23" ht="26.25" hidden="1" x14ac:dyDescent="0.45">
      <c r="A2672" s="7">
        <v>2666</v>
      </c>
      <c r="B2672" s="5" t="s">
        <v>5340</v>
      </c>
      <c r="C2672" s="6" t="s">
        <v>5341</v>
      </c>
      <c r="D2672" s="6" t="s">
        <v>13</v>
      </c>
      <c r="E2672" s="6"/>
      <c r="F2672" s="6"/>
      <c r="G2672" s="6"/>
      <c r="H2672" s="6"/>
      <c r="I2672" s="6"/>
      <c r="J2672" s="8"/>
      <c r="K2672" s="6"/>
      <c r="L2672" s="6"/>
      <c r="M2672" s="8"/>
      <c r="N2672" s="8"/>
      <c r="O2672" s="8"/>
      <c r="P2672" s="8"/>
      <c r="Q2672" s="18" t="e">
        <f>(Table1[[#This Row],[A. TÀI SẢN NGẮN HẠN]]-Table1[[#This Row],[I. Nợ ngắn hạn]])/Table1[[#This Row],[TỔNG CỘNG TÀI SẢN]]</f>
        <v>#DIV/0!</v>
      </c>
      <c r="R2672" s="18" t="e">
        <f>Table1[[#This Row],[- LNST chưa phân phối kỳ này]]/Table1[[#This Row],[TỔNG CỘNG TÀI SẢN]]</f>
        <v>#DIV/0!</v>
      </c>
      <c r="S2672" s="21" t="e">
        <f>Table1[[#This Row],[5. Lợi nhuận gộp về bán hàng và cung cấp dịch vụ]]/Table1[[#This Row],[TỔNG CỘNG TÀI SẢN]]</f>
        <v>#DIV/0!</v>
      </c>
      <c r="T267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672" s="23" t="e">
        <f>Table1[[#This Row],[1. Doanh thu bán hàng và cung cấp dịch vụ ]]/Table1[[#This Row],[TỔNG CỘNG TÀI SẢN]]</f>
        <v>#DIV/0!</v>
      </c>
      <c r="V2672" s="23" t="e">
        <f>1.2*Table1[[#This Row],[X1]] + 1.4*Table1[[#This Row],[X2]] + 3.3*Table1[[#This Row],[x3]] + 0.6*Table1[[#This Row],[x4]] + 1*Table1[[#This Row],[x5]]</f>
        <v>#DIV/0!</v>
      </c>
      <c r="W2672" s="23" t="e">
        <f>IF(Table1[[#This Row],[Zscore]]&lt;1.81,1,0)</f>
        <v>#DIV/0!</v>
      </c>
    </row>
    <row r="2673" spans="1:23" hidden="1" x14ac:dyDescent="0.45">
      <c r="A2673" s="7">
        <v>2667</v>
      </c>
      <c r="B2673" s="5" t="s">
        <v>5342</v>
      </c>
      <c r="C2673" s="6" t="s">
        <v>5343</v>
      </c>
      <c r="D2673" s="6" t="s">
        <v>13</v>
      </c>
      <c r="E2673" s="6"/>
      <c r="F2673" s="6"/>
      <c r="G2673" s="6"/>
      <c r="H2673" s="6"/>
      <c r="I2673" s="6"/>
      <c r="J2673" s="8"/>
      <c r="K2673" s="6"/>
      <c r="L2673" s="6"/>
      <c r="M2673" s="8"/>
      <c r="N2673" s="8"/>
      <c r="O2673" s="8"/>
      <c r="P2673" s="8"/>
      <c r="Q2673" s="18" t="e">
        <f>(Table1[[#This Row],[A. TÀI SẢN NGẮN HẠN]]-Table1[[#This Row],[I. Nợ ngắn hạn]])/Table1[[#This Row],[TỔNG CỘNG TÀI SẢN]]</f>
        <v>#DIV/0!</v>
      </c>
      <c r="R2673" s="18" t="e">
        <f>Table1[[#This Row],[- LNST chưa phân phối kỳ này]]/Table1[[#This Row],[TỔNG CỘNG TÀI SẢN]]</f>
        <v>#DIV/0!</v>
      </c>
      <c r="S2673" s="21" t="e">
        <f>Table1[[#This Row],[5. Lợi nhuận gộp về bán hàng và cung cấp dịch vụ]]/Table1[[#This Row],[TỔNG CỘNG TÀI SẢN]]</f>
        <v>#DIV/0!</v>
      </c>
      <c r="T267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673" s="23" t="e">
        <f>Table1[[#This Row],[1. Doanh thu bán hàng và cung cấp dịch vụ ]]/Table1[[#This Row],[TỔNG CỘNG TÀI SẢN]]</f>
        <v>#DIV/0!</v>
      </c>
      <c r="V2673" s="23" t="e">
        <f>1.2*Table1[[#This Row],[X1]] + 1.4*Table1[[#This Row],[X2]] + 3.3*Table1[[#This Row],[x3]] + 0.6*Table1[[#This Row],[x4]] + 1*Table1[[#This Row],[x5]]</f>
        <v>#DIV/0!</v>
      </c>
      <c r="W2673" s="23" t="e">
        <f>IF(Table1[[#This Row],[Zscore]]&lt;1.81,1,0)</f>
        <v>#DIV/0!</v>
      </c>
    </row>
    <row r="2674" spans="1:23" hidden="1" x14ac:dyDescent="0.45">
      <c r="A2674" s="7">
        <v>2668</v>
      </c>
      <c r="B2674" s="5" t="s">
        <v>5344</v>
      </c>
      <c r="C2674" s="6" t="s">
        <v>5345</v>
      </c>
      <c r="D2674" s="6" t="s">
        <v>13</v>
      </c>
      <c r="E2674" s="6"/>
      <c r="F2674" s="6"/>
      <c r="G2674" s="6"/>
      <c r="H2674" s="6"/>
      <c r="I2674" s="6"/>
      <c r="J2674" s="8"/>
      <c r="K2674" s="6"/>
      <c r="L2674" s="6"/>
      <c r="M2674" s="8"/>
      <c r="N2674" s="8"/>
      <c r="O2674" s="8"/>
      <c r="P2674" s="8"/>
      <c r="Q2674" s="18" t="e">
        <f>(Table1[[#This Row],[A. TÀI SẢN NGẮN HẠN]]-Table1[[#This Row],[I. Nợ ngắn hạn]])/Table1[[#This Row],[TỔNG CỘNG TÀI SẢN]]</f>
        <v>#DIV/0!</v>
      </c>
      <c r="R2674" s="18" t="e">
        <f>Table1[[#This Row],[- LNST chưa phân phối kỳ này]]/Table1[[#This Row],[TỔNG CỘNG TÀI SẢN]]</f>
        <v>#DIV/0!</v>
      </c>
      <c r="S2674" s="21" t="e">
        <f>Table1[[#This Row],[5. Lợi nhuận gộp về bán hàng và cung cấp dịch vụ]]/Table1[[#This Row],[TỔNG CỘNG TÀI SẢN]]</f>
        <v>#DIV/0!</v>
      </c>
      <c r="T267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674" s="23" t="e">
        <f>Table1[[#This Row],[1. Doanh thu bán hàng và cung cấp dịch vụ ]]/Table1[[#This Row],[TỔNG CỘNG TÀI SẢN]]</f>
        <v>#DIV/0!</v>
      </c>
      <c r="V2674" s="23" t="e">
        <f>1.2*Table1[[#This Row],[X1]] + 1.4*Table1[[#This Row],[X2]] + 3.3*Table1[[#This Row],[x3]] + 0.6*Table1[[#This Row],[x4]] + 1*Table1[[#This Row],[x5]]</f>
        <v>#DIV/0!</v>
      </c>
      <c r="W2674" s="23" t="e">
        <f>IF(Table1[[#This Row],[Zscore]]&lt;1.81,1,0)</f>
        <v>#DIV/0!</v>
      </c>
    </row>
    <row r="2675" spans="1:23" hidden="1" x14ac:dyDescent="0.45">
      <c r="A2675" s="7">
        <v>2669</v>
      </c>
      <c r="B2675" s="5" t="s">
        <v>5346</v>
      </c>
      <c r="C2675" s="6" t="s">
        <v>5347</v>
      </c>
      <c r="D2675" s="6" t="s">
        <v>13</v>
      </c>
      <c r="E2675" s="6"/>
      <c r="F2675" s="6"/>
      <c r="G2675" s="6"/>
      <c r="H2675" s="6"/>
      <c r="I2675" s="6"/>
      <c r="J2675" s="8"/>
      <c r="K2675" s="6"/>
      <c r="L2675" s="6"/>
      <c r="M2675" s="8"/>
      <c r="N2675" s="8"/>
      <c r="O2675" s="8"/>
      <c r="P2675" s="8"/>
      <c r="Q2675" s="18" t="e">
        <f>(Table1[[#This Row],[A. TÀI SẢN NGẮN HẠN]]-Table1[[#This Row],[I. Nợ ngắn hạn]])/Table1[[#This Row],[TỔNG CỘNG TÀI SẢN]]</f>
        <v>#DIV/0!</v>
      </c>
      <c r="R2675" s="18" t="e">
        <f>Table1[[#This Row],[- LNST chưa phân phối kỳ này]]/Table1[[#This Row],[TỔNG CỘNG TÀI SẢN]]</f>
        <v>#DIV/0!</v>
      </c>
      <c r="S2675" s="21" t="e">
        <f>Table1[[#This Row],[5. Lợi nhuận gộp về bán hàng và cung cấp dịch vụ]]/Table1[[#This Row],[TỔNG CỘNG TÀI SẢN]]</f>
        <v>#DIV/0!</v>
      </c>
      <c r="T267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675" s="23" t="e">
        <f>Table1[[#This Row],[1. Doanh thu bán hàng và cung cấp dịch vụ ]]/Table1[[#This Row],[TỔNG CỘNG TÀI SẢN]]</f>
        <v>#DIV/0!</v>
      </c>
      <c r="V2675" s="23" t="e">
        <f>1.2*Table1[[#This Row],[X1]] + 1.4*Table1[[#This Row],[X2]] + 3.3*Table1[[#This Row],[x3]] + 0.6*Table1[[#This Row],[x4]] + 1*Table1[[#This Row],[x5]]</f>
        <v>#DIV/0!</v>
      </c>
      <c r="W2675" s="23" t="e">
        <f>IF(Table1[[#This Row],[Zscore]]&lt;1.81,1,0)</f>
        <v>#DIV/0!</v>
      </c>
    </row>
    <row r="2676" spans="1:23" ht="26.25" hidden="1" x14ac:dyDescent="0.45">
      <c r="A2676" s="7">
        <v>2670</v>
      </c>
      <c r="B2676" s="5" t="s">
        <v>5348</v>
      </c>
      <c r="C2676" s="6" t="s">
        <v>5349</v>
      </c>
      <c r="D2676" s="6" t="s">
        <v>13</v>
      </c>
      <c r="E2676" s="6"/>
      <c r="F2676" s="6"/>
      <c r="G2676" s="6"/>
      <c r="H2676" s="6"/>
      <c r="I2676" s="6"/>
      <c r="J2676" s="8"/>
      <c r="K2676" s="6"/>
      <c r="L2676" s="6"/>
      <c r="M2676" s="8"/>
      <c r="N2676" s="8"/>
      <c r="O2676" s="8"/>
      <c r="P2676" s="8"/>
      <c r="Q2676" s="18" t="e">
        <f>(Table1[[#This Row],[A. TÀI SẢN NGẮN HẠN]]-Table1[[#This Row],[I. Nợ ngắn hạn]])/Table1[[#This Row],[TỔNG CỘNG TÀI SẢN]]</f>
        <v>#DIV/0!</v>
      </c>
      <c r="R2676" s="18" t="e">
        <f>Table1[[#This Row],[- LNST chưa phân phối kỳ này]]/Table1[[#This Row],[TỔNG CỘNG TÀI SẢN]]</f>
        <v>#DIV/0!</v>
      </c>
      <c r="S2676" s="21" t="e">
        <f>Table1[[#This Row],[5. Lợi nhuận gộp về bán hàng và cung cấp dịch vụ]]/Table1[[#This Row],[TỔNG CỘNG TÀI SẢN]]</f>
        <v>#DIV/0!</v>
      </c>
      <c r="T267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676" s="23" t="e">
        <f>Table1[[#This Row],[1. Doanh thu bán hàng và cung cấp dịch vụ ]]/Table1[[#This Row],[TỔNG CỘNG TÀI SẢN]]</f>
        <v>#DIV/0!</v>
      </c>
      <c r="V2676" s="23" t="e">
        <f>1.2*Table1[[#This Row],[X1]] + 1.4*Table1[[#This Row],[X2]] + 3.3*Table1[[#This Row],[x3]] + 0.6*Table1[[#This Row],[x4]] + 1*Table1[[#This Row],[x5]]</f>
        <v>#DIV/0!</v>
      </c>
      <c r="W2676" s="23" t="e">
        <f>IF(Table1[[#This Row],[Zscore]]&lt;1.81,1,0)</f>
        <v>#DIV/0!</v>
      </c>
    </row>
    <row r="2677" spans="1:23" ht="26.25" hidden="1" x14ac:dyDescent="0.45">
      <c r="A2677" s="7">
        <v>2671</v>
      </c>
      <c r="B2677" s="5" t="s">
        <v>5350</v>
      </c>
      <c r="C2677" s="6" t="s">
        <v>5351</v>
      </c>
      <c r="D2677" s="6" t="s">
        <v>13</v>
      </c>
      <c r="E2677" s="6"/>
      <c r="F2677" s="6"/>
      <c r="G2677" s="6"/>
      <c r="H2677" s="6"/>
      <c r="I2677" s="6"/>
      <c r="J2677" s="8"/>
      <c r="K2677" s="6"/>
      <c r="L2677" s="6"/>
      <c r="M2677" s="8"/>
      <c r="N2677" s="8"/>
      <c r="O2677" s="8"/>
      <c r="P2677" s="8"/>
      <c r="Q2677" s="18" t="e">
        <f>(Table1[[#This Row],[A. TÀI SẢN NGẮN HẠN]]-Table1[[#This Row],[I. Nợ ngắn hạn]])/Table1[[#This Row],[TỔNG CỘNG TÀI SẢN]]</f>
        <v>#DIV/0!</v>
      </c>
      <c r="R2677" s="18" t="e">
        <f>Table1[[#This Row],[- LNST chưa phân phối kỳ này]]/Table1[[#This Row],[TỔNG CỘNG TÀI SẢN]]</f>
        <v>#DIV/0!</v>
      </c>
      <c r="S2677" s="21" t="e">
        <f>Table1[[#This Row],[5. Lợi nhuận gộp về bán hàng và cung cấp dịch vụ]]/Table1[[#This Row],[TỔNG CỘNG TÀI SẢN]]</f>
        <v>#DIV/0!</v>
      </c>
      <c r="T267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677" s="23" t="e">
        <f>Table1[[#This Row],[1. Doanh thu bán hàng và cung cấp dịch vụ ]]/Table1[[#This Row],[TỔNG CỘNG TÀI SẢN]]</f>
        <v>#DIV/0!</v>
      </c>
      <c r="V2677" s="23" t="e">
        <f>1.2*Table1[[#This Row],[X1]] + 1.4*Table1[[#This Row],[X2]] + 3.3*Table1[[#This Row],[x3]] + 0.6*Table1[[#This Row],[x4]] + 1*Table1[[#This Row],[x5]]</f>
        <v>#DIV/0!</v>
      </c>
      <c r="W2677" s="23" t="e">
        <f>IF(Table1[[#This Row],[Zscore]]&lt;1.81,1,0)</f>
        <v>#DIV/0!</v>
      </c>
    </row>
    <row r="2678" spans="1:23" ht="26.25" hidden="1" x14ac:dyDescent="0.45">
      <c r="A2678" s="7">
        <v>2672</v>
      </c>
      <c r="B2678" s="5" t="s">
        <v>5352</v>
      </c>
      <c r="C2678" s="6" t="s">
        <v>5353</v>
      </c>
      <c r="D2678" s="6" t="s">
        <v>13</v>
      </c>
      <c r="E2678" s="6"/>
      <c r="F2678" s="6"/>
      <c r="G2678" s="6"/>
      <c r="H2678" s="6"/>
      <c r="I2678" s="6"/>
      <c r="J2678" s="8"/>
      <c r="K2678" s="6"/>
      <c r="L2678" s="6"/>
      <c r="M2678" s="8"/>
      <c r="N2678" s="8"/>
      <c r="O2678" s="8"/>
      <c r="P2678" s="8"/>
      <c r="Q2678" s="18" t="e">
        <f>(Table1[[#This Row],[A. TÀI SẢN NGẮN HẠN]]-Table1[[#This Row],[I. Nợ ngắn hạn]])/Table1[[#This Row],[TỔNG CỘNG TÀI SẢN]]</f>
        <v>#DIV/0!</v>
      </c>
      <c r="R2678" s="18" t="e">
        <f>Table1[[#This Row],[- LNST chưa phân phối kỳ này]]/Table1[[#This Row],[TỔNG CỘNG TÀI SẢN]]</f>
        <v>#DIV/0!</v>
      </c>
      <c r="S2678" s="21" t="e">
        <f>Table1[[#This Row],[5. Lợi nhuận gộp về bán hàng và cung cấp dịch vụ]]/Table1[[#This Row],[TỔNG CỘNG TÀI SẢN]]</f>
        <v>#DIV/0!</v>
      </c>
      <c r="T267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678" s="23" t="e">
        <f>Table1[[#This Row],[1. Doanh thu bán hàng và cung cấp dịch vụ ]]/Table1[[#This Row],[TỔNG CỘNG TÀI SẢN]]</f>
        <v>#DIV/0!</v>
      </c>
      <c r="V2678" s="23" t="e">
        <f>1.2*Table1[[#This Row],[X1]] + 1.4*Table1[[#This Row],[X2]] + 3.3*Table1[[#This Row],[x3]] + 0.6*Table1[[#This Row],[x4]] + 1*Table1[[#This Row],[x5]]</f>
        <v>#DIV/0!</v>
      </c>
      <c r="W2678" s="23" t="e">
        <f>IF(Table1[[#This Row],[Zscore]]&lt;1.81,1,0)</f>
        <v>#DIV/0!</v>
      </c>
    </row>
    <row r="2679" spans="1:23" hidden="1" x14ac:dyDescent="0.45">
      <c r="A2679" s="7">
        <v>2673</v>
      </c>
      <c r="B2679" s="5" t="s">
        <v>5354</v>
      </c>
      <c r="C2679" s="6" t="s">
        <v>5355</v>
      </c>
      <c r="D2679" s="6" t="s">
        <v>13</v>
      </c>
      <c r="E2679" s="6"/>
      <c r="F2679" s="6"/>
      <c r="G2679" s="6"/>
      <c r="H2679" s="6"/>
      <c r="I2679" s="6"/>
      <c r="J2679" s="8"/>
      <c r="K2679" s="6"/>
      <c r="L2679" s="6"/>
      <c r="M2679" s="8"/>
      <c r="N2679" s="8"/>
      <c r="O2679" s="8"/>
      <c r="P2679" s="8"/>
      <c r="Q2679" s="18" t="e">
        <f>(Table1[[#This Row],[A. TÀI SẢN NGẮN HẠN]]-Table1[[#This Row],[I. Nợ ngắn hạn]])/Table1[[#This Row],[TỔNG CỘNG TÀI SẢN]]</f>
        <v>#DIV/0!</v>
      </c>
      <c r="R2679" s="18" t="e">
        <f>Table1[[#This Row],[- LNST chưa phân phối kỳ này]]/Table1[[#This Row],[TỔNG CỘNG TÀI SẢN]]</f>
        <v>#DIV/0!</v>
      </c>
      <c r="S2679" s="21" t="e">
        <f>Table1[[#This Row],[5. Lợi nhuận gộp về bán hàng và cung cấp dịch vụ]]/Table1[[#This Row],[TỔNG CỘNG TÀI SẢN]]</f>
        <v>#DIV/0!</v>
      </c>
      <c r="T267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679" s="23" t="e">
        <f>Table1[[#This Row],[1. Doanh thu bán hàng và cung cấp dịch vụ ]]/Table1[[#This Row],[TỔNG CỘNG TÀI SẢN]]</f>
        <v>#DIV/0!</v>
      </c>
      <c r="V2679" s="23" t="e">
        <f>1.2*Table1[[#This Row],[X1]] + 1.4*Table1[[#This Row],[X2]] + 3.3*Table1[[#This Row],[x3]] + 0.6*Table1[[#This Row],[x4]] + 1*Table1[[#This Row],[x5]]</f>
        <v>#DIV/0!</v>
      </c>
      <c r="W2679" s="23" t="e">
        <f>IF(Table1[[#This Row],[Zscore]]&lt;1.81,1,0)</f>
        <v>#DIV/0!</v>
      </c>
    </row>
    <row r="2680" spans="1:23" hidden="1" x14ac:dyDescent="0.45">
      <c r="A2680" s="7">
        <v>2674</v>
      </c>
      <c r="B2680" s="5" t="s">
        <v>5356</v>
      </c>
      <c r="C2680" s="6" t="s">
        <v>5357</v>
      </c>
      <c r="D2680" s="6" t="s">
        <v>13</v>
      </c>
      <c r="E2680" s="6"/>
      <c r="F2680" s="6"/>
      <c r="G2680" s="6"/>
      <c r="H2680" s="6"/>
      <c r="I2680" s="6"/>
      <c r="J2680" s="8"/>
      <c r="K2680" s="6"/>
      <c r="L2680" s="6"/>
      <c r="M2680" s="8"/>
      <c r="N2680" s="8"/>
      <c r="O2680" s="8"/>
      <c r="P2680" s="8"/>
      <c r="Q2680" s="18" t="e">
        <f>(Table1[[#This Row],[A. TÀI SẢN NGẮN HẠN]]-Table1[[#This Row],[I. Nợ ngắn hạn]])/Table1[[#This Row],[TỔNG CỘNG TÀI SẢN]]</f>
        <v>#DIV/0!</v>
      </c>
      <c r="R2680" s="18" t="e">
        <f>Table1[[#This Row],[- LNST chưa phân phối kỳ này]]/Table1[[#This Row],[TỔNG CỘNG TÀI SẢN]]</f>
        <v>#DIV/0!</v>
      </c>
      <c r="S2680" s="21" t="e">
        <f>Table1[[#This Row],[5. Lợi nhuận gộp về bán hàng và cung cấp dịch vụ]]/Table1[[#This Row],[TỔNG CỘNG TÀI SẢN]]</f>
        <v>#DIV/0!</v>
      </c>
      <c r="T268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680" s="23" t="e">
        <f>Table1[[#This Row],[1. Doanh thu bán hàng và cung cấp dịch vụ ]]/Table1[[#This Row],[TỔNG CỘNG TÀI SẢN]]</f>
        <v>#DIV/0!</v>
      </c>
      <c r="V2680" s="23" t="e">
        <f>1.2*Table1[[#This Row],[X1]] + 1.4*Table1[[#This Row],[X2]] + 3.3*Table1[[#This Row],[x3]] + 0.6*Table1[[#This Row],[x4]] + 1*Table1[[#This Row],[x5]]</f>
        <v>#DIV/0!</v>
      </c>
      <c r="W2680" s="23" t="e">
        <f>IF(Table1[[#This Row],[Zscore]]&lt;1.81,1,0)</f>
        <v>#DIV/0!</v>
      </c>
    </row>
    <row r="2681" spans="1:23" hidden="1" x14ac:dyDescent="0.45">
      <c r="A2681" s="7">
        <v>2675</v>
      </c>
      <c r="B2681" s="5" t="s">
        <v>5358</v>
      </c>
      <c r="C2681" s="6" t="s">
        <v>5359</v>
      </c>
      <c r="D2681" s="6" t="s">
        <v>13</v>
      </c>
      <c r="E2681" s="6"/>
      <c r="F2681" s="6"/>
      <c r="G2681" s="6"/>
      <c r="H2681" s="6"/>
      <c r="I2681" s="6"/>
      <c r="J2681" s="8"/>
      <c r="K2681" s="6"/>
      <c r="L2681" s="6"/>
      <c r="M2681" s="8"/>
      <c r="N2681" s="8"/>
      <c r="O2681" s="8"/>
      <c r="P2681" s="8"/>
      <c r="Q2681" s="18" t="e">
        <f>(Table1[[#This Row],[A. TÀI SẢN NGẮN HẠN]]-Table1[[#This Row],[I. Nợ ngắn hạn]])/Table1[[#This Row],[TỔNG CỘNG TÀI SẢN]]</f>
        <v>#DIV/0!</v>
      </c>
      <c r="R2681" s="18" t="e">
        <f>Table1[[#This Row],[- LNST chưa phân phối kỳ này]]/Table1[[#This Row],[TỔNG CỘNG TÀI SẢN]]</f>
        <v>#DIV/0!</v>
      </c>
      <c r="S2681" s="21" t="e">
        <f>Table1[[#This Row],[5. Lợi nhuận gộp về bán hàng và cung cấp dịch vụ]]/Table1[[#This Row],[TỔNG CỘNG TÀI SẢN]]</f>
        <v>#DIV/0!</v>
      </c>
      <c r="T268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681" s="23" t="e">
        <f>Table1[[#This Row],[1. Doanh thu bán hàng và cung cấp dịch vụ ]]/Table1[[#This Row],[TỔNG CỘNG TÀI SẢN]]</f>
        <v>#DIV/0!</v>
      </c>
      <c r="V2681" s="23" t="e">
        <f>1.2*Table1[[#This Row],[X1]] + 1.4*Table1[[#This Row],[X2]] + 3.3*Table1[[#This Row],[x3]] + 0.6*Table1[[#This Row],[x4]] + 1*Table1[[#This Row],[x5]]</f>
        <v>#DIV/0!</v>
      </c>
      <c r="W2681" s="23" t="e">
        <f>IF(Table1[[#This Row],[Zscore]]&lt;1.81,1,0)</f>
        <v>#DIV/0!</v>
      </c>
    </row>
    <row r="2682" spans="1:23" ht="26.25" hidden="1" x14ac:dyDescent="0.45">
      <c r="A2682" s="7">
        <v>2676</v>
      </c>
      <c r="B2682" s="5" t="s">
        <v>5360</v>
      </c>
      <c r="C2682" s="6" t="s">
        <v>5361</v>
      </c>
      <c r="D2682" s="6" t="s">
        <v>13</v>
      </c>
      <c r="E2682" s="6"/>
      <c r="F2682" s="6"/>
      <c r="G2682" s="6"/>
      <c r="H2682" s="6"/>
      <c r="I2682" s="6"/>
      <c r="J2682" s="8"/>
      <c r="K2682" s="6"/>
      <c r="L2682" s="6"/>
      <c r="M2682" s="8"/>
      <c r="N2682" s="8"/>
      <c r="O2682" s="8"/>
      <c r="P2682" s="8"/>
      <c r="Q2682" s="18" t="e">
        <f>(Table1[[#This Row],[A. TÀI SẢN NGẮN HẠN]]-Table1[[#This Row],[I. Nợ ngắn hạn]])/Table1[[#This Row],[TỔNG CỘNG TÀI SẢN]]</f>
        <v>#DIV/0!</v>
      </c>
      <c r="R2682" s="18" t="e">
        <f>Table1[[#This Row],[- LNST chưa phân phối kỳ này]]/Table1[[#This Row],[TỔNG CỘNG TÀI SẢN]]</f>
        <v>#DIV/0!</v>
      </c>
      <c r="S2682" s="21" t="e">
        <f>Table1[[#This Row],[5. Lợi nhuận gộp về bán hàng và cung cấp dịch vụ]]/Table1[[#This Row],[TỔNG CỘNG TÀI SẢN]]</f>
        <v>#DIV/0!</v>
      </c>
      <c r="T268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682" s="23" t="e">
        <f>Table1[[#This Row],[1. Doanh thu bán hàng và cung cấp dịch vụ ]]/Table1[[#This Row],[TỔNG CỘNG TÀI SẢN]]</f>
        <v>#DIV/0!</v>
      </c>
      <c r="V2682" s="23" t="e">
        <f>1.2*Table1[[#This Row],[X1]] + 1.4*Table1[[#This Row],[X2]] + 3.3*Table1[[#This Row],[x3]] + 0.6*Table1[[#This Row],[x4]] + 1*Table1[[#This Row],[x5]]</f>
        <v>#DIV/0!</v>
      </c>
      <c r="W2682" s="23" t="e">
        <f>IF(Table1[[#This Row],[Zscore]]&lt;1.81,1,0)</f>
        <v>#DIV/0!</v>
      </c>
    </row>
    <row r="2683" spans="1:23" hidden="1" x14ac:dyDescent="0.45">
      <c r="A2683" s="7">
        <v>2677</v>
      </c>
      <c r="B2683" s="5" t="s">
        <v>5362</v>
      </c>
      <c r="C2683" s="6" t="s">
        <v>5363</v>
      </c>
      <c r="D2683" s="6" t="s">
        <v>13</v>
      </c>
      <c r="E2683" s="6"/>
      <c r="F2683" s="6"/>
      <c r="G2683" s="6"/>
      <c r="H2683" s="6"/>
      <c r="I2683" s="6"/>
      <c r="J2683" s="8"/>
      <c r="K2683" s="6"/>
      <c r="L2683" s="6"/>
      <c r="M2683" s="8"/>
      <c r="N2683" s="8"/>
      <c r="O2683" s="8"/>
      <c r="P2683" s="8"/>
      <c r="Q2683" s="18" t="e">
        <f>(Table1[[#This Row],[A. TÀI SẢN NGẮN HẠN]]-Table1[[#This Row],[I. Nợ ngắn hạn]])/Table1[[#This Row],[TỔNG CỘNG TÀI SẢN]]</f>
        <v>#DIV/0!</v>
      </c>
      <c r="R2683" s="18" t="e">
        <f>Table1[[#This Row],[- LNST chưa phân phối kỳ này]]/Table1[[#This Row],[TỔNG CỘNG TÀI SẢN]]</f>
        <v>#DIV/0!</v>
      </c>
      <c r="S2683" s="21" t="e">
        <f>Table1[[#This Row],[5. Lợi nhuận gộp về bán hàng và cung cấp dịch vụ]]/Table1[[#This Row],[TỔNG CỘNG TÀI SẢN]]</f>
        <v>#DIV/0!</v>
      </c>
      <c r="T268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683" s="23" t="e">
        <f>Table1[[#This Row],[1. Doanh thu bán hàng và cung cấp dịch vụ ]]/Table1[[#This Row],[TỔNG CỘNG TÀI SẢN]]</f>
        <v>#DIV/0!</v>
      </c>
      <c r="V2683" s="23" t="e">
        <f>1.2*Table1[[#This Row],[X1]] + 1.4*Table1[[#This Row],[X2]] + 3.3*Table1[[#This Row],[x3]] + 0.6*Table1[[#This Row],[x4]] + 1*Table1[[#This Row],[x5]]</f>
        <v>#DIV/0!</v>
      </c>
      <c r="W2683" s="23" t="e">
        <f>IF(Table1[[#This Row],[Zscore]]&lt;1.81,1,0)</f>
        <v>#DIV/0!</v>
      </c>
    </row>
    <row r="2684" spans="1:23" ht="26.25" hidden="1" x14ac:dyDescent="0.45">
      <c r="A2684" s="7">
        <v>2678</v>
      </c>
      <c r="B2684" s="5" t="s">
        <v>5364</v>
      </c>
      <c r="C2684" s="6" t="s">
        <v>5365</v>
      </c>
      <c r="D2684" s="6" t="s">
        <v>13</v>
      </c>
      <c r="E2684" s="6"/>
      <c r="F2684" s="6"/>
      <c r="G2684" s="6"/>
      <c r="H2684" s="6"/>
      <c r="I2684" s="6"/>
      <c r="J2684" s="8"/>
      <c r="K2684" s="6"/>
      <c r="L2684" s="6"/>
      <c r="M2684" s="8"/>
      <c r="N2684" s="8"/>
      <c r="O2684" s="8"/>
      <c r="P2684" s="8"/>
      <c r="Q2684" s="18" t="e">
        <f>(Table1[[#This Row],[A. TÀI SẢN NGẮN HẠN]]-Table1[[#This Row],[I. Nợ ngắn hạn]])/Table1[[#This Row],[TỔNG CỘNG TÀI SẢN]]</f>
        <v>#DIV/0!</v>
      </c>
      <c r="R2684" s="18" t="e">
        <f>Table1[[#This Row],[- LNST chưa phân phối kỳ này]]/Table1[[#This Row],[TỔNG CỘNG TÀI SẢN]]</f>
        <v>#DIV/0!</v>
      </c>
      <c r="S2684" s="21" t="e">
        <f>Table1[[#This Row],[5. Lợi nhuận gộp về bán hàng và cung cấp dịch vụ]]/Table1[[#This Row],[TỔNG CỘNG TÀI SẢN]]</f>
        <v>#DIV/0!</v>
      </c>
      <c r="T268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684" s="23" t="e">
        <f>Table1[[#This Row],[1. Doanh thu bán hàng và cung cấp dịch vụ ]]/Table1[[#This Row],[TỔNG CỘNG TÀI SẢN]]</f>
        <v>#DIV/0!</v>
      </c>
      <c r="V2684" s="23" t="e">
        <f>1.2*Table1[[#This Row],[X1]] + 1.4*Table1[[#This Row],[X2]] + 3.3*Table1[[#This Row],[x3]] + 0.6*Table1[[#This Row],[x4]] + 1*Table1[[#This Row],[x5]]</f>
        <v>#DIV/0!</v>
      </c>
      <c r="W2684" s="23" t="e">
        <f>IF(Table1[[#This Row],[Zscore]]&lt;1.81,1,0)</f>
        <v>#DIV/0!</v>
      </c>
    </row>
    <row r="2685" spans="1:23" hidden="1" x14ac:dyDescent="0.45">
      <c r="A2685" s="7">
        <v>2679</v>
      </c>
      <c r="B2685" s="5" t="s">
        <v>5366</v>
      </c>
      <c r="C2685" s="6" t="s">
        <v>5367</v>
      </c>
      <c r="D2685" s="6" t="s">
        <v>13</v>
      </c>
      <c r="E2685" s="6"/>
      <c r="F2685" s="6"/>
      <c r="G2685" s="6"/>
      <c r="H2685" s="6"/>
      <c r="I2685" s="6"/>
      <c r="J2685" s="8"/>
      <c r="K2685" s="6"/>
      <c r="L2685" s="6"/>
      <c r="M2685" s="8"/>
      <c r="N2685" s="8"/>
      <c r="O2685" s="8"/>
      <c r="P2685" s="8"/>
      <c r="Q2685" s="18" t="e">
        <f>(Table1[[#This Row],[A. TÀI SẢN NGẮN HẠN]]-Table1[[#This Row],[I. Nợ ngắn hạn]])/Table1[[#This Row],[TỔNG CỘNG TÀI SẢN]]</f>
        <v>#DIV/0!</v>
      </c>
      <c r="R2685" s="18" t="e">
        <f>Table1[[#This Row],[- LNST chưa phân phối kỳ này]]/Table1[[#This Row],[TỔNG CỘNG TÀI SẢN]]</f>
        <v>#DIV/0!</v>
      </c>
      <c r="S2685" s="21" t="e">
        <f>Table1[[#This Row],[5. Lợi nhuận gộp về bán hàng và cung cấp dịch vụ]]/Table1[[#This Row],[TỔNG CỘNG TÀI SẢN]]</f>
        <v>#DIV/0!</v>
      </c>
      <c r="T268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685" s="23" t="e">
        <f>Table1[[#This Row],[1. Doanh thu bán hàng và cung cấp dịch vụ ]]/Table1[[#This Row],[TỔNG CỘNG TÀI SẢN]]</f>
        <v>#DIV/0!</v>
      </c>
      <c r="V2685" s="23" t="e">
        <f>1.2*Table1[[#This Row],[X1]] + 1.4*Table1[[#This Row],[X2]] + 3.3*Table1[[#This Row],[x3]] + 0.6*Table1[[#This Row],[x4]] + 1*Table1[[#This Row],[x5]]</f>
        <v>#DIV/0!</v>
      </c>
      <c r="W2685" s="23" t="e">
        <f>IF(Table1[[#This Row],[Zscore]]&lt;1.81,1,0)</f>
        <v>#DIV/0!</v>
      </c>
    </row>
    <row r="2686" spans="1:23" hidden="1" x14ac:dyDescent="0.45">
      <c r="A2686" s="7">
        <v>2680</v>
      </c>
      <c r="B2686" s="5" t="s">
        <v>5368</v>
      </c>
      <c r="C2686" s="6" t="s">
        <v>5369</v>
      </c>
      <c r="D2686" s="6" t="s">
        <v>13</v>
      </c>
      <c r="E2686" s="6"/>
      <c r="F2686" s="6"/>
      <c r="G2686" s="6"/>
      <c r="H2686" s="6"/>
      <c r="I2686" s="6"/>
      <c r="J2686" s="8"/>
      <c r="K2686" s="6"/>
      <c r="L2686" s="6"/>
      <c r="M2686" s="8"/>
      <c r="N2686" s="8"/>
      <c r="O2686" s="8"/>
      <c r="P2686" s="8"/>
      <c r="Q2686" s="18" t="e">
        <f>(Table1[[#This Row],[A. TÀI SẢN NGẮN HẠN]]-Table1[[#This Row],[I. Nợ ngắn hạn]])/Table1[[#This Row],[TỔNG CỘNG TÀI SẢN]]</f>
        <v>#DIV/0!</v>
      </c>
      <c r="R2686" s="18" t="e">
        <f>Table1[[#This Row],[- LNST chưa phân phối kỳ này]]/Table1[[#This Row],[TỔNG CỘNG TÀI SẢN]]</f>
        <v>#DIV/0!</v>
      </c>
      <c r="S2686" s="21" t="e">
        <f>Table1[[#This Row],[5. Lợi nhuận gộp về bán hàng và cung cấp dịch vụ]]/Table1[[#This Row],[TỔNG CỘNG TÀI SẢN]]</f>
        <v>#DIV/0!</v>
      </c>
      <c r="T268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686" s="23" t="e">
        <f>Table1[[#This Row],[1. Doanh thu bán hàng và cung cấp dịch vụ ]]/Table1[[#This Row],[TỔNG CỘNG TÀI SẢN]]</f>
        <v>#DIV/0!</v>
      </c>
      <c r="V2686" s="23" t="e">
        <f>1.2*Table1[[#This Row],[X1]] + 1.4*Table1[[#This Row],[X2]] + 3.3*Table1[[#This Row],[x3]] + 0.6*Table1[[#This Row],[x4]] + 1*Table1[[#This Row],[x5]]</f>
        <v>#DIV/0!</v>
      </c>
      <c r="W2686" s="23" t="e">
        <f>IF(Table1[[#This Row],[Zscore]]&lt;1.81,1,0)</f>
        <v>#DIV/0!</v>
      </c>
    </row>
    <row r="2687" spans="1:23" hidden="1" x14ac:dyDescent="0.45">
      <c r="A2687" s="7">
        <v>2681</v>
      </c>
      <c r="B2687" s="5" t="s">
        <v>5370</v>
      </c>
      <c r="C2687" s="6" t="s">
        <v>5371</v>
      </c>
      <c r="D2687" s="6" t="s">
        <v>13</v>
      </c>
      <c r="E2687" s="6"/>
      <c r="F2687" s="6"/>
      <c r="G2687" s="6"/>
      <c r="H2687" s="6"/>
      <c r="I2687" s="6"/>
      <c r="J2687" s="8"/>
      <c r="K2687" s="6"/>
      <c r="L2687" s="6"/>
      <c r="M2687" s="8"/>
      <c r="N2687" s="8"/>
      <c r="O2687" s="8"/>
      <c r="P2687" s="8"/>
      <c r="Q2687" s="18" t="e">
        <f>(Table1[[#This Row],[A. TÀI SẢN NGẮN HẠN]]-Table1[[#This Row],[I. Nợ ngắn hạn]])/Table1[[#This Row],[TỔNG CỘNG TÀI SẢN]]</f>
        <v>#DIV/0!</v>
      </c>
      <c r="R2687" s="18" t="e">
        <f>Table1[[#This Row],[- LNST chưa phân phối kỳ này]]/Table1[[#This Row],[TỔNG CỘNG TÀI SẢN]]</f>
        <v>#DIV/0!</v>
      </c>
      <c r="S2687" s="21" t="e">
        <f>Table1[[#This Row],[5. Lợi nhuận gộp về bán hàng và cung cấp dịch vụ]]/Table1[[#This Row],[TỔNG CỘNG TÀI SẢN]]</f>
        <v>#DIV/0!</v>
      </c>
      <c r="T268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687" s="23" t="e">
        <f>Table1[[#This Row],[1. Doanh thu bán hàng và cung cấp dịch vụ ]]/Table1[[#This Row],[TỔNG CỘNG TÀI SẢN]]</f>
        <v>#DIV/0!</v>
      </c>
      <c r="V2687" s="23" t="e">
        <f>1.2*Table1[[#This Row],[X1]] + 1.4*Table1[[#This Row],[X2]] + 3.3*Table1[[#This Row],[x3]] + 0.6*Table1[[#This Row],[x4]] + 1*Table1[[#This Row],[x5]]</f>
        <v>#DIV/0!</v>
      </c>
      <c r="W2687" s="23" t="e">
        <f>IF(Table1[[#This Row],[Zscore]]&lt;1.81,1,0)</f>
        <v>#DIV/0!</v>
      </c>
    </row>
    <row r="2688" spans="1:23" hidden="1" x14ac:dyDescent="0.45">
      <c r="A2688" s="7">
        <v>2682</v>
      </c>
      <c r="B2688" s="5" t="s">
        <v>5372</v>
      </c>
      <c r="C2688" s="6" t="s">
        <v>5373</v>
      </c>
      <c r="D2688" s="6" t="s">
        <v>13</v>
      </c>
      <c r="E2688" s="6"/>
      <c r="F2688" s="6"/>
      <c r="G2688" s="6"/>
      <c r="H2688" s="6"/>
      <c r="I2688" s="6"/>
      <c r="J2688" s="8"/>
      <c r="K2688" s="6"/>
      <c r="L2688" s="6"/>
      <c r="M2688" s="8"/>
      <c r="N2688" s="8"/>
      <c r="O2688" s="8"/>
      <c r="P2688" s="8"/>
      <c r="Q2688" s="18" t="e">
        <f>(Table1[[#This Row],[A. TÀI SẢN NGẮN HẠN]]-Table1[[#This Row],[I. Nợ ngắn hạn]])/Table1[[#This Row],[TỔNG CỘNG TÀI SẢN]]</f>
        <v>#DIV/0!</v>
      </c>
      <c r="R2688" s="18" t="e">
        <f>Table1[[#This Row],[- LNST chưa phân phối kỳ này]]/Table1[[#This Row],[TỔNG CỘNG TÀI SẢN]]</f>
        <v>#DIV/0!</v>
      </c>
      <c r="S2688" s="21" t="e">
        <f>Table1[[#This Row],[5. Lợi nhuận gộp về bán hàng và cung cấp dịch vụ]]/Table1[[#This Row],[TỔNG CỘNG TÀI SẢN]]</f>
        <v>#DIV/0!</v>
      </c>
      <c r="T268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688" s="23" t="e">
        <f>Table1[[#This Row],[1. Doanh thu bán hàng và cung cấp dịch vụ ]]/Table1[[#This Row],[TỔNG CỘNG TÀI SẢN]]</f>
        <v>#DIV/0!</v>
      </c>
      <c r="V2688" s="23" t="e">
        <f>1.2*Table1[[#This Row],[X1]] + 1.4*Table1[[#This Row],[X2]] + 3.3*Table1[[#This Row],[x3]] + 0.6*Table1[[#This Row],[x4]] + 1*Table1[[#This Row],[x5]]</f>
        <v>#DIV/0!</v>
      </c>
      <c r="W2688" s="23" t="e">
        <f>IF(Table1[[#This Row],[Zscore]]&lt;1.81,1,0)</f>
        <v>#DIV/0!</v>
      </c>
    </row>
    <row r="2689" spans="1:23" hidden="1" x14ac:dyDescent="0.45">
      <c r="A2689" s="7">
        <v>2683</v>
      </c>
      <c r="B2689" s="5" t="s">
        <v>5374</v>
      </c>
      <c r="C2689" s="6" t="s">
        <v>5375</v>
      </c>
      <c r="D2689" s="6" t="s">
        <v>13</v>
      </c>
      <c r="E2689" s="6"/>
      <c r="F2689" s="6"/>
      <c r="G2689" s="6"/>
      <c r="H2689" s="6"/>
      <c r="I2689" s="6"/>
      <c r="J2689" s="8"/>
      <c r="K2689" s="6"/>
      <c r="L2689" s="6"/>
      <c r="M2689" s="8"/>
      <c r="N2689" s="8"/>
      <c r="O2689" s="8"/>
      <c r="P2689" s="8"/>
      <c r="Q2689" s="18" t="e">
        <f>(Table1[[#This Row],[A. TÀI SẢN NGẮN HẠN]]-Table1[[#This Row],[I. Nợ ngắn hạn]])/Table1[[#This Row],[TỔNG CỘNG TÀI SẢN]]</f>
        <v>#DIV/0!</v>
      </c>
      <c r="R2689" s="18" t="e">
        <f>Table1[[#This Row],[- LNST chưa phân phối kỳ này]]/Table1[[#This Row],[TỔNG CỘNG TÀI SẢN]]</f>
        <v>#DIV/0!</v>
      </c>
      <c r="S2689" s="21" t="e">
        <f>Table1[[#This Row],[5. Lợi nhuận gộp về bán hàng và cung cấp dịch vụ]]/Table1[[#This Row],[TỔNG CỘNG TÀI SẢN]]</f>
        <v>#DIV/0!</v>
      </c>
      <c r="T268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689" s="23" t="e">
        <f>Table1[[#This Row],[1. Doanh thu bán hàng và cung cấp dịch vụ ]]/Table1[[#This Row],[TỔNG CỘNG TÀI SẢN]]</f>
        <v>#DIV/0!</v>
      </c>
      <c r="V2689" s="23" t="e">
        <f>1.2*Table1[[#This Row],[X1]] + 1.4*Table1[[#This Row],[X2]] + 3.3*Table1[[#This Row],[x3]] + 0.6*Table1[[#This Row],[x4]] + 1*Table1[[#This Row],[x5]]</f>
        <v>#DIV/0!</v>
      </c>
      <c r="W2689" s="23" t="e">
        <f>IF(Table1[[#This Row],[Zscore]]&lt;1.81,1,0)</f>
        <v>#DIV/0!</v>
      </c>
    </row>
    <row r="2690" spans="1:23" hidden="1" x14ac:dyDescent="0.45">
      <c r="A2690" s="7">
        <v>2684</v>
      </c>
      <c r="B2690" s="5" t="s">
        <v>5376</v>
      </c>
      <c r="C2690" s="6" t="s">
        <v>5377</v>
      </c>
      <c r="D2690" s="6" t="s">
        <v>13</v>
      </c>
      <c r="E2690" s="6"/>
      <c r="F2690" s="6"/>
      <c r="G2690" s="6"/>
      <c r="H2690" s="6"/>
      <c r="I2690" s="6"/>
      <c r="J2690" s="8"/>
      <c r="K2690" s="6"/>
      <c r="L2690" s="6"/>
      <c r="M2690" s="8"/>
      <c r="N2690" s="8"/>
      <c r="O2690" s="8"/>
      <c r="P2690" s="8"/>
      <c r="Q2690" s="18" t="e">
        <f>(Table1[[#This Row],[A. TÀI SẢN NGẮN HẠN]]-Table1[[#This Row],[I. Nợ ngắn hạn]])/Table1[[#This Row],[TỔNG CỘNG TÀI SẢN]]</f>
        <v>#DIV/0!</v>
      </c>
      <c r="R2690" s="18" t="e">
        <f>Table1[[#This Row],[- LNST chưa phân phối kỳ này]]/Table1[[#This Row],[TỔNG CỘNG TÀI SẢN]]</f>
        <v>#DIV/0!</v>
      </c>
      <c r="S2690" s="21" t="e">
        <f>Table1[[#This Row],[5. Lợi nhuận gộp về bán hàng và cung cấp dịch vụ]]/Table1[[#This Row],[TỔNG CỘNG TÀI SẢN]]</f>
        <v>#DIV/0!</v>
      </c>
      <c r="T269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690" s="23" t="e">
        <f>Table1[[#This Row],[1. Doanh thu bán hàng và cung cấp dịch vụ ]]/Table1[[#This Row],[TỔNG CỘNG TÀI SẢN]]</f>
        <v>#DIV/0!</v>
      </c>
      <c r="V2690" s="23" t="e">
        <f>1.2*Table1[[#This Row],[X1]] + 1.4*Table1[[#This Row],[X2]] + 3.3*Table1[[#This Row],[x3]] + 0.6*Table1[[#This Row],[x4]] + 1*Table1[[#This Row],[x5]]</f>
        <v>#DIV/0!</v>
      </c>
      <c r="W2690" s="23" t="e">
        <f>IF(Table1[[#This Row],[Zscore]]&lt;1.81,1,0)</f>
        <v>#DIV/0!</v>
      </c>
    </row>
    <row r="2691" spans="1:23" hidden="1" x14ac:dyDescent="0.45">
      <c r="A2691" s="7">
        <v>2685</v>
      </c>
      <c r="B2691" s="5" t="s">
        <v>5378</v>
      </c>
      <c r="C2691" s="6" t="s">
        <v>5379</v>
      </c>
      <c r="D2691" s="6" t="s">
        <v>13</v>
      </c>
      <c r="E2691" s="6"/>
      <c r="F2691" s="6"/>
      <c r="G2691" s="6"/>
      <c r="H2691" s="6"/>
      <c r="I2691" s="6"/>
      <c r="J2691" s="8"/>
      <c r="K2691" s="6"/>
      <c r="L2691" s="6"/>
      <c r="M2691" s="8"/>
      <c r="N2691" s="8"/>
      <c r="O2691" s="8"/>
      <c r="P2691" s="8"/>
      <c r="Q2691" s="18" t="e">
        <f>(Table1[[#This Row],[A. TÀI SẢN NGẮN HẠN]]-Table1[[#This Row],[I. Nợ ngắn hạn]])/Table1[[#This Row],[TỔNG CỘNG TÀI SẢN]]</f>
        <v>#DIV/0!</v>
      </c>
      <c r="R2691" s="18" t="e">
        <f>Table1[[#This Row],[- LNST chưa phân phối kỳ này]]/Table1[[#This Row],[TỔNG CỘNG TÀI SẢN]]</f>
        <v>#DIV/0!</v>
      </c>
      <c r="S2691" s="21" t="e">
        <f>Table1[[#This Row],[5. Lợi nhuận gộp về bán hàng và cung cấp dịch vụ]]/Table1[[#This Row],[TỔNG CỘNG TÀI SẢN]]</f>
        <v>#DIV/0!</v>
      </c>
      <c r="T269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691" s="23" t="e">
        <f>Table1[[#This Row],[1. Doanh thu bán hàng và cung cấp dịch vụ ]]/Table1[[#This Row],[TỔNG CỘNG TÀI SẢN]]</f>
        <v>#DIV/0!</v>
      </c>
      <c r="V2691" s="23" t="e">
        <f>1.2*Table1[[#This Row],[X1]] + 1.4*Table1[[#This Row],[X2]] + 3.3*Table1[[#This Row],[x3]] + 0.6*Table1[[#This Row],[x4]] + 1*Table1[[#This Row],[x5]]</f>
        <v>#DIV/0!</v>
      </c>
      <c r="W2691" s="23" t="e">
        <f>IF(Table1[[#This Row],[Zscore]]&lt;1.81,1,0)</f>
        <v>#DIV/0!</v>
      </c>
    </row>
    <row r="2692" spans="1:23" hidden="1" x14ac:dyDescent="0.45">
      <c r="A2692" s="7">
        <v>2686</v>
      </c>
      <c r="B2692" s="5" t="s">
        <v>5380</v>
      </c>
      <c r="C2692" s="6" t="s">
        <v>5381</v>
      </c>
      <c r="D2692" s="6" t="s">
        <v>13</v>
      </c>
      <c r="E2692" s="6"/>
      <c r="F2692" s="6"/>
      <c r="G2692" s="6"/>
      <c r="H2692" s="6"/>
      <c r="I2692" s="6"/>
      <c r="J2692" s="8"/>
      <c r="K2692" s="6"/>
      <c r="L2692" s="6"/>
      <c r="M2692" s="8"/>
      <c r="N2692" s="8"/>
      <c r="O2692" s="8"/>
      <c r="P2692" s="8"/>
      <c r="Q2692" s="18" t="e">
        <f>(Table1[[#This Row],[A. TÀI SẢN NGẮN HẠN]]-Table1[[#This Row],[I. Nợ ngắn hạn]])/Table1[[#This Row],[TỔNG CỘNG TÀI SẢN]]</f>
        <v>#DIV/0!</v>
      </c>
      <c r="R2692" s="18" t="e">
        <f>Table1[[#This Row],[- LNST chưa phân phối kỳ này]]/Table1[[#This Row],[TỔNG CỘNG TÀI SẢN]]</f>
        <v>#DIV/0!</v>
      </c>
      <c r="S2692" s="21" t="e">
        <f>Table1[[#This Row],[5. Lợi nhuận gộp về bán hàng và cung cấp dịch vụ]]/Table1[[#This Row],[TỔNG CỘNG TÀI SẢN]]</f>
        <v>#DIV/0!</v>
      </c>
      <c r="T269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692" s="23" t="e">
        <f>Table1[[#This Row],[1. Doanh thu bán hàng và cung cấp dịch vụ ]]/Table1[[#This Row],[TỔNG CỘNG TÀI SẢN]]</f>
        <v>#DIV/0!</v>
      </c>
      <c r="V2692" s="23" t="e">
        <f>1.2*Table1[[#This Row],[X1]] + 1.4*Table1[[#This Row],[X2]] + 3.3*Table1[[#This Row],[x3]] + 0.6*Table1[[#This Row],[x4]] + 1*Table1[[#This Row],[x5]]</f>
        <v>#DIV/0!</v>
      </c>
      <c r="W2692" s="23" t="e">
        <f>IF(Table1[[#This Row],[Zscore]]&lt;1.81,1,0)</f>
        <v>#DIV/0!</v>
      </c>
    </row>
    <row r="2693" spans="1:23" hidden="1" x14ac:dyDescent="0.45">
      <c r="A2693" s="7">
        <v>2687</v>
      </c>
      <c r="B2693" s="5" t="s">
        <v>5382</v>
      </c>
      <c r="C2693" s="6" t="s">
        <v>5383</v>
      </c>
      <c r="D2693" s="6" t="s">
        <v>13</v>
      </c>
      <c r="E2693" s="6"/>
      <c r="F2693" s="6"/>
      <c r="G2693" s="6"/>
      <c r="H2693" s="6"/>
      <c r="I2693" s="6"/>
      <c r="J2693" s="8"/>
      <c r="K2693" s="6"/>
      <c r="L2693" s="6"/>
      <c r="M2693" s="8"/>
      <c r="N2693" s="8"/>
      <c r="O2693" s="8"/>
      <c r="P2693" s="8"/>
      <c r="Q2693" s="18" t="e">
        <f>(Table1[[#This Row],[A. TÀI SẢN NGẮN HẠN]]-Table1[[#This Row],[I. Nợ ngắn hạn]])/Table1[[#This Row],[TỔNG CỘNG TÀI SẢN]]</f>
        <v>#DIV/0!</v>
      </c>
      <c r="R2693" s="18" t="e">
        <f>Table1[[#This Row],[- LNST chưa phân phối kỳ này]]/Table1[[#This Row],[TỔNG CỘNG TÀI SẢN]]</f>
        <v>#DIV/0!</v>
      </c>
      <c r="S2693" s="21" t="e">
        <f>Table1[[#This Row],[5. Lợi nhuận gộp về bán hàng và cung cấp dịch vụ]]/Table1[[#This Row],[TỔNG CỘNG TÀI SẢN]]</f>
        <v>#DIV/0!</v>
      </c>
      <c r="T269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693" s="23" t="e">
        <f>Table1[[#This Row],[1. Doanh thu bán hàng và cung cấp dịch vụ ]]/Table1[[#This Row],[TỔNG CỘNG TÀI SẢN]]</f>
        <v>#DIV/0!</v>
      </c>
      <c r="V2693" s="23" t="e">
        <f>1.2*Table1[[#This Row],[X1]] + 1.4*Table1[[#This Row],[X2]] + 3.3*Table1[[#This Row],[x3]] + 0.6*Table1[[#This Row],[x4]] + 1*Table1[[#This Row],[x5]]</f>
        <v>#DIV/0!</v>
      </c>
      <c r="W2693" s="23" t="e">
        <f>IF(Table1[[#This Row],[Zscore]]&lt;1.81,1,0)</f>
        <v>#DIV/0!</v>
      </c>
    </row>
    <row r="2694" spans="1:23" hidden="1" x14ac:dyDescent="0.45">
      <c r="A2694" s="7">
        <v>2688</v>
      </c>
      <c r="B2694" s="5" t="s">
        <v>5384</v>
      </c>
      <c r="C2694" s="6" t="s">
        <v>5385</v>
      </c>
      <c r="D2694" s="6" t="s">
        <v>13</v>
      </c>
      <c r="E2694" s="6"/>
      <c r="F2694" s="6"/>
      <c r="G2694" s="6"/>
      <c r="H2694" s="6"/>
      <c r="I2694" s="6"/>
      <c r="J2694" s="8"/>
      <c r="K2694" s="6"/>
      <c r="L2694" s="6"/>
      <c r="M2694" s="8"/>
      <c r="N2694" s="8"/>
      <c r="O2694" s="8"/>
      <c r="P2694" s="8"/>
      <c r="Q2694" s="18" t="e">
        <f>(Table1[[#This Row],[A. TÀI SẢN NGẮN HẠN]]-Table1[[#This Row],[I. Nợ ngắn hạn]])/Table1[[#This Row],[TỔNG CỘNG TÀI SẢN]]</f>
        <v>#DIV/0!</v>
      </c>
      <c r="R2694" s="18" t="e">
        <f>Table1[[#This Row],[- LNST chưa phân phối kỳ này]]/Table1[[#This Row],[TỔNG CỘNG TÀI SẢN]]</f>
        <v>#DIV/0!</v>
      </c>
      <c r="S2694" s="21" t="e">
        <f>Table1[[#This Row],[5. Lợi nhuận gộp về bán hàng và cung cấp dịch vụ]]/Table1[[#This Row],[TỔNG CỘNG TÀI SẢN]]</f>
        <v>#DIV/0!</v>
      </c>
      <c r="T269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694" s="23" t="e">
        <f>Table1[[#This Row],[1. Doanh thu bán hàng và cung cấp dịch vụ ]]/Table1[[#This Row],[TỔNG CỘNG TÀI SẢN]]</f>
        <v>#DIV/0!</v>
      </c>
      <c r="V2694" s="23" t="e">
        <f>1.2*Table1[[#This Row],[X1]] + 1.4*Table1[[#This Row],[X2]] + 3.3*Table1[[#This Row],[x3]] + 0.6*Table1[[#This Row],[x4]] + 1*Table1[[#This Row],[x5]]</f>
        <v>#DIV/0!</v>
      </c>
      <c r="W2694" s="23" t="e">
        <f>IF(Table1[[#This Row],[Zscore]]&lt;1.81,1,0)</f>
        <v>#DIV/0!</v>
      </c>
    </row>
    <row r="2695" spans="1:23" ht="26.25" hidden="1" x14ac:dyDescent="0.45">
      <c r="A2695" s="7">
        <v>2689</v>
      </c>
      <c r="B2695" s="5" t="s">
        <v>5386</v>
      </c>
      <c r="C2695" s="6" t="s">
        <v>5387</v>
      </c>
      <c r="D2695" s="6" t="s">
        <v>13</v>
      </c>
      <c r="E2695" s="6"/>
      <c r="F2695" s="6"/>
      <c r="G2695" s="6"/>
      <c r="H2695" s="6"/>
      <c r="I2695" s="6"/>
      <c r="J2695" s="8"/>
      <c r="K2695" s="6"/>
      <c r="L2695" s="6"/>
      <c r="M2695" s="8"/>
      <c r="N2695" s="8"/>
      <c r="O2695" s="8"/>
      <c r="P2695" s="8"/>
      <c r="Q2695" s="18" t="e">
        <f>(Table1[[#This Row],[A. TÀI SẢN NGẮN HẠN]]-Table1[[#This Row],[I. Nợ ngắn hạn]])/Table1[[#This Row],[TỔNG CỘNG TÀI SẢN]]</f>
        <v>#DIV/0!</v>
      </c>
      <c r="R2695" s="18" t="e">
        <f>Table1[[#This Row],[- LNST chưa phân phối kỳ này]]/Table1[[#This Row],[TỔNG CỘNG TÀI SẢN]]</f>
        <v>#DIV/0!</v>
      </c>
      <c r="S2695" s="21" t="e">
        <f>Table1[[#This Row],[5. Lợi nhuận gộp về bán hàng và cung cấp dịch vụ]]/Table1[[#This Row],[TỔNG CỘNG TÀI SẢN]]</f>
        <v>#DIV/0!</v>
      </c>
      <c r="T269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695" s="23" t="e">
        <f>Table1[[#This Row],[1. Doanh thu bán hàng và cung cấp dịch vụ ]]/Table1[[#This Row],[TỔNG CỘNG TÀI SẢN]]</f>
        <v>#DIV/0!</v>
      </c>
      <c r="V2695" s="23" t="e">
        <f>1.2*Table1[[#This Row],[X1]] + 1.4*Table1[[#This Row],[X2]] + 3.3*Table1[[#This Row],[x3]] + 0.6*Table1[[#This Row],[x4]] + 1*Table1[[#This Row],[x5]]</f>
        <v>#DIV/0!</v>
      </c>
      <c r="W2695" s="23" t="e">
        <f>IF(Table1[[#This Row],[Zscore]]&lt;1.81,1,0)</f>
        <v>#DIV/0!</v>
      </c>
    </row>
    <row r="2696" spans="1:23" x14ac:dyDescent="0.45">
      <c r="A2696" s="7">
        <v>2690</v>
      </c>
      <c r="B2696" s="5" t="s">
        <v>5388</v>
      </c>
      <c r="C2696" s="6" t="s">
        <v>5389</v>
      </c>
      <c r="D2696" s="6" t="s">
        <v>21</v>
      </c>
      <c r="E2696" s="8">
        <v>1410932728716</v>
      </c>
      <c r="F2696" s="8">
        <v>1143677969337</v>
      </c>
      <c r="G2696" s="8">
        <v>104388073117</v>
      </c>
      <c r="H2696" s="8">
        <v>85810899666</v>
      </c>
      <c r="I2696" s="8">
        <v>155017502612</v>
      </c>
      <c r="J2696" s="8"/>
      <c r="K2696" s="8">
        <v>131738258614</v>
      </c>
      <c r="L2696" s="8">
        <v>607237296685</v>
      </c>
      <c r="M2696" s="8">
        <v>958593174000</v>
      </c>
      <c r="N2696" s="8">
        <v>835345480200</v>
      </c>
      <c r="O2696" s="8">
        <v>862733856600</v>
      </c>
      <c r="P2696" s="8">
        <v>920934156450</v>
      </c>
      <c r="Q2696" s="18">
        <f>(Table1[[#This Row],[A. TÀI SẢN NGẮN HẠN]]-Table1[[#This Row],[I. Nợ ngắn hạn]])/Table1[[#This Row],[TỔNG CỘNG TÀI SẢN]]</f>
        <v>0.73659776619243322</v>
      </c>
      <c r="R2696" s="18">
        <f>Table1[[#This Row],[- LNST chưa phân phối kỳ này]]/Table1[[#This Row],[TỔNG CỘNG TÀI SẢN]]</f>
        <v>6.0818562018963893E-2</v>
      </c>
      <c r="S2696" s="21">
        <f>Table1[[#This Row],[5. Lợi nhuận gộp về bán hàng và cung cấp dịch vụ]]/Table1[[#This Row],[TỔNG CỘNG TÀI SẢN]]</f>
        <v>0.10986881192632873</v>
      </c>
      <c r="T269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6.7892324995212192</v>
      </c>
      <c r="U2696" s="23">
        <f>Table1[[#This Row],[1. Doanh thu bán hàng và cung cấp dịch vụ ]]/Table1[[#This Row],[TỔNG CỘNG TÀI SẢN]]</f>
        <v>0.43038004883309211</v>
      </c>
      <c r="V2696" s="23">
        <f>1.2*Table1[[#This Row],[X1]] + 1.4*Table1[[#This Row],[X2]] + 3.3*Table1[[#This Row],[x3]] + 0.6*Table1[[#This Row],[x4]] + 1*Table1[[#This Row],[x5]]</f>
        <v>5.8355499341601771</v>
      </c>
      <c r="W2696" s="23">
        <f>IF(Table1[[#This Row],[Zscore]]&lt;1.81,1,0)</f>
        <v>0</v>
      </c>
    </row>
    <row r="2697" spans="1:23" hidden="1" x14ac:dyDescent="0.45">
      <c r="A2697" s="7">
        <v>2691</v>
      </c>
      <c r="B2697" s="5" t="s">
        <v>5390</v>
      </c>
      <c r="C2697" s="6" t="s">
        <v>5391</v>
      </c>
      <c r="D2697" s="6" t="s">
        <v>13</v>
      </c>
      <c r="E2697" s="6"/>
      <c r="F2697" s="6"/>
      <c r="G2697" s="6"/>
      <c r="H2697" s="6"/>
      <c r="I2697" s="6"/>
      <c r="J2697" s="8"/>
      <c r="K2697" s="6"/>
      <c r="L2697" s="6"/>
      <c r="M2697" s="8"/>
      <c r="N2697" s="8"/>
      <c r="O2697" s="8"/>
      <c r="P2697" s="8"/>
      <c r="Q2697" s="18" t="e">
        <f>(Table1[[#This Row],[A. TÀI SẢN NGẮN HẠN]]-Table1[[#This Row],[I. Nợ ngắn hạn]])/Table1[[#This Row],[TỔNG CỘNG TÀI SẢN]]</f>
        <v>#DIV/0!</v>
      </c>
      <c r="R2697" s="18" t="e">
        <f>Table1[[#This Row],[- LNST chưa phân phối kỳ này]]/Table1[[#This Row],[TỔNG CỘNG TÀI SẢN]]</f>
        <v>#DIV/0!</v>
      </c>
      <c r="S2697" s="21" t="e">
        <f>Table1[[#This Row],[5. Lợi nhuận gộp về bán hàng và cung cấp dịch vụ]]/Table1[[#This Row],[TỔNG CỘNG TÀI SẢN]]</f>
        <v>#DIV/0!</v>
      </c>
      <c r="T269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697" s="23" t="e">
        <f>Table1[[#This Row],[1. Doanh thu bán hàng và cung cấp dịch vụ ]]/Table1[[#This Row],[TỔNG CỘNG TÀI SẢN]]</f>
        <v>#DIV/0!</v>
      </c>
      <c r="V2697" s="23" t="e">
        <f>1.2*Table1[[#This Row],[X1]] + 1.4*Table1[[#This Row],[X2]] + 3.3*Table1[[#This Row],[x3]] + 0.6*Table1[[#This Row],[x4]] + 1*Table1[[#This Row],[x5]]</f>
        <v>#DIV/0!</v>
      </c>
      <c r="W2697" s="23" t="e">
        <f>IF(Table1[[#This Row],[Zscore]]&lt;1.81,1,0)</f>
        <v>#DIV/0!</v>
      </c>
    </row>
    <row r="2698" spans="1:23" hidden="1" x14ac:dyDescent="0.45">
      <c r="A2698" s="7">
        <v>2692</v>
      </c>
      <c r="B2698" s="5" t="s">
        <v>5392</v>
      </c>
      <c r="C2698" s="6" t="s">
        <v>5393</v>
      </c>
      <c r="D2698" s="6" t="s">
        <v>13</v>
      </c>
      <c r="E2698" s="6"/>
      <c r="F2698" s="6"/>
      <c r="G2698" s="6"/>
      <c r="H2698" s="6"/>
      <c r="I2698" s="6"/>
      <c r="J2698" s="8"/>
      <c r="K2698" s="6"/>
      <c r="L2698" s="6"/>
      <c r="M2698" s="8"/>
      <c r="N2698" s="8"/>
      <c r="O2698" s="8"/>
      <c r="P2698" s="8"/>
      <c r="Q2698" s="18" t="e">
        <f>(Table1[[#This Row],[A. TÀI SẢN NGẮN HẠN]]-Table1[[#This Row],[I. Nợ ngắn hạn]])/Table1[[#This Row],[TỔNG CỘNG TÀI SẢN]]</f>
        <v>#DIV/0!</v>
      </c>
      <c r="R2698" s="18" t="e">
        <f>Table1[[#This Row],[- LNST chưa phân phối kỳ này]]/Table1[[#This Row],[TỔNG CỘNG TÀI SẢN]]</f>
        <v>#DIV/0!</v>
      </c>
      <c r="S2698" s="21" t="e">
        <f>Table1[[#This Row],[5. Lợi nhuận gộp về bán hàng và cung cấp dịch vụ]]/Table1[[#This Row],[TỔNG CỘNG TÀI SẢN]]</f>
        <v>#DIV/0!</v>
      </c>
      <c r="T269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698" s="23" t="e">
        <f>Table1[[#This Row],[1. Doanh thu bán hàng và cung cấp dịch vụ ]]/Table1[[#This Row],[TỔNG CỘNG TÀI SẢN]]</f>
        <v>#DIV/0!</v>
      </c>
      <c r="V2698" s="23" t="e">
        <f>1.2*Table1[[#This Row],[X1]] + 1.4*Table1[[#This Row],[X2]] + 3.3*Table1[[#This Row],[x3]] + 0.6*Table1[[#This Row],[x4]] + 1*Table1[[#This Row],[x5]]</f>
        <v>#DIV/0!</v>
      </c>
      <c r="W2698" s="23" t="e">
        <f>IF(Table1[[#This Row],[Zscore]]&lt;1.81,1,0)</f>
        <v>#DIV/0!</v>
      </c>
    </row>
    <row r="2699" spans="1:23" hidden="1" x14ac:dyDescent="0.45">
      <c r="A2699" s="7">
        <v>2693</v>
      </c>
      <c r="B2699" s="5" t="s">
        <v>5394</v>
      </c>
      <c r="C2699" s="6" t="s">
        <v>5395</v>
      </c>
      <c r="D2699" s="6" t="s">
        <v>18</v>
      </c>
      <c r="E2699" s="6"/>
      <c r="F2699" s="6"/>
      <c r="G2699" s="6"/>
      <c r="H2699" s="6"/>
      <c r="I2699" s="6"/>
      <c r="J2699" s="8"/>
      <c r="K2699" s="6"/>
      <c r="L2699" s="6"/>
      <c r="M2699" s="8"/>
      <c r="N2699" s="8"/>
      <c r="O2699" s="8"/>
      <c r="P2699" s="8"/>
      <c r="Q2699" s="18" t="e">
        <f>(Table1[[#This Row],[A. TÀI SẢN NGẮN HẠN]]-Table1[[#This Row],[I. Nợ ngắn hạn]])/Table1[[#This Row],[TỔNG CỘNG TÀI SẢN]]</f>
        <v>#DIV/0!</v>
      </c>
      <c r="R2699" s="18" t="e">
        <f>Table1[[#This Row],[- LNST chưa phân phối kỳ này]]/Table1[[#This Row],[TỔNG CỘNG TÀI SẢN]]</f>
        <v>#DIV/0!</v>
      </c>
      <c r="S2699" s="21" t="e">
        <f>Table1[[#This Row],[5. Lợi nhuận gộp về bán hàng và cung cấp dịch vụ]]/Table1[[#This Row],[TỔNG CỘNG TÀI SẢN]]</f>
        <v>#DIV/0!</v>
      </c>
      <c r="T269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699" s="23" t="e">
        <f>Table1[[#This Row],[1. Doanh thu bán hàng và cung cấp dịch vụ ]]/Table1[[#This Row],[TỔNG CỘNG TÀI SẢN]]</f>
        <v>#DIV/0!</v>
      </c>
      <c r="V2699" s="23" t="e">
        <f>1.2*Table1[[#This Row],[X1]] + 1.4*Table1[[#This Row],[X2]] + 3.3*Table1[[#This Row],[x3]] + 0.6*Table1[[#This Row],[x4]] + 1*Table1[[#This Row],[x5]]</f>
        <v>#DIV/0!</v>
      </c>
      <c r="W2699" s="23" t="e">
        <f>IF(Table1[[#This Row],[Zscore]]&lt;1.81,1,0)</f>
        <v>#DIV/0!</v>
      </c>
    </row>
    <row r="2700" spans="1:23" hidden="1" x14ac:dyDescent="0.45">
      <c r="A2700" s="7">
        <v>2694</v>
      </c>
      <c r="B2700" s="5" t="s">
        <v>5396</v>
      </c>
      <c r="D2700" s="6" t="s">
        <v>13</v>
      </c>
      <c r="E2700" s="6"/>
      <c r="F2700" s="6"/>
      <c r="G2700" s="6"/>
      <c r="H2700" s="6"/>
      <c r="I2700" s="6"/>
      <c r="J2700" s="8"/>
      <c r="K2700" s="6"/>
      <c r="L2700" s="6"/>
      <c r="M2700" s="8"/>
      <c r="N2700" s="8"/>
      <c r="O2700" s="8"/>
      <c r="P2700" s="8"/>
      <c r="Q2700" s="18" t="e">
        <f>(Table1[[#This Row],[A. TÀI SẢN NGẮN HẠN]]-Table1[[#This Row],[I. Nợ ngắn hạn]])/Table1[[#This Row],[TỔNG CỘNG TÀI SẢN]]</f>
        <v>#DIV/0!</v>
      </c>
      <c r="R2700" s="18" t="e">
        <f>Table1[[#This Row],[- LNST chưa phân phối kỳ này]]/Table1[[#This Row],[TỔNG CỘNG TÀI SẢN]]</f>
        <v>#DIV/0!</v>
      </c>
      <c r="S2700" s="21" t="e">
        <f>Table1[[#This Row],[5. Lợi nhuận gộp về bán hàng và cung cấp dịch vụ]]/Table1[[#This Row],[TỔNG CỘNG TÀI SẢN]]</f>
        <v>#DIV/0!</v>
      </c>
      <c r="T270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700" s="23" t="e">
        <f>Table1[[#This Row],[1. Doanh thu bán hàng và cung cấp dịch vụ ]]/Table1[[#This Row],[TỔNG CỘNG TÀI SẢN]]</f>
        <v>#DIV/0!</v>
      </c>
      <c r="V2700" s="23" t="e">
        <f>1.2*Table1[[#This Row],[X1]] + 1.4*Table1[[#This Row],[X2]] + 3.3*Table1[[#This Row],[x3]] + 0.6*Table1[[#This Row],[x4]] + 1*Table1[[#This Row],[x5]]</f>
        <v>#DIV/0!</v>
      </c>
      <c r="W2700" s="23" t="e">
        <f>IF(Table1[[#This Row],[Zscore]]&lt;1.81,1,0)</f>
        <v>#DIV/0!</v>
      </c>
    </row>
    <row r="2701" spans="1:23" hidden="1" x14ac:dyDescent="0.45">
      <c r="A2701" s="7">
        <v>2695</v>
      </c>
      <c r="B2701" s="5" t="s">
        <v>5397</v>
      </c>
      <c r="C2701" s="6" t="s">
        <v>5398</v>
      </c>
      <c r="D2701" s="6" t="s">
        <v>13</v>
      </c>
      <c r="E2701" s="6"/>
      <c r="F2701" s="6"/>
      <c r="G2701" s="6"/>
      <c r="H2701" s="6"/>
      <c r="I2701" s="6"/>
      <c r="J2701" s="8"/>
      <c r="K2701" s="6"/>
      <c r="L2701" s="6"/>
      <c r="M2701" s="8"/>
      <c r="N2701" s="8"/>
      <c r="O2701" s="8"/>
      <c r="P2701" s="8"/>
      <c r="Q2701" s="18" t="e">
        <f>(Table1[[#This Row],[A. TÀI SẢN NGẮN HẠN]]-Table1[[#This Row],[I. Nợ ngắn hạn]])/Table1[[#This Row],[TỔNG CỘNG TÀI SẢN]]</f>
        <v>#DIV/0!</v>
      </c>
      <c r="R2701" s="18" t="e">
        <f>Table1[[#This Row],[- LNST chưa phân phối kỳ này]]/Table1[[#This Row],[TỔNG CỘNG TÀI SẢN]]</f>
        <v>#DIV/0!</v>
      </c>
      <c r="S2701" s="21" t="e">
        <f>Table1[[#This Row],[5. Lợi nhuận gộp về bán hàng và cung cấp dịch vụ]]/Table1[[#This Row],[TỔNG CỘNG TÀI SẢN]]</f>
        <v>#DIV/0!</v>
      </c>
      <c r="T270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701" s="23" t="e">
        <f>Table1[[#This Row],[1. Doanh thu bán hàng và cung cấp dịch vụ ]]/Table1[[#This Row],[TỔNG CỘNG TÀI SẢN]]</f>
        <v>#DIV/0!</v>
      </c>
      <c r="V2701" s="23" t="e">
        <f>1.2*Table1[[#This Row],[X1]] + 1.4*Table1[[#This Row],[X2]] + 3.3*Table1[[#This Row],[x3]] + 0.6*Table1[[#This Row],[x4]] + 1*Table1[[#This Row],[x5]]</f>
        <v>#DIV/0!</v>
      </c>
      <c r="W2701" s="23" t="e">
        <f>IF(Table1[[#This Row],[Zscore]]&lt;1.81,1,0)</f>
        <v>#DIV/0!</v>
      </c>
    </row>
    <row r="2702" spans="1:23" hidden="1" x14ac:dyDescent="0.45">
      <c r="A2702" s="7">
        <v>2696</v>
      </c>
      <c r="B2702" s="5" t="s">
        <v>5399</v>
      </c>
      <c r="C2702" s="6" t="s">
        <v>5400</v>
      </c>
      <c r="D2702" s="6" t="s">
        <v>13</v>
      </c>
      <c r="E2702" s="6"/>
      <c r="F2702" s="6"/>
      <c r="G2702" s="6"/>
      <c r="H2702" s="6"/>
      <c r="I2702" s="6"/>
      <c r="J2702" s="8"/>
      <c r="K2702" s="6"/>
      <c r="L2702" s="6"/>
      <c r="M2702" s="8"/>
      <c r="N2702" s="8"/>
      <c r="O2702" s="8"/>
      <c r="P2702" s="8"/>
      <c r="Q2702" s="18" t="e">
        <f>(Table1[[#This Row],[A. TÀI SẢN NGẮN HẠN]]-Table1[[#This Row],[I. Nợ ngắn hạn]])/Table1[[#This Row],[TỔNG CỘNG TÀI SẢN]]</f>
        <v>#DIV/0!</v>
      </c>
      <c r="R2702" s="18" t="e">
        <f>Table1[[#This Row],[- LNST chưa phân phối kỳ này]]/Table1[[#This Row],[TỔNG CỘNG TÀI SẢN]]</f>
        <v>#DIV/0!</v>
      </c>
      <c r="S2702" s="21" t="e">
        <f>Table1[[#This Row],[5. Lợi nhuận gộp về bán hàng và cung cấp dịch vụ]]/Table1[[#This Row],[TỔNG CỘNG TÀI SẢN]]</f>
        <v>#DIV/0!</v>
      </c>
      <c r="T270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702" s="23" t="e">
        <f>Table1[[#This Row],[1. Doanh thu bán hàng và cung cấp dịch vụ ]]/Table1[[#This Row],[TỔNG CỘNG TÀI SẢN]]</f>
        <v>#DIV/0!</v>
      </c>
      <c r="V2702" s="23" t="e">
        <f>1.2*Table1[[#This Row],[X1]] + 1.4*Table1[[#This Row],[X2]] + 3.3*Table1[[#This Row],[x3]] + 0.6*Table1[[#This Row],[x4]] + 1*Table1[[#This Row],[x5]]</f>
        <v>#DIV/0!</v>
      </c>
      <c r="W2702" s="23" t="e">
        <f>IF(Table1[[#This Row],[Zscore]]&lt;1.81,1,0)</f>
        <v>#DIV/0!</v>
      </c>
    </row>
    <row r="2703" spans="1:23" hidden="1" x14ac:dyDescent="0.45">
      <c r="A2703" s="7">
        <v>2697</v>
      </c>
      <c r="B2703" s="5" t="s">
        <v>5401</v>
      </c>
      <c r="C2703" s="6" t="s">
        <v>5402</v>
      </c>
      <c r="D2703" s="6" t="s">
        <v>13</v>
      </c>
      <c r="E2703" s="8">
        <v>259105043560</v>
      </c>
      <c r="F2703" s="8">
        <v>247125781396</v>
      </c>
      <c r="G2703" s="8">
        <v>608393827</v>
      </c>
      <c r="H2703" s="6"/>
      <c r="I2703" s="8">
        <v>6824907764</v>
      </c>
      <c r="J2703" s="8"/>
      <c r="K2703" s="8">
        <v>608393827</v>
      </c>
      <c r="L2703" s="8">
        <v>13793015800</v>
      </c>
      <c r="M2703" s="8"/>
      <c r="N2703" s="8"/>
      <c r="O2703" s="8"/>
      <c r="P2703" s="8"/>
      <c r="Q2703" s="18">
        <f>(Table1[[#This Row],[A. TÀI SẢN NGẮN HẠN]]-Table1[[#This Row],[I. Nợ ngắn hạn]])/Table1[[#This Row],[TỔNG CỘNG TÀI SẢN]]</f>
        <v>0.95141871490399943</v>
      </c>
      <c r="R2703" s="18">
        <f>Table1[[#This Row],[- LNST chưa phân phối kỳ này]]/Table1[[#This Row],[TỔNG CỘNG TÀI SẢN]]</f>
        <v>0</v>
      </c>
      <c r="S2703" s="21">
        <f>Table1[[#This Row],[5. Lợi nhuận gộp về bán hàng và cung cấp dịch vụ]]/Table1[[#This Row],[TỔNG CỘNG TÀI SẢN]]</f>
        <v>2.6340312292761608E-2</v>
      </c>
      <c r="T270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703" s="23">
        <f>Table1[[#This Row],[1. Doanh thu bán hàng và cung cấp dịch vụ ]]/Table1[[#This Row],[TỔNG CỘNG TÀI SẢN]]</f>
        <v>5.3233297239179377E-2</v>
      </c>
      <c r="V2703" s="23" t="e">
        <f>1.2*Table1[[#This Row],[X1]] + 1.4*Table1[[#This Row],[X2]] + 3.3*Table1[[#This Row],[x3]] + 0.6*Table1[[#This Row],[x4]] + 1*Table1[[#This Row],[x5]]</f>
        <v>#DIV/0!</v>
      </c>
      <c r="W2703" s="23" t="e">
        <f>IF(Table1[[#This Row],[Zscore]]&lt;1.81,1,0)</f>
        <v>#DIV/0!</v>
      </c>
    </row>
    <row r="2704" spans="1:23" ht="26.25" hidden="1" x14ac:dyDescent="0.45">
      <c r="A2704" s="7">
        <v>2698</v>
      </c>
      <c r="B2704" s="5" t="s">
        <v>5403</v>
      </c>
      <c r="C2704" s="6" t="s">
        <v>5404</v>
      </c>
      <c r="D2704" s="6" t="s">
        <v>13</v>
      </c>
      <c r="E2704" s="6"/>
      <c r="F2704" s="6"/>
      <c r="G2704" s="6"/>
      <c r="H2704" s="6"/>
      <c r="I2704" s="6"/>
      <c r="J2704" s="8"/>
      <c r="K2704" s="6"/>
      <c r="L2704" s="6"/>
      <c r="M2704" s="8"/>
      <c r="N2704" s="8"/>
      <c r="O2704" s="8"/>
      <c r="P2704" s="8"/>
      <c r="Q2704" s="18" t="e">
        <f>(Table1[[#This Row],[A. TÀI SẢN NGẮN HẠN]]-Table1[[#This Row],[I. Nợ ngắn hạn]])/Table1[[#This Row],[TỔNG CỘNG TÀI SẢN]]</f>
        <v>#DIV/0!</v>
      </c>
      <c r="R2704" s="18" t="e">
        <f>Table1[[#This Row],[- LNST chưa phân phối kỳ này]]/Table1[[#This Row],[TỔNG CỘNG TÀI SẢN]]</f>
        <v>#DIV/0!</v>
      </c>
      <c r="S2704" s="21" t="e">
        <f>Table1[[#This Row],[5. Lợi nhuận gộp về bán hàng và cung cấp dịch vụ]]/Table1[[#This Row],[TỔNG CỘNG TÀI SẢN]]</f>
        <v>#DIV/0!</v>
      </c>
      <c r="T270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704" s="23" t="e">
        <f>Table1[[#This Row],[1. Doanh thu bán hàng và cung cấp dịch vụ ]]/Table1[[#This Row],[TỔNG CỘNG TÀI SẢN]]</f>
        <v>#DIV/0!</v>
      </c>
      <c r="V2704" s="23" t="e">
        <f>1.2*Table1[[#This Row],[X1]] + 1.4*Table1[[#This Row],[X2]] + 3.3*Table1[[#This Row],[x3]] + 0.6*Table1[[#This Row],[x4]] + 1*Table1[[#This Row],[x5]]</f>
        <v>#DIV/0!</v>
      </c>
      <c r="W2704" s="23" t="e">
        <f>IF(Table1[[#This Row],[Zscore]]&lt;1.81,1,0)</f>
        <v>#DIV/0!</v>
      </c>
    </row>
    <row r="2705" spans="1:23" x14ac:dyDescent="0.45">
      <c r="A2705" s="7">
        <v>2699</v>
      </c>
      <c r="B2705" s="5" t="s">
        <v>5405</v>
      </c>
      <c r="C2705" s="6" t="s">
        <v>5406</v>
      </c>
      <c r="D2705" s="6" t="s">
        <v>36</v>
      </c>
      <c r="E2705" s="8">
        <v>2118833245482</v>
      </c>
      <c r="F2705" s="8">
        <v>1088087008760</v>
      </c>
      <c r="G2705" s="8">
        <v>1127278663544</v>
      </c>
      <c r="H2705" s="8">
        <v>73464959255</v>
      </c>
      <c r="I2705" s="8">
        <v>233686699501</v>
      </c>
      <c r="J2705" s="8"/>
      <c r="K2705" s="8">
        <v>1467326249424</v>
      </c>
      <c r="L2705" s="8">
        <v>2332568320330</v>
      </c>
      <c r="M2705" s="8">
        <v>999993280000</v>
      </c>
      <c r="N2705" s="8">
        <v>1199991936000</v>
      </c>
      <c r="O2705" s="8">
        <v>934993716800</v>
      </c>
      <c r="P2705" s="8">
        <v>844994321600</v>
      </c>
      <c r="Q2705" s="18">
        <f>(Table1[[#This Row],[A. TÀI SẢN NGẮN HẠN]]-Table1[[#This Row],[I. Nợ ngắn hạn]])/Table1[[#This Row],[TỔNG CỘNG TÀI SẢN]]</f>
        <v>-1.8496809443389935E-2</v>
      </c>
      <c r="R2705" s="18">
        <f>Table1[[#This Row],[- LNST chưa phân phối kỳ này]]/Table1[[#This Row],[TỔNG CỘNG TÀI SẢN]]</f>
        <v>3.4672364808155498E-2</v>
      </c>
      <c r="S2705" s="21">
        <f>Table1[[#This Row],[5. Lợi nhuận gộp về bán hàng và cung cấp dịch vụ]]/Table1[[#This Row],[TỔNG CỘNG TÀI SẢN]]</f>
        <v>0.11029027413992652</v>
      </c>
      <c r="T270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0.67809958009719062</v>
      </c>
      <c r="U2705" s="23">
        <f>Table1[[#This Row],[1. Doanh thu bán hàng và cung cấp dịch vụ ]]/Table1[[#This Row],[TỔNG CỘNG TÀI SẢN]]</f>
        <v>1.1008739481050471</v>
      </c>
      <c r="V2705" s="23">
        <f>1.2*Table1[[#This Row],[X1]] + 1.4*Table1[[#This Row],[X2]] + 3.3*Table1[[#This Row],[x3]] + 0.6*Table1[[#This Row],[x4]] + 1*Table1[[#This Row],[x5]]</f>
        <v>1.8980367402244687</v>
      </c>
      <c r="W2705" s="23">
        <f>IF(Table1[[#This Row],[Zscore]]&lt;1.81,1,0)</f>
        <v>0</v>
      </c>
    </row>
    <row r="2706" spans="1:23" hidden="1" x14ac:dyDescent="0.45">
      <c r="A2706" s="7">
        <v>2700</v>
      </c>
      <c r="B2706" s="5" t="s">
        <v>5407</v>
      </c>
      <c r="C2706" s="6" t="s">
        <v>5408</v>
      </c>
      <c r="D2706" s="6" t="s">
        <v>13</v>
      </c>
      <c r="E2706" s="6"/>
      <c r="F2706" s="6"/>
      <c r="G2706" s="6"/>
      <c r="H2706" s="6"/>
      <c r="I2706" s="6"/>
      <c r="J2706" s="8"/>
      <c r="K2706" s="6"/>
      <c r="L2706" s="6"/>
      <c r="M2706" s="8"/>
      <c r="N2706" s="8"/>
      <c r="O2706" s="8"/>
      <c r="P2706" s="8"/>
      <c r="Q2706" s="18" t="e">
        <f>(Table1[[#This Row],[A. TÀI SẢN NGẮN HẠN]]-Table1[[#This Row],[I. Nợ ngắn hạn]])/Table1[[#This Row],[TỔNG CỘNG TÀI SẢN]]</f>
        <v>#DIV/0!</v>
      </c>
      <c r="R2706" s="18" t="e">
        <f>Table1[[#This Row],[- LNST chưa phân phối kỳ này]]/Table1[[#This Row],[TỔNG CỘNG TÀI SẢN]]</f>
        <v>#DIV/0!</v>
      </c>
      <c r="S2706" s="21" t="e">
        <f>Table1[[#This Row],[5. Lợi nhuận gộp về bán hàng và cung cấp dịch vụ]]/Table1[[#This Row],[TỔNG CỘNG TÀI SẢN]]</f>
        <v>#DIV/0!</v>
      </c>
      <c r="T270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706" s="23" t="e">
        <f>Table1[[#This Row],[1. Doanh thu bán hàng và cung cấp dịch vụ ]]/Table1[[#This Row],[TỔNG CỘNG TÀI SẢN]]</f>
        <v>#DIV/0!</v>
      </c>
      <c r="V2706" s="23" t="e">
        <f>1.2*Table1[[#This Row],[X1]] + 1.4*Table1[[#This Row],[X2]] + 3.3*Table1[[#This Row],[x3]] + 0.6*Table1[[#This Row],[x4]] + 1*Table1[[#This Row],[x5]]</f>
        <v>#DIV/0!</v>
      </c>
      <c r="W2706" s="23" t="e">
        <f>IF(Table1[[#This Row],[Zscore]]&lt;1.81,1,0)</f>
        <v>#DIV/0!</v>
      </c>
    </row>
    <row r="2707" spans="1:23" hidden="1" x14ac:dyDescent="0.45">
      <c r="A2707" s="7">
        <v>2701</v>
      </c>
      <c r="B2707" s="5" t="s">
        <v>5409</v>
      </c>
      <c r="C2707" s="6" t="s">
        <v>5410</v>
      </c>
      <c r="D2707" s="6" t="s">
        <v>13</v>
      </c>
      <c r="E2707" s="6"/>
      <c r="F2707" s="6"/>
      <c r="G2707" s="6"/>
      <c r="H2707" s="6"/>
      <c r="I2707" s="6"/>
      <c r="J2707" s="8"/>
      <c r="K2707" s="6"/>
      <c r="L2707" s="6"/>
      <c r="M2707" s="8"/>
      <c r="N2707" s="8"/>
      <c r="O2707" s="8"/>
      <c r="P2707" s="8"/>
      <c r="Q2707" s="18" t="e">
        <f>(Table1[[#This Row],[A. TÀI SẢN NGẮN HẠN]]-Table1[[#This Row],[I. Nợ ngắn hạn]])/Table1[[#This Row],[TỔNG CỘNG TÀI SẢN]]</f>
        <v>#DIV/0!</v>
      </c>
      <c r="R2707" s="18" t="e">
        <f>Table1[[#This Row],[- LNST chưa phân phối kỳ này]]/Table1[[#This Row],[TỔNG CỘNG TÀI SẢN]]</f>
        <v>#DIV/0!</v>
      </c>
      <c r="S2707" s="21" t="e">
        <f>Table1[[#This Row],[5. Lợi nhuận gộp về bán hàng và cung cấp dịch vụ]]/Table1[[#This Row],[TỔNG CỘNG TÀI SẢN]]</f>
        <v>#DIV/0!</v>
      </c>
      <c r="T270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707" s="23" t="e">
        <f>Table1[[#This Row],[1. Doanh thu bán hàng và cung cấp dịch vụ ]]/Table1[[#This Row],[TỔNG CỘNG TÀI SẢN]]</f>
        <v>#DIV/0!</v>
      </c>
      <c r="V2707" s="23" t="e">
        <f>1.2*Table1[[#This Row],[X1]] + 1.4*Table1[[#This Row],[X2]] + 3.3*Table1[[#This Row],[x3]] + 0.6*Table1[[#This Row],[x4]] + 1*Table1[[#This Row],[x5]]</f>
        <v>#DIV/0!</v>
      </c>
      <c r="W2707" s="23" t="e">
        <f>IF(Table1[[#This Row],[Zscore]]&lt;1.81,1,0)</f>
        <v>#DIV/0!</v>
      </c>
    </row>
    <row r="2708" spans="1:23" ht="26.25" x14ac:dyDescent="0.45">
      <c r="A2708" s="7">
        <v>2702</v>
      </c>
      <c r="B2708" s="5" t="s">
        <v>5411</v>
      </c>
      <c r="C2708" s="6" t="s">
        <v>5412</v>
      </c>
      <c r="D2708" s="6" t="s">
        <v>18</v>
      </c>
      <c r="E2708" s="8">
        <v>1969762788098</v>
      </c>
      <c r="F2708" s="8">
        <v>1399660127621</v>
      </c>
      <c r="G2708" s="8">
        <v>1084964680082</v>
      </c>
      <c r="H2708" s="8">
        <v>21334427492</v>
      </c>
      <c r="I2708" s="8">
        <v>131074348097</v>
      </c>
      <c r="J2708" s="8"/>
      <c r="K2708" s="8">
        <v>1232671626263</v>
      </c>
      <c r="L2708" s="8">
        <v>975394882881</v>
      </c>
      <c r="M2708" s="8">
        <v>481554380000</v>
      </c>
      <c r="N2708" s="8">
        <v>835467840000</v>
      </c>
      <c r="O2708" s="8">
        <v>522167400000</v>
      </c>
      <c r="P2708" s="8">
        <v>632402740000</v>
      </c>
      <c r="Q2708" s="18">
        <f>(Table1[[#This Row],[A. TÀI SẢN NGẮN HẠN]]-Table1[[#This Row],[I. Nợ ngắn hạn]])/Table1[[#This Row],[TỔNG CỘNG TÀI SẢN]]</f>
        <v>0.15976311941747537</v>
      </c>
      <c r="R2708" s="18">
        <f>Table1[[#This Row],[- LNST chưa phân phối kỳ này]]/Table1[[#This Row],[TỔNG CỘNG TÀI SẢN]]</f>
        <v>1.0830962804714414E-2</v>
      </c>
      <c r="S2708" s="21">
        <f>Table1[[#This Row],[5. Lợi nhuận gộp về bán hàng và cung cấp dịch vụ]]/Table1[[#This Row],[TỔNG CỘNG TÀI SẢN]]</f>
        <v>6.6543214690112609E-2</v>
      </c>
      <c r="T270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0.50126739095409878</v>
      </c>
      <c r="U2708" s="23">
        <f>Table1[[#This Row],[1. Doanh thu bán hàng và cung cấp dịch vụ ]]/Table1[[#This Row],[TỔNG CỘNG TÀI SẢN]]</f>
        <v>0.4951839321844636</v>
      </c>
      <c r="V2708" s="23">
        <f>1.2*Table1[[#This Row],[X1]] + 1.4*Table1[[#This Row],[X2]] + 3.3*Table1[[#This Row],[x3]] + 0.6*Table1[[#This Row],[x4]] + 1*Table1[[#This Row],[x5]]</f>
        <v>1.2224160664618651</v>
      </c>
      <c r="W2708" s="23">
        <f>IF(Table1[[#This Row],[Zscore]]&lt;1.81,1,0)</f>
        <v>1</v>
      </c>
    </row>
    <row r="2709" spans="1:23" ht="26.25" hidden="1" x14ac:dyDescent="0.45">
      <c r="A2709" s="7">
        <v>2703</v>
      </c>
      <c r="B2709" s="5" t="s">
        <v>5413</v>
      </c>
      <c r="C2709" s="6" t="s">
        <v>5414</v>
      </c>
      <c r="D2709" s="6" t="s">
        <v>13</v>
      </c>
      <c r="E2709" s="6"/>
      <c r="F2709" s="6"/>
      <c r="G2709" s="6"/>
      <c r="H2709" s="6"/>
      <c r="I2709" s="6"/>
      <c r="J2709" s="8"/>
      <c r="K2709" s="6"/>
      <c r="L2709" s="6"/>
      <c r="M2709" s="8"/>
      <c r="N2709" s="8"/>
      <c r="O2709" s="8"/>
      <c r="P2709" s="8"/>
      <c r="Q2709" s="18" t="e">
        <f>(Table1[[#This Row],[A. TÀI SẢN NGẮN HẠN]]-Table1[[#This Row],[I. Nợ ngắn hạn]])/Table1[[#This Row],[TỔNG CỘNG TÀI SẢN]]</f>
        <v>#DIV/0!</v>
      </c>
      <c r="R2709" s="18" t="e">
        <f>Table1[[#This Row],[- LNST chưa phân phối kỳ này]]/Table1[[#This Row],[TỔNG CỘNG TÀI SẢN]]</f>
        <v>#DIV/0!</v>
      </c>
      <c r="S2709" s="21" t="e">
        <f>Table1[[#This Row],[5. Lợi nhuận gộp về bán hàng và cung cấp dịch vụ]]/Table1[[#This Row],[TỔNG CỘNG TÀI SẢN]]</f>
        <v>#DIV/0!</v>
      </c>
      <c r="T270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709" s="23" t="e">
        <f>Table1[[#This Row],[1. Doanh thu bán hàng và cung cấp dịch vụ ]]/Table1[[#This Row],[TỔNG CỘNG TÀI SẢN]]</f>
        <v>#DIV/0!</v>
      </c>
      <c r="V2709" s="23" t="e">
        <f>1.2*Table1[[#This Row],[X1]] + 1.4*Table1[[#This Row],[X2]] + 3.3*Table1[[#This Row],[x3]] + 0.6*Table1[[#This Row],[x4]] + 1*Table1[[#This Row],[x5]]</f>
        <v>#DIV/0!</v>
      </c>
      <c r="W2709" s="23" t="e">
        <f>IF(Table1[[#This Row],[Zscore]]&lt;1.81,1,0)</f>
        <v>#DIV/0!</v>
      </c>
    </row>
    <row r="2710" spans="1:23" ht="26.25" hidden="1" x14ac:dyDescent="0.45">
      <c r="A2710" s="7">
        <v>2704</v>
      </c>
      <c r="B2710" s="5" t="s">
        <v>5415</v>
      </c>
      <c r="C2710" s="6" t="s">
        <v>5416</v>
      </c>
      <c r="D2710" s="6" t="s">
        <v>13</v>
      </c>
      <c r="E2710" s="6"/>
      <c r="F2710" s="6"/>
      <c r="G2710" s="6"/>
      <c r="H2710" s="6"/>
      <c r="I2710" s="6"/>
      <c r="J2710" s="8"/>
      <c r="K2710" s="6"/>
      <c r="L2710" s="6"/>
      <c r="M2710" s="8"/>
      <c r="N2710" s="8"/>
      <c r="O2710" s="8"/>
      <c r="P2710" s="8"/>
      <c r="Q2710" s="18" t="e">
        <f>(Table1[[#This Row],[A. TÀI SẢN NGẮN HẠN]]-Table1[[#This Row],[I. Nợ ngắn hạn]])/Table1[[#This Row],[TỔNG CỘNG TÀI SẢN]]</f>
        <v>#DIV/0!</v>
      </c>
      <c r="R2710" s="18" t="e">
        <f>Table1[[#This Row],[- LNST chưa phân phối kỳ này]]/Table1[[#This Row],[TỔNG CỘNG TÀI SẢN]]</f>
        <v>#DIV/0!</v>
      </c>
      <c r="S2710" s="21" t="e">
        <f>Table1[[#This Row],[5. Lợi nhuận gộp về bán hàng và cung cấp dịch vụ]]/Table1[[#This Row],[TỔNG CỘNG TÀI SẢN]]</f>
        <v>#DIV/0!</v>
      </c>
      <c r="T271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710" s="23" t="e">
        <f>Table1[[#This Row],[1. Doanh thu bán hàng và cung cấp dịch vụ ]]/Table1[[#This Row],[TỔNG CỘNG TÀI SẢN]]</f>
        <v>#DIV/0!</v>
      </c>
      <c r="V2710" s="23" t="e">
        <f>1.2*Table1[[#This Row],[X1]] + 1.4*Table1[[#This Row],[X2]] + 3.3*Table1[[#This Row],[x3]] + 0.6*Table1[[#This Row],[x4]] + 1*Table1[[#This Row],[x5]]</f>
        <v>#DIV/0!</v>
      </c>
      <c r="W2710" s="23" t="e">
        <f>IF(Table1[[#This Row],[Zscore]]&lt;1.81,1,0)</f>
        <v>#DIV/0!</v>
      </c>
    </row>
    <row r="2711" spans="1:23" x14ac:dyDescent="0.45">
      <c r="A2711" s="7">
        <v>2705</v>
      </c>
      <c r="B2711" s="5" t="s">
        <v>5417</v>
      </c>
      <c r="C2711" s="6" t="s">
        <v>5418</v>
      </c>
      <c r="D2711" s="6" t="s">
        <v>21</v>
      </c>
      <c r="E2711" s="8">
        <v>34167047236850</v>
      </c>
      <c r="F2711" s="8">
        <v>34112186395621</v>
      </c>
      <c r="G2711" s="8">
        <v>11875431410548</v>
      </c>
      <c r="H2711" s="8">
        <v>3346820981299</v>
      </c>
      <c r="I2711" s="8">
        <v>7157519236312</v>
      </c>
      <c r="J2711" s="8"/>
      <c r="K2711" s="8">
        <v>12712284159210</v>
      </c>
      <c r="L2711" s="8">
        <v>8279145384688</v>
      </c>
      <c r="M2711" s="8">
        <v>17866786369250</v>
      </c>
      <c r="N2711" s="8">
        <v>34457171805000</v>
      </c>
      <c r="O2711" s="8">
        <v>18596042955750</v>
      </c>
      <c r="P2711" s="8">
        <v>55284617873800</v>
      </c>
      <c r="Q2711" s="18">
        <f>(Table1[[#This Row],[A. TÀI SẢN NGẮN HẠN]]-Table1[[#This Row],[I. Nợ ngắn hạn]])/Table1[[#This Row],[TỔNG CỘNG TÀI SẢN]]</f>
        <v>0.65082460392100006</v>
      </c>
      <c r="R2711" s="18">
        <f>Table1[[#This Row],[- LNST chưa phân phối kỳ này]]/Table1[[#This Row],[TỔNG CỘNG TÀI SẢN]]</f>
        <v>9.7954644956540798E-2</v>
      </c>
      <c r="S2711" s="21">
        <f>Table1[[#This Row],[5. Lợi nhuận gộp về bán hàng và cung cấp dịch vụ]]/Table1[[#This Row],[TỔNG CỘNG TÀI SẢN]]</f>
        <v>0.20948603450263736</v>
      </c>
      <c r="T271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2.48194221870751</v>
      </c>
      <c r="U2711" s="23">
        <f>Table1[[#This Row],[1. Doanh thu bán hàng và cung cấp dịch vụ ]]/Table1[[#This Row],[TỔNG CỘNG TÀI SẢN]]</f>
        <v>0.24231375123802734</v>
      </c>
      <c r="V2711" s="23">
        <f>1.2*Table1[[#This Row],[X1]] + 1.4*Table1[[#This Row],[X2]] + 3.3*Table1[[#This Row],[x3]] + 0.6*Table1[[#This Row],[x4]] + 1*Table1[[#This Row],[x5]]</f>
        <v>3.3409090239655939</v>
      </c>
      <c r="W2711" s="23">
        <f>IF(Table1[[#This Row],[Zscore]]&lt;1.81,1,0)</f>
        <v>0</v>
      </c>
    </row>
    <row r="2712" spans="1:23" x14ac:dyDescent="0.45">
      <c r="A2712" s="7">
        <v>2706</v>
      </c>
      <c r="B2712" s="5" t="s">
        <v>5419</v>
      </c>
      <c r="C2712" s="6" t="s">
        <v>5420</v>
      </c>
      <c r="D2712" s="6" t="s">
        <v>21</v>
      </c>
      <c r="E2712" s="8">
        <v>139458571644297</v>
      </c>
      <c r="F2712" s="8">
        <v>54676080504802</v>
      </c>
      <c r="G2712" s="8">
        <v>46631065474579</v>
      </c>
      <c r="H2712" s="8">
        <v>2122533969007</v>
      </c>
      <c r="I2712" s="8">
        <v>8468904187677</v>
      </c>
      <c r="J2712" s="8"/>
      <c r="K2712" s="8">
        <v>114608152674178</v>
      </c>
      <c r="L2712" s="8">
        <v>82092949674406</v>
      </c>
      <c r="M2712" s="8">
        <v>51453076730000</v>
      </c>
      <c r="N2712" s="8">
        <v>123646768806000</v>
      </c>
      <c r="O2712" s="8">
        <v>47715958525400</v>
      </c>
      <c r="P2712" s="8">
        <v>76672828886400</v>
      </c>
      <c r="Q2712" s="18">
        <f>(Table1[[#This Row],[A. TÀI SẢN NGẮN HẠN]]-Table1[[#This Row],[I. Nợ ngắn hạn]])/Table1[[#This Row],[TỔNG CỘNG TÀI SẢN]]</f>
        <v>5.7687490524014638E-2</v>
      </c>
      <c r="R2712" s="18">
        <f>Table1[[#This Row],[- LNST chưa phân phối kỳ này]]/Table1[[#This Row],[TỔNG CỘNG TÀI SẢN]]</f>
        <v>1.5219817211528128E-2</v>
      </c>
      <c r="S2712" s="21">
        <f>Table1[[#This Row],[5. Lợi nhuận gộp về bán hàng và cung cấp dịch vụ]]/Table1[[#This Row],[TỔNG CỘNG TÀI SẢN]]</f>
        <v>6.0727025150363545E-2</v>
      </c>
      <c r="T271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0.65328823901215549</v>
      </c>
      <c r="U2712" s="23">
        <f>Table1[[#This Row],[1. Doanh thu bán hàng và cung cấp dịch vụ ]]/Table1[[#This Row],[TỔNG CỘNG TÀI SẢN]]</f>
        <v>0.5886547431719884</v>
      </c>
      <c r="V2712" s="23">
        <f>1.2*Table1[[#This Row],[X1]] + 1.4*Table1[[#This Row],[X2]] + 3.3*Table1[[#This Row],[x3]] + 0.6*Table1[[#This Row],[x4]] + 1*Table1[[#This Row],[x5]]</f>
        <v>1.2715596023004383</v>
      </c>
      <c r="W2712" s="23">
        <f>IF(Table1[[#This Row],[Zscore]]&lt;1.81,1,0)</f>
        <v>1</v>
      </c>
    </row>
    <row r="2713" spans="1:23" x14ac:dyDescent="0.45">
      <c r="A2713" s="7">
        <v>2707</v>
      </c>
      <c r="B2713" s="5" t="s">
        <v>5421</v>
      </c>
      <c r="C2713" s="6" t="s">
        <v>5422</v>
      </c>
      <c r="D2713" s="6" t="s">
        <v>18</v>
      </c>
      <c r="E2713" s="8">
        <v>233317210521</v>
      </c>
      <c r="F2713" s="8">
        <v>191852271560</v>
      </c>
      <c r="G2713" s="8">
        <v>528386409136</v>
      </c>
      <c r="H2713" s="8">
        <v>-54091562722</v>
      </c>
      <c r="I2713" s="8">
        <v>909237598</v>
      </c>
      <c r="J2713" s="8"/>
      <c r="K2713" s="8">
        <v>528506706647</v>
      </c>
      <c r="L2713" s="8">
        <v>26250034763</v>
      </c>
      <c r="M2713" s="8">
        <v>15423200000</v>
      </c>
      <c r="N2713" s="8">
        <v>17351100000</v>
      </c>
      <c r="O2713" s="8">
        <v>15423200000</v>
      </c>
      <c r="P2713" s="8">
        <v>23134800000</v>
      </c>
      <c r="Q2713" s="18">
        <f>(Table1[[#This Row],[A. TÀI SẢN NGẮN HẠN]]-Table1[[#This Row],[I. Nợ ngắn hạn]])/Table1[[#This Row],[TỔNG CỘNG TÀI SẢN]]</f>
        <v>-1.4423888268872898</v>
      </c>
      <c r="R2713" s="18">
        <f>Table1[[#This Row],[- LNST chưa phân phối kỳ này]]/Table1[[#This Row],[TỔNG CỘNG TÀI SẢN]]</f>
        <v>-0.23183700251350048</v>
      </c>
      <c r="S2713" s="21">
        <f>Table1[[#This Row],[5. Lợi nhuận gộp về bán hàng và cung cấp dịch vụ]]/Table1[[#This Row],[TỔNG CỘNG TÀI SẢN]]</f>
        <v>3.8970018369826301E-3</v>
      </c>
      <c r="T271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3.3742381649493544E-2</v>
      </c>
      <c r="U2713" s="23">
        <f>Table1[[#This Row],[1. Doanh thu bán hàng và cung cấp dịch vụ ]]/Table1[[#This Row],[TỔNG CỘNG TÀI SẢN]]</f>
        <v>0.112507923030553</v>
      </c>
      <c r="V2713" s="23">
        <f>1.2*Table1[[#This Row],[X1]] + 1.4*Table1[[#This Row],[X2]] + 3.3*Table1[[#This Row],[x3]] + 0.6*Table1[[#This Row],[x4]] + 1*Table1[[#This Row],[x5]]</f>
        <v>-1.9098249377013563</v>
      </c>
      <c r="W2713" s="23">
        <f>IF(Table1[[#This Row],[Zscore]]&lt;1.81,1,0)</f>
        <v>1</v>
      </c>
    </row>
    <row r="2714" spans="1:23" hidden="1" x14ac:dyDescent="0.45">
      <c r="A2714" s="7">
        <v>2708</v>
      </c>
      <c r="B2714" s="5" t="s">
        <v>5423</v>
      </c>
      <c r="C2714" s="6" t="s">
        <v>5424</v>
      </c>
      <c r="D2714" s="6" t="s">
        <v>13</v>
      </c>
      <c r="E2714" s="6"/>
      <c r="F2714" s="6"/>
      <c r="G2714" s="6"/>
      <c r="H2714" s="6"/>
      <c r="I2714" s="6"/>
      <c r="J2714" s="8"/>
      <c r="K2714" s="6"/>
      <c r="L2714" s="6"/>
      <c r="M2714" s="8"/>
      <c r="N2714" s="8"/>
      <c r="O2714" s="8"/>
      <c r="P2714" s="8"/>
      <c r="Q2714" s="18" t="e">
        <f>(Table1[[#This Row],[A. TÀI SẢN NGẮN HẠN]]-Table1[[#This Row],[I. Nợ ngắn hạn]])/Table1[[#This Row],[TỔNG CỘNG TÀI SẢN]]</f>
        <v>#DIV/0!</v>
      </c>
      <c r="R2714" s="18" t="e">
        <f>Table1[[#This Row],[- LNST chưa phân phối kỳ này]]/Table1[[#This Row],[TỔNG CỘNG TÀI SẢN]]</f>
        <v>#DIV/0!</v>
      </c>
      <c r="S2714" s="21" t="e">
        <f>Table1[[#This Row],[5. Lợi nhuận gộp về bán hàng và cung cấp dịch vụ]]/Table1[[#This Row],[TỔNG CỘNG TÀI SẢN]]</f>
        <v>#DIV/0!</v>
      </c>
      <c r="T271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714" s="23" t="e">
        <f>Table1[[#This Row],[1. Doanh thu bán hàng và cung cấp dịch vụ ]]/Table1[[#This Row],[TỔNG CỘNG TÀI SẢN]]</f>
        <v>#DIV/0!</v>
      </c>
      <c r="V2714" s="23" t="e">
        <f>1.2*Table1[[#This Row],[X1]] + 1.4*Table1[[#This Row],[X2]] + 3.3*Table1[[#This Row],[x3]] + 0.6*Table1[[#This Row],[x4]] + 1*Table1[[#This Row],[x5]]</f>
        <v>#DIV/0!</v>
      </c>
      <c r="W2714" s="23" t="e">
        <f>IF(Table1[[#This Row],[Zscore]]&lt;1.81,1,0)</f>
        <v>#DIV/0!</v>
      </c>
    </row>
    <row r="2715" spans="1:23" hidden="1" x14ac:dyDescent="0.45">
      <c r="A2715" s="7">
        <v>2709</v>
      </c>
      <c r="B2715" s="5" t="s">
        <v>5425</v>
      </c>
      <c r="C2715" s="6" t="s">
        <v>5426</v>
      </c>
      <c r="D2715" s="6" t="s">
        <v>18</v>
      </c>
      <c r="E2715" s="6"/>
      <c r="F2715" s="6"/>
      <c r="G2715" s="6"/>
      <c r="H2715" s="6"/>
      <c r="I2715" s="6"/>
      <c r="J2715" s="8"/>
      <c r="K2715" s="6"/>
      <c r="L2715" s="6"/>
      <c r="M2715" s="8"/>
      <c r="N2715" s="8"/>
      <c r="O2715" s="8"/>
      <c r="P2715" s="8"/>
      <c r="Q2715" s="18" t="e">
        <f>(Table1[[#This Row],[A. TÀI SẢN NGẮN HẠN]]-Table1[[#This Row],[I. Nợ ngắn hạn]])/Table1[[#This Row],[TỔNG CỘNG TÀI SẢN]]</f>
        <v>#DIV/0!</v>
      </c>
      <c r="R2715" s="18" t="e">
        <f>Table1[[#This Row],[- LNST chưa phân phối kỳ này]]/Table1[[#This Row],[TỔNG CỘNG TÀI SẢN]]</f>
        <v>#DIV/0!</v>
      </c>
      <c r="S2715" s="21" t="e">
        <f>Table1[[#This Row],[5. Lợi nhuận gộp về bán hàng và cung cấp dịch vụ]]/Table1[[#This Row],[TỔNG CỘNG TÀI SẢN]]</f>
        <v>#DIV/0!</v>
      </c>
      <c r="T271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715" s="23" t="e">
        <f>Table1[[#This Row],[1. Doanh thu bán hàng và cung cấp dịch vụ ]]/Table1[[#This Row],[TỔNG CỘNG TÀI SẢN]]</f>
        <v>#DIV/0!</v>
      </c>
      <c r="V2715" s="23" t="e">
        <f>1.2*Table1[[#This Row],[X1]] + 1.4*Table1[[#This Row],[X2]] + 3.3*Table1[[#This Row],[x3]] + 0.6*Table1[[#This Row],[x4]] + 1*Table1[[#This Row],[x5]]</f>
        <v>#DIV/0!</v>
      </c>
      <c r="W2715" s="23" t="e">
        <f>IF(Table1[[#This Row],[Zscore]]&lt;1.81,1,0)</f>
        <v>#DIV/0!</v>
      </c>
    </row>
    <row r="2716" spans="1:23" ht="26.25" x14ac:dyDescent="0.45">
      <c r="A2716" s="7">
        <v>2710</v>
      </c>
      <c r="B2716" s="5" t="s">
        <v>5427</v>
      </c>
      <c r="C2716" s="6" t="s">
        <v>5428</v>
      </c>
      <c r="D2716" s="6" t="s">
        <v>36</v>
      </c>
      <c r="E2716" s="8">
        <v>47564292983</v>
      </c>
      <c r="F2716" s="8">
        <v>46827502011</v>
      </c>
      <c r="G2716" s="8">
        <v>2619857413</v>
      </c>
      <c r="H2716" s="8">
        <v>874512708</v>
      </c>
      <c r="I2716" s="8">
        <v>8784602445</v>
      </c>
      <c r="J2716" s="8"/>
      <c r="K2716" s="8">
        <v>2619857413</v>
      </c>
      <c r="L2716" s="8">
        <v>11977473562</v>
      </c>
      <c r="M2716" s="8">
        <v>49949950000</v>
      </c>
      <c r="N2716" s="8">
        <v>33965966000</v>
      </c>
      <c r="O2716" s="8">
        <v>39959960000</v>
      </c>
      <c r="P2716" s="8">
        <v>40359559600</v>
      </c>
      <c r="Q2716" s="18">
        <f>(Table1[[#This Row],[A. TÀI SẢN NGẮN HẠN]]-Table1[[#This Row],[I. Nợ ngắn hạn]])/Table1[[#This Row],[TỔNG CỘNG TÀI SẢN]]</f>
        <v>0.92942923831119062</v>
      </c>
      <c r="R2716" s="18">
        <f>Table1[[#This Row],[- LNST chưa phân phối kỳ này]]/Table1[[#This Row],[TỔNG CỘNG TÀI SẢN]]</f>
        <v>1.8385907855553753E-2</v>
      </c>
      <c r="S2716" s="21">
        <f>Table1[[#This Row],[5. Lợi nhuận gộp về bán hàng và cung cấp dịch vụ]]/Table1[[#This Row],[TỔNG CỘNG TÀI SẢN]]</f>
        <v>0.18468901552136419</v>
      </c>
      <c r="T271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15.672173109979861</v>
      </c>
      <c r="U2716" s="23">
        <f>Table1[[#This Row],[1. Doanh thu bán hàng và cung cấp dịch vụ ]]/Table1[[#This Row],[TỔNG CỘNG TÀI SẢN]]</f>
        <v>0.25181649533360834</v>
      </c>
      <c r="V2716" s="23">
        <f>1.2*Table1[[#This Row],[X1]] + 1.4*Table1[[#This Row],[X2]] + 3.3*Table1[[#This Row],[x3]] + 0.6*Table1[[#This Row],[x4]] + 1*Table1[[#This Row],[x5]]</f>
        <v>11.40564946951323</v>
      </c>
      <c r="W2716" s="23">
        <f>IF(Table1[[#This Row],[Zscore]]&lt;1.81,1,0)</f>
        <v>0</v>
      </c>
    </row>
    <row r="2717" spans="1:23" ht="26.25" x14ac:dyDescent="0.45">
      <c r="A2717" s="7">
        <v>2711</v>
      </c>
      <c r="B2717" s="5" t="s">
        <v>5429</v>
      </c>
      <c r="C2717" s="6" t="s">
        <v>5430</v>
      </c>
      <c r="D2717" s="6" t="s">
        <v>18</v>
      </c>
      <c r="E2717" s="8">
        <v>1169552114777</v>
      </c>
      <c r="F2717" s="8">
        <v>796604080014</v>
      </c>
      <c r="G2717" s="8">
        <v>450896839842</v>
      </c>
      <c r="H2717" s="8">
        <v>85915886484</v>
      </c>
      <c r="I2717" s="8">
        <v>425757898256</v>
      </c>
      <c r="J2717" s="8"/>
      <c r="K2717" s="8">
        <v>465541188982</v>
      </c>
      <c r="L2717" s="8">
        <v>1455763188199</v>
      </c>
      <c r="M2717" s="8">
        <v>1962263520000</v>
      </c>
      <c r="N2717" s="8">
        <v>2247258936000</v>
      </c>
      <c r="O2717" s="8">
        <v>2153817816000</v>
      </c>
      <c r="P2717" s="8">
        <v>2149145760000</v>
      </c>
      <c r="Q2717" s="18">
        <f>(Table1[[#This Row],[A. TÀI SẢN NGẮN HẠN]]-Table1[[#This Row],[I. Nợ ngắn hạn]])/Table1[[#This Row],[TỔNG CỘNG TÀI SẢN]]</f>
        <v>0.29558942761427648</v>
      </c>
      <c r="R2717" s="18">
        <f>Table1[[#This Row],[- LNST chưa phân phối kỳ này]]/Table1[[#This Row],[TỔNG CỘNG TÀI SẢN]]</f>
        <v>7.3460502869837227E-2</v>
      </c>
      <c r="S2717" s="21">
        <f>Table1[[#This Row],[5. Lợi nhuận gộp về bán hàng và cung cấp dịch vụ]]/Table1[[#This Row],[TỔNG CỘNG TÀI SẢN]]</f>
        <v>0.36403499500078268</v>
      </c>
      <c r="T271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4.5712851158316798</v>
      </c>
      <c r="U2717" s="23">
        <f>Table1[[#This Row],[1. Doanh thu bán hàng và cung cấp dịch vụ ]]/Table1[[#This Row],[TỔNG CỘNG TÀI SẢN]]</f>
        <v>1.2447185292607266</v>
      </c>
      <c r="V2717" s="23">
        <f>1.2*Table1[[#This Row],[X1]] + 1.4*Table1[[#This Row],[X2]] + 3.3*Table1[[#This Row],[x3]] + 0.6*Table1[[#This Row],[x4]] + 1*Table1[[#This Row],[x5]]</f>
        <v>5.6463570994172212</v>
      </c>
      <c r="W2717" s="23">
        <f>IF(Table1[[#This Row],[Zscore]]&lt;1.81,1,0)</f>
        <v>0</v>
      </c>
    </row>
    <row r="2718" spans="1:23" ht="26.25" x14ac:dyDescent="0.45">
      <c r="A2718" s="7">
        <v>2712</v>
      </c>
      <c r="B2718" s="5" t="s">
        <v>5431</v>
      </c>
      <c r="C2718" s="6" t="s">
        <v>5432</v>
      </c>
      <c r="D2718" s="6" t="s">
        <v>18</v>
      </c>
      <c r="E2718" s="8">
        <v>6637273871948</v>
      </c>
      <c r="F2718" s="8">
        <v>3776507402086</v>
      </c>
      <c r="G2718" s="8">
        <v>614793433020</v>
      </c>
      <c r="H2718" s="8">
        <v>-12716204052</v>
      </c>
      <c r="I2718" s="8">
        <v>669125782769</v>
      </c>
      <c r="J2718" s="8"/>
      <c r="K2718" s="8">
        <v>710287761935</v>
      </c>
      <c r="L2718" s="8">
        <v>3116804216525</v>
      </c>
      <c r="M2718" s="8">
        <v>3718603192500</v>
      </c>
      <c r="N2718" s="8">
        <v>2932384231800</v>
      </c>
      <c r="O2718" s="8">
        <v>3314869131600</v>
      </c>
      <c r="P2718" s="8">
        <v>3187374165000</v>
      </c>
      <c r="Q2718" s="18">
        <f>(Table1[[#This Row],[A. TÀI SẢN NGẮN HẠN]]-Table1[[#This Row],[I. Nợ ngắn hạn]])/Table1[[#This Row],[TỔNG CỘNG TÀI SẢN]]</f>
        <v>0.47635731628142924</v>
      </c>
      <c r="R2718" s="18">
        <f>Table1[[#This Row],[- LNST chưa phân phối kỳ này]]/Table1[[#This Row],[TỔNG CỘNG TÀI SẢN]]</f>
        <v>-1.9158775571615626E-3</v>
      </c>
      <c r="S2718" s="21">
        <f>Table1[[#This Row],[5. Lợi nhuận gộp về bán hàng và cung cấp dịch vụ]]/Table1[[#This Row],[TỔNG CỘNG TÀI SẢN]]</f>
        <v>0.10081334530988935</v>
      </c>
      <c r="T271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4.6295429211209189</v>
      </c>
      <c r="U2718" s="23">
        <f>Table1[[#This Row],[1. Doanh thu bán hàng và cung cấp dịch vụ ]]/Table1[[#This Row],[TỔNG CỘNG TÀI SẢN]]</f>
        <v>0.46959102135260189</v>
      </c>
      <c r="V2718" s="23">
        <f>1.2*Table1[[#This Row],[X1]] + 1.4*Table1[[#This Row],[X2]] + 3.3*Table1[[#This Row],[x3]] + 0.6*Table1[[#This Row],[x4]] + 1*Table1[[#This Row],[x5]]</f>
        <v>4.1489473645054771</v>
      </c>
      <c r="W2718" s="23">
        <f>IF(Table1[[#This Row],[Zscore]]&lt;1.81,1,0)</f>
        <v>0</v>
      </c>
    </row>
    <row r="2719" spans="1:23" hidden="1" x14ac:dyDescent="0.45">
      <c r="A2719" s="7">
        <v>2713</v>
      </c>
      <c r="B2719" s="5" t="s">
        <v>5433</v>
      </c>
      <c r="C2719" s="6" t="s">
        <v>5434</v>
      </c>
      <c r="D2719" s="6" t="s">
        <v>13</v>
      </c>
      <c r="E2719" s="6"/>
      <c r="F2719" s="6"/>
      <c r="G2719" s="6"/>
      <c r="H2719" s="6"/>
      <c r="I2719" s="6"/>
      <c r="J2719" s="8"/>
      <c r="K2719" s="6"/>
      <c r="L2719" s="6"/>
      <c r="M2719" s="8"/>
      <c r="N2719" s="8"/>
      <c r="O2719" s="8"/>
      <c r="P2719" s="8"/>
      <c r="Q2719" s="18" t="e">
        <f>(Table1[[#This Row],[A. TÀI SẢN NGẮN HẠN]]-Table1[[#This Row],[I. Nợ ngắn hạn]])/Table1[[#This Row],[TỔNG CỘNG TÀI SẢN]]</f>
        <v>#DIV/0!</v>
      </c>
      <c r="R2719" s="18" t="e">
        <f>Table1[[#This Row],[- LNST chưa phân phối kỳ này]]/Table1[[#This Row],[TỔNG CỘNG TÀI SẢN]]</f>
        <v>#DIV/0!</v>
      </c>
      <c r="S2719" s="21" t="e">
        <f>Table1[[#This Row],[5. Lợi nhuận gộp về bán hàng và cung cấp dịch vụ]]/Table1[[#This Row],[TỔNG CỘNG TÀI SẢN]]</f>
        <v>#DIV/0!</v>
      </c>
      <c r="T271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719" s="23" t="e">
        <f>Table1[[#This Row],[1. Doanh thu bán hàng và cung cấp dịch vụ ]]/Table1[[#This Row],[TỔNG CỘNG TÀI SẢN]]</f>
        <v>#DIV/0!</v>
      </c>
      <c r="V2719" s="23" t="e">
        <f>1.2*Table1[[#This Row],[X1]] + 1.4*Table1[[#This Row],[X2]] + 3.3*Table1[[#This Row],[x3]] + 0.6*Table1[[#This Row],[x4]] + 1*Table1[[#This Row],[x5]]</f>
        <v>#DIV/0!</v>
      </c>
      <c r="W2719" s="23" t="e">
        <f>IF(Table1[[#This Row],[Zscore]]&lt;1.81,1,0)</f>
        <v>#DIV/0!</v>
      </c>
    </row>
    <row r="2720" spans="1:23" ht="26.25" hidden="1" x14ac:dyDescent="0.45">
      <c r="A2720" s="7">
        <v>2714</v>
      </c>
      <c r="B2720" s="5" t="s">
        <v>5435</v>
      </c>
      <c r="C2720" s="6" t="s">
        <v>5436</v>
      </c>
      <c r="D2720" s="6" t="s">
        <v>13</v>
      </c>
      <c r="E2720" s="6"/>
      <c r="F2720" s="6"/>
      <c r="G2720" s="6"/>
      <c r="H2720" s="6"/>
      <c r="I2720" s="6"/>
      <c r="J2720" s="8"/>
      <c r="K2720" s="6"/>
      <c r="L2720" s="6"/>
      <c r="M2720" s="8"/>
      <c r="N2720" s="8"/>
      <c r="O2720" s="8"/>
      <c r="P2720" s="8"/>
      <c r="Q2720" s="18" t="e">
        <f>(Table1[[#This Row],[A. TÀI SẢN NGẮN HẠN]]-Table1[[#This Row],[I. Nợ ngắn hạn]])/Table1[[#This Row],[TỔNG CỘNG TÀI SẢN]]</f>
        <v>#DIV/0!</v>
      </c>
      <c r="R2720" s="18" t="e">
        <f>Table1[[#This Row],[- LNST chưa phân phối kỳ này]]/Table1[[#This Row],[TỔNG CỘNG TÀI SẢN]]</f>
        <v>#DIV/0!</v>
      </c>
      <c r="S2720" s="21" t="e">
        <f>Table1[[#This Row],[5. Lợi nhuận gộp về bán hàng và cung cấp dịch vụ]]/Table1[[#This Row],[TỔNG CỘNG TÀI SẢN]]</f>
        <v>#DIV/0!</v>
      </c>
      <c r="T272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720" s="23" t="e">
        <f>Table1[[#This Row],[1. Doanh thu bán hàng và cung cấp dịch vụ ]]/Table1[[#This Row],[TỔNG CỘNG TÀI SẢN]]</f>
        <v>#DIV/0!</v>
      </c>
      <c r="V2720" s="23" t="e">
        <f>1.2*Table1[[#This Row],[X1]] + 1.4*Table1[[#This Row],[X2]] + 3.3*Table1[[#This Row],[x3]] + 0.6*Table1[[#This Row],[x4]] + 1*Table1[[#This Row],[x5]]</f>
        <v>#DIV/0!</v>
      </c>
      <c r="W2720" s="23" t="e">
        <f>IF(Table1[[#This Row],[Zscore]]&lt;1.81,1,0)</f>
        <v>#DIV/0!</v>
      </c>
    </row>
    <row r="2721" spans="1:23" hidden="1" x14ac:dyDescent="0.45">
      <c r="A2721" s="7">
        <v>2715</v>
      </c>
      <c r="B2721" s="5" t="s">
        <v>5437</v>
      </c>
      <c r="C2721" s="6" t="s">
        <v>5438</v>
      </c>
      <c r="D2721" s="6" t="s">
        <v>13</v>
      </c>
      <c r="E2721" s="6"/>
      <c r="F2721" s="6"/>
      <c r="G2721" s="6"/>
      <c r="H2721" s="6"/>
      <c r="I2721" s="6"/>
      <c r="J2721" s="8"/>
      <c r="K2721" s="6"/>
      <c r="L2721" s="6"/>
      <c r="M2721" s="8"/>
      <c r="N2721" s="8"/>
      <c r="O2721" s="8"/>
      <c r="P2721" s="8"/>
      <c r="Q2721" s="18" t="e">
        <f>(Table1[[#This Row],[A. TÀI SẢN NGẮN HẠN]]-Table1[[#This Row],[I. Nợ ngắn hạn]])/Table1[[#This Row],[TỔNG CỘNG TÀI SẢN]]</f>
        <v>#DIV/0!</v>
      </c>
      <c r="R2721" s="18" t="e">
        <f>Table1[[#This Row],[- LNST chưa phân phối kỳ này]]/Table1[[#This Row],[TỔNG CỘNG TÀI SẢN]]</f>
        <v>#DIV/0!</v>
      </c>
      <c r="S2721" s="21" t="e">
        <f>Table1[[#This Row],[5. Lợi nhuận gộp về bán hàng và cung cấp dịch vụ]]/Table1[[#This Row],[TỔNG CỘNG TÀI SẢN]]</f>
        <v>#DIV/0!</v>
      </c>
      <c r="T272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721" s="23" t="e">
        <f>Table1[[#This Row],[1. Doanh thu bán hàng và cung cấp dịch vụ ]]/Table1[[#This Row],[TỔNG CỘNG TÀI SẢN]]</f>
        <v>#DIV/0!</v>
      </c>
      <c r="V2721" s="23" t="e">
        <f>1.2*Table1[[#This Row],[X1]] + 1.4*Table1[[#This Row],[X2]] + 3.3*Table1[[#This Row],[x3]] + 0.6*Table1[[#This Row],[x4]] + 1*Table1[[#This Row],[x5]]</f>
        <v>#DIV/0!</v>
      </c>
      <c r="W2721" s="23" t="e">
        <f>IF(Table1[[#This Row],[Zscore]]&lt;1.81,1,0)</f>
        <v>#DIV/0!</v>
      </c>
    </row>
    <row r="2722" spans="1:23" x14ac:dyDescent="0.45">
      <c r="A2722" s="7">
        <v>2716</v>
      </c>
      <c r="B2722" s="5" t="s">
        <v>5439</v>
      </c>
      <c r="C2722" s="6" t="s">
        <v>5440</v>
      </c>
      <c r="D2722" s="6" t="s">
        <v>18</v>
      </c>
      <c r="E2722" s="8">
        <v>272938294296</v>
      </c>
      <c r="F2722" s="8">
        <v>210374071924</v>
      </c>
      <c r="G2722" s="8">
        <v>105146166131</v>
      </c>
      <c r="H2722" s="8">
        <v>6477642844</v>
      </c>
      <c r="I2722" s="8">
        <v>12356370119</v>
      </c>
      <c r="J2722" s="8"/>
      <c r="K2722" s="8">
        <v>105146166131</v>
      </c>
      <c r="L2722" s="8">
        <v>373354211072</v>
      </c>
      <c r="M2722" s="8">
        <v>154367217000</v>
      </c>
      <c r="N2722" s="8">
        <v>121794318000</v>
      </c>
      <c r="O2722" s="8">
        <v>128875383000</v>
      </c>
      <c r="P2722" s="8">
        <v>124626744000</v>
      </c>
      <c r="Q2722" s="18">
        <f>(Table1[[#This Row],[A. TÀI SẢN NGẮN HẠN]]-Table1[[#This Row],[I. Nợ ngắn hạn]])/Table1[[#This Row],[TỔNG CỘNG TÀI SẢN]]</f>
        <v>0.38553734669009454</v>
      </c>
      <c r="R2722" s="18">
        <f>Table1[[#This Row],[- LNST chưa phân phối kỳ này]]/Table1[[#This Row],[TỔNG CỘNG TÀI SẢN]]</f>
        <v>2.3732993791538221E-2</v>
      </c>
      <c r="S2722" s="21">
        <f>Table1[[#This Row],[5. Lợi nhuận gộp về bán hàng và cung cấp dịch vụ]]/Table1[[#This Row],[TỔNG CỘNG TÀI SẢN]]</f>
        <v>4.5271661680422126E-2</v>
      </c>
      <c r="T272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1.2593508672016156</v>
      </c>
      <c r="U2722" s="23">
        <f>Table1[[#This Row],[1. Doanh thu bán hàng và cung cấp dịch vụ ]]/Table1[[#This Row],[TỔNG CỘNG TÀI SẢN]]</f>
        <v>1.3679070283450205</v>
      </c>
      <c r="V2722" s="23">
        <f>1.2*Table1[[#This Row],[X1]] + 1.4*Table1[[#This Row],[X2]] + 3.3*Table1[[#This Row],[x3]] + 0.6*Table1[[#This Row],[x4]] + 1*Table1[[#This Row],[x5]]</f>
        <v>2.7687850395476499</v>
      </c>
      <c r="W2722" s="23">
        <f>IF(Table1[[#This Row],[Zscore]]&lt;1.81,1,0)</f>
        <v>0</v>
      </c>
    </row>
    <row r="2723" spans="1:23" ht="26.25" hidden="1" x14ac:dyDescent="0.45">
      <c r="A2723" s="7">
        <v>2717</v>
      </c>
      <c r="B2723" s="5" t="s">
        <v>5441</v>
      </c>
      <c r="C2723" s="6" t="s">
        <v>5442</v>
      </c>
      <c r="D2723" s="6" t="s">
        <v>18</v>
      </c>
      <c r="E2723" s="6"/>
      <c r="F2723" s="6"/>
      <c r="G2723" s="6"/>
      <c r="H2723" s="6"/>
      <c r="I2723" s="6"/>
      <c r="J2723" s="8"/>
      <c r="K2723" s="6"/>
      <c r="L2723" s="6"/>
      <c r="M2723" s="8"/>
      <c r="N2723" s="8"/>
      <c r="O2723" s="8"/>
      <c r="P2723" s="8"/>
      <c r="Q2723" s="18" t="e">
        <f>(Table1[[#This Row],[A. TÀI SẢN NGẮN HẠN]]-Table1[[#This Row],[I. Nợ ngắn hạn]])/Table1[[#This Row],[TỔNG CỘNG TÀI SẢN]]</f>
        <v>#DIV/0!</v>
      </c>
      <c r="R2723" s="18" t="e">
        <f>Table1[[#This Row],[- LNST chưa phân phối kỳ này]]/Table1[[#This Row],[TỔNG CỘNG TÀI SẢN]]</f>
        <v>#DIV/0!</v>
      </c>
      <c r="S2723" s="21" t="e">
        <f>Table1[[#This Row],[5. Lợi nhuận gộp về bán hàng và cung cấp dịch vụ]]/Table1[[#This Row],[TỔNG CỘNG TÀI SẢN]]</f>
        <v>#DIV/0!</v>
      </c>
      <c r="T272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723" s="23" t="e">
        <f>Table1[[#This Row],[1. Doanh thu bán hàng và cung cấp dịch vụ ]]/Table1[[#This Row],[TỔNG CỘNG TÀI SẢN]]</f>
        <v>#DIV/0!</v>
      </c>
      <c r="V2723" s="23" t="e">
        <f>1.2*Table1[[#This Row],[X1]] + 1.4*Table1[[#This Row],[X2]] + 3.3*Table1[[#This Row],[x3]] + 0.6*Table1[[#This Row],[x4]] + 1*Table1[[#This Row],[x5]]</f>
        <v>#DIV/0!</v>
      </c>
      <c r="W2723" s="23" t="e">
        <f>IF(Table1[[#This Row],[Zscore]]&lt;1.81,1,0)</f>
        <v>#DIV/0!</v>
      </c>
    </row>
    <row r="2724" spans="1:23" hidden="1" x14ac:dyDescent="0.45">
      <c r="A2724" s="7">
        <v>2718</v>
      </c>
      <c r="B2724" s="5" t="s">
        <v>5443</v>
      </c>
      <c r="C2724" s="6" t="s">
        <v>5444</v>
      </c>
      <c r="D2724" s="6" t="s">
        <v>13</v>
      </c>
      <c r="E2724" s="6"/>
      <c r="F2724" s="6"/>
      <c r="G2724" s="6"/>
      <c r="H2724" s="6"/>
      <c r="I2724" s="6"/>
      <c r="J2724" s="8"/>
      <c r="K2724" s="6"/>
      <c r="L2724" s="6"/>
      <c r="M2724" s="8"/>
      <c r="N2724" s="8"/>
      <c r="O2724" s="8"/>
      <c r="P2724" s="8"/>
      <c r="Q2724" s="18" t="e">
        <f>(Table1[[#This Row],[A. TÀI SẢN NGẮN HẠN]]-Table1[[#This Row],[I. Nợ ngắn hạn]])/Table1[[#This Row],[TỔNG CỘNG TÀI SẢN]]</f>
        <v>#DIV/0!</v>
      </c>
      <c r="R2724" s="18" t="e">
        <f>Table1[[#This Row],[- LNST chưa phân phối kỳ này]]/Table1[[#This Row],[TỔNG CỘNG TÀI SẢN]]</f>
        <v>#DIV/0!</v>
      </c>
      <c r="S2724" s="21" t="e">
        <f>Table1[[#This Row],[5. Lợi nhuận gộp về bán hàng và cung cấp dịch vụ]]/Table1[[#This Row],[TỔNG CỘNG TÀI SẢN]]</f>
        <v>#DIV/0!</v>
      </c>
      <c r="T272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724" s="23" t="e">
        <f>Table1[[#This Row],[1. Doanh thu bán hàng và cung cấp dịch vụ ]]/Table1[[#This Row],[TỔNG CỘNG TÀI SẢN]]</f>
        <v>#DIV/0!</v>
      </c>
      <c r="V2724" s="23" t="e">
        <f>1.2*Table1[[#This Row],[X1]] + 1.4*Table1[[#This Row],[X2]] + 3.3*Table1[[#This Row],[x3]] + 0.6*Table1[[#This Row],[x4]] + 1*Table1[[#This Row],[x5]]</f>
        <v>#DIV/0!</v>
      </c>
      <c r="W2724" s="23" t="e">
        <f>IF(Table1[[#This Row],[Zscore]]&lt;1.81,1,0)</f>
        <v>#DIV/0!</v>
      </c>
    </row>
    <row r="2725" spans="1:23" x14ac:dyDescent="0.45">
      <c r="A2725" s="7">
        <v>2719</v>
      </c>
      <c r="B2725" s="5" t="s">
        <v>5445</v>
      </c>
      <c r="C2725" s="6" t="s">
        <v>5446</v>
      </c>
      <c r="D2725" s="6" t="s">
        <v>18</v>
      </c>
      <c r="E2725" s="8">
        <v>941043606479</v>
      </c>
      <c r="F2725" s="8">
        <v>609167322000</v>
      </c>
      <c r="G2725" s="8">
        <v>676585599675</v>
      </c>
      <c r="H2725" s="8">
        <v>17852840820</v>
      </c>
      <c r="I2725" s="8">
        <v>47256109288</v>
      </c>
      <c r="J2725" s="8"/>
      <c r="K2725" s="8">
        <v>676585599675</v>
      </c>
      <c r="L2725" s="8">
        <v>1040051446402</v>
      </c>
      <c r="M2725" s="8"/>
      <c r="N2725" s="8">
        <v>487550000000</v>
      </c>
      <c r="O2725" s="8"/>
      <c r="P2725" s="8"/>
      <c r="Q2725" s="18">
        <f>(Table1[[#This Row],[A. TÀI SẢN NGẮN HẠN]]-Table1[[#This Row],[I. Nợ ngắn hạn]])/Table1[[#This Row],[TỔNG CỘNG TÀI SẢN]]</f>
        <v>-7.1642033600601784E-2</v>
      </c>
      <c r="R2725" s="18">
        <f>Table1[[#This Row],[- LNST chưa phân phối kỳ này]]/Table1[[#This Row],[TỔNG CỘNG TÀI SẢN]]</f>
        <v>1.8971321516967767E-2</v>
      </c>
      <c r="S2725" s="21">
        <f>Table1[[#This Row],[5. Lợi nhuận gộp về bán hàng và cung cấp dịch vụ]]/Table1[[#This Row],[TỔNG CỘNG TÀI SẢN]]</f>
        <v>5.0216705116156113E-2</v>
      </c>
      <c r="T272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0.72060357216322102</v>
      </c>
      <c r="U2725" s="23">
        <f>Table1[[#This Row],[1. Doanh thu bán hàng và cung cấp dịch vụ ]]/Table1[[#This Row],[TỔNG CỘNG TÀI SẢN]]</f>
        <v>1.1052106823119991</v>
      </c>
      <c r="V2725" s="23">
        <f>1.2*Table1[[#This Row],[X1]] + 1.4*Table1[[#This Row],[X2]] + 3.3*Table1[[#This Row],[x3]] + 0.6*Table1[[#This Row],[x4]] + 1*Table1[[#This Row],[x5]]</f>
        <v>1.6438773622962797</v>
      </c>
      <c r="W2725" s="23">
        <f>IF(Table1[[#This Row],[Zscore]]&lt;1.81,1,0)</f>
        <v>1</v>
      </c>
    </row>
    <row r="2726" spans="1:23" x14ac:dyDescent="0.45">
      <c r="A2726" s="7">
        <v>2720</v>
      </c>
      <c r="B2726" s="5" t="s">
        <v>5447</v>
      </c>
      <c r="C2726" s="6" t="s">
        <v>5448</v>
      </c>
      <c r="D2726" s="6" t="s">
        <v>18</v>
      </c>
      <c r="E2726" s="8">
        <v>627138080650</v>
      </c>
      <c r="F2726" s="8">
        <v>330788888359</v>
      </c>
      <c r="G2726" s="8">
        <v>81588510754</v>
      </c>
      <c r="H2726" s="8">
        <v>44709445644</v>
      </c>
      <c r="I2726" s="8">
        <v>130467684432</v>
      </c>
      <c r="J2726" s="8"/>
      <c r="K2726" s="8">
        <v>133440605999</v>
      </c>
      <c r="L2726" s="8">
        <v>199128993548</v>
      </c>
      <c r="M2726" s="8">
        <v>809200000000</v>
      </c>
      <c r="N2726" s="8">
        <v>895900000000</v>
      </c>
      <c r="O2726" s="8">
        <v>812090000000</v>
      </c>
      <c r="P2726" s="8">
        <v>838100000000</v>
      </c>
      <c r="Q2726" s="18">
        <f>(Table1[[#This Row],[A. TÀI SẢN NGẮN HẠN]]-Table1[[#This Row],[I. Nợ ngắn hạn]])/Table1[[#This Row],[TỔNG CỘNG TÀI SẢN]]</f>
        <v>0.39736125949601908</v>
      </c>
      <c r="R2726" s="18">
        <f>Table1[[#This Row],[- LNST chưa phân phối kỳ này]]/Table1[[#This Row],[TỔNG CỘNG TÀI SẢN]]</f>
        <v>7.1291230788697604E-2</v>
      </c>
      <c r="S2726" s="21">
        <f>Table1[[#This Row],[5. Lợi nhuận gộp về bán hàng và cung cấp dịch vụ]]/Table1[[#This Row],[TỔNG CỘNG TÀI SẢN]]</f>
        <v>0.20803661658813033</v>
      </c>
      <c r="T272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6.2861112906388188</v>
      </c>
      <c r="U2726" s="23">
        <f>Table1[[#This Row],[1. Doanh thu bán hàng và cung cấp dịch vụ ]]/Table1[[#This Row],[TỔNG CỘNG TÀI SẢN]]</f>
        <v>0.31752017568700641</v>
      </c>
      <c r="V2726" s="23">
        <f>1.2*Table1[[#This Row],[X1]] + 1.4*Table1[[#This Row],[X2]] + 3.3*Table1[[#This Row],[x3]] + 0.6*Table1[[#This Row],[x4]] + 1*Table1[[#This Row],[x5]]</f>
        <v>5.3523490193105268</v>
      </c>
      <c r="W2726" s="23">
        <f>IF(Table1[[#This Row],[Zscore]]&lt;1.81,1,0)</f>
        <v>0</v>
      </c>
    </row>
    <row r="2727" spans="1:23" ht="26.25" hidden="1" x14ac:dyDescent="0.45">
      <c r="A2727" s="7">
        <v>2721</v>
      </c>
      <c r="B2727" s="5" t="s">
        <v>5449</v>
      </c>
      <c r="C2727" s="6" t="s">
        <v>5450</v>
      </c>
      <c r="D2727" s="6" t="s">
        <v>18</v>
      </c>
      <c r="E2727" s="8">
        <v>181644823905</v>
      </c>
      <c r="F2727" s="8">
        <v>122874318691</v>
      </c>
      <c r="G2727" s="8">
        <v>121566207977</v>
      </c>
      <c r="H2727" s="8">
        <v>3576526044</v>
      </c>
      <c r="I2727" s="8">
        <v>26716400272</v>
      </c>
      <c r="J2727" s="8"/>
      <c r="K2727" s="8">
        <v>140898052508</v>
      </c>
      <c r="L2727" s="8">
        <v>254368493818</v>
      </c>
      <c r="M2727" s="8"/>
      <c r="N2727" s="8"/>
      <c r="O2727" s="8"/>
      <c r="P2727" s="8"/>
      <c r="Q2727" s="18">
        <f>(Table1[[#This Row],[A. TÀI SẢN NGẮN HẠN]]-Table1[[#This Row],[I. Nợ ngắn hạn]])/Table1[[#This Row],[TỔNG CỘNG TÀI SẢN]]</f>
        <v>7.2014753070208052E-3</v>
      </c>
      <c r="R2727" s="18">
        <f>Table1[[#This Row],[- LNST chưa phân phối kỳ này]]/Table1[[#This Row],[TỔNG CỘNG TÀI SẢN]]</f>
        <v>1.9689666719435499E-2</v>
      </c>
      <c r="S2727" s="21">
        <f>Table1[[#This Row],[5. Lợi nhuận gộp về bán hàng và cung cấp dịch vụ]]/Table1[[#This Row],[TỔNG CỘNG TÀI SẢN]]</f>
        <v>0.1470804380639695</v>
      </c>
      <c r="T272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727" s="23">
        <f>Table1[[#This Row],[1. Doanh thu bán hàng và cung cấp dịch vụ ]]/Table1[[#This Row],[TỔNG CỘNG TÀI SẢN]]</f>
        <v>1.4003619170069739</v>
      </c>
      <c r="V2727" s="23" t="e">
        <f>1.2*Table1[[#This Row],[X1]] + 1.4*Table1[[#This Row],[X2]] + 3.3*Table1[[#This Row],[x3]] + 0.6*Table1[[#This Row],[x4]] + 1*Table1[[#This Row],[x5]]</f>
        <v>#DIV/0!</v>
      </c>
      <c r="W2727" s="23" t="e">
        <f>IF(Table1[[#This Row],[Zscore]]&lt;1.81,1,0)</f>
        <v>#DIV/0!</v>
      </c>
    </row>
    <row r="2728" spans="1:23" x14ac:dyDescent="0.45">
      <c r="A2728" s="7">
        <v>2722</v>
      </c>
      <c r="B2728" s="5" t="s">
        <v>5451</v>
      </c>
      <c r="C2728" s="6" t="s">
        <v>5452</v>
      </c>
      <c r="D2728" s="6" t="s">
        <v>36</v>
      </c>
      <c r="E2728" s="8">
        <v>1208268079267</v>
      </c>
      <c r="F2728" s="8">
        <v>939665363471</v>
      </c>
      <c r="G2728" s="8">
        <v>806160041015</v>
      </c>
      <c r="H2728" s="6"/>
      <c r="I2728" s="8">
        <v>71477505366</v>
      </c>
      <c r="J2728" s="8"/>
      <c r="K2728" s="8">
        <v>848843874191</v>
      </c>
      <c r="L2728" s="8">
        <v>816975671228</v>
      </c>
      <c r="M2728" s="8">
        <v>193392576800</v>
      </c>
      <c r="N2728" s="8">
        <v>151577965600</v>
      </c>
      <c r="O2728" s="8">
        <v>167258444800</v>
      </c>
      <c r="P2728" s="8">
        <v>172485271200</v>
      </c>
      <c r="Q2728" s="18">
        <f>(Table1[[#This Row],[A. TÀI SẢN NGẮN HẠN]]-Table1[[#This Row],[I. Nợ ngắn hạn]])/Table1[[#This Row],[TỔNG CỘNG TÀI SẢN]]</f>
        <v>0.11049313041274041</v>
      </c>
      <c r="R2728" s="18">
        <f>Table1[[#This Row],[- LNST chưa phân phối kỳ này]]/Table1[[#This Row],[TỔNG CỘNG TÀI SẢN]]</f>
        <v>0</v>
      </c>
      <c r="S2728" s="21">
        <f>Table1[[#This Row],[5. Lợi nhuận gộp về bán hàng và cung cấp dịch vụ]]/Table1[[#This Row],[TỔNG CỘNG TÀI SẢN]]</f>
        <v>5.9156992220933353E-2</v>
      </c>
      <c r="T272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0.20166083517200806</v>
      </c>
      <c r="U2728" s="23">
        <f>Table1[[#This Row],[1. Doanh thu bán hàng và cung cấp dịch vụ ]]/Table1[[#This Row],[TỔNG CỘNG TÀI SẢN]]</f>
        <v>0.67615431148658756</v>
      </c>
      <c r="V2728" s="23">
        <f>1.2*Table1[[#This Row],[X1]] + 1.4*Table1[[#This Row],[X2]] + 3.3*Table1[[#This Row],[x3]] + 0.6*Table1[[#This Row],[x4]] + 1*Table1[[#This Row],[x5]]</f>
        <v>1.1249606434141608</v>
      </c>
      <c r="W2728" s="23">
        <f>IF(Table1[[#This Row],[Zscore]]&lt;1.81,1,0)</f>
        <v>1</v>
      </c>
    </row>
    <row r="2729" spans="1:23" hidden="1" x14ac:dyDescent="0.45">
      <c r="A2729" s="7">
        <v>2723</v>
      </c>
      <c r="B2729" s="5" t="s">
        <v>5453</v>
      </c>
      <c r="C2729" s="6" t="s">
        <v>5454</v>
      </c>
      <c r="D2729" s="6" t="s">
        <v>13</v>
      </c>
      <c r="E2729" s="6"/>
      <c r="F2729" s="6"/>
      <c r="G2729" s="6"/>
      <c r="H2729" s="6"/>
      <c r="I2729" s="6"/>
      <c r="J2729" s="8"/>
      <c r="K2729" s="6"/>
      <c r="L2729" s="6"/>
      <c r="M2729" s="8"/>
      <c r="N2729" s="8"/>
      <c r="O2729" s="8"/>
      <c r="P2729" s="8"/>
      <c r="Q2729" s="18" t="e">
        <f>(Table1[[#This Row],[A. TÀI SẢN NGẮN HẠN]]-Table1[[#This Row],[I. Nợ ngắn hạn]])/Table1[[#This Row],[TỔNG CỘNG TÀI SẢN]]</f>
        <v>#DIV/0!</v>
      </c>
      <c r="R2729" s="18" t="e">
        <f>Table1[[#This Row],[- LNST chưa phân phối kỳ này]]/Table1[[#This Row],[TỔNG CỘNG TÀI SẢN]]</f>
        <v>#DIV/0!</v>
      </c>
      <c r="S2729" s="21" t="e">
        <f>Table1[[#This Row],[5. Lợi nhuận gộp về bán hàng và cung cấp dịch vụ]]/Table1[[#This Row],[TỔNG CỘNG TÀI SẢN]]</f>
        <v>#DIV/0!</v>
      </c>
      <c r="T272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729" s="23" t="e">
        <f>Table1[[#This Row],[1. Doanh thu bán hàng và cung cấp dịch vụ ]]/Table1[[#This Row],[TỔNG CỘNG TÀI SẢN]]</f>
        <v>#DIV/0!</v>
      </c>
      <c r="V2729" s="23" t="e">
        <f>1.2*Table1[[#This Row],[X1]] + 1.4*Table1[[#This Row],[X2]] + 3.3*Table1[[#This Row],[x3]] + 0.6*Table1[[#This Row],[x4]] + 1*Table1[[#This Row],[x5]]</f>
        <v>#DIV/0!</v>
      </c>
      <c r="W2729" s="23" t="e">
        <f>IF(Table1[[#This Row],[Zscore]]&lt;1.81,1,0)</f>
        <v>#DIV/0!</v>
      </c>
    </row>
    <row r="2730" spans="1:23" hidden="1" x14ac:dyDescent="0.45">
      <c r="A2730" s="7">
        <v>2724</v>
      </c>
      <c r="B2730" s="5" t="s">
        <v>5455</v>
      </c>
      <c r="C2730" s="6" t="s">
        <v>5456</v>
      </c>
      <c r="D2730" s="6" t="s">
        <v>21</v>
      </c>
      <c r="E2730" s="6"/>
      <c r="F2730" s="6"/>
      <c r="G2730" s="6"/>
      <c r="H2730" s="6"/>
      <c r="I2730" s="6"/>
      <c r="J2730" s="8"/>
      <c r="K2730" s="6"/>
      <c r="L2730" s="6"/>
      <c r="M2730" s="8">
        <v>259396502400</v>
      </c>
      <c r="N2730" s="8"/>
      <c r="O2730" s="8"/>
      <c r="P2730" s="8"/>
      <c r="Q2730" s="18" t="e">
        <f>(Table1[[#This Row],[A. TÀI SẢN NGẮN HẠN]]-Table1[[#This Row],[I. Nợ ngắn hạn]])/Table1[[#This Row],[TỔNG CỘNG TÀI SẢN]]</f>
        <v>#DIV/0!</v>
      </c>
      <c r="R2730" s="18" t="e">
        <f>Table1[[#This Row],[- LNST chưa phân phối kỳ này]]/Table1[[#This Row],[TỔNG CỘNG TÀI SẢN]]</f>
        <v>#DIV/0!</v>
      </c>
      <c r="S2730" s="21" t="e">
        <f>Table1[[#This Row],[5. Lợi nhuận gộp về bán hàng và cung cấp dịch vụ]]/Table1[[#This Row],[TỔNG CỘNG TÀI SẢN]]</f>
        <v>#DIV/0!</v>
      </c>
      <c r="T273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730" s="23" t="e">
        <f>Table1[[#This Row],[1. Doanh thu bán hàng và cung cấp dịch vụ ]]/Table1[[#This Row],[TỔNG CỘNG TÀI SẢN]]</f>
        <v>#DIV/0!</v>
      </c>
      <c r="V2730" s="23" t="e">
        <f>1.2*Table1[[#This Row],[X1]] + 1.4*Table1[[#This Row],[X2]] + 3.3*Table1[[#This Row],[x3]] + 0.6*Table1[[#This Row],[x4]] + 1*Table1[[#This Row],[x5]]</f>
        <v>#DIV/0!</v>
      </c>
      <c r="W2730" s="23" t="e">
        <f>IF(Table1[[#This Row],[Zscore]]&lt;1.81,1,0)</f>
        <v>#DIV/0!</v>
      </c>
    </row>
    <row r="2731" spans="1:23" ht="26.25" hidden="1" x14ac:dyDescent="0.45">
      <c r="A2731" s="7">
        <v>2725</v>
      </c>
      <c r="B2731" s="5" t="s">
        <v>5457</v>
      </c>
      <c r="C2731" s="6" t="s">
        <v>5458</v>
      </c>
      <c r="D2731" s="6" t="s">
        <v>18</v>
      </c>
      <c r="E2731" s="6"/>
      <c r="F2731" s="6"/>
      <c r="G2731" s="6"/>
      <c r="H2731" s="6"/>
      <c r="I2731" s="6"/>
      <c r="J2731" s="8"/>
      <c r="K2731" s="6"/>
      <c r="L2731" s="6"/>
      <c r="M2731" s="8"/>
      <c r="N2731" s="8"/>
      <c r="O2731" s="8"/>
      <c r="P2731" s="8"/>
      <c r="Q2731" s="18" t="e">
        <f>(Table1[[#This Row],[A. TÀI SẢN NGẮN HẠN]]-Table1[[#This Row],[I. Nợ ngắn hạn]])/Table1[[#This Row],[TỔNG CỘNG TÀI SẢN]]</f>
        <v>#DIV/0!</v>
      </c>
      <c r="R2731" s="18" t="e">
        <f>Table1[[#This Row],[- LNST chưa phân phối kỳ này]]/Table1[[#This Row],[TỔNG CỘNG TÀI SẢN]]</f>
        <v>#DIV/0!</v>
      </c>
      <c r="S2731" s="21" t="e">
        <f>Table1[[#This Row],[5. Lợi nhuận gộp về bán hàng và cung cấp dịch vụ]]/Table1[[#This Row],[TỔNG CỘNG TÀI SẢN]]</f>
        <v>#DIV/0!</v>
      </c>
      <c r="T273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731" s="23" t="e">
        <f>Table1[[#This Row],[1. Doanh thu bán hàng và cung cấp dịch vụ ]]/Table1[[#This Row],[TỔNG CỘNG TÀI SẢN]]</f>
        <v>#DIV/0!</v>
      </c>
      <c r="V2731" s="23" t="e">
        <f>1.2*Table1[[#This Row],[X1]] + 1.4*Table1[[#This Row],[X2]] + 3.3*Table1[[#This Row],[x3]] + 0.6*Table1[[#This Row],[x4]] + 1*Table1[[#This Row],[x5]]</f>
        <v>#DIV/0!</v>
      </c>
      <c r="W2731" s="23" t="e">
        <f>IF(Table1[[#This Row],[Zscore]]&lt;1.81,1,0)</f>
        <v>#DIV/0!</v>
      </c>
    </row>
    <row r="2732" spans="1:23" ht="26.25" hidden="1" x14ac:dyDescent="0.45">
      <c r="A2732" s="7">
        <v>2726</v>
      </c>
      <c r="B2732" s="5" t="s">
        <v>5459</v>
      </c>
      <c r="C2732" s="6" t="s">
        <v>5460</v>
      </c>
      <c r="D2732" s="6" t="s">
        <v>13</v>
      </c>
      <c r="E2732" s="6"/>
      <c r="F2732" s="6"/>
      <c r="G2732" s="6"/>
      <c r="H2732" s="6"/>
      <c r="I2732" s="6"/>
      <c r="J2732" s="8"/>
      <c r="K2732" s="6"/>
      <c r="L2732" s="6"/>
      <c r="M2732" s="8"/>
      <c r="N2732" s="8"/>
      <c r="O2732" s="8"/>
      <c r="P2732" s="8"/>
      <c r="Q2732" s="18" t="e">
        <f>(Table1[[#This Row],[A. TÀI SẢN NGẮN HẠN]]-Table1[[#This Row],[I. Nợ ngắn hạn]])/Table1[[#This Row],[TỔNG CỘNG TÀI SẢN]]</f>
        <v>#DIV/0!</v>
      </c>
      <c r="R2732" s="18" t="e">
        <f>Table1[[#This Row],[- LNST chưa phân phối kỳ này]]/Table1[[#This Row],[TỔNG CỘNG TÀI SẢN]]</f>
        <v>#DIV/0!</v>
      </c>
      <c r="S2732" s="21" t="e">
        <f>Table1[[#This Row],[5. Lợi nhuận gộp về bán hàng và cung cấp dịch vụ]]/Table1[[#This Row],[TỔNG CỘNG TÀI SẢN]]</f>
        <v>#DIV/0!</v>
      </c>
      <c r="T273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732" s="23" t="e">
        <f>Table1[[#This Row],[1. Doanh thu bán hàng và cung cấp dịch vụ ]]/Table1[[#This Row],[TỔNG CỘNG TÀI SẢN]]</f>
        <v>#DIV/0!</v>
      </c>
      <c r="V2732" s="23" t="e">
        <f>1.2*Table1[[#This Row],[X1]] + 1.4*Table1[[#This Row],[X2]] + 3.3*Table1[[#This Row],[x3]] + 0.6*Table1[[#This Row],[x4]] + 1*Table1[[#This Row],[x5]]</f>
        <v>#DIV/0!</v>
      </c>
      <c r="W2732" s="23" t="e">
        <f>IF(Table1[[#This Row],[Zscore]]&lt;1.81,1,0)</f>
        <v>#DIV/0!</v>
      </c>
    </row>
    <row r="2733" spans="1:23" hidden="1" x14ac:dyDescent="0.45">
      <c r="A2733" s="7">
        <v>2727</v>
      </c>
      <c r="B2733" s="5" t="s">
        <v>5461</v>
      </c>
      <c r="C2733" s="6" t="s">
        <v>5462</v>
      </c>
      <c r="D2733" s="6" t="s">
        <v>18</v>
      </c>
      <c r="E2733" s="6"/>
      <c r="F2733" s="6"/>
      <c r="G2733" s="6"/>
      <c r="H2733" s="6"/>
      <c r="I2733" s="6"/>
      <c r="J2733" s="8"/>
      <c r="K2733" s="6"/>
      <c r="L2733" s="6"/>
      <c r="M2733" s="8"/>
      <c r="N2733" s="8"/>
      <c r="O2733" s="8"/>
      <c r="P2733" s="8"/>
      <c r="Q2733" s="18" t="e">
        <f>(Table1[[#This Row],[A. TÀI SẢN NGẮN HẠN]]-Table1[[#This Row],[I. Nợ ngắn hạn]])/Table1[[#This Row],[TỔNG CỘNG TÀI SẢN]]</f>
        <v>#DIV/0!</v>
      </c>
      <c r="R2733" s="18" t="e">
        <f>Table1[[#This Row],[- LNST chưa phân phối kỳ này]]/Table1[[#This Row],[TỔNG CỘNG TÀI SẢN]]</f>
        <v>#DIV/0!</v>
      </c>
      <c r="S2733" s="21" t="e">
        <f>Table1[[#This Row],[5. Lợi nhuận gộp về bán hàng và cung cấp dịch vụ]]/Table1[[#This Row],[TỔNG CỘNG TÀI SẢN]]</f>
        <v>#DIV/0!</v>
      </c>
      <c r="T273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733" s="23" t="e">
        <f>Table1[[#This Row],[1. Doanh thu bán hàng và cung cấp dịch vụ ]]/Table1[[#This Row],[TỔNG CỘNG TÀI SẢN]]</f>
        <v>#DIV/0!</v>
      </c>
      <c r="V2733" s="23" t="e">
        <f>1.2*Table1[[#This Row],[X1]] + 1.4*Table1[[#This Row],[X2]] + 3.3*Table1[[#This Row],[x3]] + 0.6*Table1[[#This Row],[x4]] + 1*Table1[[#This Row],[x5]]</f>
        <v>#DIV/0!</v>
      </c>
      <c r="W2733" s="23" t="e">
        <f>IF(Table1[[#This Row],[Zscore]]&lt;1.81,1,0)</f>
        <v>#DIV/0!</v>
      </c>
    </row>
    <row r="2734" spans="1:23" x14ac:dyDescent="0.45">
      <c r="A2734" s="7">
        <v>2728</v>
      </c>
      <c r="B2734" s="5" t="s">
        <v>5463</v>
      </c>
      <c r="C2734" s="6" t="s">
        <v>5464</v>
      </c>
      <c r="D2734" s="6" t="s">
        <v>36</v>
      </c>
      <c r="E2734" s="8">
        <v>256013818736</v>
      </c>
      <c r="F2734" s="8">
        <v>148314968455</v>
      </c>
      <c r="G2734" s="8">
        <v>36793397396</v>
      </c>
      <c r="H2734" s="8">
        <v>13648791109</v>
      </c>
      <c r="I2734" s="8">
        <v>38398802190</v>
      </c>
      <c r="J2734" s="8"/>
      <c r="K2734" s="8">
        <v>101455203164</v>
      </c>
      <c r="L2734" s="8">
        <v>308387584677</v>
      </c>
      <c r="M2734" s="8">
        <v>226799949600</v>
      </c>
      <c r="N2734" s="8">
        <v>227699949400</v>
      </c>
      <c r="O2734" s="8">
        <v>168299962600</v>
      </c>
      <c r="P2734" s="8">
        <v>294299934600</v>
      </c>
      <c r="Q2734" s="18">
        <f>(Table1[[#This Row],[A. TÀI SẢN NGẮN HẠN]]-Table1[[#This Row],[I. Nợ ngắn hạn]])/Table1[[#This Row],[TỔNG CỘNG TÀI SẢN]]</f>
        <v>0.43560762309475337</v>
      </c>
      <c r="R2734" s="18">
        <f>Table1[[#This Row],[- LNST chưa phân phối kỳ này]]/Table1[[#This Row],[TỔNG CỘNG TÀI SẢN]]</f>
        <v>5.3312712479300021E-2</v>
      </c>
      <c r="S2734" s="21">
        <f>Table1[[#This Row],[5. Lợi nhuận gộp về bán hàng và cung cấp dịch vụ]]/Table1[[#This Row],[TỔNG CỘNG TÀI SẢN]]</f>
        <v>0.14998722482865906</v>
      </c>
      <c r="T273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2.2598638798187838</v>
      </c>
      <c r="U2734" s="23">
        <f>Table1[[#This Row],[1. Doanh thu bán hàng và cung cấp dịch vụ ]]/Table1[[#This Row],[TỔNG CỘNG TÀI SẢN]]</f>
        <v>1.2045739804186411</v>
      </c>
      <c r="V2734" s="23">
        <f>1.2*Table1[[#This Row],[X1]] + 1.4*Table1[[#This Row],[X2]] + 3.3*Table1[[#This Row],[x3]] + 0.6*Table1[[#This Row],[x4]] + 1*Table1[[#This Row],[x5]]</f>
        <v>3.6528170954292101</v>
      </c>
      <c r="W2734" s="23">
        <f>IF(Table1[[#This Row],[Zscore]]&lt;1.81,1,0)</f>
        <v>0</v>
      </c>
    </row>
    <row r="2735" spans="1:23" ht="26.25" hidden="1" x14ac:dyDescent="0.45">
      <c r="A2735" s="7">
        <v>2729</v>
      </c>
      <c r="B2735" s="5" t="s">
        <v>5465</v>
      </c>
      <c r="C2735" s="6" t="s">
        <v>5466</v>
      </c>
      <c r="D2735" s="6" t="s">
        <v>18</v>
      </c>
      <c r="E2735" s="8">
        <v>143164065590</v>
      </c>
      <c r="F2735" s="8">
        <v>22474014429</v>
      </c>
      <c r="G2735" s="8">
        <v>30093279827</v>
      </c>
      <c r="H2735" s="8">
        <v>568355949</v>
      </c>
      <c r="I2735" s="8">
        <v>8180458647</v>
      </c>
      <c r="J2735" s="8"/>
      <c r="K2735" s="8">
        <v>54634380927</v>
      </c>
      <c r="L2735" s="8">
        <v>44619596333</v>
      </c>
      <c r="M2735" s="8"/>
      <c r="N2735" s="8"/>
      <c r="O2735" s="8"/>
      <c r="P2735" s="8"/>
      <c r="Q2735" s="18">
        <f>(Table1[[#This Row],[A. TÀI SẢN NGẮN HẠN]]-Table1[[#This Row],[I. Nợ ngắn hạn]])/Table1[[#This Row],[TỔNG CỘNG TÀI SẢN]]</f>
        <v>-5.3220515683177171E-2</v>
      </c>
      <c r="R2735" s="18">
        <f>Table1[[#This Row],[- LNST chưa phân phối kỳ này]]/Table1[[#This Row],[TỔNG CỘNG TÀI SẢN]]</f>
        <v>3.9699623411623731E-3</v>
      </c>
      <c r="S2735" s="21">
        <f>Table1[[#This Row],[5. Lợi nhuận gộp về bán hàng và cung cấp dịch vụ]]/Table1[[#This Row],[TỔNG CỘNG TÀI SẢN]]</f>
        <v>5.7140446614778205E-2</v>
      </c>
      <c r="T273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735" s="23">
        <f>Table1[[#This Row],[1. Doanh thu bán hàng và cung cấp dịch vụ ]]/Table1[[#This Row],[TỔNG CỘNG TÀI SẢN]]</f>
        <v>0.31166756929622064</v>
      </c>
      <c r="V2735" s="23" t="e">
        <f>1.2*Table1[[#This Row],[X1]] + 1.4*Table1[[#This Row],[X2]] + 3.3*Table1[[#This Row],[x3]] + 0.6*Table1[[#This Row],[x4]] + 1*Table1[[#This Row],[x5]]</f>
        <v>#DIV/0!</v>
      </c>
      <c r="W2735" s="23" t="e">
        <f>IF(Table1[[#This Row],[Zscore]]&lt;1.81,1,0)</f>
        <v>#DIV/0!</v>
      </c>
    </row>
    <row r="2736" spans="1:23" x14ac:dyDescent="0.45">
      <c r="A2736" s="7">
        <v>2730</v>
      </c>
      <c r="B2736" s="5" t="s">
        <v>5467</v>
      </c>
      <c r="C2736" s="6" t="s">
        <v>5468</v>
      </c>
      <c r="D2736" s="6" t="s">
        <v>18</v>
      </c>
      <c r="E2736" s="8">
        <v>958843625345</v>
      </c>
      <c r="F2736" s="8">
        <v>316850862216</v>
      </c>
      <c r="G2736" s="8">
        <v>133742619090</v>
      </c>
      <c r="H2736" s="8">
        <v>43284649394</v>
      </c>
      <c r="I2736" s="8">
        <v>27232835555</v>
      </c>
      <c r="J2736" s="8"/>
      <c r="K2736" s="8">
        <v>368907775682</v>
      </c>
      <c r="L2736" s="8">
        <v>610098917813</v>
      </c>
      <c r="M2736" s="8">
        <v>710599164000</v>
      </c>
      <c r="N2736" s="8">
        <v>594999300000</v>
      </c>
      <c r="O2736" s="8">
        <v>662999220000</v>
      </c>
      <c r="P2736" s="8">
        <v>608599284000</v>
      </c>
      <c r="Q2736" s="18">
        <f>(Table1[[#This Row],[A. TÀI SẢN NGẮN HẠN]]-Table1[[#This Row],[I. Nợ ngắn hạn]])/Table1[[#This Row],[TỔNG CỘNG TÀI SẢN]]</f>
        <v>0.19096778482530571</v>
      </c>
      <c r="R2736" s="18">
        <f>Table1[[#This Row],[- LNST chưa phân phối kỳ này]]/Table1[[#This Row],[TỔNG CỘNG TÀI SẢN]]</f>
        <v>4.5142553227514884E-2</v>
      </c>
      <c r="S2736" s="21">
        <f>Table1[[#This Row],[5. Lợi nhuận gộp về bán hàng và cung cấp dịch vụ]]/Table1[[#This Row],[TỔNG CỘNG TÀI SẢN]]</f>
        <v>2.8401748559574974E-2</v>
      </c>
      <c r="T273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1.7465049111770108</v>
      </c>
      <c r="U2736" s="23">
        <f>Table1[[#This Row],[1. Doanh thu bán hàng và cung cấp dịch vụ ]]/Table1[[#This Row],[TỔNG CỘNG TÀI SẢN]]</f>
        <v>0.63628614894684343</v>
      </c>
      <c r="V2736" s="23">
        <f>1.2*Table1[[#This Row],[X1]] + 1.4*Table1[[#This Row],[X2]] + 3.3*Table1[[#This Row],[x3]] + 0.6*Table1[[#This Row],[x4]] + 1*Table1[[#This Row],[x5]]</f>
        <v>2.0702757822085349</v>
      </c>
      <c r="W2736" s="23">
        <f>IF(Table1[[#This Row],[Zscore]]&lt;1.81,1,0)</f>
        <v>0</v>
      </c>
    </row>
    <row r="2737" spans="1:23" x14ac:dyDescent="0.45">
      <c r="A2737" s="7">
        <v>2731</v>
      </c>
      <c r="B2737" s="5" t="s">
        <v>5469</v>
      </c>
      <c r="C2737" s="6" t="s">
        <v>5470</v>
      </c>
      <c r="D2737" s="6" t="s">
        <v>18</v>
      </c>
      <c r="E2737" s="8">
        <v>1216673463788</v>
      </c>
      <c r="F2737" s="8">
        <v>188630424513</v>
      </c>
      <c r="G2737" s="8">
        <v>30969679837</v>
      </c>
      <c r="H2737" s="8">
        <v>82920334487</v>
      </c>
      <c r="I2737" s="8">
        <v>12655148400</v>
      </c>
      <c r="J2737" s="8"/>
      <c r="K2737" s="8">
        <v>31437679837</v>
      </c>
      <c r="L2737" s="8">
        <v>29762902723</v>
      </c>
      <c r="M2737" s="8">
        <v>936950448000</v>
      </c>
      <c r="N2737" s="8">
        <v>1174582808000</v>
      </c>
      <c r="O2737" s="8">
        <v>916581960000</v>
      </c>
      <c r="P2737" s="8">
        <v>1276425248000</v>
      </c>
      <c r="Q2737" s="18">
        <f>(Table1[[#This Row],[A. TÀI SẢN NGẮN HẠN]]-Table1[[#This Row],[I. Nợ ngắn hạn]])/Table1[[#This Row],[TỔNG CỘNG TÀI SẢN]]</f>
        <v>0.12958344976567326</v>
      </c>
      <c r="R2737" s="18">
        <f>Table1[[#This Row],[- LNST chưa phân phối kỳ này]]/Table1[[#This Row],[TỔNG CỘNG TÀI SẢN]]</f>
        <v>6.8153318827909037E-2</v>
      </c>
      <c r="S2737" s="21">
        <f>Table1[[#This Row],[5. Lợi nhuận gộp về bán hàng và cung cấp dịch vụ]]/Table1[[#This Row],[TỔNG CỘNG TÀI SẢN]]</f>
        <v>1.0401433726185964E-2</v>
      </c>
      <c r="T273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34.230742267864898</v>
      </c>
      <c r="U2737" s="23">
        <f>Table1[[#This Row],[1. Doanh thu bán hàng và cung cấp dịch vụ ]]/Table1[[#This Row],[TỔNG CỘNG TÀI SẢN]]</f>
        <v>2.4462523108160807E-2</v>
      </c>
      <c r="V2737" s="23">
        <f>1.2*Table1[[#This Row],[X1]] + 1.4*Table1[[#This Row],[X2]] + 3.3*Table1[[#This Row],[x3]] + 0.6*Table1[[#This Row],[x4]] + 1*Table1[[#This Row],[x5]]</f>
        <v>20.848147401201391</v>
      </c>
      <c r="W2737" s="23">
        <f>IF(Table1[[#This Row],[Zscore]]&lt;1.81,1,0)</f>
        <v>0</v>
      </c>
    </row>
    <row r="2738" spans="1:23" x14ac:dyDescent="0.45">
      <c r="A2738" s="7">
        <v>2732</v>
      </c>
      <c r="B2738" s="5" t="s">
        <v>5471</v>
      </c>
      <c r="C2738" s="6" t="s">
        <v>5472</v>
      </c>
      <c r="D2738" s="6" t="s">
        <v>36</v>
      </c>
      <c r="E2738" s="8">
        <v>526480388404</v>
      </c>
      <c r="F2738" s="8">
        <v>384891484140</v>
      </c>
      <c r="G2738" s="8">
        <v>193249404067</v>
      </c>
      <c r="H2738" s="8">
        <v>62669736020</v>
      </c>
      <c r="I2738" s="8">
        <v>264311547552</v>
      </c>
      <c r="J2738" s="8"/>
      <c r="K2738" s="8">
        <v>195103984893</v>
      </c>
      <c r="L2738" s="8">
        <v>1070298728872</v>
      </c>
      <c r="M2738" s="8">
        <v>541777296000</v>
      </c>
      <c r="N2738" s="8">
        <v>745468476000</v>
      </c>
      <c r="O2738" s="8">
        <v>667771761600</v>
      </c>
      <c r="P2738" s="8">
        <v>326536191600</v>
      </c>
      <c r="Q2738" s="18">
        <f>(Table1[[#This Row],[A. TÀI SẢN NGẮN HẠN]]-Table1[[#This Row],[I. Nợ ngắn hạn]])/Table1[[#This Row],[TỔNG CỘNG TÀI SẢN]]</f>
        <v>0.36400611360653673</v>
      </c>
      <c r="R2738" s="18">
        <f>Table1[[#This Row],[- LNST chưa phân phối kỳ này]]/Table1[[#This Row],[TỔNG CỘNG TÀI SẢN]]</f>
        <v>0.11903527158909051</v>
      </c>
      <c r="S2738" s="21">
        <f>Table1[[#This Row],[5. Lợi nhuận gộp về bán hàng và cung cấp dịch vụ]]/Table1[[#This Row],[TỔNG CỘNG TÀI SẢN]]</f>
        <v>0.50203493496357532</v>
      </c>
      <c r="T273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2.9235098996712732</v>
      </c>
      <c r="U2738" s="23">
        <f>Table1[[#This Row],[1. Doanh thu bán hàng và cung cấp dịch vụ ]]/Table1[[#This Row],[TỔNG CỘNG TÀI SẢN]]</f>
        <v>2.0329318098943041</v>
      </c>
      <c r="V2738" s="23">
        <f>1.2*Table1[[#This Row],[X1]] + 1.4*Table1[[#This Row],[X2]] + 3.3*Table1[[#This Row],[x3]] + 0.6*Table1[[#This Row],[x4]] + 1*Table1[[#This Row],[x5]]</f>
        <v>6.0472097516294374</v>
      </c>
      <c r="W2738" s="23">
        <f>IF(Table1[[#This Row],[Zscore]]&lt;1.81,1,0)</f>
        <v>0</v>
      </c>
    </row>
    <row r="2739" spans="1:23" hidden="1" x14ac:dyDescent="0.45">
      <c r="A2739" s="7">
        <v>2733</v>
      </c>
      <c r="B2739" s="5" t="s">
        <v>5473</v>
      </c>
      <c r="C2739" s="6" t="s">
        <v>5474</v>
      </c>
      <c r="D2739" s="6" t="s">
        <v>13</v>
      </c>
      <c r="E2739" s="6"/>
      <c r="F2739" s="6"/>
      <c r="G2739" s="6"/>
      <c r="H2739" s="6"/>
      <c r="I2739" s="6"/>
      <c r="J2739" s="8"/>
      <c r="K2739" s="6"/>
      <c r="L2739" s="6"/>
      <c r="M2739" s="8"/>
      <c r="N2739" s="8"/>
      <c r="O2739" s="8"/>
      <c r="P2739" s="8"/>
      <c r="Q2739" s="18" t="e">
        <f>(Table1[[#This Row],[A. TÀI SẢN NGẮN HẠN]]-Table1[[#This Row],[I. Nợ ngắn hạn]])/Table1[[#This Row],[TỔNG CỘNG TÀI SẢN]]</f>
        <v>#DIV/0!</v>
      </c>
      <c r="R2739" s="18" t="e">
        <f>Table1[[#This Row],[- LNST chưa phân phối kỳ này]]/Table1[[#This Row],[TỔNG CỘNG TÀI SẢN]]</f>
        <v>#DIV/0!</v>
      </c>
      <c r="S2739" s="21" t="e">
        <f>Table1[[#This Row],[5. Lợi nhuận gộp về bán hàng và cung cấp dịch vụ]]/Table1[[#This Row],[TỔNG CỘNG TÀI SẢN]]</f>
        <v>#DIV/0!</v>
      </c>
      <c r="T273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739" s="23" t="e">
        <f>Table1[[#This Row],[1. Doanh thu bán hàng và cung cấp dịch vụ ]]/Table1[[#This Row],[TỔNG CỘNG TÀI SẢN]]</f>
        <v>#DIV/0!</v>
      </c>
      <c r="V2739" s="23" t="e">
        <f>1.2*Table1[[#This Row],[X1]] + 1.4*Table1[[#This Row],[X2]] + 3.3*Table1[[#This Row],[x3]] + 0.6*Table1[[#This Row],[x4]] + 1*Table1[[#This Row],[x5]]</f>
        <v>#DIV/0!</v>
      </c>
      <c r="W2739" s="23" t="e">
        <f>IF(Table1[[#This Row],[Zscore]]&lt;1.81,1,0)</f>
        <v>#DIV/0!</v>
      </c>
    </row>
    <row r="2740" spans="1:23" x14ac:dyDescent="0.45">
      <c r="A2740" s="7">
        <v>2734</v>
      </c>
      <c r="B2740" s="5" t="s">
        <v>5475</v>
      </c>
      <c r="C2740" s="6" t="s">
        <v>5476</v>
      </c>
      <c r="D2740" s="6" t="s">
        <v>21</v>
      </c>
      <c r="E2740" s="8">
        <v>51628903137232</v>
      </c>
      <c r="F2740" s="8">
        <v>50579456377684</v>
      </c>
      <c r="G2740" s="8">
        <v>28656048679759</v>
      </c>
      <c r="H2740" s="8">
        <v>288346068602</v>
      </c>
      <c r="I2740" s="8">
        <v>4088486965027</v>
      </c>
      <c r="J2740" s="8"/>
      <c r="K2740" s="8">
        <v>30725994598868</v>
      </c>
      <c r="L2740" s="8">
        <v>6640194324761</v>
      </c>
      <c r="M2740" s="8">
        <v>23291188592400</v>
      </c>
      <c r="N2740" s="8">
        <v>29608733210600</v>
      </c>
      <c r="O2740" s="8">
        <v>26183558417600</v>
      </c>
      <c r="P2740" s="8">
        <v>34175632934600</v>
      </c>
      <c r="Q2740" s="18">
        <f>(Table1[[#This Row],[A. TÀI SẢN NGẮN HẠN]]-Table1[[#This Row],[I. Nợ ngắn hạn]])/Table1[[#This Row],[TỔNG CỘNG TÀI SẢN]]</f>
        <v>0.42463438821567784</v>
      </c>
      <c r="R2740" s="18">
        <f>Table1[[#This Row],[- LNST chưa phân phối kỳ này]]/Table1[[#This Row],[TỔNG CỘNG TÀI SẢN]]</f>
        <v>5.5849737468867565E-3</v>
      </c>
      <c r="S2740" s="21">
        <f>Table1[[#This Row],[5. Lợi nhuận gộp về bán hàng và cung cấp dịch vụ]]/Table1[[#This Row],[TỔNG CỘNG TÀI SẢN]]</f>
        <v>7.918988621857051E-2</v>
      </c>
      <c r="T274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0.92152519905224373</v>
      </c>
      <c r="U2740" s="23">
        <f>Table1[[#This Row],[1. Doanh thu bán hàng và cung cấp dịch vụ ]]/Table1[[#This Row],[TỔNG CỘNG TÀI SẢN]]</f>
        <v>0.12861389495552633</v>
      </c>
      <c r="V2740" s="23">
        <f>1.2*Table1[[#This Row],[X1]] + 1.4*Table1[[#This Row],[X2]] + 3.3*Table1[[#This Row],[x3]] + 0.6*Table1[[#This Row],[x4]] + 1*Table1[[#This Row],[x5]]</f>
        <v>1.4602358680126102</v>
      </c>
      <c r="W2740" s="23">
        <f>IF(Table1[[#This Row],[Zscore]]&lt;1.81,1,0)</f>
        <v>1</v>
      </c>
    </row>
    <row r="2741" spans="1:23" ht="26.25" x14ac:dyDescent="0.45">
      <c r="A2741" s="7">
        <v>2735</v>
      </c>
      <c r="B2741" s="5" t="s">
        <v>5477</v>
      </c>
      <c r="C2741" s="6" t="s">
        <v>5478</v>
      </c>
      <c r="D2741" s="6" t="s">
        <v>21</v>
      </c>
      <c r="E2741" s="8">
        <v>3149468908607</v>
      </c>
      <c r="F2741" s="8">
        <v>1755053210115</v>
      </c>
      <c r="G2741" s="8">
        <v>1733633584631</v>
      </c>
      <c r="H2741" s="8">
        <v>81351898215</v>
      </c>
      <c r="I2741" s="8">
        <v>48054188982</v>
      </c>
      <c r="J2741" s="8"/>
      <c r="K2741" s="8">
        <v>2327688266867</v>
      </c>
      <c r="L2741" s="8">
        <v>516455574816</v>
      </c>
      <c r="M2741" s="8">
        <v>239601280360</v>
      </c>
      <c r="N2741" s="8">
        <v>452944886160</v>
      </c>
      <c r="O2741" s="8">
        <v>410276165000</v>
      </c>
      <c r="P2741" s="8">
        <v>623619770800</v>
      </c>
      <c r="Q2741" s="18">
        <f>(Table1[[#This Row],[A. TÀI SẢN NGẮN HẠN]]-Table1[[#This Row],[I. Nợ ngắn hạn]])/Table1[[#This Row],[TỔNG CỘNG TÀI SẢN]]</f>
        <v>6.801027762320039E-3</v>
      </c>
      <c r="R2741" s="18">
        <f>Table1[[#This Row],[- LNST chưa phân phối kỳ này]]/Table1[[#This Row],[TỔNG CỘNG TÀI SẢN]]</f>
        <v>2.5830354442515097E-2</v>
      </c>
      <c r="S2741" s="21">
        <f>Table1[[#This Row],[5. Lợi nhuận gộp về bán hàng và cung cấp dịch vụ]]/Table1[[#This Row],[TỔNG CỘNG TÀI SẢN]]</f>
        <v>1.5257870573249829E-2</v>
      </c>
      <c r="T274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0.18542453975632014</v>
      </c>
      <c r="U2741" s="23">
        <f>Table1[[#This Row],[1. Doanh thu bán hàng và cung cấp dịch vụ ]]/Table1[[#This Row],[TỔNG CỘNG TÀI SẢN]]</f>
        <v>0.16398179813892072</v>
      </c>
      <c r="V2741" s="23">
        <f>1.2*Table1[[#This Row],[X1]] + 1.4*Table1[[#This Row],[X2]] + 3.3*Table1[[#This Row],[x3]] + 0.6*Table1[[#This Row],[x4]] + 1*Table1[[#This Row],[x5]]</f>
        <v>0.36991122441874241</v>
      </c>
      <c r="W2741" s="23">
        <f>IF(Table1[[#This Row],[Zscore]]&lt;1.81,1,0)</f>
        <v>1</v>
      </c>
    </row>
    <row r="2742" spans="1:23" hidden="1" x14ac:dyDescent="0.45">
      <c r="A2742" s="7">
        <v>2736</v>
      </c>
      <c r="B2742" s="5" t="s">
        <v>5479</v>
      </c>
      <c r="C2742" s="6" t="s">
        <v>5480</v>
      </c>
      <c r="D2742" s="6" t="s">
        <v>13</v>
      </c>
      <c r="E2742" s="6"/>
      <c r="F2742" s="6"/>
      <c r="G2742" s="6"/>
      <c r="H2742" s="6"/>
      <c r="I2742" s="6"/>
      <c r="J2742" s="8"/>
      <c r="K2742" s="6"/>
      <c r="L2742" s="6"/>
      <c r="M2742" s="8"/>
      <c r="N2742" s="8"/>
      <c r="O2742" s="8"/>
      <c r="P2742" s="8"/>
      <c r="Q2742" s="18" t="e">
        <f>(Table1[[#This Row],[A. TÀI SẢN NGẮN HẠN]]-Table1[[#This Row],[I. Nợ ngắn hạn]])/Table1[[#This Row],[TỔNG CỘNG TÀI SẢN]]</f>
        <v>#DIV/0!</v>
      </c>
      <c r="R2742" s="18" t="e">
        <f>Table1[[#This Row],[- LNST chưa phân phối kỳ này]]/Table1[[#This Row],[TỔNG CỘNG TÀI SẢN]]</f>
        <v>#DIV/0!</v>
      </c>
      <c r="S2742" s="21" t="e">
        <f>Table1[[#This Row],[5. Lợi nhuận gộp về bán hàng và cung cấp dịch vụ]]/Table1[[#This Row],[TỔNG CỘNG TÀI SẢN]]</f>
        <v>#DIV/0!</v>
      </c>
      <c r="T274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742" s="23" t="e">
        <f>Table1[[#This Row],[1. Doanh thu bán hàng và cung cấp dịch vụ ]]/Table1[[#This Row],[TỔNG CỘNG TÀI SẢN]]</f>
        <v>#DIV/0!</v>
      </c>
      <c r="V2742" s="23" t="e">
        <f>1.2*Table1[[#This Row],[X1]] + 1.4*Table1[[#This Row],[X2]] + 3.3*Table1[[#This Row],[x3]] + 0.6*Table1[[#This Row],[x4]] + 1*Table1[[#This Row],[x5]]</f>
        <v>#DIV/0!</v>
      </c>
      <c r="W2742" s="23" t="e">
        <f>IF(Table1[[#This Row],[Zscore]]&lt;1.81,1,0)</f>
        <v>#DIV/0!</v>
      </c>
    </row>
    <row r="2743" spans="1:23" hidden="1" x14ac:dyDescent="0.45">
      <c r="A2743" s="7">
        <v>2737</v>
      </c>
      <c r="B2743" s="5" t="s">
        <v>5481</v>
      </c>
      <c r="C2743" s="6" t="s">
        <v>5482</v>
      </c>
      <c r="D2743" s="6" t="s">
        <v>13</v>
      </c>
      <c r="E2743" s="6"/>
      <c r="F2743" s="6"/>
      <c r="G2743" s="6"/>
      <c r="H2743" s="6"/>
      <c r="I2743" s="6"/>
      <c r="J2743" s="8"/>
      <c r="K2743" s="6"/>
      <c r="L2743" s="6"/>
      <c r="M2743" s="8"/>
      <c r="N2743" s="8"/>
      <c r="O2743" s="8"/>
      <c r="P2743" s="8"/>
      <c r="Q2743" s="18" t="e">
        <f>(Table1[[#This Row],[A. TÀI SẢN NGẮN HẠN]]-Table1[[#This Row],[I. Nợ ngắn hạn]])/Table1[[#This Row],[TỔNG CỘNG TÀI SẢN]]</f>
        <v>#DIV/0!</v>
      </c>
      <c r="R2743" s="18" t="e">
        <f>Table1[[#This Row],[- LNST chưa phân phối kỳ này]]/Table1[[#This Row],[TỔNG CỘNG TÀI SẢN]]</f>
        <v>#DIV/0!</v>
      </c>
      <c r="S2743" s="21" t="e">
        <f>Table1[[#This Row],[5. Lợi nhuận gộp về bán hàng và cung cấp dịch vụ]]/Table1[[#This Row],[TỔNG CỘNG TÀI SẢN]]</f>
        <v>#DIV/0!</v>
      </c>
      <c r="T274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743" s="23" t="e">
        <f>Table1[[#This Row],[1. Doanh thu bán hàng và cung cấp dịch vụ ]]/Table1[[#This Row],[TỔNG CỘNG TÀI SẢN]]</f>
        <v>#DIV/0!</v>
      </c>
      <c r="V2743" s="23" t="e">
        <f>1.2*Table1[[#This Row],[X1]] + 1.4*Table1[[#This Row],[X2]] + 3.3*Table1[[#This Row],[x3]] + 0.6*Table1[[#This Row],[x4]] + 1*Table1[[#This Row],[x5]]</f>
        <v>#DIV/0!</v>
      </c>
      <c r="W2743" s="23" t="e">
        <f>IF(Table1[[#This Row],[Zscore]]&lt;1.81,1,0)</f>
        <v>#DIV/0!</v>
      </c>
    </row>
    <row r="2744" spans="1:23" hidden="1" x14ac:dyDescent="0.45">
      <c r="A2744" s="7">
        <v>2738</v>
      </c>
      <c r="B2744" s="5" t="s">
        <v>5483</v>
      </c>
      <c r="C2744" s="6" t="s">
        <v>5484</v>
      </c>
      <c r="D2744" s="6" t="s">
        <v>13</v>
      </c>
      <c r="E2744" s="6"/>
      <c r="F2744" s="6"/>
      <c r="G2744" s="6"/>
      <c r="H2744" s="6"/>
      <c r="I2744" s="6"/>
      <c r="J2744" s="8"/>
      <c r="K2744" s="6"/>
      <c r="L2744" s="6"/>
      <c r="M2744" s="8"/>
      <c r="N2744" s="8"/>
      <c r="O2744" s="8"/>
      <c r="P2744" s="8"/>
      <c r="Q2744" s="18" t="e">
        <f>(Table1[[#This Row],[A. TÀI SẢN NGẮN HẠN]]-Table1[[#This Row],[I. Nợ ngắn hạn]])/Table1[[#This Row],[TỔNG CỘNG TÀI SẢN]]</f>
        <v>#DIV/0!</v>
      </c>
      <c r="R2744" s="18" t="e">
        <f>Table1[[#This Row],[- LNST chưa phân phối kỳ này]]/Table1[[#This Row],[TỔNG CỘNG TÀI SẢN]]</f>
        <v>#DIV/0!</v>
      </c>
      <c r="S2744" s="21" t="e">
        <f>Table1[[#This Row],[5. Lợi nhuận gộp về bán hàng và cung cấp dịch vụ]]/Table1[[#This Row],[TỔNG CỘNG TÀI SẢN]]</f>
        <v>#DIV/0!</v>
      </c>
      <c r="T274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744" s="23" t="e">
        <f>Table1[[#This Row],[1. Doanh thu bán hàng và cung cấp dịch vụ ]]/Table1[[#This Row],[TỔNG CỘNG TÀI SẢN]]</f>
        <v>#DIV/0!</v>
      </c>
      <c r="V2744" s="23" t="e">
        <f>1.2*Table1[[#This Row],[X1]] + 1.4*Table1[[#This Row],[X2]] + 3.3*Table1[[#This Row],[x3]] + 0.6*Table1[[#This Row],[x4]] + 1*Table1[[#This Row],[x5]]</f>
        <v>#DIV/0!</v>
      </c>
      <c r="W2744" s="23" t="e">
        <f>IF(Table1[[#This Row],[Zscore]]&lt;1.81,1,0)</f>
        <v>#DIV/0!</v>
      </c>
    </row>
    <row r="2745" spans="1:23" x14ac:dyDescent="0.45">
      <c r="A2745" s="7">
        <v>2739</v>
      </c>
      <c r="B2745" s="5" t="s">
        <v>5485</v>
      </c>
      <c r="C2745" s="6" t="s">
        <v>5486</v>
      </c>
      <c r="D2745" s="6" t="s">
        <v>36</v>
      </c>
      <c r="E2745" s="8">
        <v>991235559997</v>
      </c>
      <c r="F2745" s="8">
        <v>594946237559</v>
      </c>
      <c r="G2745" s="8">
        <v>358898600944</v>
      </c>
      <c r="H2745" s="8">
        <v>58762677203</v>
      </c>
      <c r="I2745" s="8">
        <v>108877503577</v>
      </c>
      <c r="J2745" s="8"/>
      <c r="K2745" s="8">
        <v>363325979828</v>
      </c>
      <c r="L2745" s="8">
        <v>1674602597775</v>
      </c>
      <c r="M2745" s="8">
        <v>491355890000</v>
      </c>
      <c r="N2745" s="8">
        <v>488185852000</v>
      </c>
      <c r="O2745" s="8">
        <v>440635282000</v>
      </c>
      <c r="P2745" s="8">
        <v>526226308000</v>
      </c>
      <c r="Q2745" s="18">
        <f>(Table1[[#This Row],[A. TÀI SẢN NGẮN HẠN]]-Table1[[#This Row],[I. Nợ ngắn hạn]])/Table1[[#This Row],[TỔNG CỘNG TÀI SẢN]]</f>
        <v>0.2381347543824138</v>
      </c>
      <c r="R2745" s="18">
        <f>Table1[[#This Row],[- LNST chưa phân phối kỳ này]]/Table1[[#This Row],[TỔNG CỘNG TÀI SẢN]]</f>
        <v>5.9282252952242598E-2</v>
      </c>
      <c r="S2745" s="21">
        <f>Table1[[#This Row],[5. Lợi nhuận gộp về bán hàng và cung cấp dịch vụ]]/Table1[[#This Row],[TỔNG CỘNG TÀI SẢN]]</f>
        <v>0.10984019134395211</v>
      </c>
      <c r="T274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1.3392954537144821</v>
      </c>
      <c r="U2745" s="23">
        <f>Table1[[#This Row],[1. Doanh thu bán hàng và cung cấp dịch vụ ]]/Table1[[#This Row],[TỔNG CỘNG TÀI SẢN]]</f>
        <v>1.6894093244395594</v>
      </c>
      <c r="V2745" s="23">
        <f>1.2*Table1[[#This Row],[X1]] + 1.4*Table1[[#This Row],[X2]] + 3.3*Table1[[#This Row],[x3]] + 0.6*Table1[[#This Row],[x4]] + 1*Table1[[#This Row],[x5]]</f>
        <v>3.2242160874953267</v>
      </c>
      <c r="W2745" s="23">
        <f>IF(Table1[[#This Row],[Zscore]]&lt;1.81,1,0)</f>
        <v>0</v>
      </c>
    </row>
    <row r="2746" spans="1:23" x14ac:dyDescent="0.45">
      <c r="A2746" s="7">
        <v>2740</v>
      </c>
      <c r="B2746" s="5" t="s">
        <v>5487</v>
      </c>
      <c r="C2746" s="6" t="s">
        <v>5488</v>
      </c>
      <c r="D2746" s="6" t="s">
        <v>21</v>
      </c>
      <c r="E2746" s="8">
        <v>4432724584612</v>
      </c>
      <c r="F2746" s="8">
        <v>1313586738419</v>
      </c>
      <c r="G2746" s="8">
        <v>1309658129618</v>
      </c>
      <c r="H2746" s="8">
        <v>7113185073</v>
      </c>
      <c r="I2746" s="8">
        <v>235942449419</v>
      </c>
      <c r="J2746" s="8"/>
      <c r="K2746" s="8">
        <v>3302066996218</v>
      </c>
      <c r="L2746" s="8">
        <v>726073205786</v>
      </c>
      <c r="M2746" s="8">
        <v>778212864000</v>
      </c>
      <c r="N2746" s="8">
        <v>775294565760</v>
      </c>
      <c r="O2746" s="8">
        <v>741247752960</v>
      </c>
      <c r="P2746" s="8">
        <v>728601793920</v>
      </c>
      <c r="Q2746" s="18">
        <f>(Table1[[#This Row],[A. TÀI SẢN NGẮN HẠN]]-Table1[[#This Row],[I. Nợ ngắn hạn]])/Table1[[#This Row],[TỔNG CỘNG TÀI SẢN]]</f>
        <v>8.8627405696216387E-4</v>
      </c>
      <c r="R2746" s="18">
        <f>Table1[[#This Row],[- LNST chưa phân phối kỳ này]]/Table1[[#This Row],[TỔNG CỘNG TÀI SẢN]]</f>
        <v>1.6046981799169512E-3</v>
      </c>
      <c r="S2746" s="21">
        <f>Table1[[#This Row],[5. Lợi nhuận gộp về bán hàng và cung cấp dịch vụ]]/Table1[[#This Row],[TỔNG CỘNG TÀI SẢN]]</f>
        <v>5.3227410121094235E-2</v>
      </c>
      <c r="T274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0.22889882156409769</v>
      </c>
      <c r="U2746" s="23">
        <f>Table1[[#This Row],[1. Doanh thu bán hàng và cung cấp dịch vụ ]]/Table1[[#This Row],[TỔNG CỘNG TÀI SẢN]]</f>
        <v>0.16379840252347955</v>
      </c>
      <c r="V2746" s="23">
        <f>1.2*Table1[[#This Row],[X1]] + 1.4*Table1[[#This Row],[X2]] + 3.3*Table1[[#This Row],[x3]] + 0.6*Table1[[#This Row],[x4]] + 1*Table1[[#This Row],[x5]]</f>
        <v>0.48009825518178745</v>
      </c>
      <c r="W2746" s="23">
        <f>IF(Table1[[#This Row],[Zscore]]&lt;1.81,1,0)</f>
        <v>1</v>
      </c>
    </row>
    <row r="2747" spans="1:23" hidden="1" x14ac:dyDescent="0.45">
      <c r="A2747" s="7">
        <v>2741</v>
      </c>
      <c r="B2747" s="5" t="s">
        <v>5489</v>
      </c>
      <c r="C2747" s="6" t="s">
        <v>5490</v>
      </c>
      <c r="D2747" s="6" t="s">
        <v>18</v>
      </c>
      <c r="E2747" s="6"/>
      <c r="F2747" s="6"/>
      <c r="G2747" s="6"/>
      <c r="H2747" s="6"/>
      <c r="I2747" s="6"/>
      <c r="J2747" s="8"/>
      <c r="K2747" s="6"/>
      <c r="L2747" s="6"/>
      <c r="M2747" s="8"/>
      <c r="N2747" s="8"/>
      <c r="O2747" s="8"/>
      <c r="P2747" s="8"/>
      <c r="Q2747" s="18" t="e">
        <f>(Table1[[#This Row],[A. TÀI SẢN NGẮN HẠN]]-Table1[[#This Row],[I. Nợ ngắn hạn]])/Table1[[#This Row],[TỔNG CỘNG TÀI SẢN]]</f>
        <v>#DIV/0!</v>
      </c>
      <c r="R2747" s="18" t="e">
        <f>Table1[[#This Row],[- LNST chưa phân phối kỳ này]]/Table1[[#This Row],[TỔNG CỘNG TÀI SẢN]]</f>
        <v>#DIV/0!</v>
      </c>
      <c r="S2747" s="21" t="e">
        <f>Table1[[#This Row],[5. Lợi nhuận gộp về bán hàng và cung cấp dịch vụ]]/Table1[[#This Row],[TỔNG CỘNG TÀI SẢN]]</f>
        <v>#DIV/0!</v>
      </c>
      <c r="T274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747" s="23" t="e">
        <f>Table1[[#This Row],[1. Doanh thu bán hàng và cung cấp dịch vụ ]]/Table1[[#This Row],[TỔNG CỘNG TÀI SẢN]]</f>
        <v>#DIV/0!</v>
      </c>
      <c r="V2747" s="23" t="e">
        <f>1.2*Table1[[#This Row],[X1]] + 1.4*Table1[[#This Row],[X2]] + 3.3*Table1[[#This Row],[x3]] + 0.6*Table1[[#This Row],[x4]] + 1*Table1[[#This Row],[x5]]</f>
        <v>#DIV/0!</v>
      </c>
      <c r="W2747" s="23" t="e">
        <f>IF(Table1[[#This Row],[Zscore]]&lt;1.81,1,0)</f>
        <v>#DIV/0!</v>
      </c>
    </row>
    <row r="2748" spans="1:23" ht="26.25" hidden="1" x14ac:dyDescent="0.45">
      <c r="A2748" s="7">
        <v>2742</v>
      </c>
      <c r="B2748" s="5" t="s">
        <v>5491</v>
      </c>
      <c r="C2748" s="6" t="s">
        <v>5492</v>
      </c>
      <c r="D2748" s="6" t="s">
        <v>18</v>
      </c>
      <c r="E2748" s="6"/>
      <c r="F2748" s="6"/>
      <c r="G2748" s="6"/>
      <c r="H2748" s="6"/>
      <c r="I2748" s="6"/>
      <c r="J2748" s="8"/>
      <c r="K2748" s="6"/>
      <c r="L2748" s="6"/>
      <c r="M2748" s="8"/>
      <c r="N2748" s="8"/>
      <c r="O2748" s="8"/>
      <c r="P2748" s="8"/>
      <c r="Q2748" s="18" t="e">
        <f>(Table1[[#This Row],[A. TÀI SẢN NGẮN HẠN]]-Table1[[#This Row],[I. Nợ ngắn hạn]])/Table1[[#This Row],[TỔNG CỘNG TÀI SẢN]]</f>
        <v>#DIV/0!</v>
      </c>
      <c r="R2748" s="18" t="e">
        <f>Table1[[#This Row],[- LNST chưa phân phối kỳ này]]/Table1[[#This Row],[TỔNG CỘNG TÀI SẢN]]</f>
        <v>#DIV/0!</v>
      </c>
      <c r="S2748" s="21" t="e">
        <f>Table1[[#This Row],[5. Lợi nhuận gộp về bán hàng và cung cấp dịch vụ]]/Table1[[#This Row],[TỔNG CỘNG TÀI SẢN]]</f>
        <v>#DIV/0!</v>
      </c>
      <c r="T274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748" s="23" t="e">
        <f>Table1[[#This Row],[1. Doanh thu bán hàng và cung cấp dịch vụ ]]/Table1[[#This Row],[TỔNG CỘNG TÀI SẢN]]</f>
        <v>#DIV/0!</v>
      </c>
      <c r="V2748" s="23" t="e">
        <f>1.2*Table1[[#This Row],[X1]] + 1.4*Table1[[#This Row],[X2]] + 3.3*Table1[[#This Row],[x3]] + 0.6*Table1[[#This Row],[x4]] + 1*Table1[[#This Row],[x5]]</f>
        <v>#DIV/0!</v>
      </c>
      <c r="W2748" s="23" t="e">
        <f>IF(Table1[[#This Row],[Zscore]]&lt;1.81,1,0)</f>
        <v>#DIV/0!</v>
      </c>
    </row>
    <row r="2749" spans="1:23" x14ac:dyDescent="0.45">
      <c r="A2749" s="7">
        <v>2743</v>
      </c>
      <c r="B2749" s="5" t="s">
        <v>5493</v>
      </c>
      <c r="C2749" s="6" t="s">
        <v>5494</v>
      </c>
      <c r="D2749" s="6" t="s">
        <v>21</v>
      </c>
      <c r="E2749" s="8">
        <v>522054038331</v>
      </c>
      <c r="F2749" s="8">
        <v>420359708473</v>
      </c>
      <c r="G2749" s="8">
        <v>152177060449</v>
      </c>
      <c r="H2749" s="8">
        <v>47601714226</v>
      </c>
      <c r="I2749" s="8">
        <v>96264115395</v>
      </c>
      <c r="J2749" s="8"/>
      <c r="K2749" s="8">
        <v>192543002949</v>
      </c>
      <c r="L2749" s="8">
        <v>1398038932181</v>
      </c>
      <c r="M2749" s="8">
        <v>270083301700</v>
      </c>
      <c r="N2749" s="8">
        <v>294122129600</v>
      </c>
      <c r="O2749" s="8">
        <v>285637837400</v>
      </c>
      <c r="P2749" s="8">
        <v>318160957500</v>
      </c>
      <c r="Q2749" s="18">
        <f>(Table1[[#This Row],[A. TÀI SẢN NGẮN HẠN]]-Table1[[#This Row],[I. Nợ ngắn hạn]])/Table1[[#This Row],[TỔNG CỘNG TÀI SẢN]]</f>
        <v>0.5137066823223444</v>
      </c>
      <c r="R2749" s="18">
        <f>Table1[[#This Row],[- LNST chưa phân phối kỳ này]]/Table1[[#This Row],[TỔNG CỘNG TÀI SẢN]]</f>
        <v>9.1181584148227385E-2</v>
      </c>
      <c r="S2749" s="21">
        <f>Table1[[#This Row],[5. Lợi nhuận gộp về bán hàng và cung cấp dịch vụ]]/Table1[[#This Row],[TỔNG CỘNG TÀI SẢN]]</f>
        <v>0.18439492528925766</v>
      </c>
      <c r="T274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1.5165498204437169</v>
      </c>
      <c r="U2749" s="23">
        <f>Table1[[#This Row],[1. Doanh thu bán hàng và cung cấp dịch vụ ]]/Table1[[#This Row],[TỔNG CỘNG TÀI SẢN]]</f>
        <v>2.6779582754507798</v>
      </c>
      <c r="V2749" s="23">
        <f>1.2*Table1[[#This Row],[X1]] + 1.4*Table1[[#This Row],[X2]] + 3.3*Table1[[#This Row],[x3]] + 0.6*Table1[[#This Row],[x4]] + 1*Table1[[#This Row],[x5]]</f>
        <v>4.9404936577658916</v>
      </c>
      <c r="W2749" s="23">
        <f>IF(Table1[[#This Row],[Zscore]]&lt;1.81,1,0)</f>
        <v>0</v>
      </c>
    </row>
    <row r="2750" spans="1:23" x14ac:dyDescent="0.45">
      <c r="A2750" s="7">
        <v>2744</v>
      </c>
      <c r="B2750" s="5" t="s">
        <v>5495</v>
      </c>
      <c r="C2750" s="6" t="s">
        <v>5496</v>
      </c>
      <c r="D2750" s="6" t="s">
        <v>21</v>
      </c>
      <c r="E2750" s="8">
        <v>53312370717301</v>
      </c>
      <c r="F2750" s="8">
        <v>36261180908033</v>
      </c>
      <c r="G2750" s="8">
        <v>18520286019795</v>
      </c>
      <c r="H2750" s="8">
        <v>3192171539085</v>
      </c>
      <c r="I2750" s="8">
        <v>26209474194531</v>
      </c>
      <c r="J2750" s="8"/>
      <c r="K2750" s="8">
        <v>18829355431194</v>
      </c>
      <c r="L2750" s="8">
        <v>63723520008574</v>
      </c>
      <c r="M2750" s="8">
        <v>126651299967000</v>
      </c>
      <c r="N2750" s="8">
        <v>127905273234000</v>
      </c>
      <c r="O2750" s="8">
        <v>121217415810000</v>
      </c>
      <c r="P2750" s="8">
        <v>125397326700000</v>
      </c>
      <c r="Q2750" s="18">
        <f>(Table1[[#This Row],[A. TÀI SẢN NGẮN HẠN]]-Table1[[#This Row],[I. Nợ ngắn hạn]])/Table1[[#This Row],[TỔNG CỘNG TÀI SẢN]]</f>
        <v>0.33277257509917302</v>
      </c>
      <c r="R2750" s="18">
        <f>Table1[[#This Row],[- LNST chưa phân phối kỳ này]]/Table1[[#This Row],[TỔNG CỘNG TÀI SẢN]]</f>
        <v>5.9876750857921844E-2</v>
      </c>
      <c r="S2750" s="21">
        <f>Table1[[#This Row],[5. Lợi nhuận gộp về bán hàng và cung cấp dịch vụ]]/Table1[[#This Row],[TỔNG CỘNG TÀI SẢN]]</f>
        <v>0.49162087226455803</v>
      </c>
      <c r="T275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6.6541220375595715</v>
      </c>
      <c r="U2750" s="23">
        <f>Table1[[#This Row],[1. Doanh thu bán hàng và cung cấp dịch vụ ]]/Table1[[#This Row],[TỔNG CỘNG TÀI SẢN]]</f>
        <v>1.1952858061120579</v>
      </c>
      <c r="V2750" s="23">
        <f>1.2*Table1[[#This Row],[X1]] + 1.4*Table1[[#This Row],[X2]] + 3.3*Table1[[#This Row],[x3]] + 0.6*Table1[[#This Row],[x4]] + 1*Table1[[#This Row],[x5]]</f>
        <v>7.2932624484409407</v>
      </c>
      <c r="W2750" s="23">
        <f>IF(Table1[[#This Row],[Zscore]]&lt;1.81,1,0)</f>
        <v>0</v>
      </c>
    </row>
    <row r="2751" spans="1:23" hidden="1" x14ac:dyDescent="0.45">
      <c r="A2751" s="7">
        <v>2745</v>
      </c>
      <c r="B2751" s="5" t="s">
        <v>5497</v>
      </c>
      <c r="C2751" s="6" t="s">
        <v>5498</v>
      </c>
      <c r="D2751" s="6" t="s">
        <v>13</v>
      </c>
      <c r="E2751" s="6"/>
      <c r="F2751" s="6"/>
      <c r="G2751" s="6"/>
      <c r="H2751" s="6"/>
      <c r="I2751" s="6"/>
      <c r="J2751" s="8"/>
      <c r="K2751" s="6"/>
      <c r="L2751" s="6"/>
      <c r="M2751" s="8"/>
      <c r="N2751" s="8"/>
      <c r="O2751" s="8"/>
      <c r="P2751" s="8"/>
      <c r="Q2751" s="18" t="e">
        <f>(Table1[[#This Row],[A. TÀI SẢN NGẮN HẠN]]-Table1[[#This Row],[I. Nợ ngắn hạn]])/Table1[[#This Row],[TỔNG CỘNG TÀI SẢN]]</f>
        <v>#DIV/0!</v>
      </c>
      <c r="R2751" s="18" t="e">
        <f>Table1[[#This Row],[- LNST chưa phân phối kỳ này]]/Table1[[#This Row],[TỔNG CỘNG TÀI SẢN]]</f>
        <v>#DIV/0!</v>
      </c>
      <c r="S2751" s="21" t="e">
        <f>Table1[[#This Row],[5. Lợi nhuận gộp về bán hàng và cung cấp dịch vụ]]/Table1[[#This Row],[TỔNG CỘNG TÀI SẢN]]</f>
        <v>#DIV/0!</v>
      </c>
      <c r="T275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751" s="23" t="e">
        <f>Table1[[#This Row],[1. Doanh thu bán hàng và cung cấp dịch vụ ]]/Table1[[#This Row],[TỔNG CỘNG TÀI SẢN]]</f>
        <v>#DIV/0!</v>
      </c>
      <c r="V2751" s="23" t="e">
        <f>1.2*Table1[[#This Row],[X1]] + 1.4*Table1[[#This Row],[X2]] + 3.3*Table1[[#This Row],[x3]] + 0.6*Table1[[#This Row],[x4]] + 1*Table1[[#This Row],[x5]]</f>
        <v>#DIV/0!</v>
      </c>
      <c r="W2751" s="23" t="e">
        <f>IF(Table1[[#This Row],[Zscore]]&lt;1.81,1,0)</f>
        <v>#DIV/0!</v>
      </c>
    </row>
    <row r="2752" spans="1:23" x14ac:dyDescent="0.45">
      <c r="A2752" s="7">
        <v>2746</v>
      </c>
      <c r="B2752" s="5" t="s">
        <v>5499</v>
      </c>
      <c r="C2752" s="6" t="s">
        <v>5500</v>
      </c>
      <c r="D2752" s="6" t="s">
        <v>18</v>
      </c>
      <c r="E2752" s="8">
        <v>301713439673</v>
      </c>
      <c r="F2752" s="8">
        <v>127807299302</v>
      </c>
      <c r="G2752" s="8">
        <v>25966264282</v>
      </c>
      <c r="H2752" s="6"/>
      <c r="I2752" s="8">
        <v>-1657015605</v>
      </c>
      <c r="J2752" s="8"/>
      <c r="K2752" s="8">
        <v>26666264282</v>
      </c>
      <c r="L2752" s="8">
        <v>42126177206</v>
      </c>
      <c r="M2752" s="8">
        <v>231204064700</v>
      </c>
      <c r="N2752" s="8">
        <v>411892955600</v>
      </c>
      <c r="O2752" s="8">
        <v>295319477600</v>
      </c>
      <c r="P2752" s="8">
        <v>240918521200</v>
      </c>
      <c r="Q2752" s="18">
        <f>(Table1[[#This Row],[A. TÀI SẢN NGẮN HẠN]]-Table1[[#This Row],[I. Nợ ngắn hạn]])/Table1[[#This Row],[TỔNG CỘNG TÀI SẢN]]</f>
        <v>0.33754225575889596</v>
      </c>
      <c r="R2752" s="18">
        <f>Table1[[#This Row],[- LNST chưa phân phối kỳ này]]/Table1[[#This Row],[TỔNG CỘNG TÀI SẢN]]</f>
        <v>0</v>
      </c>
      <c r="S2752" s="21">
        <f>Table1[[#This Row],[5. Lợi nhuận gộp về bán hàng và cung cấp dịch vụ]]/Table1[[#This Row],[TỔNG CỘNG TÀI SẢN]]</f>
        <v>-5.4920178789380075E-3</v>
      </c>
      <c r="T275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11.056432639273577</v>
      </c>
      <c r="U2752" s="23">
        <f>Table1[[#This Row],[1. Doanh thu bán hàng và cung cấp dịch vụ ]]/Table1[[#This Row],[TỔNG CỘNG TÀI SẢN]]</f>
        <v>0.13962313794061268</v>
      </c>
      <c r="V2752" s="23">
        <f>1.2*Table1[[#This Row],[X1]] + 1.4*Table1[[#This Row],[X2]] + 3.3*Table1[[#This Row],[x3]] + 0.6*Table1[[#This Row],[x4]] + 1*Table1[[#This Row],[x5]]</f>
        <v>7.1604097694149393</v>
      </c>
      <c r="W2752" s="23">
        <f>IF(Table1[[#This Row],[Zscore]]&lt;1.81,1,0)</f>
        <v>0</v>
      </c>
    </row>
    <row r="2753" spans="1:23" ht="26.25" hidden="1" x14ac:dyDescent="0.45">
      <c r="A2753" s="7">
        <v>2747</v>
      </c>
      <c r="B2753" s="5" t="s">
        <v>5501</v>
      </c>
      <c r="C2753" s="6" t="s">
        <v>5502</v>
      </c>
      <c r="D2753" s="6" t="s">
        <v>13</v>
      </c>
      <c r="E2753" s="6"/>
      <c r="F2753" s="6"/>
      <c r="G2753" s="6"/>
      <c r="H2753" s="6"/>
      <c r="I2753" s="6"/>
      <c r="J2753" s="8"/>
      <c r="K2753" s="6"/>
      <c r="L2753" s="6"/>
      <c r="M2753" s="8"/>
      <c r="N2753" s="8"/>
      <c r="O2753" s="8"/>
      <c r="P2753" s="8"/>
      <c r="Q2753" s="18" t="e">
        <f>(Table1[[#This Row],[A. TÀI SẢN NGẮN HẠN]]-Table1[[#This Row],[I. Nợ ngắn hạn]])/Table1[[#This Row],[TỔNG CỘNG TÀI SẢN]]</f>
        <v>#DIV/0!</v>
      </c>
      <c r="R2753" s="18" t="e">
        <f>Table1[[#This Row],[- LNST chưa phân phối kỳ này]]/Table1[[#This Row],[TỔNG CỘNG TÀI SẢN]]</f>
        <v>#DIV/0!</v>
      </c>
      <c r="S2753" s="21" t="e">
        <f>Table1[[#This Row],[5. Lợi nhuận gộp về bán hàng và cung cấp dịch vụ]]/Table1[[#This Row],[TỔNG CỘNG TÀI SẢN]]</f>
        <v>#DIV/0!</v>
      </c>
      <c r="T275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753" s="23" t="e">
        <f>Table1[[#This Row],[1. Doanh thu bán hàng và cung cấp dịch vụ ]]/Table1[[#This Row],[TỔNG CỘNG TÀI SẢN]]</f>
        <v>#DIV/0!</v>
      </c>
      <c r="V2753" s="23" t="e">
        <f>1.2*Table1[[#This Row],[X1]] + 1.4*Table1[[#This Row],[X2]] + 3.3*Table1[[#This Row],[x3]] + 0.6*Table1[[#This Row],[x4]] + 1*Table1[[#This Row],[x5]]</f>
        <v>#DIV/0!</v>
      </c>
      <c r="W2753" s="23" t="e">
        <f>IF(Table1[[#This Row],[Zscore]]&lt;1.81,1,0)</f>
        <v>#DIV/0!</v>
      </c>
    </row>
    <row r="2754" spans="1:23" ht="26.25" hidden="1" x14ac:dyDescent="0.45">
      <c r="A2754" s="7">
        <v>2748</v>
      </c>
      <c r="B2754" s="5" t="s">
        <v>5503</v>
      </c>
      <c r="C2754" s="6" t="s">
        <v>5504</v>
      </c>
      <c r="D2754" s="6" t="s">
        <v>13</v>
      </c>
      <c r="E2754" s="6"/>
      <c r="F2754" s="6"/>
      <c r="G2754" s="6"/>
      <c r="H2754" s="6"/>
      <c r="I2754" s="6"/>
      <c r="J2754" s="8"/>
      <c r="K2754" s="6"/>
      <c r="L2754" s="6"/>
      <c r="M2754" s="8"/>
      <c r="N2754" s="8"/>
      <c r="O2754" s="8"/>
      <c r="P2754" s="8"/>
      <c r="Q2754" s="18" t="e">
        <f>(Table1[[#This Row],[A. TÀI SẢN NGẮN HẠN]]-Table1[[#This Row],[I. Nợ ngắn hạn]])/Table1[[#This Row],[TỔNG CỘNG TÀI SẢN]]</f>
        <v>#DIV/0!</v>
      </c>
      <c r="R2754" s="18" t="e">
        <f>Table1[[#This Row],[- LNST chưa phân phối kỳ này]]/Table1[[#This Row],[TỔNG CỘNG TÀI SẢN]]</f>
        <v>#DIV/0!</v>
      </c>
      <c r="S2754" s="21" t="e">
        <f>Table1[[#This Row],[5. Lợi nhuận gộp về bán hàng và cung cấp dịch vụ]]/Table1[[#This Row],[TỔNG CỘNG TÀI SẢN]]</f>
        <v>#DIV/0!</v>
      </c>
      <c r="T275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754" s="23" t="e">
        <f>Table1[[#This Row],[1. Doanh thu bán hàng và cung cấp dịch vụ ]]/Table1[[#This Row],[TỔNG CỘNG TÀI SẢN]]</f>
        <v>#DIV/0!</v>
      </c>
      <c r="V2754" s="23" t="e">
        <f>1.2*Table1[[#This Row],[X1]] + 1.4*Table1[[#This Row],[X2]] + 3.3*Table1[[#This Row],[x3]] + 0.6*Table1[[#This Row],[x4]] + 1*Table1[[#This Row],[x5]]</f>
        <v>#DIV/0!</v>
      </c>
      <c r="W2754" s="23" t="e">
        <f>IF(Table1[[#This Row],[Zscore]]&lt;1.81,1,0)</f>
        <v>#DIV/0!</v>
      </c>
    </row>
    <row r="2755" spans="1:23" ht="26.25" x14ac:dyDescent="0.45">
      <c r="A2755" s="7">
        <v>2749</v>
      </c>
      <c r="B2755" s="5" t="s">
        <v>5505</v>
      </c>
      <c r="C2755" s="6" t="s">
        <v>5506</v>
      </c>
      <c r="D2755" s="6" t="s">
        <v>36</v>
      </c>
      <c r="E2755" s="8">
        <v>9615743456431</v>
      </c>
      <c r="F2755" s="8">
        <v>6778884270276</v>
      </c>
      <c r="G2755" s="8">
        <v>5424594633847</v>
      </c>
      <c r="H2755" s="8">
        <v>407346733087</v>
      </c>
      <c r="I2755" s="8">
        <v>175697282036</v>
      </c>
      <c r="J2755" s="8"/>
      <c r="K2755" s="8">
        <v>5426076170517</v>
      </c>
      <c r="L2755" s="8">
        <v>3410066352773</v>
      </c>
      <c r="M2755" s="8">
        <v>4395634065500</v>
      </c>
      <c r="N2755" s="8">
        <v>4072794034400</v>
      </c>
      <c r="O2755" s="8">
        <v>3903177137000</v>
      </c>
      <c r="P2755" s="8">
        <v>3720785682000</v>
      </c>
      <c r="Q2755" s="18">
        <f>(Table1[[#This Row],[A. TÀI SẢN NGẮN HẠN]]-Table1[[#This Row],[I. Nợ ngắn hạn]])/Table1[[#This Row],[TỔNG CỘNG TÀI SẢN]]</f>
        <v>0.14084086608230509</v>
      </c>
      <c r="R2755" s="18">
        <f>Table1[[#This Row],[- LNST chưa phân phối kỳ này]]/Table1[[#This Row],[TỔNG CỘNG TÀI SẢN]]</f>
        <v>4.2362479295822611E-2</v>
      </c>
      <c r="S2755" s="21">
        <f>Table1[[#This Row],[5. Lợi nhuận gộp về bán hàng và cung cấp dịch vụ]]/Table1[[#This Row],[TỔNG CỘNG TÀI SẢN]]</f>
        <v>1.827183543655107E-2</v>
      </c>
      <c r="T275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0.74143775415185087</v>
      </c>
      <c r="U2755" s="23">
        <f>Table1[[#This Row],[1. Doanh thu bán hàng và cung cấp dịch vụ ]]/Table1[[#This Row],[TỔNG CỘNG TÀI SẢN]]</f>
        <v>0.35463366594835172</v>
      </c>
      <c r="V2755" s="23">
        <f>1.2*Table1[[#This Row],[X1]] + 1.4*Table1[[#This Row],[X2]] + 3.3*Table1[[#This Row],[x3]] + 0.6*Table1[[#This Row],[x4]] + 1*Table1[[#This Row],[x5]]</f>
        <v>1.0881098856929985</v>
      </c>
      <c r="W2755" s="23">
        <f>IF(Table1[[#This Row],[Zscore]]&lt;1.81,1,0)</f>
        <v>1</v>
      </c>
    </row>
    <row r="2756" spans="1:23" x14ac:dyDescent="0.45">
      <c r="A2756" s="7">
        <v>2750</v>
      </c>
      <c r="B2756" s="5" t="s">
        <v>5507</v>
      </c>
      <c r="C2756" s="6" t="s">
        <v>5508</v>
      </c>
      <c r="D2756" s="6" t="s">
        <v>21</v>
      </c>
      <c r="E2756" s="8">
        <v>1773640823993</v>
      </c>
      <c r="F2756" s="8">
        <v>345206453266</v>
      </c>
      <c r="G2756" s="8">
        <v>281045319125</v>
      </c>
      <c r="H2756" s="8">
        <v>37505110734</v>
      </c>
      <c r="I2756" s="8">
        <v>194545381205</v>
      </c>
      <c r="J2756" s="8"/>
      <c r="K2756" s="8">
        <v>654377535150</v>
      </c>
      <c r="L2756" s="8">
        <v>882662701999</v>
      </c>
      <c r="M2756" s="8">
        <v>705735596800</v>
      </c>
      <c r="N2756" s="8">
        <v>617518647200</v>
      </c>
      <c r="O2756" s="8">
        <v>646019507840</v>
      </c>
      <c r="P2756" s="8">
        <v>651448243200</v>
      </c>
      <c r="Q2756" s="18">
        <f>(Table1[[#This Row],[A. TÀI SẢN NGẮN HẠN]]-Table1[[#This Row],[I. Nợ ngắn hạn]])/Table1[[#This Row],[TỔNG CỘNG TÀI SẢN]]</f>
        <v>3.6174818076499811E-2</v>
      </c>
      <c r="R2756" s="18">
        <f>Table1[[#This Row],[- LNST chưa phân phối kỳ này]]/Table1[[#This Row],[TỔNG CỘNG TÀI SẢN]]</f>
        <v>2.1145831910637181E-2</v>
      </c>
      <c r="S2756" s="21">
        <f>Table1[[#This Row],[5. Lợi nhuận gộp về bán hàng và cung cấp dịch vụ]]/Table1[[#This Row],[TỔNG CỘNG TÀI SẢN]]</f>
        <v>0.10968702263348885</v>
      </c>
      <c r="T275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1.0012270647552348</v>
      </c>
      <c r="U2756" s="23">
        <f>Table1[[#This Row],[1. Doanh thu bán hàng và cung cấp dịch vụ ]]/Table1[[#This Row],[TỔNG CỘNG TÀI SẢN]]</f>
        <v>0.49765583316460898</v>
      </c>
      <c r="V2756" s="23">
        <f>1.2*Table1[[#This Row],[X1]] + 1.4*Table1[[#This Row],[X2]] + 3.3*Table1[[#This Row],[x3]] + 0.6*Table1[[#This Row],[x4]] + 1*Table1[[#This Row],[x5]]</f>
        <v>1.533373193074955</v>
      </c>
      <c r="W2756" s="23">
        <f>IF(Table1[[#This Row],[Zscore]]&lt;1.81,1,0)</f>
        <v>1</v>
      </c>
    </row>
    <row r="2757" spans="1:23" hidden="1" x14ac:dyDescent="0.45">
      <c r="A2757" s="7">
        <v>2751</v>
      </c>
      <c r="B2757" s="5" t="s">
        <v>5509</v>
      </c>
      <c r="C2757" s="6" t="s">
        <v>5510</v>
      </c>
      <c r="D2757" s="6" t="s">
        <v>13</v>
      </c>
      <c r="E2757" s="8">
        <v>437171376211</v>
      </c>
      <c r="F2757" s="8">
        <v>395242892373</v>
      </c>
      <c r="G2757" s="8">
        <v>154689775082</v>
      </c>
      <c r="H2757" s="8">
        <v>-454322895</v>
      </c>
      <c r="I2757" s="8">
        <v>36427286509</v>
      </c>
      <c r="J2757" s="8"/>
      <c r="K2757" s="8">
        <v>154689775082</v>
      </c>
      <c r="L2757" s="8">
        <v>65091567382</v>
      </c>
      <c r="M2757" s="8"/>
      <c r="N2757" s="8"/>
      <c r="O2757" s="8"/>
      <c r="P2757" s="8"/>
      <c r="Q2757" s="18">
        <f>(Table1[[#This Row],[A. TÀI SẢN NGẮN HẠN]]-Table1[[#This Row],[I. Nợ ngắn hạn]])/Table1[[#This Row],[TỔNG CỘNG TÀI SẢN]]</f>
        <v>0.55024901075613297</v>
      </c>
      <c r="R2757" s="18">
        <f>Table1[[#This Row],[- LNST chưa phân phối kỳ này]]/Table1[[#This Row],[TỔNG CỘNG TÀI SẢN]]</f>
        <v>-1.0392329409524787E-3</v>
      </c>
      <c r="S2757" s="21">
        <f>Table1[[#This Row],[5. Lợi nhuận gộp về bán hàng và cung cấp dịch vụ]]/Table1[[#This Row],[TỔNG CỘNG TÀI SẢN]]</f>
        <v>8.3324957879718164E-2</v>
      </c>
      <c r="T275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757" s="23">
        <f>Table1[[#This Row],[1. Doanh thu bán hàng và cung cấp dịch vụ ]]/Table1[[#This Row],[TỔNG CỘNG TÀI SẢN]]</f>
        <v>0.14889256461883194</v>
      </c>
      <c r="V2757" s="23" t="e">
        <f>1.2*Table1[[#This Row],[X1]] + 1.4*Table1[[#This Row],[X2]] + 3.3*Table1[[#This Row],[x3]] + 0.6*Table1[[#This Row],[x4]] + 1*Table1[[#This Row],[x5]]</f>
        <v>#DIV/0!</v>
      </c>
      <c r="W2757" s="23" t="e">
        <f>IF(Table1[[#This Row],[Zscore]]&lt;1.81,1,0)</f>
        <v>#DIV/0!</v>
      </c>
    </row>
    <row r="2758" spans="1:23" ht="26.25" x14ac:dyDescent="0.45">
      <c r="A2758" s="7">
        <v>2752</v>
      </c>
      <c r="B2758" s="5" t="s">
        <v>5511</v>
      </c>
      <c r="C2758" s="6" t="s">
        <v>5512</v>
      </c>
      <c r="D2758" s="6" t="s">
        <v>36</v>
      </c>
      <c r="E2758" s="8">
        <v>699309452018</v>
      </c>
      <c r="F2758" s="8">
        <v>522926858366</v>
      </c>
      <c r="G2758" s="8">
        <v>461920486843</v>
      </c>
      <c r="H2758" s="8">
        <v>17722152023</v>
      </c>
      <c r="I2758" s="8">
        <v>73845918308</v>
      </c>
      <c r="J2758" s="8"/>
      <c r="K2758" s="8">
        <v>464796836843</v>
      </c>
      <c r="L2758" s="8">
        <v>1525101884405</v>
      </c>
      <c r="M2758" s="8">
        <v>520960236100</v>
      </c>
      <c r="N2758" s="8">
        <v>451055028700</v>
      </c>
      <c r="O2758" s="8">
        <v>406115966800</v>
      </c>
      <c r="P2758" s="8">
        <v>487672042100</v>
      </c>
      <c r="Q2758" s="18">
        <f>(Table1[[#This Row],[A. TÀI SẢN NGẮN HẠN]]-Table1[[#This Row],[I. Nợ ngắn hạn]])/Table1[[#This Row],[TỔNG CỘNG TÀI SẢN]]</f>
        <v>8.7238019373188327E-2</v>
      </c>
      <c r="R2758" s="18">
        <f>Table1[[#This Row],[- LNST chưa phân phối kỳ này]]/Table1[[#This Row],[TỔNG CỘNG TÀI SẢN]]</f>
        <v>2.5342360198134198E-2</v>
      </c>
      <c r="S2758" s="21">
        <f>Table1[[#This Row],[5. Lợi nhuận gộp về bán hàng và cung cấp dịch vụ]]/Table1[[#This Row],[TỔNG CỘNG TÀI SẢN]]</f>
        <v>0.10559834147086465</v>
      </c>
      <c r="T275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1.003558504384914</v>
      </c>
      <c r="U2758" s="23">
        <f>Table1[[#This Row],[1. Doanh thu bán hàng và cung cấp dịch vụ ]]/Table1[[#This Row],[TỔNG CỘNG TÀI SẢN]]</f>
        <v>2.1808683981090309</v>
      </c>
      <c r="V2758" s="23">
        <f>1.2*Table1[[#This Row],[X1]] + 1.4*Table1[[#This Row],[X2]] + 3.3*Table1[[#This Row],[x3]] + 0.6*Table1[[#This Row],[x4]] + 1*Table1[[#This Row],[x5]]</f>
        <v>3.2716429551190465</v>
      </c>
      <c r="W2758" s="23">
        <f>IF(Table1[[#This Row],[Zscore]]&lt;1.81,1,0)</f>
        <v>0</v>
      </c>
    </row>
    <row r="2759" spans="1:23" ht="26.25" hidden="1" x14ac:dyDescent="0.45">
      <c r="A2759" s="7">
        <v>2753</v>
      </c>
      <c r="B2759" s="5" t="s">
        <v>5513</v>
      </c>
      <c r="C2759" s="6" t="s">
        <v>5514</v>
      </c>
      <c r="D2759" s="6" t="s">
        <v>18</v>
      </c>
      <c r="E2759" s="8">
        <v>197739139713</v>
      </c>
      <c r="F2759" s="8">
        <v>192708900710</v>
      </c>
      <c r="G2759" s="8">
        <v>75309048457</v>
      </c>
      <c r="H2759" s="8">
        <v>56806997536</v>
      </c>
      <c r="I2759" s="8">
        <v>100690983683</v>
      </c>
      <c r="J2759" s="8"/>
      <c r="K2759" s="8">
        <v>75309048457</v>
      </c>
      <c r="L2759" s="8">
        <v>293826132852</v>
      </c>
      <c r="M2759" s="8"/>
      <c r="N2759" s="8"/>
      <c r="O2759" s="8"/>
      <c r="P2759" s="8"/>
      <c r="Q2759" s="18">
        <f>(Table1[[#This Row],[A. TÀI SẢN NGẮN HẠN]]-Table1[[#This Row],[I. Nợ ngắn hạn]])/Table1[[#This Row],[TỔNG CỘNG TÀI SẢN]]</f>
        <v>0.59371074650873357</v>
      </c>
      <c r="R2759" s="18">
        <f>Table1[[#This Row],[- LNST chưa phân phối kỳ này]]/Table1[[#This Row],[TỔNG CỘNG TÀI SẢN]]</f>
        <v>0.2872825158360155</v>
      </c>
      <c r="S2759" s="21">
        <f>Table1[[#This Row],[5. Lợi nhuận gộp về bán hàng và cung cấp dịch vụ]]/Table1[[#This Row],[TỔNG CỘNG TÀI SẢN]]</f>
        <v>0.50921119526029901</v>
      </c>
      <c r="T275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759" s="23">
        <f>Table1[[#This Row],[1. Doanh thu bán hàng và cung cấp dịch vụ ]]/Table1[[#This Row],[TỔNG CỘNG TÀI SẢN]]</f>
        <v>1.4859280427661481</v>
      </c>
      <c r="V2759" s="23" t="e">
        <f>1.2*Table1[[#This Row],[X1]] + 1.4*Table1[[#This Row],[X2]] + 3.3*Table1[[#This Row],[x3]] + 0.6*Table1[[#This Row],[x4]] + 1*Table1[[#This Row],[x5]]</f>
        <v>#DIV/0!</v>
      </c>
      <c r="W2759" s="23" t="e">
        <f>IF(Table1[[#This Row],[Zscore]]&lt;1.81,1,0)</f>
        <v>#DIV/0!</v>
      </c>
    </row>
    <row r="2760" spans="1:23" x14ac:dyDescent="0.45">
      <c r="A2760" s="7">
        <v>2754</v>
      </c>
      <c r="B2760" s="5" t="s">
        <v>5515</v>
      </c>
      <c r="C2760" s="6" t="s">
        <v>5516</v>
      </c>
      <c r="D2760" s="6" t="s">
        <v>18</v>
      </c>
      <c r="E2760" s="8">
        <v>163216165984</v>
      </c>
      <c r="F2760" s="8">
        <v>70423877477</v>
      </c>
      <c r="G2760" s="8">
        <v>41227975149</v>
      </c>
      <c r="H2760" s="8">
        <v>8254433775</v>
      </c>
      <c r="I2760" s="8">
        <v>28448812001</v>
      </c>
      <c r="J2760" s="8"/>
      <c r="K2760" s="8">
        <v>53566975149</v>
      </c>
      <c r="L2760" s="8">
        <v>116504435441</v>
      </c>
      <c r="M2760" s="8">
        <v>120249674400</v>
      </c>
      <c r="N2760" s="8">
        <v>90999753600</v>
      </c>
      <c r="O2760" s="8">
        <v>105624714000</v>
      </c>
      <c r="P2760" s="8">
        <v>99124731600</v>
      </c>
      <c r="Q2760" s="18">
        <f>(Table1[[#This Row],[A. TÀI SẢN NGẮN HẠN]]-Table1[[#This Row],[I. Nợ ngắn hạn]])/Table1[[#This Row],[TỔNG CỘNG TÀI SẢN]]</f>
        <v>0.17887874128143691</v>
      </c>
      <c r="R2760" s="18">
        <f>Table1[[#This Row],[- LNST chưa phân phối kỳ này]]/Table1[[#This Row],[TỔNG CỘNG TÀI SẢN]]</f>
        <v>5.0573628691959215E-2</v>
      </c>
      <c r="S2760" s="21">
        <f>Table1[[#This Row],[5. Lợi nhuận gộp về bán hàng và cung cấp dịch vụ]]/Table1[[#This Row],[TỔNG CỘNG TÀI SẢN]]</f>
        <v>0.17430143533569353</v>
      </c>
      <c r="T276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1.9414894738916668</v>
      </c>
      <c r="U2760" s="23">
        <f>Table1[[#This Row],[1. Doanh thu bán hàng và cung cấp dịch vụ ]]/Table1[[#This Row],[TỔNG CỘNG TÀI SẢN]]</f>
        <v>0.71380451034746684</v>
      </c>
      <c r="V2760" s="23">
        <f>1.2*Table1[[#This Row],[X1]] + 1.4*Table1[[#This Row],[X2]] + 3.3*Table1[[#This Row],[x3]] + 0.6*Table1[[#This Row],[x4]] + 1*Table1[[#This Row],[x5]]</f>
        <v>2.7393505009967223</v>
      </c>
      <c r="W2760" s="23">
        <f>IF(Table1[[#This Row],[Zscore]]&lt;1.81,1,0)</f>
        <v>0</v>
      </c>
    </row>
    <row r="2761" spans="1:23" x14ac:dyDescent="0.45">
      <c r="A2761" s="7">
        <v>2755</v>
      </c>
      <c r="B2761" s="5" t="s">
        <v>5517</v>
      </c>
      <c r="C2761" s="6" t="s">
        <v>5518</v>
      </c>
      <c r="D2761" s="6" t="s">
        <v>18</v>
      </c>
      <c r="E2761" s="8">
        <v>11438672538353</v>
      </c>
      <c r="F2761" s="8">
        <v>6644357465439</v>
      </c>
      <c r="G2761" s="8">
        <v>8027663502725</v>
      </c>
      <c r="H2761" s="8">
        <v>-168801021828</v>
      </c>
      <c r="I2761" s="8">
        <v>3979265635726</v>
      </c>
      <c r="J2761" s="8"/>
      <c r="K2761" s="8">
        <v>10458657803923</v>
      </c>
      <c r="L2761" s="8">
        <v>10890692677429</v>
      </c>
      <c r="M2761" s="8">
        <v>10316224000000</v>
      </c>
      <c r="N2761" s="8">
        <v>10749034786600</v>
      </c>
      <c r="O2761" s="8">
        <v>9767366400000</v>
      </c>
      <c r="P2761" s="8">
        <v>11692035652000</v>
      </c>
      <c r="Q2761" s="18">
        <f>(Table1[[#This Row],[A. TÀI SẢN NGẮN HẠN]]-Table1[[#This Row],[I. Nợ ngắn hạn]])/Table1[[#This Row],[TỔNG CỘNG TÀI SẢN]]</f>
        <v>-0.12093239251739045</v>
      </c>
      <c r="R2761" s="18">
        <f>Table1[[#This Row],[- LNST chưa phân phối kỳ này]]/Table1[[#This Row],[TỔNG CỘNG TÀI SẢN]]</f>
        <v>-1.4757046437165064E-2</v>
      </c>
      <c r="S2761" s="21">
        <f>Table1[[#This Row],[5. Lợi nhuận gộp về bán hàng và cung cấp dịch vụ]]/Table1[[#This Row],[TỔNG CỘNG TÀI SẢN]]</f>
        <v>0.34787827192218546</v>
      </c>
      <c r="T276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1.0164942202872622</v>
      </c>
      <c r="U2761" s="23">
        <f>Table1[[#This Row],[1. Doanh thu bán hàng và cung cấp dịch vụ ]]/Table1[[#This Row],[TỔNG CỘNG TÀI SẢN]]</f>
        <v>0.95209410365698777</v>
      </c>
      <c r="V2761" s="23">
        <f>1.2*Table1[[#This Row],[X1]] + 1.4*Table1[[#This Row],[X2]] + 3.3*Table1[[#This Row],[x3]] + 0.6*Table1[[#This Row],[x4]] + 1*Table1[[#This Row],[x5]]</f>
        <v>2.5442101971396571</v>
      </c>
      <c r="W2761" s="23">
        <f>IF(Table1[[#This Row],[Zscore]]&lt;1.81,1,0)</f>
        <v>0</v>
      </c>
    </row>
    <row r="2762" spans="1:23" ht="26.25" hidden="1" x14ac:dyDescent="0.45">
      <c r="A2762" s="7">
        <v>2756</v>
      </c>
      <c r="B2762" s="5" t="s">
        <v>5519</v>
      </c>
      <c r="C2762" s="6" t="s">
        <v>5520</v>
      </c>
      <c r="D2762" s="6" t="s">
        <v>13</v>
      </c>
      <c r="E2762" s="6"/>
      <c r="F2762" s="6"/>
      <c r="G2762" s="6"/>
      <c r="H2762" s="6"/>
      <c r="I2762" s="6"/>
      <c r="J2762" s="8"/>
      <c r="K2762" s="6"/>
      <c r="L2762" s="6"/>
      <c r="M2762" s="8">
        <v>1948800000000</v>
      </c>
      <c r="N2762" s="8"/>
      <c r="O2762" s="8">
        <v>1778280000000</v>
      </c>
      <c r="P2762" s="8">
        <v>1485960000000</v>
      </c>
      <c r="Q2762" s="18" t="e">
        <f>(Table1[[#This Row],[A. TÀI SẢN NGẮN HẠN]]-Table1[[#This Row],[I. Nợ ngắn hạn]])/Table1[[#This Row],[TỔNG CỘNG TÀI SẢN]]</f>
        <v>#DIV/0!</v>
      </c>
      <c r="R2762" s="18" t="e">
        <f>Table1[[#This Row],[- LNST chưa phân phối kỳ này]]/Table1[[#This Row],[TỔNG CỘNG TÀI SẢN]]</f>
        <v>#DIV/0!</v>
      </c>
      <c r="S2762" s="21" t="e">
        <f>Table1[[#This Row],[5. Lợi nhuận gộp về bán hàng và cung cấp dịch vụ]]/Table1[[#This Row],[TỔNG CỘNG TÀI SẢN]]</f>
        <v>#DIV/0!</v>
      </c>
      <c r="T276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762" s="23" t="e">
        <f>Table1[[#This Row],[1. Doanh thu bán hàng và cung cấp dịch vụ ]]/Table1[[#This Row],[TỔNG CỘNG TÀI SẢN]]</f>
        <v>#DIV/0!</v>
      </c>
      <c r="V2762" s="23" t="e">
        <f>1.2*Table1[[#This Row],[X1]] + 1.4*Table1[[#This Row],[X2]] + 3.3*Table1[[#This Row],[x3]] + 0.6*Table1[[#This Row],[x4]] + 1*Table1[[#This Row],[x5]]</f>
        <v>#DIV/0!</v>
      </c>
      <c r="W2762" s="23" t="e">
        <f>IF(Table1[[#This Row],[Zscore]]&lt;1.81,1,0)</f>
        <v>#DIV/0!</v>
      </c>
    </row>
    <row r="2763" spans="1:23" x14ac:dyDescent="0.45">
      <c r="A2763" s="7">
        <v>2757</v>
      </c>
      <c r="B2763" s="5" t="s">
        <v>5521</v>
      </c>
      <c r="C2763" s="6" t="s">
        <v>5522</v>
      </c>
      <c r="D2763" s="6" t="s">
        <v>21</v>
      </c>
      <c r="E2763" s="8">
        <v>3907346317234</v>
      </c>
      <c r="F2763" s="8">
        <v>1692028829960</v>
      </c>
      <c r="G2763" s="8">
        <v>677872312032</v>
      </c>
      <c r="H2763" s="8">
        <v>304742803209</v>
      </c>
      <c r="I2763" s="8">
        <v>191031345100</v>
      </c>
      <c r="J2763" s="8"/>
      <c r="K2763" s="8">
        <v>1791602874120</v>
      </c>
      <c r="L2763" s="8">
        <v>3104348961289</v>
      </c>
      <c r="M2763" s="8">
        <v>2065000000000</v>
      </c>
      <c r="N2763" s="8">
        <v>1729000000000</v>
      </c>
      <c r="O2763" s="8">
        <v>2044000000000</v>
      </c>
      <c r="P2763" s="8">
        <v>1904000000000</v>
      </c>
      <c r="Q2763" s="18">
        <f>(Table1[[#This Row],[A. TÀI SẢN NGẮN HẠN]]-Table1[[#This Row],[I. Nợ ngắn hạn]])/Table1[[#This Row],[TỔNG CỘNG TÀI SẢN]]</f>
        <v>0.2595512236667874</v>
      </c>
      <c r="R2763" s="18">
        <f>Table1[[#This Row],[- LNST chưa phân phối kỳ này]]/Table1[[#This Row],[TỔNG CỘNG TÀI SẢN]]</f>
        <v>7.7992268528868619E-2</v>
      </c>
      <c r="S2763" s="21">
        <f>Table1[[#This Row],[5. Lợi nhuận gộp về bán hàng và cung cấp dịch vụ]]/Table1[[#This Row],[TỔNG CỘNG TÀI SẢN]]</f>
        <v>4.8890302929490669E-2</v>
      </c>
      <c r="T276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1.0803175346270191</v>
      </c>
      <c r="U2763" s="23">
        <f>Table1[[#This Row],[1. Doanh thu bán hàng và cung cấp dịch vụ ]]/Table1[[#This Row],[TỔNG CỘNG TÀI SẢN]]</f>
        <v>0.79449035464216555</v>
      </c>
      <c r="V2763" s="23">
        <f>1.2*Table1[[#This Row],[X1]] + 1.4*Table1[[#This Row],[X2]] + 3.3*Table1[[#This Row],[x3]] + 0.6*Table1[[#This Row],[x4]] + 1*Table1[[#This Row],[x5]]</f>
        <v>2.0246695194262569</v>
      </c>
      <c r="W2763" s="23">
        <f>IF(Table1[[#This Row],[Zscore]]&lt;1.81,1,0)</f>
        <v>0</v>
      </c>
    </row>
    <row r="2764" spans="1:23" x14ac:dyDescent="0.45">
      <c r="A2764" s="7">
        <v>2758</v>
      </c>
      <c r="B2764" s="5" t="s">
        <v>5523</v>
      </c>
      <c r="C2764" s="6" t="s">
        <v>5524</v>
      </c>
      <c r="D2764" s="6" t="s">
        <v>18</v>
      </c>
      <c r="E2764" s="8">
        <v>252994096647</v>
      </c>
      <c r="F2764" s="8">
        <v>16694471351</v>
      </c>
      <c r="G2764" s="8">
        <v>25735853778</v>
      </c>
      <c r="H2764" s="8">
        <v>-32890210838</v>
      </c>
      <c r="I2764" s="8">
        <v>-3281138100</v>
      </c>
      <c r="J2764" s="8"/>
      <c r="K2764" s="8">
        <v>347130415625</v>
      </c>
      <c r="L2764" s="8">
        <v>126310292012</v>
      </c>
      <c r="M2764" s="8">
        <v>48243766400</v>
      </c>
      <c r="N2764" s="8">
        <v>31659971700</v>
      </c>
      <c r="O2764" s="8">
        <v>34675207100</v>
      </c>
      <c r="P2764" s="8">
        <v>37690442500</v>
      </c>
      <c r="Q2764" s="18">
        <f>(Table1[[#This Row],[A. TÀI SẢN NGẮN HẠN]]-Table1[[#This Row],[I. Nợ ngắn hạn]])/Table1[[#This Row],[TỔNG CỘNG TÀI SẢN]]</f>
        <v>-3.5737523313104598E-2</v>
      </c>
      <c r="R2764" s="18">
        <f>Table1[[#This Row],[- LNST chưa phân phối kỳ này]]/Table1[[#This Row],[TỔNG CỘNG TÀI SẢN]]</f>
        <v>-0.13000386678544268</v>
      </c>
      <c r="S2764" s="21">
        <f>Table1[[#This Row],[5. Lợi nhuận gộp về bán hàng và cung cấp dịch vụ]]/Table1[[#This Row],[TỔNG CỘNG TÀI SẢN]]</f>
        <v>-1.2969227912768801E-2</v>
      </c>
      <c r="T276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0.10966295435812115</v>
      </c>
      <c r="U2764" s="23">
        <f>Table1[[#This Row],[1. Doanh thu bán hàng và cung cấp dịch vụ ]]/Table1[[#This Row],[TỔNG CỘNG TÀI SẢN]]</f>
        <v>0.49926181553650806</v>
      </c>
      <c r="V2764" s="23">
        <f>1.2*Table1[[#This Row],[X1]] + 1.4*Table1[[#This Row],[X2]] + 3.3*Table1[[#This Row],[x3]] + 0.6*Table1[[#This Row],[x4]] + 1*Table1[[#This Row],[x5]]</f>
        <v>0.29737069456389842</v>
      </c>
      <c r="W2764" s="23">
        <f>IF(Table1[[#This Row],[Zscore]]&lt;1.81,1,0)</f>
        <v>1</v>
      </c>
    </row>
    <row r="2765" spans="1:23" ht="26.25" x14ac:dyDescent="0.45">
      <c r="A2765" s="7">
        <v>2759</v>
      </c>
      <c r="B2765" s="5" t="s">
        <v>5525</v>
      </c>
      <c r="C2765" s="6" t="s">
        <v>5526</v>
      </c>
      <c r="D2765" s="6" t="s">
        <v>21</v>
      </c>
      <c r="E2765" s="8">
        <v>1260149596000000</v>
      </c>
      <c r="F2765" s="6"/>
      <c r="G2765" s="6"/>
      <c r="H2765" s="6"/>
      <c r="I2765" s="6"/>
      <c r="J2765" s="8"/>
      <c r="K2765" s="8">
        <v>1079873967000000</v>
      </c>
      <c r="L2765" s="8">
        <v>101258954000000</v>
      </c>
      <c r="M2765" s="8">
        <v>150744548419000</v>
      </c>
      <c r="N2765" s="8">
        <v>227306911168650</v>
      </c>
      <c r="O2765" s="8">
        <v>146777586618500</v>
      </c>
      <c r="P2765" s="8">
        <v>246745023991100</v>
      </c>
      <c r="Q2765" s="18">
        <f>(Table1[[#This Row],[A. TÀI SẢN NGẮN HẠN]]-Table1[[#This Row],[I. Nợ ngắn hạn]])/Table1[[#This Row],[TỔNG CỘNG TÀI SẢN]]</f>
        <v>0</v>
      </c>
      <c r="R2765" s="18">
        <f>Table1[[#This Row],[- LNST chưa phân phối kỳ này]]/Table1[[#This Row],[TỔNG CỘNG TÀI SẢN]]</f>
        <v>0</v>
      </c>
      <c r="S2765" s="21">
        <f>Table1[[#This Row],[5. Lợi nhuận gộp về bán hàng và cung cấp dịch vụ]]/Table1[[#This Row],[TỔNG CỘNG TÀI SẢN]]</f>
        <v>0</v>
      </c>
      <c r="T276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0.17862595399460399</v>
      </c>
      <c r="U2765" s="23">
        <f>Table1[[#This Row],[1. Doanh thu bán hàng và cung cấp dịch vụ ]]/Table1[[#This Row],[TỔNG CỘNG TÀI SẢN]]</f>
        <v>8.0354708934097061E-2</v>
      </c>
      <c r="V2765" s="23">
        <f>1.2*Table1[[#This Row],[X1]] + 1.4*Table1[[#This Row],[X2]] + 3.3*Table1[[#This Row],[x3]] + 0.6*Table1[[#This Row],[x4]] + 1*Table1[[#This Row],[x5]]</f>
        <v>0.18753028133085944</v>
      </c>
      <c r="W2765" s="23">
        <f>IF(Table1[[#This Row],[Zscore]]&lt;1.81,1,0)</f>
        <v>1</v>
      </c>
    </row>
    <row r="2766" spans="1:23" ht="26.25" hidden="1" x14ac:dyDescent="0.45">
      <c r="A2766" s="7">
        <v>2760</v>
      </c>
      <c r="B2766" s="5" t="s">
        <v>5527</v>
      </c>
      <c r="C2766" s="6" t="s">
        <v>5528</v>
      </c>
      <c r="D2766" s="6" t="s">
        <v>18</v>
      </c>
      <c r="E2766" s="6"/>
      <c r="F2766" s="6"/>
      <c r="G2766" s="6"/>
      <c r="H2766" s="6"/>
      <c r="I2766" s="6"/>
      <c r="J2766" s="8"/>
      <c r="K2766" s="6"/>
      <c r="L2766" s="6"/>
      <c r="M2766" s="8"/>
      <c r="N2766" s="8"/>
      <c r="O2766" s="8"/>
      <c r="P2766" s="8"/>
      <c r="Q2766" s="18" t="e">
        <f>(Table1[[#This Row],[A. TÀI SẢN NGẮN HẠN]]-Table1[[#This Row],[I. Nợ ngắn hạn]])/Table1[[#This Row],[TỔNG CỘNG TÀI SẢN]]</f>
        <v>#DIV/0!</v>
      </c>
      <c r="R2766" s="18" t="e">
        <f>Table1[[#This Row],[- LNST chưa phân phối kỳ này]]/Table1[[#This Row],[TỔNG CỘNG TÀI SẢN]]</f>
        <v>#DIV/0!</v>
      </c>
      <c r="S2766" s="21" t="e">
        <f>Table1[[#This Row],[5. Lợi nhuận gộp về bán hàng và cung cấp dịch vụ]]/Table1[[#This Row],[TỔNG CỘNG TÀI SẢN]]</f>
        <v>#DIV/0!</v>
      </c>
      <c r="T276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766" s="23" t="e">
        <f>Table1[[#This Row],[1. Doanh thu bán hàng và cung cấp dịch vụ ]]/Table1[[#This Row],[TỔNG CỘNG TÀI SẢN]]</f>
        <v>#DIV/0!</v>
      </c>
      <c r="V2766" s="23" t="e">
        <f>1.2*Table1[[#This Row],[X1]] + 1.4*Table1[[#This Row],[X2]] + 3.3*Table1[[#This Row],[x3]] + 0.6*Table1[[#This Row],[x4]] + 1*Table1[[#This Row],[x5]]</f>
        <v>#DIV/0!</v>
      </c>
      <c r="W2766" s="23" t="e">
        <f>IF(Table1[[#This Row],[Zscore]]&lt;1.81,1,0)</f>
        <v>#DIV/0!</v>
      </c>
    </row>
    <row r="2767" spans="1:23" x14ac:dyDescent="0.45">
      <c r="A2767" s="7">
        <v>2761</v>
      </c>
      <c r="B2767" s="5" t="s">
        <v>5529</v>
      </c>
      <c r="C2767" s="6" t="s">
        <v>5530</v>
      </c>
      <c r="D2767" s="6" t="s">
        <v>21</v>
      </c>
      <c r="E2767" s="8">
        <v>1780695197148</v>
      </c>
      <c r="F2767" s="8">
        <v>501640246140</v>
      </c>
      <c r="G2767" s="8">
        <v>155614069560</v>
      </c>
      <c r="H2767" s="8">
        <v>262381150978</v>
      </c>
      <c r="I2767" s="8">
        <v>386976973218</v>
      </c>
      <c r="J2767" s="8"/>
      <c r="K2767" s="8">
        <v>156238521216</v>
      </c>
      <c r="L2767" s="8">
        <v>695890668724</v>
      </c>
      <c r="M2767" s="8">
        <v>2808636724150</v>
      </c>
      <c r="N2767" s="8">
        <v>2744682946750</v>
      </c>
      <c r="O2767" s="8">
        <v>2707376576600</v>
      </c>
      <c r="P2767" s="8">
        <v>2707376576600</v>
      </c>
      <c r="Q2767" s="18">
        <f>(Table1[[#This Row],[A. TÀI SẢN NGẮN HẠN]]-Table1[[#This Row],[I. Nợ ngắn hạn]])/Table1[[#This Row],[TỔNG CỘNG TÀI SẢN]]</f>
        <v>0.1943208344326435</v>
      </c>
      <c r="R2767" s="18">
        <f>Table1[[#This Row],[- LNST chưa phân phối kỳ này]]/Table1[[#This Row],[TỔNG CỘNG TÀI SẢN]]</f>
        <v>0.14734759289418836</v>
      </c>
      <c r="S2767" s="21">
        <f>Table1[[#This Row],[5. Lợi nhuận gộp về bán hàng và cung cấp dịch vụ]]/Table1[[#This Row],[TỔNG CỘNG TÀI SẢN]]</f>
        <v>0.21731791821407206</v>
      </c>
      <c r="T276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17.550205830700072</v>
      </c>
      <c r="U2767" s="23">
        <f>Table1[[#This Row],[1. Doanh thu bán hàng và cung cấp dịch vụ ]]/Table1[[#This Row],[TỔNG CỘNG TÀI SẢN]]</f>
        <v>0.39079718406527608</v>
      </c>
      <c r="V2767" s="23">
        <f>1.2*Table1[[#This Row],[X1]] + 1.4*Table1[[#This Row],[X2]] + 3.3*Table1[[#This Row],[x3]] + 0.6*Table1[[#This Row],[x4]] + 1*Table1[[#This Row],[x5]]</f>
        <v>12.077541443962792</v>
      </c>
      <c r="W2767" s="23">
        <f>IF(Table1[[#This Row],[Zscore]]&lt;1.81,1,0)</f>
        <v>0</v>
      </c>
    </row>
    <row r="2768" spans="1:23" ht="26.25" x14ac:dyDescent="0.45">
      <c r="A2768" s="7">
        <v>2762</v>
      </c>
      <c r="B2768" s="5" t="s">
        <v>5531</v>
      </c>
      <c r="C2768" s="6" t="s">
        <v>5532</v>
      </c>
      <c r="D2768" s="6" t="s">
        <v>21</v>
      </c>
      <c r="E2768" s="8">
        <v>3339676090861</v>
      </c>
      <c r="F2768" s="8">
        <v>3254483467829</v>
      </c>
      <c r="G2768" s="8">
        <v>2173931454523</v>
      </c>
      <c r="H2768" s="8">
        <v>-606810855076</v>
      </c>
      <c r="I2768" s="8">
        <v>-37497482014</v>
      </c>
      <c r="J2768" s="8"/>
      <c r="K2768" s="8">
        <v>2334919454523</v>
      </c>
      <c r="L2768" s="8">
        <v>12478159894937</v>
      </c>
      <c r="M2768" s="8">
        <v>1034464286700</v>
      </c>
      <c r="N2768" s="8">
        <v>443847070020</v>
      </c>
      <c r="O2768" s="8">
        <v>702905220450</v>
      </c>
      <c r="P2768" s="8">
        <v>768332876190</v>
      </c>
      <c r="Q2768" s="18">
        <f>(Table1[[#This Row],[A. TÀI SẢN NGẮN HẠN]]-Table1[[#This Row],[I. Nợ ngắn hạn]])/Table1[[#This Row],[TỔNG CỘNG TÀI SẢN]]</f>
        <v>0.32354994433829165</v>
      </c>
      <c r="R2768" s="18">
        <f>Table1[[#This Row],[- LNST chưa phân phối kỳ này]]/Table1[[#This Row],[TỔNG CỘNG TÀI SẢN]]</f>
        <v>-0.1816975175336715</v>
      </c>
      <c r="S2768" s="21">
        <f>Table1[[#This Row],[5. Lợi nhuận gộp về bán hàng và cung cấp dịch vụ]]/Table1[[#This Row],[TỔNG CỘNG TÀI SẢN]]</f>
        <v>-1.1227879888295633E-2</v>
      </c>
      <c r="T276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0.315808479779291</v>
      </c>
      <c r="U2768" s="23">
        <f>Table1[[#This Row],[1. Doanh thu bán hàng và cung cấp dịch vụ ]]/Table1[[#This Row],[TỔNG CỘNG TÀI SẢN]]</f>
        <v>3.7363383619996551</v>
      </c>
      <c r="V2768" s="23">
        <f>1.2*Table1[[#This Row],[X1]] + 1.4*Table1[[#This Row],[X2]] + 3.3*Table1[[#This Row],[x3]] + 0.6*Table1[[#This Row],[x4]] + 1*Table1[[#This Row],[x5]]</f>
        <v>4.0226548548946637</v>
      </c>
      <c r="W2768" s="23">
        <f>IF(Table1[[#This Row],[Zscore]]&lt;1.81,1,0)</f>
        <v>0</v>
      </c>
    </row>
    <row r="2769" spans="1:23" x14ac:dyDescent="0.45">
      <c r="A2769" s="7">
        <v>2763</v>
      </c>
      <c r="B2769" s="5" t="s">
        <v>5533</v>
      </c>
      <c r="C2769" s="6" t="s">
        <v>5534</v>
      </c>
      <c r="D2769" s="6" t="s">
        <v>21</v>
      </c>
      <c r="E2769" s="8">
        <v>1956432615754</v>
      </c>
      <c r="F2769" s="8">
        <v>1229554952602</v>
      </c>
      <c r="G2769" s="8">
        <v>927067093961</v>
      </c>
      <c r="H2769" s="8">
        <v>-19933719753</v>
      </c>
      <c r="I2769" s="8">
        <v>19466575383</v>
      </c>
      <c r="J2769" s="8"/>
      <c r="K2769" s="8">
        <v>928735555767</v>
      </c>
      <c r="L2769" s="8">
        <v>134647748303</v>
      </c>
      <c r="M2769" s="8">
        <v>587404048000</v>
      </c>
      <c r="N2769" s="8">
        <v>431970834000</v>
      </c>
      <c r="O2769" s="8">
        <v>492046248000</v>
      </c>
      <c r="P2769" s="8">
        <v>522560744000</v>
      </c>
      <c r="Q2769" s="18">
        <f>(Table1[[#This Row],[A. TÀI SẢN NGẮN HẠN]]-Table1[[#This Row],[I. Nợ ngắn hạn]])/Table1[[#This Row],[TỔNG CỘNG TÀI SẢN]]</f>
        <v>0.15461194840304918</v>
      </c>
      <c r="R2769" s="18">
        <f>Table1[[#This Row],[- LNST chưa phân phối kỳ này]]/Table1[[#This Row],[TỔNG CỘNG TÀI SẢN]]</f>
        <v>-1.0188809771665782E-2</v>
      </c>
      <c r="S2769" s="21">
        <f>Table1[[#This Row],[5. Lợi nhuận gộp về bán hàng và cung cấp dịch vụ]]/Table1[[#This Row],[TỔNG CỘNG TÀI SẢN]]</f>
        <v>9.9500362170652484E-3</v>
      </c>
      <c r="T276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0.54751373019207494</v>
      </c>
      <c r="U2769" s="23">
        <f>Table1[[#This Row],[1. Doanh thu bán hàng và cung cấp dịch vụ ]]/Table1[[#This Row],[TỔNG CỘNG TÀI SẢN]]</f>
        <v>6.8823095269809426E-2</v>
      </c>
      <c r="V2769" s="23">
        <f>1.2*Table1[[#This Row],[X1]] + 1.4*Table1[[#This Row],[X2]] + 3.3*Table1[[#This Row],[x3]] + 0.6*Table1[[#This Row],[x4]] + 1*Table1[[#This Row],[x5]]</f>
        <v>0.60143645730469664</v>
      </c>
      <c r="W2769" s="23">
        <f>IF(Table1[[#This Row],[Zscore]]&lt;1.81,1,0)</f>
        <v>1</v>
      </c>
    </row>
    <row r="2770" spans="1:23" ht="26.25" x14ac:dyDescent="0.45">
      <c r="A2770" s="7">
        <v>2764</v>
      </c>
      <c r="B2770" s="5" t="s">
        <v>5535</v>
      </c>
      <c r="C2770" s="6" t="s">
        <v>5536</v>
      </c>
      <c r="D2770" s="6" t="s">
        <v>21</v>
      </c>
      <c r="E2770" s="8">
        <v>14707613143868</v>
      </c>
      <c r="F2770" s="8">
        <v>8341425857271</v>
      </c>
      <c r="G2770" s="8">
        <v>3283500064479</v>
      </c>
      <c r="H2770" s="8">
        <v>392598796261</v>
      </c>
      <c r="I2770" s="8">
        <v>774749219844</v>
      </c>
      <c r="J2770" s="8"/>
      <c r="K2770" s="8">
        <v>9227648088844</v>
      </c>
      <c r="L2770" s="8">
        <v>2004104516635</v>
      </c>
      <c r="M2770" s="8">
        <v>18530870508300</v>
      </c>
      <c r="N2770" s="8">
        <v>18530870508300</v>
      </c>
      <c r="O2770" s="8">
        <v>17058642454100</v>
      </c>
      <c r="P2770" s="8">
        <v>18050796142800</v>
      </c>
      <c r="Q2770" s="18">
        <f>(Table1[[#This Row],[A. TÀI SẢN NGẮN HẠN]]-Table1[[#This Row],[I. Nợ ngắn hạn]])/Table1[[#This Row],[TỔNG CỘNG TÀI SẢN]]</f>
        <v>0.34389847919686312</v>
      </c>
      <c r="R2770" s="18">
        <f>Table1[[#This Row],[- LNST chưa phân phối kỳ này]]/Table1[[#This Row],[TỔNG CỘNG TÀI SẢN]]</f>
        <v>2.6693576477749892E-2</v>
      </c>
      <c r="S2770" s="21">
        <f>Table1[[#This Row],[5. Lợi nhuận gộp về bán hàng và cung cấp dịch vụ]]/Table1[[#This Row],[TỔNG CỘNG TÀI SẢN]]</f>
        <v>5.267674722373384E-2</v>
      </c>
      <c r="T277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1.9552972468887599</v>
      </c>
      <c r="U2770" s="23">
        <f>Table1[[#This Row],[1. Doanh thu bán hàng và cung cấp dịch vụ ]]/Table1[[#This Row],[TỔNG CỘNG TÀI SẢN]]</f>
        <v>0.13626306981500702</v>
      </c>
      <c r="V2770" s="23">
        <f>1.2*Table1[[#This Row],[X1]] + 1.4*Table1[[#This Row],[X2]] + 3.3*Table1[[#This Row],[x3]] + 0.6*Table1[[#This Row],[x4]] + 1*Table1[[#This Row],[x5]]</f>
        <v>1.93332386589167</v>
      </c>
      <c r="W2770" s="23">
        <f>IF(Table1[[#This Row],[Zscore]]&lt;1.81,1,0)</f>
        <v>0</v>
      </c>
    </row>
    <row r="2771" spans="1:23" ht="26.25" hidden="1" x14ac:dyDescent="0.45">
      <c r="A2771" s="7">
        <v>2765</v>
      </c>
      <c r="B2771" s="5" t="s">
        <v>5537</v>
      </c>
      <c r="C2771" s="6" t="s">
        <v>5538</v>
      </c>
      <c r="D2771" s="6" t="s">
        <v>13</v>
      </c>
      <c r="E2771" s="6"/>
      <c r="F2771" s="6"/>
      <c r="G2771" s="6"/>
      <c r="H2771" s="6"/>
      <c r="I2771" s="6"/>
      <c r="J2771" s="8"/>
      <c r="K2771" s="6"/>
      <c r="L2771" s="6"/>
      <c r="M2771" s="8"/>
      <c r="N2771" s="8"/>
      <c r="O2771" s="8"/>
      <c r="P2771" s="8"/>
      <c r="Q2771" s="18" t="e">
        <f>(Table1[[#This Row],[A. TÀI SẢN NGẮN HẠN]]-Table1[[#This Row],[I. Nợ ngắn hạn]])/Table1[[#This Row],[TỔNG CỘNG TÀI SẢN]]</f>
        <v>#DIV/0!</v>
      </c>
      <c r="R2771" s="18" t="e">
        <f>Table1[[#This Row],[- LNST chưa phân phối kỳ này]]/Table1[[#This Row],[TỔNG CỘNG TÀI SẢN]]</f>
        <v>#DIV/0!</v>
      </c>
      <c r="S2771" s="21" t="e">
        <f>Table1[[#This Row],[5. Lợi nhuận gộp về bán hàng và cung cấp dịch vụ]]/Table1[[#This Row],[TỔNG CỘNG TÀI SẢN]]</f>
        <v>#DIV/0!</v>
      </c>
      <c r="T277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771" s="23" t="e">
        <f>Table1[[#This Row],[1. Doanh thu bán hàng và cung cấp dịch vụ ]]/Table1[[#This Row],[TỔNG CỘNG TÀI SẢN]]</f>
        <v>#DIV/0!</v>
      </c>
      <c r="V2771" s="23" t="e">
        <f>1.2*Table1[[#This Row],[X1]] + 1.4*Table1[[#This Row],[X2]] + 3.3*Table1[[#This Row],[x3]] + 0.6*Table1[[#This Row],[x4]] + 1*Table1[[#This Row],[x5]]</f>
        <v>#DIV/0!</v>
      </c>
      <c r="W2771" s="23" t="e">
        <f>IF(Table1[[#This Row],[Zscore]]&lt;1.81,1,0)</f>
        <v>#DIV/0!</v>
      </c>
    </row>
    <row r="2772" spans="1:23" ht="26.25" hidden="1" x14ac:dyDescent="0.45">
      <c r="A2772" s="7">
        <v>2766</v>
      </c>
      <c r="B2772" s="5" t="s">
        <v>5539</v>
      </c>
      <c r="C2772" s="6" t="s">
        <v>5540</v>
      </c>
      <c r="D2772" s="6" t="s">
        <v>13</v>
      </c>
      <c r="E2772" s="6"/>
      <c r="F2772" s="6"/>
      <c r="G2772" s="6"/>
      <c r="H2772" s="6"/>
      <c r="I2772" s="6"/>
      <c r="J2772" s="8"/>
      <c r="K2772" s="6"/>
      <c r="L2772" s="6"/>
      <c r="M2772" s="8"/>
      <c r="N2772" s="8"/>
      <c r="O2772" s="8"/>
      <c r="P2772" s="8"/>
      <c r="Q2772" s="18" t="e">
        <f>(Table1[[#This Row],[A. TÀI SẢN NGẮN HẠN]]-Table1[[#This Row],[I. Nợ ngắn hạn]])/Table1[[#This Row],[TỔNG CỘNG TÀI SẢN]]</f>
        <v>#DIV/0!</v>
      </c>
      <c r="R2772" s="18" t="e">
        <f>Table1[[#This Row],[- LNST chưa phân phối kỳ này]]/Table1[[#This Row],[TỔNG CỘNG TÀI SẢN]]</f>
        <v>#DIV/0!</v>
      </c>
      <c r="S2772" s="21" t="e">
        <f>Table1[[#This Row],[5. Lợi nhuận gộp về bán hàng và cung cấp dịch vụ]]/Table1[[#This Row],[TỔNG CỘNG TÀI SẢN]]</f>
        <v>#DIV/0!</v>
      </c>
      <c r="T277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772" s="23" t="e">
        <f>Table1[[#This Row],[1. Doanh thu bán hàng và cung cấp dịch vụ ]]/Table1[[#This Row],[TỔNG CỘNG TÀI SẢN]]</f>
        <v>#DIV/0!</v>
      </c>
      <c r="V2772" s="23" t="e">
        <f>1.2*Table1[[#This Row],[X1]] + 1.4*Table1[[#This Row],[X2]] + 3.3*Table1[[#This Row],[x3]] + 0.6*Table1[[#This Row],[x4]] + 1*Table1[[#This Row],[x5]]</f>
        <v>#DIV/0!</v>
      </c>
      <c r="W2772" s="23" t="e">
        <f>IF(Table1[[#This Row],[Zscore]]&lt;1.81,1,0)</f>
        <v>#DIV/0!</v>
      </c>
    </row>
    <row r="2773" spans="1:23" x14ac:dyDescent="0.45">
      <c r="A2773" s="7">
        <v>2767</v>
      </c>
      <c r="B2773" s="5" t="s">
        <v>5541</v>
      </c>
      <c r="C2773" s="6" t="s">
        <v>5542</v>
      </c>
      <c r="D2773" s="6" t="s">
        <v>21</v>
      </c>
      <c r="E2773" s="8">
        <v>86845921000000</v>
      </c>
      <c r="F2773" s="8">
        <v>27738615000000</v>
      </c>
      <c r="G2773" s="8">
        <v>24927696000000</v>
      </c>
      <c r="H2773" s="8">
        <v>1101566000000</v>
      </c>
      <c r="I2773" s="8">
        <v>5394340000000</v>
      </c>
      <c r="J2773" s="8"/>
      <c r="K2773" s="8">
        <v>50248105000000</v>
      </c>
      <c r="L2773" s="8">
        <v>15556428000000</v>
      </c>
      <c r="M2773" s="8">
        <v>16542628364500</v>
      </c>
      <c r="N2773" s="8">
        <v>168928895513400</v>
      </c>
      <c r="O2773" s="8">
        <v>169646215664200</v>
      </c>
      <c r="P2773" s="8">
        <v>143822690235400</v>
      </c>
      <c r="Q2773" s="18">
        <f>(Table1[[#This Row],[A. TÀI SẢN NGẮN HẠN]]-Table1[[#This Row],[I. Nợ ngắn hạn]])/Table1[[#This Row],[TỔNG CỘNG TÀI SẢN]]</f>
        <v>3.2366736026669576E-2</v>
      </c>
      <c r="R2773" s="18">
        <f>Table1[[#This Row],[- LNST chưa phân phối kỳ này]]/Table1[[#This Row],[TỔNG CỘNG TÀI SẢN]]</f>
        <v>1.2684142068111639E-2</v>
      </c>
      <c r="S2773" s="21">
        <f>Table1[[#This Row],[5. Lợi nhuận gộp về bán hàng và cung cấp dịch vụ]]/Table1[[#This Row],[TỔNG CỘNG TÀI SẢN]]</f>
        <v>6.2113913214185384E-2</v>
      </c>
      <c r="T277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2.4823843097043161</v>
      </c>
      <c r="U2773" s="23">
        <f>Table1[[#This Row],[1. Doanh thu bán hàng và cung cấp dịch vụ ]]/Table1[[#This Row],[TỔNG CỘNG TÀI SẢN]]</f>
        <v>0.17912675484206103</v>
      </c>
      <c r="V2773" s="23">
        <f>1.2*Table1[[#This Row],[X1]] + 1.4*Table1[[#This Row],[X2]] + 3.3*Table1[[#This Row],[x3]] + 0.6*Table1[[#This Row],[x4]] + 1*Table1[[#This Row],[x5]]</f>
        <v>1.9301311363988221</v>
      </c>
      <c r="W2773" s="23">
        <f>IF(Table1[[#This Row],[Zscore]]&lt;1.81,1,0)</f>
        <v>0</v>
      </c>
    </row>
    <row r="2774" spans="1:23" hidden="1" x14ac:dyDescent="0.45">
      <c r="A2774" s="7">
        <v>2768</v>
      </c>
      <c r="B2774" s="5" t="s">
        <v>5543</v>
      </c>
      <c r="C2774" s="6" t="s">
        <v>5544</v>
      </c>
      <c r="D2774" s="6" t="s">
        <v>18</v>
      </c>
      <c r="E2774" s="8">
        <v>143068459664</v>
      </c>
      <c r="F2774" s="8">
        <v>15863385862</v>
      </c>
      <c r="G2774" s="8">
        <v>9347588788</v>
      </c>
      <c r="H2774" s="8">
        <v>9616897552</v>
      </c>
      <c r="I2774" s="8">
        <v>18661521800</v>
      </c>
      <c r="J2774" s="8"/>
      <c r="K2774" s="8">
        <v>14116355876</v>
      </c>
      <c r="L2774" s="8">
        <v>44594914428</v>
      </c>
      <c r="M2774" s="8"/>
      <c r="N2774" s="8"/>
      <c r="O2774" s="8"/>
      <c r="P2774" s="8"/>
      <c r="Q2774" s="18">
        <f>(Table1[[#This Row],[A. TÀI SẢN NGẮN HẠN]]-Table1[[#This Row],[I. Nợ ngắn hạn]])/Table1[[#This Row],[TỔNG CỘNG TÀI SẢN]]</f>
        <v>4.5543211196251911E-2</v>
      </c>
      <c r="R2774" s="18">
        <f>Table1[[#This Row],[- LNST chưa phân phối kỳ này]]/Table1[[#This Row],[TỔNG CỘNG TÀI SẢN]]</f>
        <v>6.7218851552505246E-2</v>
      </c>
      <c r="S2774" s="21">
        <f>Table1[[#This Row],[5. Lợi nhuận gộp về bán hàng và cung cấp dịch vụ]]/Table1[[#This Row],[TỔNG CỘNG TÀI SẢN]]</f>
        <v>0.13043770684207456</v>
      </c>
      <c r="T277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774" s="23">
        <f>Table1[[#This Row],[1. Doanh thu bán hàng và cung cấp dịch vụ ]]/Table1[[#This Row],[TỔNG CỘNG TÀI SẢN]]</f>
        <v>0.3117033239382902</v>
      </c>
      <c r="V2774" s="23" t="e">
        <f>1.2*Table1[[#This Row],[X1]] + 1.4*Table1[[#This Row],[X2]] + 3.3*Table1[[#This Row],[x3]] + 0.6*Table1[[#This Row],[x4]] + 1*Table1[[#This Row],[x5]]</f>
        <v>#DIV/0!</v>
      </c>
      <c r="W2774" s="23" t="e">
        <f>IF(Table1[[#This Row],[Zscore]]&lt;1.81,1,0)</f>
        <v>#DIV/0!</v>
      </c>
    </row>
    <row r="2775" spans="1:23" x14ac:dyDescent="0.45">
      <c r="A2775" s="7">
        <v>2769</v>
      </c>
      <c r="B2775" s="5" t="s">
        <v>5545</v>
      </c>
      <c r="C2775" s="6" t="s">
        <v>5546</v>
      </c>
      <c r="D2775" s="6" t="s">
        <v>21</v>
      </c>
      <c r="E2775" s="8">
        <v>542787408209</v>
      </c>
      <c r="F2775" s="8">
        <v>452848063341</v>
      </c>
      <c r="G2775" s="8">
        <v>186522727383</v>
      </c>
      <c r="H2775" s="8">
        <v>24395731525</v>
      </c>
      <c r="I2775" s="8">
        <v>170303163907</v>
      </c>
      <c r="J2775" s="8"/>
      <c r="K2775" s="8">
        <v>190782496593</v>
      </c>
      <c r="L2775" s="8">
        <v>658950746910</v>
      </c>
      <c r="M2775" s="8">
        <v>237025074480</v>
      </c>
      <c r="N2775" s="8">
        <v>233845171520</v>
      </c>
      <c r="O2775" s="8">
        <v>222593207200</v>
      </c>
      <c r="P2775" s="8">
        <v>269068712000</v>
      </c>
      <c r="Q2775" s="18">
        <f>(Table1[[#This Row],[A. TÀI SẢN NGẮN HẠN]]-Table1[[#This Row],[I. Nợ ngắn hạn]])/Table1[[#This Row],[TỔNG CỘNG TÀI SẢN]]</f>
        <v>0.49066233285841365</v>
      </c>
      <c r="R2775" s="18">
        <f>Table1[[#This Row],[- LNST chưa phân phối kỳ này]]/Table1[[#This Row],[TỔNG CỘNG TÀI SẢN]]</f>
        <v>4.4945279046721062E-2</v>
      </c>
      <c r="S2775" s="21">
        <f>Table1[[#This Row],[5. Lợi nhuận gộp về bán hàng và cung cấp dịch vụ]]/Table1[[#This Row],[TỔNG CỘNG TÀI SẢN]]</f>
        <v>0.31375665929491287</v>
      </c>
      <c r="T277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1.2612951690916758</v>
      </c>
      <c r="U2775" s="23">
        <f>Table1[[#This Row],[1. Doanh thu bán hàng và cung cấp dịch vụ ]]/Table1[[#This Row],[TỔNG CỘNG TÀI SẢN]]</f>
        <v>1.2140125893566627</v>
      </c>
      <c r="V2775" s="23">
        <f>1.2*Table1[[#This Row],[X1]] + 1.4*Table1[[#This Row],[X2]] + 3.3*Table1[[#This Row],[x3]] + 0.6*Table1[[#This Row],[x4]] + 1*Table1[[#This Row],[x5]]</f>
        <v>3.6579048565803864</v>
      </c>
      <c r="W2775" s="23">
        <f>IF(Table1[[#This Row],[Zscore]]&lt;1.81,1,0)</f>
        <v>0</v>
      </c>
    </row>
    <row r="2776" spans="1:23" ht="26.25" hidden="1" x14ac:dyDescent="0.45">
      <c r="A2776" s="7">
        <v>2770</v>
      </c>
      <c r="B2776" s="5" t="s">
        <v>5547</v>
      </c>
      <c r="C2776" s="6" t="s">
        <v>5548</v>
      </c>
      <c r="D2776" s="6" t="s">
        <v>18</v>
      </c>
      <c r="E2776" s="6"/>
      <c r="F2776" s="6"/>
      <c r="G2776" s="6"/>
      <c r="H2776" s="6"/>
      <c r="I2776" s="6"/>
      <c r="J2776" s="8"/>
      <c r="K2776" s="6"/>
      <c r="L2776" s="6"/>
      <c r="M2776" s="8"/>
      <c r="N2776" s="8"/>
      <c r="O2776" s="8"/>
      <c r="P2776" s="8"/>
      <c r="Q2776" s="18" t="e">
        <f>(Table1[[#This Row],[A. TÀI SẢN NGẮN HẠN]]-Table1[[#This Row],[I. Nợ ngắn hạn]])/Table1[[#This Row],[TỔNG CỘNG TÀI SẢN]]</f>
        <v>#DIV/0!</v>
      </c>
      <c r="R2776" s="18" t="e">
        <f>Table1[[#This Row],[- LNST chưa phân phối kỳ này]]/Table1[[#This Row],[TỔNG CỘNG TÀI SẢN]]</f>
        <v>#DIV/0!</v>
      </c>
      <c r="S2776" s="21" t="e">
        <f>Table1[[#This Row],[5. Lợi nhuận gộp về bán hàng và cung cấp dịch vụ]]/Table1[[#This Row],[TỔNG CỘNG TÀI SẢN]]</f>
        <v>#DIV/0!</v>
      </c>
      <c r="T277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776" s="23" t="e">
        <f>Table1[[#This Row],[1. Doanh thu bán hàng và cung cấp dịch vụ ]]/Table1[[#This Row],[TỔNG CỘNG TÀI SẢN]]</f>
        <v>#DIV/0!</v>
      </c>
      <c r="V2776" s="23" t="e">
        <f>1.2*Table1[[#This Row],[X1]] + 1.4*Table1[[#This Row],[X2]] + 3.3*Table1[[#This Row],[x3]] + 0.6*Table1[[#This Row],[x4]] + 1*Table1[[#This Row],[x5]]</f>
        <v>#DIV/0!</v>
      </c>
      <c r="W2776" s="23" t="e">
        <f>IF(Table1[[#This Row],[Zscore]]&lt;1.81,1,0)</f>
        <v>#DIV/0!</v>
      </c>
    </row>
    <row r="2777" spans="1:23" x14ac:dyDescent="0.45">
      <c r="A2777" s="7">
        <v>2771</v>
      </c>
      <c r="B2777" s="5" t="s">
        <v>5549</v>
      </c>
      <c r="C2777" s="6" t="s">
        <v>5550</v>
      </c>
      <c r="D2777" s="6" t="s">
        <v>21</v>
      </c>
      <c r="E2777" s="8">
        <v>73017077466072</v>
      </c>
      <c r="F2777" s="8">
        <v>72714372656156</v>
      </c>
      <c r="G2777" s="8">
        <v>39040640712354</v>
      </c>
      <c r="H2777" s="8">
        <v>477394775676</v>
      </c>
      <c r="I2777" s="8">
        <v>6311165827968</v>
      </c>
      <c r="J2777" s="8"/>
      <c r="K2777" s="8">
        <v>39186035271450</v>
      </c>
      <c r="L2777" s="8">
        <v>7910042926321</v>
      </c>
      <c r="M2777" s="8"/>
      <c r="N2777" s="8">
        <v>55875000000000</v>
      </c>
      <c r="O2777" s="8"/>
      <c r="P2777" s="8"/>
      <c r="Q2777" s="18">
        <f>(Table1[[#This Row],[A. TÀI SẢN NGẮN HẠN]]-Table1[[#This Row],[I. Nợ ngắn hạn]])/Table1[[#This Row],[TỔNG CỘNG TÀI SẢN]]</f>
        <v>0.46117611266280528</v>
      </c>
      <c r="R2777" s="18">
        <f>Table1[[#This Row],[- LNST chưa phân phối kỳ này]]/Table1[[#This Row],[TỔNG CỘNG TÀI SẢN]]</f>
        <v>6.5381249461514742E-3</v>
      </c>
      <c r="S2777" s="21">
        <f>Table1[[#This Row],[5. Lợi nhuận gộp về bán hàng và cung cấp dịch vụ]]/Table1[[#This Row],[TỔNG CỘNG TÀI SẢN]]</f>
        <v>8.6434106197971788E-2</v>
      </c>
      <c r="T277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1.425890616719502</v>
      </c>
      <c r="U2777" s="23">
        <f>Table1[[#This Row],[1. Doanh thu bán hàng và cung cấp dịch vụ ]]/Table1[[#This Row],[TỔNG CỘNG TÀI SẢN]]</f>
        <v>0.10833140959382369</v>
      </c>
      <c r="V2777" s="23">
        <f>1.2*Table1[[#This Row],[X1]] + 1.4*Table1[[#This Row],[X2]] + 3.3*Table1[[#This Row],[x3]] + 0.6*Table1[[#This Row],[x4]] + 1*Table1[[#This Row],[x5]]</f>
        <v>1.8116630401988101</v>
      </c>
      <c r="W2777" s="23">
        <f>IF(Table1[[#This Row],[Zscore]]&lt;1.81,1,0)</f>
        <v>0</v>
      </c>
    </row>
    <row r="2778" spans="1:23" hidden="1" x14ac:dyDescent="0.45">
      <c r="A2778" s="7">
        <v>2772</v>
      </c>
      <c r="B2778" s="5" t="s">
        <v>5551</v>
      </c>
      <c r="C2778" s="6" t="s">
        <v>5552</v>
      </c>
      <c r="D2778" s="6" t="s">
        <v>18</v>
      </c>
      <c r="E2778" s="6"/>
      <c r="F2778" s="6"/>
      <c r="G2778" s="6"/>
      <c r="H2778" s="6"/>
      <c r="I2778" s="6"/>
      <c r="J2778" s="8"/>
      <c r="K2778" s="6"/>
      <c r="L2778" s="6"/>
      <c r="M2778" s="8"/>
      <c r="N2778" s="8"/>
      <c r="O2778" s="8"/>
      <c r="P2778" s="8"/>
      <c r="Q2778" s="18" t="e">
        <f>(Table1[[#This Row],[A. TÀI SẢN NGẮN HẠN]]-Table1[[#This Row],[I. Nợ ngắn hạn]])/Table1[[#This Row],[TỔNG CỘNG TÀI SẢN]]</f>
        <v>#DIV/0!</v>
      </c>
      <c r="R2778" s="18" t="e">
        <f>Table1[[#This Row],[- LNST chưa phân phối kỳ này]]/Table1[[#This Row],[TỔNG CỘNG TÀI SẢN]]</f>
        <v>#DIV/0!</v>
      </c>
      <c r="S2778" s="21" t="e">
        <f>Table1[[#This Row],[5. Lợi nhuận gộp về bán hàng và cung cấp dịch vụ]]/Table1[[#This Row],[TỔNG CỘNG TÀI SẢN]]</f>
        <v>#DIV/0!</v>
      </c>
      <c r="T277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778" s="23" t="e">
        <f>Table1[[#This Row],[1. Doanh thu bán hàng và cung cấp dịch vụ ]]/Table1[[#This Row],[TỔNG CỘNG TÀI SẢN]]</f>
        <v>#DIV/0!</v>
      </c>
      <c r="V2778" s="23" t="e">
        <f>1.2*Table1[[#This Row],[X1]] + 1.4*Table1[[#This Row],[X2]] + 3.3*Table1[[#This Row],[x3]] + 0.6*Table1[[#This Row],[x4]] + 1*Table1[[#This Row],[x5]]</f>
        <v>#DIV/0!</v>
      </c>
      <c r="W2778" s="23" t="e">
        <f>IF(Table1[[#This Row],[Zscore]]&lt;1.81,1,0)</f>
        <v>#DIV/0!</v>
      </c>
    </row>
    <row r="2779" spans="1:23" hidden="1" x14ac:dyDescent="0.45">
      <c r="A2779" s="7">
        <v>2773</v>
      </c>
      <c r="B2779" s="5" t="s">
        <v>5553</v>
      </c>
      <c r="C2779" s="6" t="s">
        <v>5554</v>
      </c>
      <c r="D2779" s="6" t="s">
        <v>13</v>
      </c>
      <c r="E2779" s="6"/>
      <c r="F2779" s="6"/>
      <c r="G2779" s="6"/>
      <c r="H2779" s="6"/>
      <c r="I2779" s="6"/>
      <c r="J2779" s="8"/>
      <c r="K2779" s="6"/>
      <c r="L2779" s="6"/>
      <c r="M2779" s="8"/>
      <c r="N2779" s="8"/>
      <c r="O2779" s="8"/>
      <c r="P2779" s="8"/>
      <c r="Q2779" s="18" t="e">
        <f>(Table1[[#This Row],[A. TÀI SẢN NGẮN HẠN]]-Table1[[#This Row],[I. Nợ ngắn hạn]])/Table1[[#This Row],[TỔNG CỘNG TÀI SẢN]]</f>
        <v>#DIV/0!</v>
      </c>
      <c r="R2779" s="18" t="e">
        <f>Table1[[#This Row],[- LNST chưa phân phối kỳ này]]/Table1[[#This Row],[TỔNG CỘNG TÀI SẢN]]</f>
        <v>#DIV/0!</v>
      </c>
      <c r="S2779" s="21" t="e">
        <f>Table1[[#This Row],[5. Lợi nhuận gộp về bán hàng và cung cấp dịch vụ]]/Table1[[#This Row],[TỔNG CỘNG TÀI SẢN]]</f>
        <v>#DIV/0!</v>
      </c>
      <c r="T277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779" s="23" t="e">
        <f>Table1[[#This Row],[1. Doanh thu bán hàng và cung cấp dịch vụ ]]/Table1[[#This Row],[TỔNG CỘNG TÀI SẢN]]</f>
        <v>#DIV/0!</v>
      </c>
      <c r="V2779" s="23" t="e">
        <f>1.2*Table1[[#This Row],[X1]] + 1.4*Table1[[#This Row],[X2]] + 3.3*Table1[[#This Row],[x3]] + 0.6*Table1[[#This Row],[x4]] + 1*Table1[[#This Row],[x5]]</f>
        <v>#DIV/0!</v>
      </c>
      <c r="W2779" s="23" t="e">
        <f>IF(Table1[[#This Row],[Zscore]]&lt;1.81,1,0)</f>
        <v>#DIV/0!</v>
      </c>
    </row>
    <row r="2780" spans="1:23" ht="26.25" x14ac:dyDescent="0.45">
      <c r="A2780" s="7">
        <v>2774</v>
      </c>
      <c r="B2780" s="5" t="s">
        <v>5555</v>
      </c>
      <c r="C2780" s="6" t="s">
        <v>5556</v>
      </c>
      <c r="D2780" s="6" t="s">
        <v>21</v>
      </c>
      <c r="E2780" s="8">
        <v>1745869777855</v>
      </c>
      <c r="F2780" s="8">
        <v>1256675408495</v>
      </c>
      <c r="G2780" s="8">
        <v>372182521032</v>
      </c>
      <c r="H2780" s="8">
        <v>741281062</v>
      </c>
      <c r="I2780" s="8">
        <v>5872764084</v>
      </c>
      <c r="J2780" s="8"/>
      <c r="K2780" s="8">
        <v>472202521032</v>
      </c>
      <c r="L2780" s="8">
        <v>7071218248</v>
      </c>
      <c r="M2780" s="8">
        <v>702500000000</v>
      </c>
      <c r="N2780" s="8">
        <v>750000000000</v>
      </c>
      <c r="O2780" s="8">
        <v>630000000000</v>
      </c>
      <c r="P2780" s="8">
        <v>697500000000</v>
      </c>
      <c r="Q2780" s="18">
        <f>(Table1[[#This Row],[A. TÀI SẢN NGẮN HẠN]]-Table1[[#This Row],[I. Nợ ngắn hạn]])/Table1[[#This Row],[TỔNG CỘNG TÀI SẢN]]</f>
        <v>0.50662019509250011</v>
      </c>
      <c r="R2780" s="18">
        <f>Table1[[#This Row],[- LNST chưa phân phối kỳ này]]/Table1[[#This Row],[TỔNG CỘNG TÀI SẢN]]</f>
        <v>4.2459126757480632E-4</v>
      </c>
      <c r="S2780" s="21">
        <f>Table1[[#This Row],[5. Lợi nhuận gộp về bán hàng và cung cấp dịch vụ]]/Table1[[#This Row],[TỔNG CỘNG TÀI SẢN]]</f>
        <v>3.3638041957604419E-3</v>
      </c>
      <c r="T278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1.4718261107142661</v>
      </c>
      <c r="U2780" s="23">
        <f>Table1[[#This Row],[1. Doanh thu bán hàng và cung cấp dịch vụ ]]/Table1[[#This Row],[TỔNG CỘNG TÀI SẢN]]</f>
        <v>4.0502552582631895E-3</v>
      </c>
      <c r="V2780" s="23">
        <f>1.2*Table1[[#This Row],[X1]] + 1.4*Table1[[#This Row],[X2]] + 3.3*Table1[[#This Row],[x3]] + 0.6*Table1[[#This Row],[x4]] + 1*Table1[[#This Row],[x5]]</f>
        <v>1.5067851374184371</v>
      </c>
      <c r="W2780" s="23">
        <f>IF(Table1[[#This Row],[Zscore]]&lt;1.81,1,0)</f>
        <v>1</v>
      </c>
    </row>
    <row r="2781" spans="1:23" x14ac:dyDescent="0.45">
      <c r="A2781" s="7">
        <v>2775</v>
      </c>
      <c r="B2781" s="5" t="s">
        <v>5557</v>
      </c>
      <c r="C2781" s="6" t="s">
        <v>5558</v>
      </c>
      <c r="D2781" s="6" t="s">
        <v>21</v>
      </c>
      <c r="E2781" s="8">
        <v>61279149000000</v>
      </c>
      <c r="F2781" s="8">
        <v>7961052000000</v>
      </c>
      <c r="G2781" s="8">
        <v>5173857000000</v>
      </c>
      <c r="H2781" s="8">
        <v>6445924000000</v>
      </c>
      <c r="I2781" s="8">
        <v>4732043000000</v>
      </c>
      <c r="J2781" s="8"/>
      <c r="K2781" s="8">
        <v>12910946000000</v>
      </c>
      <c r="L2781" s="8">
        <v>8837380000000</v>
      </c>
      <c r="M2781" s="8">
        <v>43514897551500</v>
      </c>
      <c r="N2781" s="8">
        <v>76463514496500</v>
      </c>
      <c r="O2781" s="8">
        <v>56012648806500</v>
      </c>
      <c r="P2781" s="8">
        <v>72941420961000</v>
      </c>
      <c r="Q2781" s="18">
        <f>(Table1[[#This Row],[A. TÀI SẢN NGẮN HẠN]]-Table1[[#This Row],[I. Nợ ngắn hạn]])/Table1[[#This Row],[TỔNG CỘNG TÀI SẢN]]</f>
        <v>4.5483578761839526E-2</v>
      </c>
      <c r="R2781" s="18">
        <f>Table1[[#This Row],[- LNST chưa phân phối kỳ này]]/Table1[[#This Row],[TỔNG CỘNG TÀI SẢN]]</f>
        <v>0.10518951560505516</v>
      </c>
      <c r="S2781" s="21">
        <f>Table1[[#This Row],[5. Lợi nhuận gộp về bán hàng và cung cấp dịch vụ]]/Table1[[#This Row],[TỔNG CỘNG TÀI SẢN]]</f>
        <v>7.7221095221149366E-2</v>
      </c>
      <c r="T278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4.8201828474749258</v>
      </c>
      <c r="U2781" s="23">
        <f>Table1[[#This Row],[1. Doanh thu bán hàng và cung cấp dịch vụ ]]/Table1[[#This Row],[TỔNG CỘNG TÀI SẢN]]</f>
        <v>0.14421512283076907</v>
      </c>
      <c r="V2781" s="23">
        <f>1.2*Table1[[#This Row],[X1]] + 1.4*Table1[[#This Row],[X2]] + 3.3*Table1[[#This Row],[x3]] + 0.6*Table1[[#This Row],[x4]] + 1*Table1[[#This Row],[x5]]</f>
        <v>3.4930000619068018</v>
      </c>
      <c r="W2781" s="23">
        <f>IF(Table1[[#This Row],[Zscore]]&lt;1.81,1,0)</f>
        <v>0</v>
      </c>
    </row>
    <row r="2782" spans="1:23" ht="26.25" x14ac:dyDescent="0.45">
      <c r="A2782" s="7">
        <v>2776</v>
      </c>
      <c r="B2782" s="5" t="s">
        <v>5559</v>
      </c>
      <c r="C2782" s="6" t="s">
        <v>5560</v>
      </c>
      <c r="D2782" s="6" t="s">
        <v>18</v>
      </c>
      <c r="E2782" s="8">
        <v>940103439705</v>
      </c>
      <c r="F2782" s="8">
        <v>333416543852</v>
      </c>
      <c r="G2782" s="8">
        <v>61906383722</v>
      </c>
      <c r="H2782" s="8">
        <v>35994769768</v>
      </c>
      <c r="I2782" s="8">
        <v>82830851731</v>
      </c>
      <c r="J2782" s="8"/>
      <c r="K2782" s="8">
        <v>589969650715</v>
      </c>
      <c r="L2782" s="8">
        <v>133948388040</v>
      </c>
      <c r="M2782" s="8">
        <v>626655805600</v>
      </c>
      <c r="N2782" s="8">
        <v>466107624000</v>
      </c>
      <c r="O2782" s="8">
        <v>660319134000</v>
      </c>
      <c r="P2782" s="8">
        <v>473876084400</v>
      </c>
      <c r="Q2782" s="18">
        <f>(Table1[[#This Row],[A. TÀI SẢN NGẮN HẠN]]-Table1[[#This Row],[I. Nợ ngắn hạn]])/Table1[[#This Row],[TỔNG CỘNG TÀI SẢN]]</f>
        <v>0.28880881471426018</v>
      </c>
      <c r="R2782" s="18">
        <f>Table1[[#This Row],[- LNST chưa phân phối kỳ này]]/Table1[[#This Row],[TỔNG CỘNG TÀI SẢN]]</f>
        <v>3.8288094956119921E-2</v>
      </c>
      <c r="S2782" s="21">
        <f>Table1[[#This Row],[5. Lợi nhuận gộp về bán hàng và cung cấp dịch vụ]]/Table1[[#This Row],[TỔNG CỘNG TÀI SẢN]]</f>
        <v>8.8108231746276688E-2</v>
      </c>
      <c r="T278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0.94367508790540722</v>
      </c>
      <c r="U2782" s="23">
        <f>Table1[[#This Row],[1. Doanh thu bán hàng và cung cấp dịch vụ ]]/Table1[[#This Row],[TỔNG CỘNG TÀI SẢN]]</f>
        <v>0.14248260604389701</v>
      </c>
      <c r="V2782" s="23">
        <f>1.2*Table1[[#This Row],[X1]] + 1.4*Table1[[#This Row],[X2]] + 3.3*Table1[[#This Row],[x3]] + 0.6*Table1[[#This Row],[x4]] + 1*Table1[[#This Row],[x5]]</f>
        <v>1.3996187341455344</v>
      </c>
      <c r="W2782" s="23">
        <f>IF(Table1[[#This Row],[Zscore]]&lt;1.81,1,0)</f>
        <v>1</v>
      </c>
    </row>
    <row r="2783" spans="1:23" hidden="1" x14ac:dyDescent="0.45">
      <c r="A2783" s="7">
        <v>2777</v>
      </c>
      <c r="B2783" s="5" t="s">
        <v>5561</v>
      </c>
      <c r="C2783" s="6" t="s">
        <v>5562</v>
      </c>
      <c r="D2783" s="6" t="s">
        <v>13</v>
      </c>
      <c r="E2783" s="6"/>
      <c r="F2783" s="6"/>
      <c r="G2783" s="6"/>
      <c r="H2783" s="6"/>
      <c r="I2783" s="6"/>
      <c r="J2783" s="8"/>
      <c r="K2783" s="6"/>
      <c r="L2783" s="6"/>
      <c r="M2783" s="8"/>
      <c r="N2783" s="8"/>
      <c r="O2783" s="8"/>
      <c r="P2783" s="8"/>
      <c r="Q2783" s="18" t="e">
        <f>(Table1[[#This Row],[A. TÀI SẢN NGẮN HẠN]]-Table1[[#This Row],[I. Nợ ngắn hạn]])/Table1[[#This Row],[TỔNG CỘNG TÀI SẢN]]</f>
        <v>#DIV/0!</v>
      </c>
      <c r="R2783" s="18" t="e">
        <f>Table1[[#This Row],[- LNST chưa phân phối kỳ này]]/Table1[[#This Row],[TỔNG CỘNG TÀI SẢN]]</f>
        <v>#DIV/0!</v>
      </c>
      <c r="S2783" s="21" t="e">
        <f>Table1[[#This Row],[5. Lợi nhuận gộp về bán hàng và cung cấp dịch vụ]]/Table1[[#This Row],[TỔNG CỘNG TÀI SẢN]]</f>
        <v>#DIV/0!</v>
      </c>
      <c r="T278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783" s="23" t="e">
        <f>Table1[[#This Row],[1. Doanh thu bán hàng và cung cấp dịch vụ ]]/Table1[[#This Row],[TỔNG CỘNG TÀI SẢN]]</f>
        <v>#DIV/0!</v>
      </c>
      <c r="V2783" s="23" t="e">
        <f>1.2*Table1[[#This Row],[X1]] + 1.4*Table1[[#This Row],[X2]] + 3.3*Table1[[#This Row],[x3]] + 0.6*Table1[[#This Row],[x4]] + 1*Table1[[#This Row],[x5]]</f>
        <v>#DIV/0!</v>
      </c>
      <c r="W2783" s="23" t="e">
        <f>IF(Table1[[#This Row],[Zscore]]&lt;1.81,1,0)</f>
        <v>#DIV/0!</v>
      </c>
    </row>
    <row r="2784" spans="1:23" x14ac:dyDescent="0.45">
      <c r="A2784" s="7">
        <v>2778</v>
      </c>
      <c r="B2784" s="5" t="s">
        <v>5563</v>
      </c>
      <c r="C2784" s="6" t="s">
        <v>5564</v>
      </c>
      <c r="D2784" s="6" t="s">
        <v>36</v>
      </c>
      <c r="E2784" s="8">
        <v>640143907854</v>
      </c>
      <c r="F2784" s="8">
        <v>514566177826</v>
      </c>
      <c r="G2784" s="8">
        <v>298945180370</v>
      </c>
      <c r="H2784" s="8">
        <v>23735928303</v>
      </c>
      <c r="I2784" s="8">
        <v>96899529804</v>
      </c>
      <c r="J2784" s="8"/>
      <c r="K2784" s="8">
        <v>301262011121</v>
      </c>
      <c r="L2784" s="8">
        <v>1079615180211</v>
      </c>
      <c r="M2784" s="8">
        <v>332677069600</v>
      </c>
      <c r="N2784" s="8">
        <v>286158665800</v>
      </c>
      <c r="O2784" s="8">
        <v>328448123800</v>
      </c>
      <c r="P2784" s="8">
        <v>297435854600</v>
      </c>
      <c r="Q2784" s="18">
        <f>(Table1[[#This Row],[A. TÀI SẢN NGẮN HẠN]]-Table1[[#This Row],[I. Nợ ngắn hạn]])/Table1[[#This Row],[TỔNG CỘNG TÀI SẢN]]</f>
        <v>0.33683206980574354</v>
      </c>
      <c r="R2784" s="18">
        <f>Table1[[#This Row],[- LNST chưa phân phối kỳ này]]/Table1[[#This Row],[TỔNG CỘNG TÀI SẢN]]</f>
        <v>3.7079050525641401E-2</v>
      </c>
      <c r="S2784" s="21">
        <f>Table1[[#This Row],[5. Lợi nhuận gộp về bán hàng và cung cấp dịch vụ]]/Table1[[#This Row],[TỔNG CỘNG TÀI SẢN]]</f>
        <v>0.15137147853026234</v>
      </c>
      <c r="T278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1.0329212345496046</v>
      </c>
      <c r="U2784" s="23">
        <f>Table1[[#This Row],[1. Doanh thu bán hàng và cung cấp dịch vụ ]]/Table1[[#This Row],[TỔNG CỘNG TÀI SẢN]]</f>
        <v>1.6865194950152238</v>
      </c>
      <c r="V2784" s="23">
        <f>1.2*Table1[[#This Row],[X1]] + 1.4*Table1[[#This Row],[X2]] + 3.3*Table1[[#This Row],[x3]] + 0.6*Table1[[#This Row],[x4]] + 1*Table1[[#This Row],[x5]]</f>
        <v>3.2619072693976423</v>
      </c>
      <c r="W2784" s="23">
        <f>IF(Table1[[#This Row],[Zscore]]&lt;1.81,1,0)</f>
        <v>0</v>
      </c>
    </row>
    <row r="2785" spans="1:23" x14ac:dyDescent="0.45">
      <c r="A2785" s="7">
        <v>2779</v>
      </c>
      <c r="B2785" s="5" t="s">
        <v>5565</v>
      </c>
      <c r="C2785" s="6" t="s">
        <v>5566</v>
      </c>
      <c r="D2785" s="6" t="s">
        <v>21</v>
      </c>
      <c r="E2785" s="8">
        <v>12962909058393</v>
      </c>
      <c r="F2785" s="8">
        <v>4001843016254</v>
      </c>
      <c r="G2785" s="8">
        <v>3076018117789</v>
      </c>
      <c r="H2785" s="8">
        <v>954010976318</v>
      </c>
      <c r="I2785" s="8">
        <v>1140685339256</v>
      </c>
      <c r="J2785" s="8"/>
      <c r="K2785" s="8">
        <v>6576307949975</v>
      </c>
      <c r="L2785" s="8">
        <v>3205511845727</v>
      </c>
      <c r="M2785" s="8">
        <v>5286189455350</v>
      </c>
      <c r="N2785" s="8">
        <v>7468688721900</v>
      </c>
      <c r="O2785" s="8">
        <v>4806988144950</v>
      </c>
      <c r="P2785" s="8">
        <v>11043925679000</v>
      </c>
      <c r="Q2785" s="18">
        <f>(Table1[[#This Row],[A. TÀI SẢN NGẮN HẠN]]-Table1[[#This Row],[I. Nợ ngắn hạn]])/Table1[[#This Row],[TỔNG CỘNG TÀI SẢN]]</f>
        <v>7.1421074875593835E-2</v>
      </c>
      <c r="R2785" s="18">
        <f>Table1[[#This Row],[- LNST chưa phân phối kỳ này]]/Table1[[#This Row],[TỔNG CỘNG TÀI SẢN]]</f>
        <v>7.3595438494595738E-2</v>
      </c>
      <c r="S2785" s="21">
        <f>Table1[[#This Row],[5. Lợi nhuận gộp về bán hàng và cung cấp dịch vụ]]/Table1[[#This Row],[TỔNG CỘNG TÀI SẢN]]</f>
        <v>8.7996092089950198E-2</v>
      </c>
      <c r="T278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1.0874563744125132</v>
      </c>
      <c r="U2785" s="23">
        <f>Table1[[#This Row],[1. Doanh thu bán hàng và cung cấp dịch vụ ]]/Table1[[#This Row],[TỔNG CỘNG TÀI SẢN]]</f>
        <v>0.24728337067608683</v>
      </c>
      <c r="V2785" s="23">
        <f>1.2*Table1[[#This Row],[X1]] + 1.4*Table1[[#This Row],[X2]] + 3.3*Table1[[#This Row],[x3]] + 0.6*Table1[[#This Row],[x4]] + 1*Table1[[#This Row],[x5]]</f>
        <v>1.3788832029635769</v>
      </c>
      <c r="W2785" s="23">
        <f>IF(Table1[[#This Row],[Zscore]]&lt;1.81,1,0)</f>
        <v>1</v>
      </c>
    </row>
    <row r="2786" spans="1:23" ht="26.25" hidden="1" x14ac:dyDescent="0.45">
      <c r="A2786" s="7">
        <v>2780</v>
      </c>
      <c r="B2786" s="5" t="s">
        <v>5567</v>
      </c>
      <c r="C2786" s="6" t="s">
        <v>5568</v>
      </c>
      <c r="D2786" s="6" t="s">
        <v>18</v>
      </c>
      <c r="E2786" s="6"/>
      <c r="F2786" s="6"/>
      <c r="G2786" s="6"/>
      <c r="H2786" s="6"/>
      <c r="I2786" s="6"/>
      <c r="J2786" s="8"/>
      <c r="K2786" s="6"/>
      <c r="L2786" s="6"/>
      <c r="M2786" s="8"/>
      <c r="N2786" s="8"/>
      <c r="O2786" s="8"/>
      <c r="P2786" s="8"/>
      <c r="Q2786" s="18" t="e">
        <f>(Table1[[#This Row],[A. TÀI SẢN NGẮN HẠN]]-Table1[[#This Row],[I. Nợ ngắn hạn]])/Table1[[#This Row],[TỔNG CỘNG TÀI SẢN]]</f>
        <v>#DIV/0!</v>
      </c>
      <c r="R2786" s="18" t="e">
        <f>Table1[[#This Row],[- LNST chưa phân phối kỳ này]]/Table1[[#This Row],[TỔNG CỘNG TÀI SẢN]]</f>
        <v>#DIV/0!</v>
      </c>
      <c r="S2786" s="21" t="e">
        <f>Table1[[#This Row],[5. Lợi nhuận gộp về bán hàng và cung cấp dịch vụ]]/Table1[[#This Row],[TỔNG CỘNG TÀI SẢN]]</f>
        <v>#DIV/0!</v>
      </c>
      <c r="T278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786" s="23" t="e">
        <f>Table1[[#This Row],[1. Doanh thu bán hàng và cung cấp dịch vụ ]]/Table1[[#This Row],[TỔNG CỘNG TÀI SẢN]]</f>
        <v>#DIV/0!</v>
      </c>
      <c r="V2786" s="23" t="e">
        <f>1.2*Table1[[#This Row],[X1]] + 1.4*Table1[[#This Row],[X2]] + 3.3*Table1[[#This Row],[x3]] + 0.6*Table1[[#This Row],[x4]] + 1*Table1[[#This Row],[x5]]</f>
        <v>#DIV/0!</v>
      </c>
      <c r="W2786" s="23" t="e">
        <f>IF(Table1[[#This Row],[Zscore]]&lt;1.81,1,0)</f>
        <v>#DIV/0!</v>
      </c>
    </row>
    <row r="2787" spans="1:23" hidden="1" x14ac:dyDescent="0.45">
      <c r="A2787" s="7">
        <v>2781</v>
      </c>
      <c r="B2787" s="5" t="s">
        <v>5569</v>
      </c>
      <c r="C2787" s="6" t="s">
        <v>5570</v>
      </c>
      <c r="D2787" s="6" t="s">
        <v>13</v>
      </c>
      <c r="E2787" s="6"/>
      <c r="F2787" s="6"/>
      <c r="G2787" s="6"/>
      <c r="H2787" s="6"/>
      <c r="I2787" s="6"/>
      <c r="J2787" s="8"/>
      <c r="K2787" s="6"/>
      <c r="L2787" s="6"/>
      <c r="M2787" s="8"/>
      <c r="N2787" s="8"/>
      <c r="O2787" s="8"/>
      <c r="P2787" s="8"/>
      <c r="Q2787" s="18" t="e">
        <f>(Table1[[#This Row],[A. TÀI SẢN NGẮN HẠN]]-Table1[[#This Row],[I. Nợ ngắn hạn]])/Table1[[#This Row],[TỔNG CỘNG TÀI SẢN]]</f>
        <v>#DIV/0!</v>
      </c>
      <c r="R2787" s="18" t="e">
        <f>Table1[[#This Row],[- LNST chưa phân phối kỳ này]]/Table1[[#This Row],[TỔNG CỘNG TÀI SẢN]]</f>
        <v>#DIV/0!</v>
      </c>
      <c r="S2787" s="21" t="e">
        <f>Table1[[#This Row],[5. Lợi nhuận gộp về bán hàng và cung cấp dịch vụ]]/Table1[[#This Row],[TỔNG CỘNG TÀI SẢN]]</f>
        <v>#DIV/0!</v>
      </c>
      <c r="T278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787" s="23" t="e">
        <f>Table1[[#This Row],[1. Doanh thu bán hàng và cung cấp dịch vụ ]]/Table1[[#This Row],[TỔNG CỘNG TÀI SẢN]]</f>
        <v>#DIV/0!</v>
      </c>
      <c r="V2787" s="23" t="e">
        <f>1.2*Table1[[#This Row],[X1]] + 1.4*Table1[[#This Row],[X2]] + 3.3*Table1[[#This Row],[x3]] + 0.6*Table1[[#This Row],[x4]] + 1*Table1[[#This Row],[x5]]</f>
        <v>#DIV/0!</v>
      </c>
      <c r="W2787" s="23" t="e">
        <f>IF(Table1[[#This Row],[Zscore]]&lt;1.81,1,0)</f>
        <v>#DIV/0!</v>
      </c>
    </row>
    <row r="2788" spans="1:23" ht="26.25" x14ac:dyDescent="0.45">
      <c r="A2788" s="7">
        <v>2782</v>
      </c>
      <c r="B2788" s="5" t="s">
        <v>5571</v>
      </c>
      <c r="C2788" s="6" t="s">
        <v>5572</v>
      </c>
      <c r="D2788" s="6" t="s">
        <v>18</v>
      </c>
      <c r="E2788" s="8">
        <v>7029015916612</v>
      </c>
      <c r="F2788" s="8">
        <v>3648791928185</v>
      </c>
      <c r="G2788" s="8">
        <v>3161987004030</v>
      </c>
      <c r="H2788" s="8">
        <v>28514622989</v>
      </c>
      <c r="I2788" s="8">
        <v>1781610942440</v>
      </c>
      <c r="J2788" s="8"/>
      <c r="K2788" s="8">
        <v>4576539499673</v>
      </c>
      <c r="L2788" s="8">
        <v>17835354207998</v>
      </c>
      <c r="M2788" s="8">
        <v>17050000000000</v>
      </c>
      <c r="N2788" s="8">
        <v>12350000000000</v>
      </c>
      <c r="O2788" s="8">
        <v>13550000000000</v>
      </c>
      <c r="P2788" s="8">
        <v>13150000000000</v>
      </c>
      <c r="Q2788" s="18">
        <f>(Table1[[#This Row],[A. TÀI SẢN NGẮN HẠN]]-Table1[[#This Row],[I. Nợ ngắn hạn]])/Table1[[#This Row],[TỔNG CỘNG TÀI SẢN]]</f>
        <v>6.9256483401113275E-2</v>
      </c>
      <c r="R2788" s="18">
        <f>Table1[[#This Row],[- LNST chưa phân phối kỳ này]]/Table1[[#This Row],[TỔNG CỘNG TÀI SẢN]]</f>
        <v>4.0567020088274472E-3</v>
      </c>
      <c r="S2788" s="21">
        <f>Table1[[#This Row],[5. Lợi nhuận gộp về bán hàng và cung cấp dịch vụ]]/Table1[[#This Row],[TỔNG CỘNG TÀI SẢN]]</f>
        <v>0.25346520246588661</v>
      </c>
      <c r="T278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3.0645425437717964</v>
      </c>
      <c r="U2788" s="23">
        <f>Table1[[#This Row],[1. Doanh thu bán hàng và cung cấp dịch vụ ]]/Table1[[#This Row],[TỔNG CỘNG TÀI SẢN]]</f>
        <v>2.5373899304804359</v>
      </c>
      <c r="V2788" s="23">
        <f>1.2*Table1[[#This Row],[X1]] + 1.4*Table1[[#This Row],[X2]] + 3.3*Table1[[#This Row],[x3]] + 0.6*Table1[[#This Row],[x4]] + 1*Table1[[#This Row],[x5]]</f>
        <v>5.3013377877746333</v>
      </c>
      <c r="W2788" s="23">
        <f>IF(Table1[[#This Row],[Zscore]]&lt;1.81,1,0)</f>
        <v>0</v>
      </c>
    </row>
    <row r="2789" spans="1:23" hidden="1" x14ac:dyDescent="0.45">
      <c r="A2789" s="7">
        <v>2783</v>
      </c>
      <c r="B2789" s="5" t="s">
        <v>5573</v>
      </c>
      <c r="C2789" s="6" t="s">
        <v>5574</v>
      </c>
      <c r="D2789" s="6" t="s">
        <v>18</v>
      </c>
      <c r="E2789" s="6"/>
      <c r="F2789" s="6"/>
      <c r="G2789" s="6"/>
      <c r="H2789" s="6"/>
      <c r="I2789" s="6"/>
      <c r="J2789" s="8"/>
      <c r="K2789" s="6"/>
      <c r="L2789" s="6"/>
      <c r="M2789" s="8"/>
      <c r="N2789" s="8"/>
      <c r="O2789" s="8"/>
      <c r="P2789" s="8"/>
      <c r="Q2789" s="18" t="e">
        <f>(Table1[[#This Row],[A. TÀI SẢN NGẮN HẠN]]-Table1[[#This Row],[I. Nợ ngắn hạn]])/Table1[[#This Row],[TỔNG CỘNG TÀI SẢN]]</f>
        <v>#DIV/0!</v>
      </c>
      <c r="R2789" s="18" t="e">
        <f>Table1[[#This Row],[- LNST chưa phân phối kỳ này]]/Table1[[#This Row],[TỔNG CỘNG TÀI SẢN]]</f>
        <v>#DIV/0!</v>
      </c>
      <c r="S2789" s="21" t="e">
        <f>Table1[[#This Row],[5. Lợi nhuận gộp về bán hàng và cung cấp dịch vụ]]/Table1[[#This Row],[TỔNG CỘNG TÀI SẢN]]</f>
        <v>#DIV/0!</v>
      </c>
      <c r="T278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789" s="23" t="e">
        <f>Table1[[#This Row],[1. Doanh thu bán hàng và cung cấp dịch vụ ]]/Table1[[#This Row],[TỔNG CỘNG TÀI SẢN]]</f>
        <v>#DIV/0!</v>
      </c>
      <c r="V2789" s="23" t="e">
        <f>1.2*Table1[[#This Row],[X1]] + 1.4*Table1[[#This Row],[X2]] + 3.3*Table1[[#This Row],[x3]] + 0.6*Table1[[#This Row],[x4]] + 1*Table1[[#This Row],[x5]]</f>
        <v>#DIV/0!</v>
      </c>
      <c r="W2789" s="23" t="e">
        <f>IF(Table1[[#This Row],[Zscore]]&lt;1.81,1,0)</f>
        <v>#DIV/0!</v>
      </c>
    </row>
    <row r="2790" spans="1:23" ht="26.25" x14ac:dyDescent="0.45">
      <c r="A2790" s="7">
        <v>2784</v>
      </c>
      <c r="B2790" s="5" t="s">
        <v>5575</v>
      </c>
      <c r="C2790" s="6" t="s">
        <v>5576</v>
      </c>
      <c r="D2790" s="6" t="s">
        <v>21</v>
      </c>
      <c r="E2790" s="8">
        <v>8171336733738</v>
      </c>
      <c r="F2790" s="8">
        <v>1267737398112</v>
      </c>
      <c r="G2790" s="8">
        <v>426842101423</v>
      </c>
      <c r="H2790" s="8">
        <v>862609955656</v>
      </c>
      <c r="I2790" s="8">
        <v>1228193655243</v>
      </c>
      <c r="J2790" s="8"/>
      <c r="K2790" s="8">
        <v>3221561460593</v>
      </c>
      <c r="L2790" s="8">
        <v>2304086752479</v>
      </c>
      <c r="M2790" s="8">
        <v>12520786038000</v>
      </c>
      <c r="N2790" s="8">
        <v>10512735447000</v>
      </c>
      <c r="O2790" s="8">
        <v>11693941677000</v>
      </c>
      <c r="P2790" s="8">
        <v>11079714437400</v>
      </c>
      <c r="Q2790" s="18">
        <f>(Table1[[#This Row],[A. TÀI SẢN NGẮN HẠN]]-Table1[[#This Row],[I. Nợ ngắn hạn]])/Table1[[#This Row],[TỔNG CỘNG TÀI SẢN]]</f>
        <v>0.10290792364694658</v>
      </c>
      <c r="R2790" s="18">
        <f>Table1[[#This Row],[- LNST chưa phân phối kỳ này]]/Table1[[#This Row],[TỔNG CỘNG TÀI SẢN]]</f>
        <v>0.1055653418484685</v>
      </c>
      <c r="S2790" s="21">
        <f>Table1[[#This Row],[5. Lợi nhuận gộp về bán hàng và cung cấp dịch vụ]]/Table1[[#This Row],[TỔNG CỘNG TÀI SẢN]]</f>
        <v>0.15030510860873059</v>
      </c>
      <c r="T279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3.5547341064050482</v>
      </c>
      <c r="U2790" s="23">
        <f>Table1[[#This Row],[1. Doanh thu bán hàng và cung cấp dịch vụ ]]/Table1[[#This Row],[TỔNG CỘNG TÀI SẢN]]</f>
        <v>0.28197182756718792</v>
      </c>
      <c r="V2790" s="23">
        <f>1.2*Table1[[#This Row],[X1]] + 1.4*Table1[[#This Row],[X2]] + 3.3*Table1[[#This Row],[x3]] + 0.6*Table1[[#This Row],[x4]] + 1*Table1[[#This Row],[x5]]</f>
        <v>3.1821001367832196</v>
      </c>
      <c r="W2790" s="23">
        <f>IF(Table1[[#This Row],[Zscore]]&lt;1.81,1,0)</f>
        <v>0</v>
      </c>
    </row>
    <row r="2791" spans="1:23" ht="26.25" x14ac:dyDescent="0.45">
      <c r="A2791" s="7">
        <v>2785</v>
      </c>
      <c r="B2791" s="5" t="s">
        <v>5577</v>
      </c>
      <c r="C2791" s="6" t="s">
        <v>5578</v>
      </c>
      <c r="D2791" s="6" t="s">
        <v>21</v>
      </c>
      <c r="E2791" s="8">
        <v>547040420318</v>
      </c>
      <c r="F2791" s="8">
        <v>280767557831</v>
      </c>
      <c r="G2791" s="8">
        <v>228289567441</v>
      </c>
      <c r="H2791" s="8">
        <v>23418638169</v>
      </c>
      <c r="I2791" s="8">
        <v>82988643619</v>
      </c>
      <c r="J2791" s="8"/>
      <c r="K2791" s="8">
        <v>341202049350</v>
      </c>
      <c r="L2791" s="8">
        <v>572763952595</v>
      </c>
      <c r="M2791" s="8">
        <v>237599946000</v>
      </c>
      <c r="N2791" s="8">
        <v>316799928000</v>
      </c>
      <c r="O2791" s="8">
        <v>237599946000</v>
      </c>
      <c r="P2791" s="8">
        <v>269939938650</v>
      </c>
      <c r="Q2791" s="18">
        <f>(Table1[[#This Row],[A. TÀI SẢN NGẮN HẠN]]-Table1[[#This Row],[I. Nợ ngắn hạn]])/Table1[[#This Row],[TỔNG CỘNG TÀI SẢN]]</f>
        <v>9.5930736451785459E-2</v>
      </c>
      <c r="R2791" s="18">
        <f>Table1[[#This Row],[- LNST chưa phân phối kỳ này]]/Table1[[#This Row],[TỔNG CỘNG TÀI SẢN]]</f>
        <v>4.2809703450042161E-2</v>
      </c>
      <c r="S2791" s="21">
        <f>Table1[[#This Row],[5. Lợi nhuận gộp về bán hàng và cung cấp dịch vụ]]/Table1[[#This Row],[TỔNG CỘNG TÀI SẢN]]</f>
        <v>0.15170477452243453</v>
      </c>
      <c r="T279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0.77808717787087345</v>
      </c>
      <c r="U2791" s="23">
        <f>Table1[[#This Row],[1. Doanh thu bán hàng và cung cấp dịch vụ ]]/Table1[[#This Row],[TỔNG CỘNG TÀI SẢN]]</f>
        <v>1.047023092483818</v>
      </c>
      <c r="V2791" s="23">
        <f>1.2*Table1[[#This Row],[X1]] + 1.4*Table1[[#This Row],[X2]] + 3.3*Table1[[#This Row],[x3]] + 0.6*Table1[[#This Row],[x4]] + 1*Table1[[#This Row],[x5]]</f>
        <v>2.1895516237025774</v>
      </c>
      <c r="W2791" s="23">
        <f>IF(Table1[[#This Row],[Zscore]]&lt;1.81,1,0)</f>
        <v>0</v>
      </c>
    </row>
    <row r="2792" spans="1:23" hidden="1" x14ac:dyDescent="0.45">
      <c r="A2792" s="7">
        <v>2786</v>
      </c>
      <c r="B2792" s="5" t="s">
        <v>5579</v>
      </c>
      <c r="C2792" s="6" t="s">
        <v>5580</v>
      </c>
      <c r="D2792" s="6" t="s">
        <v>13</v>
      </c>
      <c r="E2792" s="6"/>
      <c r="F2792" s="6"/>
      <c r="G2792" s="6"/>
      <c r="H2792" s="6"/>
      <c r="I2792" s="6"/>
      <c r="J2792" s="8"/>
      <c r="K2792" s="6"/>
      <c r="L2792" s="6"/>
      <c r="M2792" s="8"/>
      <c r="N2792" s="8"/>
      <c r="O2792" s="8"/>
      <c r="P2792" s="8"/>
      <c r="Q2792" s="18" t="e">
        <f>(Table1[[#This Row],[A. TÀI SẢN NGẮN HẠN]]-Table1[[#This Row],[I. Nợ ngắn hạn]])/Table1[[#This Row],[TỔNG CỘNG TÀI SẢN]]</f>
        <v>#DIV/0!</v>
      </c>
      <c r="R2792" s="18" t="e">
        <f>Table1[[#This Row],[- LNST chưa phân phối kỳ này]]/Table1[[#This Row],[TỔNG CỘNG TÀI SẢN]]</f>
        <v>#DIV/0!</v>
      </c>
      <c r="S2792" s="21" t="e">
        <f>Table1[[#This Row],[5. Lợi nhuận gộp về bán hàng và cung cấp dịch vụ]]/Table1[[#This Row],[TỔNG CỘNG TÀI SẢN]]</f>
        <v>#DIV/0!</v>
      </c>
      <c r="T279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792" s="23" t="e">
        <f>Table1[[#This Row],[1. Doanh thu bán hàng và cung cấp dịch vụ ]]/Table1[[#This Row],[TỔNG CỘNG TÀI SẢN]]</f>
        <v>#DIV/0!</v>
      </c>
      <c r="V2792" s="23" t="e">
        <f>1.2*Table1[[#This Row],[X1]] + 1.4*Table1[[#This Row],[X2]] + 3.3*Table1[[#This Row],[x3]] + 0.6*Table1[[#This Row],[x4]] + 1*Table1[[#This Row],[x5]]</f>
        <v>#DIV/0!</v>
      </c>
      <c r="W2792" s="23" t="e">
        <f>IF(Table1[[#This Row],[Zscore]]&lt;1.81,1,0)</f>
        <v>#DIV/0!</v>
      </c>
    </row>
    <row r="2793" spans="1:23" x14ac:dyDescent="0.45">
      <c r="A2793" s="7">
        <v>2787</v>
      </c>
      <c r="B2793" s="5" t="s">
        <v>5581</v>
      </c>
      <c r="C2793" s="6" t="s">
        <v>5582</v>
      </c>
      <c r="D2793" s="6" t="s">
        <v>36</v>
      </c>
      <c r="E2793" s="8">
        <v>133080150827</v>
      </c>
      <c r="F2793" s="8">
        <v>95652053536</v>
      </c>
      <c r="G2793" s="8">
        <v>34130870565</v>
      </c>
      <c r="H2793" s="8">
        <v>12500543353</v>
      </c>
      <c r="I2793" s="8">
        <v>31537048610</v>
      </c>
      <c r="J2793" s="8"/>
      <c r="K2793" s="8">
        <v>34130870565</v>
      </c>
      <c r="L2793" s="8">
        <v>298497292483</v>
      </c>
      <c r="M2793" s="8">
        <v>73474412400</v>
      </c>
      <c r="N2793" s="8">
        <v>75487125000</v>
      </c>
      <c r="O2793" s="8">
        <v>48647442000</v>
      </c>
      <c r="P2793" s="8">
        <v>76493620000</v>
      </c>
      <c r="Q2793" s="18">
        <f>(Table1[[#This Row],[A. TÀI SẢN NGẮN HẠN]]-Table1[[#This Row],[I. Nợ ngắn hạn]])/Table1[[#This Row],[TỔNG CỘNG TÀI SẢN]]</f>
        <v>0.46228669406135253</v>
      </c>
      <c r="R2793" s="18">
        <f>Table1[[#This Row],[- LNST chưa phân phối kỳ này]]/Table1[[#This Row],[TỔNG CỘNG TÀI SẢN]]</f>
        <v>9.3932440527891431E-2</v>
      </c>
      <c r="S2793" s="21">
        <f>Table1[[#This Row],[5. Lợi nhuận gộp về bán hàng và cung cấp dịch vụ]]/Table1[[#This Row],[TỔNG CỘNG TÀI SẢN]]</f>
        <v>0.23697785442847272</v>
      </c>
      <c r="T279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2.0077322586746624</v>
      </c>
      <c r="U2793" s="23">
        <f>Table1[[#This Row],[1. Doanh thu bán hàng và cung cấp dịch vụ ]]/Table1[[#This Row],[TỔNG CỘNG TÀI SẢN]]</f>
        <v>2.2429888351346783</v>
      </c>
      <c r="V2793" s="23">
        <f>1.2*Table1[[#This Row],[X1]] + 1.4*Table1[[#This Row],[X2]] + 3.3*Table1[[#This Row],[x3]] + 0.6*Table1[[#This Row],[x4]] + 1*Table1[[#This Row],[x5]]</f>
        <v>4.9159045595661066</v>
      </c>
      <c r="W2793" s="23">
        <f>IF(Table1[[#This Row],[Zscore]]&lt;1.81,1,0)</f>
        <v>0</v>
      </c>
    </row>
    <row r="2794" spans="1:23" hidden="1" x14ac:dyDescent="0.45">
      <c r="A2794" s="7">
        <v>2788</v>
      </c>
      <c r="B2794" s="5" t="s">
        <v>5583</v>
      </c>
      <c r="C2794" s="6" t="s">
        <v>5584</v>
      </c>
      <c r="D2794" s="6" t="s">
        <v>13</v>
      </c>
      <c r="E2794" s="6"/>
      <c r="F2794" s="6"/>
      <c r="G2794" s="6"/>
      <c r="H2794" s="6"/>
      <c r="I2794" s="6"/>
      <c r="J2794" s="8"/>
      <c r="K2794" s="6"/>
      <c r="L2794" s="6"/>
      <c r="M2794" s="8"/>
      <c r="N2794" s="8"/>
      <c r="O2794" s="8"/>
      <c r="P2794" s="8"/>
      <c r="Q2794" s="18" t="e">
        <f>(Table1[[#This Row],[A. TÀI SẢN NGẮN HẠN]]-Table1[[#This Row],[I. Nợ ngắn hạn]])/Table1[[#This Row],[TỔNG CỘNG TÀI SẢN]]</f>
        <v>#DIV/0!</v>
      </c>
      <c r="R2794" s="18" t="e">
        <f>Table1[[#This Row],[- LNST chưa phân phối kỳ này]]/Table1[[#This Row],[TỔNG CỘNG TÀI SẢN]]</f>
        <v>#DIV/0!</v>
      </c>
      <c r="S2794" s="21" t="e">
        <f>Table1[[#This Row],[5. Lợi nhuận gộp về bán hàng và cung cấp dịch vụ]]/Table1[[#This Row],[TỔNG CỘNG TÀI SẢN]]</f>
        <v>#DIV/0!</v>
      </c>
      <c r="T279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794" s="23" t="e">
        <f>Table1[[#This Row],[1. Doanh thu bán hàng và cung cấp dịch vụ ]]/Table1[[#This Row],[TỔNG CỘNG TÀI SẢN]]</f>
        <v>#DIV/0!</v>
      </c>
      <c r="V2794" s="23" t="e">
        <f>1.2*Table1[[#This Row],[X1]] + 1.4*Table1[[#This Row],[X2]] + 3.3*Table1[[#This Row],[x3]] + 0.6*Table1[[#This Row],[x4]] + 1*Table1[[#This Row],[x5]]</f>
        <v>#DIV/0!</v>
      </c>
      <c r="W2794" s="23" t="e">
        <f>IF(Table1[[#This Row],[Zscore]]&lt;1.81,1,0)</f>
        <v>#DIV/0!</v>
      </c>
    </row>
    <row r="2795" spans="1:23" x14ac:dyDescent="0.45">
      <c r="A2795" s="7">
        <v>2789</v>
      </c>
      <c r="B2795" s="5" t="s">
        <v>5585</v>
      </c>
      <c r="C2795" s="6" t="s">
        <v>5586</v>
      </c>
      <c r="D2795" s="6" t="s">
        <v>18</v>
      </c>
      <c r="E2795" s="8">
        <v>1848486544071</v>
      </c>
      <c r="F2795" s="8">
        <v>1462680420481</v>
      </c>
      <c r="G2795" s="8">
        <v>567309949028</v>
      </c>
      <c r="H2795" s="8">
        <v>82114365364</v>
      </c>
      <c r="I2795" s="8">
        <v>665061731522</v>
      </c>
      <c r="J2795" s="8"/>
      <c r="K2795" s="8">
        <v>571538299768</v>
      </c>
      <c r="L2795" s="8">
        <v>2949595214416</v>
      </c>
      <c r="M2795" s="8">
        <v>1456281000000</v>
      </c>
      <c r="N2795" s="8">
        <v>1245929300000</v>
      </c>
      <c r="O2795" s="8">
        <v>1375376500000</v>
      </c>
      <c r="P2795" s="8">
        <v>1367286050000</v>
      </c>
      <c r="Q2795" s="18">
        <f>(Table1[[#This Row],[A. TÀI SẢN NGẮN HẠN]]-Table1[[#This Row],[I. Nợ ngắn hạn]])/Table1[[#This Row],[TỔNG CỘNG TÀI SẢN]]</f>
        <v>0.48438030253717063</v>
      </c>
      <c r="R2795" s="18">
        <f>Table1[[#This Row],[- LNST chưa phân phối kỳ này]]/Table1[[#This Row],[TỔNG CỘNG TÀI SẢN]]</f>
        <v>4.4422484776738526E-2</v>
      </c>
      <c r="S2795" s="21">
        <f>Table1[[#This Row],[5. Lợi nhuận gộp về bán hàng và cung cấp dịch vụ]]/Table1[[#This Row],[TỔNG CỘNG TÀI SẢN]]</f>
        <v>0.35978716407494449</v>
      </c>
      <c r="T279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2.3816745317899928</v>
      </c>
      <c r="U2795" s="23">
        <f>Table1[[#This Row],[1. Doanh thu bán hàng và cung cấp dịch vụ ]]/Table1[[#This Row],[TỔNG CỘNG TÀI SẢN]]</f>
        <v>1.5956811932858228</v>
      </c>
      <c r="V2795" s="23">
        <f>1.2*Table1[[#This Row],[X1]] + 1.4*Table1[[#This Row],[X2]] + 3.3*Table1[[#This Row],[x3]] + 0.6*Table1[[#This Row],[x4]] + 1*Table1[[#This Row],[x5]]</f>
        <v>4.8554313955391741</v>
      </c>
      <c r="W2795" s="23">
        <f>IF(Table1[[#This Row],[Zscore]]&lt;1.81,1,0)</f>
        <v>0</v>
      </c>
    </row>
    <row r="2796" spans="1:23" ht="26.25" hidden="1" x14ac:dyDescent="0.45">
      <c r="A2796" s="7">
        <v>2790</v>
      </c>
      <c r="B2796" s="5" t="s">
        <v>5587</v>
      </c>
      <c r="C2796" s="6" t="s">
        <v>5588</v>
      </c>
      <c r="D2796" s="6" t="s">
        <v>13</v>
      </c>
      <c r="E2796" s="6"/>
      <c r="F2796" s="6"/>
      <c r="G2796" s="6"/>
      <c r="H2796" s="6"/>
      <c r="I2796" s="6"/>
      <c r="J2796" s="8"/>
      <c r="K2796" s="6"/>
      <c r="L2796" s="6"/>
      <c r="M2796" s="8"/>
      <c r="N2796" s="8"/>
      <c r="O2796" s="8"/>
      <c r="P2796" s="8"/>
      <c r="Q2796" s="18" t="e">
        <f>(Table1[[#This Row],[A. TÀI SẢN NGẮN HẠN]]-Table1[[#This Row],[I. Nợ ngắn hạn]])/Table1[[#This Row],[TỔNG CỘNG TÀI SẢN]]</f>
        <v>#DIV/0!</v>
      </c>
      <c r="R2796" s="18" t="e">
        <f>Table1[[#This Row],[- LNST chưa phân phối kỳ này]]/Table1[[#This Row],[TỔNG CỘNG TÀI SẢN]]</f>
        <v>#DIV/0!</v>
      </c>
      <c r="S2796" s="21" t="e">
        <f>Table1[[#This Row],[5. Lợi nhuận gộp về bán hàng và cung cấp dịch vụ]]/Table1[[#This Row],[TỔNG CỘNG TÀI SẢN]]</f>
        <v>#DIV/0!</v>
      </c>
      <c r="T279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796" s="23" t="e">
        <f>Table1[[#This Row],[1. Doanh thu bán hàng và cung cấp dịch vụ ]]/Table1[[#This Row],[TỔNG CỘNG TÀI SẢN]]</f>
        <v>#DIV/0!</v>
      </c>
      <c r="V2796" s="23" t="e">
        <f>1.2*Table1[[#This Row],[X1]] + 1.4*Table1[[#This Row],[X2]] + 3.3*Table1[[#This Row],[x3]] + 0.6*Table1[[#This Row],[x4]] + 1*Table1[[#This Row],[x5]]</f>
        <v>#DIV/0!</v>
      </c>
      <c r="W2796" s="23" t="e">
        <f>IF(Table1[[#This Row],[Zscore]]&lt;1.81,1,0)</f>
        <v>#DIV/0!</v>
      </c>
    </row>
    <row r="2797" spans="1:23" ht="26.25" x14ac:dyDescent="0.45">
      <c r="A2797" s="7">
        <v>2791</v>
      </c>
      <c r="B2797" s="5" t="s">
        <v>5589</v>
      </c>
      <c r="C2797" s="6" t="s">
        <v>5590</v>
      </c>
      <c r="D2797" s="6" t="s">
        <v>18</v>
      </c>
      <c r="E2797" s="8">
        <v>517397440038</v>
      </c>
      <c r="F2797" s="8">
        <v>139523040160</v>
      </c>
      <c r="G2797" s="8">
        <v>763000053331</v>
      </c>
      <c r="H2797" s="8">
        <v>246994689405</v>
      </c>
      <c r="I2797" s="8">
        <v>13639749548</v>
      </c>
      <c r="J2797" s="8"/>
      <c r="K2797" s="8">
        <v>940564642509</v>
      </c>
      <c r="L2797" s="8">
        <v>525172084150</v>
      </c>
      <c r="M2797" s="8">
        <v>234597745800</v>
      </c>
      <c r="N2797" s="8">
        <v>206998011000</v>
      </c>
      <c r="O2797" s="8">
        <v>241497679500</v>
      </c>
      <c r="P2797" s="8">
        <v>241497679500</v>
      </c>
      <c r="Q2797" s="18">
        <f>(Table1[[#This Row],[A. TÀI SẢN NGẮN HẠN]]-Table1[[#This Row],[I. Nợ ngắn hạn]])/Table1[[#This Row],[TỔNG CỘNG TÀI SẢN]]</f>
        <v>-1.2050253150174246</v>
      </c>
      <c r="R2797" s="18">
        <f>Table1[[#This Row],[- LNST chưa phân phối kỳ này]]/Table1[[#This Row],[TỔNG CỘNG TÀI SẢN]]</f>
        <v>0.47737903261921744</v>
      </c>
      <c r="S2797" s="21">
        <f>Table1[[#This Row],[5. Lợi nhuận gộp về bán hàng và cung cấp dịch vụ]]/Table1[[#This Row],[TỔNG CỘNG TÀI SẢN]]</f>
        <v>2.6362228516241277E-2</v>
      </c>
      <c r="T279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0.24575427195881244</v>
      </c>
      <c r="U2797" s="23">
        <f>Table1[[#This Row],[1. Doanh thu bán hàng và cung cấp dịch vụ ]]/Table1[[#This Row],[TỔNG CỘNG TÀI SẢN]]</f>
        <v>1.0150264448765518</v>
      </c>
      <c r="V2797" s="23">
        <f>1.2*Table1[[#This Row],[X1]] + 1.4*Table1[[#This Row],[X2]] + 3.3*Table1[[#This Row],[x3]] + 0.6*Table1[[#This Row],[x4]] + 1*Table1[[#This Row],[x5]]</f>
        <v>0.47177462980143048</v>
      </c>
      <c r="W2797" s="23">
        <f>IF(Table1[[#This Row],[Zscore]]&lt;1.81,1,0)</f>
        <v>1</v>
      </c>
    </row>
    <row r="2798" spans="1:23" hidden="1" x14ac:dyDescent="0.45">
      <c r="A2798" s="7">
        <v>2792</v>
      </c>
      <c r="B2798" s="5" t="s">
        <v>5591</v>
      </c>
      <c r="C2798" s="6" t="s">
        <v>5592</v>
      </c>
      <c r="D2798" s="6" t="s">
        <v>13</v>
      </c>
      <c r="E2798" s="6"/>
      <c r="F2798" s="6"/>
      <c r="G2798" s="6"/>
      <c r="H2798" s="6"/>
      <c r="I2798" s="6"/>
      <c r="J2798" s="8"/>
      <c r="K2798" s="6"/>
      <c r="L2798" s="6"/>
      <c r="M2798" s="8"/>
      <c r="N2798" s="8"/>
      <c r="O2798" s="8"/>
      <c r="P2798" s="8"/>
      <c r="Q2798" s="18" t="e">
        <f>(Table1[[#This Row],[A. TÀI SẢN NGẮN HẠN]]-Table1[[#This Row],[I. Nợ ngắn hạn]])/Table1[[#This Row],[TỔNG CỘNG TÀI SẢN]]</f>
        <v>#DIV/0!</v>
      </c>
      <c r="R2798" s="18" t="e">
        <f>Table1[[#This Row],[- LNST chưa phân phối kỳ này]]/Table1[[#This Row],[TỔNG CỘNG TÀI SẢN]]</f>
        <v>#DIV/0!</v>
      </c>
      <c r="S2798" s="21" t="e">
        <f>Table1[[#This Row],[5. Lợi nhuận gộp về bán hàng và cung cấp dịch vụ]]/Table1[[#This Row],[TỔNG CỘNG TÀI SẢN]]</f>
        <v>#DIV/0!</v>
      </c>
      <c r="T279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798" s="23" t="e">
        <f>Table1[[#This Row],[1. Doanh thu bán hàng và cung cấp dịch vụ ]]/Table1[[#This Row],[TỔNG CỘNG TÀI SẢN]]</f>
        <v>#DIV/0!</v>
      </c>
      <c r="V2798" s="23" t="e">
        <f>1.2*Table1[[#This Row],[X1]] + 1.4*Table1[[#This Row],[X2]] + 3.3*Table1[[#This Row],[x3]] + 0.6*Table1[[#This Row],[x4]] + 1*Table1[[#This Row],[x5]]</f>
        <v>#DIV/0!</v>
      </c>
      <c r="W2798" s="23" t="e">
        <f>IF(Table1[[#This Row],[Zscore]]&lt;1.81,1,0)</f>
        <v>#DIV/0!</v>
      </c>
    </row>
    <row r="2799" spans="1:23" hidden="1" x14ac:dyDescent="0.45">
      <c r="A2799" s="7">
        <v>2793</v>
      </c>
      <c r="B2799" s="5" t="s">
        <v>5593</v>
      </c>
      <c r="C2799" s="6" t="s">
        <v>5594</v>
      </c>
      <c r="D2799" s="6" t="s">
        <v>13</v>
      </c>
      <c r="E2799" s="6"/>
      <c r="F2799" s="6"/>
      <c r="G2799" s="6"/>
      <c r="H2799" s="6"/>
      <c r="I2799" s="6"/>
      <c r="J2799" s="8"/>
      <c r="K2799" s="6"/>
      <c r="L2799" s="6"/>
      <c r="M2799" s="8"/>
      <c r="N2799" s="8"/>
      <c r="O2799" s="8"/>
      <c r="P2799" s="8"/>
      <c r="Q2799" s="18" t="e">
        <f>(Table1[[#This Row],[A. TÀI SẢN NGẮN HẠN]]-Table1[[#This Row],[I. Nợ ngắn hạn]])/Table1[[#This Row],[TỔNG CỘNG TÀI SẢN]]</f>
        <v>#DIV/0!</v>
      </c>
      <c r="R2799" s="18" t="e">
        <f>Table1[[#This Row],[- LNST chưa phân phối kỳ này]]/Table1[[#This Row],[TỔNG CỘNG TÀI SẢN]]</f>
        <v>#DIV/0!</v>
      </c>
      <c r="S2799" s="21" t="e">
        <f>Table1[[#This Row],[5. Lợi nhuận gộp về bán hàng và cung cấp dịch vụ]]/Table1[[#This Row],[TỔNG CỘNG TÀI SẢN]]</f>
        <v>#DIV/0!</v>
      </c>
      <c r="T279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799" s="23" t="e">
        <f>Table1[[#This Row],[1. Doanh thu bán hàng và cung cấp dịch vụ ]]/Table1[[#This Row],[TỔNG CỘNG TÀI SẢN]]</f>
        <v>#DIV/0!</v>
      </c>
      <c r="V2799" s="23" t="e">
        <f>1.2*Table1[[#This Row],[X1]] + 1.4*Table1[[#This Row],[X2]] + 3.3*Table1[[#This Row],[x3]] + 0.6*Table1[[#This Row],[x4]] + 1*Table1[[#This Row],[x5]]</f>
        <v>#DIV/0!</v>
      </c>
      <c r="W2799" s="23" t="e">
        <f>IF(Table1[[#This Row],[Zscore]]&lt;1.81,1,0)</f>
        <v>#DIV/0!</v>
      </c>
    </row>
    <row r="2800" spans="1:23" hidden="1" x14ac:dyDescent="0.45">
      <c r="A2800" s="7">
        <v>2794</v>
      </c>
      <c r="B2800" s="5" t="s">
        <v>5595</v>
      </c>
      <c r="C2800" s="6" t="s">
        <v>5596</v>
      </c>
      <c r="D2800" s="6" t="s">
        <v>18</v>
      </c>
      <c r="E2800" s="6"/>
      <c r="F2800" s="6"/>
      <c r="G2800" s="6"/>
      <c r="H2800" s="6"/>
      <c r="I2800" s="6"/>
      <c r="J2800" s="8"/>
      <c r="K2800" s="6"/>
      <c r="L2800" s="6"/>
      <c r="M2800" s="8"/>
      <c r="N2800" s="8"/>
      <c r="O2800" s="8"/>
      <c r="P2800" s="8"/>
      <c r="Q2800" s="18" t="e">
        <f>(Table1[[#This Row],[A. TÀI SẢN NGẮN HẠN]]-Table1[[#This Row],[I. Nợ ngắn hạn]])/Table1[[#This Row],[TỔNG CỘNG TÀI SẢN]]</f>
        <v>#DIV/0!</v>
      </c>
      <c r="R2800" s="18" t="e">
        <f>Table1[[#This Row],[- LNST chưa phân phối kỳ này]]/Table1[[#This Row],[TỔNG CỘNG TÀI SẢN]]</f>
        <v>#DIV/0!</v>
      </c>
      <c r="S2800" s="21" t="e">
        <f>Table1[[#This Row],[5. Lợi nhuận gộp về bán hàng và cung cấp dịch vụ]]/Table1[[#This Row],[TỔNG CỘNG TÀI SẢN]]</f>
        <v>#DIV/0!</v>
      </c>
      <c r="T280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800" s="23" t="e">
        <f>Table1[[#This Row],[1. Doanh thu bán hàng và cung cấp dịch vụ ]]/Table1[[#This Row],[TỔNG CỘNG TÀI SẢN]]</f>
        <v>#DIV/0!</v>
      </c>
      <c r="V2800" s="23" t="e">
        <f>1.2*Table1[[#This Row],[X1]] + 1.4*Table1[[#This Row],[X2]] + 3.3*Table1[[#This Row],[x3]] + 0.6*Table1[[#This Row],[x4]] + 1*Table1[[#This Row],[x5]]</f>
        <v>#DIV/0!</v>
      </c>
      <c r="W2800" s="23" t="e">
        <f>IF(Table1[[#This Row],[Zscore]]&lt;1.81,1,0)</f>
        <v>#DIV/0!</v>
      </c>
    </row>
    <row r="2801" spans="1:23" x14ac:dyDescent="0.45">
      <c r="A2801" s="7">
        <v>2795</v>
      </c>
      <c r="B2801" s="5" t="s">
        <v>5597</v>
      </c>
      <c r="C2801" s="6" t="s">
        <v>5598</v>
      </c>
      <c r="D2801" s="6" t="s">
        <v>21</v>
      </c>
      <c r="E2801" s="8">
        <v>235344757419</v>
      </c>
      <c r="F2801" s="8">
        <v>128519616098</v>
      </c>
      <c r="G2801" s="8">
        <v>17495991701</v>
      </c>
      <c r="H2801" s="8">
        <v>11401939954</v>
      </c>
      <c r="I2801" s="8">
        <v>71782022545</v>
      </c>
      <c r="J2801" s="8"/>
      <c r="K2801" s="8">
        <v>43863506726</v>
      </c>
      <c r="L2801" s="8">
        <v>135270466568</v>
      </c>
      <c r="M2801" s="8">
        <v>110206104000</v>
      </c>
      <c r="N2801" s="8">
        <v>233377632000</v>
      </c>
      <c r="O2801" s="8">
        <v>108585426000</v>
      </c>
      <c r="P2801" s="8">
        <v>108045200000</v>
      </c>
      <c r="Q2801" s="18">
        <f>(Table1[[#This Row],[A. TÀI SẢN NGẮN HẠN]]-Table1[[#This Row],[I. Nợ ngắn hạn]])/Table1[[#This Row],[TỔNG CỘNG TÀI SẢN]]</f>
        <v>0.47174887435175461</v>
      </c>
      <c r="R2801" s="18">
        <f>Table1[[#This Row],[- LNST chưa phân phối kỳ này]]/Table1[[#This Row],[TỔNG CỘNG TÀI SẢN]]</f>
        <v>4.8447817912087007E-2</v>
      </c>
      <c r="S2801" s="21">
        <f>Table1[[#This Row],[5. Lợi nhuận gộp về bán hàng và cung cấp dịch vụ]]/Table1[[#This Row],[TỔNG CỘNG TÀI SẢN]]</f>
        <v>0.30500795230038485</v>
      </c>
      <c r="T280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3.1929410335308082</v>
      </c>
      <c r="U2801" s="23">
        <f>Table1[[#This Row],[1. Doanh thu bán hàng và cung cấp dịch vụ ]]/Table1[[#This Row],[TỔNG CỘNG TÀI SẢN]]</f>
        <v>0.57477578022768083</v>
      </c>
      <c r="V2801" s="23">
        <f>1.2*Table1[[#This Row],[X1]] + 1.4*Table1[[#This Row],[X2]] + 3.3*Table1[[#This Row],[x3]] + 0.6*Table1[[#This Row],[x4]] + 1*Table1[[#This Row],[x5]]</f>
        <v>4.1309922372364625</v>
      </c>
      <c r="W2801" s="23">
        <f>IF(Table1[[#This Row],[Zscore]]&lt;1.81,1,0)</f>
        <v>0</v>
      </c>
    </row>
    <row r="2802" spans="1:23" x14ac:dyDescent="0.45">
      <c r="A2802" s="7">
        <v>2796</v>
      </c>
      <c r="B2802" s="5" t="s">
        <v>5599</v>
      </c>
      <c r="C2802" s="6" t="s">
        <v>5600</v>
      </c>
      <c r="D2802" s="6" t="s">
        <v>36</v>
      </c>
      <c r="E2802" s="8">
        <v>607754665511</v>
      </c>
      <c r="F2802" s="8">
        <v>582391539923</v>
      </c>
      <c r="G2802" s="8">
        <v>519965387818</v>
      </c>
      <c r="H2802" s="8">
        <v>3914408700</v>
      </c>
      <c r="I2802" s="8">
        <v>52779560428</v>
      </c>
      <c r="J2802" s="8"/>
      <c r="K2802" s="8">
        <v>526808256994</v>
      </c>
      <c r="L2802" s="8">
        <v>522909547513</v>
      </c>
      <c r="M2802" s="8">
        <v>39403544100</v>
      </c>
      <c r="N2802" s="8">
        <v>58425944700</v>
      </c>
      <c r="O2802" s="8">
        <v>37591886900</v>
      </c>
      <c r="P2802" s="8">
        <v>40762287000</v>
      </c>
      <c r="Q2802" s="18">
        <f>(Table1[[#This Row],[A. TÀI SẢN NGẮN HẠN]]-Table1[[#This Row],[I. Nợ ngắn hạn]])/Table1[[#This Row],[TỔNG CỘNG TÀI SẢN]]</f>
        <v>0.10271603929607369</v>
      </c>
      <c r="R2802" s="18">
        <f>Table1[[#This Row],[- LNST chưa phân phối kỳ này]]/Table1[[#This Row],[TỔNG CỘNG TÀI SẢN]]</f>
        <v>6.4407711238362378E-3</v>
      </c>
      <c r="S2802" s="21">
        <f>Table1[[#This Row],[5. Lợi nhuận gộp về bán hàng và cung cấp dịch vụ]]/Table1[[#This Row],[TỔNG CỘNG TÀI SẢN]]</f>
        <v>8.6843529837196648E-2</v>
      </c>
      <c r="T280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8.3609007813067848E-2</v>
      </c>
      <c r="U2802" s="23">
        <f>Table1[[#This Row],[1. Doanh thu bán hàng và cung cấp dịch vụ ]]/Table1[[#This Row],[TỔNG CỘNG TÀI SẢN]]</f>
        <v>0.86039577676189083</v>
      </c>
      <c r="V2802" s="23">
        <f>1.2*Table1[[#This Row],[X1]] + 1.4*Table1[[#This Row],[X2]] + 3.3*Table1[[#This Row],[x3]] + 0.6*Table1[[#This Row],[x4]] + 1*Table1[[#This Row],[x5]]</f>
        <v>1.3294211566411396</v>
      </c>
      <c r="W2802" s="23">
        <f>IF(Table1[[#This Row],[Zscore]]&lt;1.81,1,0)</f>
        <v>1</v>
      </c>
    </row>
    <row r="2803" spans="1:23" hidden="1" x14ac:dyDescent="0.45">
      <c r="A2803" s="7">
        <v>2797</v>
      </c>
      <c r="B2803" s="5" t="s">
        <v>5601</v>
      </c>
      <c r="C2803" s="6" t="s">
        <v>5602</v>
      </c>
      <c r="D2803" s="6" t="s">
        <v>13</v>
      </c>
      <c r="E2803" s="6"/>
      <c r="F2803" s="6"/>
      <c r="G2803" s="6"/>
      <c r="H2803" s="6"/>
      <c r="I2803" s="6"/>
      <c r="J2803" s="8"/>
      <c r="K2803" s="6"/>
      <c r="L2803" s="6"/>
      <c r="M2803" s="8"/>
      <c r="N2803" s="8"/>
      <c r="O2803" s="8"/>
      <c r="P2803" s="8"/>
      <c r="Q2803" s="18" t="e">
        <f>(Table1[[#This Row],[A. TÀI SẢN NGẮN HẠN]]-Table1[[#This Row],[I. Nợ ngắn hạn]])/Table1[[#This Row],[TỔNG CỘNG TÀI SẢN]]</f>
        <v>#DIV/0!</v>
      </c>
      <c r="R2803" s="18" t="e">
        <f>Table1[[#This Row],[- LNST chưa phân phối kỳ này]]/Table1[[#This Row],[TỔNG CỘNG TÀI SẢN]]</f>
        <v>#DIV/0!</v>
      </c>
      <c r="S2803" s="21" t="e">
        <f>Table1[[#This Row],[5. Lợi nhuận gộp về bán hàng và cung cấp dịch vụ]]/Table1[[#This Row],[TỔNG CỘNG TÀI SẢN]]</f>
        <v>#DIV/0!</v>
      </c>
      <c r="T280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803" s="23" t="e">
        <f>Table1[[#This Row],[1. Doanh thu bán hàng và cung cấp dịch vụ ]]/Table1[[#This Row],[TỔNG CỘNG TÀI SẢN]]</f>
        <v>#DIV/0!</v>
      </c>
      <c r="V2803" s="23" t="e">
        <f>1.2*Table1[[#This Row],[X1]] + 1.4*Table1[[#This Row],[X2]] + 3.3*Table1[[#This Row],[x3]] + 0.6*Table1[[#This Row],[x4]] + 1*Table1[[#This Row],[x5]]</f>
        <v>#DIV/0!</v>
      </c>
      <c r="W2803" s="23" t="e">
        <f>IF(Table1[[#This Row],[Zscore]]&lt;1.81,1,0)</f>
        <v>#DIV/0!</v>
      </c>
    </row>
    <row r="2804" spans="1:23" ht="26.25" hidden="1" x14ac:dyDescent="0.45">
      <c r="A2804" s="7">
        <v>2798</v>
      </c>
      <c r="B2804" s="5" t="s">
        <v>5603</v>
      </c>
      <c r="C2804" s="6" t="s">
        <v>5604</v>
      </c>
      <c r="D2804" s="6" t="s">
        <v>13</v>
      </c>
      <c r="E2804" s="6"/>
      <c r="F2804" s="6"/>
      <c r="G2804" s="6"/>
      <c r="H2804" s="6"/>
      <c r="I2804" s="6"/>
      <c r="J2804" s="8"/>
      <c r="K2804" s="6"/>
      <c r="L2804" s="6"/>
      <c r="M2804" s="8"/>
      <c r="N2804" s="8"/>
      <c r="O2804" s="8"/>
      <c r="P2804" s="8"/>
      <c r="Q2804" s="18" t="e">
        <f>(Table1[[#This Row],[A. TÀI SẢN NGẮN HẠN]]-Table1[[#This Row],[I. Nợ ngắn hạn]])/Table1[[#This Row],[TỔNG CỘNG TÀI SẢN]]</f>
        <v>#DIV/0!</v>
      </c>
      <c r="R2804" s="18" t="e">
        <f>Table1[[#This Row],[- LNST chưa phân phối kỳ này]]/Table1[[#This Row],[TỔNG CỘNG TÀI SẢN]]</f>
        <v>#DIV/0!</v>
      </c>
      <c r="S2804" s="21" t="e">
        <f>Table1[[#This Row],[5. Lợi nhuận gộp về bán hàng và cung cấp dịch vụ]]/Table1[[#This Row],[TỔNG CỘNG TÀI SẢN]]</f>
        <v>#DIV/0!</v>
      </c>
      <c r="T280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804" s="23" t="e">
        <f>Table1[[#This Row],[1. Doanh thu bán hàng và cung cấp dịch vụ ]]/Table1[[#This Row],[TỔNG CỘNG TÀI SẢN]]</f>
        <v>#DIV/0!</v>
      </c>
      <c r="V2804" s="23" t="e">
        <f>1.2*Table1[[#This Row],[X1]] + 1.4*Table1[[#This Row],[X2]] + 3.3*Table1[[#This Row],[x3]] + 0.6*Table1[[#This Row],[x4]] + 1*Table1[[#This Row],[x5]]</f>
        <v>#DIV/0!</v>
      </c>
      <c r="W2804" s="23" t="e">
        <f>IF(Table1[[#This Row],[Zscore]]&lt;1.81,1,0)</f>
        <v>#DIV/0!</v>
      </c>
    </row>
    <row r="2805" spans="1:23" x14ac:dyDescent="0.45">
      <c r="A2805" s="7">
        <v>2799</v>
      </c>
      <c r="B2805" s="5" t="s">
        <v>5605</v>
      </c>
      <c r="C2805" s="6" t="s">
        <v>5606</v>
      </c>
      <c r="D2805" s="6" t="s">
        <v>18</v>
      </c>
      <c r="E2805" s="8">
        <v>403675109955</v>
      </c>
      <c r="F2805" s="8">
        <v>276932282160</v>
      </c>
      <c r="G2805" s="8">
        <v>123006428607</v>
      </c>
      <c r="H2805" s="8">
        <v>337879281</v>
      </c>
      <c r="I2805" s="8">
        <v>21617061871</v>
      </c>
      <c r="J2805" s="8"/>
      <c r="K2805" s="8">
        <v>141009989429</v>
      </c>
      <c r="L2805" s="8">
        <v>151698108957</v>
      </c>
      <c r="M2805" s="8">
        <v>271200000000</v>
      </c>
      <c r="N2805" s="8">
        <v>151200000000</v>
      </c>
      <c r="O2805" s="8">
        <v>228000000000</v>
      </c>
      <c r="P2805" s="8">
        <v>182400000000</v>
      </c>
      <c r="Q2805" s="18">
        <f>(Table1[[#This Row],[A. TÀI SẢN NGẮN HẠN]]-Table1[[#This Row],[I. Nợ ngắn hạn]])/Table1[[#This Row],[TỔNG CỘNG TÀI SẢN]]</f>
        <v>0.38131123211970885</v>
      </c>
      <c r="R2805" s="18">
        <f>Table1[[#This Row],[- LNST chưa phân phối kỳ này]]/Table1[[#This Row],[TỔNG CỘNG TÀI SẢN]]</f>
        <v>8.3700796176822828E-4</v>
      </c>
      <c r="S2805" s="21">
        <f>Table1[[#This Row],[5. Lợi nhuận gộp về bán hàng và cung cấp dịch vụ]]/Table1[[#This Row],[TỔNG CỘNG TÀI SẢN]]</f>
        <v>5.3550643420670098E-2</v>
      </c>
      <c r="T280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1.4764911396921341</v>
      </c>
      <c r="U2805" s="23">
        <f>Table1[[#This Row],[1. Doanh thu bán hàng và cung cấp dịch vụ ]]/Table1[[#This Row],[TỔNG CỘNG TÀI SẢN]]</f>
        <v>0.37579257481074485</v>
      </c>
      <c r="V2805" s="23">
        <f>1.2*Table1[[#This Row],[X1]] + 1.4*Table1[[#This Row],[X2]] + 3.3*Table1[[#This Row],[x3]] + 0.6*Table1[[#This Row],[x4]] + 1*Table1[[#This Row],[x5]]</f>
        <v>1.897149671604363</v>
      </c>
      <c r="W2805" s="23">
        <f>IF(Table1[[#This Row],[Zscore]]&lt;1.81,1,0)</f>
        <v>0</v>
      </c>
    </row>
    <row r="2806" spans="1:23" x14ac:dyDescent="0.45">
      <c r="A2806" s="7">
        <v>2800</v>
      </c>
      <c r="B2806" s="5" t="s">
        <v>5607</v>
      </c>
      <c r="C2806" s="6" t="s">
        <v>5608</v>
      </c>
      <c r="D2806" s="6" t="s">
        <v>18</v>
      </c>
      <c r="E2806" s="8">
        <v>326264240436</v>
      </c>
      <c r="F2806" s="8">
        <v>316131914897</v>
      </c>
      <c r="G2806" s="8">
        <v>154885565386</v>
      </c>
      <c r="H2806" s="8">
        <v>2305723410</v>
      </c>
      <c r="I2806" s="8">
        <v>27294044442</v>
      </c>
      <c r="J2806" s="8"/>
      <c r="K2806" s="8">
        <v>154910565386</v>
      </c>
      <c r="L2806" s="8">
        <v>535834092845</v>
      </c>
      <c r="M2806" s="8">
        <v>54600000000</v>
      </c>
      <c r="N2806" s="8">
        <v>124800000000</v>
      </c>
      <c r="O2806" s="8">
        <v>87360000000</v>
      </c>
      <c r="P2806" s="8">
        <v>101400000000</v>
      </c>
      <c r="Q2806" s="18">
        <f>(Table1[[#This Row],[A. TÀI SẢN NGẮN HẠN]]-Table1[[#This Row],[I. Nợ ngắn hạn]])/Table1[[#This Row],[TỔNG CỘNG TÀI SẢN]]</f>
        <v>0.49422011218734863</v>
      </c>
      <c r="R2806" s="18">
        <f>Table1[[#This Row],[- LNST chưa phân phối kỳ này]]/Table1[[#This Row],[TỔNG CỘNG TÀI SẢN]]</f>
        <v>7.0670429800053147E-3</v>
      </c>
      <c r="S2806" s="21">
        <f>Table1[[#This Row],[5. Lợi nhuận gộp về bán hàng và cung cấp dịch vụ]]/Table1[[#This Row],[TỔNG CỘNG TÀI SẢN]]</f>
        <v>8.3656254836649804E-2</v>
      </c>
      <c r="T280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0.59414927426453046</v>
      </c>
      <c r="U2806" s="23">
        <f>Table1[[#This Row],[1. Doanh thu bán hàng và cung cấp dịch vụ ]]/Table1[[#This Row],[TỔNG CỘNG TÀI SẢN]]</f>
        <v>1.6423316638346372</v>
      </c>
      <c r="V2806" s="23">
        <f>1.2*Table1[[#This Row],[X1]] + 1.4*Table1[[#This Row],[X2]] + 3.3*Table1[[#This Row],[x3]] + 0.6*Table1[[#This Row],[x4]] + 1*Table1[[#This Row],[x5]]</f>
        <v>2.8778448641511254</v>
      </c>
      <c r="W2806" s="23">
        <f>IF(Table1[[#This Row],[Zscore]]&lt;1.81,1,0)</f>
        <v>0</v>
      </c>
    </row>
    <row r="2807" spans="1:23" ht="26.25" hidden="1" x14ac:dyDescent="0.45">
      <c r="A2807" s="7">
        <v>2801</v>
      </c>
      <c r="B2807" s="5" t="s">
        <v>5609</v>
      </c>
      <c r="C2807" s="6" t="s">
        <v>5610</v>
      </c>
      <c r="D2807" s="6" t="s">
        <v>13</v>
      </c>
      <c r="E2807" s="6"/>
      <c r="F2807" s="6"/>
      <c r="G2807" s="6"/>
      <c r="H2807" s="6"/>
      <c r="I2807" s="6"/>
      <c r="J2807" s="8"/>
      <c r="K2807" s="6"/>
      <c r="L2807" s="6"/>
      <c r="M2807" s="8"/>
      <c r="N2807" s="8"/>
      <c r="O2807" s="8"/>
      <c r="P2807" s="8"/>
      <c r="Q2807" s="18" t="e">
        <f>(Table1[[#This Row],[A. TÀI SẢN NGẮN HẠN]]-Table1[[#This Row],[I. Nợ ngắn hạn]])/Table1[[#This Row],[TỔNG CỘNG TÀI SẢN]]</f>
        <v>#DIV/0!</v>
      </c>
      <c r="R2807" s="18" t="e">
        <f>Table1[[#This Row],[- LNST chưa phân phối kỳ này]]/Table1[[#This Row],[TỔNG CỘNG TÀI SẢN]]</f>
        <v>#DIV/0!</v>
      </c>
      <c r="S2807" s="21" t="e">
        <f>Table1[[#This Row],[5. Lợi nhuận gộp về bán hàng và cung cấp dịch vụ]]/Table1[[#This Row],[TỔNG CỘNG TÀI SẢN]]</f>
        <v>#DIV/0!</v>
      </c>
      <c r="T280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807" s="23" t="e">
        <f>Table1[[#This Row],[1. Doanh thu bán hàng và cung cấp dịch vụ ]]/Table1[[#This Row],[TỔNG CỘNG TÀI SẢN]]</f>
        <v>#DIV/0!</v>
      </c>
      <c r="V2807" s="23" t="e">
        <f>1.2*Table1[[#This Row],[X1]] + 1.4*Table1[[#This Row],[X2]] + 3.3*Table1[[#This Row],[x3]] + 0.6*Table1[[#This Row],[x4]] + 1*Table1[[#This Row],[x5]]</f>
        <v>#DIV/0!</v>
      </c>
      <c r="W2807" s="23" t="e">
        <f>IF(Table1[[#This Row],[Zscore]]&lt;1.81,1,0)</f>
        <v>#DIV/0!</v>
      </c>
    </row>
    <row r="2808" spans="1:23" ht="26.25" x14ac:dyDescent="0.45">
      <c r="A2808" s="7">
        <v>2802</v>
      </c>
      <c r="B2808" s="5" t="s">
        <v>5611</v>
      </c>
      <c r="C2808" s="6" t="s">
        <v>5612</v>
      </c>
      <c r="D2808" s="6" t="s">
        <v>18</v>
      </c>
      <c r="E2808" s="8">
        <v>194808590781</v>
      </c>
      <c r="F2808" s="8">
        <v>135040940346</v>
      </c>
      <c r="G2808" s="8">
        <v>21624893663</v>
      </c>
      <c r="H2808" s="8">
        <v>-9046222597</v>
      </c>
      <c r="I2808" s="8">
        <v>5596871182</v>
      </c>
      <c r="J2808" s="8"/>
      <c r="K2808" s="8">
        <v>35891434926</v>
      </c>
      <c r="L2808" s="8">
        <v>28396795630</v>
      </c>
      <c r="M2808" s="8">
        <v>180851650000</v>
      </c>
      <c r="N2808" s="8">
        <v>130511500000</v>
      </c>
      <c r="O2808" s="8">
        <v>143562650000</v>
      </c>
      <c r="P2808" s="8">
        <v>139833750000</v>
      </c>
      <c r="Q2808" s="18">
        <f>(Table1[[#This Row],[A. TÀI SẢN NGẮN HẠN]]-Table1[[#This Row],[I. Nợ ngắn hạn]])/Table1[[#This Row],[TỔNG CỘNG TÀI SẢN]]</f>
        <v>0.58219222380444247</v>
      </c>
      <c r="R2808" s="18">
        <f>Table1[[#This Row],[- LNST chưa phân phối kỳ này]]/Table1[[#This Row],[TỔNG CỘNG TÀI SẢN]]</f>
        <v>-4.6436466486067786E-2</v>
      </c>
      <c r="S2808" s="21">
        <f>Table1[[#This Row],[5. Lợi nhuận gộp về bán hàng và cung cấp dịch vụ]]/Table1[[#This Row],[TỔNG CỘNG TÀI SẢN]]</f>
        <v>2.8730104558334867E-2</v>
      </c>
      <c r="T280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4.1427679836864932</v>
      </c>
      <c r="U2808" s="23">
        <f>Table1[[#This Row],[1. Doanh thu bán hàng và cung cấp dịch vụ ]]/Table1[[#This Row],[TỔNG CỘNG TÀI SẢN]]</f>
        <v>0.14576767644668773</v>
      </c>
      <c r="V2808" s="23">
        <f>1.2*Table1[[#This Row],[X1]] + 1.4*Table1[[#This Row],[X2]] + 3.3*Table1[[#This Row],[x3]] + 0.6*Table1[[#This Row],[x4]] + 1*Table1[[#This Row],[x5]]</f>
        <v>3.3598574271859243</v>
      </c>
      <c r="W2808" s="23">
        <f>IF(Table1[[#This Row],[Zscore]]&lt;1.81,1,0)</f>
        <v>0</v>
      </c>
    </row>
    <row r="2809" spans="1:23" x14ac:dyDescent="0.45">
      <c r="A2809" s="7">
        <v>2803</v>
      </c>
      <c r="B2809" s="5" t="s">
        <v>5613</v>
      </c>
      <c r="C2809" s="6" t="s">
        <v>5614</v>
      </c>
      <c r="D2809" s="6" t="s">
        <v>36</v>
      </c>
      <c r="E2809" s="8">
        <v>766700882415</v>
      </c>
      <c r="F2809" s="8">
        <v>464555335979</v>
      </c>
      <c r="G2809" s="8">
        <v>461202106705</v>
      </c>
      <c r="H2809" s="8">
        <v>2140548089</v>
      </c>
      <c r="I2809" s="8">
        <v>86874443045</v>
      </c>
      <c r="J2809" s="8"/>
      <c r="K2809" s="8">
        <v>658757230840</v>
      </c>
      <c r="L2809" s="8">
        <v>1133906688788</v>
      </c>
      <c r="M2809" s="8">
        <v>69519903200</v>
      </c>
      <c r="N2809" s="8">
        <v>66359907600</v>
      </c>
      <c r="O2809" s="8">
        <v>63199912000</v>
      </c>
      <c r="P2809" s="8">
        <v>63199912000</v>
      </c>
      <c r="Q2809" s="18">
        <f>(Table1[[#This Row],[A. TÀI SẢN NGẮN HẠN]]-Table1[[#This Row],[I. Nợ ngắn hạn]])/Table1[[#This Row],[TỔNG CỘNG TÀI SẢN]]</f>
        <v>4.3735821242800706E-3</v>
      </c>
      <c r="R2809" s="18">
        <f>Table1[[#This Row],[- LNST chưa phân phối kỳ này]]/Table1[[#This Row],[TỔNG CỘNG TÀI SẢN]]</f>
        <v>2.7918946463940074E-3</v>
      </c>
      <c r="S2809" s="21">
        <f>Table1[[#This Row],[5. Lợi nhuận gộp về bán hàng và cung cấp dịch vụ]]/Table1[[#This Row],[TỔNG CỘNG TÀI SẢN]]</f>
        <v>0.11330943401468081</v>
      </c>
      <c r="T280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9.9535770736649001E-2</v>
      </c>
      <c r="U2809" s="23">
        <f>Table1[[#This Row],[1. Doanh thu bán hàng và cung cấp dịch vụ ]]/Table1[[#This Row],[TỔNG CỘNG TÀI SẢN]]</f>
        <v>1.4789427204209722</v>
      </c>
      <c r="V2809" s="23">
        <f>1.2*Table1[[#This Row],[X1]] + 1.4*Table1[[#This Row],[X2]] + 3.3*Table1[[#This Row],[x3]] + 0.6*Table1[[#This Row],[x4]] + 1*Table1[[#This Row],[x5]]</f>
        <v>1.9217422661654959</v>
      </c>
      <c r="W2809" s="23">
        <f>IF(Table1[[#This Row],[Zscore]]&lt;1.81,1,0)</f>
        <v>0</v>
      </c>
    </row>
    <row r="2810" spans="1:23" ht="26.25" hidden="1" x14ac:dyDescent="0.45">
      <c r="A2810" s="7">
        <v>2804</v>
      </c>
      <c r="B2810" s="5" t="s">
        <v>5615</v>
      </c>
      <c r="C2810" s="6" t="s">
        <v>5616</v>
      </c>
      <c r="D2810" s="6" t="s">
        <v>18</v>
      </c>
      <c r="E2810" s="6"/>
      <c r="F2810" s="6"/>
      <c r="G2810" s="6"/>
      <c r="H2810" s="6"/>
      <c r="I2810" s="6"/>
      <c r="J2810" s="8"/>
      <c r="K2810" s="6"/>
      <c r="L2810" s="6"/>
      <c r="M2810" s="8"/>
      <c r="N2810" s="8"/>
      <c r="O2810" s="8"/>
      <c r="P2810" s="8"/>
      <c r="Q2810" s="18" t="e">
        <f>(Table1[[#This Row],[A. TÀI SẢN NGẮN HẠN]]-Table1[[#This Row],[I. Nợ ngắn hạn]])/Table1[[#This Row],[TỔNG CỘNG TÀI SẢN]]</f>
        <v>#DIV/0!</v>
      </c>
      <c r="R2810" s="18" t="e">
        <f>Table1[[#This Row],[- LNST chưa phân phối kỳ này]]/Table1[[#This Row],[TỔNG CỘNG TÀI SẢN]]</f>
        <v>#DIV/0!</v>
      </c>
      <c r="S2810" s="21" t="e">
        <f>Table1[[#This Row],[5. Lợi nhuận gộp về bán hàng và cung cấp dịch vụ]]/Table1[[#This Row],[TỔNG CỘNG TÀI SẢN]]</f>
        <v>#DIV/0!</v>
      </c>
      <c r="T281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810" s="23" t="e">
        <f>Table1[[#This Row],[1. Doanh thu bán hàng và cung cấp dịch vụ ]]/Table1[[#This Row],[TỔNG CỘNG TÀI SẢN]]</f>
        <v>#DIV/0!</v>
      </c>
      <c r="V2810" s="23" t="e">
        <f>1.2*Table1[[#This Row],[X1]] + 1.4*Table1[[#This Row],[X2]] + 3.3*Table1[[#This Row],[x3]] + 0.6*Table1[[#This Row],[x4]] + 1*Table1[[#This Row],[x5]]</f>
        <v>#DIV/0!</v>
      </c>
      <c r="W2810" s="23" t="e">
        <f>IF(Table1[[#This Row],[Zscore]]&lt;1.81,1,0)</f>
        <v>#DIV/0!</v>
      </c>
    </row>
    <row r="2811" spans="1:23" ht="26.25" x14ac:dyDescent="0.45">
      <c r="A2811" s="7">
        <v>2805</v>
      </c>
      <c r="B2811" s="5" t="s">
        <v>5617</v>
      </c>
      <c r="C2811" s="6" t="s">
        <v>5618</v>
      </c>
      <c r="D2811" s="6" t="s">
        <v>36</v>
      </c>
      <c r="E2811" s="8">
        <v>105023029732</v>
      </c>
      <c r="F2811" s="8">
        <v>14961573228</v>
      </c>
      <c r="G2811" s="8">
        <v>2542857795</v>
      </c>
      <c r="H2811" s="8">
        <v>150752366</v>
      </c>
      <c r="I2811" s="8">
        <v>146588000</v>
      </c>
      <c r="J2811" s="8"/>
      <c r="K2811" s="8">
        <v>7792574686</v>
      </c>
      <c r="L2811" s="8">
        <v>8941868000</v>
      </c>
      <c r="M2811" s="8">
        <v>47880000000</v>
      </c>
      <c r="N2811" s="8">
        <v>42180000000</v>
      </c>
      <c r="O2811" s="8">
        <v>43320000000</v>
      </c>
      <c r="P2811" s="8">
        <v>47880000000</v>
      </c>
      <c r="Q2811" s="18">
        <f>(Table1[[#This Row],[A. TÀI SẢN NGẮN HẠN]]-Table1[[#This Row],[I. Nợ ngắn hạn]])/Table1[[#This Row],[TỔNG CỘNG TÀI SẢN]]</f>
        <v>0.11824754498789782</v>
      </c>
      <c r="R2811" s="18">
        <f>Table1[[#This Row],[- LNST chưa phân phối kỳ này]]/Table1[[#This Row],[TỔNG CỘNG TÀI SẢN]]</f>
        <v>1.4354219868222531E-3</v>
      </c>
      <c r="S2811" s="21">
        <f>Table1[[#This Row],[5. Lợi nhuận gộp về bán hàng và cung cấp dịch vụ]]/Table1[[#This Row],[TỔNG CỘNG TÀI SẢN]]</f>
        <v>1.3957700551399668E-3</v>
      </c>
      <c r="T281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5.8151511953311292</v>
      </c>
      <c r="U2811" s="23">
        <f>Table1[[#This Row],[1. Doanh thu bán hàng và cung cấp dịch vụ ]]/Table1[[#This Row],[TỔNG CỘNG TÀI SẢN]]</f>
        <v>8.5141973363537973E-2</v>
      </c>
      <c r="V2811" s="23">
        <f>1.2*Table1[[#This Row],[X1]] + 1.4*Table1[[#This Row],[X2]] + 3.3*Table1[[#This Row],[x3]] + 0.6*Table1[[#This Row],[x4]] + 1*Table1[[#This Row],[x5]]</f>
        <v>3.7227453765112055</v>
      </c>
      <c r="W2811" s="23">
        <f>IF(Table1[[#This Row],[Zscore]]&lt;1.81,1,0)</f>
        <v>0</v>
      </c>
    </row>
    <row r="2812" spans="1:23" hidden="1" x14ac:dyDescent="0.45">
      <c r="A2812" s="7">
        <v>2806</v>
      </c>
      <c r="B2812" s="5" t="s">
        <v>5619</v>
      </c>
      <c r="C2812" s="6" t="s">
        <v>5620</v>
      </c>
      <c r="D2812" s="6" t="s">
        <v>18</v>
      </c>
      <c r="E2812" s="6"/>
      <c r="F2812" s="6"/>
      <c r="G2812" s="6"/>
      <c r="H2812" s="6"/>
      <c r="I2812" s="6"/>
      <c r="J2812" s="8"/>
      <c r="K2812" s="6"/>
      <c r="L2812" s="6"/>
      <c r="M2812" s="8"/>
      <c r="N2812" s="8"/>
      <c r="O2812" s="8"/>
      <c r="P2812" s="8"/>
      <c r="Q2812" s="18" t="e">
        <f>(Table1[[#This Row],[A. TÀI SẢN NGẮN HẠN]]-Table1[[#This Row],[I. Nợ ngắn hạn]])/Table1[[#This Row],[TỔNG CỘNG TÀI SẢN]]</f>
        <v>#DIV/0!</v>
      </c>
      <c r="R2812" s="18" t="e">
        <f>Table1[[#This Row],[- LNST chưa phân phối kỳ này]]/Table1[[#This Row],[TỔNG CỘNG TÀI SẢN]]</f>
        <v>#DIV/0!</v>
      </c>
      <c r="S2812" s="21" t="e">
        <f>Table1[[#This Row],[5. Lợi nhuận gộp về bán hàng và cung cấp dịch vụ]]/Table1[[#This Row],[TỔNG CỘNG TÀI SẢN]]</f>
        <v>#DIV/0!</v>
      </c>
      <c r="T281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812" s="23" t="e">
        <f>Table1[[#This Row],[1. Doanh thu bán hàng và cung cấp dịch vụ ]]/Table1[[#This Row],[TỔNG CỘNG TÀI SẢN]]</f>
        <v>#DIV/0!</v>
      </c>
      <c r="V2812" s="23" t="e">
        <f>1.2*Table1[[#This Row],[X1]] + 1.4*Table1[[#This Row],[X2]] + 3.3*Table1[[#This Row],[x3]] + 0.6*Table1[[#This Row],[x4]] + 1*Table1[[#This Row],[x5]]</f>
        <v>#DIV/0!</v>
      </c>
      <c r="W2812" s="23" t="e">
        <f>IF(Table1[[#This Row],[Zscore]]&lt;1.81,1,0)</f>
        <v>#DIV/0!</v>
      </c>
    </row>
    <row r="2813" spans="1:23" hidden="1" x14ac:dyDescent="0.45">
      <c r="A2813" s="7">
        <v>2807</v>
      </c>
      <c r="B2813" s="5" t="s">
        <v>5621</v>
      </c>
      <c r="C2813" s="6" t="s">
        <v>5622</v>
      </c>
      <c r="D2813" s="6" t="s">
        <v>13</v>
      </c>
      <c r="E2813" s="6"/>
      <c r="F2813" s="6"/>
      <c r="G2813" s="6"/>
      <c r="H2813" s="6"/>
      <c r="I2813" s="6"/>
      <c r="J2813" s="8"/>
      <c r="K2813" s="6"/>
      <c r="L2813" s="6"/>
      <c r="M2813" s="8"/>
      <c r="N2813" s="8"/>
      <c r="O2813" s="8"/>
      <c r="P2813" s="8"/>
      <c r="Q2813" s="18" t="e">
        <f>(Table1[[#This Row],[A. TÀI SẢN NGẮN HẠN]]-Table1[[#This Row],[I. Nợ ngắn hạn]])/Table1[[#This Row],[TỔNG CỘNG TÀI SẢN]]</f>
        <v>#DIV/0!</v>
      </c>
      <c r="R2813" s="18" t="e">
        <f>Table1[[#This Row],[- LNST chưa phân phối kỳ này]]/Table1[[#This Row],[TỔNG CỘNG TÀI SẢN]]</f>
        <v>#DIV/0!</v>
      </c>
      <c r="S2813" s="21" t="e">
        <f>Table1[[#This Row],[5. Lợi nhuận gộp về bán hàng và cung cấp dịch vụ]]/Table1[[#This Row],[TỔNG CỘNG TÀI SẢN]]</f>
        <v>#DIV/0!</v>
      </c>
      <c r="T281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813" s="23" t="e">
        <f>Table1[[#This Row],[1. Doanh thu bán hàng và cung cấp dịch vụ ]]/Table1[[#This Row],[TỔNG CỘNG TÀI SẢN]]</f>
        <v>#DIV/0!</v>
      </c>
      <c r="V2813" s="23" t="e">
        <f>1.2*Table1[[#This Row],[X1]] + 1.4*Table1[[#This Row],[X2]] + 3.3*Table1[[#This Row],[x3]] + 0.6*Table1[[#This Row],[x4]] + 1*Table1[[#This Row],[x5]]</f>
        <v>#DIV/0!</v>
      </c>
      <c r="W2813" s="23" t="e">
        <f>IF(Table1[[#This Row],[Zscore]]&lt;1.81,1,0)</f>
        <v>#DIV/0!</v>
      </c>
    </row>
    <row r="2814" spans="1:23" ht="26.25" hidden="1" x14ac:dyDescent="0.45">
      <c r="A2814" s="7">
        <v>2808</v>
      </c>
      <c r="B2814" s="5" t="s">
        <v>5623</v>
      </c>
      <c r="C2814" s="6" t="s">
        <v>5624</v>
      </c>
      <c r="D2814" s="6" t="s">
        <v>18</v>
      </c>
      <c r="E2814" s="6"/>
      <c r="F2814" s="6"/>
      <c r="G2814" s="6"/>
      <c r="H2814" s="6"/>
      <c r="I2814" s="6"/>
      <c r="J2814" s="8"/>
      <c r="K2814" s="6"/>
      <c r="L2814" s="6"/>
      <c r="M2814" s="8"/>
      <c r="N2814" s="8"/>
      <c r="O2814" s="8"/>
      <c r="P2814" s="8"/>
      <c r="Q2814" s="18" t="e">
        <f>(Table1[[#This Row],[A. TÀI SẢN NGẮN HẠN]]-Table1[[#This Row],[I. Nợ ngắn hạn]])/Table1[[#This Row],[TỔNG CỘNG TÀI SẢN]]</f>
        <v>#DIV/0!</v>
      </c>
      <c r="R2814" s="18" t="e">
        <f>Table1[[#This Row],[- LNST chưa phân phối kỳ này]]/Table1[[#This Row],[TỔNG CỘNG TÀI SẢN]]</f>
        <v>#DIV/0!</v>
      </c>
      <c r="S2814" s="21" t="e">
        <f>Table1[[#This Row],[5. Lợi nhuận gộp về bán hàng và cung cấp dịch vụ]]/Table1[[#This Row],[TỔNG CỘNG TÀI SẢN]]</f>
        <v>#DIV/0!</v>
      </c>
      <c r="T281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814" s="23" t="e">
        <f>Table1[[#This Row],[1. Doanh thu bán hàng và cung cấp dịch vụ ]]/Table1[[#This Row],[TỔNG CỘNG TÀI SẢN]]</f>
        <v>#DIV/0!</v>
      </c>
      <c r="V2814" s="23" t="e">
        <f>1.2*Table1[[#This Row],[X1]] + 1.4*Table1[[#This Row],[X2]] + 3.3*Table1[[#This Row],[x3]] + 0.6*Table1[[#This Row],[x4]] + 1*Table1[[#This Row],[x5]]</f>
        <v>#DIV/0!</v>
      </c>
      <c r="W2814" s="23" t="e">
        <f>IF(Table1[[#This Row],[Zscore]]&lt;1.81,1,0)</f>
        <v>#DIV/0!</v>
      </c>
    </row>
    <row r="2815" spans="1:23" x14ac:dyDescent="0.45">
      <c r="A2815" s="7">
        <v>2809</v>
      </c>
      <c r="B2815" s="5" t="s">
        <v>5625</v>
      </c>
      <c r="C2815" s="6" t="s">
        <v>5626</v>
      </c>
      <c r="D2815" s="6" t="s">
        <v>21</v>
      </c>
      <c r="E2815" s="8">
        <v>1556847175978</v>
      </c>
      <c r="F2815" s="8">
        <v>1145458352009</v>
      </c>
      <c r="G2815" s="8">
        <v>297532687418</v>
      </c>
      <c r="H2815" s="8">
        <v>117216969534</v>
      </c>
      <c r="I2815" s="8">
        <v>275994080434</v>
      </c>
      <c r="J2815" s="8"/>
      <c r="K2815" s="8">
        <v>376712987837</v>
      </c>
      <c r="L2815" s="8">
        <v>1129966254692</v>
      </c>
      <c r="M2815" s="8">
        <v>1118133324000</v>
      </c>
      <c r="N2815" s="8">
        <v>910479992400</v>
      </c>
      <c r="O2815" s="8">
        <v>998333325000</v>
      </c>
      <c r="P2815" s="8">
        <v>942426658800</v>
      </c>
      <c r="Q2815" s="18">
        <f>(Table1[[#This Row],[A. TÀI SẢN NGẮN HẠN]]-Table1[[#This Row],[I. Nợ ngắn hạn]])/Table1[[#This Row],[TỔNG CỘNG TÀI SẢN]]</f>
        <v>0.54464283821457249</v>
      </c>
      <c r="R2815" s="18">
        <f>Table1[[#This Row],[- LNST chưa phân phối kỳ này]]/Table1[[#This Row],[TỔNG CỘNG TÀI SẢN]]</f>
        <v>7.5291249740274069E-2</v>
      </c>
      <c r="S2815" s="21">
        <f>Table1[[#This Row],[5. Lợi nhuận gộp về bán hàng và cung cấp dịch vụ]]/Table1[[#This Row],[TỔNG CỘNG TÀI SẢN]]</f>
        <v>0.17727756756896998</v>
      </c>
      <c r="T281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2.634215854217846</v>
      </c>
      <c r="U2815" s="23">
        <f>Table1[[#This Row],[1. Doanh thu bán hàng và cung cấp dịch vụ ]]/Table1[[#This Row],[TỔNG CỘNG TÀI SẢN]]</f>
        <v>0.72580422287252666</v>
      </c>
      <c r="V2815" s="23">
        <f>1.2*Table1[[#This Row],[X1]] + 1.4*Table1[[#This Row],[X2]] + 3.3*Table1[[#This Row],[x3]] + 0.6*Table1[[#This Row],[x4]] + 1*Table1[[#This Row],[x5]]</f>
        <v>3.650328863874706</v>
      </c>
      <c r="W2815" s="23">
        <f>IF(Table1[[#This Row],[Zscore]]&lt;1.81,1,0)</f>
        <v>0</v>
      </c>
    </row>
    <row r="2816" spans="1:23" ht="26.25" x14ac:dyDescent="0.45">
      <c r="A2816" s="7">
        <v>2810</v>
      </c>
      <c r="B2816" s="5" t="s">
        <v>5627</v>
      </c>
      <c r="C2816" s="6" t="s">
        <v>5628</v>
      </c>
      <c r="D2816" s="6" t="s">
        <v>21</v>
      </c>
      <c r="E2816" s="8">
        <v>7529014106800</v>
      </c>
      <c r="F2816" s="8">
        <v>5698167338303</v>
      </c>
      <c r="G2816" s="8">
        <v>5237832342138</v>
      </c>
      <c r="H2816" s="8">
        <v>348582505319</v>
      </c>
      <c r="I2816" s="8">
        <v>1137449097043</v>
      </c>
      <c r="J2816" s="8"/>
      <c r="K2816" s="8">
        <v>5760785828721</v>
      </c>
      <c r="L2816" s="8">
        <v>20846867628082</v>
      </c>
      <c r="M2816" s="8">
        <v>16903486229600</v>
      </c>
      <c r="N2816" s="8">
        <v>12032164549600</v>
      </c>
      <c r="O2816" s="8">
        <v>14370398956000</v>
      </c>
      <c r="P2816" s="8">
        <v>11959094724400</v>
      </c>
      <c r="Q2816" s="18">
        <f>(Table1[[#This Row],[A. TÀI SẢN NGẮN HẠN]]-Table1[[#This Row],[I. Nợ ngắn hạn]])/Table1[[#This Row],[TỔNG CỘNG TÀI SẢN]]</f>
        <v>6.1141470800172626E-2</v>
      </c>
      <c r="R2816" s="18">
        <f>Table1[[#This Row],[- LNST chưa phân phối kỳ này]]/Table1[[#This Row],[TỔNG CỘNG TÀI SẢN]]</f>
        <v>4.629855919703614E-2</v>
      </c>
      <c r="S2816" s="21">
        <f>Table1[[#This Row],[5. Lợi nhuận gộp về bán hàng và cung cấp dịch vụ]]/Table1[[#This Row],[TỔNG CỘNG TÀI SẢN]]</f>
        <v>0.15107543709018781</v>
      </c>
      <c r="T281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2.3983335825500509</v>
      </c>
      <c r="U2816" s="23">
        <f>Table1[[#This Row],[1. Doanh thu bán hàng và cung cấp dịch vụ ]]/Table1[[#This Row],[TỔNG CỘNG TÀI SẢN]]</f>
        <v>2.7688708418348797</v>
      </c>
      <c r="V2816" s="23">
        <f>1.2*Table1[[#This Row],[X1]] + 1.4*Table1[[#This Row],[X2]] + 3.3*Table1[[#This Row],[x3]] + 0.6*Table1[[#This Row],[x4]] + 1*Table1[[#This Row],[x5]]</f>
        <v>4.8446076815985872</v>
      </c>
      <c r="W2816" s="23">
        <f>IF(Table1[[#This Row],[Zscore]]&lt;1.81,1,0)</f>
        <v>0</v>
      </c>
    </row>
    <row r="2817" spans="1:23" hidden="1" x14ac:dyDescent="0.45">
      <c r="A2817" s="7">
        <v>2811</v>
      </c>
      <c r="B2817" s="5" t="s">
        <v>5629</v>
      </c>
      <c r="C2817" s="6" t="s">
        <v>5630</v>
      </c>
      <c r="D2817" s="6" t="s">
        <v>13</v>
      </c>
      <c r="E2817" s="6"/>
      <c r="F2817" s="6"/>
      <c r="G2817" s="6"/>
      <c r="H2817" s="6"/>
      <c r="I2817" s="6"/>
      <c r="J2817" s="8"/>
      <c r="K2817" s="6"/>
      <c r="L2817" s="6"/>
      <c r="M2817" s="8"/>
      <c r="N2817" s="8"/>
      <c r="O2817" s="8"/>
      <c r="P2817" s="8"/>
      <c r="Q2817" s="18" t="e">
        <f>(Table1[[#This Row],[A. TÀI SẢN NGẮN HẠN]]-Table1[[#This Row],[I. Nợ ngắn hạn]])/Table1[[#This Row],[TỔNG CỘNG TÀI SẢN]]</f>
        <v>#DIV/0!</v>
      </c>
      <c r="R2817" s="18" t="e">
        <f>Table1[[#This Row],[- LNST chưa phân phối kỳ này]]/Table1[[#This Row],[TỔNG CỘNG TÀI SẢN]]</f>
        <v>#DIV/0!</v>
      </c>
      <c r="S2817" s="21" t="e">
        <f>Table1[[#This Row],[5. Lợi nhuận gộp về bán hàng và cung cấp dịch vụ]]/Table1[[#This Row],[TỔNG CỘNG TÀI SẢN]]</f>
        <v>#DIV/0!</v>
      </c>
      <c r="T281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817" s="23" t="e">
        <f>Table1[[#This Row],[1. Doanh thu bán hàng và cung cấp dịch vụ ]]/Table1[[#This Row],[TỔNG CỘNG TÀI SẢN]]</f>
        <v>#DIV/0!</v>
      </c>
      <c r="V2817" s="23" t="e">
        <f>1.2*Table1[[#This Row],[X1]] + 1.4*Table1[[#This Row],[X2]] + 3.3*Table1[[#This Row],[x3]] + 0.6*Table1[[#This Row],[x4]] + 1*Table1[[#This Row],[x5]]</f>
        <v>#DIV/0!</v>
      </c>
      <c r="W2817" s="23" t="e">
        <f>IF(Table1[[#This Row],[Zscore]]&lt;1.81,1,0)</f>
        <v>#DIV/0!</v>
      </c>
    </row>
    <row r="2818" spans="1:23" x14ac:dyDescent="0.45">
      <c r="A2818" s="7">
        <v>2812</v>
      </c>
      <c r="B2818" s="5" t="s">
        <v>5631</v>
      </c>
      <c r="C2818" s="6" t="s">
        <v>5632</v>
      </c>
      <c r="D2818" s="6" t="s">
        <v>18</v>
      </c>
      <c r="E2818" s="8">
        <v>221667552286</v>
      </c>
      <c r="F2818" s="8">
        <v>42424308454</v>
      </c>
      <c r="G2818" s="8">
        <v>78738280171</v>
      </c>
      <c r="H2818" s="8">
        <v>6657609168</v>
      </c>
      <c r="I2818" s="8">
        <v>19347187037</v>
      </c>
      <c r="J2818" s="8"/>
      <c r="K2818" s="8">
        <v>87494592479</v>
      </c>
      <c r="L2818" s="8">
        <v>110782461920</v>
      </c>
      <c r="M2818" s="8">
        <v>556866386600</v>
      </c>
      <c r="N2818" s="8">
        <v>172526089100</v>
      </c>
      <c r="O2818" s="8">
        <v>153736119000</v>
      </c>
      <c r="P2818" s="8">
        <v>187899701000</v>
      </c>
      <c r="Q2818" s="18">
        <f>(Table1[[#This Row],[A. TÀI SẢN NGẮN HẠN]]-Table1[[#This Row],[I. Nợ ngắn hạn]])/Table1[[#This Row],[TỔNG CỘNG TÀI SẢN]]</f>
        <v>-0.16382177428542619</v>
      </c>
      <c r="R2818" s="18">
        <f>Table1[[#This Row],[- LNST chưa phân phối kỳ này]]/Table1[[#This Row],[TỔNG CỘNG TÀI SẢN]]</f>
        <v>3.0034207078761879E-2</v>
      </c>
      <c r="S2818" s="21">
        <f>Table1[[#This Row],[5. Lợi nhuận gộp về bán hàng và cung cấp dịch vụ]]/Table1[[#This Row],[TỔNG CỘNG TÀI SẢN]]</f>
        <v>8.7280194315665402E-2</v>
      </c>
      <c r="T2818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3.0602699702757707</v>
      </c>
      <c r="U2818" s="23">
        <f>Table1[[#This Row],[1. Doanh thu bán hàng và cung cấp dịch vụ ]]/Table1[[#This Row],[TỔNG CỘNG TÀI SẢN]]</f>
        <v>0.49976850818953517</v>
      </c>
      <c r="V2818" s="23">
        <f>1.2*Table1[[#This Row],[X1]] + 1.4*Table1[[#This Row],[X2]] + 3.3*Table1[[#This Row],[x3]] + 0.6*Table1[[#This Row],[x4]] + 1*Table1[[#This Row],[x5]]</f>
        <v>2.4694168923644488</v>
      </c>
      <c r="W2818" s="23">
        <f>IF(Table1[[#This Row],[Zscore]]&lt;1.81,1,0)</f>
        <v>0</v>
      </c>
    </row>
    <row r="2819" spans="1:23" x14ac:dyDescent="0.45">
      <c r="A2819" s="7">
        <v>2813</v>
      </c>
      <c r="B2819" s="5" t="s">
        <v>5633</v>
      </c>
      <c r="C2819" s="6" t="s">
        <v>5634</v>
      </c>
      <c r="D2819" s="6" t="s">
        <v>18</v>
      </c>
      <c r="E2819" s="8">
        <v>2947071562510</v>
      </c>
      <c r="F2819" s="8">
        <v>2435454782675</v>
      </c>
      <c r="G2819" s="8">
        <v>2058546392838</v>
      </c>
      <c r="H2819" s="8">
        <v>1276588648</v>
      </c>
      <c r="I2819" s="8">
        <v>440334964605</v>
      </c>
      <c r="J2819" s="8"/>
      <c r="K2819" s="8">
        <v>2155084448125</v>
      </c>
      <c r="L2819" s="8">
        <v>7207754644958</v>
      </c>
      <c r="M2819" s="8">
        <v>626394837600</v>
      </c>
      <c r="N2819" s="8">
        <v>856876371000</v>
      </c>
      <c r="O2819" s="8">
        <v>492921848400</v>
      </c>
      <c r="P2819" s="8">
        <v>487190199000</v>
      </c>
      <c r="Q2819" s="18">
        <f>(Table1[[#This Row],[A. TÀI SẢN NGẮN HẠN]]-Table1[[#This Row],[I. Nợ ngắn hạn]])/Table1[[#This Row],[TỔNG CỘNG TÀI SẢN]]</f>
        <v>0.12789251358253065</v>
      </c>
      <c r="R2819" s="18">
        <f>Table1[[#This Row],[- LNST chưa phân phối kỳ này]]/Table1[[#This Row],[TỔNG CỘNG TÀI SẢN]]</f>
        <v>4.3317192030204333E-4</v>
      </c>
      <c r="S2819" s="21">
        <f>Table1[[#This Row],[5. Lợi nhuận gộp về bán hàng và cung cấp dịch vụ]]/Table1[[#This Row],[TỔNG CỘNG TÀI SẢN]]</f>
        <v>0.14941441199003999</v>
      </c>
      <c r="T281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0.28576412146438518</v>
      </c>
      <c r="U2819" s="23">
        <f>Table1[[#This Row],[1. Doanh thu bán hàng và cung cấp dịch vụ ]]/Table1[[#This Row],[TỔNG CỘNG TÀI SẢN]]</f>
        <v>2.4457345171554663</v>
      </c>
      <c r="V2819" s="23">
        <f>1.2*Table1[[#This Row],[X1]] + 1.4*Table1[[#This Row],[X2]] + 3.3*Table1[[#This Row],[x3]] + 0.6*Table1[[#This Row],[x4]] + 1*Table1[[#This Row],[x5]]</f>
        <v>3.2643380065886891</v>
      </c>
      <c r="W2819" s="23">
        <f>IF(Table1[[#This Row],[Zscore]]&lt;1.81,1,0)</f>
        <v>0</v>
      </c>
    </row>
    <row r="2820" spans="1:23" x14ac:dyDescent="0.45">
      <c r="A2820" s="7">
        <v>2814</v>
      </c>
      <c r="B2820" s="5" t="s">
        <v>5635</v>
      </c>
      <c r="C2820" s="6" t="s">
        <v>5636</v>
      </c>
      <c r="D2820" s="6" t="s">
        <v>18</v>
      </c>
      <c r="E2820" s="8">
        <v>16828735599</v>
      </c>
      <c r="F2820" s="8">
        <v>16305108741</v>
      </c>
      <c r="G2820" s="8">
        <v>4446162868</v>
      </c>
      <c r="H2820" s="8">
        <v>728129031</v>
      </c>
      <c r="I2820" s="8">
        <v>1420647598</v>
      </c>
      <c r="J2820" s="8"/>
      <c r="K2820" s="8">
        <v>4505212868</v>
      </c>
      <c r="L2820" s="8">
        <v>6956086975</v>
      </c>
      <c r="M2820" s="8">
        <v>25000000000</v>
      </c>
      <c r="N2820" s="8"/>
      <c r="O2820" s="8">
        <v>20400000000</v>
      </c>
      <c r="P2820" s="8">
        <v>19600000000</v>
      </c>
      <c r="Q2820" s="18">
        <f>(Table1[[#This Row],[A. TÀI SẢN NGẮN HẠN]]-Table1[[#This Row],[I. Nợ ngắn hạn]])/Table1[[#This Row],[TỔNG CỘNG TÀI SẢN]]</f>
        <v>0.70468430638988022</v>
      </c>
      <c r="R2820" s="18">
        <f>Table1[[#This Row],[- LNST chưa phân phối kỳ này]]/Table1[[#This Row],[TỔNG CỘNG TÀI SẢN]]</f>
        <v>4.3267007596415441E-2</v>
      </c>
      <c r="S2820" s="21">
        <f>Table1[[#This Row],[5. Lợi nhuận gộp về bán hàng và cung cấp dịch vụ]]/Table1[[#This Row],[TỔNG CỘNG TÀI SẢN]]</f>
        <v>8.4417964121108302E-2</v>
      </c>
      <c r="T282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4.8092437142232427</v>
      </c>
      <c r="U2820" s="23">
        <f>Table1[[#This Row],[1. Doanh thu bán hàng và cung cấp dịch vụ ]]/Table1[[#This Row],[TỔNG CỘNG TÀI SẢN]]</f>
        <v>0.41334578786853993</v>
      </c>
      <c r="V2820" s="23">
        <f>1.2*Table1[[#This Row],[X1]] + 1.4*Table1[[#This Row],[X2]] + 3.3*Table1[[#This Row],[x3]] + 0.6*Table1[[#This Row],[x4]] + 1*Table1[[#This Row],[x5]]</f>
        <v>4.4836662763049802</v>
      </c>
      <c r="W2820" s="23">
        <f>IF(Table1[[#This Row],[Zscore]]&lt;1.81,1,0)</f>
        <v>0</v>
      </c>
    </row>
    <row r="2821" spans="1:23" hidden="1" x14ac:dyDescent="0.45">
      <c r="A2821" s="7">
        <v>2815</v>
      </c>
      <c r="B2821" s="5" t="s">
        <v>5637</v>
      </c>
      <c r="C2821" s="6" t="s">
        <v>5638</v>
      </c>
      <c r="D2821" s="6" t="s">
        <v>13</v>
      </c>
      <c r="E2821" s="8">
        <v>319943354525</v>
      </c>
      <c r="F2821" s="8">
        <v>309100196195</v>
      </c>
      <c r="G2821" s="8">
        <v>7205452355</v>
      </c>
      <c r="H2821" s="8">
        <v>-18624571123</v>
      </c>
      <c r="I2821" s="8">
        <v>32760073432</v>
      </c>
      <c r="J2821" s="8"/>
      <c r="K2821" s="8">
        <v>7205452355</v>
      </c>
      <c r="L2821" s="8">
        <v>119848315270</v>
      </c>
      <c r="M2821" s="8"/>
      <c r="N2821" s="8"/>
      <c r="O2821" s="8"/>
      <c r="P2821" s="8"/>
      <c r="Q2821" s="18">
        <f>(Table1[[#This Row],[A. TÀI SẢN NGẮN HẠN]]-Table1[[#This Row],[I. Nợ ngắn hạn]])/Table1[[#This Row],[TỔNG CỘNG TÀI SẢN]]</f>
        <v>0.94358810573891849</v>
      </c>
      <c r="R2821" s="18">
        <f>Table1[[#This Row],[- LNST chưa phân phối kỳ này]]/Table1[[#This Row],[TỔNG CỘNG TÀI SẢN]]</f>
        <v>-5.8212089295152709E-2</v>
      </c>
      <c r="S2821" s="21">
        <f>Table1[[#This Row],[5. Lợi nhuận gộp về bán hàng và cung cấp dịch vụ]]/Table1[[#This Row],[TỔNG CỘNG TÀI SẢN]]</f>
        <v>0.10239335485069488</v>
      </c>
      <c r="T282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821" s="23">
        <f>Table1[[#This Row],[1. Doanh thu bán hàng và cung cấp dịch vụ ]]/Table1[[#This Row],[TỔNG CỘNG TÀI SẢN]]</f>
        <v>0.37459229446391012</v>
      </c>
      <c r="V2821" s="23" t="e">
        <f>1.2*Table1[[#This Row],[X1]] + 1.4*Table1[[#This Row],[X2]] + 3.3*Table1[[#This Row],[x3]] + 0.6*Table1[[#This Row],[x4]] + 1*Table1[[#This Row],[x5]]</f>
        <v>#DIV/0!</v>
      </c>
      <c r="W2821" s="23" t="e">
        <f>IF(Table1[[#This Row],[Zscore]]&lt;1.81,1,0)</f>
        <v>#DIV/0!</v>
      </c>
    </row>
    <row r="2822" spans="1:23" hidden="1" x14ac:dyDescent="0.45">
      <c r="A2822" s="7">
        <v>2816</v>
      </c>
      <c r="B2822" s="5" t="s">
        <v>5639</v>
      </c>
      <c r="C2822" s="6" t="s">
        <v>5640</v>
      </c>
      <c r="D2822" s="6" t="s">
        <v>13</v>
      </c>
      <c r="E2822" s="8">
        <v>3035909843371</v>
      </c>
      <c r="F2822" s="8">
        <v>2987794860022</v>
      </c>
      <c r="G2822" s="8">
        <v>7470471445</v>
      </c>
      <c r="H2822" s="8">
        <v>59501959</v>
      </c>
      <c r="I2822" s="8">
        <v>69011203283</v>
      </c>
      <c r="J2822" s="8"/>
      <c r="K2822" s="8">
        <v>7470471445</v>
      </c>
      <c r="L2822" s="8">
        <v>77523866071</v>
      </c>
      <c r="M2822" s="8"/>
      <c r="N2822" s="8"/>
      <c r="O2822" s="8"/>
      <c r="P2822" s="8"/>
      <c r="Q2822" s="18">
        <f>(Table1[[#This Row],[A. TÀI SẢN NGẮN HẠN]]-Table1[[#This Row],[I. Nợ ngắn hạn]])/Table1[[#This Row],[TỔNG CỘNG TÀI SẢN]]</f>
        <v>0.98169067671249444</v>
      </c>
      <c r="R2822" s="18">
        <f>Table1[[#This Row],[- LNST chưa phân phối kỳ này]]/Table1[[#This Row],[TỔNG CỘNG TÀI SẢN]]</f>
        <v>1.9599382745151114E-5</v>
      </c>
      <c r="S2822" s="21">
        <f>Table1[[#This Row],[5. Lợi nhuận gộp về bán hàng và cung cấp dịch vụ]]/Table1[[#This Row],[TỔNG CỘNG TÀI SẢN]]</f>
        <v>2.2731637908710637E-2</v>
      </c>
      <c r="T282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822" s="23">
        <f>Table1[[#This Row],[1. Doanh thu bán hàng và cung cấp dịch vụ ]]/Table1[[#This Row],[TỔNG CỘNG TÀI SẢN]]</f>
        <v>2.5535628549798895E-2</v>
      </c>
      <c r="V2822" s="23" t="e">
        <f>1.2*Table1[[#This Row],[X1]] + 1.4*Table1[[#This Row],[X2]] + 3.3*Table1[[#This Row],[x3]] + 0.6*Table1[[#This Row],[x4]] + 1*Table1[[#This Row],[x5]]</f>
        <v>#DIV/0!</v>
      </c>
      <c r="W2822" s="23" t="e">
        <f>IF(Table1[[#This Row],[Zscore]]&lt;1.81,1,0)</f>
        <v>#DIV/0!</v>
      </c>
    </row>
    <row r="2823" spans="1:23" hidden="1" x14ac:dyDescent="0.45">
      <c r="A2823" s="7">
        <v>2817</v>
      </c>
      <c r="B2823" s="5" t="s">
        <v>5641</v>
      </c>
      <c r="C2823" s="6" t="s">
        <v>5642</v>
      </c>
      <c r="D2823" s="6" t="s">
        <v>13</v>
      </c>
      <c r="E2823" s="6"/>
      <c r="F2823" s="6"/>
      <c r="G2823" s="6"/>
      <c r="H2823" s="6"/>
      <c r="I2823" s="6"/>
      <c r="J2823" s="8"/>
      <c r="K2823" s="6"/>
      <c r="L2823" s="6"/>
      <c r="M2823" s="8"/>
      <c r="N2823" s="8"/>
      <c r="O2823" s="8"/>
      <c r="P2823" s="8"/>
      <c r="Q2823" s="18" t="e">
        <f>(Table1[[#This Row],[A. TÀI SẢN NGẮN HẠN]]-Table1[[#This Row],[I. Nợ ngắn hạn]])/Table1[[#This Row],[TỔNG CỘNG TÀI SẢN]]</f>
        <v>#DIV/0!</v>
      </c>
      <c r="R2823" s="18" t="e">
        <f>Table1[[#This Row],[- LNST chưa phân phối kỳ này]]/Table1[[#This Row],[TỔNG CỘNG TÀI SẢN]]</f>
        <v>#DIV/0!</v>
      </c>
      <c r="S2823" s="21" t="e">
        <f>Table1[[#This Row],[5. Lợi nhuận gộp về bán hàng và cung cấp dịch vụ]]/Table1[[#This Row],[TỔNG CỘNG TÀI SẢN]]</f>
        <v>#DIV/0!</v>
      </c>
      <c r="T282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823" s="23" t="e">
        <f>Table1[[#This Row],[1. Doanh thu bán hàng và cung cấp dịch vụ ]]/Table1[[#This Row],[TỔNG CỘNG TÀI SẢN]]</f>
        <v>#DIV/0!</v>
      </c>
      <c r="V2823" s="23" t="e">
        <f>1.2*Table1[[#This Row],[X1]] + 1.4*Table1[[#This Row],[X2]] + 3.3*Table1[[#This Row],[x3]] + 0.6*Table1[[#This Row],[x4]] + 1*Table1[[#This Row],[x5]]</f>
        <v>#DIV/0!</v>
      </c>
      <c r="W2823" s="23" t="e">
        <f>IF(Table1[[#This Row],[Zscore]]&lt;1.81,1,0)</f>
        <v>#DIV/0!</v>
      </c>
    </row>
    <row r="2824" spans="1:23" ht="26.25" x14ac:dyDescent="0.45">
      <c r="A2824" s="7">
        <v>2818</v>
      </c>
      <c r="B2824" s="5" t="s">
        <v>5643</v>
      </c>
      <c r="C2824" s="6" t="s">
        <v>5644</v>
      </c>
      <c r="D2824" s="6" t="s">
        <v>36</v>
      </c>
      <c r="E2824" s="8">
        <v>713603909875</v>
      </c>
      <c r="F2824" s="8">
        <v>509026073822</v>
      </c>
      <c r="G2824" s="8">
        <v>273319706160</v>
      </c>
      <c r="H2824" s="8">
        <v>638776151</v>
      </c>
      <c r="I2824" s="8">
        <v>113322622256</v>
      </c>
      <c r="J2824" s="8"/>
      <c r="K2824" s="8">
        <v>316857694965</v>
      </c>
      <c r="L2824" s="8">
        <v>1464218803664</v>
      </c>
      <c r="M2824" s="8">
        <v>368157935000</v>
      </c>
      <c r="N2824" s="8">
        <v>461757410000</v>
      </c>
      <c r="O2824" s="8">
        <v>368157935000</v>
      </c>
      <c r="P2824" s="8">
        <v>399357760000</v>
      </c>
      <c r="Q2824" s="18">
        <f>(Table1[[#This Row],[A. TÀI SẢN NGẮN HẠN]]-Table1[[#This Row],[I. Nợ ngắn hạn]])/Table1[[#This Row],[TỔNG CỘNG TÀI SẢN]]</f>
        <v>0.33030419873020039</v>
      </c>
      <c r="R2824" s="18">
        <f>Table1[[#This Row],[- LNST chưa phân phối kỳ này]]/Table1[[#This Row],[TỔNG CỘNG TÀI SẢN]]</f>
        <v>8.9514104695963986E-4</v>
      </c>
      <c r="S2824" s="21">
        <f>Table1[[#This Row],[5. Lợi nhuận gộp về bán hàng và cung cấp dịch vụ]]/Table1[[#This Row],[TỔNG CỘNG TÀI SẢN]]</f>
        <v>0.15880325302008283</v>
      </c>
      <c r="T282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1.2603694540039905</v>
      </c>
      <c r="U2824" s="23">
        <f>Table1[[#This Row],[1. Doanh thu bán hàng và cung cấp dịch vụ ]]/Table1[[#This Row],[TỔNG CỘNG TÀI SẢN]]</f>
        <v>2.051864883868816</v>
      </c>
      <c r="V2824" s="23">
        <f>1.2*Table1[[#This Row],[X1]] + 1.4*Table1[[#This Row],[X2]] + 3.3*Table1[[#This Row],[x3]] + 0.6*Table1[[#This Row],[x4]] + 1*Table1[[#This Row],[x5]]</f>
        <v>3.7297555271794676</v>
      </c>
      <c r="W2824" s="23">
        <f>IF(Table1[[#This Row],[Zscore]]&lt;1.81,1,0)</f>
        <v>0</v>
      </c>
    </row>
    <row r="2825" spans="1:23" ht="26.25" x14ac:dyDescent="0.45">
      <c r="A2825" s="7">
        <v>2819</v>
      </c>
      <c r="B2825" s="5" t="s">
        <v>5645</v>
      </c>
      <c r="C2825" s="6" t="s">
        <v>5646</v>
      </c>
      <c r="D2825" s="6" t="s">
        <v>18</v>
      </c>
      <c r="E2825" s="8">
        <v>190641054160</v>
      </c>
      <c r="F2825" s="8">
        <v>61263272575</v>
      </c>
      <c r="G2825" s="8">
        <v>124200387969</v>
      </c>
      <c r="H2825" s="8">
        <v>-35336974391</v>
      </c>
      <c r="I2825" s="8">
        <v>-4455648117</v>
      </c>
      <c r="J2825" s="8"/>
      <c r="K2825" s="8">
        <v>140982487969</v>
      </c>
      <c r="L2825" s="8">
        <v>137236047900</v>
      </c>
      <c r="M2825" s="8">
        <v>169875800100</v>
      </c>
      <c r="N2825" s="8">
        <v>155195175400</v>
      </c>
      <c r="O2825" s="8">
        <v>151000711200</v>
      </c>
      <c r="P2825" s="8">
        <v>169875800100</v>
      </c>
      <c r="Q2825" s="18">
        <f>(Table1[[#This Row],[A. TÀI SẢN NGẮN HẠN]]-Table1[[#This Row],[I. Nợ ngắn hạn]])/Table1[[#This Row],[TỔNG CỘNG TÀI SẢN]]</f>
        <v>-0.3301341134065412</v>
      </c>
      <c r="R2825" s="18">
        <f>Table1[[#This Row],[- LNST chưa phân phối kỳ này]]/Table1[[#This Row],[TỔNG CỘNG TÀI SẢN]]</f>
        <v>-0.18535868124891194</v>
      </c>
      <c r="S2825" s="21">
        <f>Table1[[#This Row],[5. Lợi nhuận gộp về bán hàng và cung cấp dịch vụ]]/Table1[[#This Row],[TỔNG CỘNG TÀI SẢN]]</f>
        <v>-2.3371923411945113E-2</v>
      </c>
      <c r="T282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1.1454392245901392</v>
      </c>
      <c r="U2825" s="23">
        <f>Table1[[#This Row],[1. Doanh thu bán hàng và cung cấp dịch vụ ]]/Table1[[#This Row],[TỔNG CỘNG TÀI SẢN]]</f>
        <v>0.71986618257377766</v>
      </c>
      <c r="V2825" s="23">
        <f>1.2*Table1[[#This Row],[X1]] + 1.4*Table1[[#This Row],[X2]] + 3.3*Table1[[#This Row],[x3]] + 0.6*Table1[[#This Row],[x4]] + 1*Table1[[#This Row],[x5]]</f>
        <v>0.67433928023211631</v>
      </c>
      <c r="W2825" s="23">
        <f>IF(Table1[[#This Row],[Zscore]]&lt;1.81,1,0)</f>
        <v>1</v>
      </c>
    </row>
    <row r="2826" spans="1:23" ht="26.25" x14ac:dyDescent="0.45">
      <c r="A2826" s="7">
        <v>2820</v>
      </c>
      <c r="B2826" s="5" t="s">
        <v>5647</v>
      </c>
      <c r="C2826" s="6" t="s">
        <v>5648</v>
      </c>
      <c r="D2826" s="6" t="s">
        <v>36</v>
      </c>
      <c r="E2826" s="8">
        <v>3240123266346</v>
      </c>
      <c r="F2826" s="8">
        <v>2669049007686</v>
      </c>
      <c r="G2826" s="8">
        <v>2357185536295</v>
      </c>
      <c r="H2826" s="8">
        <v>50838564121</v>
      </c>
      <c r="I2826" s="8">
        <v>212502178510</v>
      </c>
      <c r="J2826" s="8"/>
      <c r="K2826" s="8">
        <v>2372635250120</v>
      </c>
      <c r="L2826" s="8">
        <v>4916549993186</v>
      </c>
      <c r="M2826" s="8">
        <v>1340413060800</v>
      </c>
      <c r="N2826" s="8">
        <v>1485116743500</v>
      </c>
      <c r="O2826" s="8">
        <v>1287101177700</v>
      </c>
      <c r="P2826" s="8">
        <v>1416572893800</v>
      </c>
      <c r="Q2826" s="18">
        <f>(Table1[[#This Row],[A. TÀI SẢN NGẮN HẠN]]-Table1[[#This Row],[I. Nợ ngắn hạn]])/Table1[[#This Row],[TỔNG CỘNG TÀI SẢN]]</f>
        <v>9.6250495970389205E-2</v>
      </c>
      <c r="R2826" s="18">
        <f>Table1[[#This Row],[- LNST chưa phân phối kỳ này]]/Table1[[#This Row],[TỔNG CỘNG TÀI SẢN]]</f>
        <v>1.5690317911371446E-2</v>
      </c>
      <c r="S2826" s="21">
        <f>Table1[[#This Row],[5. Lợi nhuận gộp về bán hàng và cung cấp dịch vụ]]/Table1[[#This Row],[TỔNG CỘNG TÀI SẢN]]</f>
        <v>6.5584596955672647E-2</v>
      </c>
      <c r="T2826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0.58260154774320572</v>
      </c>
      <c r="U2826" s="23">
        <f>Table1[[#This Row],[1. Doanh thu bán hàng và cung cấp dịch vụ ]]/Table1[[#This Row],[TỔNG CỘNG TÀI SẢN]]</f>
        <v>1.5173959720151526</v>
      </c>
      <c r="V2826" s="23">
        <f>1.2*Table1[[#This Row],[X1]] + 1.4*Table1[[#This Row],[X2]] + 3.3*Table1[[#This Row],[x3]] + 0.6*Table1[[#This Row],[x4]] + 1*Table1[[#This Row],[x5]]</f>
        <v>2.2208531108551828</v>
      </c>
      <c r="W2826" s="23">
        <f>IF(Table1[[#This Row],[Zscore]]&lt;1.81,1,0)</f>
        <v>0</v>
      </c>
    </row>
    <row r="2827" spans="1:23" ht="26.25" x14ac:dyDescent="0.45">
      <c r="A2827" s="7">
        <v>2821</v>
      </c>
      <c r="B2827" s="5" t="s">
        <v>5649</v>
      </c>
      <c r="C2827" s="6" t="s">
        <v>5650</v>
      </c>
      <c r="D2827" s="6" t="s">
        <v>18</v>
      </c>
      <c r="E2827" s="8">
        <v>296355980484</v>
      </c>
      <c r="F2827" s="8">
        <v>283425506746</v>
      </c>
      <c r="G2827" s="8">
        <v>26037375690</v>
      </c>
      <c r="H2827" s="6"/>
      <c r="I2827" s="8">
        <v>12821574375</v>
      </c>
      <c r="J2827" s="8"/>
      <c r="K2827" s="8">
        <v>26037375690</v>
      </c>
      <c r="L2827" s="8">
        <v>22348076332</v>
      </c>
      <c r="M2827" s="8">
        <v>654270000000</v>
      </c>
      <c r="N2827" s="8">
        <v>576300000000</v>
      </c>
      <c r="O2827" s="8">
        <v>366120000000</v>
      </c>
      <c r="P2827" s="8">
        <v>857670000000</v>
      </c>
      <c r="Q2827" s="18">
        <f>(Table1[[#This Row],[A. TÀI SẢN NGẮN HẠN]]-Table1[[#This Row],[I. Nợ ngắn hạn]])/Table1[[#This Row],[TỔNG CỘNG TÀI SẢN]]</f>
        <v>0.86850999475577029</v>
      </c>
      <c r="R2827" s="18">
        <f>Table1[[#This Row],[- LNST chưa phân phối kỳ này]]/Table1[[#This Row],[TỔNG CỘNG TÀI SẢN]]</f>
        <v>0</v>
      </c>
      <c r="S2827" s="21">
        <f>Table1[[#This Row],[5. Lợi nhuận gộp về bán hàng và cung cấp dịch vụ]]/Table1[[#This Row],[TỔNG CỘNG TÀI SẢN]]</f>
        <v>4.3264098649401901E-2</v>
      </c>
      <c r="T2827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23.565739009390928</v>
      </c>
      <c r="U2827" s="23">
        <f>Table1[[#This Row],[1. Doanh thu bán hàng và cung cấp dịch vụ ]]/Table1[[#This Row],[TỔNG CỘNG TÀI SẢN]]</f>
        <v>7.5409567559601029E-2</v>
      </c>
      <c r="V2827" s="23">
        <f>1.2*Table1[[#This Row],[X1]] + 1.4*Table1[[#This Row],[X2]] + 3.3*Table1[[#This Row],[x3]] + 0.6*Table1[[#This Row],[x4]] + 1*Table1[[#This Row],[x5]]</f>
        <v>15.399836492444109</v>
      </c>
      <c r="W2827" s="23">
        <f>IF(Table1[[#This Row],[Zscore]]&lt;1.81,1,0)</f>
        <v>0</v>
      </c>
    </row>
    <row r="2828" spans="1:23" hidden="1" x14ac:dyDescent="0.45">
      <c r="A2828" s="7">
        <v>2822</v>
      </c>
      <c r="B2828" s="5" t="s">
        <v>5651</v>
      </c>
      <c r="C2828" s="6" t="s">
        <v>5652</v>
      </c>
      <c r="D2828" s="6" t="s">
        <v>13</v>
      </c>
      <c r="E2828" s="6"/>
      <c r="F2828" s="6"/>
      <c r="G2828" s="6"/>
      <c r="H2828" s="6"/>
      <c r="I2828" s="6"/>
      <c r="J2828" s="8"/>
      <c r="K2828" s="6"/>
      <c r="L2828" s="6"/>
      <c r="M2828" s="8"/>
      <c r="N2828" s="8"/>
      <c r="O2828" s="8"/>
      <c r="P2828" s="8"/>
      <c r="Q2828" s="18" t="e">
        <f>(Table1[[#This Row],[A. TÀI SẢN NGẮN HẠN]]-Table1[[#This Row],[I. Nợ ngắn hạn]])/Table1[[#This Row],[TỔNG CỘNG TÀI SẢN]]</f>
        <v>#DIV/0!</v>
      </c>
      <c r="R2828" s="18" t="e">
        <f>Table1[[#This Row],[- LNST chưa phân phối kỳ này]]/Table1[[#This Row],[TỔNG CỘNG TÀI SẢN]]</f>
        <v>#DIV/0!</v>
      </c>
      <c r="S2828" s="21" t="e">
        <f>Table1[[#This Row],[5. Lợi nhuận gộp về bán hàng và cung cấp dịch vụ]]/Table1[[#This Row],[TỔNG CỘNG TÀI SẢN]]</f>
        <v>#DIV/0!</v>
      </c>
      <c r="T282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828" s="23" t="e">
        <f>Table1[[#This Row],[1. Doanh thu bán hàng và cung cấp dịch vụ ]]/Table1[[#This Row],[TỔNG CỘNG TÀI SẢN]]</f>
        <v>#DIV/0!</v>
      </c>
      <c r="V2828" s="23" t="e">
        <f>1.2*Table1[[#This Row],[X1]] + 1.4*Table1[[#This Row],[X2]] + 3.3*Table1[[#This Row],[x3]] + 0.6*Table1[[#This Row],[x4]] + 1*Table1[[#This Row],[x5]]</f>
        <v>#DIV/0!</v>
      </c>
      <c r="W2828" s="23" t="e">
        <f>IF(Table1[[#This Row],[Zscore]]&lt;1.81,1,0)</f>
        <v>#DIV/0!</v>
      </c>
    </row>
    <row r="2829" spans="1:23" hidden="1" x14ac:dyDescent="0.45">
      <c r="A2829" s="7">
        <v>2823</v>
      </c>
      <c r="B2829" s="5" t="s">
        <v>5653</v>
      </c>
      <c r="C2829" s="6" t="s">
        <v>5654</v>
      </c>
      <c r="D2829" s="6" t="s">
        <v>13</v>
      </c>
      <c r="E2829" s="8">
        <v>2400418611003</v>
      </c>
      <c r="F2829" s="8">
        <v>728704384838</v>
      </c>
      <c r="G2829" s="8">
        <v>170242973472</v>
      </c>
      <c r="H2829" s="8">
        <v>122998118100</v>
      </c>
      <c r="I2829" s="8">
        <v>674511134413</v>
      </c>
      <c r="J2829" s="8"/>
      <c r="K2829" s="8">
        <v>175748107108</v>
      </c>
      <c r="L2829" s="8">
        <v>1513438785966</v>
      </c>
      <c r="M2829" s="8"/>
      <c r="N2829" s="8"/>
      <c r="O2829" s="8"/>
      <c r="P2829" s="8"/>
      <c r="Q2829" s="18">
        <f>(Table1[[#This Row],[A. TÀI SẢN NGẮN HẠN]]-Table1[[#This Row],[I. Nợ ngắn hạn]])/Table1[[#This Row],[TỔNG CỘNG TÀI SẢN]]</f>
        <v>0.2326516753395152</v>
      </c>
      <c r="R2829" s="18">
        <f>Table1[[#This Row],[- LNST chưa phân phối kỳ này]]/Table1[[#This Row],[TỔNG CỘNG TÀI SẢN]]</f>
        <v>5.1240278481512858E-2</v>
      </c>
      <c r="S2829" s="21">
        <f>Table1[[#This Row],[5. Lợi nhuận gộp về bán hàng và cung cấp dịch vụ]]/Table1[[#This Row],[TỔNG CỘNG TÀI SẢN]]</f>
        <v>0.28099729410578089</v>
      </c>
      <c r="T282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829" s="23">
        <f>Table1[[#This Row],[1. Doanh thu bán hàng và cung cấp dịch vụ ]]/Table1[[#This Row],[TỔNG CỘNG TÀI SẢN]]</f>
        <v>0.63048952338093189</v>
      </c>
      <c r="V2829" s="23" t="e">
        <f>1.2*Table1[[#This Row],[X1]] + 1.4*Table1[[#This Row],[X2]] + 3.3*Table1[[#This Row],[x3]] + 0.6*Table1[[#This Row],[x4]] + 1*Table1[[#This Row],[x5]]</f>
        <v>#DIV/0!</v>
      </c>
      <c r="W2829" s="23" t="e">
        <f>IF(Table1[[#This Row],[Zscore]]&lt;1.81,1,0)</f>
        <v>#DIV/0!</v>
      </c>
    </row>
    <row r="2830" spans="1:23" ht="26.25" hidden="1" x14ac:dyDescent="0.45">
      <c r="A2830" s="7">
        <v>2824</v>
      </c>
      <c r="B2830" s="5" t="s">
        <v>5655</v>
      </c>
      <c r="C2830" s="6" t="s">
        <v>5656</v>
      </c>
      <c r="D2830" s="6" t="s">
        <v>13</v>
      </c>
      <c r="E2830" s="6"/>
      <c r="F2830" s="6"/>
      <c r="G2830" s="6"/>
      <c r="H2830" s="6"/>
      <c r="I2830" s="6"/>
      <c r="J2830" s="8"/>
      <c r="K2830" s="6"/>
      <c r="L2830" s="6"/>
      <c r="M2830" s="8"/>
      <c r="N2830" s="8"/>
      <c r="O2830" s="8"/>
      <c r="P2830" s="8"/>
      <c r="Q2830" s="18" t="e">
        <f>(Table1[[#This Row],[A. TÀI SẢN NGẮN HẠN]]-Table1[[#This Row],[I. Nợ ngắn hạn]])/Table1[[#This Row],[TỔNG CỘNG TÀI SẢN]]</f>
        <v>#DIV/0!</v>
      </c>
      <c r="R2830" s="18" t="e">
        <f>Table1[[#This Row],[- LNST chưa phân phối kỳ này]]/Table1[[#This Row],[TỔNG CỘNG TÀI SẢN]]</f>
        <v>#DIV/0!</v>
      </c>
      <c r="S2830" s="21" t="e">
        <f>Table1[[#This Row],[5. Lợi nhuận gộp về bán hàng và cung cấp dịch vụ]]/Table1[[#This Row],[TỔNG CỘNG TÀI SẢN]]</f>
        <v>#DIV/0!</v>
      </c>
      <c r="T283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830" s="23" t="e">
        <f>Table1[[#This Row],[1. Doanh thu bán hàng và cung cấp dịch vụ ]]/Table1[[#This Row],[TỔNG CỘNG TÀI SẢN]]</f>
        <v>#DIV/0!</v>
      </c>
      <c r="V2830" s="23" t="e">
        <f>1.2*Table1[[#This Row],[X1]] + 1.4*Table1[[#This Row],[X2]] + 3.3*Table1[[#This Row],[x3]] + 0.6*Table1[[#This Row],[x4]] + 1*Table1[[#This Row],[x5]]</f>
        <v>#DIV/0!</v>
      </c>
      <c r="W2830" s="23" t="e">
        <f>IF(Table1[[#This Row],[Zscore]]&lt;1.81,1,0)</f>
        <v>#DIV/0!</v>
      </c>
    </row>
    <row r="2831" spans="1:23" ht="26.25" hidden="1" x14ac:dyDescent="0.45">
      <c r="A2831" s="7">
        <v>2825</v>
      </c>
      <c r="B2831" s="5" t="s">
        <v>5657</v>
      </c>
      <c r="C2831" s="6" t="s">
        <v>5658</v>
      </c>
      <c r="D2831" s="6" t="s">
        <v>13</v>
      </c>
      <c r="E2831" s="6"/>
      <c r="F2831" s="6"/>
      <c r="G2831" s="6"/>
      <c r="H2831" s="6"/>
      <c r="I2831" s="6"/>
      <c r="J2831" s="8"/>
      <c r="K2831" s="6"/>
      <c r="L2831" s="6"/>
      <c r="M2831" s="8"/>
      <c r="N2831" s="8"/>
      <c r="O2831" s="8"/>
      <c r="P2831" s="8"/>
      <c r="Q2831" s="18" t="e">
        <f>(Table1[[#This Row],[A. TÀI SẢN NGẮN HẠN]]-Table1[[#This Row],[I. Nợ ngắn hạn]])/Table1[[#This Row],[TỔNG CỘNG TÀI SẢN]]</f>
        <v>#DIV/0!</v>
      </c>
      <c r="R2831" s="18" t="e">
        <f>Table1[[#This Row],[- LNST chưa phân phối kỳ này]]/Table1[[#This Row],[TỔNG CỘNG TÀI SẢN]]</f>
        <v>#DIV/0!</v>
      </c>
      <c r="S2831" s="21" t="e">
        <f>Table1[[#This Row],[5. Lợi nhuận gộp về bán hàng và cung cấp dịch vụ]]/Table1[[#This Row],[TỔNG CỘNG TÀI SẢN]]</f>
        <v>#DIV/0!</v>
      </c>
      <c r="T283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831" s="23" t="e">
        <f>Table1[[#This Row],[1. Doanh thu bán hàng và cung cấp dịch vụ ]]/Table1[[#This Row],[TỔNG CỘNG TÀI SẢN]]</f>
        <v>#DIV/0!</v>
      </c>
      <c r="V2831" s="23" t="e">
        <f>1.2*Table1[[#This Row],[X1]] + 1.4*Table1[[#This Row],[X2]] + 3.3*Table1[[#This Row],[x3]] + 0.6*Table1[[#This Row],[x4]] + 1*Table1[[#This Row],[x5]]</f>
        <v>#DIV/0!</v>
      </c>
      <c r="W2831" s="23" t="e">
        <f>IF(Table1[[#This Row],[Zscore]]&lt;1.81,1,0)</f>
        <v>#DIV/0!</v>
      </c>
    </row>
    <row r="2832" spans="1:23" ht="26.25" x14ac:dyDescent="0.45">
      <c r="A2832" s="7">
        <v>2826</v>
      </c>
      <c r="B2832" s="5" t="s">
        <v>5659</v>
      </c>
      <c r="C2832" s="6" t="s">
        <v>5660</v>
      </c>
      <c r="D2832" s="6" t="s">
        <v>18</v>
      </c>
      <c r="E2832" s="8">
        <v>4505761397771</v>
      </c>
      <c r="F2832" s="8">
        <v>2668082819485</v>
      </c>
      <c r="G2832" s="8">
        <v>3180703619269</v>
      </c>
      <c r="H2832" s="8">
        <v>-635174069169</v>
      </c>
      <c r="I2832" s="8">
        <v>92250273031</v>
      </c>
      <c r="J2832" s="8"/>
      <c r="K2832" s="8">
        <v>7250439424712</v>
      </c>
      <c r="L2832" s="8">
        <v>4013802738406</v>
      </c>
      <c r="M2832" s="8">
        <v>121000000000</v>
      </c>
      <c r="N2832" s="8">
        <v>165000000000</v>
      </c>
      <c r="O2832" s="8">
        <v>99000000000</v>
      </c>
      <c r="P2832" s="8">
        <v>132000000000</v>
      </c>
      <c r="Q2832" s="18">
        <f>(Table1[[#This Row],[A. TÀI SẢN NGẮN HẠN]]-Table1[[#This Row],[I. Nợ ngắn hạn]])/Table1[[#This Row],[TỔNG CỘNG TÀI SẢN]]</f>
        <v>-0.11377007225406864</v>
      </c>
      <c r="R2832" s="18">
        <f>Table1[[#This Row],[- LNST chưa phân phối kỳ này]]/Table1[[#This Row],[TỔNG CỘNG TÀI SẢN]]</f>
        <v>-0.14096930864630794</v>
      </c>
      <c r="S2832" s="21">
        <f>Table1[[#This Row],[5. Lợi nhuận gộp về bán hàng và cung cấp dịch vụ]]/Table1[[#This Row],[TỔNG CỘNG TÀI SẢN]]</f>
        <v>2.0473847788885627E-2</v>
      </c>
      <c r="T283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1.7826505736944907E-2</v>
      </c>
      <c r="U2832" s="23">
        <f>Table1[[#This Row],[1. Doanh thu bán hàng và cung cấp dịch vụ ]]/Table1[[#This Row],[TỔNG CỘNG TÀI SẢN]]</f>
        <v>0.89081564336532071</v>
      </c>
      <c r="V2832" s="23">
        <f>1.2*Table1[[#This Row],[X1]] + 1.4*Table1[[#This Row],[X2]] + 3.3*Table1[[#This Row],[x3]] + 0.6*Table1[[#This Row],[x4]] + 1*Table1[[#This Row],[x5]]</f>
        <v>0.63519412570109668</v>
      </c>
      <c r="W2832" s="23">
        <f>IF(Table1[[#This Row],[Zscore]]&lt;1.81,1,0)</f>
        <v>1</v>
      </c>
    </row>
    <row r="2833" spans="1:23" ht="26.25" x14ac:dyDescent="0.45">
      <c r="A2833" s="7">
        <v>2827</v>
      </c>
      <c r="B2833" s="5" t="s">
        <v>5661</v>
      </c>
      <c r="C2833" s="6" t="s">
        <v>5662</v>
      </c>
      <c r="D2833" s="6" t="s">
        <v>21</v>
      </c>
      <c r="E2833" s="8">
        <v>5116020761247</v>
      </c>
      <c r="F2833" s="8">
        <v>5078564471766</v>
      </c>
      <c r="G2833" s="8">
        <v>4458689089346</v>
      </c>
      <c r="H2833" s="8">
        <v>326325238293</v>
      </c>
      <c r="I2833" s="8">
        <v>571997121562</v>
      </c>
      <c r="J2833" s="8"/>
      <c r="K2833" s="8">
        <v>4458689089346</v>
      </c>
      <c r="L2833" s="8">
        <v>8085571582056</v>
      </c>
      <c r="M2833" s="8">
        <v>376687500000</v>
      </c>
      <c r="N2833" s="8">
        <v>1409887500000</v>
      </c>
      <c r="O2833" s="8">
        <v>426195000000</v>
      </c>
      <c r="P2833" s="8">
        <v>871762500000</v>
      </c>
      <c r="Q2833" s="18">
        <f>(Table1[[#This Row],[A. TÀI SẢN NGẮN HẠN]]-Table1[[#This Row],[I. Nợ ngắn hạn]])/Table1[[#This Row],[TỔNG CỘNG TÀI SẢN]]</f>
        <v>0.12116357836454694</v>
      </c>
      <c r="R2833" s="18">
        <f>Table1[[#This Row],[- LNST chưa phân phối kỳ này]]/Table1[[#This Row],[TỔNG CỘNG TÀI SẢN]]</f>
        <v>6.3784971469400403E-2</v>
      </c>
      <c r="S2833" s="21">
        <f>Table1[[#This Row],[5. Lợi nhuận gộp về bán hàng và cung cấp dịch vụ]]/Table1[[#This Row],[TỔNG CỘNG TÀI SẢN]]</f>
        <v>0.11180508216361872</v>
      </c>
      <c r="T283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0.1729506385279512</v>
      </c>
      <c r="U2833" s="23">
        <f>Table1[[#This Row],[1. Doanh thu bán hàng và cung cấp dịch vụ ]]/Table1[[#This Row],[TỔNG CỘNG TÀI SẢN]]</f>
        <v>1.5804415109693943</v>
      </c>
      <c r="V2833" s="23">
        <f>1.2*Table1[[#This Row],[X1]] + 1.4*Table1[[#This Row],[X2]] + 3.3*Table1[[#This Row],[x3]] + 0.6*Table1[[#This Row],[x4]] + 1*Table1[[#This Row],[x5]]</f>
        <v>2.2878639193207237</v>
      </c>
      <c r="W2833" s="23">
        <f>IF(Table1[[#This Row],[Zscore]]&lt;1.81,1,0)</f>
        <v>0</v>
      </c>
    </row>
    <row r="2834" spans="1:23" hidden="1" x14ac:dyDescent="0.45">
      <c r="A2834" s="7">
        <v>2828</v>
      </c>
      <c r="B2834" s="5" t="s">
        <v>5663</v>
      </c>
      <c r="C2834" s="6" t="s">
        <v>5664</v>
      </c>
      <c r="D2834" s="6" t="s">
        <v>18</v>
      </c>
      <c r="E2834" s="6"/>
      <c r="F2834" s="6"/>
      <c r="G2834" s="6"/>
      <c r="H2834" s="6"/>
      <c r="I2834" s="6"/>
      <c r="J2834" s="8"/>
      <c r="K2834" s="6"/>
      <c r="L2834" s="6"/>
      <c r="M2834" s="8"/>
      <c r="N2834" s="8"/>
      <c r="O2834" s="8"/>
      <c r="P2834" s="8"/>
      <c r="Q2834" s="18" t="e">
        <f>(Table1[[#This Row],[A. TÀI SẢN NGẮN HẠN]]-Table1[[#This Row],[I. Nợ ngắn hạn]])/Table1[[#This Row],[TỔNG CỘNG TÀI SẢN]]</f>
        <v>#DIV/0!</v>
      </c>
      <c r="R2834" s="18" t="e">
        <f>Table1[[#This Row],[- LNST chưa phân phối kỳ này]]/Table1[[#This Row],[TỔNG CỘNG TÀI SẢN]]</f>
        <v>#DIV/0!</v>
      </c>
      <c r="S2834" s="21" t="e">
        <f>Table1[[#This Row],[5. Lợi nhuận gộp về bán hàng và cung cấp dịch vụ]]/Table1[[#This Row],[TỔNG CỘNG TÀI SẢN]]</f>
        <v>#DIV/0!</v>
      </c>
      <c r="T283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834" s="23" t="e">
        <f>Table1[[#This Row],[1. Doanh thu bán hàng và cung cấp dịch vụ ]]/Table1[[#This Row],[TỔNG CỘNG TÀI SẢN]]</f>
        <v>#DIV/0!</v>
      </c>
      <c r="V2834" s="23" t="e">
        <f>1.2*Table1[[#This Row],[X1]] + 1.4*Table1[[#This Row],[X2]] + 3.3*Table1[[#This Row],[x3]] + 0.6*Table1[[#This Row],[x4]] + 1*Table1[[#This Row],[x5]]</f>
        <v>#DIV/0!</v>
      </c>
      <c r="W2834" s="23" t="e">
        <f>IF(Table1[[#This Row],[Zscore]]&lt;1.81,1,0)</f>
        <v>#DIV/0!</v>
      </c>
    </row>
    <row r="2835" spans="1:23" ht="26.25" hidden="1" x14ac:dyDescent="0.45">
      <c r="A2835" s="7">
        <v>2829</v>
      </c>
      <c r="B2835" s="5" t="s">
        <v>5665</v>
      </c>
      <c r="C2835" s="6" t="s">
        <v>5666</v>
      </c>
      <c r="D2835" s="6" t="s">
        <v>18</v>
      </c>
      <c r="E2835" s="6"/>
      <c r="F2835" s="6"/>
      <c r="G2835" s="6"/>
      <c r="H2835" s="6"/>
      <c r="I2835" s="6"/>
      <c r="J2835" s="8"/>
      <c r="K2835" s="6"/>
      <c r="L2835" s="6"/>
      <c r="M2835" s="8"/>
      <c r="N2835" s="8"/>
      <c r="O2835" s="8"/>
      <c r="P2835" s="8"/>
      <c r="Q2835" s="18" t="e">
        <f>(Table1[[#This Row],[A. TÀI SẢN NGẮN HẠN]]-Table1[[#This Row],[I. Nợ ngắn hạn]])/Table1[[#This Row],[TỔNG CỘNG TÀI SẢN]]</f>
        <v>#DIV/0!</v>
      </c>
      <c r="R2835" s="18" t="e">
        <f>Table1[[#This Row],[- LNST chưa phân phối kỳ này]]/Table1[[#This Row],[TỔNG CỘNG TÀI SẢN]]</f>
        <v>#DIV/0!</v>
      </c>
      <c r="S2835" s="21" t="e">
        <f>Table1[[#This Row],[5. Lợi nhuận gộp về bán hàng và cung cấp dịch vụ]]/Table1[[#This Row],[TỔNG CỘNG TÀI SẢN]]</f>
        <v>#DIV/0!</v>
      </c>
      <c r="T283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835" s="23" t="e">
        <f>Table1[[#This Row],[1. Doanh thu bán hàng và cung cấp dịch vụ ]]/Table1[[#This Row],[TỔNG CỘNG TÀI SẢN]]</f>
        <v>#DIV/0!</v>
      </c>
      <c r="V2835" s="23" t="e">
        <f>1.2*Table1[[#This Row],[X1]] + 1.4*Table1[[#This Row],[X2]] + 3.3*Table1[[#This Row],[x3]] + 0.6*Table1[[#This Row],[x4]] + 1*Table1[[#This Row],[x5]]</f>
        <v>#DIV/0!</v>
      </c>
      <c r="W2835" s="23" t="e">
        <f>IF(Table1[[#This Row],[Zscore]]&lt;1.81,1,0)</f>
        <v>#DIV/0!</v>
      </c>
    </row>
    <row r="2836" spans="1:23" hidden="1" x14ac:dyDescent="0.45">
      <c r="A2836" s="7">
        <v>2830</v>
      </c>
      <c r="B2836" s="5" t="s">
        <v>5667</v>
      </c>
      <c r="C2836" s="6" t="s">
        <v>5668</v>
      </c>
      <c r="D2836" s="6" t="s">
        <v>18</v>
      </c>
      <c r="E2836" s="6"/>
      <c r="F2836" s="6"/>
      <c r="G2836" s="6"/>
      <c r="H2836" s="6"/>
      <c r="I2836" s="6"/>
      <c r="J2836" s="8"/>
      <c r="K2836" s="6"/>
      <c r="L2836" s="6"/>
      <c r="M2836" s="8"/>
      <c r="N2836" s="8"/>
      <c r="O2836" s="8"/>
      <c r="P2836" s="8"/>
      <c r="Q2836" s="18" t="e">
        <f>(Table1[[#This Row],[A. TÀI SẢN NGẮN HẠN]]-Table1[[#This Row],[I. Nợ ngắn hạn]])/Table1[[#This Row],[TỔNG CỘNG TÀI SẢN]]</f>
        <v>#DIV/0!</v>
      </c>
      <c r="R2836" s="18" t="e">
        <f>Table1[[#This Row],[- LNST chưa phân phối kỳ này]]/Table1[[#This Row],[TỔNG CỘNG TÀI SẢN]]</f>
        <v>#DIV/0!</v>
      </c>
      <c r="S2836" s="21" t="e">
        <f>Table1[[#This Row],[5. Lợi nhuận gộp về bán hàng và cung cấp dịch vụ]]/Table1[[#This Row],[TỔNG CỘNG TÀI SẢN]]</f>
        <v>#DIV/0!</v>
      </c>
      <c r="T283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836" s="23" t="e">
        <f>Table1[[#This Row],[1. Doanh thu bán hàng và cung cấp dịch vụ ]]/Table1[[#This Row],[TỔNG CỘNG TÀI SẢN]]</f>
        <v>#DIV/0!</v>
      </c>
      <c r="V2836" s="23" t="e">
        <f>1.2*Table1[[#This Row],[X1]] + 1.4*Table1[[#This Row],[X2]] + 3.3*Table1[[#This Row],[x3]] + 0.6*Table1[[#This Row],[x4]] + 1*Table1[[#This Row],[x5]]</f>
        <v>#DIV/0!</v>
      </c>
      <c r="W2836" s="23" t="e">
        <f>IF(Table1[[#This Row],[Zscore]]&lt;1.81,1,0)</f>
        <v>#DIV/0!</v>
      </c>
    </row>
    <row r="2837" spans="1:23" ht="26.25" hidden="1" x14ac:dyDescent="0.45">
      <c r="A2837" s="7">
        <v>2831</v>
      </c>
      <c r="B2837" s="5" t="s">
        <v>5669</v>
      </c>
      <c r="C2837" s="6" t="s">
        <v>5670</v>
      </c>
      <c r="D2837" s="6" t="s">
        <v>18</v>
      </c>
      <c r="E2837" s="6"/>
      <c r="F2837" s="6"/>
      <c r="G2837" s="6"/>
      <c r="H2837" s="6"/>
      <c r="I2837" s="6"/>
      <c r="J2837" s="8"/>
      <c r="K2837" s="6"/>
      <c r="L2837" s="6"/>
      <c r="M2837" s="8"/>
      <c r="N2837" s="8"/>
      <c r="O2837" s="8"/>
      <c r="P2837" s="8"/>
      <c r="Q2837" s="18" t="e">
        <f>(Table1[[#This Row],[A. TÀI SẢN NGẮN HẠN]]-Table1[[#This Row],[I. Nợ ngắn hạn]])/Table1[[#This Row],[TỔNG CỘNG TÀI SẢN]]</f>
        <v>#DIV/0!</v>
      </c>
      <c r="R2837" s="18" t="e">
        <f>Table1[[#This Row],[- LNST chưa phân phối kỳ này]]/Table1[[#This Row],[TỔNG CỘNG TÀI SẢN]]</f>
        <v>#DIV/0!</v>
      </c>
      <c r="S2837" s="21" t="e">
        <f>Table1[[#This Row],[5. Lợi nhuận gộp về bán hàng và cung cấp dịch vụ]]/Table1[[#This Row],[TỔNG CỘNG TÀI SẢN]]</f>
        <v>#DIV/0!</v>
      </c>
      <c r="T283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837" s="23" t="e">
        <f>Table1[[#This Row],[1. Doanh thu bán hàng và cung cấp dịch vụ ]]/Table1[[#This Row],[TỔNG CỘNG TÀI SẢN]]</f>
        <v>#DIV/0!</v>
      </c>
      <c r="V2837" s="23" t="e">
        <f>1.2*Table1[[#This Row],[X1]] + 1.4*Table1[[#This Row],[X2]] + 3.3*Table1[[#This Row],[x3]] + 0.6*Table1[[#This Row],[x4]] + 1*Table1[[#This Row],[x5]]</f>
        <v>#DIV/0!</v>
      </c>
      <c r="W2837" s="23" t="e">
        <f>IF(Table1[[#This Row],[Zscore]]&lt;1.81,1,0)</f>
        <v>#DIV/0!</v>
      </c>
    </row>
    <row r="2838" spans="1:23" ht="26.25" hidden="1" x14ac:dyDescent="0.45">
      <c r="A2838" s="7">
        <v>2832</v>
      </c>
      <c r="B2838" s="5" t="s">
        <v>5671</v>
      </c>
      <c r="C2838" s="6" t="s">
        <v>5672</v>
      </c>
      <c r="D2838" s="6" t="s">
        <v>18</v>
      </c>
      <c r="E2838" s="6"/>
      <c r="F2838" s="6"/>
      <c r="G2838" s="6"/>
      <c r="H2838" s="6"/>
      <c r="I2838" s="6"/>
      <c r="J2838" s="8"/>
      <c r="K2838" s="6"/>
      <c r="L2838" s="6"/>
      <c r="M2838" s="8"/>
      <c r="N2838" s="8"/>
      <c r="O2838" s="8"/>
      <c r="P2838" s="8"/>
      <c r="Q2838" s="18" t="e">
        <f>(Table1[[#This Row],[A. TÀI SẢN NGẮN HẠN]]-Table1[[#This Row],[I. Nợ ngắn hạn]])/Table1[[#This Row],[TỔNG CỘNG TÀI SẢN]]</f>
        <v>#DIV/0!</v>
      </c>
      <c r="R2838" s="18" t="e">
        <f>Table1[[#This Row],[- LNST chưa phân phối kỳ này]]/Table1[[#This Row],[TỔNG CỘNG TÀI SẢN]]</f>
        <v>#DIV/0!</v>
      </c>
      <c r="S2838" s="21" t="e">
        <f>Table1[[#This Row],[5. Lợi nhuận gộp về bán hàng và cung cấp dịch vụ]]/Table1[[#This Row],[TỔNG CỘNG TÀI SẢN]]</f>
        <v>#DIV/0!</v>
      </c>
      <c r="T283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838" s="23" t="e">
        <f>Table1[[#This Row],[1. Doanh thu bán hàng và cung cấp dịch vụ ]]/Table1[[#This Row],[TỔNG CỘNG TÀI SẢN]]</f>
        <v>#DIV/0!</v>
      </c>
      <c r="V2838" s="23" t="e">
        <f>1.2*Table1[[#This Row],[X1]] + 1.4*Table1[[#This Row],[X2]] + 3.3*Table1[[#This Row],[x3]] + 0.6*Table1[[#This Row],[x4]] + 1*Table1[[#This Row],[x5]]</f>
        <v>#DIV/0!</v>
      </c>
      <c r="W2838" s="23" t="e">
        <f>IF(Table1[[#This Row],[Zscore]]&lt;1.81,1,0)</f>
        <v>#DIV/0!</v>
      </c>
    </row>
    <row r="2839" spans="1:23" x14ac:dyDescent="0.45">
      <c r="A2839" s="7">
        <v>2833</v>
      </c>
      <c r="B2839" s="5" t="s">
        <v>5673</v>
      </c>
      <c r="C2839" s="6" t="s">
        <v>5674</v>
      </c>
      <c r="D2839" s="6" t="s">
        <v>36</v>
      </c>
      <c r="E2839" s="8">
        <v>329932042925</v>
      </c>
      <c r="F2839" s="8">
        <v>298545941310</v>
      </c>
      <c r="G2839" s="8">
        <v>39469592372</v>
      </c>
      <c r="H2839" s="8">
        <v>70851034099</v>
      </c>
      <c r="I2839" s="8">
        <v>103688742549</v>
      </c>
      <c r="J2839" s="8"/>
      <c r="K2839" s="8">
        <v>43568672383</v>
      </c>
      <c r="L2839" s="8">
        <v>171969182626</v>
      </c>
      <c r="M2839" s="8">
        <v>875250000000</v>
      </c>
      <c r="N2839" s="8">
        <v>837590786400</v>
      </c>
      <c r="O2839" s="8">
        <v>924750000000</v>
      </c>
      <c r="P2839" s="8">
        <v>764500000000</v>
      </c>
      <c r="Q2839" s="18">
        <f>(Table1[[#This Row],[A. TÀI SẢN NGẮN HẠN]]-Table1[[#This Row],[I. Nợ ngắn hạn]])/Table1[[#This Row],[TỔNG CỘNG TÀI SẢN]]</f>
        <v>0.78524155047557209</v>
      </c>
      <c r="R2839" s="18">
        <f>Table1[[#This Row],[- LNST chưa phân phối kỳ này]]/Table1[[#This Row],[TỔNG CỘNG TÀI SẢN]]</f>
        <v>0.21474432574318289</v>
      </c>
      <c r="S2839" s="21">
        <f>Table1[[#This Row],[5. Lợi nhuận gộp về bán hàng và cung cấp dịch vụ]]/Table1[[#This Row],[TỔNG CỘNG TÀI SẢN]]</f>
        <v>0.31427302916610156</v>
      </c>
      <c r="T2839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19.521427899461639</v>
      </c>
      <c r="U2839" s="23">
        <f>Table1[[#This Row],[1. Doanh thu bán hàng và cung cấp dịch vụ ]]/Table1[[#This Row],[TỔNG CỘNG TÀI SẢN]]</f>
        <v>0.5212260715916337</v>
      </c>
      <c r="V2839" s="23">
        <f>1.2*Table1[[#This Row],[X1]] + 1.4*Table1[[#This Row],[X2]] + 3.3*Table1[[#This Row],[x3]] + 0.6*Table1[[#This Row],[x4]] + 1*Table1[[#This Row],[x5]]</f>
        <v>14.514115724127894</v>
      </c>
      <c r="W2839" s="23">
        <f>IF(Table1[[#This Row],[Zscore]]&lt;1.81,1,0)</f>
        <v>0</v>
      </c>
    </row>
    <row r="2840" spans="1:23" x14ac:dyDescent="0.45">
      <c r="A2840" s="7">
        <v>2834</v>
      </c>
      <c r="B2840" s="5" t="s">
        <v>5675</v>
      </c>
      <c r="C2840" s="6" t="s">
        <v>5676</v>
      </c>
      <c r="D2840" s="6" t="s">
        <v>18</v>
      </c>
      <c r="E2840" s="8">
        <v>936331340057</v>
      </c>
      <c r="F2840" s="8">
        <v>577685510472</v>
      </c>
      <c r="G2840" s="8">
        <v>145538540001</v>
      </c>
      <c r="H2840" s="8">
        <v>62028042131</v>
      </c>
      <c r="I2840" s="8">
        <v>107298814149</v>
      </c>
      <c r="J2840" s="8"/>
      <c r="K2840" s="8">
        <v>151177004401</v>
      </c>
      <c r="L2840" s="8">
        <v>962946498843</v>
      </c>
      <c r="M2840" s="8">
        <v>884500000000</v>
      </c>
      <c r="N2840" s="8">
        <v>813450000000</v>
      </c>
      <c r="O2840" s="8">
        <v>909150000000</v>
      </c>
      <c r="P2840" s="8">
        <v>1035300000000</v>
      </c>
      <c r="Q2840" s="18">
        <f>(Table1[[#This Row],[A. TÀI SẢN NGẮN HẠN]]-Table1[[#This Row],[I. Nợ ngắn hạn]])/Table1[[#This Row],[TỔNG CỘNG TÀI SẢN]]</f>
        <v>0.46153210085298724</v>
      </c>
      <c r="R2840" s="18">
        <f>Table1[[#This Row],[- LNST chưa phân phối kỳ này]]/Table1[[#This Row],[TỔNG CỘNG TÀI SẢN]]</f>
        <v>6.624582503798708E-2</v>
      </c>
      <c r="S2840" s="21">
        <f>Table1[[#This Row],[5. Lợi nhuận gộp về bán hàng và cung cấp dịch vụ]]/Table1[[#This Row],[TỔNG CỘNG TÀI SẢN]]</f>
        <v>0.11459491908331093</v>
      </c>
      <c r="T284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6.0234028555336065</v>
      </c>
      <c r="U2840" s="23">
        <f>Table1[[#This Row],[1. Doanh thu bán hàng và cung cấp dịch vụ ]]/Table1[[#This Row],[TỔNG CỘNG TÀI SẢN]]</f>
        <v>1.0284249363952507</v>
      </c>
      <c r="V2840" s="23">
        <f>1.2*Table1[[#This Row],[X1]] + 1.4*Table1[[#This Row],[X2]] + 3.3*Table1[[#This Row],[x3]] + 0.6*Table1[[#This Row],[x4]] + 1*Table1[[#This Row],[x5]]</f>
        <v>5.6672125587671065</v>
      </c>
      <c r="W2840" s="23">
        <f>IF(Table1[[#This Row],[Zscore]]&lt;1.81,1,0)</f>
        <v>0</v>
      </c>
    </row>
    <row r="2841" spans="1:23" x14ac:dyDescent="0.45">
      <c r="A2841" s="7">
        <v>2835</v>
      </c>
      <c r="B2841" s="5" t="s">
        <v>5677</v>
      </c>
      <c r="C2841" s="6" t="s">
        <v>5678</v>
      </c>
      <c r="D2841" s="6" t="s">
        <v>36</v>
      </c>
      <c r="E2841" s="8">
        <v>534969810003</v>
      </c>
      <c r="F2841" s="8">
        <v>520722776608</v>
      </c>
      <c r="G2841" s="8">
        <v>6032283473</v>
      </c>
      <c r="H2841" s="8">
        <v>-19755241709</v>
      </c>
      <c r="I2841" s="8">
        <v>51048064200</v>
      </c>
      <c r="J2841" s="8"/>
      <c r="K2841" s="8">
        <v>6177283473</v>
      </c>
      <c r="L2841" s="8">
        <v>81092954738</v>
      </c>
      <c r="M2841" s="8">
        <v>246470000000</v>
      </c>
      <c r="N2841" s="8">
        <v>337010000000</v>
      </c>
      <c r="O2841" s="8">
        <v>241440000000</v>
      </c>
      <c r="P2841" s="8">
        <v>357130000000</v>
      </c>
      <c r="Q2841" s="18">
        <f>(Table1[[#This Row],[A. TÀI SẢN NGẮN HẠN]]-Table1[[#This Row],[I. Nợ ngắn hạn]])/Table1[[#This Row],[TỔNG CỘNG TÀI SẢN]]</f>
        <v>0.96209259571509975</v>
      </c>
      <c r="R2841" s="18">
        <f>Table1[[#This Row],[- LNST chưa phân phối kỳ này]]/Table1[[#This Row],[TỔNG CỘNG TÀI SẢN]]</f>
        <v>-3.6927769267744694E-2</v>
      </c>
      <c r="S2841" s="21">
        <f>Table1[[#This Row],[5. Lợi nhuận gộp về bán hàng và cung cấp dịch vụ]]/Table1[[#This Row],[TỔNG CỘNG TÀI SẢN]]</f>
        <v>9.5422327102371876E-2</v>
      </c>
      <c r="T284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47.838584920320038</v>
      </c>
      <c r="U2841" s="23">
        <f>Table1[[#This Row],[1. Doanh thu bán hàng và cung cấp dịch vụ ]]/Table1[[#This Row],[TỔNG CỘNG TÀI SẢN]]</f>
        <v>0.15158417021241863</v>
      </c>
      <c r="V2841" s="23">
        <f>1.2*Table1[[#This Row],[X1]] + 1.4*Table1[[#This Row],[X2]] + 3.3*Table1[[#This Row],[x3]] + 0.6*Table1[[#This Row],[x4]] + 1*Table1[[#This Row],[x5]]</f>
        <v>30.272441039725546</v>
      </c>
      <c r="W2841" s="23">
        <f>IF(Table1[[#This Row],[Zscore]]&lt;1.81,1,0)</f>
        <v>0</v>
      </c>
    </row>
    <row r="2842" spans="1:23" x14ac:dyDescent="0.45">
      <c r="A2842" s="7">
        <v>2836</v>
      </c>
      <c r="B2842" s="5" t="s">
        <v>5679</v>
      </c>
      <c r="C2842" s="6" t="s">
        <v>5680</v>
      </c>
      <c r="D2842" s="6" t="s">
        <v>18</v>
      </c>
      <c r="E2842" s="8">
        <v>1069013274210</v>
      </c>
      <c r="F2842" s="8">
        <v>450446673896</v>
      </c>
      <c r="G2842" s="8">
        <v>270582966247</v>
      </c>
      <c r="H2842" s="8">
        <v>9474220884</v>
      </c>
      <c r="I2842" s="8">
        <v>89563958494</v>
      </c>
      <c r="J2842" s="8"/>
      <c r="K2842" s="8">
        <v>771539053326</v>
      </c>
      <c r="L2842" s="8">
        <v>1444603360479</v>
      </c>
      <c r="M2842" s="8"/>
      <c r="N2842" s="8">
        <v>176750000000</v>
      </c>
      <c r="O2842" s="8"/>
      <c r="P2842" s="8"/>
      <c r="Q2842" s="18">
        <f>(Table1[[#This Row],[A. TÀI SẢN NGẮN HẠN]]-Table1[[#This Row],[I. Nợ ngắn hạn]])/Table1[[#This Row],[TỔNG CỘNG TÀI SẢN]]</f>
        <v>0.16825208066936226</v>
      </c>
      <c r="R2842" s="18">
        <f>Table1[[#This Row],[- LNST chưa phân phối kỳ này]]/Table1[[#This Row],[TỔNG CỘNG TÀI SẢN]]</f>
        <v>8.8625848832433272E-3</v>
      </c>
      <c r="S2842" s="21">
        <f>Table1[[#This Row],[5. Lợi nhuận gộp về bán hàng và cung cấp dịch vụ]]/Table1[[#This Row],[TỔNG CỘNG TÀI SẢN]]</f>
        <v>8.3781895561762507E-2</v>
      </c>
      <c r="T2842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0.2290875610742642</v>
      </c>
      <c r="U2842" s="23">
        <f>Table1[[#This Row],[1. Doanh thu bán hàng và cung cấp dịch vụ ]]/Table1[[#This Row],[TỔNG CỘNG TÀI SẢN]]</f>
        <v>1.3513427712546981</v>
      </c>
      <c r="V2842" s="23">
        <f>1.2*Table1[[#This Row],[X1]] + 1.4*Table1[[#This Row],[X2]] + 3.3*Table1[[#This Row],[x3]] + 0.6*Table1[[#This Row],[x4]] + 1*Table1[[#This Row],[x5]]</f>
        <v>1.9795856788928483</v>
      </c>
      <c r="W2842" s="23">
        <f>IF(Table1[[#This Row],[Zscore]]&lt;1.81,1,0)</f>
        <v>0</v>
      </c>
    </row>
    <row r="2843" spans="1:23" hidden="1" x14ac:dyDescent="0.45">
      <c r="A2843" s="7">
        <v>2837</v>
      </c>
      <c r="B2843" s="5" t="s">
        <v>5681</v>
      </c>
      <c r="C2843" s="6" t="s">
        <v>5682</v>
      </c>
      <c r="D2843" s="6" t="s">
        <v>13</v>
      </c>
      <c r="E2843" s="6"/>
      <c r="F2843" s="6"/>
      <c r="G2843" s="6"/>
      <c r="H2843" s="6"/>
      <c r="I2843" s="6"/>
      <c r="J2843" s="8"/>
      <c r="K2843" s="6"/>
      <c r="L2843" s="6"/>
      <c r="M2843" s="8"/>
      <c r="N2843" s="8"/>
      <c r="O2843" s="8"/>
      <c r="P2843" s="8"/>
      <c r="Q2843" s="18" t="e">
        <f>(Table1[[#This Row],[A. TÀI SẢN NGẮN HẠN]]-Table1[[#This Row],[I. Nợ ngắn hạn]])/Table1[[#This Row],[TỔNG CỘNG TÀI SẢN]]</f>
        <v>#DIV/0!</v>
      </c>
      <c r="R2843" s="18" t="e">
        <f>Table1[[#This Row],[- LNST chưa phân phối kỳ này]]/Table1[[#This Row],[TỔNG CỘNG TÀI SẢN]]</f>
        <v>#DIV/0!</v>
      </c>
      <c r="S2843" s="21" t="e">
        <f>Table1[[#This Row],[5. Lợi nhuận gộp về bán hàng và cung cấp dịch vụ]]/Table1[[#This Row],[TỔNG CỘNG TÀI SẢN]]</f>
        <v>#DIV/0!</v>
      </c>
      <c r="T284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843" s="23" t="e">
        <f>Table1[[#This Row],[1. Doanh thu bán hàng và cung cấp dịch vụ ]]/Table1[[#This Row],[TỔNG CỘNG TÀI SẢN]]</f>
        <v>#DIV/0!</v>
      </c>
      <c r="V2843" s="23" t="e">
        <f>1.2*Table1[[#This Row],[X1]] + 1.4*Table1[[#This Row],[X2]] + 3.3*Table1[[#This Row],[x3]] + 0.6*Table1[[#This Row],[x4]] + 1*Table1[[#This Row],[x5]]</f>
        <v>#DIV/0!</v>
      </c>
      <c r="W2843" s="23" t="e">
        <f>IF(Table1[[#This Row],[Zscore]]&lt;1.81,1,0)</f>
        <v>#DIV/0!</v>
      </c>
    </row>
    <row r="2844" spans="1:23" hidden="1" x14ac:dyDescent="0.45">
      <c r="A2844" s="7">
        <v>2838</v>
      </c>
      <c r="B2844" s="5" t="s">
        <v>5683</v>
      </c>
      <c r="C2844" s="6" t="s">
        <v>5684</v>
      </c>
      <c r="D2844" s="6" t="s">
        <v>13</v>
      </c>
      <c r="E2844" s="6"/>
      <c r="F2844" s="6"/>
      <c r="G2844" s="6"/>
      <c r="H2844" s="6"/>
      <c r="I2844" s="6"/>
      <c r="J2844" s="8"/>
      <c r="K2844" s="6"/>
      <c r="L2844" s="6"/>
      <c r="M2844" s="8"/>
      <c r="N2844" s="8"/>
      <c r="O2844" s="8"/>
      <c r="P2844" s="8"/>
      <c r="Q2844" s="18" t="e">
        <f>(Table1[[#This Row],[A. TÀI SẢN NGẮN HẠN]]-Table1[[#This Row],[I. Nợ ngắn hạn]])/Table1[[#This Row],[TỔNG CỘNG TÀI SẢN]]</f>
        <v>#DIV/0!</v>
      </c>
      <c r="R2844" s="18" t="e">
        <f>Table1[[#This Row],[- LNST chưa phân phối kỳ này]]/Table1[[#This Row],[TỔNG CỘNG TÀI SẢN]]</f>
        <v>#DIV/0!</v>
      </c>
      <c r="S2844" s="21" t="e">
        <f>Table1[[#This Row],[5. Lợi nhuận gộp về bán hàng và cung cấp dịch vụ]]/Table1[[#This Row],[TỔNG CỘNG TÀI SẢN]]</f>
        <v>#DIV/0!</v>
      </c>
      <c r="T284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844" s="23" t="e">
        <f>Table1[[#This Row],[1. Doanh thu bán hàng và cung cấp dịch vụ ]]/Table1[[#This Row],[TỔNG CỘNG TÀI SẢN]]</f>
        <v>#DIV/0!</v>
      </c>
      <c r="V2844" s="23" t="e">
        <f>1.2*Table1[[#This Row],[X1]] + 1.4*Table1[[#This Row],[X2]] + 3.3*Table1[[#This Row],[x3]] + 0.6*Table1[[#This Row],[x4]] + 1*Table1[[#This Row],[x5]]</f>
        <v>#DIV/0!</v>
      </c>
      <c r="W2844" s="23" t="e">
        <f>IF(Table1[[#This Row],[Zscore]]&lt;1.81,1,0)</f>
        <v>#DIV/0!</v>
      </c>
    </row>
    <row r="2845" spans="1:23" x14ac:dyDescent="0.45">
      <c r="A2845" s="7">
        <v>2839</v>
      </c>
      <c r="B2845" s="5" t="s">
        <v>5685</v>
      </c>
      <c r="C2845" s="6" t="s">
        <v>5686</v>
      </c>
      <c r="D2845" s="6" t="s">
        <v>36</v>
      </c>
      <c r="E2845" s="8">
        <v>444504704801</v>
      </c>
      <c r="F2845" s="8">
        <v>243995936089</v>
      </c>
      <c r="G2845" s="8">
        <v>169449070251</v>
      </c>
      <c r="H2845" s="8">
        <v>25029231026</v>
      </c>
      <c r="I2845" s="8">
        <v>114605360690</v>
      </c>
      <c r="J2845" s="8"/>
      <c r="K2845" s="8">
        <v>171299070251</v>
      </c>
      <c r="L2845" s="8">
        <v>1003485689531</v>
      </c>
      <c r="M2845" s="8">
        <v>269100000000</v>
      </c>
      <c r="N2845" s="8">
        <v>224250000000</v>
      </c>
      <c r="O2845" s="8">
        <v>225975000000</v>
      </c>
      <c r="P2845" s="8">
        <v>217350000000</v>
      </c>
      <c r="Q2845" s="18">
        <f>(Table1[[#This Row],[A. TÀI SẢN NGẮN HẠN]]-Table1[[#This Row],[I. Nợ ngắn hạn]])/Table1[[#This Row],[TỔNG CỘNG TÀI SẢN]]</f>
        <v>0.16770770935118412</v>
      </c>
      <c r="R2845" s="18">
        <f>Table1[[#This Row],[- LNST chưa phân phối kỳ này]]/Table1[[#This Row],[TỔNG CỘNG TÀI SẢN]]</f>
        <v>5.6308135224812345E-2</v>
      </c>
      <c r="S2845" s="21">
        <f>Table1[[#This Row],[5. Lợi nhuận gộp về bán hàng và cung cấp dịch vụ]]/Table1[[#This Row],[TỔNG CỘNG TÀI SẢN]]</f>
        <v>0.25782710385778163</v>
      </c>
      <c r="T284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1.3670170518548566</v>
      </c>
      <c r="U2845" s="23">
        <f>Table1[[#This Row],[1. Doanh thu bán hàng và cung cấp dịch vụ ]]/Table1[[#This Row],[TỔNG CỘNG TÀI SẢN]]</f>
        <v>2.2575367115186098</v>
      </c>
      <c r="V2845" s="23">
        <f>1.2*Table1[[#This Row],[X1]] + 1.4*Table1[[#This Row],[X2]] + 3.3*Table1[[#This Row],[x3]] + 0.6*Table1[[#This Row],[x4]] + 1*Table1[[#This Row],[x5]]</f>
        <v>4.2086570258983613</v>
      </c>
      <c r="W2845" s="23">
        <f>IF(Table1[[#This Row],[Zscore]]&lt;1.81,1,0)</f>
        <v>0</v>
      </c>
    </row>
    <row r="2846" spans="1:23" hidden="1" x14ac:dyDescent="0.45">
      <c r="A2846" s="7">
        <v>2840</v>
      </c>
      <c r="B2846" s="5" t="s">
        <v>5687</v>
      </c>
      <c r="C2846" s="6" t="s">
        <v>5688</v>
      </c>
      <c r="D2846" s="6" t="s">
        <v>18</v>
      </c>
      <c r="E2846" s="6"/>
      <c r="F2846" s="6"/>
      <c r="G2846" s="6"/>
      <c r="H2846" s="6"/>
      <c r="I2846" s="6"/>
      <c r="J2846" s="8"/>
      <c r="K2846" s="6"/>
      <c r="L2846" s="6"/>
      <c r="M2846" s="8"/>
      <c r="N2846" s="8"/>
      <c r="O2846" s="8"/>
      <c r="P2846" s="8"/>
      <c r="Q2846" s="18" t="e">
        <f>(Table1[[#This Row],[A. TÀI SẢN NGẮN HẠN]]-Table1[[#This Row],[I. Nợ ngắn hạn]])/Table1[[#This Row],[TỔNG CỘNG TÀI SẢN]]</f>
        <v>#DIV/0!</v>
      </c>
      <c r="R2846" s="18" t="e">
        <f>Table1[[#This Row],[- LNST chưa phân phối kỳ này]]/Table1[[#This Row],[TỔNG CỘNG TÀI SẢN]]</f>
        <v>#DIV/0!</v>
      </c>
      <c r="S2846" s="21" t="e">
        <f>Table1[[#This Row],[5. Lợi nhuận gộp về bán hàng và cung cấp dịch vụ]]/Table1[[#This Row],[TỔNG CỘNG TÀI SẢN]]</f>
        <v>#DIV/0!</v>
      </c>
      <c r="T284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846" s="23" t="e">
        <f>Table1[[#This Row],[1. Doanh thu bán hàng và cung cấp dịch vụ ]]/Table1[[#This Row],[TỔNG CỘNG TÀI SẢN]]</f>
        <v>#DIV/0!</v>
      </c>
      <c r="V2846" s="23" t="e">
        <f>1.2*Table1[[#This Row],[X1]] + 1.4*Table1[[#This Row],[X2]] + 3.3*Table1[[#This Row],[x3]] + 0.6*Table1[[#This Row],[x4]] + 1*Table1[[#This Row],[x5]]</f>
        <v>#DIV/0!</v>
      </c>
      <c r="W2846" s="23" t="e">
        <f>IF(Table1[[#This Row],[Zscore]]&lt;1.81,1,0)</f>
        <v>#DIV/0!</v>
      </c>
    </row>
    <row r="2847" spans="1:23" hidden="1" x14ac:dyDescent="0.45">
      <c r="A2847" s="7">
        <v>2841</v>
      </c>
      <c r="B2847" s="5" t="s">
        <v>5689</v>
      </c>
      <c r="C2847" s="6" t="s">
        <v>5690</v>
      </c>
      <c r="D2847" s="6" t="s">
        <v>18</v>
      </c>
      <c r="E2847" s="6"/>
      <c r="F2847" s="6"/>
      <c r="G2847" s="6"/>
      <c r="H2847" s="6"/>
      <c r="I2847" s="6"/>
      <c r="J2847" s="8"/>
      <c r="K2847" s="6"/>
      <c r="L2847" s="6"/>
      <c r="M2847" s="8"/>
      <c r="N2847" s="8"/>
      <c r="O2847" s="8"/>
      <c r="P2847" s="8"/>
      <c r="Q2847" s="18" t="e">
        <f>(Table1[[#This Row],[A. TÀI SẢN NGẮN HẠN]]-Table1[[#This Row],[I. Nợ ngắn hạn]])/Table1[[#This Row],[TỔNG CỘNG TÀI SẢN]]</f>
        <v>#DIV/0!</v>
      </c>
      <c r="R2847" s="18" t="e">
        <f>Table1[[#This Row],[- LNST chưa phân phối kỳ này]]/Table1[[#This Row],[TỔNG CỘNG TÀI SẢN]]</f>
        <v>#DIV/0!</v>
      </c>
      <c r="S2847" s="21" t="e">
        <f>Table1[[#This Row],[5. Lợi nhuận gộp về bán hàng và cung cấp dịch vụ]]/Table1[[#This Row],[TỔNG CỘNG TÀI SẢN]]</f>
        <v>#DIV/0!</v>
      </c>
      <c r="T284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847" s="23" t="e">
        <f>Table1[[#This Row],[1. Doanh thu bán hàng và cung cấp dịch vụ ]]/Table1[[#This Row],[TỔNG CỘNG TÀI SẢN]]</f>
        <v>#DIV/0!</v>
      </c>
      <c r="V2847" s="23" t="e">
        <f>1.2*Table1[[#This Row],[X1]] + 1.4*Table1[[#This Row],[X2]] + 3.3*Table1[[#This Row],[x3]] + 0.6*Table1[[#This Row],[x4]] + 1*Table1[[#This Row],[x5]]</f>
        <v>#DIV/0!</v>
      </c>
      <c r="W2847" s="23" t="e">
        <f>IF(Table1[[#This Row],[Zscore]]&lt;1.81,1,0)</f>
        <v>#DIV/0!</v>
      </c>
    </row>
    <row r="2848" spans="1:23" hidden="1" x14ac:dyDescent="0.45">
      <c r="A2848" s="7">
        <v>2842</v>
      </c>
      <c r="B2848" s="5" t="s">
        <v>5691</v>
      </c>
      <c r="C2848" s="6" t="s">
        <v>5692</v>
      </c>
      <c r="D2848" s="6" t="s">
        <v>13</v>
      </c>
      <c r="E2848" s="6"/>
      <c r="F2848" s="6"/>
      <c r="G2848" s="6"/>
      <c r="H2848" s="6"/>
      <c r="I2848" s="6"/>
      <c r="J2848" s="8"/>
      <c r="K2848" s="6"/>
      <c r="L2848" s="6"/>
      <c r="M2848" s="8"/>
      <c r="N2848" s="8"/>
      <c r="O2848" s="8"/>
      <c r="P2848" s="8"/>
      <c r="Q2848" s="18" t="e">
        <f>(Table1[[#This Row],[A. TÀI SẢN NGẮN HẠN]]-Table1[[#This Row],[I. Nợ ngắn hạn]])/Table1[[#This Row],[TỔNG CỘNG TÀI SẢN]]</f>
        <v>#DIV/0!</v>
      </c>
      <c r="R2848" s="18" t="e">
        <f>Table1[[#This Row],[- LNST chưa phân phối kỳ này]]/Table1[[#This Row],[TỔNG CỘNG TÀI SẢN]]</f>
        <v>#DIV/0!</v>
      </c>
      <c r="S2848" s="21" t="e">
        <f>Table1[[#This Row],[5. Lợi nhuận gộp về bán hàng và cung cấp dịch vụ]]/Table1[[#This Row],[TỔNG CỘNG TÀI SẢN]]</f>
        <v>#DIV/0!</v>
      </c>
      <c r="T284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848" s="23" t="e">
        <f>Table1[[#This Row],[1. Doanh thu bán hàng và cung cấp dịch vụ ]]/Table1[[#This Row],[TỔNG CỘNG TÀI SẢN]]</f>
        <v>#DIV/0!</v>
      </c>
      <c r="V2848" s="23" t="e">
        <f>1.2*Table1[[#This Row],[X1]] + 1.4*Table1[[#This Row],[X2]] + 3.3*Table1[[#This Row],[x3]] + 0.6*Table1[[#This Row],[x4]] + 1*Table1[[#This Row],[x5]]</f>
        <v>#DIV/0!</v>
      </c>
      <c r="W2848" s="23" t="e">
        <f>IF(Table1[[#This Row],[Zscore]]&lt;1.81,1,0)</f>
        <v>#DIV/0!</v>
      </c>
    </row>
    <row r="2849" spans="1:23" hidden="1" x14ac:dyDescent="0.45">
      <c r="A2849" s="7">
        <v>2843</v>
      </c>
      <c r="B2849" s="5" t="s">
        <v>5693</v>
      </c>
      <c r="C2849" s="6" t="s">
        <v>5694</v>
      </c>
      <c r="D2849" s="6" t="s">
        <v>13</v>
      </c>
      <c r="E2849" s="6"/>
      <c r="F2849" s="6"/>
      <c r="G2849" s="6"/>
      <c r="H2849" s="6"/>
      <c r="I2849" s="6"/>
      <c r="J2849" s="8"/>
      <c r="K2849" s="6"/>
      <c r="L2849" s="6"/>
      <c r="M2849" s="8"/>
      <c r="N2849" s="8"/>
      <c r="O2849" s="8"/>
      <c r="P2849" s="8"/>
      <c r="Q2849" s="18" t="e">
        <f>(Table1[[#This Row],[A. TÀI SẢN NGẮN HẠN]]-Table1[[#This Row],[I. Nợ ngắn hạn]])/Table1[[#This Row],[TỔNG CỘNG TÀI SẢN]]</f>
        <v>#DIV/0!</v>
      </c>
      <c r="R2849" s="18" t="e">
        <f>Table1[[#This Row],[- LNST chưa phân phối kỳ này]]/Table1[[#This Row],[TỔNG CỘNG TÀI SẢN]]</f>
        <v>#DIV/0!</v>
      </c>
      <c r="S2849" s="21" t="e">
        <f>Table1[[#This Row],[5. Lợi nhuận gộp về bán hàng và cung cấp dịch vụ]]/Table1[[#This Row],[TỔNG CỘNG TÀI SẢN]]</f>
        <v>#DIV/0!</v>
      </c>
      <c r="T284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849" s="23" t="e">
        <f>Table1[[#This Row],[1. Doanh thu bán hàng và cung cấp dịch vụ ]]/Table1[[#This Row],[TỔNG CỘNG TÀI SẢN]]</f>
        <v>#DIV/0!</v>
      </c>
      <c r="V2849" s="23" t="e">
        <f>1.2*Table1[[#This Row],[X1]] + 1.4*Table1[[#This Row],[X2]] + 3.3*Table1[[#This Row],[x3]] + 0.6*Table1[[#This Row],[x4]] + 1*Table1[[#This Row],[x5]]</f>
        <v>#DIV/0!</v>
      </c>
      <c r="W2849" s="23" t="e">
        <f>IF(Table1[[#This Row],[Zscore]]&lt;1.81,1,0)</f>
        <v>#DIV/0!</v>
      </c>
    </row>
    <row r="2850" spans="1:23" hidden="1" x14ac:dyDescent="0.45">
      <c r="A2850" s="7">
        <v>2844</v>
      </c>
      <c r="B2850" s="5" t="s">
        <v>5695</v>
      </c>
      <c r="C2850" s="6" t="s">
        <v>5696</v>
      </c>
      <c r="D2850" s="6" t="s">
        <v>13</v>
      </c>
      <c r="E2850" s="6"/>
      <c r="F2850" s="6"/>
      <c r="G2850" s="6"/>
      <c r="H2850" s="6"/>
      <c r="I2850" s="6"/>
      <c r="J2850" s="8"/>
      <c r="K2850" s="6"/>
      <c r="L2850" s="6"/>
      <c r="M2850" s="8"/>
      <c r="N2850" s="8"/>
      <c r="O2850" s="8"/>
      <c r="P2850" s="8"/>
      <c r="Q2850" s="18" t="e">
        <f>(Table1[[#This Row],[A. TÀI SẢN NGẮN HẠN]]-Table1[[#This Row],[I. Nợ ngắn hạn]])/Table1[[#This Row],[TỔNG CỘNG TÀI SẢN]]</f>
        <v>#DIV/0!</v>
      </c>
      <c r="R2850" s="18" t="e">
        <f>Table1[[#This Row],[- LNST chưa phân phối kỳ này]]/Table1[[#This Row],[TỔNG CỘNG TÀI SẢN]]</f>
        <v>#DIV/0!</v>
      </c>
      <c r="S2850" s="21" t="e">
        <f>Table1[[#This Row],[5. Lợi nhuận gộp về bán hàng và cung cấp dịch vụ]]/Table1[[#This Row],[TỔNG CỘNG TÀI SẢN]]</f>
        <v>#DIV/0!</v>
      </c>
      <c r="T285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850" s="23" t="e">
        <f>Table1[[#This Row],[1. Doanh thu bán hàng và cung cấp dịch vụ ]]/Table1[[#This Row],[TỔNG CỘNG TÀI SẢN]]</f>
        <v>#DIV/0!</v>
      </c>
      <c r="V2850" s="23" t="e">
        <f>1.2*Table1[[#This Row],[X1]] + 1.4*Table1[[#This Row],[X2]] + 3.3*Table1[[#This Row],[x3]] + 0.6*Table1[[#This Row],[x4]] + 1*Table1[[#This Row],[x5]]</f>
        <v>#DIV/0!</v>
      </c>
      <c r="W2850" s="23" t="e">
        <f>IF(Table1[[#This Row],[Zscore]]&lt;1.81,1,0)</f>
        <v>#DIV/0!</v>
      </c>
    </row>
    <row r="2851" spans="1:23" hidden="1" x14ac:dyDescent="0.45">
      <c r="A2851" s="7">
        <v>2845</v>
      </c>
      <c r="B2851" s="5" t="s">
        <v>5697</v>
      </c>
      <c r="C2851" s="6" t="s">
        <v>5698</v>
      </c>
      <c r="D2851" s="6" t="s">
        <v>13</v>
      </c>
      <c r="E2851" s="6"/>
      <c r="F2851" s="6"/>
      <c r="G2851" s="6"/>
      <c r="H2851" s="6"/>
      <c r="I2851" s="6"/>
      <c r="J2851" s="8"/>
      <c r="K2851" s="6"/>
      <c r="L2851" s="6"/>
      <c r="M2851" s="8"/>
      <c r="N2851" s="8"/>
      <c r="O2851" s="8"/>
      <c r="P2851" s="8"/>
      <c r="Q2851" s="18" t="e">
        <f>(Table1[[#This Row],[A. TÀI SẢN NGẮN HẠN]]-Table1[[#This Row],[I. Nợ ngắn hạn]])/Table1[[#This Row],[TỔNG CỘNG TÀI SẢN]]</f>
        <v>#DIV/0!</v>
      </c>
      <c r="R2851" s="18" t="e">
        <f>Table1[[#This Row],[- LNST chưa phân phối kỳ này]]/Table1[[#This Row],[TỔNG CỘNG TÀI SẢN]]</f>
        <v>#DIV/0!</v>
      </c>
      <c r="S2851" s="21" t="e">
        <f>Table1[[#This Row],[5. Lợi nhuận gộp về bán hàng và cung cấp dịch vụ]]/Table1[[#This Row],[TỔNG CỘNG TÀI SẢN]]</f>
        <v>#DIV/0!</v>
      </c>
      <c r="T285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851" s="23" t="e">
        <f>Table1[[#This Row],[1. Doanh thu bán hàng và cung cấp dịch vụ ]]/Table1[[#This Row],[TỔNG CỘNG TÀI SẢN]]</f>
        <v>#DIV/0!</v>
      </c>
      <c r="V2851" s="23" t="e">
        <f>1.2*Table1[[#This Row],[X1]] + 1.4*Table1[[#This Row],[X2]] + 3.3*Table1[[#This Row],[x3]] + 0.6*Table1[[#This Row],[x4]] + 1*Table1[[#This Row],[x5]]</f>
        <v>#DIV/0!</v>
      </c>
      <c r="W2851" s="23" t="e">
        <f>IF(Table1[[#This Row],[Zscore]]&lt;1.81,1,0)</f>
        <v>#DIV/0!</v>
      </c>
    </row>
    <row r="2852" spans="1:23" hidden="1" x14ac:dyDescent="0.45">
      <c r="A2852" s="7">
        <v>2846</v>
      </c>
      <c r="B2852" s="5" t="s">
        <v>5699</v>
      </c>
      <c r="C2852" s="6" t="s">
        <v>5700</v>
      </c>
      <c r="D2852" s="6" t="s">
        <v>13</v>
      </c>
      <c r="E2852" s="6"/>
      <c r="F2852" s="6"/>
      <c r="G2852" s="6"/>
      <c r="H2852" s="6"/>
      <c r="I2852" s="6"/>
      <c r="J2852" s="8"/>
      <c r="K2852" s="6"/>
      <c r="L2852" s="6"/>
      <c r="M2852" s="8"/>
      <c r="N2852" s="8"/>
      <c r="O2852" s="8"/>
      <c r="P2852" s="8"/>
      <c r="Q2852" s="18" t="e">
        <f>(Table1[[#This Row],[A. TÀI SẢN NGẮN HẠN]]-Table1[[#This Row],[I. Nợ ngắn hạn]])/Table1[[#This Row],[TỔNG CỘNG TÀI SẢN]]</f>
        <v>#DIV/0!</v>
      </c>
      <c r="R2852" s="18" t="e">
        <f>Table1[[#This Row],[- LNST chưa phân phối kỳ này]]/Table1[[#This Row],[TỔNG CỘNG TÀI SẢN]]</f>
        <v>#DIV/0!</v>
      </c>
      <c r="S2852" s="21" t="e">
        <f>Table1[[#This Row],[5. Lợi nhuận gộp về bán hàng và cung cấp dịch vụ]]/Table1[[#This Row],[TỔNG CỘNG TÀI SẢN]]</f>
        <v>#DIV/0!</v>
      </c>
      <c r="T285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852" s="23" t="e">
        <f>Table1[[#This Row],[1. Doanh thu bán hàng và cung cấp dịch vụ ]]/Table1[[#This Row],[TỔNG CỘNG TÀI SẢN]]</f>
        <v>#DIV/0!</v>
      </c>
      <c r="V2852" s="23" t="e">
        <f>1.2*Table1[[#This Row],[X1]] + 1.4*Table1[[#This Row],[X2]] + 3.3*Table1[[#This Row],[x3]] + 0.6*Table1[[#This Row],[x4]] + 1*Table1[[#This Row],[x5]]</f>
        <v>#DIV/0!</v>
      </c>
      <c r="W2852" s="23" t="e">
        <f>IF(Table1[[#This Row],[Zscore]]&lt;1.81,1,0)</f>
        <v>#DIV/0!</v>
      </c>
    </row>
    <row r="2853" spans="1:23" hidden="1" x14ac:dyDescent="0.45">
      <c r="A2853" s="7">
        <v>2847</v>
      </c>
      <c r="B2853" s="5" t="s">
        <v>5701</v>
      </c>
      <c r="C2853" s="6" t="s">
        <v>5702</v>
      </c>
      <c r="D2853" s="6" t="s">
        <v>13</v>
      </c>
      <c r="E2853" s="6"/>
      <c r="F2853" s="6"/>
      <c r="G2853" s="6"/>
      <c r="H2853" s="6"/>
      <c r="I2853" s="6"/>
      <c r="J2853" s="8"/>
      <c r="K2853" s="6"/>
      <c r="L2853" s="6"/>
      <c r="M2853" s="8"/>
      <c r="N2853" s="8"/>
      <c r="O2853" s="8"/>
      <c r="P2853" s="8"/>
      <c r="Q2853" s="18" t="e">
        <f>(Table1[[#This Row],[A. TÀI SẢN NGẮN HẠN]]-Table1[[#This Row],[I. Nợ ngắn hạn]])/Table1[[#This Row],[TỔNG CỘNG TÀI SẢN]]</f>
        <v>#DIV/0!</v>
      </c>
      <c r="R2853" s="18" t="e">
        <f>Table1[[#This Row],[- LNST chưa phân phối kỳ này]]/Table1[[#This Row],[TỔNG CỘNG TÀI SẢN]]</f>
        <v>#DIV/0!</v>
      </c>
      <c r="S2853" s="21" t="e">
        <f>Table1[[#This Row],[5. Lợi nhuận gộp về bán hàng và cung cấp dịch vụ]]/Table1[[#This Row],[TỔNG CỘNG TÀI SẢN]]</f>
        <v>#DIV/0!</v>
      </c>
      <c r="T285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853" s="23" t="e">
        <f>Table1[[#This Row],[1. Doanh thu bán hàng và cung cấp dịch vụ ]]/Table1[[#This Row],[TỔNG CỘNG TÀI SẢN]]</f>
        <v>#DIV/0!</v>
      </c>
      <c r="V2853" s="23" t="e">
        <f>1.2*Table1[[#This Row],[X1]] + 1.4*Table1[[#This Row],[X2]] + 3.3*Table1[[#This Row],[x3]] + 0.6*Table1[[#This Row],[x4]] + 1*Table1[[#This Row],[x5]]</f>
        <v>#DIV/0!</v>
      </c>
      <c r="W2853" s="23" t="e">
        <f>IF(Table1[[#This Row],[Zscore]]&lt;1.81,1,0)</f>
        <v>#DIV/0!</v>
      </c>
    </row>
    <row r="2854" spans="1:23" ht="26.25" hidden="1" x14ac:dyDescent="0.45">
      <c r="A2854" s="7">
        <v>2848</v>
      </c>
      <c r="B2854" s="5" t="s">
        <v>5703</v>
      </c>
      <c r="C2854" s="6" t="s">
        <v>5704</v>
      </c>
      <c r="D2854" s="6" t="s">
        <v>13</v>
      </c>
      <c r="E2854" s="6"/>
      <c r="F2854" s="6"/>
      <c r="G2854" s="6"/>
      <c r="H2854" s="6"/>
      <c r="I2854" s="6"/>
      <c r="J2854" s="8"/>
      <c r="K2854" s="6"/>
      <c r="L2854" s="6"/>
      <c r="M2854" s="8"/>
      <c r="N2854" s="8"/>
      <c r="O2854" s="8"/>
      <c r="P2854" s="8"/>
      <c r="Q2854" s="18" t="e">
        <f>(Table1[[#This Row],[A. TÀI SẢN NGẮN HẠN]]-Table1[[#This Row],[I. Nợ ngắn hạn]])/Table1[[#This Row],[TỔNG CỘNG TÀI SẢN]]</f>
        <v>#DIV/0!</v>
      </c>
      <c r="R2854" s="18" t="e">
        <f>Table1[[#This Row],[- LNST chưa phân phối kỳ này]]/Table1[[#This Row],[TỔNG CỘNG TÀI SẢN]]</f>
        <v>#DIV/0!</v>
      </c>
      <c r="S2854" s="21" t="e">
        <f>Table1[[#This Row],[5. Lợi nhuận gộp về bán hàng và cung cấp dịch vụ]]/Table1[[#This Row],[TỔNG CỘNG TÀI SẢN]]</f>
        <v>#DIV/0!</v>
      </c>
      <c r="T285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854" s="23" t="e">
        <f>Table1[[#This Row],[1. Doanh thu bán hàng và cung cấp dịch vụ ]]/Table1[[#This Row],[TỔNG CỘNG TÀI SẢN]]</f>
        <v>#DIV/0!</v>
      </c>
      <c r="V2854" s="23" t="e">
        <f>1.2*Table1[[#This Row],[X1]] + 1.4*Table1[[#This Row],[X2]] + 3.3*Table1[[#This Row],[x3]] + 0.6*Table1[[#This Row],[x4]] + 1*Table1[[#This Row],[x5]]</f>
        <v>#DIV/0!</v>
      </c>
      <c r="W2854" s="23" t="e">
        <f>IF(Table1[[#This Row],[Zscore]]&lt;1.81,1,0)</f>
        <v>#DIV/0!</v>
      </c>
    </row>
    <row r="2855" spans="1:23" hidden="1" x14ac:dyDescent="0.45">
      <c r="A2855" s="7">
        <v>2849</v>
      </c>
      <c r="B2855" s="5" t="s">
        <v>5705</v>
      </c>
      <c r="C2855" s="6" t="s">
        <v>5706</v>
      </c>
      <c r="D2855" s="6" t="s">
        <v>13</v>
      </c>
      <c r="E2855" s="6"/>
      <c r="F2855" s="6"/>
      <c r="G2855" s="6"/>
      <c r="H2855" s="6"/>
      <c r="I2855" s="6"/>
      <c r="J2855" s="8"/>
      <c r="K2855" s="6"/>
      <c r="L2855" s="6"/>
      <c r="M2855" s="8"/>
      <c r="N2855" s="8"/>
      <c r="O2855" s="8"/>
      <c r="P2855" s="8"/>
      <c r="Q2855" s="18" t="e">
        <f>(Table1[[#This Row],[A. TÀI SẢN NGẮN HẠN]]-Table1[[#This Row],[I. Nợ ngắn hạn]])/Table1[[#This Row],[TỔNG CỘNG TÀI SẢN]]</f>
        <v>#DIV/0!</v>
      </c>
      <c r="R2855" s="18" t="e">
        <f>Table1[[#This Row],[- LNST chưa phân phối kỳ này]]/Table1[[#This Row],[TỔNG CỘNG TÀI SẢN]]</f>
        <v>#DIV/0!</v>
      </c>
      <c r="S2855" s="21" t="e">
        <f>Table1[[#This Row],[5. Lợi nhuận gộp về bán hàng và cung cấp dịch vụ]]/Table1[[#This Row],[TỔNG CỘNG TÀI SẢN]]</f>
        <v>#DIV/0!</v>
      </c>
      <c r="T285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855" s="23" t="e">
        <f>Table1[[#This Row],[1. Doanh thu bán hàng và cung cấp dịch vụ ]]/Table1[[#This Row],[TỔNG CỘNG TÀI SẢN]]</f>
        <v>#DIV/0!</v>
      </c>
      <c r="V2855" s="23" t="e">
        <f>1.2*Table1[[#This Row],[X1]] + 1.4*Table1[[#This Row],[X2]] + 3.3*Table1[[#This Row],[x3]] + 0.6*Table1[[#This Row],[x4]] + 1*Table1[[#This Row],[x5]]</f>
        <v>#DIV/0!</v>
      </c>
      <c r="W2855" s="23" t="e">
        <f>IF(Table1[[#This Row],[Zscore]]&lt;1.81,1,0)</f>
        <v>#DIV/0!</v>
      </c>
    </row>
    <row r="2856" spans="1:23" hidden="1" x14ac:dyDescent="0.45">
      <c r="A2856" s="7">
        <v>2850</v>
      </c>
      <c r="B2856" s="5" t="s">
        <v>5707</v>
      </c>
      <c r="C2856" s="6" t="s">
        <v>5708</v>
      </c>
      <c r="D2856" s="6" t="s">
        <v>13</v>
      </c>
      <c r="E2856" s="6"/>
      <c r="F2856" s="6"/>
      <c r="G2856" s="6"/>
      <c r="H2856" s="6"/>
      <c r="I2856" s="6"/>
      <c r="J2856" s="8"/>
      <c r="K2856" s="6"/>
      <c r="L2856" s="6"/>
      <c r="M2856" s="8"/>
      <c r="N2856" s="8"/>
      <c r="O2856" s="8"/>
      <c r="P2856" s="8"/>
      <c r="Q2856" s="18" t="e">
        <f>(Table1[[#This Row],[A. TÀI SẢN NGẮN HẠN]]-Table1[[#This Row],[I. Nợ ngắn hạn]])/Table1[[#This Row],[TỔNG CỘNG TÀI SẢN]]</f>
        <v>#DIV/0!</v>
      </c>
      <c r="R2856" s="18" t="e">
        <f>Table1[[#This Row],[- LNST chưa phân phối kỳ này]]/Table1[[#This Row],[TỔNG CỘNG TÀI SẢN]]</f>
        <v>#DIV/0!</v>
      </c>
      <c r="S2856" s="21" t="e">
        <f>Table1[[#This Row],[5. Lợi nhuận gộp về bán hàng và cung cấp dịch vụ]]/Table1[[#This Row],[TỔNG CỘNG TÀI SẢN]]</f>
        <v>#DIV/0!</v>
      </c>
      <c r="T285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856" s="23" t="e">
        <f>Table1[[#This Row],[1. Doanh thu bán hàng và cung cấp dịch vụ ]]/Table1[[#This Row],[TỔNG CỘNG TÀI SẢN]]</f>
        <v>#DIV/0!</v>
      </c>
      <c r="V2856" s="23" t="e">
        <f>1.2*Table1[[#This Row],[X1]] + 1.4*Table1[[#This Row],[X2]] + 3.3*Table1[[#This Row],[x3]] + 0.6*Table1[[#This Row],[x4]] + 1*Table1[[#This Row],[x5]]</f>
        <v>#DIV/0!</v>
      </c>
      <c r="W2856" s="23" t="e">
        <f>IF(Table1[[#This Row],[Zscore]]&lt;1.81,1,0)</f>
        <v>#DIV/0!</v>
      </c>
    </row>
    <row r="2857" spans="1:23" ht="26.25" hidden="1" x14ac:dyDescent="0.45">
      <c r="A2857" s="7">
        <v>2851</v>
      </c>
      <c r="B2857" s="5" t="s">
        <v>5709</v>
      </c>
      <c r="C2857" s="6" t="s">
        <v>5710</v>
      </c>
      <c r="D2857" s="6" t="s">
        <v>13</v>
      </c>
      <c r="E2857" s="6"/>
      <c r="F2857" s="6"/>
      <c r="G2857" s="6"/>
      <c r="H2857" s="6"/>
      <c r="I2857" s="6"/>
      <c r="J2857" s="8"/>
      <c r="K2857" s="6"/>
      <c r="L2857" s="6"/>
      <c r="M2857" s="8"/>
      <c r="N2857" s="8"/>
      <c r="O2857" s="8"/>
      <c r="P2857" s="8"/>
      <c r="Q2857" s="18" t="e">
        <f>(Table1[[#This Row],[A. TÀI SẢN NGẮN HẠN]]-Table1[[#This Row],[I. Nợ ngắn hạn]])/Table1[[#This Row],[TỔNG CỘNG TÀI SẢN]]</f>
        <v>#DIV/0!</v>
      </c>
      <c r="R2857" s="18" t="e">
        <f>Table1[[#This Row],[- LNST chưa phân phối kỳ này]]/Table1[[#This Row],[TỔNG CỘNG TÀI SẢN]]</f>
        <v>#DIV/0!</v>
      </c>
      <c r="S2857" s="21" t="e">
        <f>Table1[[#This Row],[5. Lợi nhuận gộp về bán hàng và cung cấp dịch vụ]]/Table1[[#This Row],[TỔNG CỘNG TÀI SẢN]]</f>
        <v>#DIV/0!</v>
      </c>
      <c r="T285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857" s="23" t="e">
        <f>Table1[[#This Row],[1. Doanh thu bán hàng và cung cấp dịch vụ ]]/Table1[[#This Row],[TỔNG CỘNG TÀI SẢN]]</f>
        <v>#DIV/0!</v>
      </c>
      <c r="V2857" s="23" t="e">
        <f>1.2*Table1[[#This Row],[X1]] + 1.4*Table1[[#This Row],[X2]] + 3.3*Table1[[#This Row],[x3]] + 0.6*Table1[[#This Row],[x4]] + 1*Table1[[#This Row],[x5]]</f>
        <v>#DIV/0!</v>
      </c>
      <c r="W2857" s="23" t="e">
        <f>IF(Table1[[#This Row],[Zscore]]&lt;1.81,1,0)</f>
        <v>#DIV/0!</v>
      </c>
    </row>
    <row r="2858" spans="1:23" ht="26.25" hidden="1" x14ac:dyDescent="0.45">
      <c r="A2858" s="7">
        <v>2852</v>
      </c>
      <c r="B2858" s="5" t="s">
        <v>5711</v>
      </c>
      <c r="C2858" s="6" t="s">
        <v>5712</v>
      </c>
      <c r="D2858" s="6" t="s">
        <v>13</v>
      </c>
      <c r="E2858" s="6"/>
      <c r="F2858" s="6"/>
      <c r="G2858" s="6"/>
      <c r="H2858" s="6"/>
      <c r="I2858" s="6"/>
      <c r="J2858" s="8"/>
      <c r="K2858" s="6"/>
      <c r="L2858" s="6"/>
      <c r="M2858" s="8"/>
      <c r="N2858" s="8"/>
      <c r="O2858" s="8"/>
      <c r="P2858" s="8"/>
      <c r="Q2858" s="18" t="e">
        <f>(Table1[[#This Row],[A. TÀI SẢN NGẮN HẠN]]-Table1[[#This Row],[I. Nợ ngắn hạn]])/Table1[[#This Row],[TỔNG CỘNG TÀI SẢN]]</f>
        <v>#DIV/0!</v>
      </c>
      <c r="R2858" s="18" t="e">
        <f>Table1[[#This Row],[- LNST chưa phân phối kỳ này]]/Table1[[#This Row],[TỔNG CỘNG TÀI SẢN]]</f>
        <v>#DIV/0!</v>
      </c>
      <c r="S2858" s="21" t="e">
        <f>Table1[[#This Row],[5. Lợi nhuận gộp về bán hàng và cung cấp dịch vụ]]/Table1[[#This Row],[TỔNG CỘNG TÀI SẢN]]</f>
        <v>#DIV/0!</v>
      </c>
      <c r="T285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858" s="23" t="e">
        <f>Table1[[#This Row],[1. Doanh thu bán hàng và cung cấp dịch vụ ]]/Table1[[#This Row],[TỔNG CỘNG TÀI SẢN]]</f>
        <v>#DIV/0!</v>
      </c>
      <c r="V2858" s="23" t="e">
        <f>1.2*Table1[[#This Row],[X1]] + 1.4*Table1[[#This Row],[X2]] + 3.3*Table1[[#This Row],[x3]] + 0.6*Table1[[#This Row],[x4]] + 1*Table1[[#This Row],[x5]]</f>
        <v>#DIV/0!</v>
      </c>
      <c r="W2858" s="23" t="e">
        <f>IF(Table1[[#This Row],[Zscore]]&lt;1.81,1,0)</f>
        <v>#DIV/0!</v>
      </c>
    </row>
    <row r="2859" spans="1:23" ht="26.25" hidden="1" x14ac:dyDescent="0.45">
      <c r="A2859" s="7">
        <v>2853</v>
      </c>
      <c r="B2859" s="5" t="s">
        <v>5713</v>
      </c>
      <c r="C2859" s="6" t="s">
        <v>5714</v>
      </c>
      <c r="D2859" s="6" t="s">
        <v>13</v>
      </c>
      <c r="E2859" s="6"/>
      <c r="F2859" s="6"/>
      <c r="G2859" s="6"/>
      <c r="H2859" s="6"/>
      <c r="I2859" s="6"/>
      <c r="J2859" s="8"/>
      <c r="K2859" s="6"/>
      <c r="L2859" s="6"/>
      <c r="M2859" s="8"/>
      <c r="N2859" s="8"/>
      <c r="O2859" s="8"/>
      <c r="P2859" s="8"/>
      <c r="Q2859" s="18" t="e">
        <f>(Table1[[#This Row],[A. TÀI SẢN NGẮN HẠN]]-Table1[[#This Row],[I. Nợ ngắn hạn]])/Table1[[#This Row],[TỔNG CỘNG TÀI SẢN]]</f>
        <v>#DIV/0!</v>
      </c>
      <c r="R2859" s="18" t="e">
        <f>Table1[[#This Row],[- LNST chưa phân phối kỳ này]]/Table1[[#This Row],[TỔNG CỘNG TÀI SẢN]]</f>
        <v>#DIV/0!</v>
      </c>
      <c r="S2859" s="21" t="e">
        <f>Table1[[#This Row],[5. Lợi nhuận gộp về bán hàng và cung cấp dịch vụ]]/Table1[[#This Row],[TỔNG CỘNG TÀI SẢN]]</f>
        <v>#DIV/0!</v>
      </c>
      <c r="T285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859" s="23" t="e">
        <f>Table1[[#This Row],[1. Doanh thu bán hàng và cung cấp dịch vụ ]]/Table1[[#This Row],[TỔNG CỘNG TÀI SẢN]]</f>
        <v>#DIV/0!</v>
      </c>
      <c r="V2859" s="23" t="e">
        <f>1.2*Table1[[#This Row],[X1]] + 1.4*Table1[[#This Row],[X2]] + 3.3*Table1[[#This Row],[x3]] + 0.6*Table1[[#This Row],[x4]] + 1*Table1[[#This Row],[x5]]</f>
        <v>#DIV/0!</v>
      </c>
      <c r="W2859" s="23" t="e">
        <f>IF(Table1[[#This Row],[Zscore]]&lt;1.81,1,0)</f>
        <v>#DIV/0!</v>
      </c>
    </row>
    <row r="2860" spans="1:23" hidden="1" x14ac:dyDescent="0.45">
      <c r="A2860" s="7">
        <v>2854</v>
      </c>
      <c r="B2860" s="5" t="s">
        <v>5715</v>
      </c>
      <c r="C2860" s="6" t="s">
        <v>5716</v>
      </c>
      <c r="D2860" s="6" t="s">
        <v>13</v>
      </c>
      <c r="E2860" s="6"/>
      <c r="F2860" s="6"/>
      <c r="G2860" s="6"/>
      <c r="H2860" s="6"/>
      <c r="I2860" s="6"/>
      <c r="J2860" s="8"/>
      <c r="K2860" s="6"/>
      <c r="L2860" s="6"/>
      <c r="M2860" s="8"/>
      <c r="N2860" s="8"/>
      <c r="O2860" s="8"/>
      <c r="P2860" s="8"/>
      <c r="Q2860" s="18" t="e">
        <f>(Table1[[#This Row],[A. TÀI SẢN NGẮN HẠN]]-Table1[[#This Row],[I. Nợ ngắn hạn]])/Table1[[#This Row],[TỔNG CỘNG TÀI SẢN]]</f>
        <v>#DIV/0!</v>
      </c>
      <c r="R2860" s="18" t="e">
        <f>Table1[[#This Row],[- LNST chưa phân phối kỳ này]]/Table1[[#This Row],[TỔNG CỘNG TÀI SẢN]]</f>
        <v>#DIV/0!</v>
      </c>
      <c r="S2860" s="21" t="e">
        <f>Table1[[#This Row],[5. Lợi nhuận gộp về bán hàng và cung cấp dịch vụ]]/Table1[[#This Row],[TỔNG CỘNG TÀI SẢN]]</f>
        <v>#DIV/0!</v>
      </c>
      <c r="T286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860" s="23" t="e">
        <f>Table1[[#This Row],[1. Doanh thu bán hàng và cung cấp dịch vụ ]]/Table1[[#This Row],[TỔNG CỘNG TÀI SẢN]]</f>
        <v>#DIV/0!</v>
      </c>
      <c r="V2860" s="23" t="e">
        <f>1.2*Table1[[#This Row],[X1]] + 1.4*Table1[[#This Row],[X2]] + 3.3*Table1[[#This Row],[x3]] + 0.6*Table1[[#This Row],[x4]] + 1*Table1[[#This Row],[x5]]</f>
        <v>#DIV/0!</v>
      </c>
      <c r="W2860" s="23" t="e">
        <f>IF(Table1[[#This Row],[Zscore]]&lt;1.81,1,0)</f>
        <v>#DIV/0!</v>
      </c>
    </row>
    <row r="2861" spans="1:23" ht="26.25" x14ac:dyDescent="0.45">
      <c r="A2861" s="7">
        <v>2855</v>
      </c>
      <c r="B2861" s="5" t="s">
        <v>5717</v>
      </c>
      <c r="C2861" s="6" t="s">
        <v>5718</v>
      </c>
      <c r="D2861" s="6" t="s">
        <v>18</v>
      </c>
      <c r="E2861" s="8">
        <v>925021775132</v>
      </c>
      <c r="F2861" s="8">
        <v>559595399799</v>
      </c>
      <c r="G2861" s="8">
        <v>272873461676</v>
      </c>
      <c r="H2861" s="8">
        <v>31633569913</v>
      </c>
      <c r="I2861" s="8">
        <v>49091018409</v>
      </c>
      <c r="J2861" s="8"/>
      <c r="K2861" s="8">
        <v>364853990783</v>
      </c>
      <c r="L2861" s="8">
        <v>162955563892</v>
      </c>
      <c r="M2861" s="8">
        <v>310809430500</v>
      </c>
      <c r="N2861" s="8">
        <v>494592398100</v>
      </c>
      <c r="O2861" s="8">
        <v>605402716800</v>
      </c>
      <c r="P2861" s="8">
        <v>513511233000</v>
      </c>
      <c r="Q2861" s="18">
        <f>(Table1[[#This Row],[A. TÀI SẢN NGẮN HẠN]]-Table1[[#This Row],[I. Nợ ngắn hạn]])/Table1[[#This Row],[TỔNG CỘNG TÀI SẢN]]</f>
        <v>0.30996236610979777</v>
      </c>
      <c r="R2861" s="18">
        <f>Table1[[#This Row],[- LNST chưa phân phối kỳ này]]/Table1[[#This Row],[TỔNG CỘNG TÀI SẢN]]</f>
        <v>3.4197648923979015E-2</v>
      </c>
      <c r="S2861" s="21">
        <f>Table1[[#This Row],[5. Lợi nhuận gộp về bán hàng và cung cấp dịch vụ]]/Table1[[#This Row],[TỔNG CỘNG TÀI SẢN]]</f>
        <v>5.3070121946042562E-2</v>
      </c>
      <c r="T286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1.3185519598335045</v>
      </c>
      <c r="U2861" s="23">
        <f>Table1[[#This Row],[1. Doanh thu bán hàng và cung cấp dịch vụ ]]/Table1[[#This Row],[TỔNG CỘNG TÀI SẢN]]</f>
        <v>0.17616403015890772</v>
      </c>
      <c r="V2861" s="23">
        <f>1.2*Table1[[#This Row],[X1]] + 1.4*Table1[[#This Row],[X2]] + 3.3*Table1[[#This Row],[x3]] + 0.6*Table1[[#This Row],[x4]] + 1*Table1[[#This Row],[x5]]</f>
        <v>1.562258156306279</v>
      </c>
      <c r="W2861" s="23">
        <f>IF(Table1[[#This Row],[Zscore]]&lt;1.81,1,0)</f>
        <v>1</v>
      </c>
    </row>
    <row r="2862" spans="1:23" ht="26.25" hidden="1" x14ac:dyDescent="0.45">
      <c r="A2862" s="7">
        <v>2856</v>
      </c>
      <c r="B2862" s="5" t="s">
        <v>5719</v>
      </c>
      <c r="C2862" s="6" t="s">
        <v>5720</v>
      </c>
      <c r="D2862" s="6" t="s">
        <v>13</v>
      </c>
      <c r="E2862" s="6"/>
      <c r="F2862" s="6"/>
      <c r="G2862" s="6"/>
      <c r="H2862" s="6"/>
      <c r="I2862" s="6"/>
      <c r="J2862" s="8"/>
      <c r="K2862" s="6"/>
      <c r="L2862" s="6"/>
      <c r="M2862" s="8"/>
      <c r="N2862" s="8"/>
      <c r="O2862" s="8"/>
      <c r="P2862" s="8"/>
      <c r="Q2862" s="18" t="e">
        <f>(Table1[[#This Row],[A. TÀI SẢN NGẮN HẠN]]-Table1[[#This Row],[I. Nợ ngắn hạn]])/Table1[[#This Row],[TỔNG CỘNG TÀI SẢN]]</f>
        <v>#DIV/0!</v>
      </c>
      <c r="R2862" s="18" t="e">
        <f>Table1[[#This Row],[- LNST chưa phân phối kỳ này]]/Table1[[#This Row],[TỔNG CỘNG TÀI SẢN]]</f>
        <v>#DIV/0!</v>
      </c>
      <c r="S2862" s="21" t="e">
        <f>Table1[[#This Row],[5. Lợi nhuận gộp về bán hàng và cung cấp dịch vụ]]/Table1[[#This Row],[TỔNG CỘNG TÀI SẢN]]</f>
        <v>#DIV/0!</v>
      </c>
      <c r="T286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862" s="23" t="e">
        <f>Table1[[#This Row],[1. Doanh thu bán hàng và cung cấp dịch vụ ]]/Table1[[#This Row],[TỔNG CỘNG TÀI SẢN]]</f>
        <v>#DIV/0!</v>
      </c>
      <c r="V2862" s="23" t="e">
        <f>1.2*Table1[[#This Row],[X1]] + 1.4*Table1[[#This Row],[X2]] + 3.3*Table1[[#This Row],[x3]] + 0.6*Table1[[#This Row],[x4]] + 1*Table1[[#This Row],[x5]]</f>
        <v>#DIV/0!</v>
      </c>
      <c r="W2862" s="23" t="e">
        <f>IF(Table1[[#This Row],[Zscore]]&lt;1.81,1,0)</f>
        <v>#DIV/0!</v>
      </c>
    </row>
    <row r="2863" spans="1:23" ht="26.25" hidden="1" x14ac:dyDescent="0.45">
      <c r="A2863" s="7">
        <v>2857</v>
      </c>
      <c r="B2863" s="5" t="s">
        <v>5721</v>
      </c>
      <c r="C2863" s="6" t="s">
        <v>5722</v>
      </c>
      <c r="D2863" s="6" t="s">
        <v>13</v>
      </c>
      <c r="E2863" s="6"/>
      <c r="F2863" s="6"/>
      <c r="G2863" s="6"/>
      <c r="H2863" s="6"/>
      <c r="I2863" s="6"/>
      <c r="J2863" s="8"/>
      <c r="K2863" s="6"/>
      <c r="L2863" s="6"/>
      <c r="M2863" s="8"/>
      <c r="N2863" s="8"/>
      <c r="O2863" s="8"/>
      <c r="P2863" s="8"/>
      <c r="Q2863" s="18" t="e">
        <f>(Table1[[#This Row],[A. TÀI SẢN NGẮN HẠN]]-Table1[[#This Row],[I. Nợ ngắn hạn]])/Table1[[#This Row],[TỔNG CỘNG TÀI SẢN]]</f>
        <v>#DIV/0!</v>
      </c>
      <c r="R2863" s="18" t="e">
        <f>Table1[[#This Row],[- LNST chưa phân phối kỳ này]]/Table1[[#This Row],[TỔNG CỘNG TÀI SẢN]]</f>
        <v>#DIV/0!</v>
      </c>
      <c r="S2863" s="21" t="e">
        <f>Table1[[#This Row],[5. Lợi nhuận gộp về bán hàng và cung cấp dịch vụ]]/Table1[[#This Row],[TỔNG CỘNG TÀI SẢN]]</f>
        <v>#DIV/0!</v>
      </c>
      <c r="T286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863" s="23" t="e">
        <f>Table1[[#This Row],[1. Doanh thu bán hàng và cung cấp dịch vụ ]]/Table1[[#This Row],[TỔNG CỘNG TÀI SẢN]]</f>
        <v>#DIV/0!</v>
      </c>
      <c r="V2863" s="23" t="e">
        <f>1.2*Table1[[#This Row],[X1]] + 1.4*Table1[[#This Row],[X2]] + 3.3*Table1[[#This Row],[x3]] + 0.6*Table1[[#This Row],[x4]] + 1*Table1[[#This Row],[x5]]</f>
        <v>#DIV/0!</v>
      </c>
      <c r="W2863" s="23" t="e">
        <f>IF(Table1[[#This Row],[Zscore]]&lt;1.81,1,0)</f>
        <v>#DIV/0!</v>
      </c>
    </row>
    <row r="2864" spans="1:23" hidden="1" x14ac:dyDescent="0.45">
      <c r="A2864" s="7">
        <v>2858</v>
      </c>
      <c r="B2864" s="5" t="s">
        <v>5723</v>
      </c>
      <c r="C2864" s="6" t="s">
        <v>5724</v>
      </c>
      <c r="D2864" s="6" t="s">
        <v>13</v>
      </c>
      <c r="E2864" s="6"/>
      <c r="F2864" s="6"/>
      <c r="G2864" s="6"/>
      <c r="H2864" s="6"/>
      <c r="I2864" s="6"/>
      <c r="J2864" s="8"/>
      <c r="K2864" s="6"/>
      <c r="L2864" s="6"/>
      <c r="M2864" s="8"/>
      <c r="N2864" s="8"/>
      <c r="O2864" s="8"/>
      <c r="P2864" s="8"/>
      <c r="Q2864" s="18" t="e">
        <f>(Table1[[#This Row],[A. TÀI SẢN NGẮN HẠN]]-Table1[[#This Row],[I. Nợ ngắn hạn]])/Table1[[#This Row],[TỔNG CỘNG TÀI SẢN]]</f>
        <v>#DIV/0!</v>
      </c>
      <c r="R2864" s="18" t="e">
        <f>Table1[[#This Row],[- LNST chưa phân phối kỳ này]]/Table1[[#This Row],[TỔNG CỘNG TÀI SẢN]]</f>
        <v>#DIV/0!</v>
      </c>
      <c r="S2864" s="21" t="e">
        <f>Table1[[#This Row],[5. Lợi nhuận gộp về bán hàng và cung cấp dịch vụ]]/Table1[[#This Row],[TỔNG CỘNG TÀI SẢN]]</f>
        <v>#DIV/0!</v>
      </c>
      <c r="T286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864" s="23" t="e">
        <f>Table1[[#This Row],[1. Doanh thu bán hàng và cung cấp dịch vụ ]]/Table1[[#This Row],[TỔNG CỘNG TÀI SẢN]]</f>
        <v>#DIV/0!</v>
      </c>
      <c r="V2864" s="23" t="e">
        <f>1.2*Table1[[#This Row],[X1]] + 1.4*Table1[[#This Row],[X2]] + 3.3*Table1[[#This Row],[x3]] + 0.6*Table1[[#This Row],[x4]] + 1*Table1[[#This Row],[x5]]</f>
        <v>#DIV/0!</v>
      </c>
      <c r="W2864" s="23" t="e">
        <f>IF(Table1[[#This Row],[Zscore]]&lt;1.81,1,0)</f>
        <v>#DIV/0!</v>
      </c>
    </row>
    <row r="2865" spans="1:23" x14ac:dyDescent="0.45">
      <c r="A2865" s="7">
        <v>2859</v>
      </c>
      <c r="B2865" s="5" t="s">
        <v>5725</v>
      </c>
      <c r="C2865" s="6" t="s">
        <v>5726</v>
      </c>
      <c r="D2865" s="6" t="s">
        <v>18</v>
      </c>
      <c r="E2865" s="8">
        <v>664536761656</v>
      </c>
      <c r="F2865" s="8">
        <v>432667511490</v>
      </c>
      <c r="G2865" s="8">
        <v>235006943920</v>
      </c>
      <c r="H2865" s="8">
        <v>65269158661</v>
      </c>
      <c r="I2865" s="8">
        <v>69540257020</v>
      </c>
      <c r="J2865" s="8"/>
      <c r="K2865" s="8">
        <v>259137201615</v>
      </c>
      <c r="L2865" s="8">
        <v>499674127239</v>
      </c>
      <c r="M2865" s="8">
        <v>463903000000</v>
      </c>
      <c r="N2865" s="8">
        <v>495532750000</v>
      </c>
      <c r="O2865" s="8">
        <v>343709950000</v>
      </c>
      <c r="P2865" s="8">
        <v>421730000000</v>
      </c>
      <c r="Q2865" s="18">
        <f>(Table1[[#This Row],[A. TÀI SẢN NGẮN HẠN]]-Table1[[#This Row],[I. Nợ ngắn hạn]])/Table1[[#This Row],[TỔNG CỘNG TÀI SẢN]]</f>
        <v>0.29744113339559647</v>
      </c>
      <c r="R2865" s="18">
        <f>Table1[[#This Row],[- LNST chưa phân phối kỳ này]]/Table1[[#This Row],[TỔNG CỘNG TÀI SẢN]]</f>
        <v>9.8217529002235737E-2</v>
      </c>
      <c r="S2865" s="21">
        <f>Table1[[#This Row],[5. Lợi nhuận gộp về bán hàng và cung cấp dịch vụ]]/Table1[[#This Row],[TỔNG CỘNG TÀI SẢN]]</f>
        <v>0.10464471046975393</v>
      </c>
      <c r="T286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1.6640564238270263</v>
      </c>
      <c r="U2865" s="23">
        <f>Table1[[#This Row],[1. Doanh thu bán hàng và cung cấp dịch vụ ]]/Table1[[#This Row],[TỔNG CỘNG TÀI SẢN]]</f>
        <v>0.75191344718662567</v>
      </c>
      <c r="V2865" s="23">
        <f>1.2*Table1[[#This Row],[X1]] + 1.4*Table1[[#This Row],[X2]] + 3.3*Table1[[#This Row],[x3]] + 0.6*Table1[[#This Row],[x4]] + 1*Table1[[#This Row],[x5]]</f>
        <v>2.5901087467108752</v>
      </c>
      <c r="W2865" s="23">
        <f>IF(Table1[[#This Row],[Zscore]]&lt;1.81,1,0)</f>
        <v>0</v>
      </c>
    </row>
    <row r="2866" spans="1:23" hidden="1" x14ac:dyDescent="0.45">
      <c r="A2866" s="7">
        <v>2860</v>
      </c>
      <c r="B2866" s="5" t="s">
        <v>5727</v>
      </c>
      <c r="C2866" s="6" t="s">
        <v>5728</v>
      </c>
      <c r="D2866" s="6" t="s">
        <v>13</v>
      </c>
      <c r="E2866" s="6"/>
      <c r="F2866" s="6"/>
      <c r="G2866" s="6"/>
      <c r="H2866" s="6"/>
      <c r="I2866" s="6"/>
      <c r="J2866" s="8"/>
      <c r="K2866" s="6"/>
      <c r="L2866" s="6"/>
      <c r="M2866" s="8"/>
      <c r="N2866" s="8"/>
      <c r="O2866" s="8"/>
      <c r="P2866" s="8"/>
      <c r="Q2866" s="18" t="e">
        <f>(Table1[[#This Row],[A. TÀI SẢN NGẮN HẠN]]-Table1[[#This Row],[I. Nợ ngắn hạn]])/Table1[[#This Row],[TỔNG CỘNG TÀI SẢN]]</f>
        <v>#DIV/0!</v>
      </c>
      <c r="R2866" s="18" t="e">
        <f>Table1[[#This Row],[- LNST chưa phân phối kỳ này]]/Table1[[#This Row],[TỔNG CỘNG TÀI SẢN]]</f>
        <v>#DIV/0!</v>
      </c>
      <c r="S2866" s="21" t="e">
        <f>Table1[[#This Row],[5. Lợi nhuận gộp về bán hàng và cung cấp dịch vụ]]/Table1[[#This Row],[TỔNG CỘNG TÀI SẢN]]</f>
        <v>#DIV/0!</v>
      </c>
      <c r="T286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866" s="23" t="e">
        <f>Table1[[#This Row],[1. Doanh thu bán hàng và cung cấp dịch vụ ]]/Table1[[#This Row],[TỔNG CỘNG TÀI SẢN]]</f>
        <v>#DIV/0!</v>
      </c>
      <c r="V2866" s="23" t="e">
        <f>1.2*Table1[[#This Row],[X1]] + 1.4*Table1[[#This Row],[X2]] + 3.3*Table1[[#This Row],[x3]] + 0.6*Table1[[#This Row],[x4]] + 1*Table1[[#This Row],[x5]]</f>
        <v>#DIV/0!</v>
      </c>
      <c r="W2866" s="23" t="e">
        <f>IF(Table1[[#This Row],[Zscore]]&lt;1.81,1,0)</f>
        <v>#DIV/0!</v>
      </c>
    </row>
    <row r="2867" spans="1:23" hidden="1" x14ac:dyDescent="0.45">
      <c r="A2867" s="7">
        <v>2861</v>
      </c>
      <c r="B2867" s="5" t="s">
        <v>5729</v>
      </c>
      <c r="C2867" s="6" t="s">
        <v>5730</v>
      </c>
      <c r="D2867" s="6" t="s">
        <v>13</v>
      </c>
      <c r="E2867" s="6"/>
      <c r="F2867" s="6"/>
      <c r="G2867" s="6"/>
      <c r="H2867" s="6"/>
      <c r="I2867" s="6"/>
      <c r="J2867" s="8"/>
      <c r="K2867" s="6"/>
      <c r="L2867" s="6"/>
      <c r="M2867" s="8"/>
      <c r="N2867" s="8"/>
      <c r="O2867" s="8"/>
      <c r="P2867" s="8"/>
      <c r="Q2867" s="18" t="e">
        <f>(Table1[[#This Row],[A. TÀI SẢN NGẮN HẠN]]-Table1[[#This Row],[I. Nợ ngắn hạn]])/Table1[[#This Row],[TỔNG CỘNG TÀI SẢN]]</f>
        <v>#DIV/0!</v>
      </c>
      <c r="R2867" s="18" t="e">
        <f>Table1[[#This Row],[- LNST chưa phân phối kỳ này]]/Table1[[#This Row],[TỔNG CỘNG TÀI SẢN]]</f>
        <v>#DIV/0!</v>
      </c>
      <c r="S2867" s="21" t="e">
        <f>Table1[[#This Row],[5. Lợi nhuận gộp về bán hàng và cung cấp dịch vụ]]/Table1[[#This Row],[TỔNG CỘNG TÀI SẢN]]</f>
        <v>#DIV/0!</v>
      </c>
      <c r="T286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867" s="23" t="e">
        <f>Table1[[#This Row],[1. Doanh thu bán hàng và cung cấp dịch vụ ]]/Table1[[#This Row],[TỔNG CỘNG TÀI SẢN]]</f>
        <v>#DIV/0!</v>
      </c>
      <c r="V2867" s="23" t="e">
        <f>1.2*Table1[[#This Row],[X1]] + 1.4*Table1[[#This Row],[X2]] + 3.3*Table1[[#This Row],[x3]] + 0.6*Table1[[#This Row],[x4]] + 1*Table1[[#This Row],[x5]]</f>
        <v>#DIV/0!</v>
      </c>
      <c r="W2867" s="23" t="e">
        <f>IF(Table1[[#This Row],[Zscore]]&lt;1.81,1,0)</f>
        <v>#DIV/0!</v>
      </c>
    </row>
    <row r="2868" spans="1:23" hidden="1" x14ac:dyDescent="0.45">
      <c r="A2868" s="7">
        <v>2862</v>
      </c>
      <c r="B2868" s="5" t="s">
        <v>5731</v>
      </c>
      <c r="C2868" s="6" t="s">
        <v>5732</v>
      </c>
      <c r="D2868" s="6" t="s">
        <v>13</v>
      </c>
      <c r="E2868" s="6"/>
      <c r="F2868" s="6"/>
      <c r="G2868" s="6"/>
      <c r="H2868" s="6"/>
      <c r="I2868" s="6"/>
      <c r="J2868" s="8"/>
      <c r="K2868" s="6"/>
      <c r="L2868" s="6"/>
      <c r="M2868" s="8"/>
      <c r="N2868" s="8"/>
      <c r="O2868" s="8"/>
      <c r="P2868" s="8"/>
      <c r="Q2868" s="18" t="e">
        <f>(Table1[[#This Row],[A. TÀI SẢN NGẮN HẠN]]-Table1[[#This Row],[I. Nợ ngắn hạn]])/Table1[[#This Row],[TỔNG CỘNG TÀI SẢN]]</f>
        <v>#DIV/0!</v>
      </c>
      <c r="R2868" s="18" t="e">
        <f>Table1[[#This Row],[- LNST chưa phân phối kỳ này]]/Table1[[#This Row],[TỔNG CỘNG TÀI SẢN]]</f>
        <v>#DIV/0!</v>
      </c>
      <c r="S2868" s="21" t="e">
        <f>Table1[[#This Row],[5. Lợi nhuận gộp về bán hàng và cung cấp dịch vụ]]/Table1[[#This Row],[TỔNG CỘNG TÀI SẢN]]</f>
        <v>#DIV/0!</v>
      </c>
      <c r="T286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868" s="23" t="e">
        <f>Table1[[#This Row],[1. Doanh thu bán hàng và cung cấp dịch vụ ]]/Table1[[#This Row],[TỔNG CỘNG TÀI SẢN]]</f>
        <v>#DIV/0!</v>
      </c>
      <c r="V2868" s="23" t="e">
        <f>1.2*Table1[[#This Row],[X1]] + 1.4*Table1[[#This Row],[X2]] + 3.3*Table1[[#This Row],[x3]] + 0.6*Table1[[#This Row],[x4]] + 1*Table1[[#This Row],[x5]]</f>
        <v>#DIV/0!</v>
      </c>
      <c r="W2868" s="23" t="e">
        <f>IF(Table1[[#This Row],[Zscore]]&lt;1.81,1,0)</f>
        <v>#DIV/0!</v>
      </c>
    </row>
    <row r="2869" spans="1:23" hidden="1" x14ac:dyDescent="0.45">
      <c r="A2869" s="7">
        <v>2863</v>
      </c>
      <c r="B2869" s="5" t="s">
        <v>5733</v>
      </c>
      <c r="C2869" s="6" t="s">
        <v>5734</v>
      </c>
      <c r="D2869" s="6" t="s">
        <v>13</v>
      </c>
      <c r="E2869" s="6"/>
      <c r="F2869" s="6"/>
      <c r="G2869" s="6"/>
      <c r="H2869" s="6"/>
      <c r="I2869" s="6"/>
      <c r="J2869" s="8"/>
      <c r="K2869" s="6"/>
      <c r="L2869" s="6"/>
      <c r="M2869" s="8"/>
      <c r="N2869" s="8"/>
      <c r="O2869" s="8"/>
      <c r="P2869" s="8"/>
      <c r="Q2869" s="18" t="e">
        <f>(Table1[[#This Row],[A. TÀI SẢN NGẮN HẠN]]-Table1[[#This Row],[I. Nợ ngắn hạn]])/Table1[[#This Row],[TỔNG CỘNG TÀI SẢN]]</f>
        <v>#DIV/0!</v>
      </c>
      <c r="R2869" s="18" t="e">
        <f>Table1[[#This Row],[- LNST chưa phân phối kỳ này]]/Table1[[#This Row],[TỔNG CỘNG TÀI SẢN]]</f>
        <v>#DIV/0!</v>
      </c>
      <c r="S2869" s="21" t="e">
        <f>Table1[[#This Row],[5. Lợi nhuận gộp về bán hàng và cung cấp dịch vụ]]/Table1[[#This Row],[TỔNG CỘNG TÀI SẢN]]</f>
        <v>#DIV/0!</v>
      </c>
      <c r="T286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869" s="23" t="e">
        <f>Table1[[#This Row],[1. Doanh thu bán hàng và cung cấp dịch vụ ]]/Table1[[#This Row],[TỔNG CỘNG TÀI SẢN]]</f>
        <v>#DIV/0!</v>
      </c>
      <c r="V2869" s="23" t="e">
        <f>1.2*Table1[[#This Row],[X1]] + 1.4*Table1[[#This Row],[X2]] + 3.3*Table1[[#This Row],[x3]] + 0.6*Table1[[#This Row],[x4]] + 1*Table1[[#This Row],[x5]]</f>
        <v>#DIV/0!</v>
      </c>
      <c r="W2869" s="23" t="e">
        <f>IF(Table1[[#This Row],[Zscore]]&lt;1.81,1,0)</f>
        <v>#DIV/0!</v>
      </c>
    </row>
    <row r="2870" spans="1:23" hidden="1" x14ac:dyDescent="0.45">
      <c r="A2870" s="7">
        <v>2864</v>
      </c>
      <c r="B2870" s="5" t="s">
        <v>5735</v>
      </c>
      <c r="C2870" s="6" t="s">
        <v>5736</v>
      </c>
      <c r="D2870" s="6" t="s">
        <v>18</v>
      </c>
      <c r="E2870" s="6"/>
      <c r="F2870" s="6"/>
      <c r="G2870" s="6"/>
      <c r="H2870" s="6"/>
      <c r="I2870" s="6"/>
      <c r="J2870" s="8"/>
      <c r="K2870" s="6"/>
      <c r="L2870" s="6"/>
      <c r="M2870" s="8"/>
      <c r="N2870" s="8"/>
      <c r="O2870" s="8"/>
      <c r="P2870" s="8"/>
      <c r="Q2870" s="18" t="e">
        <f>(Table1[[#This Row],[A. TÀI SẢN NGẮN HẠN]]-Table1[[#This Row],[I. Nợ ngắn hạn]])/Table1[[#This Row],[TỔNG CỘNG TÀI SẢN]]</f>
        <v>#DIV/0!</v>
      </c>
      <c r="R2870" s="18" t="e">
        <f>Table1[[#This Row],[- LNST chưa phân phối kỳ này]]/Table1[[#This Row],[TỔNG CỘNG TÀI SẢN]]</f>
        <v>#DIV/0!</v>
      </c>
      <c r="S2870" s="21" t="e">
        <f>Table1[[#This Row],[5. Lợi nhuận gộp về bán hàng và cung cấp dịch vụ]]/Table1[[#This Row],[TỔNG CỘNG TÀI SẢN]]</f>
        <v>#DIV/0!</v>
      </c>
      <c r="T287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870" s="23" t="e">
        <f>Table1[[#This Row],[1. Doanh thu bán hàng và cung cấp dịch vụ ]]/Table1[[#This Row],[TỔNG CỘNG TÀI SẢN]]</f>
        <v>#DIV/0!</v>
      </c>
      <c r="V2870" s="23" t="e">
        <f>1.2*Table1[[#This Row],[X1]] + 1.4*Table1[[#This Row],[X2]] + 3.3*Table1[[#This Row],[x3]] + 0.6*Table1[[#This Row],[x4]] + 1*Table1[[#This Row],[x5]]</f>
        <v>#DIV/0!</v>
      </c>
      <c r="W2870" s="23" t="e">
        <f>IF(Table1[[#This Row],[Zscore]]&lt;1.81,1,0)</f>
        <v>#DIV/0!</v>
      </c>
    </row>
    <row r="2871" spans="1:23" ht="26.25" x14ac:dyDescent="0.45">
      <c r="A2871" s="7">
        <v>2865</v>
      </c>
      <c r="B2871" s="5" t="s">
        <v>5737</v>
      </c>
      <c r="C2871" s="6" t="s">
        <v>5738</v>
      </c>
      <c r="D2871" s="6" t="s">
        <v>18</v>
      </c>
      <c r="E2871" s="8">
        <v>3475421230970</v>
      </c>
      <c r="F2871" s="8">
        <v>2394202250058</v>
      </c>
      <c r="G2871" s="8">
        <v>2075841359358</v>
      </c>
      <c r="H2871" s="8">
        <v>24789524892</v>
      </c>
      <c r="I2871" s="8">
        <v>183808270574</v>
      </c>
      <c r="J2871" s="8"/>
      <c r="K2871" s="8">
        <v>2563564633384</v>
      </c>
      <c r="L2871" s="8">
        <v>2032016100173</v>
      </c>
      <c r="M2871" s="8">
        <v>471265931400</v>
      </c>
      <c r="N2871" s="8">
        <v>699758504200</v>
      </c>
      <c r="O2871" s="8">
        <v>428423574000</v>
      </c>
      <c r="P2871" s="8">
        <v>685477718400</v>
      </c>
      <c r="Q2871" s="18">
        <f>(Table1[[#This Row],[A. TÀI SẢN NGẮN HẠN]]-Table1[[#This Row],[I. Nợ ngắn hạn]])/Table1[[#This Row],[TỔNG CỘNG TÀI SẢN]]</f>
        <v>9.1603540849390666E-2</v>
      </c>
      <c r="R2871" s="18">
        <f>Table1[[#This Row],[- LNST chưa phân phối kỳ này]]/Table1[[#This Row],[TỔNG CỘNG TÀI SẢN]]</f>
        <v>7.1328116059995329E-3</v>
      </c>
      <c r="S2871" s="21">
        <f>Table1[[#This Row],[5. Lợi nhuận gộp về bán hàng và cung cấp dịch vụ]]/Table1[[#This Row],[TỔNG CỘNG TÀI SẢN]]</f>
        <v>5.2888055391978654E-2</v>
      </c>
      <c r="T2871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0.22282700602167124</v>
      </c>
      <c r="U2871" s="23">
        <f>Table1[[#This Row],[1. Doanh thu bán hàng và cung cấp dịch vụ ]]/Table1[[#This Row],[TỔNG CỘNG TÀI SẢN]]</f>
        <v>0.58468196087006652</v>
      </c>
      <c r="V2871" s="23">
        <f>1.2*Table1[[#This Row],[X1]] + 1.4*Table1[[#This Row],[X2]] + 3.3*Table1[[#This Row],[x3]] + 0.6*Table1[[#This Row],[x4]] + 1*Table1[[#This Row],[x5]]</f>
        <v>1.0128189325442669</v>
      </c>
      <c r="W2871" s="23">
        <f>IF(Table1[[#This Row],[Zscore]]&lt;1.81,1,0)</f>
        <v>1</v>
      </c>
    </row>
    <row r="2872" spans="1:23" hidden="1" x14ac:dyDescent="0.45">
      <c r="A2872" s="7">
        <v>2866</v>
      </c>
      <c r="B2872" s="5" t="s">
        <v>5739</v>
      </c>
      <c r="C2872" s="6" t="s">
        <v>5740</v>
      </c>
      <c r="D2872" s="6" t="s">
        <v>13</v>
      </c>
      <c r="E2872" s="6"/>
      <c r="F2872" s="6"/>
      <c r="G2872" s="6"/>
      <c r="H2872" s="6"/>
      <c r="I2872" s="6"/>
      <c r="J2872" s="8"/>
      <c r="K2872" s="6"/>
      <c r="L2872" s="6"/>
      <c r="M2872" s="8"/>
      <c r="N2872" s="8"/>
      <c r="O2872" s="8"/>
      <c r="P2872" s="8"/>
      <c r="Q2872" s="18" t="e">
        <f>(Table1[[#This Row],[A. TÀI SẢN NGẮN HẠN]]-Table1[[#This Row],[I. Nợ ngắn hạn]])/Table1[[#This Row],[TỔNG CỘNG TÀI SẢN]]</f>
        <v>#DIV/0!</v>
      </c>
      <c r="R2872" s="18" t="e">
        <f>Table1[[#This Row],[- LNST chưa phân phối kỳ này]]/Table1[[#This Row],[TỔNG CỘNG TÀI SẢN]]</f>
        <v>#DIV/0!</v>
      </c>
      <c r="S2872" s="21" t="e">
        <f>Table1[[#This Row],[5. Lợi nhuận gộp về bán hàng và cung cấp dịch vụ]]/Table1[[#This Row],[TỔNG CỘNG TÀI SẢN]]</f>
        <v>#DIV/0!</v>
      </c>
      <c r="T287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872" s="23" t="e">
        <f>Table1[[#This Row],[1. Doanh thu bán hàng và cung cấp dịch vụ ]]/Table1[[#This Row],[TỔNG CỘNG TÀI SẢN]]</f>
        <v>#DIV/0!</v>
      </c>
      <c r="V2872" s="23" t="e">
        <f>1.2*Table1[[#This Row],[X1]] + 1.4*Table1[[#This Row],[X2]] + 3.3*Table1[[#This Row],[x3]] + 0.6*Table1[[#This Row],[x4]] + 1*Table1[[#This Row],[x5]]</f>
        <v>#DIV/0!</v>
      </c>
      <c r="W2872" s="23" t="e">
        <f>IF(Table1[[#This Row],[Zscore]]&lt;1.81,1,0)</f>
        <v>#DIV/0!</v>
      </c>
    </row>
    <row r="2873" spans="1:23" hidden="1" x14ac:dyDescent="0.45">
      <c r="A2873" s="7">
        <v>2867</v>
      </c>
      <c r="B2873" s="5" t="s">
        <v>5741</v>
      </c>
      <c r="C2873" s="6" t="s">
        <v>5742</v>
      </c>
      <c r="D2873" s="6" t="s">
        <v>18</v>
      </c>
      <c r="E2873" s="6"/>
      <c r="F2873" s="6"/>
      <c r="G2873" s="6"/>
      <c r="H2873" s="6"/>
      <c r="I2873" s="6"/>
      <c r="J2873" s="8"/>
      <c r="K2873" s="6"/>
      <c r="L2873" s="6"/>
      <c r="M2873" s="8"/>
      <c r="N2873" s="8"/>
      <c r="O2873" s="8"/>
      <c r="P2873" s="8"/>
      <c r="Q2873" s="18" t="e">
        <f>(Table1[[#This Row],[A. TÀI SẢN NGẮN HẠN]]-Table1[[#This Row],[I. Nợ ngắn hạn]])/Table1[[#This Row],[TỔNG CỘNG TÀI SẢN]]</f>
        <v>#DIV/0!</v>
      </c>
      <c r="R2873" s="18" t="e">
        <f>Table1[[#This Row],[- LNST chưa phân phối kỳ này]]/Table1[[#This Row],[TỔNG CỘNG TÀI SẢN]]</f>
        <v>#DIV/0!</v>
      </c>
      <c r="S2873" s="21" t="e">
        <f>Table1[[#This Row],[5. Lợi nhuận gộp về bán hàng và cung cấp dịch vụ]]/Table1[[#This Row],[TỔNG CỘNG TÀI SẢN]]</f>
        <v>#DIV/0!</v>
      </c>
      <c r="T2873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873" s="23" t="e">
        <f>Table1[[#This Row],[1. Doanh thu bán hàng và cung cấp dịch vụ ]]/Table1[[#This Row],[TỔNG CỘNG TÀI SẢN]]</f>
        <v>#DIV/0!</v>
      </c>
      <c r="V2873" s="23" t="e">
        <f>1.2*Table1[[#This Row],[X1]] + 1.4*Table1[[#This Row],[X2]] + 3.3*Table1[[#This Row],[x3]] + 0.6*Table1[[#This Row],[x4]] + 1*Table1[[#This Row],[x5]]</f>
        <v>#DIV/0!</v>
      </c>
      <c r="W2873" s="23" t="e">
        <f>IF(Table1[[#This Row],[Zscore]]&lt;1.81,1,0)</f>
        <v>#DIV/0!</v>
      </c>
    </row>
    <row r="2874" spans="1:23" x14ac:dyDescent="0.45">
      <c r="A2874" s="7">
        <v>2868</v>
      </c>
      <c r="B2874" s="5" t="s">
        <v>5743</v>
      </c>
      <c r="C2874" s="6" t="s">
        <v>5744</v>
      </c>
      <c r="D2874" s="6" t="s">
        <v>18</v>
      </c>
      <c r="E2874" s="8">
        <v>368019944817</v>
      </c>
      <c r="F2874" s="8">
        <v>13231899443</v>
      </c>
      <c r="G2874" s="8">
        <v>64871071363</v>
      </c>
      <c r="H2874" s="8">
        <v>27784721681</v>
      </c>
      <c r="I2874" s="8">
        <v>49076360418</v>
      </c>
      <c r="J2874" s="8"/>
      <c r="K2874" s="8">
        <v>180988470954</v>
      </c>
      <c r="L2874" s="8">
        <v>80620254891</v>
      </c>
      <c r="M2874" s="8">
        <v>244500000000</v>
      </c>
      <c r="N2874" s="8">
        <v>237000000000</v>
      </c>
      <c r="O2874" s="8">
        <v>232500000000</v>
      </c>
      <c r="P2874" s="8">
        <v>225000000000</v>
      </c>
      <c r="Q2874" s="18">
        <f>(Table1[[#This Row],[A. TÀI SẢN NGẮN HẠN]]-Table1[[#This Row],[I. Nợ ngắn hạn]])/Table1[[#This Row],[TỔNG CỘNG TÀI SẢN]]</f>
        <v>-0.14031623189791487</v>
      </c>
      <c r="R2874" s="18">
        <f>Table1[[#This Row],[- LNST chưa phân phối kỳ này]]/Table1[[#This Row],[TỔNG CỘNG TÀI SẢN]]</f>
        <v>7.5497869265797837E-2</v>
      </c>
      <c r="S2874" s="21">
        <f>Table1[[#This Row],[5. Lợi nhuận gộp về bán hàng và cung cấp dịch vụ]]/Table1[[#This Row],[TỔNG CỘNG TÀI SẢN]]</f>
        <v>0.13335244762998782</v>
      </c>
      <c r="T2874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1.297043942979462</v>
      </c>
      <c r="U2874" s="23">
        <f>Table1[[#This Row],[1. Doanh thu bán hàng và cung cấp dịch vụ ]]/Table1[[#This Row],[TỔNG CỘNG TÀI SẢN]]</f>
        <v>0.21906490674327142</v>
      </c>
      <c r="V2874" s="23">
        <f>1.2*Table1[[#This Row],[X1]] + 1.4*Table1[[#This Row],[X2]] + 3.3*Table1[[#This Row],[x3]] + 0.6*Table1[[#This Row],[x4]] + 1*Table1[[#This Row],[x5]]</f>
        <v>1.3746718884045277</v>
      </c>
      <c r="W2874" s="23">
        <f>IF(Table1[[#This Row],[Zscore]]&lt;1.81,1,0)</f>
        <v>1</v>
      </c>
    </row>
    <row r="2875" spans="1:23" hidden="1" x14ac:dyDescent="0.45">
      <c r="A2875" s="7">
        <v>2869</v>
      </c>
      <c r="B2875" s="5" t="s">
        <v>5745</v>
      </c>
      <c r="C2875" s="6" t="s">
        <v>5746</v>
      </c>
      <c r="D2875" s="6" t="s">
        <v>13</v>
      </c>
      <c r="E2875" s="6"/>
      <c r="F2875" s="6"/>
      <c r="G2875" s="6"/>
      <c r="H2875" s="6"/>
      <c r="I2875" s="6"/>
      <c r="J2875" s="8"/>
      <c r="K2875" s="6"/>
      <c r="L2875" s="6"/>
      <c r="M2875" s="8"/>
      <c r="N2875" s="8"/>
      <c r="O2875" s="8"/>
      <c r="P2875" s="8"/>
      <c r="Q2875" s="18" t="e">
        <f>(Table1[[#This Row],[A. TÀI SẢN NGẮN HẠN]]-Table1[[#This Row],[I. Nợ ngắn hạn]])/Table1[[#This Row],[TỔNG CỘNG TÀI SẢN]]</f>
        <v>#DIV/0!</v>
      </c>
      <c r="R2875" s="18" t="e">
        <f>Table1[[#This Row],[- LNST chưa phân phối kỳ này]]/Table1[[#This Row],[TỔNG CỘNG TÀI SẢN]]</f>
        <v>#DIV/0!</v>
      </c>
      <c r="S2875" s="21" t="e">
        <f>Table1[[#This Row],[5. Lợi nhuận gộp về bán hàng và cung cấp dịch vụ]]/Table1[[#This Row],[TỔNG CỘNG TÀI SẢN]]</f>
        <v>#DIV/0!</v>
      </c>
      <c r="T2875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875" s="23" t="e">
        <f>Table1[[#This Row],[1. Doanh thu bán hàng và cung cấp dịch vụ ]]/Table1[[#This Row],[TỔNG CỘNG TÀI SẢN]]</f>
        <v>#DIV/0!</v>
      </c>
      <c r="V2875" s="23" t="e">
        <f>1.2*Table1[[#This Row],[X1]] + 1.4*Table1[[#This Row],[X2]] + 3.3*Table1[[#This Row],[x3]] + 0.6*Table1[[#This Row],[x4]] + 1*Table1[[#This Row],[x5]]</f>
        <v>#DIV/0!</v>
      </c>
      <c r="W2875" s="23" t="e">
        <f>IF(Table1[[#This Row],[Zscore]]&lt;1.81,1,0)</f>
        <v>#DIV/0!</v>
      </c>
    </row>
    <row r="2876" spans="1:23" ht="26.25" hidden="1" x14ac:dyDescent="0.45">
      <c r="A2876" s="7">
        <v>2870</v>
      </c>
      <c r="B2876" s="5" t="s">
        <v>5747</v>
      </c>
      <c r="C2876" s="6" t="s">
        <v>5748</v>
      </c>
      <c r="D2876" s="6" t="s">
        <v>13</v>
      </c>
      <c r="E2876" s="6"/>
      <c r="F2876" s="6"/>
      <c r="G2876" s="6"/>
      <c r="H2876" s="6"/>
      <c r="I2876" s="6"/>
      <c r="J2876" s="8"/>
      <c r="K2876" s="6"/>
      <c r="L2876" s="6"/>
      <c r="M2876" s="8"/>
      <c r="N2876" s="8"/>
      <c r="O2876" s="8"/>
      <c r="P2876" s="8"/>
      <c r="Q2876" s="18" t="e">
        <f>(Table1[[#This Row],[A. TÀI SẢN NGẮN HẠN]]-Table1[[#This Row],[I. Nợ ngắn hạn]])/Table1[[#This Row],[TỔNG CỘNG TÀI SẢN]]</f>
        <v>#DIV/0!</v>
      </c>
      <c r="R2876" s="18" t="e">
        <f>Table1[[#This Row],[- LNST chưa phân phối kỳ này]]/Table1[[#This Row],[TỔNG CỘNG TÀI SẢN]]</f>
        <v>#DIV/0!</v>
      </c>
      <c r="S2876" s="21" t="e">
        <f>Table1[[#This Row],[5. Lợi nhuận gộp về bán hàng và cung cấp dịch vụ]]/Table1[[#This Row],[TỔNG CỘNG TÀI SẢN]]</f>
        <v>#DIV/0!</v>
      </c>
      <c r="T287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876" s="23" t="e">
        <f>Table1[[#This Row],[1. Doanh thu bán hàng và cung cấp dịch vụ ]]/Table1[[#This Row],[TỔNG CỘNG TÀI SẢN]]</f>
        <v>#DIV/0!</v>
      </c>
      <c r="V2876" s="23" t="e">
        <f>1.2*Table1[[#This Row],[X1]] + 1.4*Table1[[#This Row],[X2]] + 3.3*Table1[[#This Row],[x3]] + 0.6*Table1[[#This Row],[x4]] + 1*Table1[[#This Row],[x5]]</f>
        <v>#DIV/0!</v>
      </c>
      <c r="W2876" s="23" t="e">
        <f>IF(Table1[[#This Row],[Zscore]]&lt;1.81,1,0)</f>
        <v>#DIV/0!</v>
      </c>
    </row>
    <row r="2877" spans="1:23" ht="26.25" hidden="1" x14ac:dyDescent="0.45">
      <c r="A2877" s="7">
        <v>2871</v>
      </c>
      <c r="B2877" s="5" t="s">
        <v>5749</v>
      </c>
      <c r="C2877" s="6" t="s">
        <v>5750</v>
      </c>
      <c r="D2877" s="6" t="s">
        <v>13</v>
      </c>
      <c r="E2877" s="6"/>
      <c r="F2877" s="6"/>
      <c r="G2877" s="6"/>
      <c r="H2877" s="6"/>
      <c r="I2877" s="6"/>
      <c r="J2877" s="8"/>
      <c r="K2877" s="6"/>
      <c r="L2877" s="6"/>
      <c r="M2877" s="8"/>
      <c r="N2877" s="8"/>
      <c r="O2877" s="8"/>
      <c r="P2877" s="8"/>
      <c r="Q2877" s="18" t="e">
        <f>(Table1[[#This Row],[A. TÀI SẢN NGẮN HẠN]]-Table1[[#This Row],[I. Nợ ngắn hạn]])/Table1[[#This Row],[TỔNG CỘNG TÀI SẢN]]</f>
        <v>#DIV/0!</v>
      </c>
      <c r="R2877" s="18" t="e">
        <f>Table1[[#This Row],[- LNST chưa phân phối kỳ này]]/Table1[[#This Row],[TỔNG CỘNG TÀI SẢN]]</f>
        <v>#DIV/0!</v>
      </c>
      <c r="S2877" s="21" t="e">
        <f>Table1[[#This Row],[5. Lợi nhuận gộp về bán hàng và cung cấp dịch vụ]]/Table1[[#This Row],[TỔNG CỘNG TÀI SẢN]]</f>
        <v>#DIV/0!</v>
      </c>
      <c r="T287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877" s="23" t="e">
        <f>Table1[[#This Row],[1. Doanh thu bán hàng và cung cấp dịch vụ ]]/Table1[[#This Row],[TỔNG CỘNG TÀI SẢN]]</f>
        <v>#DIV/0!</v>
      </c>
      <c r="V2877" s="23" t="e">
        <f>1.2*Table1[[#This Row],[X1]] + 1.4*Table1[[#This Row],[X2]] + 3.3*Table1[[#This Row],[x3]] + 0.6*Table1[[#This Row],[x4]] + 1*Table1[[#This Row],[x5]]</f>
        <v>#DIV/0!</v>
      </c>
      <c r="W2877" s="23" t="e">
        <f>IF(Table1[[#This Row],[Zscore]]&lt;1.81,1,0)</f>
        <v>#DIV/0!</v>
      </c>
    </row>
    <row r="2878" spans="1:23" ht="26.25" hidden="1" x14ac:dyDescent="0.45">
      <c r="A2878" s="7">
        <v>2872</v>
      </c>
      <c r="B2878" s="5" t="s">
        <v>5751</v>
      </c>
      <c r="C2878" s="6" t="s">
        <v>5752</v>
      </c>
      <c r="D2878" s="6" t="s">
        <v>13</v>
      </c>
      <c r="E2878" s="6"/>
      <c r="F2878" s="6"/>
      <c r="G2878" s="6"/>
      <c r="H2878" s="6"/>
      <c r="I2878" s="6"/>
      <c r="J2878" s="8"/>
      <c r="K2878" s="6"/>
      <c r="L2878" s="6"/>
      <c r="M2878" s="8"/>
      <c r="N2878" s="8"/>
      <c r="O2878" s="8"/>
      <c r="P2878" s="8"/>
      <c r="Q2878" s="18" t="e">
        <f>(Table1[[#This Row],[A. TÀI SẢN NGẮN HẠN]]-Table1[[#This Row],[I. Nợ ngắn hạn]])/Table1[[#This Row],[TỔNG CỘNG TÀI SẢN]]</f>
        <v>#DIV/0!</v>
      </c>
      <c r="R2878" s="18" t="e">
        <f>Table1[[#This Row],[- LNST chưa phân phối kỳ này]]/Table1[[#This Row],[TỔNG CỘNG TÀI SẢN]]</f>
        <v>#DIV/0!</v>
      </c>
      <c r="S2878" s="21" t="e">
        <f>Table1[[#This Row],[5. Lợi nhuận gộp về bán hàng và cung cấp dịch vụ]]/Table1[[#This Row],[TỔNG CỘNG TÀI SẢN]]</f>
        <v>#DIV/0!</v>
      </c>
      <c r="T287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878" s="23" t="e">
        <f>Table1[[#This Row],[1. Doanh thu bán hàng và cung cấp dịch vụ ]]/Table1[[#This Row],[TỔNG CỘNG TÀI SẢN]]</f>
        <v>#DIV/0!</v>
      </c>
      <c r="V2878" s="23" t="e">
        <f>1.2*Table1[[#This Row],[X1]] + 1.4*Table1[[#This Row],[X2]] + 3.3*Table1[[#This Row],[x3]] + 0.6*Table1[[#This Row],[x4]] + 1*Table1[[#This Row],[x5]]</f>
        <v>#DIV/0!</v>
      </c>
      <c r="W2878" s="23" t="e">
        <f>IF(Table1[[#This Row],[Zscore]]&lt;1.81,1,0)</f>
        <v>#DIV/0!</v>
      </c>
    </row>
    <row r="2879" spans="1:23" ht="26.25" hidden="1" x14ac:dyDescent="0.45">
      <c r="A2879" s="7">
        <v>2873</v>
      </c>
      <c r="B2879" s="5" t="s">
        <v>5753</v>
      </c>
      <c r="C2879" s="6" t="s">
        <v>5754</v>
      </c>
      <c r="D2879" s="6" t="s">
        <v>13</v>
      </c>
      <c r="E2879" s="6"/>
      <c r="F2879" s="6"/>
      <c r="G2879" s="6"/>
      <c r="H2879" s="6"/>
      <c r="I2879" s="6"/>
      <c r="J2879" s="8"/>
      <c r="K2879" s="6"/>
      <c r="L2879" s="6"/>
      <c r="M2879" s="8"/>
      <c r="N2879" s="8"/>
      <c r="O2879" s="8"/>
      <c r="P2879" s="8"/>
      <c r="Q2879" s="18" t="e">
        <f>(Table1[[#This Row],[A. TÀI SẢN NGẮN HẠN]]-Table1[[#This Row],[I. Nợ ngắn hạn]])/Table1[[#This Row],[TỔNG CỘNG TÀI SẢN]]</f>
        <v>#DIV/0!</v>
      </c>
      <c r="R2879" s="18" t="e">
        <f>Table1[[#This Row],[- LNST chưa phân phối kỳ này]]/Table1[[#This Row],[TỔNG CỘNG TÀI SẢN]]</f>
        <v>#DIV/0!</v>
      </c>
      <c r="S2879" s="21" t="e">
        <f>Table1[[#This Row],[5. Lợi nhuận gộp về bán hàng và cung cấp dịch vụ]]/Table1[[#This Row],[TỔNG CỘNG TÀI SẢN]]</f>
        <v>#DIV/0!</v>
      </c>
      <c r="T287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879" s="23" t="e">
        <f>Table1[[#This Row],[1. Doanh thu bán hàng và cung cấp dịch vụ ]]/Table1[[#This Row],[TỔNG CỘNG TÀI SẢN]]</f>
        <v>#DIV/0!</v>
      </c>
      <c r="V2879" s="23" t="e">
        <f>1.2*Table1[[#This Row],[X1]] + 1.4*Table1[[#This Row],[X2]] + 3.3*Table1[[#This Row],[x3]] + 0.6*Table1[[#This Row],[x4]] + 1*Table1[[#This Row],[x5]]</f>
        <v>#DIV/0!</v>
      </c>
      <c r="W2879" s="23" t="e">
        <f>IF(Table1[[#This Row],[Zscore]]&lt;1.81,1,0)</f>
        <v>#DIV/0!</v>
      </c>
    </row>
    <row r="2880" spans="1:23" x14ac:dyDescent="0.45">
      <c r="A2880" s="7">
        <v>2874</v>
      </c>
      <c r="B2880" s="5" t="s">
        <v>5755</v>
      </c>
      <c r="C2880" s="6" t="s">
        <v>5756</v>
      </c>
      <c r="D2880" s="6" t="s">
        <v>18</v>
      </c>
      <c r="E2880" s="8">
        <v>151112354625</v>
      </c>
      <c r="F2880" s="8">
        <v>46392604667</v>
      </c>
      <c r="G2880" s="8">
        <v>6535045692</v>
      </c>
      <c r="H2880" s="8">
        <v>36812591</v>
      </c>
      <c r="I2880" s="8">
        <v>12902303975</v>
      </c>
      <c r="J2880" s="8"/>
      <c r="K2880" s="8">
        <v>6535045692</v>
      </c>
      <c r="L2880" s="8">
        <v>99151284195</v>
      </c>
      <c r="M2880" s="8">
        <v>119346770000</v>
      </c>
      <c r="N2880" s="8">
        <v>193289877500</v>
      </c>
      <c r="O2880" s="8">
        <v>153075205000</v>
      </c>
      <c r="P2880" s="8">
        <v>191992630000</v>
      </c>
      <c r="Q2880" s="18">
        <f>(Table1[[#This Row],[A. TÀI SẢN NGẮN HẠN]]-Table1[[#This Row],[I. Nợ ngắn hạn]])/Table1[[#This Row],[TỔNG CỘNG TÀI SẢN]]</f>
        <v>0.26376108739692666</v>
      </c>
      <c r="R2880" s="18">
        <f>Table1[[#This Row],[- LNST chưa phân phối kỳ này]]/Table1[[#This Row],[TỔNG CỘNG TÀI SẢN]]</f>
        <v>2.4361072985298933E-4</v>
      </c>
      <c r="S2880" s="21">
        <f>Table1[[#This Row],[5. Lợi nhuận gộp về bán hàng và cung cấp dịch vụ]]/Table1[[#This Row],[TỔNG CỘNG TÀI SẢN]]</f>
        <v>8.538219133053894E-2</v>
      </c>
      <c r="T2880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25.160668857493278</v>
      </c>
      <c r="U2880" s="23">
        <f>Table1[[#This Row],[1. Doanh thu bán hàng và cung cấp dịch vụ ]]/Table1[[#This Row],[TỔNG CỘNG TÀI SẢN]]</f>
        <v>0.65614280474322273</v>
      </c>
      <c r="V2880" s="23">
        <f>1.2*Table1[[#This Row],[X1]] + 1.4*Table1[[#This Row],[X2]] + 3.3*Table1[[#This Row],[x3]] + 0.6*Table1[[#This Row],[x4]] + 1*Table1[[#This Row],[x5]]</f>
        <v>16.351159710528073</v>
      </c>
      <c r="W2880" s="23">
        <f>IF(Table1[[#This Row],[Zscore]]&lt;1.81,1,0)</f>
        <v>0</v>
      </c>
    </row>
    <row r="2881" spans="1:23" hidden="1" x14ac:dyDescent="0.45">
      <c r="A2881" s="7">
        <v>2875</v>
      </c>
      <c r="B2881" s="5" t="s">
        <v>5757</v>
      </c>
      <c r="C2881" s="6" t="s">
        <v>5758</v>
      </c>
      <c r="D2881" s="6" t="s">
        <v>13</v>
      </c>
      <c r="E2881" s="6"/>
      <c r="F2881" s="6"/>
      <c r="G2881" s="6"/>
      <c r="H2881" s="6"/>
      <c r="I2881" s="6"/>
      <c r="J2881" s="8"/>
      <c r="K2881" s="6"/>
      <c r="L2881" s="6"/>
      <c r="M2881" s="8"/>
      <c r="N2881" s="8"/>
      <c r="O2881" s="8"/>
      <c r="P2881" s="8"/>
      <c r="Q2881" s="18" t="e">
        <f>(Table1[[#This Row],[A. TÀI SẢN NGẮN HẠN]]-Table1[[#This Row],[I. Nợ ngắn hạn]])/Table1[[#This Row],[TỔNG CỘNG TÀI SẢN]]</f>
        <v>#DIV/0!</v>
      </c>
      <c r="R2881" s="18" t="e">
        <f>Table1[[#This Row],[- LNST chưa phân phối kỳ này]]/Table1[[#This Row],[TỔNG CỘNG TÀI SẢN]]</f>
        <v>#DIV/0!</v>
      </c>
      <c r="S2881" s="21" t="e">
        <f>Table1[[#This Row],[5. Lợi nhuận gộp về bán hàng và cung cấp dịch vụ]]/Table1[[#This Row],[TỔNG CỘNG TÀI SẢN]]</f>
        <v>#DIV/0!</v>
      </c>
      <c r="T2881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881" s="23" t="e">
        <f>Table1[[#This Row],[1. Doanh thu bán hàng và cung cấp dịch vụ ]]/Table1[[#This Row],[TỔNG CỘNG TÀI SẢN]]</f>
        <v>#DIV/0!</v>
      </c>
      <c r="V2881" s="23" t="e">
        <f>1.2*Table1[[#This Row],[X1]] + 1.4*Table1[[#This Row],[X2]] + 3.3*Table1[[#This Row],[x3]] + 0.6*Table1[[#This Row],[x4]] + 1*Table1[[#This Row],[x5]]</f>
        <v>#DIV/0!</v>
      </c>
      <c r="W2881" s="23" t="e">
        <f>IF(Table1[[#This Row],[Zscore]]&lt;1.81,1,0)</f>
        <v>#DIV/0!</v>
      </c>
    </row>
    <row r="2882" spans="1:23" ht="26.25" hidden="1" x14ac:dyDescent="0.45">
      <c r="A2882" s="7">
        <v>2876</v>
      </c>
      <c r="B2882" s="5" t="s">
        <v>5759</v>
      </c>
      <c r="C2882" s="6" t="s">
        <v>5760</v>
      </c>
      <c r="D2882" s="6" t="s">
        <v>18</v>
      </c>
      <c r="E2882" s="6"/>
      <c r="F2882" s="6"/>
      <c r="G2882" s="6"/>
      <c r="H2882" s="6"/>
      <c r="I2882" s="6"/>
      <c r="J2882" s="8"/>
      <c r="K2882" s="6"/>
      <c r="L2882" s="6"/>
      <c r="M2882" s="8"/>
      <c r="N2882" s="8"/>
      <c r="O2882" s="8"/>
      <c r="P2882" s="8"/>
      <c r="Q2882" s="18" t="e">
        <f>(Table1[[#This Row],[A. TÀI SẢN NGẮN HẠN]]-Table1[[#This Row],[I. Nợ ngắn hạn]])/Table1[[#This Row],[TỔNG CỘNG TÀI SẢN]]</f>
        <v>#DIV/0!</v>
      </c>
      <c r="R2882" s="18" t="e">
        <f>Table1[[#This Row],[- LNST chưa phân phối kỳ này]]/Table1[[#This Row],[TỔNG CỘNG TÀI SẢN]]</f>
        <v>#DIV/0!</v>
      </c>
      <c r="S2882" s="21" t="e">
        <f>Table1[[#This Row],[5. Lợi nhuận gộp về bán hàng và cung cấp dịch vụ]]/Table1[[#This Row],[TỔNG CỘNG TÀI SẢN]]</f>
        <v>#DIV/0!</v>
      </c>
      <c r="T2882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882" s="23" t="e">
        <f>Table1[[#This Row],[1. Doanh thu bán hàng và cung cấp dịch vụ ]]/Table1[[#This Row],[TỔNG CỘNG TÀI SẢN]]</f>
        <v>#DIV/0!</v>
      </c>
      <c r="V2882" s="23" t="e">
        <f>1.2*Table1[[#This Row],[X1]] + 1.4*Table1[[#This Row],[X2]] + 3.3*Table1[[#This Row],[x3]] + 0.6*Table1[[#This Row],[x4]] + 1*Table1[[#This Row],[x5]]</f>
        <v>#DIV/0!</v>
      </c>
      <c r="W2882" s="23" t="e">
        <f>IF(Table1[[#This Row],[Zscore]]&lt;1.81,1,0)</f>
        <v>#DIV/0!</v>
      </c>
    </row>
    <row r="2883" spans="1:23" ht="26.25" x14ac:dyDescent="0.45">
      <c r="A2883" s="7">
        <v>2877</v>
      </c>
      <c r="B2883" s="5" t="s">
        <v>5761</v>
      </c>
      <c r="C2883" s="6" t="s">
        <v>5762</v>
      </c>
      <c r="D2883" s="6" t="s">
        <v>21</v>
      </c>
      <c r="E2883" s="8">
        <v>712608827778</v>
      </c>
      <c r="F2883" s="8">
        <v>393746252032</v>
      </c>
      <c r="G2883" s="8">
        <v>378580997733</v>
      </c>
      <c r="H2883" s="8">
        <v>27396766592</v>
      </c>
      <c r="I2883" s="8">
        <v>317856096176</v>
      </c>
      <c r="J2883" s="8"/>
      <c r="K2883" s="8">
        <v>497977300099</v>
      </c>
      <c r="L2883" s="8">
        <v>876907824650</v>
      </c>
      <c r="M2883" s="8">
        <v>196623350000</v>
      </c>
      <c r="N2883" s="8">
        <v>181427646750</v>
      </c>
      <c r="O2883" s="8">
        <v>207348260000</v>
      </c>
      <c r="P2883" s="8">
        <v>200198320000</v>
      </c>
      <c r="Q2883" s="18">
        <f>(Table1[[#This Row],[A. TÀI SẢN NGẮN HẠN]]-Table1[[#This Row],[I. Nợ ngắn hạn]])/Table1[[#This Row],[TỔNG CỘNG TÀI SẢN]]</f>
        <v>2.1281316913077102E-2</v>
      </c>
      <c r="R2883" s="18">
        <f>Table1[[#This Row],[- LNST chưa phân phối kỳ này]]/Table1[[#This Row],[TỔNG CỘNG TÀI SẢN]]</f>
        <v>3.8445730005094679E-2</v>
      </c>
      <c r="S2883" s="21">
        <f>Table1[[#This Row],[5. Lợi nhuận gộp về bán hàng và cung cấp dịch vụ]]/Table1[[#This Row],[TỔNG CỘNG TÀI SẢN]]</f>
        <v>0.44604568984517567</v>
      </c>
      <c r="T2883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0.39439427088032925</v>
      </c>
      <c r="U2883" s="23">
        <f>Table1[[#This Row],[1. Doanh thu bán hàng và cung cấp dịch vụ ]]/Table1[[#This Row],[TỔNG CỘNG TÀI SẢN]]</f>
        <v>1.2305598674441125</v>
      </c>
      <c r="V2883" s="23">
        <f>1.2*Table1[[#This Row],[X1]] + 1.4*Table1[[#This Row],[X2]] + 3.3*Table1[[#This Row],[x3]] + 0.6*Table1[[#This Row],[x4]] + 1*Table1[[#This Row],[x5]]</f>
        <v>3.0185088087642149</v>
      </c>
      <c r="W2883" s="23">
        <f>IF(Table1[[#This Row],[Zscore]]&lt;1.81,1,0)</f>
        <v>0</v>
      </c>
    </row>
    <row r="2884" spans="1:23" hidden="1" x14ac:dyDescent="0.45">
      <c r="A2884" s="7">
        <v>2878</v>
      </c>
      <c r="B2884" s="5" t="s">
        <v>5763</v>
      </c>
      <c r="C2884" s="6" t="s">
        <v>5764</v>
      </c>
      <c r="D2884" s="6" t="s">
        <v>13</v>
      </c>
      <c r="E2884" s="6"/>
      <c r="F2884" s="6"/>
      <c r="G2884" s="6"/>
      <c r="H2884" s="6"/>
      <c r="I2884" s="6"/>
      <c r="J2884" s="8"/>
      <c r="K2884" s="6"/>
      <c r="L2884" s="6"/>
      <c r="M2884" s="8"/>
      <c r="N2884" s="8"/>
      <c r="O2884" s="8"/>
      <c r="P2884" s="8"/>
      <c r="Q2884" s="18" t="e">
        <f>(Table1[[#This Row],[A. TÀI SẢN NGẮN HẠN]]-Table1[[#This Row],[I. Nợ ngắn hạn]])/Table1[[#This Row],[TỔNG CỘNG TÀI SẢN]]</f>
        <v>#DIV/0!</v>
      </c>
      <c r="R2884" s="18" t="e">
        <f>Table1[[#This Row],[- LNST chưa phân phối kỳ này]]/Table1[[#This Row],[TỔNG CỘNG TÀI SẢN]]</f>
        <v>#DIV/0!</v>
      </c>
      <c r="S2884" s="21" t="e">
        <f>Table1[[#This Row],[5. Lợi nhuận gộp về bán hàng và cung cấp dịch vụ]]/Table1[[#This Row],[TỔNG CỘNG TÀI SẢN]]</f>
        <v>#DIV/0!</v>
      </c>
      <c r="T2884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884" s="23" t="e">
        <f>Table1[[#This Row],[1. Doanh thu bán hàng và cung cấp dịch vụ ]]/Table1[[#This Row],[TỔNG CỘNG TÀI SẢN]]</f>
        <v>#DIV/0!</v>
      </c>
      <c r="V2884" s="23" t="e">
        <f>1.2*Table1[[#This Row],[X1]] + 1.4*Table1[[#This Row],[X2]] + 3.3*Table1[[#This Row],[x3]] + 0.6*Table1[[#This Row],[x4]] + 1*Table1[[#This Row],[x5]]</f>
        <v>#DIV/0!</v>
      </c>
      <c r="W2884" s="23" t="e">
        <f>IF(Table1[[#This Row],[Zscore]]&lt;1.81,1,0)</f>
        <v>#DIV/0!</v>
      </c>
    </row>
    <row r="2885" spans="1:23" x14ac:dyDescent="0.45">
      <c r="A2885" s="7">
        <v>2879</v>
      </c>
      <c r="B2885" s="5" t="s">
        <v>5765</v>
      </c>
      <c r="C2885" s="6" t="s">
        <v>5766</v>
      </c>
      <c r="D2885" s="6" t="s">
        <v>21</v>
      </c>
      <c r="E2885" s="8">
        <v>2815734128950</v>
      </c>
      <c r="F2885" s="8">
        <v>1804516320988</v>
      </c>
      <c r="G2885" s="8">
        <v>638376473919</v>
      </c>
      <c r="H2885" s="8">
        <v>96033685179</v>
      </c>
      <c r="I2885" s="8">
        <v>186966748544</v>
      </c>
      <c r="J2885" s="8"/>
      <c r="K2885" s="8">
        <v>680679451891</v>
      </c>
      <c r="L2885" s="8">
        <v>1653119347537</v>
      </c>
      <c r="M2885" s="8">
        <v>2627687879500</v>
      </c>
      <c r="N2885" s="8">
        <v>2359165030500</v>
      </c>
      <c r="O2885" s="8">
        <v>2387935335750</v>
      </c>
      <c r="P2885" s="8">
        <v>2733178998750</v>
      </c>
      <c r="Q2885" s="18">
        <f>(Table1[[#This Row],[A. TÀI SẢN NGẮN HẠN]]-Table1[[#This Row],[I. Nợ ngắn hạn]])/Table1[[#This Row],[TỔNG CỘNG TÀI SẢN]]</f>
        <v>0.41415126345890435</v>
      </c>
      <c r="R2885" s="18">
        <f>Table1[[#This Row],[- LNST chưa phân phối kỳ này]]/Table1[[#This Row],[TỔNG CỘNG TÀI SẢN]]</f>
        <v>3.4106091264664747E-2</v>
      </c>
      <c r="S2885" s="21">
        <f>Table1[[#This Row],[5. Lợi nhuận gộp về bán hàng và cung cấp dịch vụ]]/Table1[[#This Row],[TỔNG CỘNG TÀI SẢN]]</f>
        <v>6.6400711140195884E-2</v>
      </c>
      <c r="T2885" s="23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3.7124549655564709</v>
      </c>
      <c r="U2885" s="23">
        <f>Table1[[#This Row],[1. Doanh thu bán hàng và cung cấp dịch vụ ]]/Table1[[#This Row],[TỔNG CỘNG TÀI SẢN]]</f>
        <v>0.58710065362366282</v>
      </c>
      <c r="V2885" s="23">
        <f>1.2*Table1[[#This Row],[X1]] + 1.4*Table1[[#This Row],[X2]] + 3.3*Table1[[#This Row],[x3]] + 0.6*Table1[[#This Row],[x4]] + 1*Table1[[#This Row],[x5]]</f>
        <v>3.5784260236414074</v>
      </c>
      <c r="W2885" s="23">
        <f>IF(Table1[[#This Row],[Zscore]]&lt;1.81,1,0)</f>
        <v>0</v>
      </c>
    </row>
    <row r="2886" spans="1:23" hidden="1" x14ac:dyDescent="0.45">
      <c r="A2886" s="7">
        <v>2880</v>
      </c>
      <c r="B2886" s="5" t="s">
        <v>5767</v>
      </c>
      <c r="C2886" s="6" t="s">
        <v>5768</v>
      </c>
      <c r="D2886" s="6" t="s">
        <v>13</v>
      </c>
      <c r="E2886" s="6"/>
      <c r="F2886" s="6"/>
      <c r="G2886" s="6"/>
      <c r="H2886" s="6"/>
      <c r="I2886" s="6"/>
      <c r="J2886" s="8"/>
      <c r="K2886" s="6"/>
      <c r="L2886" s="6"/>
      <c r="M2886" s="8"/>
      <c r="N2886" s="8"/>
      <c r="O2886" s="8"/>
      <c r="P2886" s="8"/>
      <c r="Q2886" s="18" t="e">
        <f>(Table1[[#This Row],[A. TÀI SẢN NGẮN HẠN]]-Table1[[#This Row],[I. Nợ ngắn hạn]])/Table1[[#This Row],[TỔNG CỘNG TÀI SẢN]]</f>
        <v>#DIV/0!</v>
      </c>
      <c r="R2886" s="18" t="e">
        <f>Table1[[#This Row],[- LNST chưa phân phối kỳ này]]/Table1[[#This Row],[TỔNG CỘNG TÀI SẢN]]</f>
        <v>#DIV/0!</v>
      </c>
      <c r="S2886" s="21" t="e">
        <f>Table1[[#This Row],[5. Lợi nhuận gộp về bán hàng và cung cấp dịch vụ]]/Table1[[#This Row],[TỔNG CỘNG TÀI SẢN]]</f>
        <v>#DIV/0!</v>
      </c>
      <c r="T2886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886" s="23" t="e">
        <f>Table1[[#This Row],[1. Doanh thu bán hàng và cung cấp dịch vụ ]]/Table1[[#This Row],[TỔNG CỘNG TÀI SẢN]]</f>
        <v>#DIV/0!</v>
      </c>
      <c r="V2886" s="23" t="e">
        <f>1.2*Table1[[#This Row],[X1]] + 1.4*Table1[[#This Row],[X2]] + 3.3*Table1[[#This Row],[x3]] + 0.6*Table1[[#This Row],[x4]] + 1*Table1[[#This Row],[x5]]</f>
        <v>#DIV/0!</v>
      </c>
      <c r="W2886" s="23" t="e">
        <f>IF(Table1[[#This Row],[Zscore]]&lt;1.81,1,0)</f>
        <v>#DIV/0!</v>
      </c>
    </row>
    <row r="2887" spans="1:23" hidden="1" x14ac:dyDescent="0.45">
      <c r="A2887" s="7">
        <v>2881</v>
      </c>
      <c r="B2887" s="5" t="s">
        <v>5769</v>
      </c>
      <c r="C2887" s="6" t="s">
        <v>5770</v>
      </c>
      <c r="D2887" s="6" t="s">
        <v>13</v>
      </c>
      <c r="E2887" s="6"/>
      <c r="F2887" s="6"/>
      <c r="G2887" s="6"/>
      <c r="H2887" s="6"/>
      <c r="I2887" s="6"/>
      <c r="J2887" s="8"/>
      <c r="K2887" s="6"/>
      <c r="L2887" s="6"/>
      <c r="M2887" s="8"/>
      <c r="N2887" s="8"/>
      <c r="O2887" s="8"/>
      <c r="P2887" s="8"/>
      <c r="Q2887" s="18" t="e">
        <f>(Table1[[#This Row],[A. TÀI SẢN NGẮN HẠN]]-Table1[[#This Row],[I. Nợ ngắn hạn]])/Table1[[#This Row],[TỔNG CỘNG TÀI SẢN]]</f>
        <v>#DIV/0!</v>
      </c>
      <c r="R2887" s="18" t="e">
        <f>Table1[[#This Row],[- LNST chưa phân phối kỳ này]]/Table1[[#This Row],[TỔNG CỘNG TÀI SẢN]]</f>
        <v>#DIV/0!</v>
      </c>
      <c r="S2887" s="21" t="e">
        <f>Table1[[#This Row],[5. Lợi nhuận gộp về bán hàng và cung cấp dịch vụ]]/Table1[[#This Row],[TỔNG CỘNG TÀI SẢN]]</f>
        <v>#DIV/0!</v>
      </c>
      <c r="T2887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887" s="23" t="e">
        <f>Table1[[#This Row],[1. Doanh thu bán hàng và cung cấp dịch vụ ]]/Table1[[#This Row],[TỔNG CỘNG TÀI SẢN]]</f>
        <v>#DIV/0!</v>
      </c>
      <c r="V2887" s="23" t="e">
        <f>1.2*Table1[[#This Row],[X1]] + 1.4*Table1[[#This Row],[X2]] + 3.3*Table1[[#This Row],[x3]] + 0.6*Table1[[#This Row],[x4]] + 1*Table1[[#This Row],[x5]]</f>
        <v>#DIV/0!</v>
      </c>
      <c r="W2887" s="23" t="e">
        <f>IF(Table1[[#This Row],[Zscore]]&lt;1.81,1,0)</f>
        <v>#DIV/0!</v>
      </c>
    </row>
    <row r="2888" spans="1:23" hidden="1" x14ac:dyDescent="0.45">
      <c r="A2888" s="7">
        <v>2882</v>
      </c>
      <c r="B2888" s="5" t="s">
        <v>5771</v>
      </c>
      <c r="C2888" s="6" t="s">
        <v>5772</v>
      </c>
      <c r="D2888" s="6" t="s">
        <v>13</v>
      </c>
      <c r="E2888" s="6"/>
      <c r="F2888" s="6"/>
      <c r="G2888" s="6"/>
      <c r="H2888" s="6"/>
      <c r="I2888" s="6"/>
      <c r="J2888" s="8"/>
      <c r="K2888" s="6"/>
      <c r="L2888" s="6"/>
      <c r="M2888" s="8"/>
      <c r="N2888" s="8"/>
      <c r="O2888" s="8"/>
      <c r="P2888" s="8"/>
      <c r="Q2888" s="18" t="e">
        <f>(Table1[[#This Row],[A. TÀI SẢN NGẮN HẠN]]-Table1[[#This Row],[I. Nợ ngắn hạn]])/Table1[[#This Row],[TỔNG CỘNG TÀI SẢN]]</f>
        <v>#DIV/0!</v>
      </c>
      <c r="R2888" s="18" t="e">
        <f>Table1[[#This Row],[- LNST chưa phân phối kỳ này]]/Table1[[#This Row],[TỔNG CỘNG TÀI SẢN]]</f>
        <v>#DIV/0!</v>
      </c>
      <c r="S2888" s="21" t="e">
        <f>Table1[[#This Row],[5. Lợi nhuận gộp về bán hàng và cung cấp dịch vụ]]/Table1[[#This Row],[TỔNG CỘNG TÀI SẢN]]</f>
        <v>#DIV/0!</v>
      </c>
      <c r="T2888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888" s="23" t="e">
        <f>Table1[[#This Row],[1. Doanh thu bán hàng và cung cấp dịch vụ ]]/Table1[[#This Row],[TỔNG CỘNG TÀI SẢN]]</f>
        <v>#DIV/0!</v>
      </c>
      <c r="V2888" s="23" t="e">
        <f>1.2*Table1[[#This Row],[X1]] + 1.4*Table1[[#This Row],[X2]] + 3.3*Table1[[#This Row],[x3]] + 0.6*Table1[[#This Row],[x4]] + 1*Table1[[#This Row],[x5]]</f>
        <v>#DIV/0!</v>
      </c>
      <c r="W2888" s="23" t="e">
        <f>IF(Table1[[#This Row],[Zscore]]&lt;1.81,1,0)</f>
        <v>#DIV/0!</v>
      </c>
    </row>
    <row r="2889" spans="1:23" ht="26.25" hidden="1" x14ac:dyDescent="0.45">
      <c r="A2889" s="7">
        <v>2883</v>
      </c>
      <c r="B2889" s="5" t="s">
        <v>5773</v>
      </c>
      <c r="C2889" s="6" t="s">
        <v>5774</v>
      </c>
      <c r="D2889" s="6" t="s">
        <v>18</v>
      </c>
      <c r="E2889" s="6"/>
      <c r="F2889" s="6"/>
      <c r="G2889" s="6"/>
      <c r="H2889" s="6"/>
      <c r="I2889" s="6"/>
      <c r="J2889" s="8"/>
      <c r="K2889" s="6"/>
      <c r="L2889" s="6"/>
      <c r="M2889" s="8"/>
      <c r="N2889" s="8"/>
      <c r="O2889" s="8"/>
      <c r="P2889" s="8"/>
      <c r="Q2889" s="18" t="e">
        <f>(Table1[[#This Row],[A. TÀI SẢN NGẮN HẠN]]-Table1[[#This Row],[I. Nợ ngắn hạn]])/Table1[[#This Row],[TỔNG CỘNG TÀI SẢN]]</f>
        <v>#DIV/0!</v>
      </c>
      <c r="R2889" s="18" t="e">
        <f>Table1[[#This Row],[- LNST chưa phân phối kỳ này]]/Table1[[#This Row],[TỔNG CỘNG TÀI SẢN]]</f>
        <v>#DIV/0!</v>
      </c>
      <c r="S2889" s="21" t="e">
        <f>Table1[[#This Row],[5. Lợi nhuận gộp về bán hàng và cung cấp dịch vụ]]/Table1[[#This Row],[TỔNG CỘNG TÀI SẢN]]</f>
        <v>#DIV/0!</v>
      </c>
      <c r="T2889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889" s="23" t="e">
        <f>Table1[[#This Row],[1. Doanh thu bán hàng và cung cấp dịch vụ ]]/Table1[[#This Row],[TỔNG CỘNG TÀI SẢN]]</f>
        <v>#DIV/0!</v>
      </c>
      <c r="V2889" s="23" t="e">
        <f>1.2*Table1[[#This Row],[X1]] + 1.4*Table1[[#This Row],[X2]] + 3.3*Table1[[#This Row],[x3]] + 0.6*Table1[[#This Row],[x4]] + 1*Table1[[#This Row],[x5]]</f>
        <v>#DIV/0!</v>
      </c>
      <c r="W2889" s="23" t="e">
        <f>IF(Table1[[#This Row],[Zscore]]&lt;1.81,1,0)</f>
        <v>#DIV/0!</v>
      </c>
    </row>
    <row r="2890" spans="1:23" hidden="1" x14ac:dyDescent="0.45">
      <c r="A2890" s="12">
        <v>2884</v>
      </c>
      <c r="B2890" s="13" t="s">
        <v>5775</v>
      </c>
      <c r="C2890" s="14" t="s">
        <v>5776</v>
      </c>
      <c r="D2890" s="14" t="s">
        <v>13</v>
      </c>
      <c r="E2890" s="14"/>
      <c r="F2890" s="14"/>
      <c r="G2890" s="14"/>
      <c r="H2890" s="14"/>
      <c r="I2890" s="14"/>
      <c r="J2890" s="15"/>
      <c r="K2890" s="14"/>
      <c r="L2890" s="14"/>
      <c r="M2890" s="15"/>
      <c r="N2890" s="15"/>
      <c r="O2890" s="15"/>
      <c r="P2890" s="15"/>
      <c r="Q2890" s="19" t="e">
        <f>(Table1[[#This Row],[A. TÀI SẢN NGẮN HẠN]]-Table1[[#This Row],[I. Nợ ngắn hạn]])/Table1[[#This Row],[TỔNG CỘNG TÀI SẢN]]</f>
        <v>#DIV/0!</v>
      </c>
      <c r="R2890" s="19" t="e">
        <f>Table1[[#This Row],[- LNST chưa phân phối kỳ này]]/Table1[[#This Row],[TỔNG CỘNG TÀI SẢN]]</f>
        <v>#DIV/0!</v>
      </c>
      <c r="S2890" s="22" t="e">
        <f>Table1[[#This Row],[5. Lợi nhuận gộp về bán hàng và cung cấp dịch vụ]]/Table1[[#This Row],[TỔNG CỘNG TÀI SẢN]]</f>
        <v>#DIV/0!</v>
      </c>
      <c r="T2890" s="23" t="e">
        <f>AVERAGE(Table1[[#This Row],[Vốn hóa thị trường'[Quý 3 Năm 2025, ĐVT: đồng']]],Table1[[#This Row],[Vốn hóa thị trường'[Quý 2 Năm 2025, ĐVT: đồng']]],Table1[[#This Row],[Vốn hóa thị trường'[Quý 4 Năm 2025, ĐVT: đồng']]],Table1[[#This Row],[Vốn hóa thị trường'[Quý 1 Năm 2025, ĐVT: đồng']]])/Table1[[#This Row],[A. NỢ PHẢI TRẢ]]</f>
        <v>#DIV/0!</v>
      </c>
      <c r="U2890" s="23" t="e">
        <f>Table1[[#This Row],[1. Doanh thu bán hàng và cung cấp dịch vụ ]]/Table1[[#This Row],[TỔNG CỘNG TÀI SẢN]]</f>
        <v>#DIV/0!</v>
      </c>
      <c r="V2890" s="23" t="e">
        <f>1.2*Table1[[#This Row],[X1]] + 1.4*Table1[[#This Row],[X2]] + 3.3*Table1[[#This Row],[x3]] + 0.6*Table1[[#This Row],[x4]] + 1*Table1[[#This Row],[x5]]</f>
        <v>#DIV/0!</v>
      </c>
      <c r="W2890" s="23" t="e">
        <f>IF(Table1[[#This Row],[Zscore]]&lt;1.81,1,0)</f>
        <v>#DIV/0!</v>
      </c>
    </row>
    <row r="2893" spans="1:23" x14ac:dyDescent="0.45">
      <c r="A2893" s="9" t="s">
        <v>5777</v>
      </c>
    </row>
    <row r="2894" spans="1:23" x14ac:dyDescent="0.45">
      <c r="A2894" s="10" t="s">
        <v>5778</v>
      </c>
    </row>
    <row r="2895" spans="1:23" x14ac:dyDescent="0.45">
      <c r="A2895" s="10" t="s">
        <v>5779</v>
      </c>
    </row>
    <row r="2896" spans="1:23" x14ac:dyDescent="0.45">
      <c r="A2896" s="10" t="s">
        <v>5780</v>
      </c>
    </row>
    <row r="2897" spans="1:1" x14ac:dyDescent="0.45">
      <c r="A2897" s="10" t="s">
        <v>5781</v>
      </c>
    </row>
    <row r="2900" spans="1:1" x14ac:dyDescent="0.45">
      <c r="A2900" s="9" t="s">
        <v>5782</v>
      </c>
    </row>
    <row r="2901" spans="1:1" x14ac:dyDescent="0.45">
      <c r="A2901" s="10" t="s">
        <v>5783</v>
      </c>
    </row>
    <row r="2902" spans="1:1" x14ac:dyDescent="0.45">
      <c r="A2902" s="10" t="s">
        <v>5784</v>
      </c>
    </row>
  </sheetData>
  <hyperlinks>
    <hyperlink ref="B7" r:id="rId1" xr:uid="{00000000-0004-0000-0000-000000000000}"/>
    <hyperlink ref="B8" r:id="rId2" xr:uid="{00000000-0004-0000-0000-000001000000}"/>
    <hyperlink ref="B9" r:id="rId3" xr:uid="{00000000-0004-0000-0000-000002000000}"/>
    <hyperlink ref="B10" r:id="rId4" xr:uid="{00000000-0004-0000-0000-000003000000}"/>
    <hyperlink ref="B11" r:id="rId5" xr:uid="{00000000-0004-0000-0000-000004000000}"/>
    <hyperlink ref="B12" r:id="rId6" xr:uid="{00000000-0004-0000-0000-000005000000}"/>
    <hyperlink ref="B13" r:id="rId7" xr:uid="{00000000-0004-0000-0000-000006000000}"/>
    <hyperlink ref="B14" r:id="rId8" xr:uid="{00000000-0004-0000-0000-000007000000}"/>
    <hyperlink ref="B15" r:id="rId9" xr:uid="{00000000-0004-0000-0000-000008000000}"/>
    <hyperlink ref="B16" r:id="rId10" xr:uid="{00000000-0004-0000-0000-000009000000}"/>
    <hyperlink ref="B17" r:id="rId11" xr:uid="{00000000-0004-0000-0000-00000A000000}"/>
    <hyperlink ref="B18" r:id="rId12" xr:uid="{00000000-0004-0000-0000-00000B000000}"/>
    <hyperlink ref="B19" r:id="rId13" xr:uid="{00000000-0004-0000-0000-00000C000000}"/>
    <hyperlink ref="B20" r:id="rId14" xr:uid="{00000000-0004-0000-0000-00000D000000}"/>
    <hyperlink ref="B21" r:id="rId15" xr:uid="{00000000-0004-0000-0000-00000E000000}"/>
    <hyperlink ref="B22" r:id="rId16" xr:uid="{00000000-0004-0000-0000-00000F000000}"/>
    <hyperlink ref="B23" r:id="rId17" xr:uid="{00000000-0004-0000-0000-000010000000}"/>
    <hyperlink ref="B24" r:id="rId18" xr:uid="{00000000-0004-0000-0000-000011000000}"/>
    <hyperlink ref="B25" r:id="rId19" xr:uid="{00000000-0004-0000-0000-000012000000}"/>
    <hyperlink ref="B26" r:id="rId20" xr:uid="{00000000-0004-0000-0000-000013000000}"/>
    <hyperlink ref="B27" r:id="rId21" xr:uid="{00000000-0004-0000-0000-000014000000}"/>
    <hyperlink ref="B28" r:id="rId22" xr:uid="{00000000-0004-0000-0000-000015000000}"/>
    <hyperlink ref="B29" r:id="rId23" xr:uid="{00000000-0004-0000-0000-000016000000}"/>
    <hyperlink ref="B30" r:id="rId24" xr:uid="{00000000-0004-0000-0000-000017000000}"/>
    <hyperlink ref="B31" r:id="rId25" xr:uid="{00000000-0004-0000-0000-000018000000}"/>
    <hyperlink ref="B32" r:id="rId26" xr:uid="{00000000-0004-0000-0000-000019000000}"/>
    <hyperlink ref="B33" r:id="rId27" xr:uid="{00000000-0004-0000-0000-00001A000000}"/>
    <hyperlink ref="B34" r:id="rId28" xr:uid="{00000000-0004-0000-0000-00001B000000}"/>
    <hyperlink ref="B35" r:id="rId29" xr:uid="{00000000-0004-0000-0000-00001C000000}"/>
    <hyperlink ref="B36" r:id="rId30" xr:uid="{00000000-0004-0000-0000-00001D000000}"/>
    <hyperlink ref="B37" r:id="rId31" xr:uid="{00000000-0004-0000-0000-00001E000000}"/>
    <hyperlink ref="B38" r:id="rId32" xr:uid="{00000000-0004-0000-0000-00001F000000}"/>
    <hyperlink ref="B39" r:id="rId33" xr:uid="{00000000-0004-0000-0000-000020000000}"/>
    <hyperlink ref="B40" r:id="rId34" xr:uid="{00000000-0004-0000-0000-000021000000}"/>
    <hyperlink ref="B41" r:id="rId35" xr:uid="{00000000-0004-0000-0000-000022000000}"/>
    <hyperlink ref="B42" r:id="rId36" xr:uid="{00000000-0004-0000-0000-000023000000}"/>
    <hyperlink ref="B43" r:id="rId37" xr:uid="{00000000-0004-0000-0000-000024000000}"/>
    <hyperlink ref="B44" r:id="rId38" xr:uid="{00000000-0004-0000-0000-000025000000}"/>
    <hyperlink ref="B45" r:id="rId39" xr:uid="{00000000-0004-0000-0000-000026000000}"/>
    <hyperlink ref="B46" r:id="rId40" xr:uid="{00000000-0004-0000-0000-000027000000}"/>
    <hyperlink ref="B47" r:id="rId41" xr:uid="{00000000-0004-0000-0000-000028000000}"/>
    <hyperlink ref="B48" r:id="rId42" xr:uid="{00000000-0004-0000-0000-000029000000}"/>
    <hyperlink ref="B49" r:id="rId43" xr:uid="{00000000-0004-0000-0000-00002A000000}"/>
    <hyperlink ref="B50" r:id="rId44" xr:uid="{00000000-0004-0000-0000-00002B000000}"/>
    <hyperlink ref="B51" r:id="rId45" xr:uid="{00000000-0004-0000-0000-00002C000000}"/>
    <hyperlink ref="B52" r:id="rId46" xr:uid="{00000000-0004-0000-0000-00002D000000}"/>
    <hyperlink ref="B53" r:id="rId47" xr:uid="{00000000-0004-0000-0000-00002E000000}"/>
    <hyperlink ref="B54" r:id="rId48" xr:uid="{00000000-0004-0000-0000-00002F000000}"/>
    <hyperlink ref="B55" r:id="rId49" xr:uid="{00000000-0004-0000-0000-000030000000}"/>
    <hyperlink ref="B56" r:id="rId50" xr:uid="{00000000-0004-0000-0000-000031000000}"/>
    <hyperlink ref="B57" r:id="rId51" xr:uid="{00000000-0004-0000-0000-000032000000}"/>
    <hyperlink ref="B58" r:id="rId52" xr:uid="{00000000-0004-0000-0000-000033000000}"/>
    <hyperlink ref="B59" r:id="rId53" xr:uid="{00000000-0004-0000-0000-000034000000}"/>
    <hyperlink ref="B60" r:id="rId54" xr:uid="{00000000-0004-0000-0000-000035000000}"/>
    <hyperlink ref="B61" r:id="rId55" xr:uid="{00000000-0004-0000-0000-000036000000}"/>
    <hyperlink ref="B62" r:id="rId56" xr:uid="{00000000-0004-0000-0000-000037000000}"/>
    <hyperlink ref="B63" r:id="rId57" xr:uid="{00000000-0004-0000-0000-000038000000}"/>
    <hyperlink ref="B64" r:id="rId58" xr:uid="{00000000-0004-0000-0000-000039000000}"/>
    <hyperlink ref="B65" r:id="rId59" xr:uid="{00000000-0004-0000-0000-00003A000000}"/>
    <hyperlink ref="B66" r:id="rId60" xr:uid="{00000000-0004-0000-0000-00003B000000}"/>
    <hyperlink ref="B67" r:id="rId61" xr:uid="{00000000-0004-0000-0000-00003C000000}"/>
    <hyperlink ref="B68" r:id="rId62" xr:uid="{00000000-0004-0000-0000-00003D000000}"/>
    <hyperlink ref="B69" r:id="rId63" xr:uid="{00000000-0004-0000-0000-00003E000000}"/>
    <hyperlink ref="B70" r:id="rId64" xr:uid="{00000000-0004-0000-0000-00003F000000}"/>
    <hyperlink ref="B71" r:id="rId65" xr:uid="{00000000-0004-0000-0000-000040000000}"/>
    <hyperlink ref="B72" r:id="rId66" xr:uid="{00000000-0004-0000-0000-000041000000}"/>
    <hyperlink ref="B73" r:id="rId67" xr:uid="{00000000-0004-0000-0000-000042000000}"/>
    <hyperlink ref="B74" r:id="rId68" xr:uid="{00000000-0004-0000-0000-000043000000}"/>
    <hyperlink ref="B75" r:id="rId69" xr:uid="{00000000-0004-0000-0000-000044000000}"/>
    <hyperlink ref="B76" r:id="rId70" xr:uid="{00000000-0004-0000-0000-000045000000}"/>
    <hyperlink ref="B77" r:id="rId71" xr:uid="{00000000-0004-0000-0000-000046000000}"/>
    <hyperlink ref="B78" r:id="rId72" xr:uid="{00000000-0004-0000-0000-000047000000}"/>
    <hyperlink ref="B79" r:id="rId73" xr:uid="{00000000-0004-0000-0000-000048000000}"/>
    <hyperlink ref="B80" r:id="rId74" xr:uid="{00000000-0004-0000-0000-000049000000}"/>
    <hyperlink ref="B81" r:id="rId75" xr:uid="{00000000-0004-0000-0000-00004A000000}"/>
    <hyperlink ref="B82" r:id="rId76" xr:uid="{00000000-0004-0000-0000-00004B000000}"/>
    <hyperlink ref="B83" r:id="rId77" xr:uid="{00000000-0004-0000-0000-00004C000000}"/>
    <hyperlink ref="B84" r:id="rId78" xr:uid="{00000000-0004-0000-0000-00004D000000}"/>
    <hyperlink ref="B85" r:id="rId79" xr:uid="{00000000-0004-0000-0000-00004E000000}"/>
    <hyperlink ref="B86" r:id="rId80" xr:uid="{00000000-0004-0000-0000-00004F000000}"/>
    <hyperlink ref="B87" r:id="rId81" xr:uid="{00000000-0004-0000-0000-000050000000}"/>
    <hyperlink ref="B88" r:id="rId82" xr:uid="{00000000-0004-0000-0000-000051000000}"/>
    <hyperlink ref="B89" r:id="rId83" xr:uid="{00000000-0004-0000-0000-000052000000}"/>
    <hyperlink ref="B90" r:id="rId84" xr:uid="{00000000-0004-0000-0000-000053000000}"/>
    <hyperlink ref="B91" r:id="rId85" xr:uid="{00000000-0004-0000-0000-000054000000}"/>
    <hyperlink ref="B92" r:id="rId86" xr:uid="{00000000-0004-0000-0000-000055000000}"/>
    <hyperlink ref="B93" r:id="rId87" xr:uid="{00000000-0004-0000-0000-000056000000}"/>
    <hyperlink ref="B94" r:id="rId88" xr:uid="{00000000-0004-0000-0000-000057000000}"/>
    <hyperlink ref="B95" r:id="rId89" xr:uid="{00000000-0004-0000-0000-000058000000}"/>
    <hyperlink ref="B96" r:id="rId90" xr:uid="{00000000-0004-0000-0000-000059000000}"/>
    <hyperlink ref="B97" r:id="rId91" xr:uid="{00000000-0004-0000-0000-00005A000000}"/>
    <hyperlink ref="B98" r:id="rId92" xr:uid="{00000000-0004-0000-0000-00005B000000}"/>
    <hyperlink ref="B99" r:id="rId93" xr:uid="{00000000-0004-0000-0000-00005C000000}"/>
    <hyperlink ref="B100" r:id="rId94" xr:uid="{00000000-0004-0000-0000-00005D000000}"/>
    <hyperlink ref="B101" r:id="rId95" xr:uid="{00000000-0004-0000-0000-00005E000000}"/>
    <hyperlink ref="B102" r:id="rId96" xr:uid="{00000000-0004-0000-0000-00005F000000}"/>
    <hyperlink ref="B103" r:id="rId97" xr:uid="{00000000-0004-0000-0000-000060000000}"/>
    <hyperlink ref="B104" r:id="rId98" xr:uid="{00000000-0004-0000-0000-000061000000}"/>
    <hyperlink ref="B105" r:id="rId99" xr:uid="{00000000-0004-0000-0000-000062000000}"/>
    <hyperlink ref="B106" r:id="rId100" xr:uid="{00000000-0004-0000-0000-000063000000}"/>
    <hyperlink ref="B107" r:id="rId101" xr:uid="{00000000-0004-0000-0000-000064000000}"/>
    <hyperlink ref="B108" r:id="rId102" xr:uid="{00000000-0004-0000-0000-000065000000}"/>
    <hyperlink ref="B109" r:id="rId103" xr:uid="{00000000-0004-0000-0000-000066000000}"/>
    <hyperlink ref="B110" r:id="rId104" xr:uid="{00000000-0004-0000-0000-000067000000}"/>
    <hyperlink ref="B111" r:id="rId105" xr:uid="{00000000-0004-0000-0000-000068000000}"/>
    <hyperlink ref="B112" r:id="rId106" xr:uid="{00000000-0004-0000-0000-000069000000}"/>
    <hyperlink ref="B113" r:id="rId107" xr:uid="{00000000-0004-0000-0000-00006A000000}"/>
    <hyperlink ref="B114" r:id="rId108" xr:uid="{00000000-0004-0000-0000-00006B000000}"/>
    <hyperlink ref="B115" r:id="rId109" xr:uid="{00000000-0004-0000-0000-00006C000000}"/>
    <hyperlink ref="B116" r:id="rId110" xr:uid="{00000000-0004-0000-0000-00006D000000}"/>
    <hyperlink ref="B117" r:id="rId111" xr:uid="{00000000-0004-0000-0000-00006E000000}"/>
    <hyperlink ref="B118" r:id="rId112" xr:uid="{00000000-0004-0000-0000-00006F000000}"/>
    <hyperlink ref="B119" r:id="rId113" xr:uid="{00000000-0004-0000-0000-000070000000}"/>
    <hyperlink ref="B120" r:id="rId114" xr:uid="{00000000-0004-0000-0000-000071000000}"/>
    <hyperlink ref="B121" r:id="rId115" xr:uid="{00000000-0004-0000-0000-000072000000}"/>
    <hyperlink ref="B122" r:id="rId116" xr:uid="{00000000-0004-0000-0000-000073000000}"/>
    <hyperlink ref="B123" r:id="rId117" xr:uid="{00000000-0004-0000-0000-000074000000}"/>
    <hyperlink ref="B124" r:id="rId118" xr:uid="{00000000-0004-0000-0000-000075000000}"/>
    <hyperlink ref="B125" r:id="rId119" xr:uid="{00000000-0004-0000-0000-000076000000}"/>
    <hyperlink ref="B126" r:id="rId120" xr:uid="{00000000-0004-0000-0000-000077000000}"/>
    <hyperlink ref="B127" r:id="rId121" xr:uid="{00000000-0004-0000-0000-000078000000}"/>
    <hyperlink ref="B128" r:id="rId122" xr:uid="{00000000-0004-0000-0000-000079000000}"/>
    <hyperlink ref="B129" r:id="rId123" xr:uid="{00000000-0004-0000-0000-00007A000000}"/>
    <hyperlink ref="B130" r:id="rId124" xr:uid="{00000000-0004-0000-0000-00007B000000}"/>
    <hyperlink ref="B131" r:id="rId125" xr:uid="{00000000-0004-0000-0000-00007C000000}"/>
    <hyperlink ref="B132" r:id="rId126" xr:uid="{00000000-0004-0000-0000-00007D000000}"/>
    <hyperlink ref="B133" r:id="rId127" xr:uid="{00000000-0004-0000-0000-00007E000000}"/>
    <hyperlink ref="B134" r:id="rId128" xr:uid="{00000000-0004-0000-0000-00007F000000}"/>
    <hyperlink ref="B135" r:id="rId129" xr:uid="{00000000-0004-0000-0000-000080000000}"/>
    <hyperlink ref="B136" r:id="rId130" xr:uid="{00000000-0004-0000-0000-000081000000}"/>
    <hyperlink ref="B137" r:id="rId131" xr:uid="{00000000-0004-0000-0000-000082000000}"/>
    <hyperlink ref="B138" r:id="rId132" xr:uid="{00000000-0004-0000-0000-000083000000}"/>
    <hyperlink ref="B139" r:id="rId133" xr:uid="{00000000-0004-0000-0000-000084000000}"/>
    <hyperlink ref="B140" r:id="rId134" xr:uid="{00000000-0004-0000-0000-000085000000}"/>
    <hyperlink ref="B141" r:id="rId135" xr:uid="{00000000-0004-0000-0000-000086000000}"/>
    <hyperlink ref="B142" r:id="rId136" xr:uid="{00000000-0004-0000-0000-000087000000}"/>
    <hyperlink ref="B143" r:id="rId137" xr:uid="{00000000-0004-0000-0000-000088000000}"/>
    <hyperlink ref="B144" r:id="rId138" xr:uid="{00000000-0004-0000-0000-000089000000}"/>
    <hyperlink ref="B145" r:id="rId139" xr:uid="{00000000-0004-0000-0000-00008A000000}"/>
    <hyperlink ref="B146" r:id="rId140" xr:uid="{00000000-0004-0000-0000-00008B000000}"/>
    <hyperlink ref="B147" r:id="rId141" xr:uid="{00000000-0004-0000-0000-00008C000000}"/>
    <hyperlink ref="B148" r:id="rId142" xr:uid="{00000000-0004-0000-0000-00008D000000}"/>
    <hyperlink ref="B149" r:id="rId143" xr:uid="{00000000-0004-0000-0000-00008E000000}"/>
    <hyperlink ref="B150" r:id="rId144" xr:uid="{00000000-0004-0000-0000-00008F000000}"/>
    <hyperlink ref="B151" r:id="rId145" xr:uid="{00000000-0004-0000-0000-000090000000}"/>
    <hyperlink ref="B152" r:id="rId146" xr:uid="{00000000-0004-0000-0000-000091000000}"/>
    <hyperlink ref="B153" r:id="rId147" xr:uid="{00000000-0004-0000-0000-000092000000}"/>
    <hyperlink ref="B154" r:id="rId148" xr:uid="{00000000-0004-0000-0000-000093000000}"/>
    <hyperlink ref="B155" r:id="rId149" xr:uid="{00000000-0004-0000-0000-000094000000}"/>
    <hyperlink ref="B156" r:id="rId150" xr:uid="{00000000-0004-0000-0000-000095000000}"/>
    <hyperlink ref="B157" r:id="rId151" xr:uid="{00000000-0004-0000-0000-000096000000}"/>
    <hyperlink ref="B158" r:id="rId152" xr:uid="{00000000-0004-0000-0000-000097000000}"/>
    <hyperlink ref="B159" r:id="rId153" xr:uid="{00000000-0004-0000-0000-000098000000}"/>
    <hyperlink ref="B160" r:id="rId154" xr:uid="{00000000-0004-0000-0000-000099000000}"/>
    <hyperlink ref="B161" r:id="rId155" xr:uid="{00000000-0004-0000-0000-00009A000000}"/>
    <hyperlink ref="B162" r:id="rId156" xr:uid="{00000000-0004-0000-0000-00009B000000}"/>
    <hyperlink ref="B163" r:id="rId157" xr:uid="{00000000-0004-0000-0000-00009C000000}"/>
    <hyperlink ref="B164" r:id="rId158" xr:uid="{00000000-0004-0000-0000-00009D000000}"/>
    <hyperlink ref="B165" r:id="rId159" xr:uid="{00000000-0004-0000-0000-00009E000000}"/>
    <hyperlink ref="B166" r:id="rId160" xr:uid="{00000000-0004-0000-0000-00009F000000}"/>
    <hyperlink ref="B167" r:id="rId161" xr:uid="{00000000-0004-0000-0000-0000A0000000}"/>
    <hyperlink ref="B168" r:id="rId162" xr:uid="{00000000-0004-0000-0000-0000A1000000}"/>
    <hyperlink ref="B169" r:id="rId163" xr:uid="{00000000-0004-0000-0000-0000A2000000}"/>
    <hyperlink ref="B170" r:id="rId164" xr:uid="{00000000-0004-0000-0000-0000A3000000}"/>
    <hyperlink ref="B171" r:id="rId165" xr:uid="{00000000-0004-0000-0000-0000A4000000}"/>
    <hyperlink ref="B172" r:id="rId166" xr:uid="{00000000-0004-0000-0000-0000A5000000}"/>
    <hyperlink ref="B173" r:id="rId167" xr:uid="{00000000-0004-0000-0000-0000A6000000}"/>
    <hyperlink ref="B174" r:id="rId168" xr:uid="{00000000-0004-0000-0000-0000A7000000}"/>
    <hyperlink ref="B175" r:id="rId169" xr:uid="{00000000-0004-0000-0000-0000A8000000}"/>
    <hyperlink ref="B176" r:id="rId170" xr:uid="{00000000-0004-0000-0000-0000A9000000}"/>
    <hyperlink ref="B177" r:id="rId171" xr:uid="{00000000-0004-0000-0000-0000AA000000}"/>
    <hyperlink ref="B178" r:id="rId172" xr:uid="{00000000-0004-0000-0000-0000AB000000}"/>
    <hyperlink ref="B179" r:id="rId173" xr:uid="{00000000-0004-0000-0000-0000AC000000}"/>
    <hyperlink ref="B180" r:id="rId174" xr:uid="{00000000-0004-0000-0000-0000AD000000}"/>
    <hyperlink ref="B181" r:id="rId175" xr:uid="{00000000-0004-0000-0000-0000AE000000}"/>
    <hyperlink ref="B182" r:id="rId176" xr:uid="{00000000-0004-0000-0000-0000AF000000}"/>
    <hyperlink ref="B183" r:id="rId177" xr:uid="{00000000-0004-0000-0000-0000B0000000}"/>
    <hyperlink ref="B184" r:id="rId178" xr:uid="{00000000-0004-0000-0000-0000B1000000}"/>
    <hyperlink ref="B185" r:id="rId179" xr:uid="{00000000-0004-0000-0000-0000B2000000}"/>
    <hyperlink ref="B186" r:id="rId180" xr:uid="{00000000-0004-0000-0000-0000B3000000}"/>
    <hyperlink ref="B187" r:id="rId181" xr:uid="{00000000-0004-0000-0000-0000B4000000}"/>
    <hyperlink ref="B188" r:id="rId182" xr:uid="{00000000-0004-0000-0000-0000B5000000}"/>
    <hyperlink ref="B189" r:id="rId183" xr:uid="{00000000-0004-0000-0000-0000B6000000}"/>
    <hyperlink ref="B190" r:id="rId184" xr:uid="{00000000-0004-0000-0000-0000B7000000}"/>
    <hyperlink ref="B191" r:id="rId185" xr:uid="{00000000-0004-0000-0000-0000B8000000}"/>
    <hyperlink ref="B192" r:id="rId186" xr:uid="{00000000-0004-0000-0000-0000B9000000}"/>
    <hyperlink ref="B193" r:id="rId187" xr:uid="{00000000-0004-0000-0000-0000BA000000}"/>
    <hyperlink ref="B194" r:id="rId188" xr:uid="{00000000-0004-0000-0000-0000BB000000}"/>
    <hyperlink ref="B195" r:id="rId189" xr:uid="{00000000-0004-0000-0000-0000BC000000}"/>
    <hyperlink ref="B196" r:id="rId190" xr:uid="{00000000-0004-0000-0000-0000BD000000}"/>
    <hyperlink ref="B197" r:id="rId191" xr:uid="{00000000-0004-0000-0000-0000BE000000}"/>
    <hyperlink ref="B198" r:id="rId192" xr:uid="{00000000-0004-0000-0000-0000BF000000}"/>
    <hyperlink ref="B199" r:id="rId193" xr:uid="{00000000-0004-0000-0000-0000C0000000}"/>
    <hyperlink ref="B200" r:id="rId194" xr:uid="{00000000-0004-0000-0000-0000C1000000}"/>
    <hyperlink ref="B201" r:id="rId195" xr:uid="{00000000-0004-0000-0000-0000C2000000}"/>
    <hyperlink ref="B202" r:id="rId196" xr:uid="{00000000-0004-0000-0000-0000C3000000}"/>
    <hyperlink ref="B203" r:id="rId197" xr:uid="{00000000-0004-0000-0000-0000C4000000}"/>
    <hyperlink ref="B204" r:id="rId198" xr:uid="{00000000-0004-0000-0000-0000C5000000}"/>
    <hyperlink ref="B205" r:id="rId199" xr:uid="{00000000-0004-0000-0000-0000C6000000}"/>
    <hyperlink ref="B206" r:id="rId200" xr:uid="{00000000-0004-0000-0000-0000C7000000}"/>
    <hyperlink ref="B207" r:id="rId201" xr:uid="{00000000-0004-0000-0000-0000C8000000}"/>
    <hyperlink ref="B208" r:id="rId202" xr:uid="{00000000-0004-0000-0000-0000C9000000}"/>
    <hyperlink ref="B209" r:id="rId203" xr:uid="{00000000-0004-0000-0000-0000CA000000}"/>
    <hyperlink ref="B210" r:id="rId204" xr:uid="{00000000-0004-0000-0000-0000CB000000}"/>
    <hyperlink ref="B211" r:id="rId205" xr:uid="{00000000-0004-0000-0000-0000CC000000}"/>
    <hyperlink ref="B212" r:id="rId206" xr:uid="{00000000-0004-0000-0000-0000CD000000}"/>
    <hyperlink ref="B213" r:id="rId207" xr:uid="{00000000-0004-0000-0000-0000CE000000}"/>
    <hyperlink ref="B214" r:id="rId208" xr:uid="{00000000-0004-0000-0000-0000CF000000}"/>
    <hyperlink ref="B215" r:id="rId209" xr:uid="{00000000-0004-0000-0000-0000D0000000}"/>
    <hyperlink ref="B216" r:id="rId210" xr:uid="{00000000-0004-0000-0000-0000D1000000}"/>
    <hyperlink ref="B217" r:id="rId211" xr:uid="{00000000-0004-0000-0000-0000D2000000}"/>
    <hyperlink ref="B218" r:id="rId212" xr:uid="{00000000-0004-0000-0000-0000D3000000}"/>
    <hyperlink ref="B219" r:id="rId213" xr:uid="{00000000-0004-0000-0000-0000D4000000}"/>
    <hyperlink ref="B220" r:id="rId214" xr:uid="{00000000-0004-0000-0000-0000D5000000}"/>
    <hyperlink ref="B221" r:id="rId215" xr:uid="{00000000-0004-0000-0000-0000D6000000}"/>
    <hyperlink ref="B222" r:id="rId216" xr:uid="{00000000-0004-0000-0000-0000D7000000}"/>
    <hyperlink ref="B223" r:id="rId217" xr:uid="{00000000-0004-0000-0000-0000D8000000}"/>
    <hyperlink ref="B224" r:id="rId218" xr:uid="{00000000-0004-0000-0000-0000D9000000}"/>
    <hyperlink ref="B225" r:id="rId219" xr:uid="{00000000-0004-0000-0000-0000DA000000}"/>
    <hyperlink ref="B226" r:id="rId220" xr:uid="{00000000-0004-0000-0000-0000DB000000}"/>
    <hyperlink ref="B227" r:id="rId221" xr:uid="{00000000-0004-0000-0000-0000DC000000}"/>
    <hyperlink ref="B228" r:id="rId222" xr:uid="{00000000-0004-0000-0000-0000DD000000}"/>
    <hyperlink ref="B229" r:id="rId223" xr:uid="{00000000-0004-0000-0000-0000DE000000}"/>
    <hyperlink ref="B230" r:id="rId224" xr:uid="{00000000-0004-0000-0000-0000DF000000}"/>
    <hyperlink ref="B231" r:id="rId225" xr:uid="{00000000-0004-0000-0000-0000E0000000}"/>
    <hyperlink ref="B232" r:id="rId226" xr:uid="{00000000-0004-0000-0000-0000E1000000}"/>
    <hyperlink ref="B233" r:id="rId227" xr:uid="{00000000-0004-0000-0000-0000E2000000}"/>
    <hyperlink ref="B234" r:id="rId228" xr:uid="{00000000-0004-0000-0000-0000E3000000}"/>
    <hyperlink ref="B235" r:id="rId229" xr:uid="{00000000-0004-0000-0000-0000E4000000}"/>
    <hyperlink ref="B236" r:id="rId230" xr:uid="{00000000-0004-0000-0000-0000E5000000}"/>
    <hyperlink ref="B237" r:id="rId231" xr:uid="{00000000-0004-0000-0000-0000E6000000}"/>
    <hyperlink ref="B238" r:id="rId232" xr:uid="{00000000-0004-0000-0000-0000E7000000}"/>
    <hyperlink ref="B239" r:id="rId233" xr:uid="{00000000-0004-0000-0000-0000E8000000}"/>
    <hyperlink ref="B240" r:id="rId234" xr:uid="{00000000-0004-0000-0000-0000E9000000}"/>
    <hyperlink ref="B241" r:id="rId235" xr:uid="{00000000-0004-0000-0000-0000EA000000}"/>
    <hyperlink ref="B242" r:id="rId236" xr:uid="{00000000-0004-0000-0000-0000EB000000}"/>
    <hyperlink ref="B243" r:id="rId237" xr:uid="{00000000-0004-0000-0000-0000EC000000}"/>
    <hyperlink ref="B244" r:id="rId238" xr:uid="{00000000-0004-0000-0000-0000ED000000}"/>
    <hyperlink ref="B245" r:id="rId239" xr:uid="{00000000-0004-0000-0000-0000EE000000}"/>
    <hyperlink ref="B246" r:id="rId240" xr:uid="{00000000-0004-0000-0000-0000EF000000}"/>
    <hyperlink ref="B247" r:id="rId241" xr:uid="{00000000-0004-0000-0000-0000F0000000}"/>
    <hyperlink ref="B248" r:id="rId242" xr:uid="{00000000-0004-0000-0000-0000F1000000}"/>
    <hyperlink ref="B249" r:id="rId243" xr:uid="{00000000-0004-0000-0000-0000F2000000}"/>
    <hyperlink ref="B250" r:id="rId244" xr:uid="{00000000-0004-0000-0000-0000F3000000}"/>
    <hyperlink ref="B251" r:id="rId245" xr:uid="{00000000-0004-0000-0000-0000F4000000}"/>
    <hyperlink ref="B252" r:id="rId246" xr:uid="{00000000-0004-0000-0000-0000F5000000}"/>
    <hyperlink ref="B253" r:id="rId247" xr:uid="{00000000-0004-0000-0000-0000F6000000}"/>
    <hyperlink ref="B254" r:id="rId248" xr:uid="{00000000-0004-0000-0000-0000F7000000}"/>
    <hyperlink ref="B255" r:id="rId249" xr:uid="{00000000-0004-0000-0000-0000F8000000}"/>
    <hyperlink ref="B256" r:id="rId250" xr:uid="{00000000-0004-0000-0000-0000F9000000}"/>
    <hyperlink ref="B257" r:id="rId251" xr:uid="{00000000-0004-0000-0000-0000FA000000}"/>
    <hyperlink ref="B258" r:id="rId252" xr:uid="{00000000-0004-0000-0000-0000FB000000}"/>
    <hyperlink ref="B259" r:id="rId253" xr:uid="{00000000-0004-0000-0000-0000FC000000}"/>
    <hyperlink ref="B260" r:id="rId254" xr:uid="{00000000-0004-0000-0000-0000FD000000}"/>
    <hyperlink ref="B261" r:id="rId255" xr:uid="{00000000-0004-0000-0000-0000FE000000}"/>
    <hyperlink ref="B262" r:id="rId256" xr:uid="{00000000-0004-0000-0000-0000FF000000}"/>
    <hyperlink ref="B263" r:id="rId257" xr:uid="{00000000-0004-0000-0000-000000010000}"/>
    <hyperlink ref="B264" r:id="rId258" xr:uid="{00000000-0004-0000-0000-000001010000}"/>
    <hyperlink ref="B265" r:id="rId259" xr:uid="{00000000-0004-0000-0000-000002010000}"/>
    <hyperlink ref="B266" r:id="rId260" xr:uid="{00000000-0004-0000-0000-000003010000}"/>
    <hyperlink ref="B267" r:id="rId261" xr:uid="{00000000-0004-0000-0000-000004010000}"/>
    <hyperlink ref="B268" r:id="rId262" xr:uid="{00000000-0004-0000-0000-000005010000}"/>
    <hyperlink ref="B269" r:id="rId263" xr:uid="{00000000-0004-0000-0000-000006010000}"/>
    <hyperlink ref="B270" r:id="rId264" xr:uid="{00000000-0004-0000-0000-000007010000}"/>
    <hyperlink ref="B271" r:id="rId265" xr:uid="{00000000-0004-0000-0000-000008010000}"/>
    <hyperlink ref="B272" r:id="rId266" xr:uid="{00000000-0004-0000-0000-000009010000}"/>
    <hyperlink ref="B273" r:id="rId267" xr:uid="{00000000-0004-0000-0000-00000A010000}"/>
    <hyperlink ref="B274" r:id="rId268" xr:uid="{00000000-0004-0000-0000-00000B010000}"/>
    <hyperlink ref="B275" r:id="rId269" xr:uid="{00000000-0004-0000-0000-00000C010000}"/>
    <hyperlink ref="B276" r:id="rId270" xr:uid="{00000000-0004-0000-0000-00000D010000}"/>
    <hyperlink ref="B277" r:id="rId271" xr:uid="{00000000-0004-0000-0000-00000E010000}"/>
    <hyperlink ref="B278" r:id="rId272" xr:uid="{00000000-0004-0000-0000-00000F010000}"/>
    <hyperlink ref="B279" r:id="rId273" xr:uid="{00000000-0004-0000-0000-000010010000}"/>
    <hyperlink ref="B280" r:id="rId274" xr:uid="{00000000-0004-0000-0000-000011010000}"/>
    <hyperlink ref="B281" r:id="rId275" xr:uid="{00000000-0004-0000-0000-000012010000}"/>
    <hyperlink ref="B282" r:id="rId276" xr:uid="{00000000-0004-0000-0000-000013010000}"/>
    <hyperlink ref="B283" r:id="rId277" xr:uid="{00000000-0004-0000-0000-000014010000}"/>
    <hyperlink ref="B284" r:id="rId278" xr:uid="{00000000-0004-0000-0000-000015010000}"/>
    <hyperlink ref="B285" r:id="rId279" xr:uid="{00000000-0004-0000-0000-000016010000}"/>
    <hyperlink ref="B286" r:id="rId280" xr:uid="{00000000-0004-0000-0000-000017010000}"/>
    <hyperlink ref="B287" r:id="rId281" xr:uid="{00000000-0004-0000-0000-000018010000}"/>
    <hyperlink ref="B288" r:id="rId282" xr:uid="{00000000-0004-0000-0000-000019010000}"/>
    <hyperlink ref="B289" r:id="rId283" xr:uid="{00000000-0004-0000-0000-00001A010000}"/>
    <hyperlink ref="B290" r:id="rId284" xr:uid="{00000000-0004-0000-0000-00001B010000}"/>
    <hyperlink ref="B291" r:id="rId285" xr:uid="{00000000-0004-0000-0000-00001C010000}"/>
    <hyperlink ref="B292" r:id="rId286" xr:uid="{00000000-0004-0000-0000-00001D010000}"/>
    <hyperlink ref="B293" r:id="rId287" xr:uid="{00000000-0004-0000-0000-00001E010000}"/>
    <hyperlink ref="B294" r:id="rId288" xr:uid="{00000000-0004-0000-0000-00001F010000}"/>
    <hyperlink ref="B295" r:id="rId289" xr:uid="{00000000-0004-0000-0000-000020010000}"/>
    <hyperlink ref="B296" r:id="rId290" xr:uid="{00000000-0004-0000-0000-000021010000}"/>
    <hyperlink ref="B297" r:id="rId291" xr:uid="{00000000-0004-0000-0000-000022010000}"/>
    <hyperlink ref="B298" r:id="rId292" xr:uid="{00000000-0004-0000-0000-000023010000}"/>
    <hyperlink ref="B299" r:id="rId293" xr:uid="{00000000-0004-0000-0000-000024010000}"/>
    <hyperlink ref="B300" r:id="rId294" xr:uid="{00000000-0004-0000-0000-000025010000}"/>
    <hyperlink ref="B301" r:id="rId295" xr:uid="{00000000-0004-0000-0000-000026010000}"/>
    <hyperlink ref="B302" r:id="rId296" xr:uid="{00000000-0004-0000-0000-000027010000}"/>
    <hyperlink ref="B303" r:id="rId297" xr:uid="{00000000-0004-0000-0000-000028010000}"/>
    <hyperlink ref="B304" r:id="rId298" xr:uid="{00000000-0004-0000-0000-000029010000}"/>
    <hyperlink ref="B305" r:id="rId299" xr:uid="{00000000-0004-0000-0000-00002A010000}"/>
    <hyperlink ref="B306" r:id="rId300" xr:uid="{00000000-0004-0000-0000-00002B010000}"/>
    <hyperlink ref="B307" r:id="rId301" xr:uid="{00000000-0004-0000-0000-00002C010000}"/>
    <hyperlink ref="B308" r:id="rId302" xr:uid="{00000000-0004-0000-0000-00002D010000}"/>
    <hyperlink ref="B309" r:id="rId303" xr:uid="{00000000-0004-0000-0000-00002E010000}"/>
    <hyperlink ref="B310" r:id="rId304" xr:uid="{00000000-0004-0000-0000-00002F010000}"/>
    <hyperlink ref="B311" r:id="rId305" xr:uid="{00000000-0004-0000-0000-000030010000}"/>
    <hyperlink ref="B312" r:id="rId306" xr:uid="{00000000-0004-0000-0000-000031010000}"/>
    <hyperlink ref="B313" r:id="rId307" xr:uid="{00000000-0004-0000-0000-000032010000}"/>
    <hyperlink ref="B314" r:id="rId308" xr:uid="{00000000-0004-0000-0000-000033010000}"/>
    <hyperlink ref="B315" r:id="rId309" xr:uid="{00000000-0004-0000-0000-000034010000}"/>
    <hyperlink ref="B316" r:id="rId310" xr:uid="{00000000-0004-0000-0000-000035010000}"/>
    <hyperlink ref="B317" r:id="rId311" xr:uid="{00000000-0004-0000-0000-000036010000}"/>
    <hyperlink ref="B318" r:id="rId312" xr:uid="{00000000-0004-0000-0000-000037010000}"/>
    <hyperlink ref="B319" r:id="rId313" xr:uid="{00000000-0004-0000-0000-000038010000}"/>
    <hyperlink ref="B320" r:id="rId314" xr:uid="{00000000-0004-0000-0000-000039010000}"/>
    <hyperlink ref="B321" r:id="rId315" xr:uid="{00000000-0004-0000-0000-00003A010000}"/>
    <hyperlink ref="B322" r:id="rId316" xr:uid="{00000000-0004-0000-0000-00003B010000}"/>
    <hyperlink ref="B323" r:id="rId317" xr:uid="{00000000-0004-0000-0000-00003C010000}"/>
    <hyperlink ref="B324" r:id="rId318" xr:uid="{00000000-0004-0000-0000-00003D010000}"/>
    <hyperlink ref="B325" r:id="rId319" xr:uid="{00000000-0004-0000-0000-00003E010000}"/>
    <hyperlink ref="B326" r:id="rId320" xr:uid="{00000000-0004-0000-0000-00003F010000}"/>
    <hyperlink ref="B327" r:id="rId321" xr:uid="{00000000-0004-0000-0000-000040010000}"/>
    <hyperlink ref="B328" r:id="rId322" xr:uid="{00000000-0004-0000-0000-000041010000}"/>
    <hyperlink ref="B329" r:id="rId323" xr:uid="{00000000-0004-0000-0000-000042010000}"/>
    <hyperlink ref="B330" r:id="rId324" xr:uid="{00000000-0004-0000-0000-000043010000}"/>
    <hyperlink ref="B331" r:id="rId325" xr:uid="{00000000-0004-0000-0000-000044010000}"/>
    <hyperlink ref="B332" r:id="rId326" xr:uid="{00000000-0004-0000-0000-000045010000}"/>
    <hyperlink ref="B333" r:id="rId327" xr:uid="{00000000-0004-0000-0000-000046010000}"/>
    <hyperlink ref="B334" r:id="rId328" xr:uid="{00000000-0004-0000-0000-000047010000}"/>
    <hyperlink ref="B335" r:id="rId329" xr:uid="{00000000-0004-0000-0000-000048010000}"/>
    <hyperlink ref="B336" r:id="rId330" xr:uid="{00000000-0004-0000-0000-000049010000}"/>
    <hyperlink ref="B337" r:id="rId331" xr:uid="{00000000-0004-0000-0000-00004A010000}"/>
    <hyperlink ref="B338" r:id="rId332" xr:uid="{00000000-0004-0000-0000-00004B010000}"/>
    <hyperlink ref="B339" r:id="rId333" xr:uid="{00000000-0004-0000-0000-00004C010000}"/>
    <hyperlink ref="B340" r:id="rId334" xr:uid="{00000000-0004-0000-0000-00004D010000}"/>
    <hyperlink ref="B341" r:id="rId335" xr:uid="{00000000-0004-0000-0000-00004E010000}"/>
    <hyperlink ref="B342" r:id="rId336" xr:uid="{00000000-0004-0000-0000-00004F010000}"/>
    <hyperlink ref="B343" r:id="rId337" xr:uid="{00000000-0004-0000-0000-000050010000}"/>
    <hyperlink ref="B344" r:id="rId338" xr:uid="{00000000-0004-0000-0000-000051010000}"/>
    <hyperlink ref="B345" r:id="rId339" xr:uid="{00000000-0004-0000-0000-000052010000}"/>
    <hyperlink ref="B346" r:id="rId340" xr:uid="{00000000-0004-0000-0000-000053010000}"/>
    <hyperlink ref="B347" r:id="rId341" xr:uid="{00000000-0004-0000-0000-000054010000}"/>
    <hyperlink ref="B348" r:id="rId342" xr:uid="{00000000-0004-0000-0000-000055010000}"/>
    <hyperlink ref="B349" r:id="rId343" xr:uid="{00000000-0004-0000-0000-000056010000}"/>
    <hyperlink ref="B350" r:id="rId344" xr:uid="{00000000-0004-0000-0000-000057010000}"/>
    <hyperlink ref="B351" r:id="rId345" xr:uid="{00000000-0004-0000-0000-000058010000}"/>
    <hyperlink ref="B352" r:id="rId346" xr:uid="{00000000-0004-0000-0000-000059010000}"/>
    <hyperlink ref="B353" r:id="rId347" xr:uid="{00000000-0004-0000-0000-00005A010000}"/>
    <hyperlink ref="B354" r:id="rId348" xr:uid="{00000000-0004-0000-0000-00005B010000}"/>
    <hyperlink ref="B355" r:id="rId349" xr:uid="{00000000-0004-0000-0000-00005C010000}"/>
    <hyperlink ref="B356" r:id="rId350" xr:uid="{00000000-0004-0000-0000-00005D010000}"/>
    <hyperlink ref="B357" r:id="rId351" xr:uid="{00000000-0004-0000-0000-00005E010000}"/>
    <hyperlink ref="B358" r:id="rId352" xr:uid="{00000000-0004-0000-0000-00005F010000}"/>
    <hyperlink ref="B359" r:id="rId353" xr:uid="{00000000-0004-0000-0000-000060010000}"/>
    <hyperlink ref="B360" r:id="rId354" xr:uid="{00000000-0004-0000-0000-000061010000}"/>
    <hyperlink ref="B361" r:id="rId355" xr:uid="{00000000-0004-0000-0000-000062010000}"/>
    <hyperlink ref="B362" r:id="rId356" xr:uid="{00000000-0004-0000-0000-000063010000}"/>
    <hyperlink ref="B363" r:id="rId357" xr:uid="{00000000-0004-0000-0000-000064010000}"/>
    <hyperlink ref="B364" r:id="rId358" xr:uid="{00000000-0004-0000-0000-000065010000}"/>
    <hyperlink ref="B365" r:id="rId359" xr:uid="{00000000-0004-0000-0000-000066010000}"/>
    <hyperlink ref="B366" r:id="rId360" xr:uid="{00000000-0004-0000-0000-000067010000}"/>
    <hyperlink ref="B367" r:id="rId361" xr:uid="{00000000-0004-0000-0000-000068010000}"/>
    <hyperlink ref="B368" r:id="rId362" xr:uid="{00000000-0004-0000-0000-000069010000}"/>
    <hyperlink ref="B369" r:id="rId363" xr:uid="{00000000-0004-0000-0000-00006A010000}"/>
    <hyperlink ref="B370" r:id="rId364" xr:uid="{00000000-0004-0000-0000-00006B010000}"/>
    <hyperlink ref="B371" r:id="rId365" xr:uid="{00000000-0004-0000-0000-00006C010000}"/>
    <hyperlink ref="B372" r:id="rId366" xr:uid="{00000000-0004-0000-0000-00006D010000}"/>
    <hyperlink ref="B373" r:id="rId367" xr:uid="{00000000-0004-0000-0000-00006E010000}"/>
    <hyperlink ref="B374" r:id="rId368" xr:uid="{00000000-0004-0000-0000-00006F010000}"/>
    <hyperlink ref="B375" r:id="rId369" xr:uid="{00000000-0004-0000-0000-000070010000}"/>
    <hyperlink ref="B376" r:id="rId370" xr:uid="{00000000-0004-0000-0000-000071010000}"/>
    <hyperlink ref="B377" r:id="rId371" xr:uid="{00000000-0004-0000-0000-000072010000}"/>
    <hyperlink ref="B378" r:id="rId372" xr:uid="{00000000-0004-0000-0000-000073010000}"/>
    <hyperlink ref="B379" r:id="rId373" xr:uid="{00000000-0004-0000-0000-000074010000}"/>
    <hyperlink ref="B380" r:id="rId374" xr:uid="{00000000-0004-0000-0000-000075010000}"/>
    <hyperlink ref="B381" r:id="rId375" xr:uid="{00000000-0004-0000-0000-000076010000}"/>
    <hyperlink ref="B382" r:id="rId376" xr:uid="{00000000-0004-0000-0000-000077010000}"/>
    <hyperlink ref="B383" r:id="rId377" xr:uid="{00000000-0004-0000-0000-000078010000}"/>
    <hyperlink ref="B384" r:id="rId378" xr:uid="{00000000-0004-0000-0000-000079010000}"/>
    <hyperlink ref="B385" r:id="rId379" xr:uid="{00000000-0004-0000-0000-00007A010000}"/>
    <hyperlink ref="B386" r:id="rId380" xr:uid="{00000000-0004-0000-0000-00007B010000}"/>
    <hyperlink ref="B387" r:id="rId381" xr:uid="{00000000-0004-0000-0000-00007C010000}"/>
    <hyperlink ref="B388" r:id="rId382" xr:uid="{00000000-0004-0000-0000-00007D010000}"/>
    <hyperlink ref="B389" r:id="rId383" xr:uid="{00000000-0004-0000-0000-00007E010000}"/>
    <hyperlink ref="B390" r:id="rId384" xr:uid="{00000000-0004-0000-0000-00007F010000}"/>
    <hyperlink ref="B391" r:id="rId385" xr:uid="{00000000-0004-0000-0000-000080010000}"/>
    <hyperlink ref="B392" r:id="rId386" xr:uid="{00000000-0004-0000-0000-000081010000}"/>
    <hyperlink ref="B393" r:id="rId387" xr:uid="{00000000-0004-0000-0000-000082010000}"/>
    <hyperlink ref="B394" r:id="rId388" xr:uid="{00000000-0004-0000-0000-000083010000}"/>
    <hyperlink ref="B395" r:id="rId389" xr:uid="{00000000-0004-0000-0000-000084010000}"/>
    <hyperlink ref="B396" r:id="rId390" xr:uid="{00000000-0004-0000-0000-000085010000}"/>
    <hyperlink ref="B397" r:id="rId391" xr:uid="{00000000-0004-0000-0000-000086010000}"/>
    <hyperlink ref="B398" r:id="rId392" xr:uid="{00000000-0004-0000-0000-000087010000}"/>
    <hyperlink ref="B399" r:id="rId393" xr:uid="{00000000-0004-0000-0000-000088010000}"/>
    <hyperlink ref="B400" r:id="rId394" xr:uid="{00000000-0004-0000-0000-000089010000}"/>
    <hyperlink ref="B401" r:id="rId395" xr:uid="{00000000-0004-0000-0000-00008A010000}"/>
    <hyperlink ref="B402" r:id="rId396" xr:uid="{00000000-0004-0000-0000-00008B010000}"/>
    <hyperlink ref="B403" r:id="rId397" xr:uid="{00000000-0004-0000-0000-00008C010000}"/>
    <hyperlink ref="B404" r:id="rId398" xr:uid="{00000000-0004-0000-0000-00008D010000}"/>
    <hyperlink ref="B405" r:id="rId399" xr:uid="{00000000-0004-0000-0000-00008E010000}"/>
    <hyperlink ref="B406" r:id="rId400" xr:uid="{00000000-0004-0000-0000-00008F010000}"/>
    <hyperlink ref="B407" r:id="rId401" xr:uid="{00000000-0004-0000-0000-000090010000}"/>
    <hyperlink ref="B408" r:id="rId402" xr:uid="{00000000-0004-0000-0000-000091010000}"/>
    <hyperlink ref="B409" r:id="rId403" xr:uid="{00000000-0004-0000-0000-000092010000}"/>
    <hyperlink ref="B410" r:id="rId404" xr:uid="{00000000-0004-0000-0000-000093010000}"/>
    <hyperlink ref="B411" r:id="rId405" xr:uid="{00000000-0004-0000-0000-000094010000}"/>
    <hyperlink ref="B412" r:id="rId406" xr:uid="{00000000-0004-0000-0000-000095010000}"/>
    <hyperlink ref="B413" r:id="rId407" xr:uid="{00000000-0004-0000-0000-000096010000}"/>
    <hyperlink ref="B414" r:id="rId408" xr:uid="{00000000-0004-0000-0000-000097010000}"/>
    <hyperlink ref="B415" r:id="rId409" xr:uid="{00000000-0004-0000-0000-000098010000}"/>
    <hyperlink ref="B416" r:id="rId410" xr:uid="{00000000-0004-0000-0000-000099010000}"/>
    <hyperlink ref="B417" r:id="rId411" xr:uid="{00000000-0004-0000-0000-00009A010000}"/>
    <hyperlink ref="B418" r:id="rId412" xr:uid="{00000000-0004-0000-0000-00009B010000}"/>
    <hyperlink ref="B419" r:id="rId413" xr:uid="{00000000-0004-0000-0000-00009C010000}"/>
    <hyperlink ref="B420" r:id="rId414" xr:uid="{00000000-0004-0000-0000-00009D010000}"/>
    <hyperlink ref="B421" r:id="rId415" xr:uid="{00000000-0004-0000-0000-00009E010000}"/>
    <hyperlink ref="B422" r:id="rId416" xr:uid="{00000000-0004-0000-0000-00009F010000}"/>
    <hyperlink ref="B423" r:id="rId417" xr:uid="{00000000-0004-0000-0000-0000A0010000}"/>
    <hyperlink ref="B424" r:id="rId418" xr:uid="{00000000-0004-0000-0000-0000A1010000}"/>
    <hyperlink ref="B425" r:id="rId419" xr:uid="{00000000-0004-0000-0000-0000A2010000}"/>
    <hyperlink ref="B426" r:id="rId420" xr:uid="{00000000-0004-0000-0000-0000A3010000}"/>
    <hyperlink ref="B427" r:id="rId421" xr:uid="{00000000-0004-0000-0000-0000A4010000}"/>
    <hyperlink ref="B428" r:id="rId422" xr:uid="{00000000-0004-0000-0000-0000A5010000}"/>
    <hyperlink ref="B429" r:id="rId423" xr:uid="{00000000-0004-0000-0000-0000A6010000}"/>
    <hyperlink ref="B430" r:id="rId424" xr:uid="{00000000-0004-0000-0000-0000A7010000}"/>
    <hyperlink ref="B431" r:id="rId425" xr:uid="{00000000-0004-0000-0000-0000A8010000}"/>
    <hyperlink ref="B432" r:id="rId426" xr:uid="{00000000-0004-0000-0000-0000A9010000}"/>
    <hyperlink ref="B433" r:id="rId427" xr:uid="{00000000-0004-0000-0000-0000AA010000}"/>
    <hyperlink ref="B434" r:id="rId428" xr:uid="{00000000-0004-0000-0000-0000AB010000}"/>
    <hyperlink ref="B435" r:id="rId429" xr:uid="{00000000-0004-0000-0000-0000AC010000}"/>
    <hyperlink ref="B436" r:id="rId430" xr:uid="{00000000-0004-0000-0000-0000AD010000}"/>
    <hyperlink ref="B437" r:id="rId431" xr:uid="{00000000-0004-0000-0000-0000AE010000}"/>
    <hyperlink ref="B438" r:id="rId432" xr:uid="{00000000-0004-0000-0000-0000AF010000}"/>
    <hyperlink ref="B439" r:id="rId433" xr:uid="{00000000-0004-0000-0000-0000B0010000}"/>
    <hyperlink ref="B440" r:id="rId434" xr:uid="{00000000-0004-0000-0000-0000B1010000}"/>
    <hyperlink ref="B441" r:id="rId435" xr:uid="{00000000-0004-0000-0000-0000B2010000}"/>
    <hyperlink ref="B442" r:id="rId436" xr:uid="{00000000-0004-0000-0000-0000B3010000}"/>
    <hyperlink ref="B443" r:id="rId437" xr:uid="{00000000-0004-0000-0000-0000B4010000}"/>
    <hyperlink ref="B444" r:id="rId438" xr:uid="{00000000-0004-0000-0000-0000B5010000}"/>
    <hyperlink ref="B445" r:id="rId439" xr:uid="{00000000-0004-0000-0000-0000B6010000}"/>
    <hyperlink ref="B446" r:id="rId440" xr:uid="{00000000-0004-0000-0000-0000B7010000}"/>
    <hyperlink ref="B447" r:id="rId441" xr:uid="{00000000-0004-0000-0000-0000B8010000}"/>
    <hyperlink ref="B448" r:id="rId442" xr:uid="{00000000-0004-0000-0000-0000B9010000}"/>
    <hyperlink ref="B449" r:id="rId443" xr:uid="{00000000-0004-0000-0000-0000BA010000}"/>
    <hyperlink ref="B450" r:id="rId444" xr:uid="{00000000-0004-0000-0000-0000BB010000}"/>
    <hyperlink ref="B451" r:id="rId445" xr:uid="{00000000-0004-0000-0000-0000BC010000}"/>
    <hyperlink ref="B452" r:id="rId446" xr:uid="{00000000-0004-0000-0000-0000BD010000}"/>
    <hyperlink ref="B453" r:id="rId447" xr:uid="{00000000-0004-0000-0000-0000BE010000}"/>
    <hyperlink ref="B454" r:id="rId448" xr:uid="{00000000-0004-0000-0000-0000BF010000}"/>
    <hyperlink ref="B455" r:id="rId449" xr:uid="{00000000-0004-0000-0000-0000C0010000}"/>
    <hyperlink ref="B456" r:id="rId450" xr:uid="{00000000-0004-0000-0000-0000C1010000}"/>
    <hyperlink ref="B457" r:id="rId451" xr:uid="{00000000-0004-0000-0000-0000C2010000}"/>
    <hyperlink ref="B458" r:id="rId452" xr:uid="{00000000-0004-0000-0000-0000C3010000}"/>
    <hyperlink ref="B459" r:id="rId453" xr:uid="{00000000-0004-0000-0000-0000C4010000}"/>
    <hyperlink ref="B460" r:id="rId454" xr:uid="{00000000-0004-0000-0000-0000C5010000}"/>
    <hyperlink ref="B461" r:id="rId455" xr:uid="{00000000-0004-0000-0000-0000C6010000}"/>
    <hyperlink ref="B462" r:id="rId456" xr:uid="{00000000-0004-0000-0000-0000C7010000}"/>
    <hyperlink ref="B463" r:id="rId457" xr:uid="{00000000-0004-0000-0000-0000C8010000}"/>
    <hyperlink ref="B464" r:id="rId458" xr:uid="{00000000-0004-0000-0000-0000C9010000}"/>
    <hyperlink ref="B465" r:id="rId459" xr:uid="{00000000-0004-0000-0000-0000CA010000}"/>
    <hyperlink ref="B466" r:id="rId460" xr:uid="{00000000-0004-0000-0000-0000CB010000}"/>
    <hyperlink ref="B467" r:id="rId461" xr:uid="{00000000-0004-0000-0000-0000CC010000}"/>
    <hyperlink ref="B468" r:id="rId462" xr:uid="{00000000-0004-0000-0000-0000CD010000}"/>
    <hyperlink ref="B469" r:id="rId463" xr:uid="{00000000-0004-0000-0000-0000CE010000}"/>
    <hyperlink ref="B470" r:id="rId464" xr:uid="{00000000-0004-0000-0000-0000CF010000}"/>
    <hyperlink ref="B471" r:id="rId465" xr:uid="{00000000-0004-0000-0000-0000D0010000}"/>
    <hyperlink ref="B472" r:id="rId466" xr:uid="{00000000-0004-0000-0000-0000D1010000}"/>
    <hyperlink ref="B473" r:id="rId467" xr:uid="{00000000-0004-0000-0000-0000D2010000}"/>
    <hyperlink ref="B474" r:id="rId468" xr:uid="{00000000-0004-0000-0000-0000D3010000}"/>
    <hyperlink ref="B475" r:id="rId469" xr:uid="{00000000-0004-0000-0000-0000D4010000}"/>
    <hyperlink ref="B476" r:id="rId470" xr:uid="{00000000-0004-0000-0000-0000D5010000}"/>
    <hyperlink ref="B477" r:id="rId471" xr:uid="{00000000-0004-0000-0000-0000D6010000}"/>
    <hyperlink ref="B478" r:id="rId472" xr:uid="{00000000-0004-0000-0000-0000D7010000}"/>
    <hyperlink ref="B479" r:id="rId473" xr:uid="{00000000-0004-0000-0000-0000D8010000}"/>
    <hyperlink ref="B480" r:id="rId474" xr:uid="{00000000-0004-0000-0000-0000D9010000}"/>
    <hyperlink ref="B481" r:id="rId475" xr:uid="{00000000-0004-0000-0000-0000DA010000}"/>
    <hyperlink ref="B482" r:id="rId476" xr:uid="{00000000-0004-0000-0000-0000DB010000}"/>
    <hyperlink ref="B483" r:id="rId477" xr:uid="{00000000-0004-0000-0000-0000DC010000}"/>
    <hyperlink ref="B484" r:id="rId478" xr:uid="{00000000-0004-0000-0000-0000DD010000}"/>
    <hyperlink ref="B485" r:id="rId479" xr:uid="{00000000-0004-0000-0000-0000DE010000}"/>
    <hyperlink ref="B486" r:id="rId480" xr:uid="{00000000-0004-0000-0000-0000DF010000}"/>
    <hyperlink ref="B487" r:id="rId481" xr:uid="{00000000-0004-0000-0000-0000E0010000}"/>
    <hyperlink ref="B488" r:id="rId482" xr:uid="{00000000-0004-0000-0000-0000E1010000}"/>
    <hyperlink ref="B489" r:id="rId483" xr:uid="{00000000-0004-0000-0000-0000E2010000}"/>
    <hyperlink ref="B490" r:id="rId484" xr:uid="{00000000-0004-0000-0000-0000E3010000}"/>
    <hyperlink ref="B491" r:id="rId485" xr:uid="{00000000-0004-0000-0000-0000E4010000}"/>
    <hyperlink ref="B492" r:id="rId486" xr:uid="{00000000-0004-0000-0000-0000E5010000}"/>
    <hyperlink ref="B493" r:id="rId487" xr:uid="{00000000-0004-0000-0000-0000E6010000}"/>
    <hyperlink ref="B494" r:id="rId488" xr:uid="{00000000-0004-0000-0000-0000E7010000}"/>
    <hyperlink ref="B495" r:id="rId489" xr:uid="{00000000-0004-0000-0000-0000E8010000}"/>
    <hyperlink ref="B496" r:id="rId490" xr:uid="{00000000-0004-0000-0000-0000E9010000}"/>
    <hyperlink ref="B497" r:id="rId491" xr:uid="{00000000-0004-0000-0000-0000EA010000}"/>
    <hyperlink ref="B498" r:id="rId492" xr:uid="{00000000-0004-0000-0000-0000EB010000}"/>
    <hyperlink ref="B499" r:id="rId493" xr:uid="{00000000-0004-0000-0000-0000EC010000}"/>
    <hyperlink ref="B500" r:id="rId494" xr:uid="{00000000-0004-0000-0000-0000ED010000}"/>
    <hyperlink ref="B501" r:id="rId495" xr:uid="{00000000-0004-0000-0000-0000EE010000}"/>
    <hyperlink ref="B502" r:id="rId496" xr:uid="{00000000-0004-0000-0000-0000EF010000}"/>
    <hyperlink ref="B503" r:id="rId497" xr:uid="{00000000-0004-0000-0000-0000F0010000}"/>
    <hyperlink ref="B504" r:id="rId498" xr:uid="{00000000-0004-0000-0000-0000F1010000}"/>
    <hyperlink ref="B505" r:id="rId499" xr:uid="{00000000-0004-0000-0000-0000F2010000}"/>
    <hyperlink ref="B506" r:id="rId500" xr:uid="{00000000-0004-0000-0000-0000F3010000}"/>
    <hyperlink ref="B507" r:id="rId501" xr:uid="{00000000-0004-0000-0000-0000F4010000}"/>
    <hyperlink ref="B508" r:id="rId502" xr:uid="{00000000-0004-0000-0000-0000F5010000}"/>
    <hyperlink ref="B509" r:id="rId503" xr:uid="{00000000-0004-0000-0000-0000F6010000}"/>
    <hyperlink ref="B510" r:id="rId504" xr:uid="{00000000-0004-0000-0000-0000F7010000}"/>
    <hyperlink ref="B511" r:id="rId505" xr:uid="{00000000-0004-0000-0000-0000F8010000}"/>
    <hyperlink ref="B512" r:id="rId506" xr:uid="{00000000-0004-0000-0000-0000F9010000}"/>
    <hyperlink ref="B513" r:id="rId507" xr:uid="{00000000-0004-0000-0000-0000FA010000}"/>
    <hyperlink ref="B514" r:id="rId508" xr:uid="{00000000-0004-0000-0000-0000FB010000}"/>
    <hyperlink ref="B515" r:id="rId509" xr:uid="{00000000-0004-0000-0000-0000FC010000}"/>
    <hyperlink ref="B516" r:id="rId510" xr:uid="{00000000-0004-0000-0000-0000FD010000}"/>
    <hyperlink ref="B517" r:id="rId511" xr:uid="{00000000-0004-0000-0000-0000FE010000}"/>
    <hyperlink ref="B518" r:id="rId512" xr:uid="{00000000-0004-0000-0000-0000FF010000}"/>
    <hyperlink ref="B519" r:id="rId513" xr:uid="{00000000-0004-0000-0000-000000020000}"/>
    <hyperlink ref="B520" r:id="rId514" xr:uid="{00000000-0004-0000-0000-000001020000}"/>
    <hyperlink ref="B521" r:id="rId515" xr:uid="{00000000-0004-0000-0000-000002020000}"/>
    <hyperlink ref="B522" r:id="rId516" xr:uid="{00000000-0004-0000-0000-000003020000}"/>
    <hyperlink ref="B523" r:id="rId517" xr:uid="{00000000-0004-0000-0000-000004020000}"/>
    <hyperlink ref="B524" r:id="rId518" xr:uid="{00000000-0004-0000-0000-000005020000}"/>
    <hyperlink ref="B525" r:id="rId519" xr:uid="{00000000-0004-0000-0000-000006020000}"/>
    <hyperlink ref="B526" r:id="rId520" xr:uid="{00000000-0004-0000-0000-000007020000}"/>
    <hyperlink ref="B527" r:id="rId521" xr:uid="{00000000-0004-0000-0000-000008020000}"/>
    <hyperlink ref="B528" r:id="rId522" xr:uid="{00000000-0004-0000-0000-000009020000}"/>
    <hyperlink ref="B529" r:id="rId523" xr:uid="{00000000-0004-0000-0000-00000A020000}"/>
    <hyperlink ref="B530" r:id="rId524" xr:uid="{00000000-0004-0000-0000-00000B020000}"/>
    <hyperlink ref="B531" r:id="rId525" xr:uid="{00000000-0004-0000-0000-00000C020000}"/>
    <hyperlink ref="B532" r:id="rId526" xr:uid="{00000000-0004-0000-0000-00000D020000}"/>
    <hyperlink ref="B533" r:id="rId527" xr:uid="{00000000-0004-0000-0000-00000E020000}"/>
    <hyperlink ref="B534" r:id="rId528" xr:uid="{00000000-0004-0000-0000-00000F020000}"/>
    <hyperlink ref="B535" r:id="rId529" xr:uid="{00000000-0004-0000-0000-000010020000}"/>
    <hyperlink ref="B536" r:id="rId530" xr:uid="{00000000-0004-0000-0000-000011020000}"/>
    <hyperlink ref="B537" r:id="rId531" xr:uid="{00000000-0004-0000-0000-000012020000}"/>
    <hyperlink ref="B538" r:id="rId532" xr:uid="{00000000-0004-0000-0000-000013020000}"/>
    <hyperlink ref="B539" r:id="rId533" xr:uid="{00000000-0004-0000-0000-000014020000}"/>
    <hyperlink ref="B540" r:id="rId534" xr:uid="{00000000-0004-0000-0000-000015020000}"/>
    <hyperlink ref="B541" r:id="rId535" xr:uid="{00000000-0004-0000-0000-000016020000}"/>
    <hyperlink ref="B542" r:id="rId536" xr:uid="{00000000-0004-0000-0000-000017020000}"/>
    <hyperlink ref="B543" r:id="rId537" xr:uid="{00000000-0004-0000-0000-000018020000}"/>
    <hyperlink ref="B544" r:id="rId538" xr:uid="{00000000-0004-0000-0000-000019020000}"/>
    <hyperlink ref="B545" r:id="rId539" xr:uid="{00000000-0004-0000-0000-00001A020000}"/>
    <hyperlink ref="B546" r:id="rId540" xr:uid="{00000000-0004-0000-0000-00001B020000}"/>
    <hyperlink ref="B547" r:id="rId541" xr:uid="{00000000-0004-0000-0000-00001C020000}"/>
    <hyperlink ref="B548" r:id="rId542" xr:uid="{00000000-0004-0000-0000-00001D020000}"/>
    <hyperlink ref="B549" r:id="rId543" xr:uid="{00000000-0004-0000-0000-00001E020000}"/>
    <hyperlink ref="B550" r:id="rId544" xr:uid="{00000000-0004-0000-0000-00001F020000}"/>
    <hyperlink ref="B551" r:id="rId545" xr:uid="{00000000-0004-0000-0000-000020020000}"/>
    <hyperlink ref="B552" r:id="rId546" xr:uid="{00000000-0004-0000-0000-000021020000}"/>
    <hyperlink ref="B553" r:id="rId547" xr:uid="{00000000-0004-0000-0000-000022020000}"/>
    <hyperlink ref="B554" r:id="rId548" xr:uid="{00000000-0004-0000-0000-000023020000}"/>
    <hyperlink ref="B555" r:id="rId549" xr:uid="{00000000-0004-0000-0000-000024020000}"/>
    <hyperlink ref="B556" r:id="rId550" xr:uid="{00000000-0004-0000-0000-000025020000}"/>
    <hyperlink ref="B557" r:id="rId551" xr:uid="{00000000-0004-0000-0000-000026020000}"/>
    <hyperlink ref="B558" r:id="rId552" xr:uid="{00000000-0004-0000-0000-000027020000}"/>
    <hyperlink ref="B559" r:id="rId553" xr:uid="{00000000-0004-0000-0000-000028020000}"/>
    <hyperlink ref="B560" r:id="rId554" xr:uid="{00000000-0004-0000-0000-000029020000}"/>
    <hyperlink ref="B561" r:id="rId555" xr:uid="{00000000-0004-0000-0000-00002A020000}"/>
    <hyperlink ref="B562" r:id="rId556" xr:uid="{00000000-0004-0000-0000-00002B020000}"/>
    <hyperlink ref="B563" r:id="rId557" xr:uid="{00000000-0004-0000-0000-00002C020000}"/>
    <hyperlink ref="B564" r:id="rId558" xr:uid="{00000000-0004-0000-0000-00002D020000}"/>
    <hyperlink ref="B565" r:id="rId559" xr:uid="{00000000-0004-0000-0000-00002E020000}"/>
    <hyperlink ref="B566" r:id="rId560" xr:uid="{00000000-0004-0000-0000-00002F020000}"/>
    <hyperlink ref="B567" r:id="rId561" xr:uid="{00000000-0004-0000-0000-000030020000}"/>
    <hyperlink ref="B568" r:id="rId562" xr:uid="{00000000-0004-0000-0000-000031020000}"/>
    <hyperlink ref="B569" r:id="rId563" xr:uid="{00000000-0004-0000-0000-000032020000}"/>
    <hyperlink ref="B570" r:id="rId564" xr:uid="{00000000-0004-0000-0000-000033020000}"/>
    <hyperlink ref="B571" r:id="rId565" xr:uid="{00000000-0004-0000-0000-000034020000}"/>
    <hyperlink ref="B572" r:id="rId566" xr:uid="{00000000-0004-0000-0000-000035020000}"/>
    <hyperlink ref="B573" r:id="rId567" xr:uid="{00000000-0004-0000-0000-000036020000}"/>
    <hyperlink ref="B574" r:id="rId568" xr:uid="{00000000-0004-0000-0000-000037020000}"/>
    <hyperlink ref="B575" r:id="rId569" xr:uid="{00000000-0004-0000-0000-000038020000}"/>
    <hyperlink ref="B576" r:id="rId570" xr:uid="{00000000-0004-0000-0000-000039020000}"/>
    <hyperlink ref="B577" r:id="rId571" xr:uid="{00000000-0004-0000-0000-00003A020000}"/>
    <hyperlink ref="B578" r:id="rId572" xr:uid="{00000000-0004-0000-0000-00003B020000}"/>
    <hyperlink ref="B579" r:id="rId573" xr:uid="{00000000-0004-0000-0000-00003C020000}"/>
    <hyperlink ref="B580" r:id="rId574" xr:uid="{00000000-0004-0000-0000-00003D020000}"/>
    <hyperlink ref="B581" r:id="rId575" xr:uid="{00000000-0004-0000-0000-00003E020000}"/>
    <hyperlink ref="B582" r:id="rId576" xr:uid="{00000000-0004-0000-0000-00003F020000}"/>
    <hyperlink ref="B583" r:id="rId577" xr:uid="{00000000-0004-0000-0000-000040020000}"/>
    <hyperlink ref="B584" r:id="rId578" xr:uid="{00000000-0004-0000-0000-000041020000}"/>
    <hyperlink ref="B585" r:id="rId579" xr:uid="{00000000-0004-0000-0000-000042020000}"/>
    <hyperlink ref="B586" r:id="rId580" xr:uid="{00000000-0004-0000-0000-000043020000}"/>
    <hyperlink ref="B587" r:id="rId581" xr:uid="{00000000-0004-0000-0000-000044020000}"/>
    <hyperlink ref="B588" r:id="rId582" xr:uid="{00000000-0004-0000-0000-000045020000}"/>
    <hyperlink ref="B589" r:id="rId583" xr:uid="{00000000-0004-0000-0000-000046020000}"/>
    <hyperlink ref="B590" r:id="rId584" xr:uid="{00000000-0004-0000-0000-000047020000}"/>
    <hyperlink ref="B591" r:id="rId585" xr:uid="{00000000-0004-0000-0000-000048020000}"/>
    <hyperlink ref="B592" r:id="rId586" xr:uid="{00000000-0004-0000-0000-000049020000}"/>
    <hyperlink ref="B593" r:id="rId587" xr:uid="{00000000-0004-0000-0000-00004A020000}"/>
    <hyperlink ref="B594" r:id="rId588" xr:uid="{00000000-0004-0000-0000-00004B020000}"/>
    <hyperlink ref="B595" r:id="rId589" xr:uid="{00000000-0004-0000-0000-00004C020000}"/>
    <hyperlink ref="B596" r:id="rId590" xr:uid="{00000000-0004-0000-0000-00004D020000}"/>
    <hyperlink ref="B597" r:id="rId591" xr:uid="{00000000-0004-0000-0000-00004E020000}"/>
    <hyperlink ref="B598" r:id="rId592" xr:uid="{00000000-0004-0000-0000-00004F020000}"/>
    <hyperlink ref="B599" r:id="rId593" xr:uid="{00000000-0004-0000-0000-000050020000}"/>
    <hyperlink ref="B600" r:id="rId594" xr:uid="{00000000-0004-0000-0000-000051020000}"/>
    <hyperlink ref="B601" r:id="rId595" xr:uid="{00000000-0004-0000-0000-000052020000}"/>
    <hyperlink ref="B602" r:id="rId596" xr:uid="{00000000-0004-0000-0000-000053020000}"/>
    <hyperlink ref="B603" r:id="rId597" xr:uid="{00000000-0004-0000-0000-000054020000}"/>
    <hyperlink ref="B604" r:id="rId598" xr:uid="{00000000-0004-0000-0000-000055020000}"/>
    <hyperlink ref="B605" r:id="rId599" xr:uid="{00000000-0004-0000-0000-000056020000}"/>
    <hyperlink ref="B606" r:id="rId600" xr:uid="{00000000-0004-0000-0000-000057020000}"/>
    <hyperlink ref="B607" r:id="rId601" xr:uid="{00000000-0004-0000-0000-000058020000}"/>
    <hyperlink ref="B608" r:id="rId602" xr:uid="{00000000-0004-0000-0000-000059020000}"/>
    <hyperlink ref="B609" r:id="rId603" xr:uid="{00000000-0004-0000-0000-00005A020000}"/>
    <hyperlink ref="B610" r:id="rId604" xr:uid="{00000000-0004-0000-0000-00005B020000}"/>
    <hyperlink ref="B611" r:id="rId605" xr:uid="{00000000-0004-0000-0000-00005C020000}"/>
    <hyperlink ref="B612" r:id="rId606" xr:uid="{00000000-0004-0000-0000-00005D020000}"/>
    <hyperlink ref="B613" r:id="rId607" xr:uid="{00000000-0004-0000-0000-00005E020000}"/>
    <hyperlink ref="B614" r:id="rId608" xr:uid="{00000000-0004-0000-0000-00005F020000}"/>
    <hyperlink ref="B615" r:id="rId609" xr:uid="{00000000-0004-0000-0000-000060020000}"/>
    <hyperlink ref="B616" r:id="rId610" xr:uid="{00000000-0004-0000-0000-000061020000}"/>
    <hyperlink ref="B617" r:id="rId611" xr:uid="{00000000-0004-0000-0000-000062020000}"/>
    <hyperlink ref="B618" r:id="rId612" xr:uid="{00000000-0004-0000-0000-000063020000}"/>
    <hyperlink ref="B619" r:id="rId613" xr:uid="{00000000-0004-0000-0000-000064020000}"/>
    <hyperlink ref="B620" r:id="rId614" xr:uid="{00000000-0004-0000-0000-000065020000}"/>
    <hyperlink ref="B621" r:id="rId615" xr:uid="{00000000-0004-0000-0000-000066020000}"/>
    <hyperlink ref="B622" r:id="rId616" xr:uid="{00000000-0004-0000-0000-000067020000}"/>
    <hyperlink ref="B623" r:id="rId617" xr:uid="{00000000-0004-0000-0000-000068020000}"/>
    <hyperlink ref="B624" r:id="rId618" xr:uid="{00000000-0004-0000-0000-000069020000}"/>
    <hyperlink ref="B625" r:id="rId619" xr:uid="{00000000-0004-0000-0000-00006A020000}"/>
    <hyperlink ref="B626" r:id="rId620" xr:uid="{00000000-0004-0000-0000-00006B020000}"/>
    <hyperlink ref="B627" r:id="rId621" xr:uid="{00000000-0004-0000-0000-00006C020000}"/>
    <hyperlink ref="B628" r:id="rId622" xr:uid="{00000000-0004-0000-0000-00006D020000}"/>
    <hyperlink ref="B629" r:id="rId623" xr:uid="{00000000-0004-0000-0000-00006E020000}"/>
    <hyperlink ref="B630" r:id="rId624" xr:uid="{00000000-0004-0000-0000-00006F020000}"/>
    <hyperlink ref="B631" r:id="rId625" xr:uid="{00000000-0004-0000-0000-000070020000}"/>
    <hyperlink ref="B632" r:id="rId626" xr:uid="{00000000-0004-0000-0000-000071020000}"/>
    <hyperlink ref="B633" r:id="rId627" xr:uid="{00000000-0004-0000-0000-000072020000}"/>
    <hyperlink ref="B634" r:id="rId628" xr:uid="{00000000-0004-0000-0000-000073020000}"/>
    <hyperlink ref="B635" r:id="rId629" xr:uid="{00000000-0004-0000-0000-000074020000}"/>
    <hyperlink ref="B636" r:id="rId630" xr:uid="{00000000-0004-0000-0000-000075020000}"/>
    <hyperlink ref="B637" r:id="rId631" xr:uid="{00000000-0004-0000-0000-000076020000}"/>
    <hyperlink ref="B638" r:id="rId632" xr:uid="{00000000-0004-0000-0000-000077020000}"/>
    <hyperlink ref="B639" r:id="rId633" xr:uid="{00000000-0004-0000-0000-000078020000}"/>
    <hyperlink ref="B640" r:id="rId634" xr:uid="{00000000-0004-0000-0000-000079020000}"/>
    <hyperlink ref="B641" r:id="rId635" xr:uid="{00000000-0004-0000-0000-00007A020000}"/>
    <hyperlink ref="B642" r:id="rId636" xr:uid="{00000000-0004-0000-0000-00007B020000}"/>
    <hyperlink ref="B643" r:id="rId637" xr:uid="{00000000-0004-0000-0000-00007C020000}"/>
    <hyperlink ref="B644" r:id="rId638" xr:uid="{00000000-0004-0000-0000-00007D020000}"/>
    <hyperlink ref="B645" r:id="rId639" xr:uid="{00000000-0004-0000-0000-00007E020000}"/>
    <hyperlink ref="B646" r:id="rId640" xr:uid="{00000000-0004-0000-0000-00007F020000}"/>
    <hyperlink ref="B647" r:id="rId641" xr:uid="{00000000-0004-0000-0000-000080020000}"/>
    <hyperlink ref="B648" r:id="rId642" xr:uid="{00000000-0004-0000-0000-000081020000}"/>
    <hyperlink ref="B649" r:id="rId643" xr:uid="{00000000-0004-0000-0000-000082020000}"/>
    <hyperlink ref="B650" r:id="rId644" xr:uid="{00000000-0004-0000-0000-000083020000}"/>
    <hyperlink ref="B651" r:id="rId645" xr:uid="{00000000-0004-0000-0000-000084020000}"/>
    <hyperlink ref="B652" r:id="rId646" xr:uid="{00000000-0004-0000-0000-000085020000}"/>
    <hyperlink ref="B653" r:id="rId647" xr:uid="{00000000-0004-0000-0000-000086020000}"/>
    <hyperlink ref="B654" r:id="rId648" xr:uid="{00000000-0004-0000-0000-000087020000}"/>
    <hyperlink ref="B655" r:id="rId649" xr:uid="{00000000-0004-0000-0000-000088020000}"/>
    <hyperlink ref="B656" r:id="rId650" xr:uid="{00000000-0004-0000-0000-000089020000}"/>
    <hyperlink ref="B657" r:id="rId651" xr:uid="{00000000-0004-0000-0000-00008A020000}"/>
    <hyperlink ref="B658" r:id="rId652" xr:uid="{00000000-0004-0000-0000-00008B020000}"/>
    <hyperlink ref="B659" r:id="rId653" xr:uid="{00000000-0004-0000-0000-00008C020000}"/>
    <hyperlink ref="B660" r:id="rId654" xr:uid="{00000000-0004-0000-0000-00008D020000}"/>
    <hyperlink ref="B661" r:id="rId655" xr:uid="{00000000-0004-0000-0000-00008E020000}"/>
    <hyperlink ref="B662" r:id="rId656" xr:uid="{00000000-0004-0000-0000-00008F020000}"/>
    <hyperlink ref="B663" r:id="rId657" xr:uid="{00000000-0004-0000-0000-000090020000}"/>
    <hyperlink ref="B664" r:id="rId658" xr:uid="{00000000-0004-0000-0000-000091020000}"/>
    <hyperlink ref="B665" r:id="rId659" xr:uid="{00000000-0004-0000-0000-000092020000}"/>
    <hyperlink ref="B666" r:id="rId660" xr:uid="{00000000-0004-0000-0000-000093020000}"/>
    <hyperlink ref="B667" r:id="rId661" xr:uid="{00000000-0004-0000-0000-000094020000}"/>
    <hyperlink ref="B668" r:id="rId662" xr:uid="{00000000-0004-0000-0000-000095020000}"/>
    <hyperlink ref="B669" r:id="rId663" xr:uid="{00000000-0004-0000-0000-000096020000}"/>
    <hyperlink ref="B670" r:id="rId664" xr:uid="{00000000-0004-0000-0000-000097020000}"/>
    <hyperlink ref="B671" r:id="rId665" xr:uid="{00000000-0004-0000-0000-000098020000}"/>
    <hyperlink ref="B672" r:id="rId666" xr:uid="{00000000-0004-0000-0000-000099020000}"/>
    <hyperlink ref="B673" r:id="rId667" xr:uid="{00000000-0004-0000-0000-00009A020000}"/>
    <hyperlink ref="B674" r:id="rId668" xr:uid="{00000000-0004-0000-0000-00009B020000}"/>
    <hyperlink ref="B675" r:id="rId669" xr:uid="{00000000-0004-0000-0000-00009C020000}"/>
    <hyperlink ref="B676" r:id="rId670" xr:uid="{00000000-0004-0000-0000-00009D020000}"/>
    <hyperlink ref="B677" r:id="rId671" xr:uid="{00000000-0004-0000-0000-00009E020000}"/>
    <hyperlink ref="B678" r:id="rId672" xr:uid="{00000000-0004-0000-0000-00009F020000}"/>
    <hyperlink ref="B679" r:id="rId673" xr:uid="{00000000-0004-0000-0000-0000A0020000}"/>
    <hyperlink ref="B680" r:id="rId674" xr:uid="{00000000-0004-0000-0000-0000A1020000}"/>
    <hyperlink ref="B681" r:id="rId675" xr:uid="{00000000-0004-0000-0000-0000A2020000}"/>
    <hyperlink ref="B682" r:id="rId676" xr:uid="{00000000-0004-0000-0000-0000A3020000}"/>
    <hyperlink ref="B683" r:id="rId677" xr:uid="{00000000-0004-0000-0000-0000A4020000}"/>
    <hyperlink ref="B684" r:id="rId678" xr:uid="{00000000-0004-0000-0000-0000A5020000}"/>
    <hyperlink ref="B685" r:id="rId679" xr:uid="{00000000-0004-0000-0000-0000A6020000}"/>
    <hyperlink ref="B686" r:id="rId680" xr:uid="{00000000-0004-0000-0000-0000A7020000}"/>
    <hyperlink ref="B687" r:id="rId681" xr:uid="{00000000-0004-0000-0000-0000A8020000}"/>
    <hyperlink ref="B688" r:id="rId682" xr:uid="{00000000-0004-0000-0000-0000A9020000}"/>
    <hyperlink ref="B689" r:id="rId683" xr:uid="{00000000-0004-0000-0000-0000AA020000}"/>
    <hyperlink ref="B690" r:id="rId684" xr:uid="{00000000-0004-0000-0000-0000AB020000}"/>
    <hyperlink ref="B691" r:id="rId685" xr:uid="{00000000-0004-0000-0000-0000AC020000}"/>
    <hyperlink ref="B692" r:id="rId686" xr:uid="{00000000-0004-0000-0000-0000AD020000}"/>
    <hyperlink ref="B693" r:id="rId687" xr:uid="{00000000-0004-0000-0000-0000AE020000}"/>
    <hyperlink ref="B694" r:id="rId688" xr:uid="{00000000-0004-0000-0000-0000AF020000}"/>
    <hyperlink ref="B695" r:id="rId689" xr:uid="{00000000-0004-0000-0000-0000B0020000}"/>
    <hyperlink ref="B696" r:id="rId690" xr:uid="{00000000-0004-0000-0000-0000B1020000}"/>
    <hyperlink ref="B697" r:id="rId691" xr:uid="{00000000-0004-0000-0000-0000B2020000}"/>
    <hyperlink ref="B698" r:id="rId692" xr:uid="{00000000-0004-0000-0000-0000B3020000}"/>
    <hyperlink ref="B699" r:id="rId693" xr:uid="{00000000-0004-0000-0000-0000B4020000}"/>
    <hyperlink ref="B700" r:id="rId694" xr:uid="{00000000-0004-0000-0000-0000B5020000}"/>
    <hyperlink ref="B701" r:id="rId695" xr:uid="{00000000-0004-0000-0000-0000B6020000}"/>
    <hyperlink ref="B702" r:id="rId696" xr:uid="{00000000-0004-0000-0000-0000B7020000}"/>
    <hyperlink ref="B703" r:id="rId697" xr:uid="{00000000-0004-0000-0000-0000B8020000}"/>
    <hyperlink ref="B704" r:id="rId698" xr:uid="{00000000-0004-0000-0000-0000B9020000}"/>
    <hyperlink ref="B705" r:id="rId699" xr:uid="{00000000-0004-0000-0000-0000BA020000}"/>
    <hyperlink ref="B706" r:id="rId700" xr:uid="{00000000-0004-0000-0000-0000BB020000}"/>
    <hyperlink ref="B707" r:id="rId701" xr:uid="{00000000-0004-0000-0000-0000BC020000}"/>
    <hyperlink ref="B708" r:id="rId702" xr:uid="{00000000-0004-0000-0000-0000BD020000}"/>
    <hyperlink ref="B709" r:id="rId703" xr:uid="{00000000-0004-0000-0000-0000BE020000}"/>
    <hyperlink ref="B710" r:id="rId704" xr:uid="{00000000-0004-0000-0000-0000BF020000}"/>
    <hyperlink ref="B711" r:id="rId705" xr:uid="{00000000-0004-0000-0000-0000C0020000}"/>
    <hyperlink ref="B712" r:id="rId706" xr:uid="{00000000-0004-0000-0000-0000C1020000}"/>
    <hyperlink ref="B713" r:id="rId707" xr:uid="{00000000-0004-0000-0000-0000C2020000}"/>
    <hyperlink ref="B714" r:id="rId708" xr:uid="{00000000-0004-0000-0000-0000C3020000}"/>
    <hyperlink ref="B715" r:id="rId709" xr:uid="{00000000-0004-0000-0000-0000C4020000}"/>
    <hyperlink ref="B716" r:id="rId710" xr:uid="{00000000-0004-0000-0000-0000C5020000}"/>
    <hyperlink ref="B717" r:id="rId711" xr:uid="{00000000-0004-0000-0000-0000C6020000}"/>
    <hyperlink ref="B718" r:id="rId712" xr:uid="{00000000-0004-0000-0000-0000C7020000}"/>
    <hyperlink ref="B719" r:id="rId713" xr:uid="{00000000-0004-0000-0000-0000C8020000}"/>
    <hyperlink ref="B720" r:id="rId714" xr:uid="{00000000-0004-0000-0000-0000C9020000}"/>
    <hyperlink ref="B721" r:id="rId715" xr:uid="{00000000-0004-0000-0000-0000CA020000}"/>
    <hyperlink ref="B722" r:id="rId716" xr:uid="{00000000-0004-0000-0000-0000CB020000}"/>
    <hyperlink ref="B723" r:id="rId717" xr:uid="{00000000-0004-0000-0000-0000CC020000}"/>
    <hyperlink ref="B724" r:id="rId718" xr:uid="{00000000-0004-0000-0000-0000CD020000}"/>
    <hyperlink ref="B725" r:id="rId719" xr:uid="{00000000-0004-0000-0000-0000CE020000}"/>
    <hyperlink ref="B726" r:id="rId720" xr:uid="{00000000-0004-0000-0000-0000CF020000}"/>
    <hyperlink ref="B727" r:id="rId721" xr:uid="{00000000-0004-0000-0000-0000D0020000}"/>
    <hyperlink ref="B728" r:id="rId722" xr:uid="{00000000-0004-0000-0000-0000D1020000}"/>
    <hyperlink ref="B729" r:id="rId723" xr:uid="{00000000-0004-0000-0000-0000D2020000}"/>
    <hyperlink ref="B730" r:id="rId724" xr:uid="{00000000-0004-0000-0000-0000D3020000}"/>
    <hyperlink ref="B731" r:id="rId725" xr:uid="{00000000-0004-0000-0000-0000D4020000}"/>
    <hyperlink ref="B732" r:id="rId726" xr:uid="{00000000-0004-0000-0000-0000D5020000}"/>
    <hyperlink ref="B733" r:id="rId727" xr:uid="{00000000-0004-0000-0000-0000D6020000}"/>
    <hyperlink ref="B734" r:id="rId728" xr:uid="{00000000-0004-0000-0000-0000D7020000}"/>
    <hyperlink ref="B735" r:id="rId729" xr:uid="{00000000-0004-0000-0000-0000D8020000}"/>
    <hyperlink ref="B736" r:id="rId730" xr:uid="{00000000-0004-0000-0000-0000D9020000}"/>
    <hyperlink ref="B737" r:id="rId731" xr:uid="{00000000-0004-0000-0000-0000DA020000}"/>
    <hyperlink ref="B738" r:id="rId732" xr:uid="{00000000-0004-0000-0000-0000DB020000}"/>
    <hyperlink ref="B739" r:id="rId733" xr:uid="{00000000-0004-0000-0000-0000DC020000}"/>
    <hyperlink ref="B740" r:id="rId734" xr:uid="{00000000-0004-0000-0000-0000DD020000}"/>
    <hyperlink ref="B741" r:id="rId735" xr:uid="{00000000-0004-0000-0000-0000DE020000}"/>
    <hyperlink ref="B742" r:id="rId736" xr:uid="{00000000-0004-0000-0000-0000DF020000}"/>
    <hyperlink ref="B743" r:id="rId737" xr:uid="{00000000-0004-0000-0000-0000E0020000}"/>
    <hyperlink ref="B744" r:id="rId738" xr:uid="{00000000-0004-0000-0000-0000E1020000}"/>
    <hyperlink ref="B745" r:id="rId739" xr:uid="{00000000-0004-0000-0000-0000E2020000}"/>
    <hyperlink ref="B746" r:id="rId740" xr:uid="{00000000-0004-0000-0000-0000E3020000}"/>
    <hyperlink ref="B747" r:id="rId741" xr:uid="{00000000-0004-0000-0000-0000E4020000}"/>
    <hyperlink ref="B748" r:id="rId742" xr:uid="{00000000-0004-0000-0000-0000E5020000}"/>
    <hyperlink ref="B749" r:id="rId743" xr:uid="{00000000-0004-0000-0000-0000E6020000}"/>
    <hyperlink ref="B750" r:id="rId744" xr:uid="{00000000-0004-0000-0000-0000E7020000}"/>
    <hyperlink ref="B751" r:id="rId745" xr:uid="{00000000-0004-0000-0000-0000E8020000}"/>
    <hyperlink ref="B752" r:id="rId746" xr:uid="{00000000-0004-0000-0000-0000E9020000}"/>
    <hyperlink ref="B753" r:id="rId747" xr:uid="{00000000-0004-0000-0000-0000EA020000}"/>
    <hyperlink ref="B754" r:id="rId748" xr:uid="{00000000-0004-0000-0000-0000EB020000}"/>
    <hyperlink ref="B755" r:id="rId749" xr:uid="{00000000-0004-0000-0000-0000EC020000}"/>
    <hyperlink ref="B756" r:id="rId750" xr:uid="{00000000-0004-0000-0000-0000ED020000}"/>
    <hyperlink ref="B757" r:id="rId751" xr:uid="{00000000-0004-0000-0000-0000EE020000}"/>
    <hyperlink ref="B758" r:id="rId752" xr:uid="{00000000-0004-0000-0000-0000EF020000}"/>
    <hyperlink ref="B759" r:id="rId753" xr:uid="{00000000-0004-0000-0000-0000F0020000}"/>
    <hyperlink ref="B760" r:id="rId754" xr:uid="{00000000-0004-0000-0000-0000F1020000}"/>
    <hyperlink ref="B761" r:id="rId755" xr:uid="{00000000-0004-0000-0000-0000F2020000}"/>
    <hyperlink ref="B762" r:id="rId756" xr:uid="{00000000-0004-0000-0000-0000F3020000}"/>
    <hyperlink ref="B763" r:id="rId757" xr:uid="{00000000-0004-0000-0000-0000F4020000}"/>
    <hyperlink ref="B764" r:id="rId758" xr:uid="{00000000-0004-0000-0000-0000F5020000}"/>
    <hyperlink ref="B765" r:id="rId759" xr:uid="{00000000-0004-0000-0000-0000F6020000}"/>
    <hyperlink ref="B766" r:id="rId760" xr:uid="{00000000-0004-0000-0000-0000F7020000}"/>
    <hyperlink ref="B767" r:id="rId761" xr:uid="{00000000-0004-0000-0000-0000F8020000}"/>
    <hyperlink ref="B768" r:id="rId762" xr:uid="{00000000-0004-0000-0000-0000F9020000}"/>
    <hyperlink ref="B769" r:id="rId763" xr:uid="{00000000-0004-0000-0000-0000FA020000}"/>
    <hyperlink ref="B770" r:id="rId764" xr:uid="{00000000-0004-0000-0000-0000FB020000}"/>
    <hyperlink ref="B771" r:id="rId765" xr:uid="{00000000-0004-0000-0000-0000FC020000}"/>
    <hyperlink ref="B772" r:id="rId766" xr:uid="{00000000-0004-0000-0000-0000FD020000}"/>
    <hyperlink ref="B773" r:id="rId767" xr:uid="{00000000-0004-0000-0000-0000FE020000}"/>
    <hyperlink ref="B774" r:id="rId768" xr:uid="{00000000-0004-0000-0000-0000FF020000}"/>
    <hyperlink ref="B775" r:id="rId769" xr:uid="{00000000-0004-0000-0000-000000030000}"/>
    <hyperlink ref="B776" r:id="rId770" xr:uid="{00000000-0004-0000-0000-000001030000}"/>
    <hyperlink ref="B777" r:id="rId771" xr:uid="{00000000-0004-0000-0000-000002030000}"/>
    <hyperlink ref="B778" r:id="rId772" xr:uid="{00000000-0004-0000-0000-000003030000}"/>
    <hyperlink ref="B779" r:id="rId773" xr:uid="{00000000-0004-0000-0000-000004030000}"/>
    <hyperlink ref="B780" r:id="rId774" xr:uid="{00000000-0004-0000-0000-000005030000}"/>
    <hyperlink ref="B781" r:id="rId775" xr:uid="{00000000-0004-0000-0000-000006030000}"/>
    <hyperlink ref="B782" r:id="rId776" xr:uid="{00000000-0004-0000-0000-000007030000}"/>
    <hyperlink ref="B783" r:id="rId777" xr:uid="{00000000-0004-0000-0000-000008030000}"/>
    <hyperlink ref="B784" r:id="rId778" xr:uid="{00000000-0004-0000-0000-000009030000}"/>
    <hyperlink ref="B785" r:id="rId779" xr:uid="{00000000-0004-0000-0000-00000A030000}"/>
    <hyperlink ref="B786" r:id="rId780" xr:uid="{00000000-0004-0000-0000-00000B030000}"/>
    <hyperlink ref="B787" r:id="rId781" xr:uid="{00000000-0004-0000-0000-00000C030000}"/>
    <hyperlink ref="B788" r:id="rId782" xr:uid="{00000000-0004-0000-0000-00000D030000}"/>
    <hyperlink ref="B789" r:id="rId783" xr:uid="{00000000-0004-0000-0000-00000E030000}"/>
    <hyperlink ref="B790" r:id="rId784" xr:uid="{00000000-0004-0000-0000-00000F030000}"/>
    <hyperlink ref="B791" r:id="rId785" xr:uid="{00000000-0004-0000-0000-000010030000}"/>
    <hyperlink ref="B792" r:id="rId786" xr:uid="{00000000-0004-0000-0000-000011030000}"/>
    <hyperlink ref="B793" r:id="rId787" xr:uid="{00000000-0004-0000-0000-000012030000}"/>
    <hyperlink ref="B794" r:id="rId788" xr:uid="{00000000-0004-0000-0000-000013030000}"/>
    <hyperlink ref="B795" r:id="rId789" xr:uid="{00000000-0004-0000-0000-000014030000}"/>
    <hyperlink ref="B796" r:id="rId790" xr:uid="{00000000-0004-0000-0000-000015030000}"/>
    <hyperlink ref="B797" r:id="rId791" xr:uid="{00000000-0004-0000-0000-000016030000}"/>
    <hyperlink ref="B798" r:id="rId792" xr:uid="{00000000-0004-0000-0000-000017030000}"/>
    <hyperlink ref="B799" r:id="rId793" xr:uid="{00000000-0004-0000-0000-000018030000}"/>
    <hyperlink ref="B800" r:id="rId794" xr:uid="{00000000-0004-0000-0000-000019030000}"/>
    <hyperlink ref="B801" r:id="rId795" xr:uid="{00000000-0004-0000-0000-00001A030000}"/>
    <hyperlink ref="B802" r:id="rId796" xr:uid="{00000000-0004-0000-0000-00001B030000}"/>
    <hyperlink ref="B803" r:id="rId797" xr:uid="{00000000-0004-0000-0000-00001C030000}"/>
    <hyperlink ref="B804" r:id="rId798" xr:uid="{00000000-0004-0000-0000-00001D030000}"/>
    <hyperlink ref="B805" r:id="rId799" xr:uid="{00000000-0004-0000-0000-00001E030000}"/>
    <hyperlink ref="B806" r:id="rId800" xr:uid="{00000000-0004-0000-0000-00001F030000}"/>
    <hyperlink ref="B807" r:id="rId801" xr:uid="{00000000-0004-0000-0000-000020030000}"/>
    <hyperlink ref="B808" r:id="rId802" xr:uid="{00000000-0004-0000-0000-000021030000}"/>
    <hyperlink ref="B809" r:id="rId803" xr:uid="{00000000-0004-0000-0000-000022030000}"/>
    <hyperlink ref="B810" r:id="rId804" xr:uid="{00000000-0004-0000-0000-000023030000}"/>
    <hyperlink ref="B811" r:id="rId805" xr:uid="{00000000-0004-0000-0000-000024030000}"/>
    <hyperlink ref="B812" r:id="rId806" xr:uid="{00000000-0004-0000-0000-000025030000}"/>
    <hyperlink ref="B813" r:id="rId807" xr:uid="{00000000-0004-0000-0000-000026030000}"/>
    <hyperlink ref="B814" r:id="rId808" xr:uid="{00000000-0004-0000-0000-000027030000}"/>
    <hyperlink ref="B815" r:id="rId809" xr:uid="{00000000-0004-0000-0000-000028030000}"/>
    <hyperlink ref="B816" r:id="rId810" xr:uid="{00000000-0004-0000-0000-000029030000}"/>
    <hyperlink ref="B817" r:id="rId811" xr:uid="{00000000-0004-0000-0000-00002A030000}"/>
    <hyperlink ref="B818" r:id="rId812" xr:uid="{00000000-0004-0000-0000-00002B030000}"/>
    <hyperlink ref="B819" r:id="rId813" xr:uid="{00000000-0004-0000-0000-00002C030000}"/>
    <hyperlink ref="B820" r:id="rId814" xr:uid="{00000000-0004-0000-0000-00002D030000}"/>
    <hyperlink ref="B821" r:id="rId815" xr:uid="{00000000-0004-0000-0000-00002E030000}"/>
    <hyperlink ref="B822" r:id="rId816" xr:uid="{00000000-0004-0000-0000-00002F030000}"/>
    <hyperlink ref="B823" r:id="rId817" xr:uid="{00000000-0004-0000-0000-000030030000}"/>
    <hyperlink ref="B824" r:id="rId818" xr:uid="{00000000-0004-0000-0000-000031030000}"/>
    <hyperlink ref="B825" r:id="rId819" xr:uid="{00000000-0004-0000-0000-000032030000}"/>
    <hyperlink ref="B826" r:id="rId820" xr:uid="{00000000-0004-0000-0000-000033030000}"/>
    <hyperlink ref="B827" r:id="rId821" xr:uid="{00000000-0004-0000-0000-000034030000}"/>
    <hyperlink ref="B828" r:id="rId822" xr:uid="{00000000-0004-0000-0000-000035030000}"/>
    <hyperlink ref="B829" r:id="rId823" xr:uid="{00000000-0004-0000-0000-000036030000}"/>
    <hyperlink ref="B830" r:id="rId824" xr:uid="{00000000-0004-0000-0000-000037030000}"/>
    <hyperlink ref="B831" r:id="rId825" xr:uid="{00000000-0004-0000-0000-000038030000}"/>
    <hyperlink ref="B832" r:id="rId826" xr:uid="{00000000-0004-0000-0000-000039030000}"/>
    <hyperlink ref="B833" r:id="rId827" xr:uid="{00000000-0004-0000-0000-00003A030000}"/>
    <hyperlink ref="B834" r:id="rId828" xr:uid="{00000000-0004-0000-0000-00003B030000}"/>
    <hyperlink ref="B835" r:id="rId829" xr:uid="{00000000-0004-0000-0000-00003C030000}"/>
    <hyperlink ref="B836" r:id="rId830" xr:uid="{00000000-0004-0000-0000-00003D030000}"/>
    <hyperlink ref="B837" r:id="rId831" xr:uid="{00000000-0004-0000-0000-00003E030000}"/>
    <hyperlink ref="B838" r:id="rId832" xr:uid="{00000000-0004-0000-0000-00003F030000}"/>
    <hyperlink ref="B839" r:id="rId833" xr:uid="{00000000-0004-0000-0000-000040030000}"/>
    <hyperlink ref="B840" r:id="rId834" xr:uid="{00000000-0004-0000-0000-000041030000}"/>
    <hyperlink ref="B841" r:id="rId835" xr:uid="{00000000-0004-0000-0000-000042030000}"/>
    <hyperlink ref="B842" r:id="rId836" xr:uid="{00000000-0004-0000-0000-000043030000}"/>
    <hyperlink ref="B843" r:id="rId837" xr:uid="{00000000-0004-0000-0000-000044030000}"/>
    <hyperlink ref="B844" r:id="rId838" xr:uid="{00000000-0004-0000-0000-000045030000}"/>
    <hyperlink ref="B845" r:id="rId839" xr:uid="{00000000-0004-0000-0000-000046030000}"/>
    <hyperlink ref="B846" r:id="rId840" xr:uid="{00000000-0004-0000-0000-000047030000}"/>
    <hyperlink ref="B847" r:id="rId841" xr:uid="{00000000-0004-0000-0000-000048030000}"/>
    <hyperlink ref="B848" r:id="rId842" xr:uid="{00000000-0004-0000-0000-000049030000}"/>
    <hyperlink ref="B849" r:id="rId843" xr:uid="{00000000-0004-0000-0000-00004A030000}"/>
    <hyperlink ref="B850" r:id="rId844" xr:uid="{00000000-0004-0000-0000-00004B030000}"/>
    <hyperlink ref="B851" r:id="rId845" xr:uid="{00000000-0004-0000-0000-00004C030000}"/>
    <hyperlink ref="B852" r:id="rId846" xr:uid="{00000000-0004-0000-0000-00004D030000}"/>
    <hyperlink ref="B853" r:id="rId847" xr:uid="{00000000-0004-0000-0000-00004E030000}"/>
    <hyperlink ref="B854" r:id="rId848" xr:uid="{00000000-0004-0000-0000-00004F030000}"/>
    <hyperlink ref="B855" r:id="rId849" xr:uid="{00000000-0004-0000-0000-000050030000}"/>
    <hyperlink ref="B856" r:id="rId850" xr:uid="{00000000-0004-0000-0000-000051030000}"/>
    <hyperlink ref="B857" r:id="rId851" xr:uid="{00000000-0004-0000-0000-000052030000}"/>
    <hyperlink ref="B858" r:id="rId852" xr:uid="{00000000-0004-0000-0000-000053030000}"/>
    <hyperlink ref="B859" r:id="rId853" xr:uid="{00000000-0004-0000-0000-000054030000}"/>
    <hyperlink ref="B860" r:id="rId854" xr:uid="{00000000-0004-0000-0000-000055030000}"/>
    <hyperlink ref="B861" r:id="rId855" xr:uid="{00000000-0004-0000-0000-000056030000}"/>
    <hyperlink ref="B862" r:id="rId856" xr:uid="{00000000-0004-0000-0000-000057030000}"/>
    <hyperlink ref="B863" r:id="rId857" xr:uid="{00000000-0004-0000-0000-000058030000}"/>
    <hyperlink ref="B864" r:id="rId858" xr:uid="{00000000-0004-0000-0000-000059030000}"/>
    <hyperlink ref="B865" r:id="rId859" xr:uid="{00000000-0004-0000-0000-00005A030000}"/>
    <hyperlink ref="B866" r:id="rId860" xr:uid="{00000000-0004-0000-0000-00005B030000}"/>
    <hyperlink ref="B867" r:id="rId861" xr:uid="{00000000-0004-0000-0000-00005C030000}"/>
    <hyperlink ref="B868" r:id="rId862" xr:uid="{00000000-0004-0000-0000-00005D030000}"/>
    <hyperlink ref="B869" r:id="rId863" xr:uid="{00000000-0004-0000-0000-00005E030000}"/>
    <hyperlink ref="B870" r:id="rId864" xr:uid="{00000000-0004-0000-0000-00005F030000}"/>
    <hyperlink ref="B871" r:id="rId865" xr:uid="{00000000-0004-0000-0000-000060030000}"/>
    <hyperlink ref="B872" r:id="rId866" xr:uid="{00000000-0004-0000-0000-000061030000}"/>
    <hyperlink ref="B873" r:id="rId867" xr:uid="{00000000-0004-0000-0000-000062030000}"/>
    <hyperlink ref="B874" r:id="rId868" xr:uid="{00000000-0004-0000-0000-000063030000}"/>
    <hyperlink ref="B875" r:id="rId869" xr:uid="{00000000-0004-0000-0000-000064030000}"/>
    <hyperlink ref="B876" r:id="rId870" xr:uid="{00000000-0004-0000-0000-000065030000}"/>
    <hyperlink ref="B877" r:id="rId871" xr:uid="{00000000-0004-0000-0000-000066030000}"/>
    <hyperlink ref="B878" r:id="rId872" xr:uid="{00000000-0004-0000-0000-000067030000}"/>
    <hyperlink ref="B879" r:id="rId873" xr:uid="{00000000-0004-0000-0000-000068030000}"/>
    <hyperlink ref="B880" r:id="rId874" xr:uid="{00000000-0004-0000-0000-000069030000}"/>
    <hyperlink ref="B881" r:id="rId875" xr:uid="{00000000-0004-0000-0000-00006A030000}"/>
    <hyperlink ref="B882" r:id="rId876" xr:uid="{00000000-0004-0000-0000-00006B030000}"/>
    <hyperlink ref="B883" r:id="rId877" xr:uid="{00000000-0004-0000-0000-00006C030000}"/>
    <hyperlink ref="B884" r:id="rId878" xr:uid="{00000000-0004-0000-0000-00006D030000}"/>
    <hyperlink ref="B885" r:id="rId879" xr:uid="{00000000-0004-0000-0000-00006E030000}"/>
    <hyperlink ref="B886" r:id="rId880" xr:uid="{00000000-0004-0000-0000-00006F030000}"/>
    <hyperlink ref="B887" r:id="rId881" xr:uid="{00000000-0004-0000-0000-000070030000}"/>
    <hyperlink ref="B888" r:id="rId882" xr:uid="{00000000-0004-0000-0000-000071030000}"/>
    <hyperlink ref="B889" r:id="rId883" xr:uid="{00000000-0004-0000-0000-000072030000}"/>
    <hyperlink ref="B890" r:id="rId884" xr:uid="{00000000-0004-0000-0000-000073030000}"/>
    <hyperlink ref="B891" r:id="rId885" xr:uid="{00000000-0004-0000-0000-000074030000}"/>
    <hyperlink ref="B892" r:id="rId886" xr:uid="{00000000-0004-0000-0000-000075030000}"/>
    <hyperlink ref="B893" r:id="rId887" xr:uid="{00000000-0004-0000-0000-000076030000}"/>
    <hyperlink ref="B894" r:id="rId888" xr:uid="{00000000-0004-0000-0000-000077030000}"/>
    <hyperlink ref="B895" r:id="rId889" xr:uid="{00000000-0004-0000-0000-000078030000}"/>
    <hyperlink ref="B896" r:id="rId890" xr:uid="{00000000-0004-0000-0000-000079030000}"/>
    <hyperlink ref="B897" r:id="rId891" xr:uid="{00000000-0004-0000-0000-00007A030000}"/>
    <hyperlink ref="B898" r:id="rId892" xr:uid="{00000000-0004-0000-0000-00007B030000}"/>
    <hyperlink ref="B899" r:id="rId893" xr:uid="{00000000-0004-0000-0000-00007C030000}"/>
    <hyperlink ref="B900" r:id="rId894" xr:uid="{00000000-0004-0000-0000-00007D030000}"/>
    <hyperlink ref="B901" r:id="rId895" xr:uid="{00000000-0004-0000-0000-00007E030000}"/>
    <hyperlink ref="B902" r:id="rId896" xr:uid="{00000000-0004-0000-0000-00007F030000}"/>
    <hyperlink ref="B903" r:id="rId897" xr:uid="{00000000-0004-0000-0000-000080030000}"/>
    <hyperlink ref="B904" r:id="rId898" xr:uid="{00000000-0004-0000-0000-000081030000}"/>
    <hyperlink ref="B905" r:id="rId899" xr:uid="{00000000-0004-0000-0000-000082030000}"/>
    <hyperlink ref="B906" r:id="rId900" xr:uid="{00000000-0004-0000-0000-000083030000}"/>
    <hyperlink ref="B907" r:id="rId901" xr:uid="{00000000-0004-0000-0000-000084030000}"/>
    <hyperlink ref="B908" r:id="rId902" xr:uid="{00000000-0004-0000-0000-000085030000}"/>
    <hyperlink ref="B909" r:id="rId903" xr:uid="{00000000-0004-0000-0000-000086030000}"/>
    <hyperlink ref="B910" r:id="rId904" xr:uid="{00000000-0004-0000-0000-000087030000}"/>
    <hyperlink ref="B911" r:id="rId905" xr:uid="{00000000-0004-0000-0000-000088030000}"/>
    <hyperlink ref="B912" r:id="rId906" xr:uid="{00000000-0004-0000-0000-000089030000}"/>
    <hyperlink ref="B913" r:id="rId907" xr:uid="{00000000-0004-0000-0000-00008A030000}"/>
    <hyperlink ref="B914" r:id="rId908" xr:uid="{00000000-0004-0000-0000-00008B030000}"/>
    <hyperlink ref="B915" r:id="rId909" xr:uid="{00000000-0004-0000-0000-00008C030000}"/>
    <hyperlink ref="B916" r:id="rId910" xr:uid="{00000000-0004-0000-0000-00008D030000}"/>
    <hyperlink ref="B917" r:id="rId911" xr:uid="{00000000-0004-0000-0000-00008E030000}"/>
    <hyperlink ref="B918" r:id="rId912" xr:uid="{00000000-0004-0000-0000-00008F030000}"/>
    <hyperlink ref="B919" r:id="rId913" xr:uid="{00000000-0004-0000-0000-000090030000}"/>
    <hyperlink ref="B920" r:id="rId914" xr:uid="{00000000-0004-0000-0000-000091030000}"/>
    <hyperlink ref="B921" r:id="rId915" xr:uid="{00000000-0004-0000-0000-000092030000}"/>
    <hyperlink ref="B922" r:id="rId916" xr:uid="{00000000-0004-0000-0000-000093030000}"/>
    <hyperlink ref="B923" r:id="rId917" xr:uid="{00000000-0004-0000-0000-000094030000}"/>
    <hyperlink ref="B924" r:id="rId918" xr:uid="{00000000-0004-0000-0000-000095030000}"/>
    <hyperlink ref="B925" r:id="rId919" xr:uid="{00000000-0004-0000-0000-000096030000}"/>
    <hyperlink ref="B926" r:id="rId920" xr:uid="{00000000-0004-0000-0000-000097030000}"/>
    <hyperlink ref="B927" r:id="rId921" xr:uid="{00000000-0004-0000-0000-000098030000}"/>
    <hyperlink ref="B928" r:id="rId922" xr:uid="{00000000-0004-0000-0000-000099030000}"/>
    <hyperlink ref="B929" r:id="rId923" xr:uid="{00000000-0004-0000-0000-00009A030000}"/>
    <hyperlink ref="B930" r:id="rId924" xr:uid="{00000000-0004-0000-0000-00009B030000}"/>
    <hyperlink ref="B931" r:id="rId925" xr:uid="{00000000-0004-0000-0000-00009C030000}"/>
    <hyperlink ref="B932" r:id="rId926" xr:uid="{00000000-0004-0000-0000-00009D030000}"/>
    <hyperlink ref="B933" r:id="rId927" xr:uid="{00000000-0004-0000-0000-00009E030000}"/>
    <hyperlink ref="B934" r:id="rId928" xr:uid="{00000000-0004-0000-0000-00009F030000}"/>
    <hyperlink ref="B935" r:id="rId929" xr:uid="{00000000-0004-0000-0000-0000A0030000}"/>
    <hyperlink ref="B936" r:id="rId930" xr:uid="{00000000-0004-0000-0000-0000A1030000}"/>
    <hyperlink ref="B937" r:id="rId931" xr:uid="{00000000-0004-0000-0000-0000A2030000}"/>
    <hyperlink ref="B938" r:id="rId932" xr:uid="{00000000-0004-0000-0000-0000A3030000}"/>
    <hyperlink ref="B939" r:id="rId933" xr:uid="{00000000-0004-0000-0000-0000A4030000}"/>
    <hyperlink ref="B940" r:id="rId934" xr:uid="{00000000-0004-0000-0000-0000A5030000}"/>
    <hyperlink ref="B941" r:id="rId935" xr:uid="{00000000-0004-0000-0000-0000A6030000}"/>
    <hyperlink ref="B942" r:id="rId936" xr:uid="{00000000-0004-0000-0000-0000A7030000}"/>
    <hyperlink ref="B943" r:id="rId937" xr:uid="{00000000-0004-0000-0000-0000A8030000}"/>
    <hyperlink ref="B944" r:id="rId938" xr:uid="{00000000-0004-0000-0000-0000A9030000}"/>
    <hyperlink ref="B945" r:id="rId939" xr:uid="{00000000-0004-0000-0000-0000AA030000}"/>
    <hyperlink ref="B946" r:id="rId940" xr:uid="{00000000-0004-0000-0000-0000AB030000}"/>
    <hyperlink ref="B947" r:id="rId941" xr:uid="{00000000-0004-0000-0000-0000AC030000}"/>
    <hyperlink ref="B948" r:id="rId942" xr:uid="{00000000-0004-0000-0000-0000AD030000}"/>
    <hyperlink ref="B949" r:id="rId943" xr:uid="{00000000-0004-0000-0000-0000AE030000}"/>
    <hyperlink ref="B950" r:id="rId944" xr:uid="{00000000-0004-0000-0000-0000AF030000}"/>
    <hyperlink ref="B951" r:id="rId945" xr:uid="{00000000-0004-0000-0000-0000B0030000}"/>
    <hyperlink ref="B952" r:id="rId946" xr:uid="{00000000-0004-0000-0000-0000B1030000}"/>
    <hyperlink ref="B953" r:id="rId947" xr:uid="{00000000-0004-0000-0000-0000B2030000}"/>
    <hyperlink ref="B954" r:id="rId948" xr:uid="{00000000-0004-0000-0000-0000B3030000}"/>
    <hyperlink ref="B955" r:id="rId949" xr:uid="{00000000-0004-0000-0000-0000B4030000}"/>
    <hyperlink ref="B956" r:id="rId950" xr:uid="{00000000-0004-0000-0000-0000B5030000}"/>
    <hyperlink ref="B957" r:id="rId951" xr:uid="{00000000-0004-0000-0000-0000B6030000}"/>
    <hyperlink ref="B958" r:id="rId952" xr:uid="{00000000-0004-0000-0000-0000B7030000}"/>
    <hyperlink ref="B959" r:id="rId953" xr:uid="{00000000-0004-0000-0000-0000B8030000}"/>
    <hyperlink ref="B960" r:id="rId954" xr:uid="{00000000-0004-0000-0000-0000B9030000}"/>
    <hyperlink ref="B961" r:id="rId955" xr:uid="{00000000-0004-0000-0000-0000BA030000}"/>
    <hyperlink ref="B962" r:id="rId956" xr:uid="{00000000-0004-0000-0000-0000BB030000}"/>
    <hyperlink ref="B963" r:id="rId957" xr:uid="{00000000-0004-0000-0000-0000BC030000}"/>
    <hyperlink ref="B964" r:id="rId958" xr:uid="{00000000-0004-0000-0000-0000BD030000}"/>
    <hyperlink ref="B965" r:id="rId959" xr:uid="{00000000-0004-0000-0000-0000BE030000}"/>
    <hyperlink ref="B966" r:id="rId960" xr:uid="{00000000-0004-0000-0000-0000BF030000}"/>
    <hyperlink ref="B967" r:id="rId961" xr:uid="{00000000-0004-0000-0000-0000C0030000}"/>
    <hyperlink ref="B968" r:id="rId962" xr:uid="{00000000-0004-0000-0000-0000C1030000}"/>
    <hyperlink ref="B969" r:id="rId963" xr:uid="{00000000-0004-0000-0000-0000C2030000}"/>
    <hyperlink ref="B970" r:id="rId964" xr:uid="{00000000-0004-0000-0000-0000C3030000}"/>
    <hyperlink ref="B971" r:id="rId965" xr:uid="{00000000-0004-0000-0000-0000C4030000}"/>
    <hyperlink ref="B972" r:id="rId966" xr:uid="{00000000-0004-0000-0000-0000C5030000}"/>
    <hyperlink ref="B973" r:id="rId967" xr:uid="{00000000-0004-0000-0000-0000C6030000}"/>
    <hyperlink ref="B974" r:id="rId968" xr:uid="{00000000-0004-0000-0000-0000C7030000}"/>
    <hyperlink ref="B975" r:id="rId969" xr:uid="{00000000-0004-0000-0000-0000C8030000}"/>
    <hyperlink ref="B976" r:id="rId970" xr:uid="{00000000-0004-0000-0000-0000C9030000}"/>
    <hyperlink ref="B977" r:id="rId971" xr:uid="{00000000-0004-0000-0000-0000CA030000}"/>
    <hyperlink ref="B978" r:id="rId972" xr:uid="{00000000-0004-0000-0000-0000CB030000}"/>
    <hyperlink ref="B979" r:id="rId973" xr:uid="{00000000-0004-0000-0000-0000CC030000}"/>
    <hyperlink ref="B980" r:id="rId974" xr:uid="{00000000-0004-0000-0000-0000CD030000}"/>
    <hyperlink ref="B981" r:id="rId975" xr:uid="{00000000-0004-0000-0000-0000CE030000}"/>
    <hyperlink ref="B982" r:id="rId976" xr:uid="{00000000-0004-0000-0000-0000CF030000}"/>
    <hyperlink ref="B983" r:id="rId977" xr:uid="{00000000-0004-0000-0000-0000D0030000}"/>
    <hyperlink ref="B984" r:id="rId978" xr:uid="{00000000-0004-0000-0000-0000D1030000}"/>
    <hyperlink ref="B985" r:id="rId979" xr:uid="{00000000-0004-0000-0000-0000D2030000}"/>
    <hyperlink ref="B986" r:id="rId980" xr:uid="{00000000-0004-0000-0000-0000D3030000}"/>
    <hyperlink ref="B987" r:id="rId981" xr:uid="{00000000-0004-0000-0000-0000D4030000}"/>
    <hyperlink ref="B988" r:id="rId982" xr:uid="{00000000-0004-0000-0000-0000D5030000}"/>
    <hyperlink ref="B989" r:id="rId983" xr:uid="{00000000-0004-0000-0000-0000D6030000}"/>
    <hyperlink ref="B990" r:id="rId984" xr:uid="{00000000-0004-0000-0000-0000D7030000}"/>
    <hyperlink ref="B991" r:id="rId985" xr:uid="{00000000-0004-0000-0000-0000D8030000}"/>
    <hyperlink ref="B992" r:id="rId986" xr:uid="{00000000-0004-0000-0000-0000D9030000}"/>
    <hyperlink ref="B993" r:id="rId987" xr:uid="{00000000-0004-0000-0000-0000DA030000}"/>
    <hyperlink ref="B994" r:id="rId988" xr:uid="{00000000-0004-0000-0000-0000DB030000}"/>
    <hyperlink ref="B995" r:id="rId989" xr:uid="{00000000-0004-0000-0000-0000DC030000}"/>
    <hyperlink ref="B996" r:id="rId990" xr:uid="{00000000-0004-0000-0000-0000DD030000}"/>
    <hyperlink ref="B997" r:id="rId991" xr:uid="{00000000-0004-0000-0000-0000DE030000}"/>
    <hyperlink ref="B998" r:id="rId992" xr:uid="{00000000-0004-0000-0000-0000DF030000}"/>
    <hyperlink ref="B999" r:id="rId993" xr:uid="{00000000-0004-0000-0000-0000E0030000}"/>
    <hyperlink ref="B1000" r:id="rId994" xr:uid="{00000000-0004-0000-0000-0000E1030000}"/>
    <hyperlink ref="B1001" r:id="rId995" xr:uid="{00000000-0004-0000-0000-0000E2030000}"/>
    <hyperlink ref="B1002" r:id="rId996" xr:uid="{00000000-0004-0000-0000-0000E3030000}"/>
    <hyperlink ref="B1003" r:id="rId997" xr:uid="{00000000-0004-0000-0000-0000E4030000}"/>
    <hyperlink ref="B1004" r:id="rId998" xr:uid="{00000000-0004-0000-0000-0000E5030000}"/>
    <hyperlink ref="B1005" r:id="rId999" xr:uid="{00000000-0004-0000-0000-0000E6030000}"/>
    <hyperlink ref="B1006" r:id="rId1000" xr:uid="{00000000-0004-0000-0000-0000E7030000}"/>
    <hyperlink ref="B1007" r:id="rId1001" xr:uid="{00000000-0004-0000-0000-0000E8030000}"/>
    <hyperlink ref="B1008" r:id="rId1002" xr:uid="{00000000-0004-0000-0000-0000E9030000}"/>
    <hyperlink ref="B1009" r:id="rId1003" xr:uid="{00000000-0004-0000-0000-0000EA030000}"/>
    <hyperlink ref="B1010" r:id="rId1004" xr:uid="{00000000-0004-0000-0000-0000EB030000}"/>
    <hyperlink ref="B1011" r:id="rId1005" xr:uid="{00000000-0004-0000-0000-0000EC030000}"/>
    <hyperlink ref="B1012" r:id="rId1006" xr:uid="{00000000-0004-0000-0000-0000ED030000}"/>
    <hyperlink ref="B1013" r:id="rId1007" xr:uid="{00000000-0004-0000-0000-0000EE030000}"/>
    <hyperlink ref="B1014" r:id="rId1008" xr:uid="{00000000-0004-0000-0000-0000EF030000}"/>
    <hyperlink ref="B1015" r:id="rId1009" xr:uid="{00000000-0004-0000-0000-0000F0030000}"/>
    <hyperlink ref="B1016" r:id="rId1010" xr:uid="{00000000-0004-0000-0000-0000F1030000}"/>
    <hyperlink ref="B1017" r:id="rId1011" xr:uid="{00000000-0004-0000-0000-0000F2030000}"/>
    <hyperlink ref="B1018" r:id="rId1012" xr:uid="{00000000-0004-0000-0000-0000F3030000}"/>
    <hyperlink ref="B1019" r:id="rId1013" xr:uid="{00000000-0004-0000-0000-0000F4030000}"/>
    <hyperlink ref="B1020" r:id="rId1014" xr:uid="{00000000-0004-0000-0000-0000F5030000}"/>
    <hyperlink ref="B1021" r:id="rId1015" xr:uid="{00000000-0004-0000-0000-0000F6030000}"/>
    <hyperlink ref="B1022" r:id="rId1016" xr:uid="{00000000-0004-0000-0000-0000F7030000}"/>
    <hyperlink ref="B1023" r:id="rId1017" xr:uid="{00000000-0004-0000-0000-0000F8030000}"/>
    <hyperlink ref="B1024" r:id="rId1018" xr:uid="{00000000-0004-0000-0000-0000F9030000}"/>
    <hyperlink ref="B1025" r:id="rId1019" xr:uid="{00000000-0004-0000-0000-0000FA030000}"/>
    <hyperlink ref="B1026" r:id="rId1020" xr:uid="{00000000-0004-0000-0000-0000FB030000}"/>
    <hyperlink ref="B1027" r:id="rId1021" xr:uid="{00000000-0004-0000-0000-0000FC030000}"/>
    <hyperlink ref="B1028" r:id="rId1022" xr:uid="{00000000-0004-0000-0000-0000FD030000}"/>
    <hyperlink ref="B1029" r:id="rId1023" xr:uid="{00000000-0004-0000-0000-0000FE030000}"/>
    <hyperlink ref="B1030" r:id="rId1024" xr:uid="{00000000-0004-0000-0000-0000FF030000}"/>
    <hyperlink ref="B1031" r:id="rId1025" xr:uid="{00000000-0004-0000-0000-000000040000}"/>
    <hyperlink ref="B1032" r:id="rId1026" xr:uid="{00000000-0004-0000-0000-000001040000}"/>
    <hyperlink ref="B1033" r:id="rId1027" xr:uid="{00000000-0004-0000-0000-000002040000}"/>
    <hyperlink ref="B1034" r:id="rId1028" xr:uid="{00000000-0004-0000-0000-000003040000}"/>
    <hyperlink ref="B1035" r:id="rId1029" xr:uid="{00000000-0004-0000-0000-000004040000}"/>
    <hyperlink ref="B1036" r:id="rId1030" xr:uid="{00000000-0004-0000-0000-000005040000}"/>
    <hyperlink ref="B1037" r:id="rId1031" xr:uid="{00000000-0004-0000-0000-000006040000}"/>
    <hyperlink ref="B1038" r:id="rId1032" xr:uid="{00000000-0004-0000-0000-000007040000}"/>
    <hyperlink ref="B1039" r:id="rId1033" xr:uid="{00000000-0004-0000-0000-000008040000}"/>
    <hyperlink ref="B1040" r:id="rId1034" xr:uid="{00000000-0004-0000-0000-000009040000}"/>
    <hyperlink ref="B1041" r:id="rId1035" xr:uid="{00000000-0004-0000-0000-00000A040000}"/>
    <hyperlink ref="B1042" r:id="rId1036" xr:uid="{00000000-0004-0000-0000-00000B040000}"/>
    <hyperlink ref="B1043" r:id="rId1037" xr:uid="{00000000-0004-0000-0000-00000C040000}"/>
    <hyperlink ref="B1044" r:id="rId1038" xr:uid="{00000000-0004-0000-0000-00000D040000}"/>
    <hyperlink ref="B1045" r:id="rId1039" xr:uid="{00000000-0004-0000-0000-00000E040000}"/>
    <hyperlink ref="B1046" r:id="rId1040" xr:uid="{00000000-0004-0000-0000-00000F040000}"/>
    <hyperlink ref="B1047" r:id="rId1041" xr:uid="{00000000-0004-0000-0000-000010040000}"/>
    <hyperlink ref="B1048" r:id="rId1042" xr:uid="{00000000-0004-0000-0000-000011040000}"/>
    <hyperlink ref="B1049" r:id="rId1043" xr:uid="{00000000-0004-0000-0000-000012040000}"/>
    <hyperlink ref="B1050" r:id="rId1044" xr:uid="{00000000-0004-0000-0000-000013040000}"/>
    <hyperlink ref="B1051" r:id="rId1045" xr:uid="{00000000-0004-0000-0000-000014040000}"/>
    <hyperlink ref="B1052" r:id="rId1046" xr:uid="{00000000-0004-0000-0000-000015040000}"/>
    <hyperlink ref="B1053" r:id="rId1047" xr:uid="{00000000-0004-0000-0000-000016040000}"/>
    <hyperlink ref="B1054" r:id="rId1048" xr:uid="{00000000-0004-0000-0000-000017040000}"/>
    <hyperlink ref="B1055" r:id="rId1049" xr:uid="{00000000-0004-0000-0000-000018040000}"/>
    <hyperlink ref="B1056" r:id="rId1050" xr:uid="{00000000-0004-0000-0000-000019040000}"/>
    <hyperlink ref="B1057" r:id="rId1051" xr:uid="{00000000-0004-0000-0000-00001A040000}"/>
    <hyperlink ref="B1058" r:id="rId1052" xr:uid="{00000000-0004-0000-0000-00001B040000}"/>
    <hyperlink ref="B1059" r:id="rId1053" xr:uid="{00000000-0004-0000-0000-00001C040000}"/>
    <hyperlink ref="B1060" r:id="rId1054" xr:uid="{00000000-0004-0000-0000-00001D040000}"/>
    <hyperlink ref="B1061" r:id="rId1055" xr:uid="{00000000-0004-0000-0000-00001E040000}"/>
    <hyperlink ref="B1062" r:id="rId1056" xr:uid="{00000000-0004-0000-0000-00001F040000}"/>
    <hyperlink ref="B1063" r:id="rId1057" xr:uid="{00000000-0004-0000-0000-000020040000}"/>
    <hyperlink ref="B1064" r:id="rId1058" xr:uid="{00000000-0004-0000-0000-000021040000}"/>
    <hyperlink ref="B1065" r:id="rId1059" xr:uid="{00000000-0004-0000-0000-000022040000}"/>
    <hyperlink ref="B1066" r:id="rId1060" xr:uid="{00000000-0004-0000-0000-000023040000}"/>
    <hyperlink ref="B1067" r:id="rId1061" xr:uid="{00000000-0004-0000-0000-000024040000}"/>
    <hyperlink ref="B1068" r:id="rId1062" xr:uid="{00000000-0004-0000-0000-000025040000}"/>
    <hyperlink ref="B1069" r:id="rId1063" xr:uid="{00000000-0004-0000-0000-000026040000}"/>
    <hyperlink ref="B1070" r:id="rId1064" xr:uid="{00000000-0004-0000-0000-000027040000}"/>
    <hyperlink ref="B1071" r:id="rId1065" xr:uid="{00000000-0004-0000-0000-000028040000}"/>
    <hyperlink ref="B1072" r:id="rId1066" xr:uid="{00000000-0004-0000-0000-000029040000}"/>
    <hyperlink ref="B1073" r:id="rId1067" xr:uid="{00000000-0004-0000-0000-00002A040000}"/>
    <hyperlink ref="B1074" r:id="rId1068" xr:uid="{00000000-0004-0000-0000-00002B040000}"/>
    <hyperlink ref="B1075" r:id="rId1069" xr:uid="{00000000-0004-0000-0000-00002C040000}"/>
    <hyperlink ref="B1076" r:id="rId1070" xr:uid="{00000000-0004-0000-0000-00002D040000}"/>
    <hyperlink ref="B1077" r:id="rId1071" xr:uid="{00000000-0004-0000-0000-00002E040000}"/>
    <hyperlink ref="B1078" r:id="rId1072" xr:uid="{00000000-0004-0000-0000-00002F040000}"/>
    <hyperlink ref="B1079" r:id="rId1073" xr:uid="{00000000-0004-0000-0000-000030040000}"/>
    <hyperlink ref="B1080" r:id="rId1074" xr:uid="{00000000-0004-0000-0000-000031040000}"/>
    <hyperlink ref="B1081" r:id="rId1075" xr:uid="{00000000-0004-0000-0000-000032040000}"/>
    <hyperlink ref="B1082" r:id="rId1076" xr:uid="{00000000-0004-0000-0000-000033040000}"/>
    <hyperlink ref="B1083" r:id="rId1077" xr:uid="{00000000-0004-0000-0000-000034040000}"/>
    <hyperlink ref="B1084" r:id="rId1078" xr:uid="{00000000-0004-0000-0000-000035040000}"/>
    <hyperlink ref="B1085" r:id="rId1079" xr:uid="{00000000-0004-0000-0000-000036040000}"/>
    <hyperlink ref="B1086" r:id="rId1080" xr:uid="{00000000-0004-0000-0000-000037040000}"/>
    <hyperlink ref="B1087" r:id="rId1081" xr:uid="{00000000-0004-0000-0000-000038040000}"/>
    <hyperlink ref="B1088" r:id="rId1082" xr:uid="{00000000-0004-0000-0000-000039040000}"/>
    <hyperlink ref="B1089" r:id="rId1083" xr:uid="{00000000-0004-0000-0000-00003A040000}"/>
    <hyperlink ref="B1090" r:id="rId1084" xr:uid="{00000000-0004-0000-0000-00003B040000}"/>
    <hyperlink ref="B1091" r:id="rId1085" xr:uid="{00000000-0004-0000-0000-00003C040000}"/>
    <hyperlink ref="B1092" r:id="rId1086" xr:uid="{00000000-0004-0000-0000-00003D040000}"/>
    <hyperlink ref="B1093" r:id="rId1087" xr:uid="{00000000-0004-0000-0000-00003E040000}"/>
    <hyperlink ref="B1094" r:id="rId1088" xr:uid="{00000000-0004-0000-0000-00003F040000}"/>
    <hyperlink ref="B1095" r:id="rId1089" xr:uid="{00000000-0004-0000-0000-000040040000}"/>
    <hyperlink ref="B1096" r:id="rId1090" xr:uid="{00000000-0004-0000-0000-000041040000}"/>
    <hyperlink ref="B1097" r:id="rId1091" xr:uid="{00000000-0004-0000-0000-000042040000}"/>
    <hyperlink ref="B1098" r:id="rId1092" xr:uid="{00000000-0004-0000-0000-000043040000}"/>
    <hyperlink ref="B1099" r:id="rId1093" xr:uid="{00000000-0004-0000-0000-000044040000}"/>
    <hyperlink ref="B1100" r:id="rId1094" xr:uid="{00000000-0004-0000-0000-000045040000}"/>
    <hyperlink ref="B1101" r:id="rId1095" xr:uid="{00000000-0004-0000-0000-000046040000}"/>
    <hyperlink ref="B1102" r:id="rId1096" xr:uid="{00000000-0004-0000-0000-000047040000}"/>
    <hyperlink ref="B1103" r:id="rId1097" xr:uid="{00000000-0004-0000-0000-000048040000}"/>
    <hyperlink ref="B1104" r:id="rId1098" xr:uid="{00000000-0004-0000-0000-000049040000}"/>
    <hyperlink ref="B1105" r:id="rId1099" xr:uid="{00000000-0004-0000-0000-00004A040000}"/>
    <hyperlink ref="B1106" r:id="rId1100" xr:uid="{00000000-0004-0000-0000-00004B040000}"/>
    <hyperlink ref="B1107" r:id="rId1101" xr:uid="{00000000-0004-0000-0000-00004C040000}"/>
    <hyperlink ref="B1108" r:id="rId1102" xr:uid="{00000000-0004-0000-0000-00004D040000}"/>
    <hyperlink ref="B1109" r:id="rId1103" xr:uid="{00000000-0004-0000-0000-00004E040000}"/>
    <hyperlink ref="B1110" r:id="rId1104" xr:uid="{00000000-0004-0000-0000-00004F040000}"/>
    <hyperlink ref="B1111" r:id="rId1105" xr:uid="{00000000-0004-0000-0000-000050040000}"/>
    <hyperlink ref="B1112" r:id="rId1106" xr:uid="{00000000-0004-0000-0000-000051040000}"/>
    <hyperlink ref="B1113" r:id="rId1107" xr:uid="{00000000-0004-0000-0000-000052040000}"/>
    <hyperlink ref="B1114" r:id="rId1108" xr:uid="{00000000-0004-0000-0000-000053040000}"/>
    <hyperlink ref="B1115" r:id="rId1109" xr:uid="{00000000-0004-0000-0000-000054040000}"/>
    <hyperlink ref="B1116" r:id="rId1110" xr:uid="{00000000-0004-0000-0000-000055040000}"/>
    <hyperlink ref="B1117" r:id="rId1111" xr:uid="{00000000-0004-0000-0000-000056040000}"/>
    <hyperlink ref="B1118" r:id="rId1112" xr:uid="{00000000-0004-0000-0000-000057040000}"/>
    <hyperlink ref="B1119" r:id="rId1113" xr:uid="{00000000-0004-0000-0000-000058040000}"/>
    <hyperlink ref="B1120" r:id="rId1114" xr:uid="{00000000-0004-0000-0000-000059040000}"/>
    <hyperlink ref="B1121" r:id="rId1115" xr:uid="{00000000-0004-0000-0000-00005A040000}"/>
    <hyperlink ref="B1122" r:id="rId1116" xr:uid="{00000000-0004-0000-0000-00005B040000}"/>
    <hyperlink ref="B1123" r:id="rId1117" xr:uid="{00000000-0004-0000-0000-00005C040000}"/>
    <hyperlink ref="B1124" r:id="rId1118" xr:uid="{00000000-0004-0000-0000-00005D040000}"/>
    <hyperlink ref="B1125" r:id="rId1119" xr:uid="{00000000-0004-0000-0000-00005E040000}"/>
    <hyperlink ref="B1126" r:id="rId1120" xr:uid="{00000000-0004-0000-0000-00005F040000}"/>
    <hyperlink ref="B1127" r:id="rId1121" xr:uid="{00000000-0004-0000-0000-000060040000}"/>
    <hyperlink ref="B1128" r:id="rId1122" xr:uid="{00000000-0004-0000-0000-000061040000}"/>
    <hyperlink ref="B1129" r:id="rId1123" xr:uid="{00000000-0004-0000-0000-000062040000}"/>
    <hyperlink ref="B1130" r:id="rId1124" xr:uid="{00000000-0004-0000-0000-000063040000}"/>
    <hyperlink ref="B1131" r:id="rId1125" xr:uid="{00000000-0004-0000-0000-000064040000}"/>
    <hyperlink ref="B1132" r:id="rId1126" xr:uid="{00000000-0004-0000-0000-000065040000}"/>
    <hyperlink ref="B1133" r:id="rId1127" xr:uid="{00000000-0004-0000-0000-000066040000}"/>
    <hyperlink ref="B1134" r:id="rId1128" xr:uid="{00000000-0004-0000-0000-000067040000}"/>
    <hyperlink ref="B1135" r:id="rId1129" xr:uid="{00000000-0004-0000-0000-000068040000}"/>
    <hyperlink ref="B1136" r:id="rId1130" xr:uid="{00000000-0004-0000-0000-000069040000}"/>
    <hyperlink ref="B1137" r:id="rId1131" xr:uid="{00000000-0004-0000-0000-00006A040000}"/>
    <hyperlink ref="B1138" r:id="rId1132" xr:uid="{00000000-0004-0000-0000-00006B040000}"/>
    <hyperlink ref="B1139" r:id="rId1133" xr:uid="{00000000-0004-0000-0000-00006C040000}"/>
    <hyperlink ref="B1140" r:id="rId1134" xr:uid="{00000000-0004-0000-0000-00006D040000}"/>
    <hyperlink ref="B1141" r:id="rId1135" xr:uid="{00000000-0004-0000-0000-00006E040000}"/>
    <hyperlink ref="B1142" r:id="rId1136" xr:uid="{00000000-0004-0000-0000-00006F040000}"/>
    <hyperlink ref="B1143" r:id="rId1137" xr:uid="{00000000-0004-0000-0000-000070040000}"/>
    <hyperlink ref="B1144" r:id="rId1138" xr:uid="{00000000-0004-0000-0000-000071040000}"/>
    <hyperlink ref="B1145" r:id="rId1139" xr:uid="{00000000-0004-0000-0000-000072040000}"/>
    <hyperlink ref="B1146" r:id="rId1140" xr:uid="{00000000-0004-0000-0000-000073040000}"/>
    <hyperlink ref="B1147" r:id="rId1141" xr:uid="{00000000-0004-0000-0000-000074040000}"/>
    <hyperlink ref="B1148" r:id="rId1142" xr:uid="{00000000-0004-0000-0000-000075040000}"/>
    <hyperlink ref="B1149" r:id="rId1143" xr:uid="{00000000-0004-0000-0000-000076040000}"/>
    <hyperlink ref="B1150" r:id="rId1144" xr:uid="{00000000-0004-0000-0000-000077040000}"/>
    <hyperlink ref="B1151" r:id="rId1145" xr:uid="{00000000-0004-0000-0000-000078040000}"/>
    <hyperlink ref="B1152" r:id="rId1146" xr:uid="{00000000-0004-0000-0000-000079040000}"/>
    <hyperlink ref="B1153" r:id="rId1147" xr:uid="{00000000-0004-0000-0000-00007A040000}"/>
    <hyperlink ref="B1154" r:id="rId1148" xr:uid="{00000000-0004-0000-0000-00007B040000}"/>
    <hyperlink ref="B1155" r:id="rId1149" xr:uid="{00000000-0004-0000-0000-00007C040000}"/>
    <hyperlink ref="B1156" r:id="rId1150" xr:uid="{00000000-0004-0000-0000-00007D040000}"/>
    <hyperlink ref="B1157" r:id="rId1151" xr:uid="{00000000-0004-0000-0000-00007E040000}"/>
    <hyperlink ref="B1158" r:id="rId1152" xr:uid="{00000000-0004-0000-0000-00007F040000}"/>
    <hyperlink ref="B1159" r:id="rId1153" xr:uid="{00000000-0004-0000-0000-000080040000}"/>
    <hyperlink ref="B1160" r:id="rId1154" xr:uid="{00000000-0004-0000-0000-000081040000}"/>
    <hyperlink ref="B1161" r:id="rId1155" xr:uid="{00000000-0004-0000-0000-000082040000}"/>
    <hyperlink ref="B1162" r:id="rId1156" xr:uid="{00000000-0004-0000-0000-000083040000}"/>
    <hyperlink ref="B1163" r:id="rId1157" xr:uid="{00000000-0004-0000-0000-000084040000}"/>
    <hyperlink ref="B1164" r:id="rId1158" xr:uid="{00000000-0004-0000-0000-000085040000}"/>
    <hyperlink ref="B1165" r:id="rId1159" xr:uid="{00000000-0004-0000-0000-000086040000}"/>
    <hyperlink ref="B1166" r:id="rId1160" xr:uid="{00000000-0004-0000-0000-000087040000}"/>
    <hyperlink ref="B1167" r:id="rId1161" xr:uid="{00000000-0004-0000-0000-000088040000}"/>
    <hyperlink ref="B1168" r:id="rId1162" xr:uid="{00000000-0004-0000-0000-000089040000}"/>
    <hyperlink ref="B1169" r:id="rId1163" xr:uid="{00000000-0004-0000-0000-00008A040000}"/>
    <hyperlink ref="B1170" r:id="rId1164" xr:uid="{00000000-0004-0000-0000-00008B040000}"/>
    <hyperlink ref="B1171" r:id="rId1165" xr:uid="{00000000-0004-0000-0000-00008C040000}"/>
    <hyperlink ref="B1172" r:id="rId1166" xr:uid="{00000000-0004-0000-0000-00008D040000}"/>
    <hyperlink ref="B1173" r:id="rId1167" xr:uid="{00000000-0004-0000-0000-00008E040000}"/>
    <hyperlink ref="B1174" r:id="rId1168" xr:uid="{00000000-0004-0000-0000-00008F040000}"/>
    <hyperlink ref="B1175" r:id="rId1169" xr:uid="{00000000-0004-0000-0000-000090040000}"/>
    <hyperlink ref="B1176" r:id="rId1170" xr:uid="{00000000-0004-0000-0000-000091040000}"/>
    <hyperlink ref="B1177" r:id="rId1171" xr:uid="{00000000-0004-0000-0000-000092040000}"/>
    <hyperlink ref="B1178" r:id="rId1172" xr:uid="{00000000-0004-0000-0000-000093040000}"/>
    <hyperlink ref="B1179" r:id="rId1173" xr:uid="{00000000-0004-0000-0000-000094040000}"/>
    <hyperlink ref="B1180" r:id="rId1174" xr:uid="{00000000-0004-0000-0000-000095040000}"/>
    <hyperlink ref="B1181" r:id="rId1175" xr:uid="{00000000-0004-0000-0000-000096040000}"/>
    <hyperlink ref="B1182" r:id="rId1176" xr:uid="{00000000-0004-0000-0000-000097040000}"/>
    <hyperlink ref="B1183" r:id="rId1177" xr:uid="{00000000-0004-0000-0000-000098040000}"/>
    <hyperlink ref="B1184" r:id="rId1178" xr:uid="{00000000-0004-0000-0000-000099040000}"/>
    <hyperlink ref="B1185" r:id="rId1179" xr:uid="{00000000-0004-0000-0000-00009A040000}"/>
    <hyperlink ref="B1186" r:id="rId1180" xr:uid="{00000000-0004-0000-0000-00009B040000}"/>
    <hyperlink ref="B1187" r:id="rId1181" xr:uid="{00000000-0004-0000-0000-00009C040000}"/>
    <hyperlink ref="B1188" r:id="rId1182" xr:uid="{00000000-0004-0000-0000-00009D040000}"/>
    <hyperlink ref="B1189" r:id="rId1183" xr:uid="{00000000-0004-0000-0000-00009E040000}"/>
    <hyperlink ref="B1190" r:id="rId1184" xr:uid="{00000000-0004-0000-0000-00009F040000}"/>
    <hyperlink ref="B1191" r:id="rId1185" xr:uid="{00000000-0004-0000-0000-0000A0040000}"/>
    <hyperlink ref="B1192" r:id="rId1186" xr:uid="{00000000-0004-0000-0000-0000A1040000}"/>
    <hyperlink ref="B1193" r:id="rId1187" xr:uid="{00000000-0004-0000-0000-0000A2040000}"/>
    <hyperlink ref="B1194" r:id="rId1188" xr:uid="{00000000-0004-0000-0000-0000A3040000}"/>
    <hyperlink ref="B1195" r:id="rId1189" xr:uid="{00000000-0004-0000-0000-0000A4040000}"/>
    <hyperlink ref="B1196" r:id="rId1190" xr:uid="{00000000-0004-0000-0000-0000A5040000}"/>
    <hyperlink ref="B1197" r:id="rId1191" xr:uid="{00000000-0004-0000-0000-0000A6040000}"/>
    <hyperlink ref="B1198" r:id="rId1192" xr:uid="{00000000-0004-0000-0000-0000A7040000}"/>
    <hyperlink ref="B1199" r:id="rId1193" xr:uid="{00000000-0004-0000-0000-0000A8040000}"/>
    <hyperlink ref="B1200" r:id="rId1194" xr:uid="{00000000-0004-0000-0000-0000A9040000}"/>
    <hyperlink ref="B1201" r:id="rId1195" xr:uid="{00000000-0004-0000-0000-0000AA040000}"/>
    <hyperlink ref="B1202" r:id="rId1196" xr:uid="{00000000-0004-0000-0000-0000AB040000}"/>
    <hyperlink ref="B1203" r:id="rId1197" xr:uid="{00000000-0004-0000-0000-0000AC040000}"/>
    <hyperlink ref="B1204" r:id="rId1198" xr:uid="{00000000-0004-0000-0000-0000AD040000}"/>
    <hyperlink ref="B1205" r:id="rId1199" xr:uid="{00000000-0004-0000-0000-0000AE040000}"/>
    <hyperlink ref="B1206" r:id="rId1200" xr:uid="{00000000-0004-0000-0000-0000AF040000}"/>
    <hyperlink ref="B1207" r:id="rId1201" xr:uid="{00000000-0004-0000-0000-0000B0040000}"/>
    <hyperlink ref="B1208" r:id="rId1202" xr:uid="{00000000-0004-0000-0000-0000B1040000}"/>
    <hyperlink ref="B1209" r:id="rId1203" xr:uid="{00000000-0004-0000-0000-0000B2040000}"/>
    <hyperlink ref="B1210" r:id="rId1204" xr:uid="{00000000-0004-0000-0000-0000B3040000}"/>
    <hyperlink ref="B1211" r:id="rId1205" xr:uid="{00000000-0004-0000-0000-0000B4040000}"/>
    <hyperlink ref="B1212" r:id="rId1206" xr:uid="{00000000-0004-0000-0000-0000B5040000}"/>
    <hyperlink ref="B1213" r:id="rId1207" xr:uid="{00000000-0004-0000-0000-0000B6040000}"/>
    <hyperlink ref="B1214" r:id="rId1208" xr:uid="{00000000-0004-0000-0000-0000B7040000}"/>
    <hyperlink ref="B1215" r:id="rId1209" xr:uid="{00000000-0004-0000-0000-0000B8040000}"/>
    <hyperlink ref="B1216" r:id="rId1210" xr:uid="{00000000-0004-0000-0000-0000B9040000}"/>
    <hyperlink ref="B1217" r:id="rId1211" xr:uid="{00000000-0004-0000-0000-0000BA040000}"/>
    <hyperlink ref="B1218" r:id="rId1212" xr:uid="{00000000-0004-0000-0000-0000BB040000}"/>
    <hyperlink ref="B1219" r:id="rId1213" xr:uid="{00000000-0004-0000-0000-0000BC040000}"/>
    <hyperlink ref="B1220" r:id="rId1214" xr:uid="{00000000-0004-0000-0000-0000BD040000}"/>
    <hyperlink ref="B1221" r:id="rId1215" xr:uid="{00000000-0004-0000-0000-0000BE040000}"/>
    <hyperlink ref="B1222" r:id="rId1216" xr:uid="{00000000-0004-0000-0000-0000BF040000}"/>
    <hyperlink ref="B1223" r:id="rId1217" xr:uid="{00000000-0004-0000-0000-0000C0040000}"/>
    <hyperlink ref="B1224" r:id="rId1218" xr:uid="{00000000-0004-0000-0000-0000C1040000}"/>
    <hyperlink ref="B1225" r:id="rId1219" xr:uid="{00000000-0004-0000-0000-0000C2040000}"/>
    <hyperlink ref="B1226" r:id="rId1220" xr:uid="{00000000-0004-0000-0000-0000C3040000}"/>
    <hyperlink ref="B1227" r:id="rId1221" xr:uid="{00000000-0004-0000-0000-0000C4040000}"/>
    <hyperlink ref="B1228" r:id="rId1222" xr:uid="{00000000-0004-0000-0000-0000C5040000}"/>
    <hyperlink ref="B1229" r:id="rId1223" xr:uid="{00000000-0004-0000-0000-0000C6040000}"/>
    <hyperlink ref="B1230" r:id="rId1224" xr:uid="{00000000-0004-0000-0000-0000C7040000}"/>
    <hyperlink ref="B1231" r:id="rId1225" xr:uid="{00000000-0004-0000-0000-0000C8040000}"/>
    <hyperlink ref="B1232" r:id="rId1226" xr:uid="{00000000-0004-0000-0000-0000C9040000}"/>
    <hyperlink ref="B1233" r:id="rId1227" xr:uid="{00000000-0004-0000-0000-0000CA040000}"/>
    <hyperlink ref="B1234" r:id="rId1228" xr:uid="{00000000-0004-0000-0000-0000CB040000}"/>
    <hyperlink ref="B1235" r:id="rId1229" xr:uid="{00000000-0004-0000-0000-0000CC040000}"/>
    <hyperlink ref="B1236" r:id="rId1230" xr:uid="{00000000-0004-0000-0000-0000CD040000}"/>
    <hyperlink ref="B1237" r:id="rId1231" xr:uid="{00000000-0004-0000-0000-0000CE040000}"/>
    <hyperlink ref="B1238" r:id="rId1232" xr:uid="{00000000-0004-0000-0000-0000CF040000}"/>
    <hyperlink ref="B1239" r:id="rId1233" xr:uid="{00000000-0004-0000-0000-0000D0040000}"/>
    <hyperlink ref="B1240" r:id="rId1234" xr:uid="{00000000-0004-0000-0000-0000D1040000}"/>
    <hyperlink ref="B1241" r:id="rId1235" xr:uid="{00000000-0004-0000-0000-0000D2040000}"/>
    <hyperlink ref="B1242" r:id="rId1236" xr:uid="{00000000-0004-0000-0000-0000D3040000}"/>
    <hyperlink ref="B1243" r:id="rId1237" xr:uid="{00000000-0004-0000-0000-0000D4040000}"/>
    <hyperlink ref="B1244" r:id="rId1238" xr:uid="{00000000-0004-0000-0000-0000D5040000}"/>
    <hyperlink ref="B1245" r:id="rId1239" xr:uid="{00000000-0004-0000-0000-0000D6040000}"/>
    <hyperlink ref="B1246" r:id="rId1240" xr:uid="{00000000-0004-0000-0000-0000D7040000}"/>
    <hyperlink ref="B1247" r:id="rId1241" xr:uid="{00000000-0004-0000-0000-0000D8040000}"/>
    <hyperlink ref="B1248" r:id="rId1242" xr:uid="{00000000-0004-0000-0000-0000D9040000}"/>
    <hyperlink ref="B1249" r:id="rId1243" xr:uid="{00000000-0004-0000-0000-0000DA040000}"/>
    <hyperlink ref="B1250" r:id="rId1244" xr:uid="{00000000-0004-0000-0000-0000DB040000}"/>
    <hyperlink ref="B1251" r:id="rId1245" xr:uid="{00000000-0004-0000-0000-0000DC040000}"/>
    <hyperlink ref="B1252" r:id="rId1246" xr:uid="{00000000-0004-0000-0000-0000DD040000}"/>
    <hyperlink ref="B1253" r:id="rId1247" xr:uid="{00000000-0004-0000-0000-0000DE040000}"/>
    <hyperlink ref="B1254" r:id="rId1248" xr:uid="{00000000-0004-0000-0000-0000DF040000}"/>
    <hyperlink ref="B1255" r:id="rId1249" xr:uid="{00000000-0004-0000-0000-0000E0040000}"/>
    <hyperlink ref="B1256" r:id="rId1250" xr:uid="{00000000-0004-0000-0000-0000E1040000}"/>
    <hyperlink ref="B1257" r:id="rId1251" xr:uid="{00000000-0004-0000-0000-0000E2040000}"/>
    <hyperlink ref="B1258" r:id="rId1252" xr:uid="{00000000-0004-0000-0000-0000E3040000}"/>
    <hyperlink ref="B1259" r:id="rId1253" xr:uid="{00000000-0004-0000-0000-0000E4040000}"/>
    <hyperlink ref="B1260" r:id="rId1254" xr:uid="{00000000-0004-0000-0000-0000E5040000}"/>
    <hyperlink ref="B1261" r:id="rId1255" xr:uid="{00000000-0004-0000-0000-0000E6040000}"/>
    <hyperlink ref="B1262" r:id="rId1256" xr:uid="{00000000-0004-0000-0000-0000E7040000}"/>
    <hyperlink ref="B1263" r:id="rId1257" xr:uid="{00000000-0004-0000-0000-0000E8040000}"/>
    <hyperlink ref="B1264" r:id="rId1258" xr:uid="{00000000-0004-0000-0000-0000E9040000}"/>
    <hyperlink ref="B1265" r:id="rId1259" xr:uid="{00000000-0004-0000-0000-0000EA040000}"/>
    <hyperlink ref="B1266" r:id="rId1260" xr:uid="{00000000-0004-0000-0000-0000EB040000}"/>
    <hyperlink ref="B1267" r:id="rId1261" xr:uid="{00000000-0004-0000-0000-0000EC040000}"/>
    <hyperlink ref="B1268" r:id="rId1262" xr:uid="{00000000-0004-0000-0000-0000ED040000}"/>
    <hyperlink ref="B1269" r:id="rId1263" xr:uid="{00000000-0004-0000-0000-0000EE040000}"/>
    <hyperlink ref="B1270" r:id="rId1264" xr:uid="{00000000-0004-0000-0000-0000EF040000}"/>
    <hyperlink ref="B1271" r:id="rId1265" xr:uid="{00000000-0004-0000-0000-0000F0040000}"/>
    <hyperlink ref="B1272" r:id="rId1266" xr:uid="{00000000-0004-0000-0000-0000F1040000}"/>
    <hyperlink ref="B1273" r:id="rId1267" xr:uid="{00000000-0004-0000-0000-0000F2040000}"/>
    <hyperlink ref="B1274" r:id="rId1268" xr:uid="{00000000-0004-0000-0000-0000F3040000}"/>
    <hyperlink ref="B1275" r:id="rId1269" xr:uid="{00000000-0004-0000-0000-0000F4040000}"/>
    <hyperlink ref="B1276" r:id="rId1270" xr:uid="{00000000-0004-0000-0000-0000F5040000}"/>
    <hyperlink ref="B1277" r:id="rId1271" xr:uid="{00000000-0004-0000-0000-0000F6040000}"/>
    <hyperlink ref="B1278" r:id="rId1272" xr:uid="{00000000-0004-0000-0000-0000F7040000}"/>
    <hyperlink ref="B1279" r:id="rId1273" xr:uid="{00000000-0004-0000-0000-0000F8040000}"/>
    <hyperlink ref="B1280" r:id="rId1274" xr:uid="{00000000-0004-0000-0000-0000F9040000}"/>
    <hyperlink ref="B1281" r:id="rId1275" xr:uid="{00000000-0004-0000-0000-0000FA040000}"/>
    <hyperlink ref="B1282" r:id="rId1276" xr:uid="{00000000-0004-0000-0000-0000FB040000}"/>
    <hyperlink ref="B1283" r:id="rId1277" xr:uid="{00000000-0004-0000-0000-0000FC040000}"/>
    <hyperlink ref="B1284" r:id="rId1278" xr:uid="{00000000-0004-0000-0000-0000FD040000}"/>
    <hyperlink ref="B1285" r:id="rId1279" xr:uid="{00000000-0004-0000-0000-0000FE040000}"/>
    <hyperlink ref="B1286" r:id="rId1280" xr:uid="{00000000-0004-0000-0000-0000FF040000}"/>
    <hyperlink ref="B1287" r:id="rId1281" xr:uid="{00000000-0004-0000-0000-000000050000}"/>
    <hyperlink ref="B1288" r:id="rId1282" xr:uid="{00000000-0004-0000-0000-000001050000}"/>
    <hyperlink ref="B1289" r:id="rId1283" xr:uid="{00000000-0004-0000-0000-000002050000}"/>
    <hyperlink ref="B1290" r:id="rId1284" xr:uid="{00000000-0004-0000-0000-000003050000}"/>
    <hyperlink ref="B1291" r:id="rId1285" xr:uid="{00000000-0004-0000-0000-000004050000}"/>
    <hyperlink ref="B1292" r:id="rId1286" xr:uid="{00000000-0004-0000-0000-000005050000}"/>
    <hyperlink ref="B1293" r:id="rId1287" xr:uid="{00000000-0004-0000-0000-000006050000}"/>
    <hyperlink ref="B1294" r:id="rId1288" xr:uid="{00000000-0004-0000-0000-000007050000}"/>
    <hyperlink ref="B1295" r:id="rId1289" xr:uid="{00000000-0004-0000-0000-000008050000}"/>
    <hyperlink ref="B1296" r:id="rId1290" xr:uid="{00000000-0004-0000-0000-000009050000}"/>
    <hyperlink ref="B1297" r:id="rId1291" xr:uid="{00000000-0004-0000-0000-00000A050000}"/>
    <hyperlink ref="B1298" r:id="rId1292" xr:uid="{00000000-0004-0000-0000-00000B050000}"/>
    <hyperlink ref="B1299" r:id="rId1293" xr:uid="{00000000-0004-0000-0000-00000C050000}"/>
    <hyperlink ref="B1300" r:id="rId1294" xr:uid="{00000000-0004-0000-0000-00000D050000}"/>
    <hyperlink ref="B1301" r:id="rId1295" xr:uid="{00000000-0004-0000-0000-00000E050000}"/>
    <hyperlink ref="B1302" r:id="rId1296" xr:uid="{00000000-0004-0000-0000-00000F050000}"/>
    <hyperlink ref="B1303" r:id="rId1297" xr:uid="{00000000-0004-0000-0000-000010050000}"/>
    <hyperlink ref="B1304" r:id="rId1298" xr:uid="{00000000-0004-0000-0000-000011050000}"/>
    <hyperlink ref="B1305" r:id="rId1299" xr:uid="{00000000-0004-0000-0000-000012050000}"/>
    <hyperlink ref="B1306" r:id="rId1300" xr:uid="{00000000-0004-0000-0000-000013050000}"/>
    <hyperlink ref="B1307" r:id="rId1301" xr:uid="{00000000-0004-0000-0000-000014050000}"/>
    <hyperlink ref="B1308" r:id="rId1302" xr:uid="{00000000-0004-0000-0000-000015050000}"/>
    <hyperlink ref="B1309" r:id="rId1303" xr:uid="{00000000-0004-0000-0000-000016050000}"/>
    <hyperlink ref="B1310" r:id="rId1304" xr:uid="{00000000-0004-0000-0000-000017050000}"/>
    <hyperlink ref="B1311" r:id="rId1305" xr:uid="{00000000-0004-0000-0000-000018050000}"/>
    <hyperlink ref="B1312" r:id="rId1306" xr:uid="{00000000-0004-0000-0000-000019050000}"/>
    <hyperlink ref="B1313" r:id="rId1307" xr:uid="{00000000-0004-0000-0000-00001A050000}"/>
    <hyperlink ref="B1314" r:id="rId1308" xr:uid="{00000000-0004-0000-0000-00001B050000}"/>
    <hyperlink ref="B1315" r:id="rId1309" xr:uid="{00000000-0004-0000-0000-00001C050000}"/>
    <hyperlink ref="B1316" r:id="rId1310" xr:uid="{00000000-0004-0000-0000-00001D050000}"/>
    <hyperlink ref="B1317" r:id="rId1311" xr:uid="{00000000-0004-0000-0000-00001E050000}"/>
    <hyperlink ref="B1318" r:id="rId1312" xr:uid="{00000000-0004-0000-0000-00001F050000}"/>
    <hyperlink ref="B1319" r:id="rId1313" xr:uid="{00000000-0004-0000-0000-000020050000}"/>
    <hyperlink ref="B1320" r:id="rId1314" xr:uid="{00000000-0004-0000-0000-000021050000}"/>
    <hyperlink ref="B1321" r:id="rId1315" xr:uid="{00000000-0004-0000-0000-000022050000}"/>
    <hyperlink ref="B1322" r:id="rId1316" xr:uid="{00000000-0004-0000-0000-000023050000}"/>
    <hyperlink ref="B1323" r:id="rId1317" xr:uid="{00000000-0004-0000-0000-000024050000}"/>
    <hyperlink ref="B1324" r:id="rId1318" xr:uid="{00000000-0004-0000-0000-000025050000}"/>
    <hyperlink ref="B1325" r:id="rId1319" xr:uid="{00000000-0004-0000-0000-000026050000}"/>
    <hyperlink ref="B1326" r:id="rId1320" xr:uid="{00000000-0004-0000-0000-000027050000}"/>
    <hyperlink ref="B1327" r:id="rId1321" xr:uid="{00000000-0004-0000-0000-000028050000}"/>
    <hyperlink ref="B1328" r:id="rId1322" xr:uid="{00000000-0004-0000-0000-000029050000}"/>
    <hyperlink ref="B1329" r:id="rId1323" xr:uid="{00000000-0004-0000-0000-00002A050000}"/>
    <hyperlink ref="B1330" r:id="rId1324" xr:uid="{00000000-0004-0000-0000-00002B050000}"/>
    <hyperlink ref="B1331" r:id="rId1325" xr:uid="{00000000-0004-0000-0000-00002C050000}"/>
    <hyperlink ref="B1332" r:id="rId1326" xr:uid="{00000000-0004-0000-0000-00002D050000}"/>
    <hyperlink ref="B1333" r:id="rId1327" xr:uid="{00000000-0004-0000-0000-00002E050000}"/>
    <hyperlink ref="B1334" r:id="rId1328" xr:uid="{00000000-0004-0000-0000-00002F050000}"/>
    <hyperlink ref="B1335" r:id="rId1329" xr:uid="{00000000-0004-0000-0000-000030050000}"/>
    <hyperlink ref="B1336" r:id="rId1330" xr:uid="{00000000-0004-0000-0000-000031050000}"/>
    <hyperlink ref="B1337" r:id="rId1331" xr:uid="{00000000-0004-0000-0000-000032050000}"/>
    <hyperlink ref="B1338" r:id="rId1332" xr:uid="{00000000-0004-0000-0000-000033050000}"/>
    <hyperlink ref="B1339" r:id="rId1333" xr:uid="{00000000-0004-0000-0000-000034050000}"/>
    <hyperlink ref="B1340" r:id="rId1334" xr:uid="{00000000-0004-0000-0000-000035050000}"/>
    <hyperlink ref="B1341" r:id="rId1335" xr:uid="{00000000-0004-0000-0000-000036050000}"/>
    <hyperlink ref="B1342" r:id="rId1336" xr:uid="{00000000-0004-0000-0000-000037050000}"/>
    <hyperlink ref="B1343" r:id="rId1337" xr:uid="{00000000-0004-0000-0000-000038050000}"/>
    <hyperlink ref="B1344" r:id="rId1338" xr:uid="{00000000-0004-0000-0000-000039050000}"/>
    <hyperlink ref="B1345" r:id="rId1339" xr:uid="{00000000-0004-0000-0000-00003A050000}"/>
    <hyperlink ref="B1346" r:id="rId1340" xr:uid="{00000000-0004-0000-0000-00003B050000}"/>
    <hyperlink ref="B1347" r:id="rId1341" xr:uid="{00000000-0004-0000-0000-00003C050000}"/>
    <hyperlink ref="B1348" r:id="rId1342" xr:uid="{00000000-0004-0000-0000-00003D050000}"/>
    <hyperlink ref="B1349" r:id="rId1343" xr:uid="{00000000-0004-0000-0000-00003E050000}"/>
    <hyperlink ref="B1350" r:id="rId1344" xr:uid="{00000000-0004-0000-0000-00003F050000}"/>
    <hyperlink ref="B1351" r:id="rId1345" xr:uid="{00000000-0004-0000-0000-000040050000}"/>
    <hyperlink ref="B1352" r:id="rId1346" xr:uid="{00000000-0004-0000-0000-000041050000}"/>
    <hyperlink ref="B1353" r:id="rId1347" xr:uid="{00000000-0004-0000-0000-000042050000}"/>
    <hyperlink ref="B1354" r:id="rId1348" xr:uid="{00000000-0004-0000-0000-000043050000}"/>
    <hyperlink ref="B1355" r:id="rId1349" xr:uid="{00000000-0004-0000-0000-000044050000}"/>
    <hyperlink ref="B1356" r:id="rId1350" xr:uid="{00000000-0004-0000-0000-000045050000}"/>
    <hyperlink ref="B1357" r:id="rId1351" xr:uid="{00000000-0004-0000-0000-000046050000}"/>
    <hyperlink ref="B1358" r:id="rId1352" xr:uid="{00000000-0004-0000-0000-000047050000}"/>
    <hyperlink ref="B1359" r:id="rId1353" xr:uid="{00000000-0004-0000-0000-000048050000}"/>
    <hyperlink ref="B1360" r:id="rId1354" xr:uid="{00000000-0004-0000-0000-000049050000}"/>
    <hyperlink ref="B1361" r:id="rId1355" xr:uid="{00000000-0004-0000-0000-00004A050000}"/>
    <hyperlink ref="B1362" r:id="rId1356" xr:uid="{00000000-0004-0000-0000-00004B050000}"/>
    <hyperlink ref="B1363" r:id="rId1357" xr:uid="{00000000-0004-0000-0000-00004C050000}"/>
    <hyperlink ref="B1364" r:id="rId1358" xr:uid="{00000000-0004-0000-0000-00004D050000}"/>
    <hyperlink ref="B1365" r:id="rId1359" xr:uid="{00000000-0004-0000-0000-00004E050000}"/>
    <hyperlink ref="B1366" r:id="rId1360" xr:uid="{00000000-0004-0000-0000-00004F050000}"/>
    <hyperlink ref="B1367" r:id="rId1361" xr:uid="{00000000-0004-0000-0000-000050050000}"/>
    <hyperlink ref="B1368" r:id="rId1362" xr:uid="{00000000-0004-0000-0000-000051050000}"/>
    <hyperlink ref="B1369" r:id="rId1363" xr:uid="{00000000-0004-0000-0000-000052050000}"/>
    <hyperlink ref="B1370" r:id="rId1364" xr:uid="{00000000-0004-0000-0000-000053050000}"/>
    <hyperlink ref="B1371" r:id="rId1365" xr:uid="{00000000-0004-0000-0000-000054050000}"/>
    <hyperlink ref="B1372" r:id="rId1366" xr:uid="{00000000-0004-0000-0000-000055050000}"/>
    <hyperlink ref="B1373" r:id="rId1367" xr:uid="{00000000-0004-0000-0000-000056050000}"/>
    <hyperlink ref="B1374" r:id="rId1368" xr:uid="{00000000-0004-0000-0000-000057050000}"/>
    <hyperlink ref="B1375" r:id="rId1369" xr:uid="{00000000-0004-0000-0000-000058050000}"/>
    <hyperlink ref="B1376" r:id="rId1370" xr:uid="{00000000-0004-0000-0000-000059050000}"/>
    <hyperlink ref="B1377" r:id="rId1371" xr:uid="{00000000-0004-0000-0000-00005A050000}"/>
    <hyperlink ref="B1378" r:id="rId1372" xr:uid="{00000000-0004-0000-0000-00005B050000}"/>
    <hyperlink ref="B1379" r:id="rId1373" xr:uid="{00000000-0004-0000-0000-00005C050000}"/>
    <hyperlink ref="B1380" r:id="rId1374" xr:uid="{00000000-0004-0000-0000-00005D050000}"/>
    <hyperlink ref="B1381" r:id="rId1375" xr:uid="{00000000-0004-0000-0000-00005E050000}"/>
    <hyperlink ref="B1382" r:id="rId1376" xr:uid="{00000000-0004-0000-0000-00005F050000}"/>
    <hyperlink ref="B1383" r:id="rId1377" xr:uid="{00000000-0004-0000-0000-000060050000}"/>
    <hyperlink ref="B1384" r:id="rId1378" xr:uid="{00000000-0004-0000-0000-000061050000}"/>
    <hyperlink ref="B1385" r:id="rId1379" xr:uid="{00000000-0004-0000-0000-000062050000}"/>
    <hyperlink ref="B1386" r:id="rId1380" xr:uid="{00000000-0004-0000-0000-000063050000}"/>
    <hyperlink ref="B1387" r:id="rId1381" xr:uid="{00000000-0004-0000-0000-000064050000}"/>
    <hyperlink ref="B1388" r:id="rId1382" xr:uid="{00000000-0004-0000-0000-000065050000}"/>
    <hyperlink ref="B1389" r:id="rId1383" xr:uid="{00000000-0004-0000-0000-000066050000}"/>
    <hyperlink ref="B1390" r:id="rId1384" xr:uid="{00000000-0004-0000-0000-000067050000}"/>
    <hyperlink ref="B1391" r:id="rId1385" xr:uid="{00000000-0004-0000-0000-000068050000}"/>
    <hyperlink ref="B1392" r:id="rId1386" xr:uid="{00000000-0004-0000-0000-000069050000}"/>
    <hyperlink ref="B1393" r:id="rId1387" xr:uid="{00000000-0004-0000-0000-00006A050000}"/>
    <hyperlink ref="B1394" r:id="rId1388" xr:uid="{00000000-0004-0000-0000-00006B050000}"/>
    <hyperlink ref="B1395" r:id="rId1389" xr:uid="{00000000-0004-0000-0000-00006C050000}"/>
    <hyperlink ref="B1396" r:id="rId1390" xr:uid="{00000000-0004-0000-0000-00006D050000}"/>
    <hyperlink ref="B1397" r:id="rId1391" xr:uid="{00000000-0004-0000-0000-00006E050000}"/>
    <hyperlink ref="B1398" r:id="rId1392" xr:uid="{00000000-0004-0000-0000-00006F050000}"/>
    <hyperlink ref="B1399" r:id="rId1393" xr:uid="{00000000-0004-0000-0000-000070050000}"/>
    <hyperlink ref="B1400" r:id="rId1394" xr:uid="{00000000-0004-0000-0000-000071050000}"/>
    <hyperlink ref="B1401" r:id="rId1395" xr:uid="{00000000-0004-0000-0000-000072050000}"/>
    <hyperlink ref="B1402" r:id="rId1396" xr:uid="{00000000-0004-0000-0000-000073050000}"/>
    <hyperlink ref="B1403" r:id="rId1397" xr:uid="{00000000-0004-0000-0000-000074050000}"/>
    <hyperlink ref="B1404" r:id="rId1398" xr:uid="{00000000-0004-0000-0000-000075050000}"/>
    <hyperlink ref="B1405" r:id="rId1399" xr:uid="{00000000-0004-0000-0000-000076050000}"/>
    <hyperlink ref="B1406" r:id="rId1400" xr:uid="{00000000-0004-0000-0000-000077050000}"/>
    <hyperlink ref="B1407" r:id="rId1401" xr:uid="{00000000-0004-0000-0000-000078050000}"/>
    <hyperlink ref="B1408" r:id="rId1402" xr:uid="{00000000-0004-0000-0000-000079050000}"/>
    <hyperlink ref="B1409" r:id="rId1403" xr:uid="{00000000-0004-0000-0000-00007A050000}"/>
    <hyperlink ref="B1410" r:id="rId1404" xr:uid="{00000000-0004-0000-0000-00007B050000}"/>
    <hyperlink ref="B1411" r:id="rId1405" xr:uid="{00000000-0004-0000-0000-00007C050000}"/>
    <hyperlink ref="B1412" r:id="rId1406" xr:uid="{00000000-0004-0000-0000-00007D050000}"/>
    <hyperlink ref="B1413" r:id="rId1407" xr:uid="{00000000-0004-0000-0000-00007E050000}"/>
    <hyperlink ref="B1414" r:id="rId1408" xr:uid="{00000000-0004-0000-0000-00007F050000}"/>
    <hyperlink ref="B1415" r:id="rId1409" xr:uid="{00000000-0004-0000-0000-000080050000}"/>
    <hyperlink ref="B1416" r:id="rId1410" xr:uid="{00000000-0004-0000-0000-000081050000}"/>
    <hyperlink ref="B1417" r:id="rId1411" xr:uid="{00000000-0004-0000-0000-000082050000}"/>
    <hyperlink ref="B1418" r:id="rId1412" xr:uid="{00000000-0004-0000-0000-000083050000}"/>
    <hyperlink ref="B1419" r:id="rId1413" xr:uid="{00000000-0004-0000-0000-000084050000}"/>
    <hyperlink ref="B1420" r:id="rId1414" xr:uid="{00000000-0004-0000-0000-000085050000}"/>
    <hyperlink ref="B1421" r:id="rId1415" xr:uid="{00000000-0004-0000-0000-000086050000}"/>
    <hyperlink ref="B1422" r:id="rId1416" xr:uid="{00000000-0004-0000-0000-000087050000}"/>
    <hyperlink ref="B1423" r:id="rId1417" xr:uid="{00000000-0004-0000-0000-000088050000}"/>
    <hyperlink ref="B1424" r:id="rId1418" xr:uid="{00000000-0004-0000-0000-000089050000}"/>
    <hyperlink ref="B1425" r:id="rId1419" xr:uid="{00000000-0004-0000-0000-00008A050000}"/>
    <hyperlink ref="B1426" r:id="rId1420" xr:uid="{00000000-0004-0000-0000-00008B050000}"/>
    <hyperlink ref="B1427" r:id="rId1421" xr:uid="{00000000-0004-0000-0000-00008C050000}"/>
    <hyperlink ref="B1428" r:id="rId1422" xr:uid="{00000000-0004-0000-0000-00008D050000}"/>
    <hyperlink ref="B1429" r:id="rId1423" xr:uid="{00000000-0004-0000-0000-00008E050000}"/>
    <hyperlink ref="B1430" r:id="rId1424" xr:uid="{00000000-0004-0000-0000-00008F050000}"/>
    <hyperlink ref="B1431" r:id="rId1425" xr:uid="{00000000-0004-0000-0000-000090050000}"/>
    <hyperlink ref="B1432" r:id="rId1426" xr:uid="{00000000-0004-0000-0000-000091050000}"/>
    <hyperlink ref="B1433" r:id="rId1427" xr:uid="{00000000-0004-0000-0000-000092050000}"/>
    <hyperlink ref="B1434" r:id="rId1428" xr:uid="{00000000-0004-0000-0000-000093050000}"/>
    <hyperlink ref="B1435" r:id="rId1429" xr:uid="{00000000-0004-0000-0000-000094050000}"/>
    <hyperlink ref="B1436" r:id="rId1430" xr:uid="{00000000-0004-0000-0000-000095050000}"/>
    <hyperlink ref="B1437" r:id="rId1431" xr:uid="{00000000-0004-0000-0000-000096050000}"/>
    <hyperlink ref="B1438" r:id="rId1432" xr:uid="{00000000-0004-0000-0000-000097050000}"/>
    <hyperlink ref="B1439" r:id="rId1433" xr:uid="{00000000-0004-0000-0000-000098050000}"/>
    <hyperlink ref="B1440" r:id="rId1434" xr:uid="{00000000-0004-0000-0000-000099050000}"/>
    <hyperlink ref="B1441" r:id="rId1435" xr:uid="{00000000-0004-0000-0000-00009A050000}"/>
    <hyperlink ref="B1442" r:id="rId1436" xr:uid="{00000000-0004-0000-0000-00009B050000}"/>
    <hyperlink ref="B1443" r:id="rId1437" xr:uid="{00000000-0004-0000-0000-00009C050000}"/>
    <hyperlink ref="B1444" r:id="rId1438" xr:uid="{00000000-0004-0000-0000-00009D050000}"/>
    <hyperlink ref="B1445" r:id="rId1439" xr:uid="{00000000-0004-0000-0000-00009E050000}"/>
    <hyperlink ref="B1446" r:id="rId1440" xr:uid="{00000000-0004-0000-0000-00009F050000}"/>
    <hyperlink ref="B1447" r:id="rId1441" xr:uid="{00000000-0004-0000-0000-0000A0050000}"/>
    <hyperlink ref="B1448" r:id="rId1442" xr:uid="{00000000-0004-0000-0000-0000A1050000}"/>
    <hyperlink ref="B1449" r:id="rId1443" xr:uid="{00000000-0004-0000-0000-0000A2050000}"/>
    <hyperlink ref="B1450" r:id="rId1444" xr:uid="{00000000-0004-0000-0000-0000A3050000}"/>
    <hyperlink ref="B1451" r:id="rId1445" xr:uid="{00000000-0004-0000-0000-0000A4050000}"/>
    <hyperlink ref="B1452" r:id="rId1446" xr:uid="{00000000-0004-0000-0000-0000A5050000}"/>
    <hyperlink ref="B1453" r:id="rId1447" xr:uid="{00000000-0004-0000-0000-0000A6050000}"/>
    <hyperlink ref="B1454" r:id="rId1448" xr:uid="{00000000-0004-0000-0000-0000A7050000}"/>
    <hyperlink ref="B1455" r:id="rId1449" xr:uid="{00000000-0004-0000-0000-0000A8050000}"/>
    <hyperlink ref="B1456" r:id="rId1450" xr:uid="{00000000-0004-0000-0000-0000A9050000}"/>
    <hyperlink ref="B1457" r:id="rId1451" xr:uid="{00000000-0004-0000-0000-0000AA050000}"/>
    <hyperlink ref="B1458" r:id="rId1452" xr:uid="{00000000-0004-0000-0000-0000AB050000}"/>
    <hyperlink ref="B1459" r:id="rId1453" xr:uid="{00000000-0004-0000-0000-0000AC050000}"/>
    <hyperlink ref="B1460" r:id="rId1454" xr:uid="{00000000-0004-0000-0000-0000AD050000}"/>
    <hyperlink ref="B1461" r:id="rId1455" xr:uid="{00000000-0004-0000-0000-0000AE050000}"/>
    <hyperlink ref="B1462" r:id="rId1456" xr:uid="{00000000-0004-0000-0000-0000AF050000}"/>
    <hyperlink ref="B1463" r:id="rId1457" xr:uid="{00000000-0004-0000-0000-0000B0050000}"/>
    <hyperlink ref="B1464" r:id="rId1458" xr:uid="{00000000-0004-0000-0000-0000B1050000}"/>
    <hyperlink ref="B1465" r:id="rId1459" xr:uid="{00000000-0004-0000-0000-0000B2050000}"/>
    <hyperlink ref="B1466" r:id="rId1460" xr:uid="{00000000-0004-0000-0000-0000B3050000}"/>
    <hyperlink ref="B1467" r:id="rId1461" xr:uid="{00000000-0004-0000-0000-0000B4050000}"/>
    <hyperlink ref="B1468" r:id="rId1462" xr:uid="{00000000-0004-0000-0000-0000B5050000}"/>
    <hyperlink ref="B1469" r:id="rId1463" xr:uid="{00000000-0004-0000-0000-0000B6050000}"/>
    <hyperlink ref="B1470" r:id="rId1464" xr:uid="{00000000-0004-0000-0000-0000B7050000}"/>
    <hyperlink ref="B1471" r:id="rId1465" xr:uid="{00000000-0004-0000-0000-0000B8050000}"/>
    <hyperlink ref="B1472" r:id="rId1466" xr:uid="{00000000-0004-0000-0000-0000B9050000}"/>
    <hyperlink ref="B1473" r:id="rId1467" xr:uid="{00000000-0004-0000-0000-0000BA050000}"/>
    <hyperlink ref="B1474" r:id="rId1468" xr:uid="{00000000-0004-0000-0000-0000BB050000}"/>
    <hyperlink ref="B1475" r:id="rId1469" xr:uid="{00000000-0004-0000-0000-0000BC050000}"/>
    <hyperlink ref="B1476" r:id="rId1470" xr:uid="{00000000-0004-0000-0000-0000BD050000}"/>
    <hyperlink ref="B1477" r:id="rId1471" xr:uid="{00000000-0004-0000-0000-0000BE050000}"/>
    <hyperlink ref="B1478" r:id="rId1472" xr:uid="{00000000-0004-0000-0000-0000BF050000}"/>
    <hyperlink ref="B1479" r:id="rId1473" xr:uid="{00000000-0004-0000-0000-0000C0050000}"/>
    <hyperlink ref="B1480" r:id="rId1474" xr:uid="{00000000-0004-0000-0000-0000C1050000}"/>
    <hyperlink ref="B1481" r:id="rId1475" xr:uid="{00000000-0004-0000-0000-0000C2050000}"/>
    <hyperlink ref="B1482" r:id="rId1476" xr:uid="{00000000-0004-0000-0000-0000C3050000}"/>
    <hyperlink ref="B1483" r:id="rId1477" xr:uid="{00000000-0004-0000-0000-0000C4050000}"/>
    <hyperlink ref="B1484" r:id="rId1478" xr:uid="{00000000-0004-0000-0000-0000C5050000}"/>
    <hyperlink ref="B1485" r:id="rId1479" xr:uid="{00000000-0004-0000-0000-0000C6050000}"/>
    <hyperlink ref="B1486" r:id="rId1480" xr:uid="{00000000-0004-0000-0000-0000C7050000}"/>
    <hyperlink ref="B1487" r:id="rId1481" xr:uid="{00000000-0004-0000-0000-0000C8050000}"/>
    <hyperlink ref="B1488" r:id="rId1482" xr:uid="{00000000-0004-0000-0000-0000C9050000}"/>
    <hyperlink ref="B1489" r:id="rId1483" xr:uid="{00000000-0004-0000-0000-0000CA050000}"/>
    <hyperlink ref="B1490" r:id="rId1484" xr:uid="{00000000-0004-0000-0000-0000CB050000}"/>
    <hyperlink ref="B1491" r:id="rId1485" xr:uid="{00000000-0004-0000-0000-0000CC050000}"/>
    <hyperlink ref="B1492" r:id="rId1486" xr:uid="{00000000-0004-0000-0000-0000CD050000}"/>
    <hyperlink ref="B1493" r:id="rId1487" xr:uid="{00000000-0004-0000-0000-0000CE050000}"/>
    <hyperlink ref="B1494" r:id="rId1488" xr:uid="{00000000-0004-0000-0000-0000CF050000}"/>
    <hyperlink ref="B1495" r:id="rId1489" xr:uid="{00000000-0004-0000-0000-0000D0050000}"/>
    <hyperlink ref="B1496" r:id="rId1490" xr:uid="{00000000-0004-0000-0000-0000D1050000}"/>
    <hyperlink ref="B1497" r:id="rId1491" xr:uid="{00000000-0004-0000-0000-0000D2050000}"/>
    <hyperlink ref="B1498" r:id="rId1492" xr:uid="{00000000-0004-0000-0000-0000D3050000}"/>
    <hyperlink ref="B1499" r:id="rId1493" xr:uid="{00000000-0004-0000-0000-0000D4050000}"/>
    <hyperlink ref="B1500" r:id="rId1494" xr:uid="{00000000-0004-0000-0000-0000D5050000}"/>
    <hyperlink ref="B1501" r:id="rId1495" xr:uid="{00000000-0004-0000-0000-0000D6050000}"/>
    <hyperlink ref="B1502" r:id="rId1496" xr:uid="{00000000-0004-0000-0000-0000D7050000}"/>
    <hyperlink ref="B1503" r:id="rId1497" xr:uid="{00000000-0004-0000-0000-0000D8050000}"/>
    <hyperlink ref="B1504" r:id="rId1498" xr:uid="{00000000-0004-0000-0000-0000D9050000}"/>
    <hyperlink ref="B1505" r:id="rId1499" xr:uid="{00000000-0004-0000-0000-0000DA050000}"/>
    <hyperlink ref="B1506" r:id="rId1500" xr:uid="{00000000-0004-0000-0000-0000DB050000}"/>
    <hyperlink ref="B1507" r:id="rId1501" xr:uid="{00000000-0004-0000-0000-0000DC050000}"/>
    <hyperlink ref="B1508" r:id="rId1502" xr:uid="{00000000-0004-0000-0000-0000DD050000}"/>
    <hyperlink ref="B1509" r:id="rId1503" xr:uid="{00000000-0004-0000-0000-0000DE050000}"/>
    <hyperlink ref="B1510" r:id="rId1504" xr:uid="{00000000-0004-0000-0000-0000DF050000}"/>
    <hyperlink ref="B1511" r:id="rId1505" xr:uid="{00000000-0004-0000-0000-0000E0050000}"/>
    <hyperlink ref="B1512" r:id="rId1506" xr:uid="{00000000-0004-0000-0000-0000E1050000}"/>
    <hyperlink ref="B1513" r:id="rId1507" xr:uid="{00000000-0004-0000-0000-0000E2050000}"/>
    <hyperlink ref="B1514" r:id="rId1508" xr:uid="{00000000-0004-0000-0000-0000E3050000}"/>
    <hyperlink ref="B1515" r:id="rId1509" xr:uid="{00000000-0004-0000-0000-0000E4050000}"/>
    <hyperlink ref="B1516" r:id="rId1510" xr:uid="{00000000-0004-0000-0000-0000E5050000}"/>
    <hyperlink ref="B1517" r:id="rId1511" xr:uid="{00000000-0004-0000-0000-0000E6050000}"/>
    <hyperlink ref="B1518" r:id="rId1512" xr:uid="{00000000-0004-0000-0000-0000E7050000}"/>
    <hyperlink ref="B1519" r:id="rId1513" xr:uid="{00000000-0004-0000-0000-0000E8050000}"/>
    <hyperlink ref="B1520" r:id="rId1514" xr:uid="{00000000-0004-0000-0000-0000E9050000}"/>
    <hyperlink ref="B1521" r:id="rId1515" xr:uid="{00000000-0004-0000-0000-0000EA050000}"/>
    <hyperlink ref="B1522" r:id="rId1516" xr:uid="{00000000-0004-0000-0000-0000EB050000}"/>
    <hyperlink ref="B1523" r:id="rId1517" xr:uid="{00000000-0004-0000-0000-0000EC050000}"/>
    <hyperlink ref="B1524" r:id="rId1518" xr:uid="{00000000-0004-0000-0000-0000ED050000}"/>
    <hyperlink ref="B1525" r:id="rId1519" xr:uid="{00000000-0004-0000-0000-0000EE050000}"/>
    <hyperlink ref="B1526" r:id="rId1520" xr:uid="{00000000-0004-0000-0000-0000EF050000}"/>
    <hyperlink ref="B1527" r:id="rId1521" xr:uid="{00000000-0004-0000-0000-0000F0050000}"/>
    <hyperlink ref="B1528" r:id="rId1522" xr:uid="{00000000-0004-0000-0000-0000F1050000}"/>
    <hyperlink ref="B1529" r:id="rId1523" xr:uid="{00000000-0004-0000-0000-0000F2050000}"/>
    <hyperlink ref="B1530" r:id="rId1524" xr:uid="{00000000-0004-0000-0000-0000F3050000}"/>
    <hyperlink ref="B1531" r:id="rId1525" xr:uid="{00000000-0004-0000-0000-0000F4050000}"/>
    <hyperlink ref="B1532" r:id="rId1526" xr:uid="{00000000-0004-0000-0000-0000F5050000}"/>
    <hyperlink ref="B1533" r:id="rId1527" xr:uid="{00000000-0004-0000-0000-0000F6050000}"/>
    <hyperlink ref="B1534" r:id="rId1528" xr:uid="{00000000-0004-0000-0000-0000F7050000}"/>
    <hyperlink ref="B1535" r:id="rId1529" xr:uid="{00000000-0004-0000-0000-0000F8050000}"/>
    <hyperlink ref="B1536" r:id="rId1530" xr:uid="{00000000-0004-0000-0000-0000F9050000}"/>
    <hyperlink ref="B1537" r:id="rId1531" xr:uid="{00000000-0004-0000-0000-0000FA050000}"/>
    <hyperlink ref="B1538" r:id="rId1532" xr:uid="{00000000-0004-0000-0000-0000FB050000}"/>
    <hyperlink ref="B1539" r:id="rId1533" xr:uid="{00000000-0004-0000-0000-0000FC050000}"/>
    <hyperlink ref="B1540" r:id="rId1534" xr:uid="{00000000-0004-0000-0000-0000FD050000}"/>
    <hyperlink ref="B1541" r:id="rId1535" xr:uid="{00000000-0004-0000-0000-0000FE050000}"/>
    <hyperlink ref="B1542" r:id="rId1536" xr:uid="{00000000-0004-0000-0000-0000FF050000}"/>
    <hyperlink ref="B1543" r:id="rId1537" xr:uid="{00000000-0004-0000-0000-000000060000}"/>
    <hyperlink ref="B1544" r:id="rId1538" xr:uid="{00000000-0004-0000-0000-000001060000}"/>
    <hyperlink ref="B1545" r:id="rId1539" xr:uid="{00000000-0004-0000-0000-000002060000}"/>
    <hyperlink ref="B1546" r:id="rId1540" xr:uid="{00000000-0004-0000-0000-000003060000}"/>
    <hyperlink ref="B1547" r:id="rId1541" xr:uid="{00000000-0004-0000-0000-000004060000}"/>
    <hyperlink ref="B1548" r:id="rId1542" xr:uid="{00000000-0004-0000-0000-000005060000}"/>
    <hyperlink ref="B1549" r:id="rId1543" xr:uid="{00000000-0004-0000-0000-000006060000}"/>
    <hyperlink ref="B1550" r:id="rId1544" xr:uid="{00000000-0004-0000-0000-000007060000}"/>
    <hyperlink ref="B1551" r:id="rId1545" xr:uid="{00000000-0004-0000-0000-000008060000}"/>
    <hyperlink ref="B1552" r:id="rId1546" xr:uid="{00000000-0004-0000-0000-000009060000}"/>
    <hyperlink ref="B1553" r:id="rId1547" xr:uid="{00000000-0004-0000-0000-00000A060000}"/>
    <hyperlink ref="B1554" r:id="rId1548" xr:uid="{00000000-0004-0000-0000-00000B060000}"/>
    <hyperlink ref="B1555" r:id="rId1549" xr:uid="{00000000-0004-0000-0000-00000C060000}"/>
    <hyperlink ref="B1556" r:id="rId1550" xr:uid="{00000000-0004-0000-0000-00000D060000}"/>
    <hyperlink ref="B1557" r:id="rId1551" xr:uid="{00000000-0004-0000-0000-00000E060000}"/>
    <hyperlink ref="B1558" r:id="rId1552" xr:uid="{00000000-0004-0000-0000-00000F060000}"/>
    <hyperlink ref="B1559" r:id="rId1553" xr:uid="{00000000-0004-0000-0000-000010060000}"/>
    <hyperlink ref="B1560" r:id="rId1554" xr:uid="{00000000-0004-0000-0000-000011060000}"/>
    <hyperlink ref="B1561" r:id="rId1555" xr:uid="{00000000-0004-0000-0000-000012060000}"/>
    <hyperlink ref="B1562" r:id="rId1556" xr:uid="{00000000-0004-0000-0000-000013060000}"/>
    <hyperlink ref="B1563" r:id="rId1557" xr:uid="{00000000-0004-0000-0000-000014060000}"/>
    <hyperlink ref="B1564" r:id="rId1558" xr:uid="{00000000-0004-0000-0000-000015060000}"/>
    <hyperlink ref="B1565" r:id="rId1559" xr:uid="{00000000-0004-0000-0000-000016060000}"/>
    <hyperlink ref="B1566" r:id="rId1560" xr:uid="{00000000-0004-0000-0000-000017060000}"/>
    <hyperlink ref="B1567" r:id="rId1561" xr:uid="{00000000-0004-0000-0000-000018060000}"/>
    <hyperlink ref="B1568" r:id="rId1562" xr:uid="{00000000-0004-0000-0000-000019060000}"/>
    <hyperlink ref="B1569" r:id="rId1563" xr:uid="{00000000-0004-0000-0000-00001A060000}"/>
    <hyperlink ref="B1570" r:id="rId1564" xr:uid="{00000000-0004-0000-0000-00001B060000}"/>
    <hyperlink ref="B1571" r:id="rId1565" xr:uid="{00000000-0004-0000-0000-00001C060000}"/>
    <hyperlink ref="B1572" r:id="rId1566" xr:uid="{00000000-0004-0000-0000-00001D060000}"/>
    <hyperlink ref="B1573" r:id="rId1567" xr:uid="{00000000-0004-0000-0000-00001E060000}"/>
    <hyperlink ref="B1574" r:id="rId1568" xr:uid="{00000000-0004-0000-0000-00001F060000}"/>
    <hyperlink ref="B1575" r:id="rId1569" xr:uid="{00000000-0004-0000-0000-000020060000}"/>
    <hyperlink ref="B1576" r:id="rId1570" xr:uid="{00000000-0004-0000-0000-000021060000}"/>
    <hyperlink ref="B1577" r:id="rId1571" xr:uid="{00000000-0004-0000-0000-000022060000}"/>
    <hyperlink ref="B1578" r:id="rId1572" xr:uid="{00000000-0004-0000-0000-000023060000}"/>
    <hyperlink ref="B1579" r:id="rId1573" xr:uid="{00000000-0004-0000-0000-000024060000}"/>
    <hyperlink ref="B1580" r:id="rId1574" xr:uid="{00000000-0004-0000-0000-000025060000}"/>
    <hyperlink ref="B1581" r:id="rId1575" xr:uid="{00000000-0004-0000-0000-000026060000}"/>
    <hyperlink ref="B1582" r:id="rId1576" xr:uid="{00000000-0004-0000-0000-000027060000}"/>
    <hyperlink ref="B1583" r:id="rId1577" xr:uid="{00000000-0004-0000-0000-000028060000}"/>
    <hyperlink ref="B1584" r:id="rId1578" xr:uid="{00000000-0004-0000-0000-000029060000}"/>
    <hyperlink ref="B1585" r:id="rId1579" xr:uid="{00000000-0004-0000-0000-00002A060000}"/>
    <hyperlink ref="B1586" r:id="rId1580" xr:uid="{00000000-0004-0000-0000-00002B060000}"/>
    <hyperlink ref="B1587" r:id="rId1581" xr:uid="{00000000-0004-0000-0000-00002C060000}"/>
    <hyperlink ref="B1588" r:id="rId1582" xr:uid="{00000000-0004-0000-0000-00002D060000}"/>
    <hyperlink ref="B1589" r:id="rId1583" xr:uid="{00000000-0004-0000-0000-00002E060000}"/>
    <hyperlink ref="B1590" r:id="rId1584" xr:uid="{00000000-0004-0000-0000-00002F060000}"/>
    <hyperlink ref="B1591" r:id="rId1585" xr:uid="{00000000-0004-0000-0000-000030060000}"/>
    <hyperlink ref="B1592" r:id="rId1586" xr:uid="{00000000-0004-0000-0000-000031060000}"/>
    <hyperlink ref="B1593" r:id="rId1587" xr:uid="{00000000-0004-0000-0000-000032060000}"/>
    <hyperlink ref="B1594" r:id="rId1588" xr:uid="{00000000-0004-0000-0000-000033060000}"/>
    <hyperlink ref="B1595" r:id="rId1589" xr:uid="{00000000-0004-0000-0000-000034060000}"/>
    <hyperlink ref="B1596" r:id="rId1590" xr:uid="{00000000-0004-0000-0000-000035060000}"/>
    <hyperlink ref="B1597" r:id="rId1591" xr:uid="{00000000-0004-0000-0000-000036060000}"/>
    <hyperlink ref="B1598" r:id="rId1592" xr:uid="{00000000-0004-0000-0000-000037060000}"/>
    <hyperlink ref="B1599" r:id="rId1593" xr:uid="{00000000-0004-0000-0000-000038060000}"/>
    <hyperlink ref="B1600" r:id="rId1594" xr:uid="{00000000-0004-0000-0000-000039060000}"/>
    <hyperlink ref="B1601" r:id="rId1595" xr:uid="{00000000-0004-0000-0000-00003A060000}"/>
    <hyperlink ref="B1602" r:id="rId1596" xr:uid="{00000000-0004-0000-0000-00003B060000}"/>
    <hyperlink ref="B1603" r:id="rId1597" xr:uid="{00000000-0004-0000-0000-00003C060000}"/>
    <hyperlink ref="B1604" r:id="rId1598" xr:uid="{00000000-0004-0000-0000-00003D060000}"/>
    <hyperlink ref="B1605" r:id="rId1599" xr:uid="{00000000-0004-0000-0000-00003E060000}"/>
    <hyperlink ref="B1606" r:id="rId1600" xr:uid="{00000000-0004-0000-0000-00003F060000}"/>
    <hyperlink ref="B1607" r:id="rId1601" xr:uid="{00000000-0004-0000-0000-000040060000}"/>
    <hyperlink ref="B1608" r:id="rId1602" xr:uid="{00000000-0004-0000-0000-000041060000}"/>
    <hyperlink ref="B1609" r:id="rId1603" xr:uid="{00000000-0004-0000-0000-000042060000}"/>
    <hyperlink ref="B1610" r:id="rId1604" xr:uid="{00000000-0004-0000-0000-000043060000}"/>
    <hyperlink ref="B1611" r:id="rId1605" xr:uid="{00000000-0004-0000-0000-000044060000}"/>
    <hyperlink ref="B1612" r:id="rId1606" xr:uid="{00000000-0004-0000-0000-000045060000}"/>
    <hyperlink ref="B1613" r:id="rId1607" xr:uid="{00000000-0004-0000-0000-000046060000}"/>
    <hyperlink ref="B1614" r:id="rId1608" xr:uid="{00000000-0004-0000-0000-000047060000}"/>
    <hyperlink ref="B1615" r:id="rId1609" xr:uid="{00000000-0004-0000-0000-000048060000}"/>
    <hyperlink ref="B1616" r:id="rId1610" xr:uid="{00000000-0004-0000-0000-000049060000}"/>
    <hyperlink ref="B1617" r:id="rId1611" xr:uid="{00000000-0004-0000-0000-00004A060000}"/>
    <hyperlink ref="B1618" r:id="rId1612" xr:uid="{00000000-0004-0000-0000-00004B060000}"/>
    <hyperlink ref="B1619" r:id="rId1613" xr:uid="{00000000-0004-0000-0000-00004C060000}"/>
    <hyperlink ref="B1620" r:id="rId1614" xr:uid="{00000000-0004-0000-0000-00004D060000}"/>
    <hyperlink ref="B1621" r:id="rId1615" xr:uid="{00000000-0004-0000-0000-00004E060000}"/>
    <hyperlink ref="B1622" r:id="rId1616" xr:uid="{00000000-0004-0000-0000-00004F060000}"/>
    <hyperlink ref="B1623" r:id="rId1617" xr:uid="{00000000-0004-0000-0000-000050060000}"/>
    <hyperlink ref="B1624" r:id="rId1618" xr:uid="{00000000-0004-0000-0000-000051060000}"/>
    <hyperlink ref="B1625" r:id="rId1619" xr:uid="{00000000-0004-0000-0000-000052060000}"/>
    <hyperlink ref="B1626" r:id="rId1620" xr:uid="{00000000-0004-0000-0000-000053060000}"/>
    <hyperlink ref="B1627" r:id="rId1621" xr:uid="{00000000-0004-0000-0000-000054060000}"/>
    <hyperlink ref="B1628" r:id="rId1622" xr:uid="{00000000-0004-0000-0000-000055060000}"/>
    <hyperlink ref="B1629" r:id="rId1623" xr:uid="{00000000-0004-0000-0000-000056060000}"/>
    <hyperlink ref="B1630" r:id="rId1624" xr:uid="{00000000-0004-0000-0000-000057060000}"/>
    <hyperlink ref="B1631" r:id="rId1625" xr:uid="{00000000-0004-0000-0000-000058060000}"/>
    <hyperlink ref="B1632" r:id="rId1626" xr:uid="{00000000-0004-0000-0000-000059060000}"/>
    <hyperlink ref="B1633" r:id="rId1627" xr:uid="{00000000-0004-0000-0000-00005A060000}"/>
    <hyperlink ref="B1634" r:id="rId1628" xr:uid="{00000000-0004-0000-0000-00005B060000}"/>
    <hyperlink ref="B1635" r:id="rId1629" xr:uid="{00000000-0004-0000-0000-00005C060000}"/>
    <hyperlink ref="B1636" r:id="rId1630" xr:uid="{00000000-0004-0000-0000-00005D060000}"/>
    <hyperlink ref="B1637" r:id="rId1631" xr:uid="{00000000-0004-0000-0000-00005E060000}"/>
    <hyperlink ref="B1638" r:id="rId1632" xr:uid="{00000000-0004-0000-0000-00005F060000}"/>
    <hyperlink ref="B1639" r:id="rId1633" xr:uid="{00000000-0004-0000-0000-000060060000}"/>
    <hyperlink ref="B1640" r:id="rId1634" xr:uid="{00000000-0004-0000-0000-000061060000}"/>
    <hyperlink ref="B1641" r:id="rId1635" xr:uid="{00000000-0004-0000-0000-000062060000}"/>
    <hyperlink ref="B1642" r:id="rId1636" xr:uid="{00000000-0004-0000-0000-000063060000}"/>
    <hyperlink ref="B1643" r:id="rId1637" xr:uid="{00000000-0004-0000-0000-000064060000}"/>
    <hyperlink ref="B1644" r:id="rId1638" xr:uid="{00000000-0004-0000-0000-000065060000}"/>
    <hyperlink ref="B1645" r:id="rId1639" xr:uid="{00000000-0004-0000-0000-000066060000}"/>
    <hyperlink ref="B1646" r:id="rId1640" xr:uid="{00000000-0004-0000-0000-000067060000}"/>
    <hyperlink ref="B1647" r:id="rId1641" xr:uid="{00000000-0004-0000-0000-000068060000}"/>
    <hyperlink ref="B1648" r:id="rId1642" xr:uid="{00000000-0004-0000-0000-000069060000}"/>
    <hyperlink ref="B1649" r:id="rId1643" xr:uid="{00000000-0004-0000-0000-00006A060000}"/>
    <hyperlink ref="B1650" r:id="rId1644" xr:uid="{00000000-0004-0000-0000-00006B060000}"/>
    <hyperlink ref="B1651" r:id="rId1645" xr:uid="{00000000-0004-0000-0000-00006C060000}"/>
    <hyperlink ref="B1652" r:id="rId1646" xr:uid="{00000000-0004-0000-0000-00006D060000}"/>
    <hyperlink ref="B1653" r:id="rId1647" xr:uid="{00000000-0004-0000-0000-00006E060000}"/>
    <hyperlink ref="B1654" r:id="rId1648" xr:uid="{00000000-0004-0000-0000-00006F060000}"/>
    <hyperlink ref="B1655" r:id="rId1649" xr:uid="{00000000-0004-0000-0000-000070060000}"/>
    <hyperlink ref="B1656" r:id="rId1650" xr:uid="{00000000-0004-0000-0000-000071060000}"/>
    <hyperlink ref="B1657" r:id="rId1651" xr:uid="{00000000-0004-0000-0000-000072060000}"/>
    <hyperlink ref="B1658" r:id="rId1652" xr:uid="{00000000-0004-0000-0000-000073060000}"/>
    <hyperlink ref="B1659" r:id="rId1653" xr:uid="{00000000-0004-0000-0000-000074060000}"/>
    <hyperlink ref="B1660" r:id="rId1654" xr:uid="{00000000-0004-0000-0000-000075060000}"/>
    <hyperlink ref="B1661" r:id="rId1655" xr:uid="{00000000-0004-0000-0000-000076060000}"/>
    <hyperlink ref="B1662" r:id="rId1656" xr:uid="{00000000-0004-0000-0000-000077060000}"/>
    <hyperlink ref="B1663" r:id="rId1657" xr:uid="{00000000-0004-0000-0000-000078060000}"/>
    <hyperlink ref="B1664" r:id="rId1658" xr:uid="{00000000-0004-0000-0000-000079060000}"/>
    <hyperlink ref="B1665" r:id="rId1659" xr:uid="{00000000-0004-0000-0000-00007A060000}"/>
    <hyperlink ref="B1666" r:id="rId1660" xr:uid="{00000000-0004-0000-0000-00007B060000}"/>
    <hyperlink ref="B1667" r:id="rId1661" xr:uid="{00000000-0004-0000-0000-00007C060000}"/>
    <hyperlink ref="B1668" r:id="rId1662" xr:uid="{00000000-0004-0000-0000-00007D060000}"/>
    <hyperlink ref="B1669" r:id="rId1663" xr:uid="{00000000-0004-0000-0000-00007E060000}"/>
    <hyperlink ref="B1670" r:id="rId1664" xr:uid="{00000000-0004-0000-0000-00007F060000}"/>
    <hyperlink ref="B1671" r:id="rId1665" xr:uid="{00000000-0004-0000-0000-000080060000}"/>
    <hyperlink ref="B1672" r:id="rId1666" xr:uid="{00000000-0004-0000-0000-000081060000}"/>
    <hyperlink ref="B1673" r:id="rId1667" xr:uid="{00000000-0004-0000-0000-000082060000}"/>
    <hyperlink ref="B1674" r:id="rId1668" xr:uid="{00000000-0004-0000-0000-000083060000}"/>
    <hyperlink ref="B1675" r:id="rId1669" xr:uid="{00000000-0004-0000-0000-000084060000}"/>
    <hyperlink ref="B1676" r:id="rId1670" xr:uid="{00000000-0004-0000-0000-000085060000}"/>
    <hyperlink ref="B1677" r:id="rId1671" xr:uid="{00000000-0004-0000-0000-000086060000}"/>
    <hyperlink ref="B1678" r:id="rId1672" xr:uid="{00000000-0004-0000-0000-000087060000}"/>
    <hyperlink ref="B1679" r:id="rId1673" xr:uid="{00000000-0004-0000-0000-000088060000}"/>
    <hyperlink ref="B1680" r:id="rId1674" xr:uid="{00000000-0004-0000-0000-000089060000}"/>
    <hyperlink ref="B1681" r:id="rId1675" xr:uid="{00000000-0004-0000-0000-00008A060000}"/>
    <hyperlink ref="B1682" r:id="rId1676" xr:uid="{00000000-0004-0000-0000-00008B060000}"/>
    <hyperlink ref="B1683" r:id="rId1677" xr:uid="{00000000-0004-0000-0000-00008C060000}"/>
    <hyperlink ref="B1684" r:id="rId1678" xr:uid="{00000000-0004-0000-0000-00008D060000}"/>
    <hyperlink ref="B1685" r:id="rId1679" xr:uid="{00000000-0004-0000-0000-00008E060000}"/>
    <hyperlink ref="B1686" r:id="rId1680" xr:uid="{00000000-0004-0000-0000-00008F060000}"/>
    <hyperlink ref="B1687" r:id="rId1681" xr:uid="{00000000-0004-0000-0000-000090060000}"/>
    <hyperlink ref="B1688" r:id="rId1682" xr:uid="{00000000-0004-0000-0000-000091060000}"/>
    <hyperlink ref="B1689" r:id="rId1683" xr:uid="{00000000-0004-0000-0000-000092060000}"/>
    <hyperlink ref="B1690" r:id="rId1684" xr:uid="{00000000-0004-0000-0000-000093060000}"/>
    <hyperlink ref="B1691" r:id="rId1685" xr:uid="{00000000-0004-0000-0000-000094060000}"/>
    <hyperlink ref="B1692" r:id="rId1686" xr:uid="{00000000-0004-0000-0000-000095060000}"/>
    <hyperlink ref="B1693" r:id="rId1687" xr:uid="{00000000-0004-0000-0000-000096060000}"/>
    <hyperlink ref="B1694" r:id="rId1688" xr:uid="{00000000-0004-0000-0000-000097060000}"/>
    <hyperlink ref="B1695" r:id="rId1689" xr:uid="{00000000-0004-0000-0000-000098060000}"/>
    <hyperlink ref="B1696" r:id="rId1690" xr:uid="{00000000-0004-0000-0000-000099060000}"/>
    <hyperlink ref="B1697" r:id="rId1691" xr:uid="{00000000-0004-0000-0000-00009A060000}"/>
    <hyperlink ref="B1698" r:id="rId1692" xr:uid="{00000000-0004-0000-0000-00009B060000}"/>
    <hyperlink ref="B1699" r:id="rId1693" xr:uid="{00000000-0004-0000-0000-00009C060000}"/>
    <hyperlink ref="B1700" r:id="rId1694" xr:uid="{00000000-0004-0000-0000-00009D060000}"/>
    <hyperlink ref="B1701" r:id="rId1695" xr:uid="{00000000-0004-0000-0000-00009E060000}"/>
    <hyperlink ref="B1702" r:id="rId1696" xr:uid="{00000000-0004-0000-0000-00009F060000}"/>
    <hyperlink ref="B1703" r:id="rId1697" xr:uid="{00000000-0004-0000-0000-0000A0060000}"/>
    <hyperlink ref="B1704" r:id="rId1698" xr:uid="{00000000-0004-0000-0000-0000A1060000}"/>
    <hyperlink ref="B1705" r:id="rId1699" xr:uid="{00000000-0004-0000-0000-0000A2060000}"/>
    <hyperlink ref="B1706" r:id="rId1700" xr:uid="{00000000-0004-0000-0000-0000A3060000}"/>
    <hyperlink ref="B1707" r:id="rId1701" xr:uid="{00000000-0004-0000-0000-0000A4060000}"/>
    <hyperlink ref="B1708" r:id="rId1702" xr:uid="{00000000-0004-0000-0000-0000A5060000}"/>
    <hyperlink ref="B1709" r:id="rId1703" xr:uid="{00000000-0004-0000-0000-0000A6060000}"/>
    <hyperlink ref="B1710" r:id="rId1704" xr:uid="{00000000-0004-0000-0000-0000A7060000}"/>
    <hyperlink ref="B1711" r:id="rId1705" xr:uid="{00000000-0004-0000-0000-0000A8060000}"/>
    <hyperlink ref="B1712" r:id="rId1706" xr:uid="{00000000-0004-0000-0000-0000A9060000}"/>
    <hyperlink ref="B1713" r:id="rId1707" xr:uid="{00000000-0004-0000-0000-0000AA060000}"/>
    <hyperlink ref="B1714" r:id="rId1708" xr:uid="{00000000-0004-0000-0000-0000AB060000}"/>
    <hyperlink ref="B1715" r:id="rId1709" xr:uid="{00000000-0004-0000-0000-0000AC060000}"/>
    <hyperlink ref="B1716" r:id="rId1710" xr:uid="{00000000-0004-0000-0000-0000AD060000}"/>
    <hyperlink ref="B1717" r:id="rId1711" xr:uid="{00000000-0004-0000-0000-0000AE060000}"/>
    <hyperlink ref="B1718" r:id="rId1712" xr:uid="{00000000-0004-0000-0000-0000AF060000}"/>
    <hyperlink ref="B1719" r:id="rId1713" xr:uid="{00000000-0004-0000-0000-0000B0060000}"/>
    <hyperlink ref="B1720" r:id="rId1714" xr:uid="{00000000-0004-0000-0000-0000B1060000}"/>
    <hyperlink ref="B1721" r:id="rId1715" xr:uid="{00000000-0004-0000-0000-0000B2060000}"/>
    <hyperlink ref="B1722" r:id="rId1716" xr:uid="{00000000-0004-0000-0000-0000B3060000}"/>
    <hyperlink ref="B1723" r:id="rId1717" xr:uid="{00000000-0004-0000-0000-0000B4060000}"/>
    <hyperlink ref="B1724" r:id="rId1718" xr:uid="{00000000-0004-0000-0000-0000B5060000}"/>
    <hyperlink ref="B1725" r:id="rId1719" xr:uid="{00000000-0004-0000-0000-0000B6060000}"/>
    <hyperlink ref="B1726" r:id="rId1720" xr:uid="{00000000-0004-0000-0000-0000B7060000}"/>
    <hyperlink ref="B1727" r:id="rId1721" xr:uid="{00000000-0004-0000-0000-0000B8060000}"/>
    <hyperlink ref="B1728" r:id="rId1722" xr:uid="{00000000-0004-0000-0000-0000B9060000}"/>
    <hyperlink ref="B1729" r:id="rId1723" xr:uid="{00000000-0004-0000-0000-0000BA060000}"/>
    <hyperlink ref="B1730" r:id="rId1724" xr:uid="{00000000-0004-0000-0000-0000BB060000}"/>
    <hyperlink ref="B1731" r:id="rId1725" xr:uid="{00000000-0004-0000-0000-0000BC060000}"/>
    <hyperlink ref="B1732" r:id="rId1726" xr:uid="{00000000-0004-0000-0000-0000BD060000}"/>
    <hyperlink ref="B1733" r:id="rId1727" xr:uid="{00000000-0004-0000-0000-0000BE060000}"/>
    <hyperlink ref="B1734" r:id="rId1728" xr:uid="{00000000-0004-0000-0000-0000BF060000}"/>
    <hyperlink ref="B1735" r:id="rId1729" xr:uid="{00000000-0004-0000-0000-0000C0060000}"/>
    <hyperlink ref="B1736" r:id="rId1730" xr:uid="{00000000-0004-0000-0000-0000C1060000}"/>
    <hyperlink ref="B1737" r:id="rId1731" xr:uid="{00000000-0004-0000-0000-0000C2060000}"/>
    <hyperlink ref="B1738" r:id="rId1732" xr:uid="{00000000-0004-0000-0000-0000C3060000}"/>
    <hyperlink ref="B1739" r:id="rId1733" xr:uid="{00000000-0004-0000-0000-0000C4060000}"/>
    <hyperlink ref="B1740" r:id="rId1734" xr:uid="{00000000-0004-0000-0000-0000C5060000}"/>
    <hyperlink ref="B1741" r:id="rId1735" xr:uid="{00000000-0004-0000-0000-0000C6060000}"/>
    <hyperlink ref="B1742" r:id="rId1736" xr:uid="{00000000-0004-0000-0000-0000C7060000}"/>
    <hyperlink ref="B1743" r:id="rId1737" xr:uid="{00000000-0004-0000-0000-0000C8060000}"/>
    <hyperlink ref="B1744" r:id="rId1738" xr:uid="{00000000-0004-0000-0000-0000C9060000}"/>
    <hyperlink ref="B1745" r:id="rId1739" xr:uid="{00000000-0004-0000-0000-0000CA060000}"/>
    <hyperlink ref="B1746" r:id="rId1740" xr:uid="{00000000-0004-0000-0000-0000CB060000}"/>
    <hyperlink ref="B1747" r:id="rId1741" xr:uid="{00000000-0004-0000-0000-0000CC060000}"/>
    <hyperlink ref="B1748" r:id="rId1742" xr:uid="{00000000-0004-0000-0000-0000CD060000}"/>
    <hyperlink ref="B1749" r:id="rId1743" xr:uid="{00000000-0004-0000-0000-0000CE060000}"/>
    <hyperlink ref="B1750" r:id="rId1744" xr:uid="{00000000-0004-0000-0000-0000CF060000}"/>
    <hyperlink ref="B1751" r:id="rId1745" xr:uid="{00000000-0004-0000-0000-0000D0060000}"/>
    <hyperlink ref="B1752" r:id="rId1746" xr:uid="{00000000-0004-0000-0000-0000D1060000}"/>
    <hyperlink ref="B1753" r:id="rId1747" xr:uid="{00000000-0004-0000-0000-0000D2060000}"/>
    <hyperlink ref="B1754" r:id="rId1748" xr:uid="{00000000-0004-0000-0000-0000D3060000}"/>
    <hyperlink ref="B1755" r:id="rId1749" xr:uid="{00000000-0004-0000-0000-0000D4060000}"/>
    <hyperlink ref="B1756" r:id="rId1750" xr:uid="{00000000-0004-0000-0000-0000D5060000}"/>
    <hyperlink ref="B1757" r:id="rId1751" xr:uid="{00000000-0004-0000-0000-0000D6060000}"/>
    <hyperlink ref="B1758" r:id="rId1752" xr:uid="{00000000-0004-0000-0000-0000D7060000}"/>
    <hyperlink ref="B1759" r:id="rId1753" xr:uid="{00000000-0004-0000-0000-0000D8060000}"/>
    <hyperlink ref="B1760" r:id="rId1754" xr:uid="{00000000-0004-0000-0000-0000D9060000}"/>
    <hyperlink ref="B1761" r:id="rId1755" xr:uid="{00000000-0004-0000-0000-0000DA060000}"/>
    <hyperlink ref="B1762" r:id="rId1756" xr:uid="{00000000-0004-0000-0000-0000DB060000}"/>
    <hyperlink ref="B1763" r:id="rId1757" xr:uid="{00000000-0004-0000-0000-0000DC060000}"/>
    <hyperlink ref="B1764" r:id="rId1758" xr:uid="{00000000-0004-0000-0000-0000DD060000}"/>
    <hyperlink ref="B1765" r:id="rId1759" xr:uid="{00000000-0004-0000-0000-0000DE060000}"/>
    <hyperlink ref="B1766" r:id="rId1760" xr:uid="{00000000-0004-0000-0000-0000DF060000}"/>
    <hyperlink ref="B1767" r:id="rId1761" xr:uid="{00000000-0004-0000-0000-0000E0060000}"/>
    <hyperlink ref="B1768" r:id="rId1762" xr:uid="{00000000-0004-0000-0000-0000E1060000}"/>
    <hyperlink ref="B1769" r:id="rId1763" xr:uid="{00000000-0004-0000-0000-0000E2060000}"/>
    <hyperlink ref="B1770" r:id="rId1764" xr:uid="{00000000-0004-0000-0000-0000E3060000}"/>
    <hyperlink ref="B1771" r:id="rId1765" xr:uid="{00000000-0004-0000-0000-0000E4060000}"/>
    <hyperlink ref="B1772" r:id="rId1766" xr:uid="{00000000-0004-0000-0000-0000E5060000}"/>
    <hyperlink ref="B1773" r:id="rId1767" xr:uid="{00000000-0004-0000-0000-0000E6060000}"/>
    <hyperlink ref="B1774" r:id="rId1768" xr:uid="{00000000-0004-0000-0000-0000E7060000}"/>
    <hyperlink ref="B1775" r:id="rId1769" xr:uid="{00000000-0004-0000-0000-0000E8060000}"/>
    <hyperlink ref="B1776" r:id="rId1770" xr:uid="{00000000-0004-0000-0000-0000E9060000}"/>
    <hyperlink ref="B1777" r:id="rId1771" xr:uid="{00000000-0004-0000-0000-0000EA060000}"/>
    <hyperlink ref="B1778" r:id="rId1772" xr:uid="{00000000-0004-0000-0000-0000EB060000}"/>
    <hyperlink ref="B1779" r:id="rId1773" xr:uid="{00000000-0004-0000-0000-0000EC060000}"/>
    <hyperlink ref="B1780" r:id="rId1774" xr:uid="{00000000-0004-0000-0000-0000ED060000}"/>
    <hyperlink ref="B1781" r:id="rId1775" xr:uid="{00000000-0004-0000-0000-0000EE060000}"/>
    <hyperlink ref="B1782" r:id="rId1776" xr:uid="{00000000-0004-0000-0000-0000EF060000}"/>
    <hyperlink ref="B1783" r:id="rId1777" xr:uid="{00000000-0004-0000-0000-0000F0060000}"/>
    <hyperlink ref="B1784" r:id="rId1778" xr:uid="{00000000-0004-0000-0000-0000F1060000}"/>
    <hyperlink ref="B1785" r:id="rId1779" xr:uid="{00000000-0004-0000-0000-0000F2060000}"/>
    <hyperlink ref="B1786" r:id="rId1780" xr:uid="{00000000-0004-0000-0000-0000F3060000}"/>
    <hyperlink ref="B1787" r:id="rId1781" xr:uid="{00000000-0004-0000-0000-0000F4060000}"/>
    <hyperlink ref="B1788" r:id="rId1782" xr:uid="{00000000-0004-0000-0000-0000F5060000}"/>
    <hyperlink ref="B1789" r:id="rId1783" xr:uid="{00000000-0004-0000-0000-0000F6060000}"/>
    <hyperlink ref="B1790" r:id="rId1784" xr:uid="{00000000-0004-0000-0000-0000F7060000}"/>
    <hyperlink ref="B1791" r:id="rId1785" xr:uid="{00000000-0004-0000-0000-0000F8060000}"/>
    <hyperlink ref="B1792" r:id="rId1786" xr:uid="{00000000-0004-0000-0000-0000F9060000}"/>
    <hyperlink ref="B1793" r:id="rId1787" xr:uid="{00000000-0004-0000-0000-0000FA060000}"/>
    <hyperlink ref="B1794" r:id="rId1788" xr:uid="{00000000-0004-0000-0000-0000FB060000}"/>
    <hyperlink ref="B1795" r:id="rId1789" xr:uid="{00000000-0004-0000-0000-0000FC060000}"/>
    <hyperlink ref="B1796" r:id="rId1790" xr:uid="{00000000-0004-0000-0000-0000FD060000}"/>
    <hyperlink ref="B1797" r:id="rId1791" xr:uid="{00000000-0004-0000-0000-0000FE060000}"/>
    <hyperlink ref="B1798" r:id="rId1792" xr:uid="{00000000-0004-0000-0000-0000FF060000}"/>
    <hyperlink ref="B1799" r:id="rId1793" xr:uid="{00000000-0004-0000-0000-000000070000}"/>
    <hyperlink ref="B1800" r:id="rId1794" xr:uid="{00000000-0004-0000-0000-000001070000}"/>
    <hyperlink ref="B1801" r:id="rId1795" xr:uid="{00000000-0004-0000-0000-000002070000}"/>
    <hyperlink ref="B1802" r:id="rId1796" xr:uid="{00000000-0004-0000-0000-000003070000}"/>
    <hyperlink ref="B1803" r:id="rId1797" xr:uid="{00000000-0004-0000-0000-000004070000}"/>
    <hyperlink ref="B1804" r:id="rId1798" xr:uid="{00000000-0004-0000-0000-000005070000}"/>
    <hyperlink ref="B1805" r:id="rId1799" xr:uid="{00000000-0004-0000-0000-000006070000}"/>
    <hyperlink ref="B1806" r:id="rId1800" xr:uid="{00000000-0004-0000-0000-000007070000}"/>
    <hyperlink ref="B1807" r:id="rId1801" xr:uid="{00000000-0004-0000-0000-000008070000}"/>
    <hyperlink ref="B1808" r:id="rId1802" xr:uid="{00000000-0004-0000-0000-000009070000}"/>
    <hyperlink ref="B1809" r:id="rId1803" xr:uid="{00000000-0004-0000-0000-00000A070000}"/>
    <hyperlink ref="B1810" r:id="rId1804" xr:uid="{00000000-0004-0000-0000-00000B070000}"/>
    <hyperlink ref="B1811" r:id="rId1805" xr:uid="{00000000-0004-0000-0000-00000C070000}"/>
    <hyperlink ref="B1812" r:id="rId1806" xr:uid="{00000000-0004-0000-0000-00000D070000}"/>
    <hyperlink ref="B1813" r:id="rId1807" xr:uid="{00000000-0004-0000-0000-00000E070000}"/>
    <hyperlink ref="B1814" r:id="rId1808" xr:uid="{00000000-0004-0000-0000-00000F070000}"/>
    <hyperlink ref="B1815" r:id="rId1809" xr:uid="{00000000-0004-0000-0000-000010070000}"/>
    <hyperlink ref="B1816" r:id="rId1810" xr:uid="{00000000-0004-0000-0000-000011070000}"/>
    <hyperlink ref="B1817" r:id="rId1811" xr:uid="{00000000-0004-0000-0000-000012070000}"/>
    <hyperlink ref="B1818" r:id="rId1812" xr:uid="{00000000-0004-0000-0000-000013070000}"/>
    <hyperlink ref="B1819" r:id="rId1813" xr:uid="{00000000-0004-0000-0000-000014070000}"/>
    <hyperlink ref="B1820" r:id="rId1814" xr:uid="{00000000-0004-0000-0000-000015070000}"/>
    <hyperlink ref="B1821" r:id="rId1815" xr:uid="{00000000-0004-0000-0000-000016070000}"/>
    <hyperlink ref="B1822" r:id="rId1816" xr:uid="{00000000-0004-0000-0000-000017070000}"/>
    <hyperlink ref="B1823" r:id="rId1817" xr:uid="{00000000-0004-0000-0000-000018070000}"/>
    <hyperlink ref="B1824" r:id="rId1818" xr:uid="{00000000-0004-0000-0000-000019070000}"/>
    <hyperlink ref="B1825" r:id="rId1819" xr:uid="{00000000-0004-0000-0000-00001A070000}"/>
    <hyperlink ref="B1826" r:id="rId1820" xr:uid="{00000000-0004-0000-0000-00001B070000}"/>
    <hyperlink ref="B1827" r:id="rId1821" xr:uid="{00000000-0004-0000-0000-00001C070000}"/>
    <hyperlink ref="B1828" r:id="rId1822" xr:uid="{00000000-0004-0000-0000-00001D070000}"/>
    <hyperlink ref="B1829" r:id="rId1823" xr:uid="{00000000-0004-0000-0000-00001E070000}"/>
    <hyperlink ref="B1830" r:id="rId1824" xr:uid="{00000000-0004-0000-0000-00001F070000}"/>
    <hyperlink ref="B1831" r:id="rId1825" xr:uid="{00000000-0004-0000-0000-000020070000}"/>
    <hyperlink ref="B1832" r:id="rId1826" xr:uid="{00000000-0004-0000-0000-000021070000}"/>
    <hyperlink ref="B1833" r:id="rId1827" xr:uid="{00000000-0004-0000-0000-000022070000}"/>
    <hyperlink ref="B1834" r:id="rId1828" xr:uid="{00000000-0004-0000-0000-000023070000}"/>
    <hyperlink ref="B1835" r:id="rId1829" xr:uid="{00000000-0004-0000-0000-000024070000}"/>
    <hyperlink ref="B1836" r:id="rId1830" xr:uid="{00000000-0004-0000-0000-000025070000}"/>
    <hyperlink ref="B1837" r:id="rId1831" xr:uid="{00000000-0004-0000-0000-000026070000}"/>
    <hyperlink ref="B1838" r:id="rId1832" xr:uid="{00000000-0004-0000-0000-000027070000}"/>
    <hyperlink ref="B1839" r:id="rId1833" xr:uid="{00000000-0004-0000-0000-000028070000}"/>
    <hyperlink ref="B1840" r:id="rId1834" xr:uid="{00000000-0004-0000-0000-000029070000}"/>
    <hyperlink ref="B1841" r:id="rId1835" xr:uid="{00000000-0004-0000-0000-00002A070000}"/>
    <hyperlink ref="B1842" r:id="rId1836" xr:uid="{00000000-0004-0000-0000-00002B070000}"/>
    <hyperlink ref="B1843" r:id="rId1837" xr:uid="{00000000-0004-0000-0000-00002C070000}"/>
    <hyperlink ref="B1844" r:id="rId1838" xr:uid="{00000000-0004-0000-0000-00002D070000}"/>
    <hyperlink ref="B1845" r:id="rId1839" xr:uid="{00000000-0004-0000-0000-00002E070000}"/>
    <hyperlink ref="B1846" r:id="rId1840" xr:uid="{00000000-0004-0000-0000-00002F070000}"/>
    <hyperlink ref="B1847" r:id="rId1841" xr:uid="{00000000-0004-0000-0000-000030070000}"/>
    <hyperlink ref="B1848" r:id="rId1842" xr:uid="{00000000-0004-0000-0000-000031070000}"/>
    <hyperlink ref="B1849" r:id="rId1843" xr:uid="{00000000-0004-0000-0000-000032070000}"/>
    <hyperlink ref="B1850" r:id="rId1844" xr:uid="{00000000-0004-0000-0000-000033070000}"/>
    <hyperlink ref="B1851" r:id="rId1845" xr:uid="{00000000-0004-0000-0000-000034070000}"/>
    <hyperlink ref="B1852" r:id="rId1846" xr:uid="{00000000-0004-0000-0000-000035070000}"/>
    <hyperlink ref="B1853" r:id="rId1847" xr:uid="{00000000-0004-0000-0000-000036070000}"/>
    <hyperlink ref="B1854" r:id="rId1848" xr:uid="{00000000-0004-0000-0000-000037070000}"/>
    <hyperlink ref="B1855" r:id="rId1849" xr:uid="{00000000-0004-0000-0000-000038070000}"/>
    <hyperlink ref="B1856" r:id="rId1850" xr:uid="{00000000-0004-0000-0000-000039070000}"/>
    <hyperlink ref="B1857" r:id="rId1851" xr:uid="{00000000-0004-0000-0000-00003A070000}"/>
    <hyperlink ref="B1858" r:id="rId1852" xr:uid="{00000000-0004-0000-0000-00003B070000}"/>
    <hyperlink ref="B1859" r:id="rId1853" xr:uid="{00000000-0004-0000-0000-00003C070000}"/>
    <hyperlink ref="B1860" r:id="rId1854" xr:uid="{00000000-0004-0000-0000-00003D070000}"/>
    <hyperlink ref="B1861" r:id="rId1855" xr:uid="{00000000-0004-0000-0000-00003E070000}"/>
    <hyperlink ref="B1862" r:id="rId1856" xr:uid="{00000000-0004-0000-0000-00003F070000}"/>
    <hyperlink ref="B1863" r:id="rId1857" xr:uid="{00000000-0004-0000-0000-000040070000}"/>
    <hyperlink ref="B1864" r:id="rId1858" xr:uid="{00000000-0004-0000-0000-000041070000}"/>
    <hyperlink ref="B1865" r:id="rId1859" xr:uid="{00000000-0004-0000-0000-000042070000}"/>
    <hyperlink ref="B1866" r:id="rId1860" xr:uid="{00000000-0004-0000-0000-000043070000}"/>
    <hyperlink ref="B1867" r:id="rId1861" xr:uid="{00000000-0004-0000-0000-000044070000}"/>
    <hyperlink ref="B1868" r:id="rId1862" xr:uid="{00000000-0004-0000-0000-000045070000}"/>
    <hyperlink ref="B1869" r:id="rId1863" xr:uid="{00000000-0004-0000-0000-000046070000}"/>
    <hyperlink ref="B1870" r:id="rId1864" xr:uid="{00000000-0004-0000-0000-000047070000}"/>
    <hyperlink ref="B1871" r:id="rId1865" xr:uid="{00000000-0004-0000-0000-000048070000}"/>
    <hyperlink ref="B1872" r:id="rId1866" xr:uid="{00000000-0004-0000-0000-000049070000}"/>
    <hyperlink ref="B1873" r:id="rId1867" xr:uid="{00000000-0004-0000-0000-00004A070000}"/>
    <hyperlink ref="B1874" r:id="rId1868" xr:uid="{00000000-0004-0000-0000-00004B070000}"/>
    <hyperlink ref="B1875" r:id="rId1869" xr:uid="{00000000-0004-0000-0000-00004C070000}"/>
    <hyperlink ref="B1876" r:id="rId1870" xr:uid="{00000000-0004-0000-0000-00004D070000}"/>
    <hyperlink ref="B1877" r:id="rId1871" xr:uid="{00000000-0004-0000-0000-00004E070000}"/>
    <hyperlink ref="B1878" r:id="rId1872" xr:uid="{00000000-0004-0000-0000-00004F070000}"/>
    <hyperlink ref="B1879" r:id="rId1873" xr:uid="{00000000-0004-0000-0000-000050070000}"/>
    <hyperlink ref="B1880" r:id="rId1874" xr:uid="{00000000-0004-0000-0000-000051070000}"/>
    <hyperlink ref="B1881" r:id="rId1875" xr:uid="{00000000-0004-0000-0000-000052070000}"/>
    <hyperlink ref="B1882" r:id="rId1876" xr:uid="{00000000-0004-0000-0000-000053070000}"/>
    <hyperlink ref="B1883" r:id="rId1877" xr:uid="{00000000-0004-0000-0000-000054070000}"/>
    <hyperlink ref="B1884" r:id="rId1878" xr:uid="{00000000-0004-0000-0000-000055070000}"/>
    <hyperlink ref="B1885" r:id="rId1879" xr:uid="{00000000-0004-0000-0000-000056070000}"/>
    <hyperlink ref="B1886" r:id="rId1880" xr:uid="{00000000-0004-0000-0000-000057070000}"/>
    <hyperlink ref="B1887" r:id="rId1881" xr:uid="{00000000-0004-0000-0000-000058070000}"/>
    <hyperlink ref="B1888" r:id="rId1882" xr:uid="{00000000-0004-0000-0000-000059070000}"/>
    <hyperlink ref="B1889" r:id="rId1883" xr:uid="{00000000-0004-0000-0000-00005A070000}"/>
    <hyperlink ref="B1890" r:id="rId1884" xr:uid="{00000000-0004-0000-0000-00005B070000}"/>
    <hyperlink ref="B1891" r:id="rId1885" xr:uid="{00000000-0004-0000-0000-00005C070000}"/>
    <hyperlink ref="B1892" r:id="rId1886" xr:uid="{00000000-0004-0000-0000-00005D070000}"/>
    <hyperlink ref="B1893" r:id="rId1887" xr:uid="{00000000-0004-0000-0000-00005E070000}"/>
    <hyperlink ref="B1894" r:id="rId1888" xr:uid="{00000000-0004-0000-0000-00005F070000}"/>
    <hyperlink ref="B1895" r:id="rId1889" xr:uid="{00000000-0004-0000-0000-000060070000}"/>
    <hyperlink ref="B1896" r:id="rId1890" xr:uid="{00000000-0004-0000-0000-000061070000}"/>
    <hyperlink ref="B1897" r:id="rId1891" xr:uid="{00000000-0004-0000-0000-000062070000}"/>
    <hyperlink ref="B1898" r:id="rId1892" xr:uid="{00000000-0004-0000-0000-000063070000}"/>
    <hyperlink ref="B1899" r:id="rId1893" xr:uid="{00000000-0004-0000-0000-000064070000}"/>
    <hyperlink ref="B1900" r:id="rId1894" xr:uid="{00000000-0004-0000-0000-000065070000}"/>
    <hyperlink ref="B1901" r:id="rId1895" xr:uid="{00000000-0004-0000-0000-000066070000}"/>
    <hyperlink ref="B1902" r:id="rId1896" xr:uid="{00000000-0004-0000-0000-000067070000}"/>
    <hyperlink ref="B1903" r:id="rId1897" xr:uid="{00000000-0004-0000-0000-000068070000}"/>
    <hyperlink ref="B1904" r:id="rId1898" xr:uid="{00000000-0004-0000-0000-000069070000}"/>
    <hyperlink ref="B1905" r:id="rId1899" xr:uid="{00000000-0004-0000-0000-00006A070000}"/>
    <hyperlink ref="B1906" r:id="rId1900" xr:uid="{00000000-0004-0000-0000-00006B070000}"/>
    <hyperlink ref="B1907" r:id="rId1901" xr:uid="{00000000-0004-0000-0000-00006C070000}"/>
    <hyperlink ref="B1908" r:id="rId1902" xr:uid="{00000000-0004-0000-0000-00006D070000}"/>
    <hyperlink ref="B1909" r:id="rId1903" xr:uid="{00000000-0004-0000-0000-00006E070000}"/>
    <hyperlink ref="B1910" r:id="rId1904" xr:uid="{00000000-0004-0000-0000-00006F070000}"/>
    <hyperlink ref="B1911" r:id="rId1905" xr:uid="{00000000-0004-0000-0000-000070070000}"/>
    <hyperlink ref="B1912" r:id="rId1906" xr:uid="{00000000-0004-0000-0000-000071070000}"/>
    <hyperlink ref="B1913" r:id="rId1907" xr:uid="{00000000-0004-0000-0000-000072070000}"/>
    <hyperlink ref="B1914" r:id="rId1908" xr:uid="{00000000-0004-0000-0000-000073070000}"/>
    <hyperlink ref="B1915" r:id="rId1909" xr:uid="{00000000-0004-0000-0000-000074070000}"/>
    <hyperlink ref="B1916" r:id="rId1910" xr:uid="{00000000-0004-0000-0000-000075070000}"/>
    <hyperlink ref="B1917" r:id="rId1911" xr:uid="{00000000-0004-0000-0000-000076070000}"/>
    <hyperlink ref="B1918" r:id="rId1912" xr:uid="{00000000-0004-0000-0000-000077070000}"/>
    <hyperlink ref="B1919" r:id="rId1913" xr:uid="{00000000-0004-0000-0000-000078070000}"/>
    <hyperlink ref="B1920" r:id="rId1914" xr:uid="{00000000-0004-0000-0000-000079070000}"/>
    <hyperlink ref="B1921" r:id="rId1915" xr:uid="{00000000-0004-0000-0000-00007A070000}"/>
    <hyperlink ref="B1922" r:id="rId1916" xr:uid="{00000000-0004-0000-0000-00007B070000}"/>
    <hyperlink ref="B1923" r:id="rId1917" xr:uid="{00000000-0004-0000-0000-00007C070000}"/>
    <hyperlink ref="B1924" r:id="rId1918" xr:uid="{00000000-0004-0000-0000-00007D070000}"/>
    <hyperlink ref="B1925" r:id="rId1919" xr:uid="{00000000-0004-0000-0000-00007E070000}"/>
    <hyperlink ref="B1926" r:id="rId1920" xr:uid="{00000000-0004-0000-0000-00007F070000}"/>
    <hyperlink ref="B1927" r:id="rId1921" xr:uid="{00000000-0004-0000-0000-000080070000}"/>
    <hyperlink ref="B1928" r:id="rId1922" xr:uid="{00000000-0004-0000-0000-000081070000}"/>
    <hyperlink ref="B1929" r:id="rId1923" xr:uid="{00000000-0004-0000-0000-000082070000}"/>
    <hyperlink ref="B1930" r:id="rId1924" xr:uid="{00000000-0004-0000-0000-000083070000}"/>
    <hyperlink ref="B1931" r:id="rId1925" xr:uid="{00000000-0004-0000-0000-000084070000}"/>
    <hyperlink ref="B1932" r:id="rId1926" xr:uid="{00000000-0004-0000-0000-000085070000}"/>
    <hyperlink ref="B1933" r:id="rId1927" xr:uid="{00000000-0004-0000-0000-000086070000}"/>
    <hyperlink ref="B1934" r:id="rId1928" xr:uid="{00000000-0004-0000-0000-000087070000}"/>
    <hyperlink ref="B1935" r:id="rId1929" xr:uid="{00000000-0004-0000-0000-000088070000}"/>
    <hyperlink ref="B1936" r:id="rId1930" xr:uid="{00000000-0004-0000-0000-000089070000}"/>
    <hyperlink ref="B1937" r:id="rId1931" xr:uid="{00000000-0004-0000-0000-00008A070000}"/>
    <hyperlink ref="B1938" r:id="rId1932" xr:uid="{00000000-0004-0000-0000-00008B070000}"/>
    <hyperlink ref="B1939" r:id="rId1933" xr:uid="{00000000-0004-0000-0000-00008C070000}"/>
    <hyperlink ref="B1940" r:id="rId1934" xr:uid="{00000000-0004-0000-0000-00008D070000}"/>
    <hyperlink ref="B1941" r:id="rId1935" xr:uid="{00000000-0004-0000-0000-00008E070000}"/>
    <hyperlink ref="B1942" r:id="rId1936" xr:uid="{00000000-0004-0000-0000-00008F070000}"/>
    <hyperlink ref="B1943" r:id="rId1937" xr:uid="{00000000-0004-0000-0000-000090070000}"/>
    <hyperlink ref="B1944" r:id="rId1938" xr:uid="{00000000-0004-0000-0000-000091070000}"/>
    <hyperlink ref="B1945" r:id="rId1939" xr:uid="{00000000-0004-0000-0000-000092070000}"/>
    <hyperlink ref="B1946" r:id="rId1940" xr:uid="{00000000-0004-0000-0000-000093070000}"/>
    <hyperlink ref="B1947" r:id="rId1941" xr:uid="{00000000-0004-0000-0000-000094070000}"/>
    <hyperlink ref="B1948" r:id="rId1942" xr:uid="{00000000-0004-0000-0000-000095070000}"/>
    <hyperlink ref="B1949" r:id="rId1943" xr:uid="{00000000-0004-0000-0000-000096070000}"/>
    <hyperlink ref="B1950" r:id="rId1944" xr:uid="{00000000-0004-0000-0000-000097070000}"/>
    <hyperlink ref="B1951" r:id="rId1945" xr:uid="{00000000-0004-0000-0000-000098070000}"/>
    <hyperlink ref="B1952" r:id="rId1946" xr:uid="{00000000-0004-0000-0000-000099070000}"/>
    <hyperlink ref="B1953" r:id="rId1947" xr:uid="{00000000-0004-0000-0000-00009A070000}"/>
    <hyperlink ref="B1954" r:id="rId1948" xr:uid="{00000000-0004-0000-0000-00009B070000}"/>
    <hyperlink ref="B1955" r:id="rId1949" xr:uid="{00000000-0004-0000-0000-00009C070000}"/>
    <hyperlink ref="B1956" r:id="rId1950" xr:uid="{00000000-0004-0000-0000-00009D070000}"/>
    <hyperlink ref="B1957" r:id="rId1951" xr:uid="{00000000-0004-0000-0000-00009E070000}"/>
    <hyperlink ref="B1958" r:id="rId1952" xr:uid="{00000000-0004-0000-0000-00009F070000}"/>
    <hyperlink ref="B1959" r:id="rId1953" xr:uid="{00000000-0004-0000-0000-0000A0070000}"/>
    <hyperlink ref="B1960" r:id="rId1954" xr:uid="{00000000-0004-0000-0000-0000A1070000}"/>
    <hyperlink ref="B1961" r:id="rId1955" xr:uid="{00000000-0004-0000-0000-0000A2070000}"/>
    <hyperlink ref="B1962" r:id="rId1956" xr:uid="{00000000-0004-0000-0000-0000A3070000}"/>
    <hyperlink ref="B1963" r:id="rId1957" xr:uid="{00000000-0004-0000-0000-0000A4070000}"/>
    <hyperlink ref="B1964" r:id="rId1958" xr:uid="{00000000-0004-0000-0000-0000A5070000}"/>
    <hyperlink ref="B1965" r:id="rId1959" xr:uid="{00000000-0004-0000-0000-0000A6070000}"/>
    <hyperlink ref="B1966" r:id="rId1960" xr:uid="{00000000-0004-0000-0000-0000A7070000}"/>
    <hyperlink ref="B1967" r:id="rId1961" xr:uid="{00000000-0004-0000-0000-0000A8070000}"/>
    <hyperlink ref="B1968" r:id="rId1962" xr:uid="{00000000-0004-0000-0000-0000A9070000}"/>
    <hyperlink ref="B1969" r:id="rId1963" xr:uid="{00000000-0004-0000-0000-0000AA070000}"/>
    <hyperlink ref="B1970" r:id="rId1964" xr:uid="{00000000-0004-0000-0000-0000AB070000}"/>
    <hyperlink ref="B1971" r:id="rId1965" xr:uid="{00000000-0004-0000-0000-0000AC070000}"/>
    <hyperlink ref="B1972" r:id="rId1966" xr:uid="{00000000-0004-0000-0000-0000AD070000}"/>
    <hyperlink ref="B1973" r:id="rId1967" xr:uid="{00000000-0004-0000-0000-0000AE070000}"/>
    <hyperlink ref="B1974" r:id="rId1968" xr:uid="{00000000-0004-0000-0000-0000AF070000}"/>
    <hyperlink ref="B1975" r:id="rId1969" xr:uid="{00000000-0004-0000-0000-0000B0070000}"/>
    <hyperlink ref="B1976" r:id="rId1970" xr:uid="{00000000-0004-0000-0000-0000B1070000}"/>
    <hyperlink ref="B1977" r:id="rId1971" xr:uid="{00000000-0004-0000-0000-0000B2070000}"/>
    <hyperlink ref="B1978" r:id="rId1972" xr:uid="{00000000-0004-0000-0000-0000B3070000}"/>
    <hyperlink ref="B1979" r:id="rId1973" xr:uid="{00000000-0004-0000-0000-0000B4070000}"/>
    <hyperlink ref="B1980" r:id="rId1974" xr:uid="{00000000-0004-0000-0000-0000B5070000}"/>
    <hyperlink ref="B1981" r:id="rId1975" xr:uid="{00000000-0004-0000-0000-0000B6070000}"/>
    <hyperlink ref="B1982" r:id="rId1976" xr:uid="{00000000-0004-0000-0000-0000B7070000}"/>
    <hyperlink ref="B1983" r:id="rId1977" xr:uid="{00000000-0004-0000-0000-0000B8070000}"/>
    <hyperlink ref="B1984" r:id="rId1978" xr:uid="{00000000-0004-0000-0000-0000B9070000}"/>
    <hyperlink ref="B1985" r:id="rId1979" xr:uid="{00000000-0004-0000-0000-0000BA070000}"/>
    <hyperlink ref="B1986" r:id="rId1980" xr:uid="{00000000-0004-0000-0000-0000BB070000}"/>
    <hyperlink ref="B1987" r:id="rId1981" xr:uid="{00000000-0004-0000-0000-0000BC070000}"/>
    <hyperlink ref="B1988" r:id="rId1982" xr:uid="{00000000-0004-0000-0000-0000BD070000}"/>
    <hyperlink ref="B1989" r:id="rId1983" xr:uid="{00000000-0004-0000-0000-0000BE070000}"/>
    <hyperlink ref="B1990" r:id="rId1984" xr:uid="{00000000-0004-0000-0000-0000BF070000}"/>
    <hyperlink ref="B1991" r:id="rId1985" xr:uid="{00000000-0004-0000-0000-0000C0070000}"/>
    <hyperlink ref="B1992" r:id="rId1986" xr:uid="{00000000-0004-0000-0000-0000C1070000}"/>
    <hyperlink ref="B1993" r:id="rId1987" xr:uid="{00000000-0004-0000-0000-0000C2070000}"/>
    <hyperlink ref="B1994" r:id="rId1988" xr:uid="{00000000-0004-0000-0000-0000C3070000}"/>
    <hyperlink ref="B1995" r:id="rId1989" xr:uid="{00000000-0004-0000-0000-0000C4070000}"/>
    <hyperlink ref="B1996" r:id="rId1990" xr:uid="{00000000-0004-0000-0000-0000C5070000}"/>
    <hyperlink ref="B1997" r:id="rId1991" xr:uid="{00000000-0004-0000-0000-0000C6070000}"/>
    <hyperlink ref="B1998" r:id="rId1992" xr:uid="{00000000-0004-0000-0000-0000C7070000}"/>
    <hyperlink ref="B1999" r:id="rId1993" xr:uid="{00000000-0004-0000-0000-0000C8070000}"/>
    <hyperlink ref="B2000" r:id="rId1994" xr:uid="{00000000-0004-0000-0000-0000C9070000}"/>
    <hyperlink ref="B2001" r:id="rId1995" xr:uid="{00000000-0004-0000-0000-0000CA070000}"/>
    <hyperlink ref="B2002" r:id="rId1996" xr:uid="{00000000-0004-0000-0000-0000CB070000}"/>
    <hyperlink ref="B2003" r:id="rId1997" xr:uid="{00000000-0004-0000-0000-0000CC070000}"/>
    <hyperlink ref="B2004" r:id="rId1998" xr:uid="{00000000-0004-0000-0000-0000CD070000}"/>
    <hyperlink ref="B2005" r:id="rId1999" xr:uid="{00000000-0004-0000-0000-0000CE070000}"/>
    <hyperlink ref="B2006" r:id="rId2000" xr:uid="{00000000-0004-0000-0000-0000CF070000}"/>
    <hyperlink ref="B2007" r:id="rId2001" xr:uid="{00000000-0004-0000-0000-0000D0070000}"/>
    <hyperlink ref="B2008" r:id="rId2002" xr:uid="{00000000-0004-0000-0000-0000D1070000}"/>
    <hyperlink ref="B2009" r:id="rId2003" xr:uid="{00000000-0004-0000-0000-0000D2070000}"/>
    <hyperlink ref="B2010" r:id="rId2004" xr:uid="{00000000-0004-0000-0000-0000D3070000}"/>
    <hyperlink ref="B2011" r:id="rId2005" xr:uid="{00000000-0004-0000-0000-0000D4070000}"/>
    <hyperlink ref="B2012" r:id="rId2006" xr:uid="{00000000-0004-0000-0000-0000D5070000}"/>
    <hyperlink ref="B2013" r:id="rId2007" xr:uid="{00000000-0004-0000-0000-0000D6070000}"/>
    <hyperlink ref="B2014" r:id="rId2008" xr:uid="{00000000-0004-0000-0000-0000D7070000}"/>
    <hyperlink ref="B2015" r:id="rId2009" xr:uid="{00000000-0004-0000-0000-0000D8070000}"/>
    <hyperlink ref="B2016" r:id="rId2010" xr:uid="{00000000-0004-0000-0000-0000D9070000}"/>
    <hyperlink ref="B2017" r:id="rId2011" xr:uid="{00000000-0004-0000-0000-0000DA070000}"/>
    <hyperlink ref="B2018" r:id="rId2012" xr:uid="{00000000-0004-0000-0000-0000DB070000}"/>
    <hyperlink ref="B2019" r:id="rId2013" xr:uid="{00000000-0004-0000-0000-0000DC070000}"/>
    <hyperlink ref="B2020" r:id="rId2014" xr:uid="{00000000-0004-0000-0000-0000DD070000}"/>
    <hyperlink ref="B2021" r:id="rId2015" xr:uid="{00000000-0004-0000-0000-0000DE070000}"/>
    <hyperlink ref="B2022" r:id="rId2016" xr:uid="{00000000-0004-0000-0000-0000DF070000}"/>
    <hyperlink ref="B2023" r:id="rId2017" xr:uid="{00000000-0004-0000-0000-0000E0070000}"/>
    <hyperlink ref="B2024" r:id="rId2018" xr:uid="{00000000-0004-0000-0000-0000E1070000}"/>
    <hyperlink ref="B2025" r:id="rId2019" xr:uid="{00000000-0004-0000-0000-0000E2070000}"/>
    <hyperlink ref="B2026" r:id="rId2020" xr:uid="{00000000-0004-0000-0000-0000E3070000}"/>
    <hyperlink ref="B2027" r:id="rId2021" xr:uid="{00000000-0004-0000-0000-0000E4070000}"/>
    <hyperlink ref="B2028" r:id="rId2022" xr:uid="{00000000-0004-0000-0000-0000E5070000}"/>
    <hyperlink ref="B2029" r:id="rId2023" xr:uid="{00000000-0004-0000-0000-0000E6070000}"/>
    <hyperlink ref="B2030" r:id="rId2024" xr:uid="{00000000-0004-0000-0000-0000E7070000}"/>
    <hyperlink ref="B2031" r:id="rId2025" xr:uid="{00000000-0004-0000-0000-0000E8070000}"/>
    <hyperlink ref="B2032" r:id="rId2026" xr:uid="{00000000-0004-0000-0000-0000E9070000}"/>
    <hyperlink ref="B2033" r:id="rId2027" xr:uid="{00000000-0004-0000-0000-0000EA070000}"/>
    <hyperlink ref="B2034" r:id="rId2028" xr:uid="{00000000-0004-0000-0000-0000EB070000}"/>
    <hyperlink ref="B2035" r:id="rId2029" xr:uid="{00000000-0004-0000-0000-0000EC070000}"/>
    <hyperlink ref="B2036" r:id="rId2030" xr:uid="{00000000-0004-0000-0000-0000ED070000}"/>
    <hyperlink ref="B2037" r:id="rId2031" xr:uid="{00000000-0004-0000-0000-0000EE070000}"/>
    <hyperlink ref="B2038" r:id="rId2032" xr:uid="{00000000-0004-0000-0000-0000EF070000}"/>
    <hyperlink ref="B2039" r:id="rId2033" xr:uid="{00000000-0004-0000-0000-0000F0070000}"/>
    <hyperlink ref="B2040" r:id="rId2034" xr:uid="{00000000-0004-0000-0000-0000F1070000}"/>
    <hyperlink ref="B2041" r:id="rId2035" xr:uid="{00000000-0004-0000-0000-0000F2070000}"/>
    <hyperlink ref="B2042" r:id="rId2036" xr:uid="{00000000-0004-0000-0000-0000F3070000}"/>
    <hyperlink ref="B2043" r:id="rId2037" xr:uid="{00000000-0004-0000-0000-0000F4070000}"/>
    <hyperlink ref="B2044" r:id="rId2038" xr:uid="{00000000-0004-0000-0000-0000F5070000}"/>
    <hyperlink ref="B2045" r:id="rId2039" xr:uid="{00000000-0004-0000-0000-0000F6070000}"/>
    <hyperlink ref="B2046" r:id="rId2040" xr:uid="{00000000-0004-0000-0000-0000F7070000}"/>
    <hyperlink ref="B2047" r:id="rId2041" xr:uid="{00000000-0004-0000-0000-0000F8070000}"/>
    <hyperlink ref="B2048" r:id="rId2042" xr:uid="{00000000-0004-0000-0000-0000F9070000}"/>
    <hyperlink ref="B2049" r:id="rId2043" xr:uid="{00000000-0004-0000-0000-0000FA070000}"/>
    <hyperlink ref="B2050" r:id="rId2044" xr:uid="{00000000-0004-0000-0000-0000FB070000}"/>
    <hyperlink ref="B2051" r:id="rId2045" xr:uid="{00000000-0004-0000-0000-0000FC070000}"/>
    <hyperlink ref="B2052" r:id="rId2046" xr:uid="{00000000-0004-0000-0000-0000FD070000}"/>
    <hyperlink ref="B2053" r:id="rId2047" xr:uid="{00000000-0004-0000-0000-0000FE070000}"/>
    <hyperlink ref="B2054" r:id="rId2048" xr:uid="{00000000-0004-0000-0000-0000FF070000}"/>
    <hyperlink ref="B2055" r:id="rId2049" xr:uid="{00000000-0004-0000-0000-000000080000}"/>
    <hyperlink ref="B2056" r:id="rId2050" xr:uid="{00000000-0004-0000-0000-000001080000}"/>
    <hyperlink ref="B2057" r:id="rId2051" xr:uid="{00000000-0004-0000-0000-000002080000}"/>
    <hyperlink ref="B2058" r:id="rId2052" xr:uid="{00000000-0004-0000-0000-000003080000}"/>
    <hyperlink ref="B2059" r:id="rId2053" xr:uid="{00000000-0004-0000-0000-000004080000}"/>
    <hyperlink ref="B2060" r:id="rId2054" xr:uid="{00000000-0004-0000-0000-000005080000}"/>
    <hyperlink ref="B2061" r:id="rId2055" xr:uid="{00000000-0004-0000-0000-000006080000}"/>
    <hyperlink ref="B2062" r:id="rId2056" xr:uid="{00000000-0004-0000-0000-000007080000}"/>
    <hyperlink ref="B2063" r:id="rId2057" xr:uid="{00000000-0004-0000-0000-000008080000}"/>
    <hyperlink ref="B2064" r:id="rId2058" xr:uid="{00000000-0004-0000-0000-000009080000}"/>
    <hyperlink ref="B2065" r:id="rId2059" xr:uid="{00000000-0004-0000-0000-00000A080000}"/>
    <hyperlink ref="B2066" r:id="rId2060" xr:uid="{00000000-0004-0000-0000-00000B080000}"/>
    <hyperlink ref="B2067" r:id="rId2061" xr:uid="{00000000-0004-0000-0000-00000C080000}"/>
    <hyperlink ref="B2068" r:id="rId2062" xr:uid="{00000000-0004-0000-0000-00000D080000}"/>
    <hyperlink ref="B2069" r:id="rId2063" xr:uid="{00000000-0004-0000-0000-00000E080000}"/>
    <hyperlink ref="B2070" r:id="rId2064" xr:uid="{00000000-0004-0000-0000-00000F080000}"/>
    <hyperlink ref="B2071" r:id="rId2065" xr:uid="{00000000-0004-0000-0000-000010080000}"/>
    <hyperlink ref="B2072" r:id="rId2066" xr:uid="{00000000-0004-0000-0000-000011080000}"/>
    <hyperlink ref="B2073" r:id="rId2067" xr:uid="{00000000-0004-0000-0000-000012080000}"/>
    <hyperlink ref="B2074" r:id="rId2068" xr:uid="{00000000-0004-0000-0000-000013080000}"/>
    <hyperlink ref="B2075" r:id="rId2069" xr:uid="{00000000-0004-0000-0000-000014080000}"/>
    <hyperlink ref="B2076" r:id="rId2070" xr:uid="{00000000-0004-0000-0000-000015080000}"/>
    <hyperlink ref="B2077" r:id="rId2071" xr:uid="{00000000-0004-0000-0000-000016080000}"/>
    <hyperlink ref="B2078" r:id="rId2072" xr:uid="{00000000-0004-0000-0000-000017080000}"/>
    <hyperlink ref="B2079" r:id="rId2073" xr:uid="{00000000-0004-0000-0000-000018080000}"/>
    <hyperlink ref="B2080" r:id="rId2074" xr:uid="{00000000-0004-0000-0000-000019080000}"/>
    <hyperlink ref="B2081" r:id="rId2075" xr:uid="{00000000-0004-0000-0000-00001A080000}"/>
    <hyperlink ref="B2082" r:id="rId2076" xr:uid="{00000000-0004-0000-0000-00001B080000}"/>
    <hyperlink ref="B2083" r:id="rId2077" xr:uid="{00000000-0004-0000-0000-00001C080000}"/>
    <hyperlink ref="B2084" r:id="rId2078" xr:uid="{00000000-0004-0000-0000-00001D080000}"/>
    <hyperlink ref="B2085" r:id="rId2079" xr:uid="{00000000-0004-0000-0000-00001E080000}"/>
    <hyperlink ref="B2086" r:id="rId2080" xr:uid="{00000000-0004-0000-0000-00001F080000}"/>
    <hyperlink ref="B2087" r:id="rId2081" xr:uid="{00000000-0004-0000-0000-000020080000}"/>
    <hyperlink ref="B2088" r:id="rId2082" xr:uid="{00000000-0004-0000-0000-000021080000}"/>
    <hyperlink ref="B2089" r:id="rId2083" xr:uid="{00000000-0004-0000-0000-000022080000}"/>
    <hyperlink ref="B2090" r:id="rId2084" xr:uid="{00000000-0004-0000-0000-000023080000}"/>
    <hyperlink ref="B2091" r:id="rId2085" xr:uid="{00000000-0004-0000-0000-000024080000}"/>
    <hyperlink ref="B2092" r:id="rId2086" xr:uid="{00000000-0004-0000-0000-000025080000}"/>
    <hyperlink ref="B2093" r:id="rId2087" xr:uid="{00000000-0004-0000-0000-000026080000}"/>
    <hyperlink ref="B2094" r:id="rId2088" xr:uid="{00000000-0004-0000-0000-000027080000}"/>
    <hyperlink ref="B2095" r:id="rId2089" xr:uid="{00000000-0004-0000-0000-000028080000}"/>
    <hyperlink ref="B2096" r:id="rId2090" xr:uid="{00000000-0004-0000-0000-000029080000}"/>
    <hyperlink ref="B2097" r:id="rId2091" xr:uid="{00000000-0004-0000-0000-00002A080000}"/>
    <hyperlink ref="B2098" r:id="rId2092" xr:uid="{00000000-0004-0000-0000-00002B080000}"/>
    <hyperlink ref="B2099" r:id="rId2093" xr:uid="{00000000-0004-0000-0000-00002C080000}"/>
    <hyperlink ref="B2100" r:id="rId2094" xr:uid="{00000000-0004-0000-0000-00002D080000}"/>
    <hyperlink ref="B2101" r:id="rId2095" xr:uid="{00000000-0004-0000-0000-00002E080000}"/>
    <hyperlink ref="B2102" r:id="rId2096" xr:uid="{00000000-0004-0000-0000-00002F080000}"/>
    <hyperlink ref="B2103" r:id="rId2097" xr:uid="{00000000-0004-0000-0000-000030080000}"/>
    <hyperlink ref="B2104" r:id="rId2098" xr:uid="{00000000-0004-0000-0000-000031080000}"/>
    <hyperlink ref="B2105" r:id="rId2099" xr:uid="{00000000-0004-0000-0000-000032080000}"/>
    <hyperlink ref="B2106" r:id="rId2100" xr:uid="{00000000-0004-0000-0000-000033080000}"/>
    <hyperlink ref="B2107" r:id="rId2101" xr:uid="{00000000-0004-0000-0000-000034080000}"/>
    <hyperlink ref="B2108" r:id="rId2102" xr:uid="{00000000-0004-0000-0000-000035080000}"/>
    <hyperlink ref="B2109" r:id="rId2103" xr:uid="{00000000-0004-0000-0000-000036080000}"/>
    <hyperlink ref="B2110" r:id="rId2104" xr:uid="{00000000-0004-0000-0000-000037080000}"/>
    <hyperlink ref="B2111" r:id="rId2105" xr:uid="{00000000-0004-0000-0000-000038080000}"/>
    <hyperlink ref="B2112" r:id="rId2106" xr:uid="{00000000-0004-0000-0000-000039080000}"/>
    <hyperlink ref="B2113" r:id="rId2107" xr:uid="{00000000-0004-0000-0000-00003A080000}"/>
    <hyperlink ref="B2114" r:id="rId2108" xr:uid="{00000000-0004-0000-0000-00003B080000}"/>
    <hyperlink ref="B2115" r:id="rId2109" xr:uid="{00000000-0004-0000-0000-00003C080000}"/>
    <hyperlink ref="B2116" r:id="rId2110" xr:uid="{00000000-0004-0000-0000-00003D080000}"/>
    <hyperlink ref="B2117" r:id="rId2111" xr:uid="{00000000-0004-0000-0000-00003E080000}"/>
    <hyperlink ref="B2118" r:id="rId2112" xr:uid="{00000000-0004-0000-0000-00003F080000}"/>
    <hyperlink ref="B2119" r:id="rId2113" xr:uid="{00000000-0004-0000-0000-000040080000}"/>
    <hyperlink ref="B2120" r:id="rId2114" xr:uid="{00000000-0004-0000-0000-000041080000}"/>
    <hyperlink ref="B2121" r:id="rId2115" xr:uid="{00000000-0004-0000-0000-000042080000}"/>
    <hyperlink ref="B2122" r:id="rId2116" xr:uid="{00000000-0004-0000-0000-000043080000}"/>
    <hyperlink ref="B2123" r:id="rId2117" xr:uid="{00000000-0004-0000-0000-000044080000}"/>
    <hyperlink ref="B2124" r:id="rId2118" xr:uid="{00000000-0004-0000-0000-000045080000}"/>
    <hyperlink ref="B2125" r:id="rId2119" xr:uid="{00000000-0004-0000-0000-000046080000}"/>
    <hyperlink ref="B2126" r:id="rId2120" xr:uid="{00000000-0004-0000-0000-000047080000}"/>
    <hyperlink ref="B2127" r:id="rId2121" xr:uid="{00000000-0004-0000-0000-000048080000}"/>
    <hyperlink ref="B2128" r:id="rId2122" xr:uid="{00000000-0004-0000-0000-000049080000}"/>
    <hyperlink ref="B2129" r:id="rId2123" xr:uid="{00000000-0004-0000-0000-00004A080000}"/>
    <hyperlink ref="B2130" r:id="rId2124" xr:uid="{00000000-0004-0000-0000-00004B080000}"/>
    <hyperlink ref="B2131" r:id="rId2125" xr:uid="{00000000-0004-0000-0000-00004C080000}"/>
    <hyperlink ref="B2132" r:id="rId2126" xr:uid="{00000000-0004-0000-0000-00004D080000}"/>
    <hyperlink ref="B2133" r:id="rId2127" xr:uid="{00000000-0004-0000-0000-00004E080000}"/>
    <hyperlink ref="B2134" r:id="rId2128" xr:uid="{00000000-0004-0000-0000-00004F080000}"/>
    <hyperlink ref="B2135" r:id="rId2129" xr:uid="{00000000-0004-0000-0000-000050080000}"/>
    <hyperlink ref="B2136" r:id="rId2130" xr:uid="{00000000-0004-0000-0000-000051080000}"/>
    <hyperlink ref="B2137" r:id="rId2131" xr:uid="{00000000-0004-0000-0000-000052080000}"/>
    <hyperlink ref="B2138" r:id="rId2132" xr:uid="{00000000-0004-0000-0000-000053080000}"/>
    <hyperlink ref="B2139" r:id="rId2133" xr:uid="{00000000-0004-0000-0000-000054080000}"/>
    <hyperlink ref="B2140" r:id="rId2134" xr:uid="{00000000-0004-0000-0000-000055080000}"/>
    <hyperlink ref="B2141" r:id="rId2135" xr:uid="{00000000-0004-0000-0000-000056080000}"/>
    <hyperlink ref="B2142" r:id="rId2136" xr:uid="{00000000-0004-0000-0000-000057080000}"/>
    <hyperlink ref="B2143" r:id="rId2137" xr:uid="{00000000-0004-0000-0000-000058080000}"/>
    <hyperlink ref="B2144" r:id="rId2138" xr:uid="{00000000-0004-0000-0000-000059080000}"/>
    <hyperlink ref="B2145" r:id="rId2139" xr:uid="{00000000-0004-0000-0000-00005A080000}"/>
    <hyperlink ref="B2146" r:id="rId2140" xr:uid="{00000000-0004-0000-0000-00005B080000}"/>
    <hyperlink ref="B2147" r:id="rId2141" xr:uid="{00000000-0004-0000-0000-00005C080000}"/>
    <hyperlink ref="B2148" r:id="rId2142" xr:uid="{00000000-0004-0000-0000-00005D080000}"/>
    <hyperlink ref="B2149" r:id="rId2143" xr:uid="{00000000-0004-0000-0000-00005E080000}"/>
    <hyperlink ref="B2150" r:id="rId2144" xr:uid="{00000000-0004-0000-0000-00005F080000}"/>
    <hyperlink ref="B2151" r:id="rId2145" xr:uid="{00000000-0004-0000-0000-000060080000}"/>
    <hyperlink ref="B2152" r:id="rId2146" xr:uid="{00000000-0004-0000-0000-000061080000}"/>
    <hyperlink ref="B2153" r:id="rId2147" xr:uid="{00000000-0004-0000-0000-000062080000}"/>
    <hyperlink ref="B2154" r:id="rId2148" xr:uid="{00000000-0004-0000-0000-000063080000}"/>
    <hyperlink ref="B2155" r:id="rId2149" xr:uid="{00000000-0004-0000-0000-000064080000}"/>
    <hyperlink ref="B2156" r:id="rId2150" xr:uid="{00000000-0004-0000-0000-000065080000}"/>
    <hyperlink ref="B2157" r:id="rId2151" xr:uid="{00000000-0004-0000-0000-000066080000}"/>
    <hyperlink ref="B2158" r:id="rId2152" xr:uid="{00000000-0004-0000-0000-000067080000}"/>
    <hyperlink ref="B2159" r:id="rId2153" xr:uid="{00000000-0004-0000-0000-000068080000}"/>
    <hyperlink ref="B2160" r:id="rId2154" xr:uid="{00000000-0004-0000-0000-000069080000}"/>
    <hyperlink ref="B2161" r:id="rId2155" xr:uid="{00000000-0004-0000-0000-00006A080000}"/>
    <hyperlink ref="B2162" r:id="rId2156" xr:uid="{00000000-0004-0000-0000-00006B080000}"/>
    <hyperlink ref="B2163" r:id="rId2157" xr:uid="{00000000-0004-0000-0000-00006C080000}"/>
    <hyperlink ref="B2164" r:id="rId2158" xr:uid="{00000000-0004-0000-0000-00006D080000}"/>
    <hyperlink ref="B2165" r:id="rId2159" xr:uid="{00000000-0004-0000-0000-00006E080000}"/>
    <hyperlink ref="B2166" r:id="rId2160" xr:uid="{00000000-0004-0000-0000-00006F080000}"/>
    <hyperlink ref="B2167" r:id="rId2161" xr:uid="{00000000-0004-0000-0000-000070080000}"/>
    <hyperlink ref="B2168" r:id="rId2162" xr:uid="{00000000-0004-0000-0000-000071080000}"/>
    <hyperlink ref="B2169" r:id="rId2163" xr:uid="{00000000-0004-0000-0000-000072080000}"/>
    <hyperlink ref="B2170" r:id="rId2164" xr:uid="{00000000-0004-0000-0000-000073080000}"/>
    <hyperlink ref="B2171" r:id="rId2165" xr:uid="{00000000-0004-0000-0000-000074080000}"/>
    <hyperlink ref="B2172" r:id="rId2166" xr:uid="{00000000-0004-0000-0000-000075080000}"/>
    <hyperlink ref="B2173" r:id="rId2167" xr:uid="{00000000-0004-0000-0000-000076080000}"/>
    <hyperlink ref="B2174" r:id="rId2168" xr:uid="{00000000-0004-0000-0000-000077080000}"/>
    <hyperlink ref="B2175" r:id="rId2169" xr:uid="{00000000-0004-0000-0000-000078080000}"/>
    <hyperlink ref="B2176" r:id="rId2170" xr:uid="{00000000-0004-0000-0000-000079080000}"/>
    <hyperlink ref="B2177" r:id="rId2171" xr:uid="{00000000-0004-0000-0000-00007A080000}"/>
    <hyperlink ref="B2178" r:id="rId2172" xr:uid="{00000000-0004-0000-0000-00007B080000}"/>
    <hyperlink ref="B2179" r:id="rId2173" xr:uid="{00000000-0004-0000-0000-00007C080000}"/>
    <hyperlink ref="B2180" r:id="rId2174" xr:uid="{00000000-0004-0000-0000-00007D080000}"/>
    <hyperlink ref="B2181" r:id="rId2175" xr:uid="{00000000-0004-0000-0000-00007E080000}"/>
    <hyperlink ref="B2182" r:id="rId2176" xr:uid="{00000000-0004-0000-0000-00007F080000}"/>
    <hyperlink ref="B2183" r:id="rId2177" xr:uid="{00000000-0004-0000-0000-000080080000}"/>
    <hyperlink ref="B2184" r:id="rId2178" xr:uid="{00000000-0004-0000-0000-000081080000}"/>
    <hyperlink ref="B2185" r:id="rId2179" xr:uid="{00000000-0004-0000-0000-000082080000}"/>
    <hyperlink ref="B2186" r:id="rId2180" xr:uid="{00000000-0004-0000-0000-000083080000}"/>
    <hyperlink ref="B2187" r:id="rId2181" xr:uid="{00000000-0004-0000-0000-000084080000}"/>
    <hyperlink ref="B2188" r:id="rId2182" xr:uid="{00000000-0004-0000-0000-000085080000}"/>
    <hyperlink ref="B2189" r:id="rId2183" xr:uid="{00000000-0004-0000-0000-000086080000}"/>
    <hyperlink ref="B2190" r:id="rId2184" xr:uid="{00000000-0004-0000-0000-000087080000}"/>
    <hyperlink ref="B2191" r:id="rId2185" xr:uid="{00000000-0004-0000-0000-000088080000}"/>
    <hyperlink ref="B2192" r:id="rId2186" xr:uid="{00000000-0004-0000-0000-000089080000}"/>
    <hyperlink ref="B2193" r:id="rId2187" xr:uid="{00000000-0004-0000-0000-00008A080000}"/>
    <hyperlink ref="B2194" r:id="rId2188" xr:uid="{00000000-0004-0000-0000-00008B080000}"/>
    <hyperlink ref="B2195" r:id="rId2189" xr:uid="{00000000-0004-0000-0000-00008C080000}"/>
    <hyperlink ref="B2196" r:id="rId2190" xr:uid="{00000000-0004-0000-0000-00008D080000}"/>
    <hyperlink ref="B2197" r:id="rId2191" xr:uid="{00000000-0004-0000-0000-00008E080000}"/>
    <hyperlink ref="B2198" r:id="rId2192" xr:uid="{00000000-0004-0000-0000-00008F080000}"/>
    <hyperlink ref="B2199" r:id="rId2193" xr:uid="{00000000-0004-0000-0000-000090080000}"/>
    <hyperlink ref="B2200" r:id="rId2194" xr:uid="{00000000-0004-0000-0000-000091080000}"/>
    <hyperlink ref="B2201" r:id="rId2195" xr:uid="{00000000-0004-0000-0000-000092080000}"/>
    <hyperlink ref="B2202" r:id="rId2196" xr:uid="{00000000-0004-0000-0000-000093080000}"/>
    <hyperlink ref="B2203" r:id="rId2197" xr:uid="{00000000-0004-0000-0000-000094080000}"/>
    <hyperlink ref="B2204" r:id="rId2198" xr:uid="{00000000-0004-0000-0000-000095080000}"/>
    <hyperlink ref="B2205" r:id="rId2199" xr:uid="{00000000-0004-0000-0000-000096080000}"/>
    <hyperlink ref="B2206" r:id="rId2200" xr:uid="{00000000-0004-0000-0000-000097080000}"/>
    <hyperlink ref="B2207" r:id="rId2201" xr:uid="{00000000-0004-0000-0000-000098080000}"/>
    <hyperlink ref="B2208" r:id="rId2202" xr:uid="{00000000-0004-0000-0000-000099080000}"/>
    <hyperlink ref="B2209" r:id="rId2203" xr:uid="{00000000-0004-0000-0000-00009A080000}"/>
    <hyperlink ref="B2210" r:id="rId2204" xr:uid="{00000000-0004-0000-0000-00009B080000}"/>
    <hyperlink ref="B2211" r:id="rId2205" xr:uid="{00000000-0004-0000-0000-00009C080000}"/>
    <hyperlink ref="B2212" r:id="rId2206" xr:uid="{00000000-0004-0000-0000-00009D080000}"/>
    <hyperlink ref="B2213" r:id="rId2207" xr:uid="{00000000-0004-0000-0000-00009E080000}"/>
    <hyperlink ref="B2214" r:id="rId2208" xr:uid="{00000000-0004-0000-0000-00009F080000}"/>
    <hyperlink ref="B2215" r:id="rId2209" xr:uid="{00000000-0004-0000-0000-0000A0080000}"/>
    <hyperlink ref="B2216" r:id="rId2210" xr:uid="{00000000-0004-0000-0000-0000A1080000}"/>
    <hyperlink ref="B2217" r:id="rId2211" xr:uid="{00000000-0004-0000-0000-0000A2080000}"/>
    <hyperlink ref="B2218" r:id="rId2212" xr:uid="{00000000-0004-0000-0000-0000A3080000}"/>
    <hyperlink ref="B2219" r:id="rId2213" xr:uid="{00000000-0004-0000-0000-0000A4080000}"/>
    <hyperlink ref="B2220" r:id="rId2214" xr:uid="{00000000-0004-0000-0000-0000A5080000}"/>
    <hyperlink ref="B2221" r:id="rId2215" xr:uid="{00000000-0004-0000-0000-0000A6080000}"/>
    <hyperlink ref="B2222" r:id="rId2216" xr:uid="{00000000-0004-0000-0000-0000A7080000}"/>
    <hyperlink ref="B2223" r:id="rId2217" xr:uid="{00000000-0004-0000-0000-0000A8080000}"/>
    <hyperlink ref="B2224" r:id="rId2218" xr:uid="{00000000-0004-0000-0000-0000A9080000}"/>
    <hyperlink ref="B2225" r:id="rId2219" xr:uid="{00000000-0004-0000-0000-0000AA080000}"/>
    <hyperlink ref="B2226" r:id="rId2220" xr:uid="{00000000-0004-0000-0000-0000AB080000}"/>
    <hyperlink ref="B2227" r:id="rId2221" xr:uid="{00000000-0004-0000-0000-0000AC080000}"/>
    <hyperlink ref="B2228" r:id="rId2222" xr:uid="{00000000-0004-0000-0000-0000AD080000}"/>
    <hyperlink ref="B2229" r:id="rId2223" xr:uid="{00000000-0004-0000-0000-0000AE080000}"/>
    <hyperlink ref="B2230" r:id="rId2224" xr:uid="{00000000-0004-0000-0000-0000AF080000}"/>
    <hyperlink ref="B2231" r:id="rId2225" xr:uid="{00000000-0004-0000-0000-0000B0080000}"/>
    <hyperlink ref="B2232" r:id="rId2226" xr:uid="{00000000-0004-0000-0000-0000B1080000}"/>
    <hyperlink ref="B2233" r:id="rId2227" xr:uid="{00000000-0004-0000-0000-0000B2080000}"/>
    <hyperlink ref="B2234" r:id="rId2228" xr:uid="{00000000-0004-0000-0000-0000B3080000}"/>
    <hyperlink ref="B2235" r:id="rId2229" xr:uid="{00000000-0004-0000-0000-0000B4080000}"/>
    <hyperlink ref="B2236" r:id="rId2230" xr:uid="{00000000-0004-0000-0000-0000B5080000}"/>
    <hyperlink ref="B2237" r:id="rId2231" xr:uid="{00000000-0004-0000-0000-0000B6080000}"/>
    <hyperlink ref="B2238" r:id="rId2232" xr:uid="{00000000-0004-0000-0000-0000B7080000}"/>
    <hyperlink ref="B2239" r:id="rId2233" xr:uid="{00000000-0004-0000-0000-0000B8080000}"/>
    <hyperlink ref="B2240" r:id="rId2234" xr:uid="{00000000-0004-0000-0000-0000B9080000}"/>
    <hyperlink ref="B2241" r:id="rId2235" xr:uid="{00000000-0004-0000-0000-0000BA080000}"/>
    <hyperlink ref="B2242" r:id="rId2236" xr:uid="{00000000-0004-0000-0000-0000BB080000}"/>
    <hyperlink ref="B2243" r:id="rId2237" xr:uid="{00000000-0004-0000-0000-0000BC080000}"/>
    <hyperlink ref="B2244" r:id="rId2238" xr:uid="{00000000-0004-0000-0000-0000BD080000}"/>
    <hyperlink ref="B2245" r:id="rId2239" xr:uid="{00000000-0004-0000-0000-0000BE080000}"/>
    <hyperlink ref="B2246" r:id="rId2240" xr:uid="{00000000-0004-0000-0000-0000BF080000}"/>
    <hyperlink ref="B2247" r:id="rId2241" xr:uid="{00000000-0004-0000-0000-0000C0080000}"/>
    <hyperlink ref="B2248" r:id="rId2242" xr:uid="{00000000-0004-0000-0000-0000C1080000}"/>
    <hyperlink ref="B2249" r:id="rId2243" xr:uid="{00000000-0004-0000-0000-0000C2080000}"/>
    <hyperlink ref="B2250" r:id="rId2244" xr:uid="{00000000-0004-0000-0000-0000C3080000}"/>
    <hyperlink ref="B2251" r:id="rId2245" xr:uid="{00000000-0004-0000-0000-0000C4080000}"/>
    <hyperlink ref="B2252" r:id="rId2246" xr:uid="{00000000-0004-0000-0000-0000C5080000}"/>
    <hyperlink ref="B2253" r:id="rId2247" xr:uid="{00000000-0004-0000-0000-0000C6080000}"/>
    <hyperlink ref="B2254" r:id="rId2248" xr:uid="{00000000-0004-0000-0000-0000C7080000}"/>
    <hyperlink ref="B2255" r:id="rId2249" xr:uid="{00000000-0004-0000-0000-0000C8080000}"/>
    <hyperlink ref="B2256" r:id="rId2250" xr:uid="{00000000-0004-0000-0000-0000C9080000}"/>
    <hyperlink ref="B2257" r:id="rId2251" xr:uid="{00000000-0004-0000-0000-0000CA080000}"/>
    <hyperlink ref="B2258" r:id="rId2252" xr:uid="{00000000-0004-0000-0000-0000CB080000}"/>
    <hyperlink ref="B2259" r:id="rId2253" xr:uid="{00000000-0004-0000-0000-0000CC080000}"/>
    <hyperlink ref="B2260" r:id="rId2254" xr:uid="{00000000-0004-0000-0000-0000CD080000}"/>
    <hyperlink ref="B2261" r:id="rId2255" xr:uid="{00000000-0004-0000-0000-0000CE080000}"/>
    <hyperlink ref="B2262" r:id="rId2256" xr:uid="{00000000-0004-0000-0000-0000CF080000}"/>
    <hyperlink ref="B2263" r:id="rId2257" xr:uid="{00000000-0004-0000-0000-0000D0080000}"/>
    <hyperlink ref="B2264" r:id="rId2258" xr:uid="{00000000-0004-0000-0000-0000D1080000}"/>
    <hyperlink ref="B2265" r:id="rId2259" xr:uid="{00000000-0004-0000-0000-0000D2080000}"/>
    <hyperlink ref="B2266" r:id="rId2260" xr:uid="{00000000-0004-0000-0000-0000D3080000}"/>
    <hyperlink ref="B2267" r:id="rId2261" xr:uid="{00000000-0004-0000-0000-0000D4080000}"/>
    <hyperlink ref="B2268" r:id="rId2262" xr:uid="{00000000-0004-0000-0000-0000D5080000}"/>
    <hyperlink ref="B2269" r:id="rId2263" xr:uid="{00000000-0004-0000-0000-0000D6080000}"/>
    <hyperlink ref="B2270" r:id="rId2264" xr:uid="{00000000-0004-0000-0000-0000D7080000}"/>
    <hyperlink ref="B2271" r:id="rId2265" xr:uid="{00000000-0004-0000-0000-0000D8080000}"/>
    <hyperlink ref="B2272" r:id="rId2266" xr:uid="{00000000-0004-0000-0000-0000D9080000}"/>
    <hyperlink ref="B2273" r:id="rId2267" xr:uid="{00000000-0004-0000-0000-0000DA080000}"/>
    <hyperlink ref="B2274" r:id="rId2268" xr:uid="{00000000-0004-0000-0000-0000DB080000}"/>
    <hyperlink ref="B2275" r:id="rId2269" xr:uid="{00000000-0004-0000-0000-0000DC080000}"/>
    <hyperlink ref="B2276" r:id="rId2270" xr:uid="{00000000-0004-0000-0000-0000DD080000}"/>
    <hyperlink ref="B2277" r:id="rId2271" xr:uid="{00000000-0004-0000-0000-0000DE080000}"/>
    <hyperlink ref="B2278" r:id="rId2272" xr:uid="{00000000-0004-0000-0000-0000DF080000}"/>
    <hyperlink ref="B2279" r:id="rId2273" xr:uid="{00000000-0004-0000-0000-0000E0080000}"/>
    <hyperlink ref="B2280" r:id="rId2274" xr:uid="{00000000-0004-0000-0000-0000E1080000}"/>
    <hyperlink ref="B2281" r:id="rId2275" xr:uid="{00000000-0004-0000-0000-0000E2080000}"/>
    <hyperlink ref="B2282" r:id="rId2276" xr:uid="{00000000-0004-0000-0000-0000E3080000}"/>
    <hyperlink ref="B2283" r:id="rId2277" xr:uid="{00000000-0004-0000-0000-0000E4080000}"/>
    <hyperlink ref="B2284" r:id="rId2278" xr:uid="{00000000-0004-0000-0000-0000E5080000}"/>
    <hyperlink ref="B2285" r:id="rId2279" xr:uid="{00000000-0004-0000-0000-0000E6080000}"/>
    <hyperlink ref="B2286" r:id="rId2280" xr:uid="{00000000-0004-0000-0000-0000E7080000}"/>
    <hyperlink ref="B2287" r:id="rId2281" xr:uid="{00000000-0004-0000-0000-0000E8080000}"/>
    <hyperlink ref="B2288" r:id="rId2282" xr:uid="{00000000-0004-0000-0000-0000E9080000}"/>
    <hyperlink ref="B2289" r:id="rId2283" xr:uid="{00000000-0004-0000-0000-0000EA080000}"/>
    <hyperlink ref="B2290" r:id="rId2284" xr:uid="{00000000-0004-0000-0000-0000EB080000}"/>
    <hyperlink ref="B2291" r:id="rId2285" xr:uid="{00000000-0004-0000-0000-0000EC080000}"/>
    <hyperlink ref="B2292" r:id="rId2286" xr:uid="{00000000-0004-0000-0000-0000ED080000}"/>
    <hyperlink ref="B2293" r:id="rId2287" xr:uid="{00000000-0004-0000-0000-0000EE080000}"/>
    <hyperlink ref="B2294" r:id="rId2288" xr:uid="{00000000-0004-0000-0000-0000EF080000}"/>
    <hyperlink ref="B2295" r:id="rId2289" xr:uid="{00000000-0004-0000-0000-0000F0080000}"/>
    <hyperlink ref="B2296" r:id="rId2290" xr:uid="{00000000-0004-0000-0000-0000F1080000}"/>
    <hyperlink ref="B2297" r:id="rId2291" xr:uid="{00000000-0004-0000-0000-0000F2080000}"/>
    <hyperlink ref="B2298" r:id="rId2292" xr:uid="{00000000-0004-0000-0000-0000F3080000}"/>
    <hyperlink ref="B2299" r:id="rId2293" xr:uid="{00000000-0004-0000-0000-0000F4080000}"/>
    <hyperlink ref="B2300" r:id="rId2294" xr:uid="{00000000-0004-0000-0000-0000F5080000}"/>
    <hyperlink ref="B2301" r:id="rId2295" xr:uid="{00000000-0004-0000-0000-0000F6080000}"/>
    <hyperlink ref="B2302" r:id="rId2296" xr:uid="{00000000-0004-0000-0000-0000F7080000}"/>
    <hyperlink ref="B2303" r:id="rId2297" xr:uid="{00000000-0004-0000-0000-0000F8080000}"/>
    <hyperlink ref="B2304" r:id="rId2298" xr:uid="{00000000-0004-0000-0000-0000F9080000}"/>
    <hyperlink ref="B2305" r:id="rId2299" xr:uid="{00000000-0004-0000-0000-0000FA080000}"/>
    <hyperlink ref="B2306" r:id="rId2300" xr:uid="{00000000-0004-0000-0000-0000FB080000}"/>
    <hyperlink ref="B2307" r:id="rId2301" xr:uid="{00000000-0004-0000-0000-0000FC080000}"/>
    <hyperlink ref="B2308" r:id="rId2302" xr:uid="{00000000-0004-0000-0000-0000FD080000}"/>
    <hyperlink ref="B2309" r:id="rId2303" xr:uid="{00000000-0004-0000-0000-0000FE080000}"/>
    <hyperlink ref="B2310" r:id="rId2304" xr:uid="{00000000-0004-0000-0000-0000FF080000}"/>
    <hyperlink ref="B2311" r:id="rId2305" xr:uid="{00000000-0004-0000-0000-000000090000}"/>
    <hyperlink ref="B2312" r:id="rId2306" xr:uid="{00000000-0004-0000-0000-000001090000}"/>
    <hyperlink ref="B2313" r:id="rId2307" xr:uid="{00000000-0004-0000-0000-000002090000}"/>
    <hyperlink ref="B2314" r:id="rId2308" xr:uid="{00000000-0004-0000-0000-000003090000}"/>
    <hyperlink ref="B2315" r:id="rId2309" xr:uid="{00000000-0004-0000-0000-000004090000}"/>
    <hyperlink ref="B2316" r:id="rId2310" xr:uid="{00000000-0004-0000-0000-000005090000}"/>
    <hyperlink ref="B2317" r:id="rId2311" xr:uid="{00000000-0004-0000-0000-000006090000}"/>
    <hyperlink ref="B2318" r:id="rId2312" xr:uid="{00000000-0004-0000-0000-000007090000}"/>
    <hyperlink ref="B2319" r:id="rId2313" xr:uid="{00000000-0004-0000-0000-000008090000}"/>
    <hyperlink ref="B2320" r:id="rId2314" xr:uid="{00000000-0004-0000-0000-000009090000}"/>
    <hyperlink ref="B2321" r:id="rId2315" xr:uid="{00000000-0004-0000-0000-00000A090000}"/>
    <hyperlink ref="B2322" r:id="rId2316" xr:uid="{00000000-0004-0000-0000-00000B090000}"/>
    <hyperlink ref="B2323" r:id="rId2317" xr:uid="{00000000-0004-0000-0000-00000C090000}"/>
    <hyperlink ref="B2324" r:id="rId2318" xr:uid="{00000000-0004-0000-0000-00000D090000}"/>
    <hyperlink ref="B2325" r:id="rId2319" xr:uid="{00000000-0004-0000-0000-00000E090000}"/>
    <hyperlink ref="B2326" r:id="rId2320" xr:uid="{00000000-0004-0000-0000-00000F090000}"/>
    <hyperlink ref="B2327" r:id="rId2321" xr:uid="{00000000-0004-0000-0000-000010090000}"/>
    <hyperlink ref="B2328" r:id="rId2322" xr:uid="{00000000-0004-0000-0000-000011090000}"/>
    <hyperlink ref="B2329" r:id="rId2323" xr:uid="{00000000-0004-0000-0000-000012090000}"/>
    <hyperlink ref="B2330" r:id="rId2324" xr:uid="{00000000-0004-0000-0000-000013090000}"/>
    <hyperlink ref="B2331" r:id="rId2325" xr:uid="{00000000-0004-0000-0000-000014090000}"/>
    <hyperlink ref="B2332" r:id="rId2326" xr:uid="{00000000-0004-0000-0000-000015090000}"/>
    <hyperlink ref="B2333" r:id="rId2327" xr:uid="{00000000-0004-0000-0000-000016090000}"/>
    <hyperlink ref="B2334" r:id="rId2328" xr:uid="{00000000-0004-0000-0000-000017090000}"/>
    <hyperlink ref="B2335" r:id="rId2329" xr:uid="{00000000-0004-0000-0000-000018090000}"/>
    <hyperlink ref="B2336" r:id="rId2330" xr:uid="{00000000-0004-0000-0000-000019090000}"/>
    <hyperlink ref="B2337" r:id="rId2331" xr:uid="{00000000-0004-0000-0000-00001A090000}"/>
    <hyperlink ref="B2338" r:id="rId2332" xr:uid="{00000000-0004-0000-0000-00001B090000}"/>
    <hyperlink ref="B2339" r:id="rId2333" xr:uid="{00000000-0004-0000-0000-00001C090000}"/>
    <hyperlink ref="B2340" r:id="rId2334" xr:uid="{00000000-0004-0000-0000-00001D090000}"/>
    <hyperlink ref="B2341" r:id="rId2335" xr:uid="{00000000-0004-0000-0000-00001E090000}"/>
    <hyperlink ref="B2342" r:id="rId2336" xr:uid="{00000000-0004-0000-0000-00001F090000}"/>
    <hyperlink ref="B2343" r:id="rId2337" xr:uid="{00000000-0004-0000-0000-000020090000}"/>
    <hyperlink ref="B2344" r:id="rId2338" xr:uid="{00000000-0004-0000-0000-000021090000}"/>
    <hyperlink ref="B2345" r:id="rId2339" xr:uid="{00000000-0004-0000-0000-000022090000}"/>
    <hyperlink ref="B2346" r:id="rId2340" xr:uid="{00000000-0004-0000-0000-000023090000}"/>
    <hyperlink ref="B2347" r:id="rId2341" xr:uid="{00000000-0004-0000-0000-000024090000}"/>
    <hyperlink ref="B2348" r:id="rId2342" xr:uid="{00000000-0004-0000-0000-000025090000}"/>
    <hyperlink ref="B2349" r:id="rId2343" xr:uid="{00000000-0004-0000-0000-000026090000}"/>
    <hyperlink ref="B2350" r:id="rId2344" xr:uid="{00000000-0004-0000-0000-000027090000}"/>
    <hyperlink ref="B2351" r:id="rId2345" xr:uid="{00000000-0004-0000-0000-000028090000}"/>
    <hyperlink ref="B2352" r:id="rId2346" xr:uid="{00000000-0004-0000-0000-000029090000}"/>
    <hyperlink ref="B2353" r:id="rId2347" xr:uid="{00000000-0004-0000-0000-00002A090000}"/>
    <hyperlink ref="B2354" r:id="rId2348" xr:uid="{00000000-0004-0000-0000-00002B090000}"/>
    <hyperlink ref="B2355" r:id="rId2349" xr:uid="{00000000-0004-0000-0000-00002C090000}"/>
    <hyperlink ref="B2356" r:id="rId2350" xr:uid="{00000000-0004-0000-0000-00002D090000}"/>
    <hyperlink ref="B2357" r:id="rId2351" xr:uid="{00000000-0004-0000-0000-00002E090000}"/>
    <hyperlink ref="B2358" r:id="rId2352" xr:uid="{00000000-0004-0000-0000-00002F090000}"/>
    <hyperlink ref="B2359" r:id="rId2353" xr:uid="{00000000-0004-0000-0000-000030090000}"/>
    <hyperlink ref="B2360" r:id="rId2354" xr:uid="{00000000-0004-0000-0000-000031090000}"/>
    <hyperlink ref="B2361" r:id="rId2355" xr:uid="{00000000-0004-0000-0000-000032090000}"/>
    <hyperlink ref="B2362" r:id="rId2356" xr:uid="{00000000-0004-0000-0000-000033090000}"/>
    <hyperlink ref="B2363" r:id="rId2357" xr:uid="{00000000-0004-0000-0000-000034090000}"/>
    <hyperlink ref="B2364" r:id="rId2358" xr:uid="{00000000-0004-0000-0000-000035090000}"/>
    <hyperlink ref="B2365" r:id="rId2359" xr:uid="{00000000-0004-0000-0000-000036090000}"/>
    <hyperlink ref="B2366" r:id="rId2360" xr:uid="{00000000-0004-0000-0000-000037090000}"/>
    <hyperlink ref="B2367" r:id="rId2361" xr:uid="{00000000-0004-0000-0000-000038090000}"/>
    <hyperlink ref="B2368" r:id="rId2362" xr:uid="{00000000-0004-0000-0000-000039090000}"/>
    <hyperlink ref="B2369" r:id="rId2363" xr:uid="{00000000-0004-0000-0000-00003A090000}"/>
    <hyperlink ref="B2370" r:id="rId2364" xr:uid="{00000000-0004-0000-0000-00003B090000}"/>
    <hyperlink ref="B2371" r:id="rId2365" xr:uid="{00000000-0004-0000-0000-00003C090000}"/>
    <hyperlink ref="B2372" r:id="rId2366" xr:uid="{00000000-0004-0000-0000-00003D090000}"/>
    <hyperlink ref="B2373" r:id="rId2367" xr:uid="{00000000-0004-0000-0000-00003E090000}"/>
    <hyperlink ref="B2374" r:id="rId2368" xr:uid="{00000000-0004-0000-0000-00003F090000}"/>
    <hyperlink ref="B2375" r:id="rId2369" xr:uid="{00000000-0004-0000-0000-000040090000}"/>
    <hyperlink ref="B2376" r:id="rId2370" xr:uid="{00000000-0004-0000-0000-000041090000}"/>
    <hyperlink ref="B2377" r:id="rId2371" xr:uid="{00000000-0004-0000-0000-000042090000}"/>
    <hyperlink ref="B2378" r:id="rId2372" xr:uid="{00000000-0004-0000-0000-000043090000}"/>
    <hyperlink ref="B2379" r:id="rId2373" xr:uid="{00000000-0004-0000-0000-000044090000}"/>
    <hyperlink ref="B2380" r:id="rId2374" xr:uid="{00000000-0004-0000-0000-000045090000}"/>
    <hyperlink ref="B2381" r:id="rId2375" xr:uid="{00000000-0004-0000-0000-000046090000}"/>
    <hyperlink ref="B2382" r:id="rId2376" xr:uid="{00000000-0004-0000-0000-000047090000}"/>
    <hyperlink ref="B2383" r:id="rId2377" xr:uid="{00000000-0004-0000-0000-000048090000}"/>
    <hyperlink ref="B2384" r:id="rId2378" xr:uid="{00000000-0004-0000-0000-000049090000}"/>
    <hyperlink ref="B2385" r:id="rId2379" xr:uid="{00000000-0004-0000-0000-00004A090000}"/>
    <hyperlink ref="B2386" r:id="rId2380" xr:uid="{00000000-0004-0000-0000-00004B090000}"/>
    <hyperlink ref="B2387" r:id="rId2381" xr:uid="{00000000-0004-0000-0000-00004C090000}"/>
    <hyperlink ref="B2388" r:id="rId2382" xr:uid="{00000000-0004-0000-0000-00004D090000}"/>
    <hyperlink ref="B2389" r:id="rId2383" xr:uid="{00000000-0004-0000-0000-00004E090000}"/>
    <hyperlink ref="B2390" r:id="rId2384" xr:uid="{00000000-0004-0000-0000-00004F090000}"/>
    <hyperlink ref="B2391" r:id="rId2385" xr:uid="{00000000-0004-0000-0000-000050090000}"/>
    <hyperlink ref="B2392" r:id="rId2386" xr:uid="{00000000-0004-0000-0000-000051090000}"/>
    <hyperlink ref="B2393" r:id="rId2387" xr:uid="{00000000-0004-0000-0000-000052090000}"/>
    <hyperlink ref="B2394" r:id="rId2388" xr:uid="{00000000-0004-0000-0000-000053090000}"/>
    <hyperlink ref="B2395" r:id="rId2389" xr:uid="{00000000-0004-0000-0000-000054090000}"/>
    <hyperlink ref="B2396" r:id="rId2390" xr:uid="{00000000-0004-0000-0000-000055090000}"/>
    <hyperlink ref="B2397" r:id="rId2391" xr:uid="{00000000-0004-0000-0000-000056090000}"/>
    <hyperlink ref="B2398" r:id="rId2392" xr:uid="{00000000-0004-0000-0000-000057090000}"/>
    <hyperlink ref="B2399" r:id="rId2393" xr:uid="{00000000-0004-0000-0000-000058090000}"/>
    <hyperlink ref="B2400" r:id="rId2394" xr:uid="{00000000-0004-0000-0000-000059090000}"/>
    <hyperlink ref="B2401" r:id="rId2395" xr:uid="{00000000-0004-0000-0000-00005A090000}"/>
    <hyperlink ref="B2402" r:id="rId2396" xr:uid="{00000000-0004-0000-0000-00005B090000}"/>
    <hyperlink ref="B2403" r:id="rId2397" xr:uid="{00000000-0004-0000-0000-00005C090000}"/>
    <hyperlink ref="B2404" r:id="rId2398" xr:uid="{00000000-0004-0000-0000-00005D090000}"/>
    <hyperlink ref="B2405" r:id="rId2399" xr:uid="{00000000-0004-0000-0000-00005E090000}"/>
    <hyperlink ref="B2406" r:id="rId2400" xr:uid="{00000000-0004-0000-0000-00005F090000}"/>
    <hyperlink ref="B2407" r:id="rId2401" xr:uid="{00000000-0004-0000-0000-000060090000}"/>
    <hyperlink ref="B2408" r:id="rId2402" xr:uid="{00000000-0004-0000-0000-000061090000}"/>
    <hyperlink ref="B2409" r:id="rId2403" xr:uid="{00000000-0004-0000-0000-000062090000}"/>
    <hyperlink ref="B2410" r:id="rId2404" xr:uid="{00000000-0004-0000-0000-000063090000}"/>
    <hyperlink ref="B2411" r:id="rId2405" xr:uid="{00000000-0004-0000-0000-000064090000}"/>
    <hyperlink ref="B2412" r:id="rId2406" xr:uid="{00000000-0004-0000-0000-000065090000}"/>
    <hyperlink ref="B2413" r:id="rId2407" xr:uid="{00000000-0004-0000-0000-000066090000}"/>
    <hyperlink ref="B2414" r:id="rId2408" xr:uid="{00000000-0004-0000-0000-000067090000}"/>
    <hyperlink ref="B2415" r:id="rId2409" xr:uid="{00000000-0004-0000-0000-000068090000}"/>
    <hyperlink ref="B2416" r:id="rId2410" xr:uid="{00000000-0004-0000-0000-000069090000}"/>
    <hyperlink ref="B2417" r:id="rId2411" xr:uid="{00000000-0004-0000-0000-00006A090000}"/>
    <hyperlink ref="B2418" r:id="rId2412" xr:uid="{00000000-0004-0000-0000-00006B090000}"/>
    <hyperlink ref="B2419" r:id="rId2413" xr:uid="{00000000-0004-0000-0000-00006C090000}"/>
    <hyperlink ref="B2420" r:id="rId2414" xr:uid="{00000000-0004-0000-0000-00006D090000}"/>
    <hyperlink ref="B2421" r:id="rId2415" xr:uid="{00000000-0004-0000-0000-00006E090000}"/>
    <hyperlink ref="B2422" r:id="rId2416" xr:uid="{00000000-0004-0000-0000-00006F090000}"/>
    <hyperlink ref="B2423" r:id="rId2417" xr:uid="{00000000-0004-0000-0000-000070090000}"/>
    <hyperlink ref="B2424" r:id="rId2418" xr:uid="{00000000-0004-0000-0000-000071090000}"/>
    <hyperlink ref="B2425" r:id="rId2419" xr:uid="{00000000-0004-0000-0000-000072090000}"/>
    <hyperlink ref="B2426" r:id="rId2420" xr:uid="{00000000-0004-0000-0000-000073090000}"/>
    <hyperlink ref="B2427" r:id="rId2421" xr:uid="{00000000-0004-0000-0000-000074090000}"/>
    <hyperlink ref="B2428" r:id="rId2422" xr:uid="{00000000-0004-0000-0000-000075090000}"/>
    <hyperlink ref="B2429" r:id="rId2423" xr:uid="{00000000-0004-0000-0000-000076090000}"/>
    <hyperlink ref="B2430" r:id="rId2424" xr:uid="{00000000-0004-0000-0000-000077090000}"/>
    <hyperlink ref="B2431" r:id="rId2425" xr:uid="{00000000-0004-0000-0000-000078090000}"/>
    <hyperlink ref="B2432" r:id="rId2426" xr:uid="{00000000-0004-0000-0000-000079090000}"/>
    <hyperlink ref="B2433" r:id="rId2427" xr:uid="{00000000-0004-0000-0000-00007A090000}"/>
    <hyperlink ref="B2434" r:id="rId2428" xr:uid="{00000000-0004-0000-0000-00007B090000}"/>
    <hyperlink ref="B2435" r:id="rId2429" xr:uid="{00000000-0004-0000-0000-00007C090000}"/>
    <hyperlink ref="B2436" r:id="rId2430" xr:uid="{00000000-0004-0000-0000-00007D090000}"/>
    <hyperlink ref="B2437" r:id="rId2431" xr:uid="{00000000-0004-0000-0000-00007E090000}"/>
    <hyperlink ref="B2438" r:id="rId2432" xr:uid="{00000000-0004-0000-0000-00007F090000}"/>
    <hyperlink ref="B2439" r:id="rId2433" xr:uid="{00000000-0004-0000-0000-000080090000}"/>
    <hyperlink ref="B2440" r:id="rId2434" xr:uid="{00000000-0004-0000-0000-000081090000}"/>
    <hyperlink ref="B2441" r:id="rId2435" xr:uid="{00000000-0004-0000-0000-000082090000}"/>
    <hyperlink ref="B2442" r:id="rId2436" xr:uid="{00000000-0004-0000-0000-000083090000}"/>
    <hyperlink ref="B2443" r:id="rId2437" xr:uid="{00000000-0004-0000-0000-000084090000}"/>
    <hyperlink ref="B2444" r:id="rId2438" xr:uid="{00000000-0004-0000-0000-000085090000}"/>
    <hyperlink ref="B2445" r:id="rId2439" xr:uid="{00000000-0004-0000-0000-000086090000}"/>
    <hyperlink ref="B2446" r:id="rId2440" xr:uid="{00000000-0004-0000-0000-000087090000}"/>
    <hyperlink ref="B2447" r:id="rId2441" xr:uid="{00000000-0004-0000-0000-000088090000}"/>
    <hyperlink ref="B2448" r:id="rId2442" xr:uid="{00000000-0004-0000-0000-000089090000}"/>
    <hyperlink ref="B2449" r:id="rId2443" xr:uid="{00000000-0004-0000-0000-00008A090000}"/>
    <hyperlink ref="B2450" r:id="rId2444" xr:uid="{00000000-0004-0000-0000-00008B090000}"/>
    <hyperlink ref="B2451" r:id="rId2445" xr:uid="{00000000-0004-0000-0000-00008C090000}"/>
    <hyperlink ref="B2452" r:id="rId2446" xr:uid="{00000000-0004-0000-0000-00008D090000}"/>
    <hyperlink ref="B2453" r:id="rId2447" xr:uid="{00000000-0004-0000-0000-00008E090000}"/>
    <hyperlink ref="B2454" r:id="rId2448" xr:uid="{00000000-0004-0000-0000-00008F090000}"/>
    <hyperlink ref="B2455" r:id="rId2449" xr:uid="{00000000-0004-0000-0000-000090090000}"/>
    <hyperlink ref="B2456" r:id="rId2450" xr:uid="{00000000-0004-0000-0000-000091090000}"/>
    <hyperlink ref="B2457" r:id="rId2451" xr:uid="{00000000-0004-0000-0000-000092090000}"/>
    <hyperlink ref="B2458" r:id="rId2452" xr:uid="{00000000-0004-0000-0000-000093090000}"/>
    <hyperlink ref="B2459" r:id="rId2453" xr:uid="{00000000-0004-0000-0000-000094090000}"/>
    <hyperlink ref="B2460" r:id="rId2454" xr:uid="{00000000-0004-0000-0000-000095090000}"/>
    <hyperlink ref="B2461" r:id="rId2455" xr:uid="{00000000-0004-0000-0000-000096090000}"/>
    <hyperlink ref="B2462" r:id="rId2456" xr:uid="{00000000-0004-0000-0000-000097090000}"/>
    <hyperlink ref="B2463" r:id="rId2457" xr:uid="{00000000-0004-0000-0000-000098090000}"/>
    <hyperlink ref="B2464" r:id="rId2458" xr:uid="{00000000-0004-0000-0000-000099090000}"/>
    <hyperlink ref="B2465" r:id="rId2459" xr:uid="{00000000-0004-0000-0000-00009A090000}"/>
    <hyperlink ref="B2466" r:id="rId2460" xr:uid="{00000000-0004-0000-0000-00009B090000}"/>
    <hyperlink ref="B2467" r:id="rId2461" xr:uid="{00000000-0004-0000-0000-00009C090000}"/>
    <hyperlink ref="B2468" r:id="rId2462" xr:uid="{00000000-0004-0000-0000-00009D090000}"/>
    <hyperlink ref="B2469" r:id="rId2463" xr:uid="{00000000-0004-0000-0000-00009E090000}"/>
    <hyperlink ref="B2470" r:id="rId2464" xr:uid="{00000000-0004-0000-0000-00009F090000}"/>
    <hyperlink ref="B2471" r:id="rId2465" xr:uid="{00000000-0004-0000-0000-0000A0090000}"/>
    <hyperlink ref="B2472" r:id="rId2466" xr:uid="{00000000-0004-0000-0000-0000A1090000}"/>
    <hyperlink ref="B2473" r:id="rId2467" xr:uid="{00000000-0004-0000-0000-0000A2090000}"/>
    <hyperlink ref="B2474" r:id="rId2468" xr:uid="{00000000-0004-0000-0000-0000A3090000}"/>
    <hyperlink ref="B2475" r:id="rId2469" xr:uid="{00000000-0004-0000-0000-0000A4090000}"/>
    <hyperlink ref="B2476" r:id="rId2470" xr:uid="{00000000-0004-0000-0000-0000A5090000}"/>
    <hyperlink ref="B2477" r:id="rId2471" xr:uid="{00000000-0004-0000-0000-0000A6090000}"/>
    <hyperlink ref="B2478" r:id="rId2472" xr:uid="{00000000-0004-0000-0000-0000A7090000}"/>
    <hyperlink ref="B2479" r:id="rId2473" xr:uid="{00000000-0004-0000-0000-0000A8090000}"/>
    <hyperlink ref="B2480" r:id="rId2474" xr:uid="{00000000-0004-0000-0000-0000A9090000}"/>
    <hyperlink ref="B2481" r:id="rId2475" xr:uid="{00000000-0004-0000-0000-0000AA090000}"/>
    <hyperlink ref="B2482" r:id="rId2476" xr:uid="{00000000-0004-0000-0000-0000AB090000}"/>
    <hyperlink ref="B2483" r:id="rId2477" xr:uid="{00000000-0004-0000-0000-0000AC090000}"/>
    <hyperlink ref="B2484" r:id="rId2478" xr:uid="{00000000-0004-0000-0000-0000AD090000}"/>
    <hyperlink ref="B2485" r:id="rId2479" xr:uid="{00000000-0004-0000-0000-0000AE090000}"/>
    <hyperlink ref="B2486" r:id="rId2480" xr:uid="{00000000-0004-0000-0000-0000AF090000}"/>
    <hyperlink ref="B2487" r:id="rId2481" xr:uid="{00000000-0004-0000-0000-0000B0090000}"/>
    <hyperlink ref="B2488" r:id="rId2482" xr:uid="{00000000-0004-0000-0000-0000B1090000}"/>
    <hyperlink ref="B2489" r:id="rId2483" xr:uid="{00000000-0004-0000-0000-0000B2090000}"/>
    <hyperlink ref="B2490" r:id="rId2484" xr:uid="{00000000-0004-0000-0000-0000B3090000}"/>
    <hyperlink ref="B2491" r:id="rId2485" xr:uid="{00000000-0004-0000-0000-0000B4090000}"/>
    <hyperlink ref="B2492" r:id="rId2486" xr:uid="{00000000-0004-0000-0000-0000B5090000}"/>
    <hyperlink ref="B2493" r:id="rId2487" xr:uid="{00000000-0004-0000-0000-0000B6090000}"/>
    <hyperlink ref="B2494" r:id="rId2488" xr:uid="{00000000-0004-0000-0000-0000B7090000}"/>
    <hyperlink ref="B2495" r:id="rId2489" xr:uid="{00000000-0004-0000-0000-0000B8090000}"/>
    <hyperlink ref="B2496" r:id="rId2490" xr:uid="{00000000-0004-0000-0000-0000B9090000}"/>
    <hyperlink ref="B2497" r:id="rId2491" xr:uid="{00000000-0004-0000-0000-0000BA090000}"/>
    <hyperlink ref="B2498" r:id="rId2492" xr:uid="{00000000-0004-0000-0000-0000BB090000}"/>
    <hyperlink ref="B2499" r:id="rId2493" xr:uid="{00000000-0004-0000-0000-0000BC090000}"/>
    <hyperlink ref="B2500" r:id="rId2494" xr:uid="{00000000-0004-0000-0000-0000BD090000}"/>
    <hyperlink ref="B2501" r:id="rId2495" xr:uid="{00000000-0004-0000-0000-0000BE090000}"/>
    <hyperlink ref="B2502" r:id="rId2496" xr:uid="{00000000-0004-0000-0000-0000BF090000}"/>
    <hyperlink ref="B2503" r:id="rId2497" xr:uid="{00000000-0004-0000-0000-0000C0090000}"/>
    <hyperlink ref="B2504" r:id="rId2498" xr:uid="{00000000-0004-0000-0000-0000C1090000}"/>
    <hyperlink ref="B2505" r:id="rId2499" xr:uid="{00000000-0004-0000-0000-0000C2090000}"/>
    <hyperlink ref="B2506" r:id="rId2500" xr:uid="{00000000-0004-0000-0000-0000C3090000}"/>
    <hyperlink ref="B2507" r:id="rId2501" xr:uid="{00000000-0004-0000-0000-0000C4090000}"/>
    <hyperlink ref="B2508" r:id="rId2502" xr:uid="{00000000-0004-0000-0000-0000C5090000}"/>
    <hyperlink ref="B2509" r:id="rId2503" xr:uid="{00000000-0004-0000-0000-0000C6090000}"/>
    <hyperlink ref="B2510" r:id="rId2504" xr:uid="{00000000-0004-0000-0000-0000C7090000}"/>
    <hyperlink ref="B2511" r:id="rId2505" xr:uid="{00000000-0004-0000-0000-0000C8090000}"/>
    <hyperlink ref="B2512" r:id="rId2506" xr:uid="{00000000-0004-0000-0000-0000C9090000}"/>
    <hyperlink ref="B2513" r:id="rId2507" xr:uid="{00000000-0004-0000-0000-0000CA090000}"/>
    <hyperlink ref="B2514" r:id="rId2508" xr:uid="{00000000-0004-0000-0000-0000CB090000}"/>
    <hyperlink ref="B2515" r:id="rId2509" xr:uid="{00000000-0004-0000-0000-0000CC090000}"/>
    <hyperlink ref="B2516" r:id="rId2510" xr:uid="{00000000-0004-0000-0000-0000CD090000}"/>
    <hyperlink ref="B2517" r:id="rId2511" xr:uid="{00000000-0004-0000-0000-0000CE090000}"/>
    <hyperlink ref="B2518" r:id="rId2512" xr:uid="{00000000-0004-0000-0000-0000CF090000}"/>
    <hyperlink ref="B2519" r:id="rId2513" xr:uid="{00000000-0004-0000-0000-0000D0090000}"/>
    <hyperlink ref="B2520" r:id="rId2514" xr:uid="{00000000-0004-0000-0000-0000D1090000}"/>
    <hyperlink ref="B2521" r:id="rId2515" xr:uid="{00000000-0004-0000-0000-0000D2090000}"/>
    <hyperlink ref="B2522" r:id="rId2516" xr:uid="{00000000-0004-0000-0000-0000D3090000}"/>
    <hyperlink ref="B2523" r:id="rId2517" xr:uid="{00000000-0004-0000-0000-0000D4090000}"/>
    <hyperlink ref="B2524" r:id="rId2518" xr:uid="{00000000-0004-0000-0000-0000D5090000}"/>
    <hyperlink ref="B2525" r:id="rId2519" xr:uid="{00000000-0004-0000-0000-0000D6090000}"/>
    <hyperlink ref="B2526" r:id="rId2520" xr:uid="{00000000-0004-0000-0000-0000D7090000}"/>
    <hyperlink ref="B2527" r:id="rId2521" xr:uid="{00000000-0004-0000-0000-0000D8090000}"/>
    <hyperlink ref="B2528" r:id="rId2522" xr:uid="{00000000-0004-0000-0000-0000D9090000}"/>
    <hyperlink ref="B2529" r:id="rId2523" xr:uid="{00000000-0004-0000-0000-0000DA090000}"/>
    <hyperlink ref="B2530" r:id="rId2524" xr:uid="{00000000-0004-0000-0000-0000DB090000}"/>
    <hyperlink ref="B2531" r:id="rId2525" xr:uid="{00000000-0004-0000-0000-0000DC090000}"/>
    <hyperlink ref="B2532" r:id="rId2526" xr:uid="{00000000-0004-0000-0000-0000DD090000}"/>
    <hyperlink ref="B2533" r:id="rId2527" xr:uid="{00000000-0004-0000-0000-0000DE090000}"/>
    <hyperlink ref="B2534" r:id="rId2528" xr:uid="{00000000-0004-0000-0000-0000DF090000}"/>
    <hyperlink ref="B2535" r:id="rId2529" xr:uid="{00000000-0004-0000-0000-0000E0090000}"/>
    <hyperlink ref="B2536" r:id="rId2530" xr:uid="{00000000-0004-0000-0000-0000E1090000}"/>
    <hyperlink ref="B2537" r:id="rId2531" xr:uid="{00000000-0004-0000-0000-0000E2090000}"/>
    <hyperlink ref="B2538" r:id="rId2532" xr:uid="{00000000-0004-0000-0000-0000E3090000}"/>
    <hyperlink ref="B2539" r:id="rId2533" xr:uid="{00000000-0004-0000-0000-0000E4090000}"/>
    <hyperlink ref="B2540" r:id="rId2534" xr:uid="{00000000-0004-0000-0000-0000E5090000}"/>
    <hyperlink ref="B2541" r:id="rId2535" xr:uid="{00000000-0004-0000-0000-0000E6090000}"/>
    <hyperlink ref="B2542" r:id="rId2536" xr:uid="{00000000-0004-0000-0000-0000E7090000}"/>
    <hyperlink ref="B2543" r:id="rId2537" xr:uid="{00000000-0004-0000-0000-0000E8090000}"/>
    <hyperlink ref="B2544" r:id="rId2538" xr:uid="{00000000-0004-0000-0000-0000E9090000}"/>
    <hyperlink ref="B2545" r:id="rId2539" xr:uid="{00000000-0004-0000-0000-0000EA090000}"/>
    <hyperlink ref="B2546" r:id="rId2540" xr:uid="{00000000-0004-0000-0000-0000EB090000}"/>
    <hyperlink ref="B2547" r:id="rId2541" xr:uid="{00000000-0004-0000-0000-0000EC090000}"/>
    <hyperlink ref="B2548" r:id="rId2542" xr:uid="{00000000-0004-0000-0000-0000ED090000}"/>
    <hyperlink ref="B2549" r:id="rId2543" xr:uid="{00000000-0004-0000-0000-0000EE090000}"/>
    <hyperlink ref="B2550" r:id="rId2544" xr:uid="{00000000-0004-0000-0000-0000EF090000}"/>
    <hyperlink ref="B2551" r:id="rId2545" xr:uid="{00000000-0004-0000-0000-0000F0090000}"/>
    <hyperlink ref="B2552" r:id="rId2546" xr:uid="{00000000-0004-0000-0000-0000F1090000}"/>
    <hyperlink ref="B2553" r:id="rId2547" xr:uid="{00000000-0004-0000-0000-0000F2090000}"/>
    <hyperlink ref="B2554" r:id="rId2548" xr:uid="{00000000-0004-0000-0000-0000F3090000}"/>
    <hyperlink ref="B2555" r:id="rId2549" xr:uid="{00000000-0004-0000-0000-0000F4090000}"/>
    <hyperlink ref="B2556" r:id="rId2550" xr:uid="{00000000-0004-0000-0000-0000F5090000}"/>
    <hyperlink ref="B2557" r:id="rId2551" xr:uid="{00000000-0004-0000-0000-0000F6090000}"/>
    <hyperlink ref="B2558" r:id="rId2552" xr:uid="{00000000-0004-0000-0000-0000F7090000}"/>
    <hyperlink ref="B2559" r:id="rId2553" xr:uid="{00000000-0004-0000-0000-0000F8090000}"/>
    <hyperlink ref="B2560" r:id="rId2554" xr:uid="{00000000-0004-0000-0000-0000F9090000}"/>
    <hyperlink ref="B2561" r:id="rId2555" xr:uid="{00000000-0004-0000-0000-0000FA090000}"/>
    <hyperlink ref="B2562" r:id="rId2556" xr:uid="{00000000-0004-0000-0000-0000FB090000}"/>
    <hyperlink ref="B2563" r:id="rId2557" xr:uid="{00000000-0004-0000-0000-0000FC090000}"/>
    <hyperlink ref="B2564" r:id="rId2558" xr:uid="{00000000-0004-0000-0000-0000FD090000}"/>
    <hyperlink ref="B2565" r:id="rId2559" xr:uid="{00000000-0004-0000-0000-0000FE090000}"/>
    <hyperlink ref="B2566" r:id="rId2560" xr:uid="{00000000-0004-0000-0000-0000FF090000}"/>
    <hyperlink ref="B2567" r:id="rId2561" xr:uid="{00000000-0004-0000-0000-0000000A0000}"/>
    <hyperlink ref="B2568" r:id="rId2562" xr:uid="{00000000-0004-0000-0000-0000010A0000}"/>
    <hyperlink ref="B2569" r:id="rId2563" xr:uid="{00000000-0004-0000-0000-0000020A0000}"/>
    <hyperlink ref="B2570" r:id="rId2564" xr:uid="{00000000-0004-0000-0000-0000030A0000}"/>
    <hyperlink ref="B2571" r:id="rId2565" xr:uid="{00000000-0004-0000-0000-0000040A0000}"/>
    <hyperlink ref="B2572" r:id="rId2566" xr:uid="{00000000-0004-0000-0000-0000050A0000}"/>
    <hyperlink ref="B2573" r:id="rId2567" xr:uid="{00000000-0004-0000-0000-0000060A0000}"/>
    <hyperlink ref="B2574" r:id="rId2568" xr:uid="{00000000-0004-0000-0000-0000070A0000}"/>
    <hyperlink ref="B2575" r:id="rId2569" xr:uid="{00000000-0004-0000-0000-0000080A0000}"/>
    <hyperlink ref="B2576" r:id="rId2570" xr:uid="{00000000-0004-0000-0000-0000090A0000}"/>
    <hyperlink ref="B2577" r:id="rId2571" xr:uid="{00000000-0004-0000-0000-00000A0A0000}"/>
    <hyperlink ref="B2578" r:id="rId2572" xr:uid="{00000000-0004-0000-0000-00000B0A0000}"/>
    <hyperlink ref="B2579" r:id="rId2573" xr:uid="{00000000-0004-0000-0000-00000C0A0000}"/>
    <hyperlink ref="B2580" r:id="rId2574" xr:uid="{00000000-0004-0000-0000-00000D0A0000}"/>
    <hyperlink ref="B2581" r:id="rId2575" xr:uid="{00000000-0004-0000-0000-00000E0A0000}"/>
    <hyperlink ref="B2582" r:id="rId2576" xr:uid="{00000000-0004-0000-0000-00000F0A0000}"/>
    <hyperlink ref="B2583" r:id="rId2577" xr:uid="{00000000-0004-0000-0000-0000100A0000}"/>
    <hyperlink ref="B2584" r:id="rId2578" xr:uid="{00000000-0004-0000-0000-0000110A0000}"/>
    <hyperlink ref="B2585" r:id="rId2579" xr:uid="{00000000-0004-0000-0000-0000120A0000}"/>
    <hyperlink ref="B2586" r:id="rId2580" xr:uid="{00000000-0004-0000-0000-0000130A0000}"/>
    <hyperlink ref="B2587" r:id="rId2581" xr:uid="{00000000-0004-0000-0000-0000140A0000}"/>
    <hyperlink ref="B2588" r:id="rId2582" xr:uid="{00000000-0004-0000-0000-0000150A0000}"/>
    <hyperlink ref="B2589" r:id="rId2583" xr:uid="{00000000-0004-0000-0000-0000160A0000}"/>
    <hyperlink ref="B2590" r:id="rId2584" xr:uid="{00000000-0004-0000-0000-0000170A0000}"/>
    <hyperlink ref="B2591" r:id="rId2585" xr:uid="{00000000-0004-0000-0000-0000180A0000}"/>
    <hyperlink ref="B2592" r:id="rId2586" xr:uid="{00000000-0004-0000-0000-0000190A0000}"/>
    <hyperlink ref="B2593" r:id="rId2587" xr:uid="{00000000-0004-0000-0000-00001A0A0000}"/>
    <hyperlink ref="B2594" r:id="rId2588" xr:uid="{00000000-0004-0000-0000-00001B0A0000}"/>
    <hyperlink ref="B2595" r:id="rId2589" xr:uid="{00000000-0004-0000-0000-00001C0A0000}"/>
    <hyperlink ref="B2596" r:id="rId2590" xr:uid="{00000000-0004-0000-0000-00001D0A0000}"/>
    <hyperlink ref="B2597" r:id="rId2591" xr:uid="{00000000-0004-0000-0000-00001E0A0000}"/>
    <hyperlink ref="B2598" r:id="rId2592" xr:uid="{00000000-0004-0000-0000-00001F0A0000}"/>
    <hyperlink ref="B2599" r:id="rId2593" xr:uid="{00000000-0004-0000-0000-0000200A0000}"/>
    <hyperlink ref="B2600" r:id="rId2594" xr:uid="{00000000-0004-0000-0000-0000210A0000}"/>
    <hyperlink ref="B2601" r:id="rId2595" xr:uid="{00000000-0004-0000-0000-0000220A0000}"/>
    <hyperlink ref="B2602" r:id="rId2596" xr:uid="{00000000-0004-0000-0000-0000230A0000}"/>
    <hyperlink ref="B2603" r:id="rId2597" xr:uid="{00000000-0004-0000-0000-0000240A0000}"/>
    <hyperlink ref="B2604" r:id="rId2598" xr:uid="{00000000-0004-0000-0000-0000250A0000}"/>
    <hyperlink ref="B2605" r:id="rId2599" xr:uid="{00000000-0004-0000-0000-0000260A0000}"/>
    <hyperlink ref="B2606" r:id="rId2600" xr:uid="{00000000-0004-0000-0000-0000270A0000}"/>
    <hyperlink ref="B2607" r:id="rId2601" xr:uid="{00000000-0004-0000-0000-0000280A0000}"/>
    <hyperlink ref="B2608" r:id="rId2602" xr:uid="{00000000-0004-0000-0000-0000290A0000}"/>
    <hyperlink ref="B2609" r:id="rId2603" xr:uid="{00000000-0004-0000-0000-00002A0A0000}"/>
    <hyperlink ref="B2610" r:id="rId2604" xr:uid="{00000000-0004-0000-0000-00002B0A0000}"/>
    <hyperlink ref="B2611" r:id="rId2605" xr:uid="{00000000-0004-0000-0000-00002C0A0000}"/>
    <hyperlink ref="B2612" r:id="rId2606" xr:uid="{00000000-0004-0000-0000-00002D0A0000}"/>
    <hyperlink ref="B2613" r:id="rId2607" xr:uid="{00000000-0004-0000-0000-00002E0A0000}"/>
    <hyperlink ref="B2614" r:id="rId2608" xr:uid="{00000000-0004-0000-0000-00002F0A0000}"/>
    <hyperlink ref="B2615" r:id="rId2609" xr:uid="{00000000-0004-0000-0000-0000300A0000}"/>
    <hyperlink ref="B2616" r:id="rId2610" xr:uid="{00000000-0004-0000-0000-0000310A0000}"/>
    <hyperlink ref="B2617" r:id="rId2611" xr:uid="{00000000-0004-0000-0000-0000320A0000}"/>
    <hyperlink ref="B2618" r:id="rId2612" xr:uid="{00000000-0004-0000-0000-0000330A0000}"/>
    <hyperlink ref="B2619" r:id="rId2613" xr:uid="{00000000-0004-0000-0000-0000340A0000}"/>
    <hyperlink ref="B2620" r:id="rId2614" xr:uid="{00000000-0004-0000-0000-0000350A0000}"/>
    <hyperlink ref="B2621" r:id="rId2615" xr:uid="{00000000-0004-0000-0000-0000360A0000}"/>
    <hyperlink ref="B2622" r:id="rId2616" xr:uid="{00000000-0004-0000-0000-0000370A0000}"/>
    <hyperlink ref="B2623" r:id="rId2617" xr:uid="{00000000-0004-0000-0000-0000380A0000}"/>
    <hyperlink ref="B2624" r:id="rId2618" xr:uid="{00000000-0004-0000-0000-0000390A0000}"/>
    <hyperlink ref="B2625" r:id="rId2619" xr:uid="{00000000-0004-0000-0000-00003A0A0000}"/>
    <hyperlink ref="B2626" r:id="rId2620" xr:uid="{00000000-0004-0000-0000-00003B0A0000}"/>
    <hyperlink ref="B2627" r:id="rId2621" xr:uid="{00000000-0004-0000-0000-00003C0A0000}"/>
    <hyperlink ref="B2628" r:id="rId2622" xr:uid="{00000000-0004-0000-0000-00003D0A0000}"/>
    <hyperlink ref="B2629" r:id="rId2623" xr:uid="{00000000-0004-0000-0000-00003E0A0000}"/>
    <hyperlink ref="B2630" r:id="rId2624" xr:uid="{00000000-0004-0000-0000-00003F0A0000}"/>
    <hyperlink ref="B2631" r:id="rId2625" xr:uid="{00000000-0004-0000-0000-0000400A0000}"/>
    <hyperlink ref="B2632" r:id="rId2626" xr:uid="{00000000-0004-0000-0000-0000410A0000}"/>
    <hyperlink ref="B2633" r:id="rId2627" xr:uid="{00000000-0004-0000-0000-0000420A0000}"/>
    <hyperlink ref="B2634" r:id="rId2628" xr:uid="{00000000-0004-0000-0000-0000430A0000}"/>
    <hyperlink ref="B2635" r:id="rId2629" xr:uid="{00000000-0004-0000-0000-0000440A0000}"/>
    <hyperlink ref="B2636" r:id="rId2630" xr:uid="{00000000-0004-0000-0000-0000450A0000}"/>
    <hyperlink ref="B2637" r:id="rId2631" xr:uid="{00000000-0004-0000-0000-0000460A0000}"/>
    <hyperlink ref="B2638" r:id="rId2632" xr:uid="{00000000-0004-0000-0000-0000470A0000}"/>
    <hyperlink ref="B2639" r:id="rId2633" xr:uid="{00000000-0004-0000-0000-0000480A0000}"/>
    <hyperlink ref="B2640" r:id="rId2634" xr:uid="{00000000-0004-0000-0000-0000490A0000}"/>
    <hyperlink ref="B2641" r:id="rId2635" xr:uid="{00000000-0004-0000-0000-00004A0A0000}"/>
    <hyperlink ref="B2642" r:id="rId2636" xr:uid="{00000000-0004-0000-0000-00004B0A0000}"/>
    <hyperlink ref="B2643" r:id="rId2637" xr:uid="{00000000-0004-0000-0000-00004C0A0000}"/>
    <hyperlink ref="B2644" r:id="rId2638" xr:uid="{00000000-0004-0000-0000-00004D0A0000}"/>
    <hyperlink ref="B2645" r:id="rId2639" xr:uid="{00000000-0004-0000-0000-00004E0A0000}"/>
    <hyperlink ref="B2646" r:id="rId2640" xr:uid="{00000000-0004-0000-0000-00004F0A0000}"/>
    <hyperlink ref="B2647" r:id="rId2641" xr:uid="{00000000-0004-0000-0000-0000500A0000}"/>
    <hyperlink ref="B2648" r:id="rId2642" xr:uid="{00000000-0004-0000-0000-0000510A0000}"/>
    <hyperlink ref="B2649" r:id="rId2643" xr:uid="{00000000-0004-0000-0000-0000520A0000}"/>
    <hyperlink ref="B2650" r:id="rId2644" xr:uid="{00000000-0004-0000-0000-0000530A0000}"/>
    <hyperlink ref="B2651" r:id="rId2645" xr:uid="{00000000-0004-0000-0000-0000540A0000}"/>
    <hyperlink ref="B2652" r:id="rId2646" xr:uid="{00000000-0004-0000-0000-0000550A0000}"/>
    <hyperlink ref="B2653" r:id="rId2647" xr:uid="{00000000-0004-0000-0000-0000560A0000}"/>
    <hyperlink ref="B2654" r:id="rId2648" xr:uid="{00000000-0004-0000-0000-0000570A0000}"/>
    <hyperlink ref="B2655" r:id="rId2649" xr:uid="{00000000-0004-0000-0000-0000580A0000}"/>
    <hyperlink ref="B2656" r:id="rId2650" xr:uid="{00000000-0004-0000-0000-0000590A0000}"/>
    <hyperlink ref="B2657" r:id="rId2651" xr:uid="{00000000-0004-0000-0000-00005A0A0000}"/>
    <hyperlink ref="B2658" r:id="rId2652" xr:uid="{00000000-0004-0000-0000-00005B0A0000}"/>
    <hyperlink ref="B2659" r:id="rId2653" xr:uid="{00000000-0004-0000-0000-00005C0A0000}"/>
    <hyperlink ref="B2660" r:id="rId2654" xr:uid="{00000000-0004-0000-0000-00005D0A0000}"/>
    <hyperlink ref="B2661" r:id="rId2655" xr:uid="{00000000-0004-0000-0000-00005E0A0000}"/>
    <hyperlink ref="B2662" r:id="rId2656" xr:uid="{00000000-0004-0000-0000-00005F0A0000}"/>
    <hyperlink ref="B2663" r:id="rId2657" xr:uid="{00000000-0004-0000-0000-0000600A0000}"/>
    <hyperlink ref="B2664" r:id="rId2658" xr:uid="{00000000-0004-0000-0000-0000610A0000}"/>
    <hyperlink ref="B2665" r:id="rId2659" xr:uid="{00000000-0004-0000-0000-0000620A0000}"/>
    <hyperlink ref="B2666" r:id="rId2660" xr:uid="{00000000-0004-0000-0000-0000630A0000}"/>
    <hyperlink ref="B2667" r:id="rId2661" xr:uid="{00000000-0004-0000-0000-0000640A0000}"/>
    <hyperlink ref="B2668" r:id="rId2662" xr:uid="{00000000-0004-0000-0000-0000650A0000}"/>
    <hyperlink ref="B2669" r:id="rId2663" xr:uid="{00000000-0004-0000-0000-0000660A0000}"/>
    <hyperlink ref="B2670" r:id="rId2664" xr:uid="{00000000-0004-0000-0000-0000670A0000}"/>
    <hyperlink ref="B2671" r:id="rId2665" xr:uid="{00000000-0004-0000-0000-0000680A0000}"/>
    <hyperlink ref="B2672" r:id="rId2666" xr:uid="{00000000-0004-0000-0000-0000690A0000}"/>
    <hyperlink ref="B2673" r:id="rId2667" xr:uid="{00000000-0004-0000-0000-00006A0A0000}"/>
    <hyperlink ref="B2674" r:id="rId2668" xr:uid="{00000000-0004-0000-0000-00006B0A0000}"/>
    <hyperlink ref="B2675" r:id="rId2669" xr:uid="{00000000-0004-0000-0000-00006C0A0000}"/>
    <hyperlink ref="B2676" r:id="rId2670" xr:uid="{00000000-0004-0000-0000-00006D0A0000}"/>
    <hyperlink ref="B2677" r:id="rId2671" xr:uid="{00000000-0004-0000-0000-00006E0A0000}"/>
    <hyperlink ref="B2678" r:id="rId2672" xr:uid="{00000000-0004-0000-0000-00006F0A0000}"/>
    <hyperlink ref="B2679" r:id="rId2673" xr:uid="{00000000-0004-0000-0000-0000700A0000}"/>
    <hyperlink ref="B2680" r:id="rId2674" xr:uid="{00000000-0004-0000-0000-0000710A0000}"/>
    <hyperlink ref="B2681" r:id="rId2675" xr:uid="{00000000-0004-0000-0000-0000720A0000}"/>
    <hyperlink ref="B2682" r:id="rId2676" xr:uid="{00000000-0004-0000-0000-0000730A0000}"/>
    <hyperlink ref="B2683" r:id="rId2677" xr:uid="{00000000-0004-0000-0000-0000740A0000}"/>
    <hyperlink ref="B2684" r:id="rId2678" xr:uid="{00000000-0004-0000-0000-0000750A0000}"/>
    <hyperlink ref="B2685" r:id="rId2679" xr:uid="{00000000-0004-0000-0000-0000760A0000}"/>
    <hyperlink ref="B2686" r:id="rId2680" xr:uid="{00000000-0004-0000-0000-0000770A0000}"/>
    <hyperlink ref="B2687" r:id="rId2681" xr:uid="{00000000-0004-0000-0000-0000780A0000}"/>
    <hyperlink ref="B2688" r:id="rId2682" xr:uid="{00000000-0004-0000-0000-0000790A0000}"/>
    <hyperlink ref="B2689" r:id="rId2683" xr:uid="{00000000-0004-0000-0000-00007A0A0000}"/>
    <hyperlink ref="B2690" r:id="rId2684" xr:uid="{00000000-0004-0000-0000-00007B0A0000}"/>
    <hyperlink ref="B2691" r:id="rId2685" xr:uid="{00000000-0004-0000-0000-00007C0A0000}"/>
    <hyperlink ref="B2692" r:id="rId2686" xr:uid="{00000000-0004-0000-0000-00007D0A0000}"/>
    <hyperlink ref="B2693" r:id="rId2687" xr:uid="{00000000-0004-0000-0000-00007E0A0000}"/>
    <hyperlink ref="B2694" r:id="rId2688" xr:uid="{00000000-0004-0000-0000-00007F0A0000}"/>
    <hyperlink ref="B2695" r:id="rId2689" xr:uid="{00000000-0004-0000-0000-0000800A0000}"/>
    <hyperlink ref="B2696" r:id="rId2690" xr:uid="{00000000-0004-0000-0000-0000810A0000}"/>
    <hyperlink ref="B2697" r:id="rId2691" xr:uid="{00000000-0004-0000-0000-0000820A0000}"/>
    <hyperlink ref="B2698" r:id="rId2692" xr:uid="{00000000-0004-0000-0000-0000830A0000}"/>
    <hyperlink ref="B2699" r:id="rId2693" xr:uid="{00000000-0004-0000-0000-0000840A0000}"/>
    <hyperlink ref="B2701" r:id="rId2694" xr:uid="{00000000-0004-0000-0000-0000850A0000}"/>
    <hyperlink ref="B2702" r:id="rId2695" xr:uid="{00000000-0004-0000-0000-0000860A0000}"/>
    <hyperlink ref="B2703" r:id="rId2696" xr:uid="{00000000-0004-0000-0000-0000870A0000}"/>
    <hyperlink ref="B2704" r:id="rId2697" xr:uid="{00000000-0004-0000-0000-0000880A0000}"/>
    <hyperlink ref="B2705" r:id="rId2698" xr:uid="{00000000-0004-0000-0000-0000890A0000}"/>
    <hyperlink ref="B2706" r:id="rId2699" xr:uid="{00000000-0004-0000-0000-00008A0A0000}"/>
    <hyperlink ref="B2707" r:id="rId2700" xr:uid="{00000000-0004-0000-0000-00008B0A0000}"/>
    <hyperlink ref="B2708" r:id="rId2701" xr:uid="{00000000-0004-0000-0000-00008C0A0000}"/>
    <hyperlink ref="B2709" r:id="rId2702" xr:uid="{00000000-0004-0000-0000-00008D0A0000}"/>
    <hyperlink ref="B2710" r:id="rId2703" xr:uid="{00000000-0004-0000-0000-00008E0A0000}"/>
    <hyperlink ref="B2711" r:id="rId2704" xr:uid="{00000000-0004-0000-0000-00008F0A0000}"/>
    <hyperlink ref="B2712" r:id="rId2705" xr:uid="{00000000-0004-0000-0000-0000900A0000}"/>
    <hyperlink ref="B2713" r:id="rId2706" xr:uid="{00000000-0004-0000-0000-0000910A0000}"/>
    <hyperlink ref="B2714" r:id="rId2707" xr:uid="{00000000-0004-0000-0000-0000920A0000}"/>
    <hyperlink ref="B2715" r:id="rId2708" xr:uid="{00000000-0004-0000-0000-0000930A0000}"/>
    <hyperlink ref="B2716" r:id="rId2709" xr:uid="{00000000-0004-0000-0000-0000940A0000}"/>
    <hyperlink ref="B2717" r:id="rId2710" xr:uid="{00000000-0004-0000-0000-0000950A0000}"/>
    <hyperlink ref="B2718" r:id="rId2711" xr:uid="{00000000-0004-0000-0000-0000960A0000}"/>
    <hyperlink ref="B2719" r:id="rId2712" xr:uid="{00000000-0004-0000-0000-0000970A0000}"/>
    <hyperlink ref="B2720" r:id="rId2713" xr:uid="{00000000-0004-0000-0000-0000980A0000}"/>
    <hyperlink ref="B2721" r:id="rId2714" xr:uid="{00000000-0004-0000-0000-0000990A0000}"/>
    <hyperlink ref="B2722" r:id="rId2715" xr:uid="{00000000-0004-0000-0000-00009A0A0000}"/>
    <hyperlink ref="B2723" r:id="rId2716" xr:uid="{00000000-0004-0000-0000-00009B0A0000}"/>
    <hyperlink ref="B2724" r:id="rId2717" xr:uid="{00000000-0004-0000-0000-00009C0A0000}"/>
    <hyperlink ref="B2725" r:id="rId2718" xr:uid="{00000000-0004-0000-0000-00009D0A0000}"/>
    <hyperlink ref="B2726" r:id="rId2719" xr:uid="{00000000-0004-0000-0000-00009E0A0000}"/>
    <hyperlink ref="B2727" r:id="rId2720" xr:uid="{00000000-0004-0000-0000-00009F0A0000}"/>
    <hyperlink ref="B2728" r:id="rId2721" xr:uid="{00000000-0004-0000-0000-0000A00A0000}"/>
    <hyperlink ref="B2729" r:id="rId2722" xr:uid="{00000000-0004-0000-0000-0000A10A0000}"/>
    <hyperlink ref="B2730" r:id="rId2723" xr:uid="{00000000-0004-0000-0000-0000A20A0000}"/>
    <hyperlink ref="B2731" r:id="rId2724" xr:uid="{00000000-0004-0000-0000-0000A30A0000}"/>
    <hyperlink ref="B2732" r:id="rId2725" xr:uid="{00000000-0004-0000-0000-0000A40A0000}"/>
    <hyperlink ref="B2733" r:id="rId2726" xr:uid="{00000000-0004-0000-0000-0000A50A0000}"/>
    <hyperlink ref="B2734" r:id="rId2727" xr:uid="{00000000-0004-0000-0000-0000A60A0000}"/>
    <hyperlink ref="B2735" r:id="rId2728" xr:uid="{00000000-0004-0000-0000-0000A70A0000}"/>
    <hyperlink ref="B2736" r:id="rId2729" xr:uid="{00000000-0004-0000-0000-0000A80A0000}"/>
    <hyperlink ref="B2737" r:id="rId2730" xr:uid="{00000000-0004-0000-0000-0000A90A0000}"/>
    <hyperlink ref="B2738" r:id="rId2731" xr:uid="{00000000-0004-0000-0000-0000AA0A0000}"/>
    <hyperlink ref="B2739" r:id="rId2732" xr:uid="{00000000-0004-0000-0000-0000AB0A0000}"/>
    <hyperlink ref="B2740" r:id="rId2733" xr:uid="{00000000-0004-0000-0000-0000AC0A0000}"/>
    <hyperlink ref="B2741" r:id="rId2734" xr:uid="{00000000-0004-0000-0000-0000AD0A0000}"/>
    <hyperlink ref="B2742" r:id="rId2735" xr:uid="{00000000-0004-0000-0000-0000AE0A0000}"/>
    <hyperlink ref="B2743" r:id="rId2736" xr:uid="{00000000-0004-0000-0000-0000AF0A0000}"/>
    <hyperlink ref="B2744" r:id="rId2737" xr:uid="{00000000-0004-0000-0000-0000B00A0000}"/>
    <hyperlink ref="B2745" r:id="rId2738" xr:uid="{00000000-0004-0000-0000-0000B10A0000}"/>
    <hyperlink ref="B2746" r:id="rId2739" xr:uid="{00000000-0004-0000-0000-0000B20A0000}"/>
    <hyperlink ref="B2747" r:id="rId2740" xr:uid="{00000000-0004-0000-0000-0000B30A0000}"/>
    <hyperlink ref="B2748" r:id="rId2741" xr:uid="{00000000-0004-0000-0000-0000B40A0000}"/>
    <hyperlink ref="B2749" r:id="rId2742" xr:uid="{00000000-0004-0000-0000-0000B50A0000}"/>
    <hyperlink ref="B2750" r:id="rId2743" xr:uid="{00000000-0004-0000-0000-0000B60A0000}"/>
    <hyperlink ref="B2751" r:id="rId2744" xr:uid="{00000000-0004-0000-0000-0000B70A0000}"/>
    <hyperlink ref="B2752" r:id="rId2745" xr:uid="{00000000-0004-0000-0000-0000B80A0000}"/>
    <hyperlink ref="B2753" r:id="rId2746" xr:uid="{00000000-0004-0000-0000-0000B90A0000}"/>
    <hyperlink ref="B2754" r:id="rId2747" xr:uid="{00000000-0004-0000-0000-0000BA0A0000}"/>
    <hyperlink ref="B2755" r:id="rId2748" xr:uid="{00000000-0004-0000-0000-0000BB0A0000}"/>
    <hyperlink ref="B2756" r:id="rId2749" xr:uid="{00000000-0004-0000-0000-0000BC0A0000}"/>
    <hyperlink ref="B2757" r:id="rId2750" xr:uid="{00000000-0004-0000-0000-0000BD0A0000}"/>
    <hyperlink ref="B2758" r:id="rId2751" xr:uid="{00000000-0004-0000-0000-0000BE0A0000}"/>
    <hyperlink ref="B2759" r:id="rId2752" xr:uid="{00000000-0004-0000-0000-0000BF0A0000}"/>
    <hyperlink ref="B2760" r:id="rId2753" xr:uid="{00000000-0004-0000-0000-0000C00A0000}"/>
    <hyperlink ref="B2761" r:id="rId2754" xr:uid="{00000000-0004-0000-0000-0000C10A0000}"/>
    <hyperlink ref="B2762" r:id="rId2755" xr:uid="{00000000-0004-0000-0000-0000C20A0000}"/>
    <hyperlink ref="B2763" r:id="rId2756" xr:uid="{00000000-0004-0000-0000-0000C30A0000}"/>
    <hyperlink ref="B2764" r:id="rId2757" xr:uid="{00000000-0004-0000-0000-0000C40A0000}"/>
    <hyperlink ref="B2765" r:id="rId2758" xr:uid="{00000000-0004-0000-0000-0000C50A0000}"/>
    <hyperlink ref="B2766" r:id="rId2759" xr:uid="{00000000-0004-0000-0000-0000C60A0000}"/>
    <hyperlink ref="B2767" r:id="rId2760" xr:uid="{00000000-0004-0000-0000-0000C70A0000}"/>
    <hyperlink ref="B2768" r:id="rId2761" xr:uid="{00000000-0004-0000-0000-0000C80A0000}"/>
    <hyperlink ref="B2769" r:id="rId2762" xr:uid="{00000000-0004-0000-0000-0000C90A0000}"/>
    <hyperlink ref="B2770" r:id="rId2763" xr:uid="{00000000-0004-0000-0000-0000CA0A0000}"/>
    <hyperlink ref="B2771" r:id="rId2764" xr:uid="{00000000-0004-0000-0000-0000CB0A0000}"/>
    <hyperlink ref="B2772" r:id="rId2765" xr:uid="{00000000-0004-0000-0000-0000CC0A0000}"/>
    <hyperlink ref="B2773" r:id="rId2766" xr:uid="{00000000-0004-0000-0000-0000CD0A0000}"/>
    <hyperlink ref="B2774" r:id="rId2767" xr:uid="{00000000-0004-0000-0000-0000CE0A0000}"/>
    <hyperlink ref="B2775" r:id="rId2768" xr:uid="{00000000-0004-0000-0000-0000CF0A0000}"/>
    <hyperlink ref="B2776" r:id="rId2769" xr:uid="{00000000-0004-0000-0000-0000D00A0000}"/>
    <hyperlink ref="B2777" r:id="rId2770" xr:uid="{00000000-0004-0000-0000-0000D10A0000}"/>
    <hyperlink ref="B2778" r:id="rId2771" xr:uid="{00000000-0004-0000-0000-0000D20A0000}"/>
    <hyperlink ref="B2779" r:id="rId2772" xr:uid="{00000000-0004-0000-0000-0000D30A0000}"/>
    <hyperlink ref="B2780" r:id="rId2773" xr:uid="{00000000-0004-0000-0000-0000D40A0000}"/>
    <hyperlink ref="B2781" r:id="rId2774" xr:uid="{00000000-0004-0000-0000-0000D50A0000}"/>
    <hyperlink ref="B2782" r:id="rId2775" xr:uid="{00000000-0004-0000-0000-0000D60A0000}"/>
    <hyperlink ref="B2783" r:id="rId2776" xr:uid="{00000000-0004-0000-0000-0000D70A0000}"/>
    <hyperlink ref="B2784" r:id="rId2777" xr:uid="{00000000-0004-0000-0000-0000D80A0000}"/>
    <hyperlink ref="B2785" r:id="rId2778" xr:uid="{00000000-0004-0000-0000-0000D90A0000}"/>
    <hyperlink ref="B2786" r:id="rId2779" xr:uid="{00000000-0004-0000-0000-0000DA0A0000}"/>
    <hyperlink ref="B2787" r:id="rId2780" xr:uid="{00000000-0004-0000-0000-0000DB0A0000}"/>
    <hyperlink ref="B2788" r:id="rId2781" xr:uid="{00000000-0004-0000-0000-0000DC0A0000}"/>
    <hyperlink ref="B2789" r:id="rId2782" xr:uid="{00000000-0004-0000-0000-0000DD0A0000}"/>
    <hyperlink ref="B2790" r:id="rId2783" xr:uid="{00000000-0004-0000-0000-0000DE0A0000}"/>
    <hyperlink ref="B2791" r:id="rId2784" xr:uid="{00000000-0004-0000-0000-0000DF0A0000}"/>
    <hyperlink ref="B2792" r:id="rId2785" xr:uid="{00000000-0004-0000-0000-0000E00A0000}"/>
    <hyperlink ref="B2793" r:id="rId2786" xr:uid="{00000000-0004-0000-0000-0000E10A0000}"/>
    <hyperlink ref="B2794" r:id="rId2787" xr:uid="{00000000-0004-0000-0000-0000E20A0000}"/>
    <hyperlink ref="B2795" r:id="rId2788" xr:uid="{00000000-0004-0000-0000-0000E30A0000}"/>
    <hyperlink ref="B2796" r:id="rId2789" xr:uid="{00000000-0004-0000-0000-0000E40A0000}"/>
    <hyperlink ref="B2797" r:id="rId2790" xr:uid="{00000000-0004-0000-0000-0000E50A0000}"/>
    <hyperlink ref="B2798" r:id="rId2791" xr:uid="{00000000-0004-0000-0000-0000E60A0000}"/>
    <hyperlink ref="B2799" r:id="rId2792" xr:uid="{00000000-0004-0000-0000-0000E70A0000}"/>
    <hyperlink ref="B2800" r:id="rId2793" xr:uid="{00000000-0004-0000-0000-0000E80A0000}"/>
    <hyperlink ref="B2801" r:id="rId2794" xr:uid="{00000000-0004-0000-0000-0000E90A0000}"/>
    <hyperlink ref="B2802" r:id="rId2795" xr:uid="{00000000-0004-0000-0000-0000EA0A0000}"/>
    <hyperlink ref="B2803" r:id="rId2796" xr:uid="{00000000-0004-0000-0000-0000EB0A0000}"/>
    <hyperlink ref="B2804" r:id="rId2797" xr:uid="{00000000-0004-0000-0000-0000EC0A0000}"/>
    <hyperlink ref="B2805" r:id="rId2798" xr:uid="{00000000-0004-0000-0000-0000ED0A0000}"/>
    <hyperlink ref="B2806" r:id="rId2799" xr:uid="{00000000-0004-0000-0000-0000EE0A0000}"/>
    <hyperlink ref="B2807" r:id="rId2800" xr:uid="{00000000-0004-0000-0000-0000EF0A0000}"/>
    <hyperlink ref="B2808" r:id="rId2801" xr:uid="{00000000-0004-0000-0000-0000F00A0000}"/>
    <hyperlink ref="B2809" r:id="rId2802" xr:uid="{00000000-0004-0000-0000-0000F10A0000}"/>
    <hyperlink ref="B2810" r:id="rId2803" xr:uid="{00000000-0004-0000-0000-0000F20A0000}"/>
    <hyperlink ref="B2811" r:id="rId2804" xr:uid="{00000000-0004-0000-0000-0000F30A0000}"/>
    <hyperlink ref="B2812" r:id="rId2805" xr:uid="{00000000-0004-0000-0000-0000F40A0000}"/>
    <hyperlink ref="B2813" r:id="rId2806" xr:uid="{00000000-0004-0000-0000-0000F50A0000}"/>
    <hyperlink ref="B2814" r:id="rId2807" xr:uid="{00000000-0004-0000-0000-0000F60A0000}"/>
    <hyperlink ref="B2815" r:id="rId2808" xr:uid="{00000000-0004-0000-0000-0000F70A0000}"/>
    <hyperlink ref="B2816" r:id="rId2809" xr:uid="{00000000-0004-0000-0000-0000F80A0000}"/>
    <hyperlink ref="B2817" r:id="rId2810" xr:uid="{00000000-0004-0000-0000-0000F90A0000}"/>
    <hyperlink ref="B2818" r:id="rId2811" xr:uid="{00000000-0004-0000-0000-0000FA0A0000}"/>
    <hyperlink ref="B2819" r:id="rId2812" xr:uid="{00000000-0004-0000-0000-0000FB0A0000}"/>
    <hyperlink ref="B2820" r:id="rId2813" xr:uid="{00000000-0004-0000-0000-0000FC0A0000}"/>
    <hyperlink ref="B2821" r:id="rId2814" xr:uid="{00000000-0004-0000-0000-0000FD0A0000}"/>
    <hyperlink ref="B2822" r:id="rId2815" xr:uid="{00000000-0004-0000-0000-0000FE0A0000}"/>
    <hyperlink ref="B2823" r:id="rId2816" xr:uid="{00000000-0004-0000-0000-0000FF0A0000}"/>
    <hyperlink ref="B2824" r:id="rId2817" xr:uid="{00000000-0004-0000-0000-0000000B0000}"/>
    <hyperlink ref="B2825" r:id="rId2818" xr:uid="{00000000-0004-0000-0000-0000010B0000}"/>
    <hyperlink ref="B2826" r:id="rId2819" xr:uid="{00000000-0004-0000-0000-0000020B0000}"/>
    <hyperlink ref="B2827" r:id="rId2820" xr:uid="{00000000-0004-0000-0000-0000030B0000}"/>
    <hyperlink ref="B2828" r:id="rId2821" xr:uid="{00000000-0004-0000-0000-0000040B0000}"/>
    <hyperlink ref="B2829" r:id="rId2822" xr:uid="{00000000-0004-0000-0000-0000050B0000}"/>
    <hyperlink ref="B2830" r:id="rId2823" xr:uid="{00000000-0004-0000-0000-0000060B0000}"/>
    <hyperlink ref="B2831" r:id="rId2824" xr:uid="{00000000-0004-0000-0000-0000070B0000}"/>
    <hyperlink ref="B2832" r:id="rId2825" xr:uid="{00000000-0004-0000-0000-0000080B0000}"/>
    <hyperlink ref="B2833" r:id="rId2826" xr:uid="{00000000-0004-0000-0000-0000090B0000}"/>
    <hyperlink ref="B2834" r:id="rId2827" xr:uid="{00000000-0004-0000-0000-00000A0B0000}"/>
    <hyperlink ref="B2835" r:id="rId2828" xr:uid="{00000000-0004-0000-0000-00000B0B0000}"/>
    <hyperlink ref="B2836" r:id="rId2829" xr:uid="{00000000-0004-0000-0000-00000C0B0000}"/>
    <hyperlink ref="B2837" r:id="rId2830" xr:uid="{00000000-0004-0000-0000-00000D0B0000}"/>
    <hyperlink ref="B2838" r:id="rId2831" xr:uid="{00000000-0004-0000-0000-00000E0B0000}"/>
    <hyperlink ref="B2839" r:id="rId2832" xr:uid="{00000000-0004-0000-0000-00000F0B0000}"/>
    <hyperlink ref="B2840" r:id="rId2833" xr:uid="{00000000-0004-0000-0000-0000100B0000}"/>
    <hyperlink ref="B2841" r:id="rId2834" xr:uid="{00000000-0004-0000-0000-0000110B0000}"/>
    <hyperlink ref="B2842" r:id="rId2835" xr:uid="{00000000-0004-0000-0000-0000120B0000}"/>
    <hyperlink ref="B2843" r:id="rId2836" xr:uid="{00000000-0004-0000-0000-0000130B0000}"/>
    <hyperlink ref="B2844" r:id="rId2837" xr:uid="{00000000-0004-0000-0000-0000140B0000}"/>
    <hyperlink ref="B2845" r:id="rId2838" xr:uid="{00000000-0004-0000-0000-0000150B0000}"/>
    <hyperlink ref="B2846" r:id="rId2839" xr:uid="{00000000-0004-0000-0000-0000160B0000}"/>
    <hyperlink ref="B2847" r:id="rId2840" xr:uid="{00000000-0004-0000-0000-0000170B0000}"/>
    <hyperlink ref="B2848" r:id="rId2841" xr:uid="{00000000-0004-0000-0000-0000180B0000}"/>
    <hyperlink ref="B2849" r:id="rId2842" xr:uid="{00000000-0004-0000-0000-0000190B0000}"/>
    <hyperlink ref="B2850" r:id="rId2843" xr:uid="{00000000-0004-0000-0000-00001A0B0000}"/>
    <hyperlink ref="B2851" r:id="rId2844" xr:uid="{00000000-0004-0000-0000-00001B0B0000}"/>
    <hyperlink ref="B2852" r:id="rId2845" xr:uid="{00000000-0004-0000-0000-00001C0B0000}"/>
    <hyperlink ref="B2853" r:id="rId2846" xr:uid="{00000000-0004-0000-0000-00001D0B0000}"/>
    <hyperlink ref="B2854" r:id="rId2847" xr:uid="{00000000-0004-0000-0000-00001E0B0000}"/>
    <hyperlink ref="B2855" r:id="rId2848" xr:uid="{00000000-0004-0000-0000-00001F0B0000}"/>
    <hyperlink ref="B2856" r:id="rId2849" xr:uid="{00000000-0004-0000-0000-0000200B0000}"/>
    <hyperlink ref="B2857" r:id="rId2850" xr:uid="{00000000-0004-0000-0000-0000210B0000}"/>
    <hyperlink ref="B2858" r:id="rId2851" xr:uid="{00000000-0004-0000-0000-0000220B0000}"/>
    <hyperlink ref="B2859" r:id="rId2852" xr:uid="{00000000-0004-0000-0000-0000230B0000}"/>
    <hyperlink ref="B2860" r:id="rId2853" xr:uid="{00000000-0004-0000-0000-0000240B0000}"/>
    <hyperlink ref="B2861" r:id="rId2854" xr:uid="{00000000-0004-0000-0000-0000250B0000}"/>
    <hyperlink ref="B2862" r:id="rId2855" xr:uid="{00000000-0004-0000-0000-0000260B0000}"/>
    <hyperlink ref="B2863" r:id="rId2856" xr:uid="{00000000-0004-0000-0000-0000270B0000}"/>
    <hyperlink ref="B2864" r:id="rId2857" xr:uid="{00000000-0004-0000-0000-0000280B0000}"/>
    <hyperlink ref="B2865" r:id="rId2858" xr:uid="{00000000-0004-0000-0000-0000290B0000}"/>
    <hyperlink ref="B2866" r:id="rId2859" xr:uid="{00000000-0004-0000-0000-00002A0B0000}"/>
    <hyperlink ref="B2867" r:id="rId2860" xr:uid="{00000000-0004-0000-0000-00002B0B0000}"/>
    <hyperlink ref="B2868" r:id="rId2861" xr:uid="{00000000-0004-0000-0000-00002C0B0000}"/>
    <hyperlink ref="B2869" r:id="rId2862" xr:uid="{00000000-0004-0000-0000-00002D0B0000}"/>
    <hyperlink ref="B2870" r:id="rId2863" xr:uid="{00000000-0004-0000-0000-00002E0B0000}"/>
    <hyperlink ref="B2871" r:id="rId2864" xr:uid="{00000000-0004-0000-0000-00002F0B0000}"/>
    <hyperlink ref="B2872" r:id="rId2865" xr:uid="{00000000-0004-0000-0000-0000300B0000}"/>
    <hyperlink ref="B2873" r:id="rId2866" xr:uid="{00000000-0004-0000-0000-0000310B0000}"/>
    <hyperlink ref="B2874" r:id="rId2867" xr:uid="{00000000-0004-0000-0000-0000320B0000}"/>
    <hyperlink ref="B2875" r:id="rId2868" xr:uid="{00000000-0004-0000-0000-0000330B0000}"/>
    <hyperlink ref="B2876" r:id="rId2869" xr:uid="{00000000-0004-0000-0000-0000340B0000}"/>
    <hyperlink ref="B2877" r:id="rId2870" xr:uid="{00000000-0004-0000-0000-0000350B0000}"/>
    <hyperlink ref="B2878" r:id="rId2871" xr:uid="{00000000-0004-0000-0000-0000360B0000}"/>
    <hyperlink ref="B2879" r:id="rId2872" xr:uid="{00000000-0004-0000-0000-0000370B0000}"/>
    <hyperlink ref="B2880" r:id="rId2873" xr:uid="{00000000-0004-0000-0000-0000380B0000}"/>
    <hyperlink ref="B2881" r:id="rId2874" xr:uid="{00000000-0004-0000-0000-0000390B0000}"/>
    <hyperlink ref="B2882" r:id="rId2875" xr:uid="{00000000-0004-0000-0000-00003A0B0000}"/>
    <hyperlink ref="B2883" r:id="rId2876" xr:uid="{00000000-0004-0000-0000-00003B0B0000}"/>
    <hyperlink ref="B2884" r:id="rId2877" xr:uid="{00000000-0004-0000-0000-00003C0B0000}"/>
    <hyperlink ref="B2885" r:id="rId2878" xr:uid="{00000000-0004-0000-0000-00003D0B0000}"/>
    <hyperlink ref="B2886" r:id="rId2879" xr:uid="{00000000-0004-0000-0000-00003E0B0000}"/>
    <hyperlink ref="B2887" r:id="rId2880" xr:uid="{00000000-0004-0000-0000-00003F0B0000}"/>
    <hyperlink ref="B2888" r:id="rId2881" xr:uid="{00000000-0004-0000-0000-0000400B0000}"/>
    <hyperlink ref="B2889" r:id="rId2882" xr:uid="{00000000-0004-0000-0000-0000410B0000}"/>
    <hyperlink ref="B2890" r:id="rId2883" xr:uid="{00000000-0004-0000-0000-0000420B0000}"/>
  </hyperlinks>
  <pageMargins left="0.7" right="0.7" top="0.75" bottom="0.75" header="0.3" footer="0.3"/>
  <pageSetup fitToHeight="0" orientation="landscape" r:id="rId2884"/>
  <drawing r:id="rId2885"/>
  <tableParts count="1">
    <tablePart r:id="rId288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Vi Cam</dc:creator>
  <cp:lastModifiedBy>Phi Dinh Manh</cp:lastModifiedBy>
  <dcterms:created xsi:type="dcterms:W3CDTF">2020-04-06T02:05:30Z</dcterms:created>
  <dcterms:modified xsi:type="dcterms:W3CDTF">2026-04-08T18:10:13Z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2.5.0</vt:lpwstr>
  </property>
</Properties>
</file>