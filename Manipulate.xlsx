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neuedu-my.sharepoint.com/personal/11224137_st_neu_edu_vn/Documents/KLTN/"/>
    </mc:Choice>
  </mc:AlternateContent>
  <xr:revisionPtr revIDLastSave="13" documentId="8_{79695834-691B-48B7-823E-8F5AF79BCC8C}" xr6:coauthVersionLast="47" xr6:coauthVersionMax="47" xr10:uidLastSave="{6F4D9076-2845-489A-B10A-57A0B93D08C3}"/>
  <bookViews>
    <workbookView xWindow="735" yWindow="735" windowWidth="16200" windowHeight="9308" xr2:uid="{A9675914-9747-4E46-A5B4-5FB99490200E}"/>
  </bookViews>
  <sheets>
    <sheet name="Sheet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</calcChain>
</file>

<file path=xl/sharedStrings.xml><?xml version="1.0" encoding="utf-8"?>
<sst xmlns="http://schemas.openxmlformats.org/spreadsheetml/2006/main" count="800" uniqueCount="800">
  <si>
    <t>Mã CK</t>
  </si>
  <si>
    <t>Manipulate</t>
  </si>
  <si>
    <t>F score</t>
  </si>
  <si>
    <t>Z score</t>
  </si>
  <si>
    <t>M score</t>
  </si>
  <si>
    <t>EPS change</t>
  </si>
  <si>
    <t>Ln(MC)</t>
  </si>
  <si>
    <t>Leverage</t>
  </si>
  <si>
    <t>Exchange</t>
  </si>
  <si>
    <t>Audit</t>
  </si>
  <si>
    <t>Opinion</t>
  </si>
  <si>
    <t>AAA</t>
  </si>
  <si>
    <t>AAH</t>
  </si>
  <si>
    <t>AAT</t>
  </si>
  <si>
    <t>AAV</t>
  </si>
  <si>
    <t>ABC</t>
  </si>
  <si>
    <t>ABS</t>
  </si>
  <si>
    <t>ABT</t>
  </si>
  <si>
    <t>ACC</t>
  </si>
  <si>
    <t>ACG</t>
  </si>
  <si>
    <t>ACL</t>
  </si>
  <si>
    <t>ACV</t>
  </si>
  <si>
    <t>ADG</t>
  </si>
  <si>
    <t>ADS</t>
  </si>
  <si>
    <t>AFX</t>
  </si>
  <si>
    <t>AGG</t>
  </si>
  <si>
    <t>AGP</t>
  </si>
  <si>
    <t>AIG</t>
  </si>
  <si>
    <t>ALT</t>
  </si>
  <si>
    <t>AMC</t>
  </si>
  <si>
    <t>AME</t>
  </si>
  <si>
    <t>AMP</t>
  </si>
  <si>
    <t>AMS</t>
  </si>
  <si>
    <t>AMV</t>
  </si>
  <si>
    <t>ANT</t>
  </si>
  <si>
    <t>ANV</t>
  </si>
  <si>
    <t>APC</t>
  </si>
  <si>
    <t>APF</t>
  </si>
  <si>
    <t>APH</t>
  </si>
  <si>
    <t>API</t>
  </si>
  <si>
    <t>ARM</t>
  </si>
  <si>
    <t>ASG</t>
  </si>
  <si>
    <t>ASM</t>
  </si>
  <si>
    <t>ASP</t>
  </si>
  <si>
    <t>AST</t>
  </si>
  <si>
    <t>AVG</t>
  </si>
  <si>
    <t>BAF</t>
  </si>
  <si>
    <t>BBS</t>
  </si>
  <si>
    <t>BBT</t>
  </si>
  <si>
    <t>BCA</t>
  </si>
  <si>
    <t>BCC</t>
  </si>
  <si>
    <t>BCE</t>
  </si>
  <si>
    <t>BCF</t>
  </si>
  <si>
    <t>BCM</t>
  </si>
  <si>
    <t>BDG</t>
  </si>
  <si>
    <t>BDT</t>
  </si>
  <si>
    <t>BDW</t>
  </si>
  <si>
    <t>BFC</t>
  </si>
  <si>
    <t>BHN</t>
  </si>
  <si>
    <t>BIC</t>
  </si>
  <si>
    <t>BIG</t>
  </si>
  <si>
    <t>BKC</t>
  </si>
  <si>
    <t>BKG</t>
  </si>
  <si>
    <t>BMP</t>
  </si>
  <si>
    <t>BMV</t>
  </si>
  <si>
    <t>BNA</t>
  </si>
  <si>
    <t>BNW</t>
  </si>
  <si>
    <t>BOT</t>
  </si>
  <si>
    <t>BPC</t>
  </si>
  <si>
    <t>BRC</t>
  </si>
  <si>
    <t>BSA</t>
  </si>
  <si>
    <t>BSP</t>
  </si>
  <si>
    <t>BSQ</t>
  </si>
  <si>
    <t>BSR</t>
  </si>
  <si>
    <t>BTP</t>
  </si>
  <si>
    <t>BTS</t>
  </si>
  <si>
    <t>BTV</t>
  </si>
  <si>
    <t>BTW</t>
  </si>
  <si>
    <t>BVL</t>
  </si>
  <si>
    <t>BWE</t>
  </si>
  <si>
    <t>BWS</t>
  </si>
  <si>
    <t>BXH</t>
  </si>
  <si>
    <t>C32</t>
  </si>
  <si>
    <t>C47</t>
  </si>
  <si>
    <t>C4G</t>
  </si>
  <si>
    <t>C69</t>
  </si>
  <si>
    <t>CAN</t>
  </si>
  <si>
    <t>CBI</t>
  </si>
  <si>
    <t>CC1</t>
  </si>
  <si>
    <t>CCA</t>
  </si>
  <si>
    <t>CCL</t>
  </si>
  <si>
    <t>CCR</t>
  </si>
  <si>
    <t>CCT</t>
  </si>
  <si>
    <t>CDC</t>
  </si>
  <si>
    <t>CDN</t>
  </si>
  <si>
    <t>CDP</t>
  </si>
  <si>
    <t>CEO</t>
  </si>
  <si>
    <t>CFV</t>
  </si>
  <si>
    <t>CHP</t>
  </si>
  <si>
    <t>CIG</t>
  </si>
  <si>
    <t>CII</t>
  </si>
  <si>
    <t>CJC</t>
  </si>
  <si>
    <t>CKD</t>
  </si>
  <si>
    <t>CKG</t>
  </si>
  <si>
    <t>CKV</t>
  </si>
  <si>
    <t>CLC</t>
  </si>
  <si>
    <t>CLL</t>
  </si>
  <si>
    <t>CLW</t>
  </si>
  <si>
    <t>CLX</t>
  </si>
  <si>
    <t>CMC</t>
  </si>
  <si>
    <t>CMD</t>
  </si>
  <si>
    <t>CMI</t>
  </si>
  <si>
    <t>CMM</t>
  </si>
  <si>
    <t>CMP</t>
  </si>
  <si>
    <t>CMS</t>
  </si>
  <si>
    <t>CMV</t>
  </si>
  <si>
    <t>CMW</t>
  </si>
  <si>
    <t>CMX</t>
  </si>
  <si>
    <t>CNG</t>
  </si>
  <si>
    <t>CNT</t>
  </si>
  <si>
    <t>CPA</t>
  </si>
  <si>
    <t>CPC</t>
  </si>
  <si>
    <t>CQT</t>
  </si>
  <si>
    <t>CRC</t>
  </si>
  <si>
    <t>CRE</t>
  </si>
  <si>
    <t>CSC</t>
  </si>
  <si>
    <t>CSM</t>
  </si>
  <si>
    <t>CST</t>
  </si>
  <si>
    <t>CSV</t>
  </si>
  <si>
    <t>CTB</t>
  </si>
  <si>
    <t>CTD</t>
  </si>
  <si>
    <t>CTF</t>
  </si>
  <si>
    <t>CTI</t>
  </si>
  <si>
    <t>CTR</t>
  </si>
  <si>
    <t>CTT</t>
  </si>
  <si>
    <t>CTW</t>
  </si>
  <si>
    <t>CTX</t>
  </si>
  <si>
    <t>CVN</t>
  </si>
  <si>
    <t>CVT</t>
  </si>
  <si>
    <t>CX8</t>
  </si>
  <si>
    <t>DAH</t>
  </si>
  <si>
    <t>DAN</t>
  </si>
  <si>
    <t>DAT</t>
  </si>
  <si>
    <t>DBC</t>
  </si>
  <si>
    <t>DBD</t>
  </si>
  <si>
    <t>DBT</t>
  </si>
  <si>
    <t>DC2</t>
  </si>
  <si>
    <t>DC4</t>
  </si>
  <si>
    <t>DCF</t>
  </si>
  <si>
    <t>DCL</t>
  </si>
  <si>
    <t>DCM</t>
  </si>
  <si>
    <t>DCT</t>
  </si>
  <si>
    <t>DDB</t>
  </si>
  <si>
    <t>DDG</t>
  </si>
  <si>
    <t>DDN</t>
  </si>
  <si>
    <t>DDV</t>
  </si>
  <si>
    <t>DFF</t>
  </si>
  <si>
    <t>DGC</t>
  </si>
  <si>
    <t>DGT</t>
  </si>
  <si>
    <t>DGW</t>
  </si>
  <si>
    <t>DHB</t>
  </si>
  <si>
    <t>DHC</t>
  </si>
  <si>
    <t>DHD</t>
  </si>
  <si>
    <t>DHM</t>
  </si>
  <si>
    <t>DHP</t>
  </si>
  <si>
    <t>DHT</t>
  </si>
  <si>
    <t>DIC</t>
  </si>
  <si>
    <t>DID</t>
  </si>
  <si>
    <t>DIG</t>
  </si>
  <si>
    <t>DIH</t>
  </si>
  <si>
    <t>DKG</t>
  </si>
  <si>
    <t>DL1</t>
  </si>
  <si>
    <t>DLG</t>
  </si>
  <si>
    <t>DLR</t>
  </si>
  <si>
    <t>DMN</t>
  </si>
  <si>
    <t>DNA</t>
  </si>
  <si>
    <t>DNC</t>
  </si>
  <si>
    <t>DND</t>
  </si>
  <si>
    <t>DNH</t>
  </si>
  <si>
    <t>DNN</t>
  </si>
  <si>
    <t>DNP</t>
  </si>
  <si>
    <t>DNW</t>
  </si>
  <si>
    <t>DP1</t>
  </si>
  <si>
    <t>DP2</t>
  </si>
  <si>
    <t>DP3</t>
  </si>
  <si>
    <t>DPC</t>
  </si>
  <si>
    <t>DPG</t>
  </si>
  <si>
    <t>DPM</t>
  </si>
  <si>
    <t>DQC</t>
  </si>
  <si>
    <t>DRC</t>
  </si>
  <si>
    <t>DRG</t>
  </si>
  <si>
    <t>DRH</t>
  </si>
  <si>
    <t>DRI</t>
  </si>
  <si>
    <t>DS3</t>
  </si>
  <si>
    <t>DSD</t>
  </si>
  <si>
    <t>DSG</t>
  </si>
  <si>
    <t>DTA</t>
  </si>
  <si>
    <t>DTC</t>
  </si>
  <si>
    <t>DTD</t>
  </si>
  <si>
    <t>DTG</t>
  </si>
  <si>
    <t>DTI</t>
  </si>
  <si>
    <t>DTK</t>
  </si>
  <si>
    <t>DTL</t>
  </si>
  <si>
    <t>DTP</t>
  </si>
  <si>
    <t>DTT</t>
  </si>
  <si>
    <t>DVM</t>
  </si>
  <si>
    <t>DVN</t>
  </si>
  <si>
    <t>DWC</t>
  </si>
  <si>
    <t>DWS</t>
  </si>
  <si>
    <t>DXG</t>
  </si>
  <si>
    <t>DXP</t>
  </si>
  <si>
    <t>DXS</t>
  </si>
  <si>
    <t>E12</t>
  </si>
  <si>
    <t>EBS</t>
  </si>
  <si>
    <t>ECO</t>
  </si>
  <si>
    <t>EIN</t>
  </si>
  <si>
    <t>ELC</t>
  </si>
  <si>
    <t>EVE</t>
  </si>
  <si>
    <t>EVG</t>
  </si>
  <si>
    <t>F88</t>
  </si>
  <si>
    <t>FCN</t>
  </si>
  <si>
    <t>FCS</t>
  </si>
  <si>
    <t>FGL</t>
  </si>
  <si>
    <t>FIC</t>
  </si>
  <si>
    <t>FIR</t>
  </si>
  <si>
    <t>FIT</t>
  </si>
  <si>
    <t>FMC</t>
  </si>
  <si>
    <t>FOX</t>
  </si>
  <si>
    <t>FPT</t>
  </si>
  <si>
    <t>FRT</t>
  </si>
  <si>
    <t>FTM</t>
  </si>
  <si>
    <t>G36</t>
  </si>
  <si>
    <t>GAS</t>
  </si>
  <si>
    <t>GCF</t>
  </si>
  <si>
    <t>GDA</t>
  </si>
  <si>
    <t>GDT</t>
  </si>
  <si>
    <t>GDW</t>
  </si>
  <si>
    <t>GEE</t>
  </si>
  <si>
    <t>GEG</t>
  </si>
  <si>
    <t>GEX</t>
  </si>
  <si>
    <t>GHC</t>
  </si>
  <si>
    <t>GIL</t>
  </si>
  <si>
    <t>GKM</t>
  </si>
  <si>
    <t>GMA</t>
  </si>
  <si>
    <t>GMD</t>
  </si>
  <si>
    <t>GPC</t>
  </si>
  <si>
    <t>GSM</t>
  </si>
  <si>
    <t>GSP</t>
  </si>
  <si>
    <t>GTA</t>
  </si>
  <si>
    <t>GVR</t>
  </si>
  <si>
    <t>HAG</t>
  </si>
  <si>
    <t>HAH</t>
  </si>
  <si>
    <t>HAN</t>
  </si>
  <si>
    <t>HAP</t>
  </si>
  <si>
    <t>HAS</t>
  </si>
  <si>
    <t>HAX</t>
  </si>
  <si>
    <t>HBC</t>
  </si>
  <si>
    <t>HBH</t>
  </si>
  <si>
    <t>HCD</t>
  </si>
  <si>
    <t>HD6</t>
  </si>
  <si>
    <t>HDA</t>
  </si>
  <si>
    <t>HDC</t>
  </si>
  <si>
    <t>HDG</t>
  </si>
  <si>
    <t>HDM</t>
  </si>
  <si>
    <t>HDW</t>
  </si>
  <si>
    <t>HGT</t>
  </si>
  <si>
    <t>HHC</t>
  </si>
  <si>
    <t>HHG</t>
  </si>
  <si>
    <t>HHP</t>
  </si>
  <si>
    <t>HHS</t>
  </si>
  <si>
    <t>HHV</t>
  </si>
  <si>
    <t>HII</t>
  </si>
  <si>
    <t>HIO</t>
  </si>
  <si>
    <t>HJC</t>
  </si>
  <si>
    <t>HKB</t>
  </si>
  <si>
    <t>HLC</t>
  </si>
  <si>
    <t>HLD</t>
  </si>
  <si>
    <t>HMC</t>
  </si>
  <si>
    <t>HMH</t>
  </si>
  <si>
    <t>HNA</t>
  </si>
  <si>
    <t>HNF</t>
  </si>
  <si>
    <t>HNG</t>
  </si>
  <si>
    <t>HNM</t>
  </si>
  <si>
    <t>HOM</t>
  </si>
  <si>
    <t>HPD</t>
  </si>
  <si>
    <t>HPG</t>
  </si>
  <si>
    <t>HPI</t>
  </si>
  <si>
    <t>HPW</t>
  </si>
  <si>
    <t>HPX</t>
  </si>
  <si>
    <t>HQC</t>
  </si>
  <si>
    <t>HRC</t>
  </si>
  <si>
    <t>HSG</t>
  </si>
  <si>
    <t>HSM</t>
  </si>
  <si>
    <t>HSV</t>
  </si>
  <si>
    <t>HT1</t>
  </si>
  <si>
    <t>HTC</t>
  </si>
  <si>
    <t>HTG</t>
  </si>
  <si>
    <t>HTI</t>
  </si>
  <si>
    <t>HTL</t>
  </si>
  <si>
    <t>HTM</t>
  </si>
  <si>
    <t>HTN</t>
  </si>
  <si>
    <t>HTT</t>
  </si>
  <si>
    <t>HU1</t>
  </si>
  <si>
    <t>HU4</t>
  </si>
  <si>
    <t>HUB</t>
  </si>
  <si>
    <t>HUT</t>
  </si>
  <si>
    <t>HVH</t>
  </si>
  <si>
    <t>HVN</t>
  </si>
  <si>
    <t>HVT</t>
  </si>
  <si>
    <t>HVX</t>
  </si>
  <si>
    <t>HWS</t>
  </si>
  <si>
    <t>ICF</t>
  </si>
  <si>
    <t>ICG</t>
  </si>
  <si>
    <t>ICN</t>
  </si>
  <si>
    <t>ICT</t>
  </si>
  <si>
    <t>IDC</t>
  </si>
  <si>
    <t>IDI</t>
  </si>
  <si>
    <t>IDJ</t>
  </si>
  <si>
    <t>IDP</t>
  </si>
  <si>
    <t>IDV</t>
  </si>
  <si>
    <t>IJC</t>
  </si>
  <si>
    <t>ILA</t>
  </si>
  <si>
    <t>ILS</t>
  </si>
  <si>
    <t>IMP</t>
  </si>
  <si>
    <t>INN</t>
  </si>
  <si>
    <t>IPA</t>
  </si>
  <si>
    <t>ISH</t>
  </si>
  <si>
    <t>ITC</t>
  </si>
  <si>
    <t>ITQ</t>
  </si>
  <si>
    <t>ITS</t>
  </si>
  <si>
    <t>JVC</t>
  </si>
  <si>
    <t>KBC</t>
  </si>
  <si>
    <t>KDC</t>
  </si>
  <si>
    <t>KDH</t>
  </si>
  <si>
    <t>KGM</t>
  </si>
  <si>
    <t>KHG</t>
  </si>
  <si>
    <t>KHP</t>
  </si>
  <si>
    <t>KHS</t>
  </si>
  <si>
    <t>KHW</t>
  </si>
  <si>
    <t>KKC</t>
  </si>
  <si>
    <t>KMR</t>
  </si>
  <si>
    <t>KMT</t>
  </si>
  <si>
    <t>KOS</t>
  </si>
  <si>
    <t>KSB</t>
  </si>
  <si>
    <t>KSD</t>
  </si>
  <si>
    <t>KSF</t>
  </si>
  <si>
    <t>KSV</t>
  </si>
  <si>
    <t>KTC</t>
  </si>
  <si>
    <t>KTL</t>
  </si>
  <si>
    <t>KTS</t>
  </si>
  <si>
    <t>L10</t>
  </si>
  <si>
    <t>L14</t>
  </si>
  <si>
    <t>L18</t>
  </si>
  <si>
    <t>L40</t>
  </si>
  <si>
    <t>LAF</t>
  </si>
  <si>
    <t>LAI</t>
  </si>
  <si>
    <t>LAS</t>
  </si>
  <si>
    <t>LAW</t>
  </si>
  <si>
    <t>LBE</t>
  </si>
  <si>
    <t>LBM</t>
  </si>
  <si>
    <t>LCD</t>
  </si>
  <si>
    <t>LCG</t>
  </si>
  <si>
    <t>LCM</t>
  </si>
  <si>
    <t>LDP</t>
  </si>
  <si>
    <t>LDW</t>
  </si>
  <si>
    <t>LEC</t>
  </si>
  <si>
    <t>LGC</t>
  </si>
  <si>
    <t>LGL</t>
  </si>
  <si>
    <t>LHC</t>
  </si>
  <si>
    <t>LHG</t>
  </si>
  <si>
    <t>LIC</t>
  </si>
  <si>
    <t>LIG</t>
  </si>
  <si>
    <t>LIX</t>
  </si>
  <si>
    <t>LLM</t>
  </si>
  <si>
    <t>LM8</t>
  </si>
  <si>
    <t>LPT</t>
  </si>
  <si>
    <t>M10</t>
  </si>
  <si>
    <t>MAC</t>
  </si>
  <si>
    <t>MAS</t>
  </si>
  <si>
    <t>MBG</t>
  </si>
  <si>
    <t>MCF</t>
  </si>
  <si>
    <t>MCG</t>
  </si>
  <si>
    <t>MCH</t>
  </si>
  <si>
    <t>MCM</t>
  </si>
  <si>
    <t>MCO</t>
  </si>
  <si>
    <t>MDC</t>
  </si>
  <si>
    <t>MDF</t>
  </si>
  <si>
    <t>MDG</t>
  </si>
  <si>
    <t>MED</t>
  </si>
  <si>
    <t>MEL</t>
  </si>
  <si>
    <t>MIC</t>
  </si>
  <si>
    <t>MIE</t>
  </si>
  <si>
    <t>MML</t>
  </si>
  <si>
    <t>MNB</t>
  </si>
  <si>
    <t>MPC</t>
  </si>
  <si>
    <t>MSH</t>
  </si>
  <si>
    <t>MSN</t>
  </si>
  <si>
    <t>MSR</t>
  </si>
  <si>
    <t>MST</t>
  </si>
  <si>
    <t>MTA</t>
  </si>
  <si>
    <t>MTS</t>
  </si>
  <si>
    <t>MVB</t>
  </si>
  <si>
    <t>MVC</t>
  </si>
  <si>
    <t>MVN</t>
  </si>
  <si>
    <t>MWG</t>
  </si>
  <si>
    <t>MZG</t>
  </si>
  <si>
    <t>NAF</t>
  </si>
  <si>
    <t>NAG</t>
  </si>
  <si>
    <t>NAP</t>
  </si>
  <si>
    <t>NAW</t>
  </si>
  <si>
    <t>NBB</t>
  </si>
  <si>
    <t>NBC</t>
  </si>
  <si>
    <t>NBT</t>
  </si>
  <si>
    <t>NCG</t>
  </si>
  <si>
    <t>NCS</t>
  </si>
  <si>
    <t>ND2</t>
  </si>
  <si>
    <t>NDT</t>
  </si>
  <si>
    <t>NDW</t>
  </si>
  <si>
    <t>NDX</t>
  </si>
  <si>
    <t>NED</t>
  </si>
  <si>
    <t>NET</t>
  </si>
  <si>
    <t>NHA</t>
  </si>
  <si>
    <t>NHC</t>
  </si>
  <si>
    <t>NHH</t>
  </si>
  <si>
    <t>NHT</t>
  </si>
  <si>
    <t>NKG</t>
  </si>
  <si>
    <t>NLG</t>
  </si>
  <si>
    <t>NNC</t>
  </si>
  <si>
    <t>NO1</t>
  </si>
  <si>
    <t>NQB</t>
  </si>
  <si>
    <t>NQN</t>
  </si>
  <si>
    <t>NRC</t>
  </si>
  <si>
    <t>NS2</t>
  </si>
  <si>
    <t>NSC</t>
  </si>
  <si>
    <t>NSH</t>
  </si>
  <si>
    <t>NSL</t>
  </si>
  <si>
    <t>NST</t>
  </si>
  <si>
    <t>NT2</t>
  </si>
  <si>
    <t>NTC</t>
  </si>
  <si>
    <t>NTL</t>
  </si>
  <si>
    <t>NTP</t>
  </si>
  <si>
    <t>NTT</t>
  </si>
  <si>
    <t>NVL</t>
  </si>
  <si>
    <t>NVT</t>
  </si>
  <si>
    <t>OCH</t>
  </si>
  <si>
    <t>OGC</t>
  </si>
  <si>
    <t>OIL</t>
  </si>
  <si>
    <t>ONE</t>
  </si>
  <si>
    <t>PAC</t>
  </si>
  <si>
    <t>PAN</t>
  </si>
  <si>
    <t>PAP</t>
  </si>
  <si>
    <t>PAS</t>
  </si>
  <si>
    <t>PAT</t>
  </si>
  <si>
    <t>PBC</t>
  </si>
  <si>
    <t>PBP</t>
  </si>
  <si>
    <t>PBT</t>
  </si>
  <si>
    <t>PC1</t>
  </si>
  <si>
    <t>PCH</t>
  </si>
  <si>
    <t>PCT</t>
  </si>
  <si>
    <t>PDN</t>
  </si>
  <si>
    <t>PDR</t>
  </si>
  <si>
    <t>PDV</t>
  </si>
  <si>
    <t>PEG</t>
  </si>
  <si>
    <t>PEN</t>
  </si>
  <si>
    <t>PET</t>
  </si>
  <si>
    <t>PGC</t>
  </si>
  <si>
    <t>PGD</t>
  </si>
  <si>
    <t>PGI</t>
  </si>
  <si>
    <t>PGN</t>
  </si>
  <si>
    <t>PGS</t>
  </si>
  <si>
    <t>PGV</t>
  </si>
  <si>
    <t>PHC</t>
  </si>
  <si>
    <t>PHN</t>
  </si>
  <si>
    <t>PHP</t>
  </si>
  <si>
    <t>PHR</t>
  </si>
  <si>
    <t>PIC</t>
  </si>
  <si>
    <t>PIS</t>
  </si>
  <si>
    <t>PIT</t>
  </si>
  <si>
    <t>PIV</t>
  </si>
  <si>
    <t>PJT</t>
  </si>
  <si>
    <t>PLC</t>
  </si>
  <si>
    <t>PLP</t>
  </si>
  <si>
    <t>PLX</t>
  </si>
  <si>
    <t>PMC</t>
  </si>
  <si>
    <t>PMG</t>
  </si>
  <si>
    <t>PMP</t>
  </si>
  <si>
    <t>PMS</t>
  </si>
  <si>
    <t>PMW</t>
  </si>
  <si>
    <t>PNC</t>
  </si>
  <si>
    <t>PNJ</t>
  </si>
  <si>
    <t>PNP</t>
  </si>
  <si>
    <t>POT</t>
  </si>
  <si>
    <t>POV</t>
  </si>
  <si>
    <t>POW</t>
  </si>
  <si>
    <t>PPH</t>
  </si>
  <si>
    <t>PPP</t>
  </si>
  <si>
    <t>PPT</t>
  </si>
  <si>
    <t>PPY</t>
  </si>
  <si>
    <t>PQN</t>
  </si>
  <si>
    <t>PRC</t>
  </si>
  <si>
    <t>PSC</t>
  </si>
  <si>
    <t>PSD</t>
  </si>
  <si>
    <t>PSN</t>
  </si>
  <si>
    <t>PSP</t>
  </si>
  <si>
    <t>PSW</t>
  </si>
  <si>
    <t>PTB</t>
  </si>
  <si>
    <t>PTD</t>
  </si>
  <si>
    <t>PTI</t>
  </si>
  <si>
    <t>PTL</t>
  </si>
  <si>
    <t>PTS</t>
  </si>
  <si>
    <t>PTT</t>
  </si>
  <si>
    <t>PTV</t>
  </si>
  <si>
    <t>PTX</t>
  </si>
  <si>
    <t>PVB</t>
  </si>
  <si>
    <t>PVC</t>
  </si>
  <si>
    <t>PVD</t>
  </si>
  <si>
    <t>PVE</t>
  </si>
  <si>
    <t>PVG</t>
  </si>
  <si>
    <t>PVH</t>
  </si>
  <si>
    <t>PVI</t>
  </si>
  <si>
    <t>PVL</t>
  </si>
  <si>
    <t>PVM</t>
  </si>
  <si>
    <t>PVP</t>
  </si>
  <si>
    <t>PVS</t>
  </si>
  <si>
    <t>PVT</t>
  </si>
  <si>
    <t>PVV</t>
  </si>
  <si>
    <t>PVX</t>
  </si>
  <si>
    <t>PVY</t>
  </si>
  <si>
    <t>PWS</t>
  </si>
  <si>
    <t>PXA</t>
  </si>
  <si>
    <t>PXS</t>
  </si>
  <si>
    <t>PXT</t>
  </si>
  <si>
    <t>QCG</t>
  </si>
  <si>
    <t>QHD</t>
  </si>
  <si>
    <t>QNC</t>
  </si>
  <si>
    <t>QNP</t>
  </si>
  <si>
    <t>QNS</t>
  </si>
  <si>
    <t>QNW</t>
  </si>
  <si>
    <t>QST</t>
  </si>
  <si>
    <t>QTC</t>
  </si>
  <si>
    <t>RAL</t>
  </si>
  <si>
    <t>RCC</t>
  </si>
  <si>
    <t>RCL</t>
  </si>
  <si>
    <t>REE</t>
  </si>
  <si>
    <t>RGG</t>
  </si>
  <si>
    <t>RIC</t>
  </si>
  <si>
    <t>RTB</t>
  </si>
  <si>
    <t>RYG</t>
  </si>
  <si>
    <t>S4A</t>
  </si>
  <si>
    <t>S55</t>
  </si>
  <si>
    <t>S72</t>
  </si>
  <si>
    <t>S99</t>
  </si>
  <si>
    <t>SAB</t>
  </si>
  <si>
    <t>SAM</t>
  </si>
  <si>
    <t>SAV</t>
  </si>
  <si>
    <t>SBA</t>
  </si>
  <si>
    <t>SBB</t>
  </si>
  <si>
    <t>SBG</t>
  </si>
  <si>
    <t>SBL</t>
  </si>
  <si>
    <t>SBM</t>
  </si>
  <si>
    <t>SBV</t>
  </si>
  <si>
    <t>SC5</t>
  </si>
  <si>
    <t>SCG</t>
  </si>
  <si>
    <t>SCI</t>
  </si>
  <si>
    <t>SCJ</t>
  </si>
  <si>
    <t>SCL</t>
  </si>
  <si>
    <t>SCR</t>
  </si>
  <si>
    <t>SD2</t>
  </si>
  <si>
    <t>SD3</t>
  </si>
  <si>
    <t>SD4</t>
  </si>
  <si>
    <t>SD5</t>
  </si>
  <si>
    <t>SD6</t>
  </si>
  <si>
    <t>SD9</t>
  </si>
  <si>
    <t>SDA</t>
  </si>
  <si>
    <t>SDC</t>
  </si>
  <si>
    <t>SDG</t>
  </si>
  <si>
    <t>SDN</t>
  </si>
  <si>
    <t>SDT</t>
  </si>
  <si>
    <t>SDU</t>
  </si>
  <si>
    <t>SEA</t>
  </si>
  <si>
    <t>SED</t>
  </si>
  <si>
    <t>SFC</t>
  </si>
  <si>
    <t>SFG</t>
  </si>
  <si>
    <t>SFI</t>
  </si>
  <si>
    <t>SFN</t>
  </si>
  <si>
    <t>SGC</t>
  </si>
  <si>
    <t>SGD</t>
  </si>
  <si>
    <t>SGI</t>
  </si>
  <si>
    <t>SGP</t>
  </si>
  <si>
    <t>SGR</t>
  </si>
  <si>
    <t>SGS</t>
  </si>
  <si>
    <t>SGT</t>
  </si>
  <si>
    <t>SHA</t>
  </si>
  <si>
    <t>SHE</t>
  </si>
  <si>
    <t>SHG</t>
  </si>
  <si>
    <t>SHI</t>
  </si>
  <si>
    <t>SHN</t>
  </si>
  <si>
    <t>SIC</t>
  </si>
  <si>
    <t>SII</t>
  </si>
  <si>
    <t>SIP</t>
  </si>
  <si>
    <t>SJ1</t>
  </si>
  <si>
    <t>SJD</t>
  </si>
  <si>
    <t>SJE</t>
  </si>
  <si>
    <t>SJF</t>
  </si>
  <si>
    <t>SJG</t>
  </si>
  <si>
    <t>SJS</t>
  </si>
  <si>
    <t>SKH</t>
  </si>
  <si>
    <t>SKV</t>
  </si>
  <si>
    <t>SLS</t>
  </si>
  <si>
    <t>SMA</t>
  </si>
  <si>
    <t>SMB</t>
  </si>
  <si>
    <t>SMC</t>
  </si>
  <si>
    <t>SMT</t>
  </si>
  <si>
    <t>SNZ</t>
  </si>
  <si>
    <t>SP2</t>
  </si>
  <si>
    <t>SPB</t>
  </si>
  <si>
    <t>SPC</t>
  </si>
  <si>
    <t>SPD</t>
  </si>
  <si>
    <t>SPM</t>
  </si>
  <si>
    <t>SRA</t>
  </si>
  <si>
    <t>SRC</t>
  </si>
  <si>
    <t>SRF</t>
  </si>
  <si>
    <t>SSH</t>
  </si>
  <si>
    <t>SSM</t>
  </si>
  <si>
    <t>STG</t>
  </si>
  <si>
    <t>STH</t>
  </si>
  <si>
    <t>STK</t>
  </si>
  <si>
    <t>SVC</t>
  </si>
  <si>
    <t>SVD</t>
  </si>
  <si>
    <t>SVG</t>
  </si>
  <si>
    <t>SVI</t>
  </si>
  <si>
    <t>SWC</t>
  </si>
  <si>
    <t>SZB</t>
  </si>
  <si>
    <t>SZC</t>
  </si>
  <si>
    <t>SZE</t>
  </si>
  <si>
    <t>SZL</t>
  </si>
  <si>
    <t>TA9</t>
  </si>
  <si>
    <t>TAL</t>
  </si>
  <si>
    <t>TAR</t>
  </si>
  <si>
    <t>TBC</t>
  </si>
  <si>
    <t>TBD</t>
  </si>
  <si>
    <t>TCK</t>
  </si>
  <si>
    <t>TCL</t>
  </si>
  <si>
    <t>TCM</t>
  </si>
  <si>
    <t>TCR</t>
  </si>
  <si>
    <t>TCW</t>
  </si>
  <si>
    <t>TD6</t>
  </si>
  <si>
    <t>TDC</t>
  </si>
  <si>
    <t>TDF</t>
  </si>
  <si>
    <t>TDG</t>
  </si>
  <si>
    <t>TDH</t>
  </si>
  <si>
    <t>TDM</t>
  </si>
  <si>
    <t>TDP</t>
  </si>
  <si>
    <t>TDS</t>
  </si>
  <si>
    <t>TDT</t>
  </si>
  <si>
    <t>TDW</t>
  </si>
  <si>
    <t>TED</t>
  </si>
  <si>
    <t>TEG</t>
  </si>
  <si>
    <t>TFC</t>
  </si>
  <si>
    <t>TGG</t>
  </si>
  <si>
    <t>THB</t>
  </si>
  <si>
    <t>THG</t>
  </si>
  <si>
    <t>THM</t>
  </si>
  <si>
    <t>THN</t>
  </si>
  <si>
    <t>THP</t>
  </si>
  <si>
    <t>THS</t>
  </si>
  <si>
    <t>THT</t>
  </si>
  <si>
    <t>TID</t>
  </si>
  <si>
    <t>TIG</t>
  </si>
  <si>
    <t>TIS</t>
  </si>
  <si>
    <t>TKU</t>
  </si>
  <si>
    <t>TLD</t>
  </si>
  <si>
    <t>TLG</t>
  </si>
  <si>
    <t>TLH</t>
  </si>
  <si>
    <t>TLP</t>
  </si>
  <si>
    <t>TMB</t>
  </si>
  <si>
    <t>TMG</t>
  </si>
  <si>
    <t>TMP</t>
  </si>
  <si>
    <t>TMS</t>
  </si>
  <si>
    <t>TMT</t>
  </si>
  <si>
    <t>TN1</t>
  </si>
  <si>
    <t>TNB</t>
  </si>
  <si>
    <t>TNG</t>
  </si>
  <si>
    <t>TNH</t>
  </si>
  <si>
    <t>TNI</t>
  </si>
  <si>
    <t>TNS</t>
  </si>
  <si>
    <t>TNT</t>
  </si>
  <si>
    <t>TNV</t>
  </si>
  <si>
    <t>TNW</t>
  </si>
  <si>
    <t>TOS</t>
  </si>
  <si>
    <t>TOT</t>
  </si>
  <si>
    <t>TPC</t>
  </si>
  <si>
    <t>TPP</t>
  </si>
  <si>
    <t>TRA</t>
  </si>
  <si>
    <t>TRV</t>
  </si>
  <si>
    <t>TSA</t>
  </si>
  <si>
    <t>TSB</t>
  </si>
  <si>
    <t>TSC</t>
  </si>
  <si>
    <t>TT6</t>
  </si>
  <si>
    <t>TTB</t>
  </si>
  <si>
    <t>TTF</t>
  </si>
  <si>
    <t>TTL</t>
  </si>
  <si>
    <t>TTS</t>
  </si>
  <si>
    <t>TV1</t>
  </si>
  <si>
    <t>TV2</t>
  </si>
  <si>
    <t>TV3</t>
  </si>
  <si>
    <t>TVD</t>
  </si>
  <si>
    <t>TVN</t>
  </si>
  <si>
    <t>TVT</t>
  </si>
  <si>
    <t>TYA</t>
  </si>
  <si>
    <t>UDC</t>
  </si>
  <si>
    <t>UIC</t>
  </si>
  <si>
    <t>UXC</t>
  </si>
  <si>
    <t>V12</t>
  </si>
  <si>
    <t>V21</t>
  </si>
  <si>
    <t>VAF</t>
  </si>
  <si>
    <t>VAV</t>
  </si>
  <si>
    <t>VBC</t>
  </si>
  <si>
    <t>VC1</t>
  </si>
  <si>
    <t>VC2</t>
  </si>
  <si>
    <t>VC3</t>
  </si>
  <si>
    <t>VC6</t>
  </si>
  <si>
    <t>VC7</t>
  </si>
  <si>
    <t>VC9</t>
  </si>
  <si>
    <t>VCC</t>
  </si>
  <si>
    <t>VCF</t>
  </si>
  <si>
    <t>VCG</t>
  </si>
  <si>
    <t>VCP</t>
  </si>
  <si>
    <t>VCR</t>
  </si>
  <si>
    <t>VCS</t>
  </si>
  <si>
    <t>VCX</t>
  </si>
  <si>
    <t>VDP</t>
  </si>
  <si>
    <t>VE3</t>
  </si>
  <si>
    <t>VE4</t>
  </si>
  <si>
    <t>VEA</t>
  </si>
  <si>
    <t>VEC</t>
  </si>
  <si>
    <t>VET</t>
  </si>
  <si>
    <t>VFC</t>
  </si>
  <si>
    <t>VFG</t>
  </si>
  <si>
    <t>VGC</t>
  </si>
  <si>
    <t>VGG</t>
  </si>
  <si>
    <t>VGI</t>
  </si>
  <si>
    <t>VGP</t>
  </si>
  <si>
    <t>VGS</t>
  </si>
  <si>
    <t>VGT</t>
  </si>
  <si>
    <t>VGV</t>
  </si>
  <si>
    <t>VHC</t>
  </si>
  <si>
    <t>VHD</t>
  </si>
  <si>
    <t>VHE</t>
  </si>
  <si>
    <t>VHF</t>
  </si>
  <si>
    <t>VHL</t>
  </si>
  <si>
    <t>VHM</t>
  </si>
  <si>
    <t>VIC</t>
  </si>
  <si>
    <t>VID</t>
  </si>
  <si>
    <t>VIF</t>
  </si>
  <si>
    <t>VIW</t>
  </si>
  <si>
    <t>VJC</t>
  </si>
  <si>
    <t>VLC</t>
  </si>
  <si>
    <t>VLS</t>
  </si>
  <si>
    <t>VLW</t>
  </si>
  <si>
    <t>VMC</t>
  </si>
  <si>
    <t>VNA</t>
  </si>
  <si>
    <t>VNC</t>
  </si>
  <si>
    <t>VNE</t>
  </si>
  <si>
    <t>VNF</t>
  </si>
  <si>
    <t>VNG</t>
  </si>
  <si>
    <t>VNM</t>
  </si>
  <si>
    <t>VNP</t>
  </si>
  <si>
    <t>VNS</t>
  </si>
  <si>
    <t>VNY</t>
  </si>
  <si>
    <t>VNZ</t>
  </si>
  <si>
    <t>VOS</t>
  </si>
  <si>
    <t>VPD</t>
  </si>
  <si>
    <t>VPG</t>
  </si>
  <si>
    <t>VPH</t>
  </si>
  <si>
    <t>VPI</t>
  </si>
  <si>
    <t>VPL</t>
  </si>
  <si>
    <t>VPS</t>
  </si>
  <si>
    <t>VRE</t>
  </si>
  <si>
    <t>VSC</t>
  </si>
  <si>
    <t>VSF</t>
  </si>
  <si>
    <t>VSH</t>
  </si>
  <si>
    <t>VSI</t>
  </si>
  <si>
    <t>VSN</t>
  </si>
  <si>
    <t>VST</t>
  </si>
  <si>
    <t>VTC</t>
  </si>
  <si>
    <t>VTD</t>
  </si>
  <si>
    <t>VTE</t>
  </si>
  <si>
    <t>VTG</t>
  </si>
  <si>
    <t>VTH</t>
  </si>
  <si>
    <t>VTO</t>
  </si>
  <si>
    <t>VTP</t>
  </si>
  <si>
    <t>VTQ</t>
  </si>
  <si>
    <t>VTR</t>
  </si>
  <si>
    <t>VTV</t>
  </si>
  <si>
    <t>VTX</t>
  </si>
  <si>
    <t>VTZ</t>
  </si>
  <si>
    <t>VVS</t>
  </si>
  <si>
    <t>WTC</t>
  </si>
  <si>
    <t>Equity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</si>
</sst>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_);_(* \(#,##0.00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7" tint="0.79998168889431442"/>
        <bgColor theme="7" tint="0.79998168889431442"/>
      </patternFill>
    </fill>
  </fills>
  <borders count="7">
    <border>
      <left/>
      <right/>
      <top/>
      <bottom/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thin">
        <color theme="7"/>
      </top>
      <bottom style="dotted">
        <color indexed="30"/>
      </bottom>
      <diagonal/>
    </border>
    <border>
      <left style="thin">
        <color indexed="9"/>
      </left>
      <right style="thin">
        <color indexed="9"/>
      </right>
      <top/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/>
      <diagonal/>
    </border>
    <border>
      <left style="thin">
        <color indexed="30"/>
      </left>
      <right style="thin">
        <color indexed="30"/>
      </right>
      <top style="thin">
        <color theme="7"/>
      </top>
      <bottom/>
      <diagonal/>
    </border>
    <border>
      <left/>
      <right/>
      <top/>
      <bottom style="dotted">
        <color indexed="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2" xfId="1" applyNumberFormat="1" applyFont="1" applyFill="1" applyBorder="1" applyAlignment="1">
      <alignment horizontal="center"/>
    </xf>
    <xf numFmtId="2" fontId="4" fillId="3" borderId="2" xfId="2" applyNumberFormat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/>
    </xf>
    <xf numFmtId="1" fontId="4" fillId="3" borderId="2" xfId="1" applyNumberFormat="1" applyFont="1" applyFill="1" applyBorder="1" applyAlignment="1">
      <alignment horizontal="center"/>
    </xf>
    <xf numFmtId="0" fontId="4" fillId="3" borderId="2" xfId="1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1" applyNumberFormat="1" applyFont="1" applyBorder="1" applyAlignment="1">
      <alignment horizontal="center"/>
    </xf>
    <xf numFmtId="2" fontId="4" fillId="0" borderId="1" xfId="2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" fontId="4" fillId="0" borderId="1" xfId="1" applyNumberFormat="1" applyFont="1" applyBorder="1" applyAlignment="1">
      <alignment horizontal="center"/>
    </xf>
    <xf numFmtId="0" fontId="4" fillId="0" borderId="1" xfId="1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" xfId="1" applyNumberFormat="1" applyFont="1" applyFill="1" applyBorder="1" applyAlignment="1">
      <alignment horizontal="center"/>
    </xf>
    <xf numFmtId="2" fontId="4" fillId="3" borderId="1" xfId="2" applyNumberFormat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/>
    </xf>
    <xf numFmtId="1" fontId="4" fillId="3" borderId="1" xfId="1" applyNumberFormat="1" applyFont="1" applyFill="1" applyBorder="1" applyAlignment="1">
      <alignment horizontal="center"/>
    </xf>
    <xf numFmtId="0" fontId="4" fillId="3" borderId="1" xfId="1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1" applyNumberFormat="1" applyFont="1" applyFill="1" applyBorder="1" applyAlignment="1">
      <alignment horizontal="center" vertical="center" wrapText="1"/>
    </xf>
    <xf numFmtId="2" fontId="2" fillId="2" borderId="3" xfId="2" applyNumberFormat="1" applyFont="1" applyFill="1" applyBorder="1" applyAlignment="1">
      <alignment horizontal="center" vertical="center" wrapText="1"/>
    </xf>
    <xf numFmtId="164" fontId="2" fillId="2" borderId="3" xfId="1" applyNumberFormat="1" applyFont="1" applyFill="1" applyBorder="1" applyAlignment="1">
      <alignment horizontal="center" vertical="center" wrapText="1"/>
    </xf>
    <xf numFmtId="1" fontId="2" fillId="2" borderId="3" xfId="1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4" xfId="1" applyNumberFormat="1" applyFont="1" applyBorder="1" applyAlignment="1">
      <alignment horizontal="center"/>
    </xf>
    <xf numFmtId="2" fontId="4" fillId="0" borderId="4" xfId="2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0" fontId="4" fillId="0" borderId="4" xfId="1" applyNumberFormat="1" applyFont="1" applyBorder="1" applyAlignment="1">
      <alignment horizontal="center"/>
    </xf>
    <xf numFmtId="43" fontId="4" fillId="0" borderId="0" xfId="1" applyFont="1" applyAlignment="1">
      <alignment horizontal="center"/>
    </xf>
    <xf numFmtId="0" fontId="0" fillId="0" borderId="6" xfId="0" applyBorder="1"/>
  </cellXfs>
  <cellStyles count="3">
    <cellStyle name="Comma" xfId="1" builtinId="3"/>
    <cellStyle name="Normal" xfId="0" builtinId="0"/>
    <cellStyle name="Percent" xfId="2" builtinId="5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7" tint="0.79998168889431442"/>
          <bgColor theme="7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thin">
          <color theme="7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5" formatCode="_(* #,##0.00_);_(* \(#,##0.00\);_(* &quot;-&quot;??_);_(@_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00_);_(* \(#,##0.000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00_);_(* \(#,##0.0000\);_(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thin">
          <color theme="7"/>
        </top>
        <bottom style="dotted">
          <color indexed="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30"/>
        </left>
        <right style="thin">
          <color indexed="30"/>
        </right>
        <top style="dotted">
          <color indexed="30"/>
        </top>
        <bottom style="dotted">
          <color indexed="30"/>
        </bottom>
        <vertical/>
        <horizontal/>
      </border>
    </dxf>
    <dxf>
      <border outline="0">
        <top style="thin">
          <color theme="7"/>
        </top>
        <bottom style="dotted">
          <color indexed="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dotted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58B3CA-0362-4B6B-9536-E2B5E25059E6}" name="Table1" displayName="Table1" ref="A1:L789" totalsRowShown="0" dataDxfId="13" headerRowBorderDxfId="14" tableBorderDxfId="12" dataCellStyle="Comma">
  <autoFilter ref="A1:L789" xr:uid="{B258B3CA-0362-4B6B-9536-E2B5E25059E6}"/>
  <tableColumns count="12">
    <tableColumn id="1" xr3:uid="{71286162-D11F-414F-BC03-5D847A47F2EE}" name="Mã CK" dataDxfId="11"/>
    <tableColumn id="2" xr3:uid="{AABC80A0-3F41-4CC5-B6A1-D833F064FB0D}" name="Manipulate" dataDxfId="0">
      <calculatedColumnFormula>IF(OR(Table1[[#This Row],[M score]]=1,AND(Table1[[#This Row],[F score]]=1,Table1[[#This Row],[Z score]]=1)),1,0)</calculatedColumnFormula>
    </tableColumn>
    <tableColumn id="3" xr3:uid="{F4EB1B09-6089-4CEE-B866-90766CB12DF5}" name="F score" dataDxfId="10"/>
    <tableColumn id="4" xr3:uid="{E6BA10D8-642A-44E9-ADF0-806178A08A13}" name="Z score" dataDxfId="9"/>
    <tableColumn id="5" xr3:uid="{D88D7AC9-4C13-4A7C-B6BC-8D2E50765B5D}" name="M score" dataDxfId="8" dataCellStyle="Comma"/>
    <tableColumn id="6" xr3:uid="{B82A1C88-819A-40CC-B1B2-0DFD2859D656}" name="EPS change" dataDxfId="7" dataCellStyle="Percent"/>
    <tableColumn id="7" xr3:uid="{64961FFA-8C02-44BB-A461-B3315C0005C8}" name="Ln(MC)" dataDxfId="6" dataCellStyle="Comma"/>
    <tableColumn id="8" xr3:uid="{C1B1B17C-6D5E-45E4-91B9-23D2F4BDD018}" name="Leverage" dataDxfId="5" dataCellStyle="Comma"/>
    <tableColumn id="9" xr3:uid="{9F5EC022-BC5D-416B-8DA2-965F685C7E19}" name="Exchange" dataDxfId="4" dataCellStyle="Comma"/>
    <tableColumn id="10" xr3:uid="{4372F6E6-7CFD-4AC8-A4EB-68EF35EDDDCA}" name="Audit" dataDxfId="3" dataCellStyle="Comma"/>
    <tableColumn id="11" xr3:uid="{C98222CD-F729-4CC4-95C8-CC37037B7EDE}" name="Opinion" dataDxfId="2" dataCellStyle="Comma"/>
    <tableColumn id="12" xr3:uid="{302746E5-5477-4B1C-8B21-CE32A5165E04}" name="Equity growth" dataDxfId="1" dataCellStyle="Comma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nance.vietstock.vn/CST-ctcp-than-cao-son-tkv.htm" TargetMode="External"/><Relationship Id="rId671" Type="http://schemas.openxmlformats.org/officeDocument/2006/relationships/hyperlink" Target="https://finance.vietstock.vn/TNB-ctcp-thep-nha-be-vnsteel.htm" TargetMode="External"/><Relationship Id="rId769" Type="http://schemas.openxmlformats.org/officeDocument/2006/relationships/hyperlink" Target="https://finance.vietstock.vn/VSC-ctcp-container-viet-nam.htm" TargetMode="External"/><Relationship Id="rId21" Type="http://schemas.openxmlformats.org/officeDocument/2006/relationships/hyperlink" Target="https://finance.vietstock.vn/AMP-ctcp-armephaco.htm" TargetMode="External"/><Relationship Id="rId324" Type="http://schemas.openxmlformats.org/officeDocument/2006/relationships/hyperlink" Target="https://finance.vietstock.vn/KGM-ctcp-xuat-nhap-khau-kien-giang.htm" TargetMode="External"/><Relationship Id="rId531" Type="http://schemas.openxmlformats.org/officeDocument/2006/relationships/hyperlink" Target="https://finance.vietstock.vn/RCC-ctcp-tong-cong-ty-cong-trinh-duong-sat-viet-nam.htm" TargetMode="External"/><Relationship Id="rId629" Type="http://schemas.openxmlformats.org/officeDocument/2006/relationships/hyperlink" Target="https://finance.vietstock.vn/TBC-ctcp-thuy-dien-thac-ba.htm" TargetMode="External"/><Relationship Id="rId170" Type="http://schemas.openxmlformats.org/officeDocument/2006/relationships/hyperlink" Target="https://finance.vietstock.vn/DNP-ctcp-dnp-holding.htm" TargetMode="External"/><Relationship Id="rId268" Type="http://schemas.openxmlformats.org/officeDocument/2006/relationships/hyperlink" Target="https://finance.vietstock.vn/HMH-ctcp-hai-minh.htm" TargetMode="External"/><Relationship Id="rId475" Type="http://schemas.openxmlformats.org/officeDocument/2006/relationships/hyperlink" Target="https://finance.vietstock.vn/PMP-ctcp-bao-bi-dam-phu-my.htm" TargetMode="External"/><Relationship Id="rId682" Type="http://schemas.openxmlformats.org/officeDocument/2006/relationships/hyperlink" Target="https://finance.vietstock.vn/TPP-ctcp-tan-phu-viet-nam.htm" TargetMode="External"/><Relationship Id="rId32" Type="http://schemas.openxmlformats.org/officeDocument/2006/relationships/hyperlink" Target="https://finance.vietstock.vn/ASM-ctcp-tap-doan-sao-mai.htm" TargetMode="External"/><Relationship Id="rId128" Type="http://schemas.openxmlformats.org/officeDocument/2006/relationships/hyperlink" Target="https://finance.vietstock.vn/CVT-ctcp-cmc.htm" TargetMode="External"/><Relationship Id="rId335" Type="http://schemas.openxmlformats.org/officeDocument/2006/relationships/hyperlink" Target="https://finance.vietstock.vn/KSF-ctcp-tap-doan-sunshine.htm" TargetMode="External"/><Relationship Id="rId542" Type="http://schemas.openxmlformats.org/officeDocument/2006/relationships/hyperlink" Target="https://finance.vietstock.vn/SAB-tong-cong-ty-co-phan-bia-ruou-nuoc-giai-khat-sai-gon.htm" TargetMode="External"/><Relationship Id="rId181" Type="http://schemas.openxmlformats.org/officeDocument/2006/relationships/hyperlink" Target="https://finance.vietstock.vn/DRH-ctcp-drh-holdings.htm" TargetMode="External"/><Relationship Id="rId402" Type="http://schemas.openxmlformats.org/officeDocument/2006/relationships/hyperlink" Target="https://finance.vietstock.vn/NBT-ctcp-cap-thoat-nuoc-ben-tre.htm" TargetMode="External"/><Relationship Id="rId279" Type="http://schemas.openxmlformats.org/officeDocument/2006/relationships/hyperlink" Target="https://finance.vietstock.vn/HQC-ctcp-tu-van-thuong-mai-dich-vu-dia-oc-hoang-quan.htm" TargetMode="External"/><Relationship Id="rId486" Type="http://schemas.openxmlformats.org/officeDocument/2006/relationships/hyperlink" Target="https://finance.vietstock.vn/PPT-ctcp-petro-times.htm" TargetMode="External"/><Relationship Id="rId693" Type="http://schemas.openxmlformats.org/officeDocument/2006/relationships/hyperlink" Target="https://finance.vietstock.vn/TV1-ctcp-tu-van-xay-dung-dien-1.htm" TargetMode="External"/><Relationship Id="rId707" Type="http://schemas.openxmlformats.org/officeDocument/2006/relationships/hyperlink" Target="https://finance.vietstock.vn/VBC-ctcp-nhua-bao-bi-vinh.htm" TargetMode="External"/><Relationship Id="rId43" Type="http://schemas.openxmlformats.org/officeDocument/2006/relationships/hyperlink" Target="https://finance.vietstock.vn/BCM-tap-doan-dau-tu-va-phat-trien-cong-nghiep-becamex-ctcp.htm" TargetMode="External"/><Relationship Id="rId139" Type="http://schemas.openxmlformats.org/officeDocument/2006/relationships/hyperlink" Target="https://finance.vietstock.vn/DCL-ctcp-duoc-pham-cuu-long.htm" TargetMode="External"/><Relationship Id="rId346" Type="http://schemas.openxmlformats.org/officeDocument/2006/relationships/hyperlink" Target="https://finance.vietstock.vn/LAS-ctcp-supe-phot-phat-va-hoa-chat-lam-thao.htm" TargetMode="External"/><Relationship Id="rId553" Type="http://schemas.openxmlformats.org/officeDocument/2006/relationships/hyperlink" Target="https://finance.vietstock.vn/SCI-ctcp-sci-ec.htm" TargetMode="External"/><Relationship Id="rId760" Type="http://schemas.openxmlformats.org/officeDocument/2006/relationships/hyperlink" Target="https://finance.vietstock.vn/VNZ-ctcp-tap-doan-vng.htm" TargetMode="External"/><Relationship Id="rId192" Type="http://schemas.openxmlformats.org/officeDocument/2006/relationships/hyperlink" Target="https://finance.vietstock.vn/DTL-ctcp-dai-thien-loc.htm" TargetMode="External"/><Relationship Id="rId206" Type="http://schemas.openxmlformats.org/officeDocument/2006/relationships/hyperlink" Target="https://finance.vietstock.vn/ELC-ctcp-cong-nghe-vien-thong-elcom.htm" TargetMode="External"/><Relationship Id="rId413" Type="http://schemas.openxmlformats.org/officeDocument/2006/relationships/hyperlink" Target="https://finance.vietstock.vn/NHH-ctcp-nhua-ha-noi.htm" TargetMode="External"/><Relationship Id="rId497" Type="http://schemas.openxmlformats.org/officeDocument/2006/relationships/hyperlink" Target="https://finance.vietstock.vn/PTI-tong-cong-ty-co-phan-bao-hiem-buu-dien.htm" TargetMode="External"/><Relationship Id="rId620" Type="http://schemas.openxmlformats.org/officeDocument/2006/relationships/hyperlink" Target="https://finance.vietstock.vn/SVI-ctcp-bao-bi-bien-hoa.htm" TargetMode="External"/><Relationship Id="rId718" Type="http://schemas.openxmlformats.org/officeDocument/2006/relationships/hyperlink" Target="https://finance.vietstock.vn/VCR-ctcp-dau-tu-va-phat-trien-du-lich-vinaconex.htm" TargetMode="External"/><Relationship Id="rId357" Type="http://schemas.openxmlformats.org/officeDocument/2006/relationships/hyperlink" Target="https://finance.vietstock.vn/LGL-ctcp-dau-tu-va-phat-trien-do-thi-long-giang.htm" TargetMode="External"/><Relationship Id="rId54" Type="http://schemas.openxmlformats.org/officeDocument/2006/relationships/hyperlink" Target="https://finance.vietstock.vn/BMV-ctcp-bot-my-vinafood-1.htm" TargetMode="External"/><Relationship Id="rId217" Type="http://schemas.openxmlformats.org/officeDocument/2006/relationships/hyperlink" Target="https://finance.vietstock.vn/FOX-ctcp-vien-thong-fpt.htm" TargetMode="External"/><Relationship Id="rId564" Type="http://schemas.openxmlformats.org/officeDocument/2006/relationships/hyperlink" Target="https://finance.vietstock.vn/SDC-ctcp-tu-van-song-da.htm" TargetMode="External"/><Relationship Id="rId771" Type="http://schemas.openxmlformats.org/officeDocument/2006/relationships/hyperlink" Target="https://finance.vietstock.vn/VSH-ctcp-thuy-dien-vinh-son-song-hinh.htm" TargetMode="External"/><Relationship Id="rId424" Type="http://schemas.openxmlformats.org/officeDocument/2006/relationships/hyperlink" Target="https://finance.vietstock.vn/NSH-ctcp-tap-doan-nhom-song-hong-shalumi.htm" TargetMode="External"/><Relationship Id="rId631" Type="http://schemas.openxmlformats.org/officeDocument/2006/relationships/hyperlink" Target="https://finance.vietstock.vn/TCK-tong-cong-ty-co-khi-xay-dung-ctcp.htm" TargetMode="External"/><Relationship Id="rId729" Type="http://schemas.openxmlformats.org/officeDocument/2006/relationships/hyperlink" Target="https://finance.vietstock.vn/VGC-tong-cong-ty-viglacera-ctcp.htm" TargetMode="External"/><Relationship Id="rId270" Type="http://schemas.openxmlformats.org/officeDocument/2006/relationships/hyperlink" Target="https://finance.vietstock.vn/HNF-ctcp-thuc-pham-huu-nghi.htm" TargetMode="External"/><Relationship Id="rId65" Type="http://schemas.openxmlformats.org/officeDocument/2006/relationships/hyperlink" Target="https://finance.vietstock.vn/BTS-ctcp-xi-mang-vicem-but-son.htm" TargetMode="External"/><Relationship Id="rId130" Type="http://schemas.openxmlformats.org/officeDocument/2006/relationships/hyperlink" Target="https://finance.vietstock.vn/DAH-ctcp-tap-doan-khach-san-dong-a.htm" TargetMode="External"/><Relationship Id="rId368" Type="http://schemas.openxmlformats.org/officeDocument/2006/relationships/hyperlink" Target="https://finance.vietstock.vn/MAS-ctcp-dich-vu-hang-khong-san-bay-da-nang.htm" TargetMode="External"/><Relationship Id="rId575" Type="http://schemas.openxmlformats.org/officeDocument/2006/relationships/hyperlink" Target="https://finance.vietstock.vn/SGC-ctcp-xuat-nhap-khau-sa-giang.htm" TargetMode="External"/><Relationship Id="rId782" Type="http://schemas.openxmlformats.org/officeDocument/2006/relationships/hyperlink" Target="https://finance.vietstock.vn/VTQ-ctcp-viet-trung-quang-binh.htm" TargetMode="External"/><Relationship Id="rId228" Type="http://schemas.openxmlformats.org/officeDocument/2006/relationships/hyperlink" Target="https://finance.vietstock.vn/GEG-ctcp-dien-gia-lai.htm" TargetMode="External"/><Relationship Id="rId435" Type="http://schemas.openxmlformats.org/officeDocument/2006/relationships/hyperlink" Target="https://finance.vietstock.vn/OGC-ctcp-tap-doan-dai-duong.htm" TargetMode="External"/><Relationship Id="rId642" Type="http://schemas.openxmlformats.org/officeDocument/2006/relationships/hyperlink" Target="https://finance.vietstock.vn/TDP-ctcp-thuan-duc.htm" TargetMode="External"/><Relationship Id="rId281" Type="http://schemas.openxmlformats.org/officeDocument/2006/relationships/hyperlink" Target="https://finance.vietstock.vn/HSG-ctcp-tap-doan-hoa-sen.htm" TargetMode="External"/><Relationship Id="rId502" Type="http://schemas.openxmlformats.org/officeDocument/2006/relationships/hyperlink" Target="https://finance.vietstock.vn/PTX-ctcp-van-tai-va-dich-vu-petrolimex-nghe-tinh.htm" TargetMode="External"/><Relationship Id="rId76" Type="http://schemas.openxmlformats.org/officeDocument/2006/relationships/hyperlink" Target="https://finance.vietstock.vn/CAN-ctcp-do-hop-ha-long.htm" TargetMode="External"/><Relationship Id="rId141" Type="http://schemas.openxmlformats.org/officeDocument/2006/relationships/hyperlink" Target="https://finance.vietstock.vn/DCT-ctcp-tam-lop-vat-lieu-xay-dung-dong-nai.htm" TargetMode="External"/><Relationship Id="rId379" Type="http://schemas.openxmlformats.org/officeDocument/2006/relationships/hyperlink" Target="https://finance.vietstock.vn/MEL-ctcp-thep-me-lin.htm" TargetMode="External"/><Relationship Id="rId586" Type="http://schemas.openxmlformats.org/officeDocument/2006/relationships/hyperlink" Target="https://finance.vietstock.vn/SHN-ctcp-dau-tu-tong-hop-ha-noi.htm" TargetMode="External"/><Relationship Id="rId7" Type="http://schemas.openxmlformats.org/officeDocument/2006/relationships/hyperlink" Target="https://finance.vietstock.vn/ABT-ctcp-xuat-nhap-khau-thuy-san-ben-tre.htm" TargetMode="External"/><Relationship Id="rId239" Type="http://schemas.openxmlformats.org/officeDocument/2006/relationships/hyperlink" Target="https://finance.vietstock.vn/GVR-tap-doan-cong-nghiep-cao-su-viet-nam-ctcp.htm" TargetMode="External"/><Relationship Id="rId446" Type="http://schemas.openxmlformats.org/officeDocument/2006/relationships/hyperlink" Target="https://finance.vietstock.vn/PC1-ctcp-tap-doan-pc1.htm" TargetMode="External"/><Relationship Id="rId653" Type="http://schemas.openxmlformats.org/officeDocument/2006/relationships/hyperlink" Target="https://finance.vietstock.vn/THN-ctcp-cap-nuoc-thanh-hoa.htm" TargetMode="External"/><Relationship Id="rId292" Type="http://schemas.openxmlformats.org/officeDocument/2006/relationships/hyperlink" Target="https://finance.vietstock.vn/HU1-ctcp-dau-tu-va-xay-dung-hud1.htm" TargetMode="External"/><Relationship Id="rId306" Type="http://schemas.openxmlformats.org/officeDocument/2006/relationships/hyperlink" Target="https://finance.vietstock.vn/IDI-ctcp-dau-tu-va-phat-trien-da-quoc-gia-idi.htm" TargetMode="External"/><Relationship Id="rId87" Type="http://schemas.openxmlformats.org/officeDocument/2006/relationships/hyperlink" Target="https://finance.vietstock.vn/CFV-ctcp-ca-phe-thang-loi.htm" TargetMode="External"/><Relationship Id="rId513" Type="http://schemas.openxmlformats.org/officeDocument/2006/relationships/hyperlink" Target="https://finance.vietstock.vn/PVS-tong-cong-ty-co-phan-dich-vu-ky-thuat-dau-khi-viet-nam.htm" TargetMode="External"/><Relationship Id="rId597" Type="http://schemas.openxmlformats.org/officeDocument/2006/relationships/hyperlink" Target="https://finance.vietstock.vn/SKV-ctcp-nuoc-giai-khat-yen-sao-khanh-hoa.htm" TargetMode="External"/><Relationship Id="rId720" Type="http://schemas.openxmlformats.org/officeDocument/2006/relationships/hyperlink" Target="https://finance.vietstock.vn/VCX-ctcp-xi-mang-yen-binh.htm" TargetMode="External"/><Relationship Id="rId152" Type="http://schemas.openxmlformats.org/officeDocument/2006/relationships/hyperlink" Target="https://finance.vietstock.vn/DHD-ctcp-duoc-vat-tu-y-te-hai-duong.htm" TargetMode="External"/><Relationship Id="rId457" Type="http://schemas.openxmlformats.org/officeDocument/2006/relationships/hyperlink" Target="https://finance.vietstock.vn/PGI-tong-cong-ty-co-phan-bao-hiem-petrolimex.htm" TargetMode="External"/><Relationship Id="rId664" Type="http://schemas.openxmlformats.org/officeDocument/2006/relationships/hyperlink" Target="https://finance.vietstock.vn/TLP-tong-cong-ty-thuong-mai-xuat-nhap-khau-thanh-le-ctcp.htm" TargetMode="External"/><Relationship Id="rId14" Type="http://schemas.openxmlformats.org/officeDocument/2006/relationships/hyperlink" Target="https://finance.vietstock.vn/AFX-ctcp-xuat-nhap-khau-nong-san-thuc-pham-an-giang.htm" TargetMode="External"/><Relationship Id="rId317" Type="http://schemas.openxmlformats.org/officeDocument/2006/relationships/hyperlink" Target="https://finance.vietstock.vn/ITC-ctcp-dau-tu-va-kinh-doanh-nha.htm" TargetMode="External"/><Relationship Id="rId524" Type="http://schemas.openxmlformats.org/officeDocument/2006/relationships/hyperlink" Target="https://finance.vietstock.vn/QNC-ctcp-xi-mang-va-xay-dung-quang-ninh.htm" TargetMode="External"/><Relationship Id="rId731" Type="http://schemas.openxmlformats.org/officeDocument/2006/relationships/hyperlink" Target="https://finance.vietstock.vn/VGI-tong-cong-ty-co-phan-dau-tu-quoc-te-viettel.htm" TargetMode="External"/><Relationship Id="rId98" Type="http://schemas.openxmlformats.org/officeDocument/2006/relationships/hyperlink" Target="https://finance.vietstock.vn/CLX-ctcp-xuat-nhap-khau-va-dau-tu-cho-lon-cholimex.htm" TargetMode="External"/><Relationship Id="rId163" Type="http://schemas.openxmlformats.org/officeDocument/2006/relationships/hyperlink" Target="https://finance.vietstock.vn/DLR-ctcp-dia-oc-da-lat.htm" TargetMode="External"/><Relationship Id="rId370" Type="http://schemas.openxmlformats.org/officeDocument/2006/relationships/hyperlink" Target="https://finance.vietstock.vn/MCF-ctcp-xay-lap-co-khi-va-luong-thuc-thuc-pham.htm" TargetMode="External"/><Relationship Id="rId230" Type="http://schemas.openxmlformats.org/officeDocument/2006/relationships/hyperlink" Target="https://finance.vietstock.vn/GHC-ctcp-thuy-dien-gia-lai.htm" TargetMode="External"/><Relationship Id="rId468" Type="http://schemas.openxmlformats.org/officeDocument/2006/relationships/hyperlink" Target="https://finance.vietstock.vn/PIV-ctcp-piv.htm" TargetMode="External"/><Relationship Id="rId675" Type="http://schemas.openxmlformats.org/officeDocument/2006/relationships/hyperlink" Target="https://finance.vietstock.vn/TNS-ctcp-thep-tam-la-thong-nhat.htm" TargetMode="External"/><Relationship Id="rId25" Type="http://schemas.openxmlformats.org/officeDocument/2006/relationships/hyperlink" Target="https://finance.vietstock.vn/ANV-ctcp-nam-viet.htm" TargetMode="External"/><Relationship Id="rId328" Type="http://schemas.openxmlformats.org/officeDocument/2006/relationships/hyperlink" Target="https://finance.vietstock.vn/KHW-ctcp-cap-thoat-nuoc-khanh-hoa.htm" TargetMode="External"/><Relationship Id="rId535" Type="http://schemas.openxmlformats.org/officeDocument/2006/relationships/hyperlink" Target="https://finance.vietstock.vn/RIC-ctcp-quoc-te-hoang-gia.htm" TargetMode="External"/><Relationship Id="rId742" Type="http://schemas.openxmlformats.org/officeDocument/2006/relationships/hyperlink" Target="https://finance.vietstock.vn/VIC-tap-doan-vingroup-ctcp.htm" TargetMode="External"/><Relationship Id="rId174" Type="http://schemas.openxmlformats.org/officeDocument/2006/relationships/hyperlink" Target="https://finance.vietstock.vn/DP3-ctcp-duoc-pham-trung-uong-3.htm" TargetMode="External"/><Relationship Id="rId381" Type="http://schemas.openxmlformats.org/officeDocument/2006/relationships/hyperlink" Target="https://finance.vietstock.vn/MIE-tong-cong-ty-may-va-thiet-bi-cong-nghiep-ctcp.htm" TargetMode="External"/><Relationship Id="rId602" Type="http://schemas.openxmlformats.org/officeDocument/2006/relationships/hyperlink" Target="https://finance.vietstock.vn/SMT-ctcp-sametel.htm" TargetMode="External"/><Relationship Id="rId241" Type="http://schemas.openxmlformats.org/officeDocument/2006/relationships/hyperlink" Target="https://finance.vietstock.vn/HAH-ctcp-van-tai-va-xep-do-hai-an.htm" TargetMode="External"/><Relationship Id="rId479" Type="http://schemas.openxmlformats.org/officeDocument/2006/relationships/hyperlink" Target="https://finance.vietstock.vn/PNJ-ctcp-vang-bac-da-quy-phu-nhuan.htm" TargetMode="External"/><Relationship Id="rId686" Type="http://schemas.openxmlformats.org/officeDocument/2006/relationships/hyperlink" Target="https://finance.vietstock.vn/TSB-ctcp-ac-quy-tia-sang.htm" TargetMode="External"/><Relationship Id="rId36" Type="http://schemas.openxmlformats.org/officeDocument/2006/relationships/hyperlink" Target="https://finance.vietstock.vn/BAF-ctcp-nong-nghiep-baf-viet-nam.htm" TargetMode="External"/><Relationship Id="rId339" Type="http://schemas.openxmlformats.org/officeDocument/2006/relationships/hyperlink" Target="https://finance.vietstock.vn/KTS-ctcp-duong-kon-tum.htm" TargetMode="External"/><Relationship Id="rId546" Type="http://schemas.openxmlformats.org/officeDocument/2006/relationships/hyperlink" Target="https://finance.vietstock.vn/SBB-ctcp-tap-doan-bia-sai-gon-binh-tay.htm" TargetMode="External"/><Relationship Id="rId753" Type="http://schemas.openxmlformats.org/officeDocument/2006/relationships/hyperlink" Target="https://finance.vietstock.vn/VNE-tong-cong-ty-co-phan-xay-dung-dien-viet-nam.htm" TargetMode="External"/><Relationship Id="rId101" Type="http://schemas.openxmlformats.org/officeDocument/2006/relationships/hyperlink" Target="https://finance.vietstock.vn/CMI-ctcp-cmistone-viet-nam.htm" TargetMode="External"/><Relationship Id="rId185" Type="http://schemas.openxmlformats.org/officeDocument/2006/relationships/hyperlink" Target="https://finance.vietstock.vn/DSG-ctcp-kinh-dap-cau.htm" TargetMode="External"/><Relationship Id="rId406" Type="http://schemas.openxmlformats.org/officeDocument/2006/relationships/hyperlink" Target="https://finance.vietstock.vn/NDT-tong-cong-ty-co-phan-det-may-nam-dinh.htm" TargetMode="External"/><Relationship Id="rId392" Type="http://schemas.openxmlformats.org/officeDocument/2006/relationships/hyperlink" Target="https://finance.vietstock.vn/MVC-ctcp-vat-lieu-va-xay-dung-binh-duong.htm" TargetMode="External"/><Relationship Id="rId613" Type="http://schemas.openxmlformats.org/officeDocument/2006/relationships/hyperlink" Target="https://finance.vietstock.vn/SSM-ctcp-che-tao-ket-cau-thep-vneco-ssm.htm" TargetMode="External"/><Relationship Id="rId697" Type="http://schemas.openxmlformats.org/officeDocument/2006/relationships/hyperlink" Target="https://finance.vietstock.vn/TVN-tong-cong-ty-thep-viet-nam-ctcp.htm" TargetMode="External"/><Relationship Id="rId252" Type="http://schemas.openxmlformats.org/officeDocument/2006/relationships/hyperlink" Target="https://finance.vietstock.vn/HDG-ctcp-tap-doan-ha-do.htm" TargetMode="External"/><Relationship Id="rId47" Type="http://schemas.openxmlformats.org/officeDocument/2006/relationships/hyperlink" Target="https://finance.vietstock.vn/BFC-ctcp-phan-bon-binh-dien.htm" TargetMode="External"/><Relationship Id="rId112" Type="http://schemas.openxmlformats.org/officeDocument/2006/relationships/hyperlink" Target="https://finance.vietstock.vn/CQT-ctcp-xi-mang-quan-trieu-vvmi.htm" TargetMode="External"/><Relationship Id="rId557" Type="http://schemas.openxmlformats.org/officeDocument/2006/relationships/hyperlink" Target="https://finance.vietstock.vn/SD2-ctcp-song-da-2.htm" TargetMode="External"/><Relationship Id="rId764" Type="http://schemas.openxmlformats.org/officeDocument/2006/relationships/hyperlink" Target="https://finance.vietstock.vn/VPH-ctcp-van-phat-hung.htm" TargetMode="External"/><Relationship Id="rId196" Type="http://schemas.openxmlformats.org/officeDocument/2006/relationships/hyperlink" Target="https://finance.vietstock.vn/DVN-tong-cong-ty-duoc-viet-nam-ctcp.htm" TargetMode="External"/><Relationship Id="rId417" Type="http://schemas.openxmlformats.org/officeDocument/2006/relationships/hyperlink" Target="https://finance.vietstock.vn/NNC-ctcp-da-nui-nho.htm" TargetMode="External"/><Relationship Id="rId624" Type="http://schemas.openxmlformats.org/officeDocument/2006/relationships/hyperlink" Target="https://finance.vietstock.vn/SZE-ctcp-moi-truong-sonadezi.htm" TargetMode="External"/><Relationship Id="rId263" Type="http://schemas.openxmlformats.org/officeDocument/2006/relationships/hyperlink" Target="https://finance.vietstock.vn/HJC-ctcp-hoa-viet.htm" TargetMode="External"/><Relationship Id="rId470" Type="http://schemas.openxmlformats.org/officeDocument/2006/relationships/hyperlink" Target="https://finance.vietstock.vn/PLC-tong-cong-ty-hoa-dau-petrolimex-ctcp.htm" TargetMode="External"/><Relationship Id="rId58" Type="http://schemas.openxmlformats.org/officeDocument/2006/relationships/hyperlink" Target="https://finance.vietstock.vn/BPC-ctcp-vicem-bao-bi-bim-son.htm" TargetMode="External"/><Relationship Id="rId123" Type="http://schemas.openxmlformats.org/officeDocument/2006/relationships/hyperlink" Target="https://finance.vietstock.vn/CTR-tong-cong-ty-co-phan-cong-trinh-viettel.htm" TargetMode="External"/><Relationship Id="rId330" Type="http://schemas.openxmlformats.org/officeDocument/2006/relationships/hyperlink" Target="https://finance.vietstock.vn/KMR-ctcp-mirae.htm" TargetMode="External"/><Relationship Id="rId568" Type="http://schemas.openxmlformats.org/officeDocument/2006/relationships/hyperlink" Target="https://finance.vietstock.vn/SDU-ctcp-dau-tu-xay-dung-va-phat-trien-do-thi-song-da.htm" TargetMode="External"/><Relationship Id="rId775" Type="http://schemas.openxmlformats.org/officeDocument/2006/relationships/hyperlink" Target="https://finance.vietstock.vn/VTC-ctcp-vien-thong-vtc.htm" TargetMode="External"/><Relationship Id="rId428" Type="http://schemas.openxmlformats.org/officeDocument/2006/relationships/hyperlink" Target="https://finance.vietstock.vn/NTC-ctcp-khu-cong-nghiep-nam-tan-uyen.htm" TargetMode="External"/><Relationship Id="rId635" Type="http://schemas.openxmlformats.org/officeDocument/2006/relationships/hyperlink" Target="https://finance.vietstock.vn/TCW-ctcp-kho-van-tan-cang.htm" TargetMode="External"/><Relationship Id="rId274" Type="http://schemas.openxmlformats.org/officeDocument/2006/relationships/hyperlink" Target="https://finance.vietstock.vn/HPD-ctcp-thuy-dien-dak-doa.htm" TargetMode="External"/><Relationship Id="rId481" Type="http://schemas.openxmlformats.org/officeDocument/2006/relationships/hyperlink" Target="https://finance.vietstock.vn/POT-ctcp-thiet-bi-buu-dien.htm" TargetMode="External"/><Relationship Id="rId702" Type="http://schemas.openxmlformats.org/officeDocument/2006/relationships/hyperlink" Target="https://finance.vietstock.vn/UXC-ctcp-che-bien-thuy-san-ut-xi.htm" TargetMode="External"/><Relationship Id="rId69" Type="http://schemas.openxmlformats.org/officeDocument/2006/relationships/hyperlink" Target="https://finance.vietstock.vn/BWE-ctcp-tong-cong-ty-nuoc-moi-truong-binh-duong.htm" TargetMode="External"/><Relationship Id="rId134" Type="http://schemas.openxmlformats.org/officeDocument/2006/relationships/hyperlink" Target="https://finance.vietstock.vn/DBD-ctcp-duoc-trang-thiet-bi-y-te-binh-dinh-bidiphar.htm" TargetMode="External"/><Relationship Id="rId579" Type="http://schemas.openxmlformats.org/officeDocument/2006/relationships/hyperlink" Target="https://finance.vietstock.vn/SGR-ctcp-tong-ctcp-dia-oc-sai-gon.htm" TargetMode="External"/><Relationship Id="rId786" Type="http://schemas.openxmlformats.org/officeDocument/2006/relationships/hyperlink" Target="https://finance.vietstock.vn/VTZ-ctcp-san-xuat-va-thuong-mai-nhua-viet-thanh.htm" TargetMode="External"/><Relationship Id="rId341" Type="http://schemas.openxmlformats.org/officeDocument/2006/relationships/hyperlink" Target="https://finance.vietstock.vn/L14-ctcp-licogi-14.htm" TargetMode="External"/><Relationship Id="rId439" Type="http://schemas.openxmlformats.org/officeDocument/2006/relationships/hyperlink" Target="https://finance.vietstock.vn/PAN-ctcp-tap-doan-pan.htm" TargetMode="External"/><Relationship Id="rId646" Type="http://schemas.openxmlformats.org/officeDocument/2006/relationships/hyperlink" Target="https://finance.vietstock.vn/TED-tong-cong-ty-tu-van-thiet-ke-giao-thong-van-tai-c???.htm" TargetMode="External"/><Relationship Id="rId201" Type="http://schemas.openxmlformats.org/officeDocument/2006/relationships/hyperlink" Target="https://finance.vietstock.vn/DXS-ctcp-dich-vu-bat-dong-san-dat-xanh.htm" TargetMode="External"/><Relationship Id="rId285" Type="http://schemas.openxmlformats.org/officeDocument/2006/relationships/hyperlink" Target="https://finance.vietstock.vn/HTC-ctcp-thuong-mai-hoc-mon.htm" TargetMode="External"/><Relationship Id="rId506" Type="http://schemas.openxmlformats.org/officeDocument/2006/relationships/hyperlink" Target="https://finance.vietstock.vn/PVE-tong-cong-ty-tu-van-thiet-ke-dau-khi-ctcp.htm" TargetMode="External"/><Relationship Id="rId492" Type="http://schemas.openxmlformats.org/officeDocument/2006/relationships/hyperlink" Target="https://finance.vietstock.vn/PSN-ctcp-dich-vu-ky-thuat-ptsc-thanh-hoa.htm" TargetMode="External"/><Relationship Id="rId713" Type="http://schemas.openxmlformats.org/officeDocument/2006/relationships/hyperlink" Target="https://finance.vietstock.vn/VC9-ctcp-xay-dung-so-9-vc9.htm" TargetMode="External"/><Relationship Id="rId145" Type="http://schemas.openxmlformats.org/officeDocument/2006/relationships/hyperlink" Target="https://finance.vietstock.vn/DDV-ctcp-dap-vinachem.htm" TargetMode="External"/><Relationship Id="rId352" Type="http://schemas.openxmlformats.org/officeDocument/2006/relationships/hyperlink" Target="https://finance.vietstock.vn/LCM-ctcp-khai-thac-va-che-bien-khoang-san-lao-cai.htm" TargetMode="External"/><Relationship Id="rId212" Type="http://schemas.openxmlformats.org/officeDocument/2006/relationships/hyperlink" Target="https://finance.vietstock.vn/FGL-ctcp-ca-phe-gia-lai.htm" TargetMode="External"/><Relationship Id="rId657" Type="http://schemas.openxmlformats.org/officeDocument/2006/relationships/hyperlink" Target="https://finance.vietstock.vn/TID-ctcp-tong-cong-ty-tin-nghia.htm" TargetMode="External"/><Relationship Id="rId296" Type="http://schemas.openxmlformats.org/officeDocument/2006/relationships/hyperlink" Target="https://finance.vietstock.vn/HVH-ctcp-dau-tu-va-cong-nghe-hvc.htm" TargetMode="External"/><Relationship Id="rId517" Type="http://schemas.openxmlformats.org/officeDocument/2006/relationships/hyperlink" Target="https://finance.vietstock.vn/PVY-ctcp-che-tao-gian-khoan-dau-khi.htm" TargetMode="External"/><Relationship Id="rId724" Type="http://schemas.openxmlformats.org/officeDocument/2006/relationships/hyperlink" Target="https://finance.vietstock.vn/VEA-tong-cong-ty-may-dong-luc-va-may-nong-nghiep-viet-nam-&#8211;-ctcp.htm" TargetMode="External"/><Relationship Id="rId60" Type="http://schemas.openxmlformats.org/officeDocument/2006/relationships/hyperlink" Target="https://finance.vietstock.vn/BSA-ctcp-thuy-dien-buon-don.htm" TargetMode="External"/><Relationship Id="rId156" Type="http://schemas.openxmlformats.org/officeDocument/2006/relationships/hyperlink" Target="https://finance.vietstock.vn/DIC-ctcp-dau-tu-va-thuong-mai-dic.htm" TargetMode="External"/><Relationship Id="rId363" Type="http://schemas.openxmlformats.org/officeDocument/2006/relationships/hyperlink" Target="https://finance.vietstock.vn/LLM-tong-cong-ty-lap-may-viet-nam-ctcp.htm" TargetMode="External"/><Relationship Id="rId570" Type="http://schemas.openxmlformats.org/officeDocument/2006/relationships/hyperlink" Target="https://finance.vietstock.vn/SED-ctcp-dau-tu-va-phat-trien-giao-duc-phuong-nam.htm" TargetMode="External"/><Relationship Id="rId223" Type="http://schemas.openxmlformats.org/officeDocument/2006/relationships/hyperlink" Target="https://finance.vietstock.vn/GCF-ctcp-thuc-pham-g-c.htm" TargetMode="External"/><Relationship Id="rId430" Type="http://schemas.openxmlformats.org/officeDocument/2006/relationships/hyperlink" Target="https://finance.vietstock.vn/NTP-ctcp-nhua-thieu-nien-tien-phong.htm" TargetMode="External"/><Relationship Id="rId668" Type="http://schemas.openxmlformats.org/officeDocument/2006/relationships/hyperlink" Target="https://finance.vietstock.vn/TMS-ctcp-transimex.htm" TargetMode="External"/><Relationship Id="rId18" Type="http://schemas.openxmlformats.org/officeDocument/2006/relationships/hyperlink" Target="https://finance.vietstock.vn/ALT-ctcp-van-hoa-tan-binh.htm" TargetMode="External"/><Relationship Id="rId528" Type="http://schemas.openxmlformats.org/officeDocument/2006/relationships/hyperlink" Target="https://finance.vietstock.vn/QST-ctcp-sach-va-thiet-bi-truong-hoc-quang-ninh.htm" TargetMode="External"/><Relationship Id="rId735" Type="http://schemas.openxmlformats.org/officeDocument/2006/relationships/hyperlink" Target="https://finance.vietstock.vn/VGV-tong-cong-ty-tu-van-xay-dung-viet-nam-ctcp.htm" TargetMode="External"/><Relationship Id="rId167" Type="http://schemas.openxmlformats.org/officeDocument/2006/relationships/hyperlink" Target="https://finance.vietstock.vn/DND-ctcp-dau-tu-xay-dung-va-vat-lieu-dong-nai.htm" TargetMode="External"/><Relationship Id="rId374" Type="http://schemas.openxmlformats.org/officeDocument/2006/relationships/hyperlink" Target="https://finance.vietstock.vn/MCO-ctcp-dau-tu-va-xay-dung-bdc-viet-nam.htm" TargetMode="External"/><Relationship Id="rId581" Type="http://schemas.openxmlformats.org/officeDocument/2006/relationships/hyperlink" Target="https://finance.vietstock.vn/SGT-ctcp-cong-nghe-vien-thong-sai-gon.htm" TargetMode="External"/><Relationship Id="rId71" Type="http://schemas.openxmlformats.org/officeDocument/2006/relationships/hyperlink" Target="https://finance.vietstock.vn/BXH-ctcp-vicem-bao-bi-hai-phong.htm" TargetMode="External"/><Relationship Id="rId234" Type="http://schemas.openxmlformats.org/officeDocument/2006/relationships/hyperlink" Target="https://finance.vietstock.vn/GMD-ctcp-gemadept.htm" TargetMode="External"/><Relationship Id="rId679" Type="http://schemas.openxmlformats.org/officeDocument/2006/relationships/hyperlink" Target="https://finance.vietstock.vn/TOS-ctcp-dich-vu-bien-tan-cang.htm" TargetMode="External"/><Relationship Id="rId2" Type="http://schemas.openxmlformats.org/officeDocument/2006/relationships/hyperlink" Target="https://finance.vietstock.vn/AAH-ctcp-hop-nhat.htm" TargetMode="External"/><Relationship Id="rId29" Type="http://schemas.openxmlformats.org/officeDocument/2006/relationships/hyperlink" Target="https://finance.vietstock.vn/API-ctcp-dau-tu-chau-a-thai-binh-duong.htm" TargetMode="External"/><Relationship Id="rId441" Type="http://schemas.openxmlformats.org/officeDocument/2006/relationships/hyperlink" Target="https://finance.vietstock.vn/PAS-ctcp-quoc-te-phuong-anh.htm" TargetMode="External"/><Relationship Id="rId539" Type="http://schemas.openxmlformats.org/officeDocument/2006/relationships/hyperlink" Target="https://finance.vietstock.vn/S55-ctcp-song-da-505.htm" TargetMode="External"/><Relationship Id="rId746" Type="http://schemas.openxmlformats.org/officeDocument/2006/relationships/hyperlink" Target="https://finance.vietstock.vn/VJC-ctcp-hang-khong-vietjet.htm" TargetMode="External"/><Relationship Id="rId178" Type="http://schemas.openxmlformats.org/officeDocument/2006/relationships/hyperlink" Target="https://finance.vietstock.vn/DQC-ctcp-tap-doan-dien-quang.htm" TargetMode="External"/><Relationship Id="rId301" Type="http://schemas.openxmlformats.org/officeDocument/2006/relationships/hyperlink" Target="https://finance.vietstock.vn/ICF-ctcp-dau-tu-thuong-mai-thuy-san.htm" TargetMode="External"/><Relationship Id="rId82" Type="http://schemas.openxmlformats.org/officeDocument/2006/relationships/hyperlink" Target="https://finance.vietstock.vn/CCT-ctcp-cang-can-tho.htm" TargetMode="External"/><Relationship Id="rId385" Type="http://schemas.openxmlformats.org/officeDocument/2006/relationships/hyperlink" Target="https://finance.vietstock.vn/MSH-ctcp-may-song-hong.htm" TargetMode="External"/><Relationship Id="rId592" Type="http://schemas.openxmlformats.org/officeDocument/2006/relationships/hyperlink" Target="https://finance.vietstock.vn/SJE-ctcp-song-da-11.htm" TargetMode="External"/><Relationship Id="rId606" Type="http://schemas.openxmlformats.org/officeDocument/2006/relationships/hyperlink" Target="https://finance.vietstock.vn/SPC-ctcp-bao-ve-thuc-vat-sai-gon.htm" TargetMode="External"/><Relationship Id="rId245" Type="http://schemas.openxmlformats.org/officeDocument/2006/relationships/hyperlink" Target="https://finance.vietstock.vn/HAX-ctcp-dich-vu-o-to-hang-xanh.htm" TargetMode="External"/><Relationship Id="rId452" Type="http://schemas.openxmlformats.org/officeDocument/2006/relationships/hyperlink" Target="https://finance.vietstock.vn/PEG-tong-cong-ty-thuong-mai-ky-thuat-va-dau-tu-ctcp.htm" TargetMode="External"/><Relationship Id="rId105" Type="http://schemas.openxmlformats.org/officeDocument/2006/relationships/hyperlink" Target="https://finance.vietstock.vn/CMV-ctcp-thuong-nghiep-ca-mau.htm" TargetMode="External"/><Relationship Id="rId312" Type="http://schemas.openxmlformats.org/officeDocument/2006/relationships/hyperlink" Target="https://finance.vietstock.vn/ILS-ctcp-dau-tu-thuong-mai-va-dich-vu-quoc-te.htm" TargetMode="External"/><Relationship Id="rId757" Type="http://schemas.openxmlformats.org/officeDocument/2006/relationships/hyperlink" Target="https://finance.vietstock.vn/VNP-ctcp-nhua-viet-nam.htm" TargetMode="External"/><Relationship Id="rId93" Type="http://schemas.openxmlformats.org/officeDocument/2006/relationships/hyperlink" Target="https://finance.vietstock.vn/CKG-ctcp-tap-doan-cic.htm" TargetMode="External"/><Relationship Id="rId189" Type="http://schemas.openxmlformats.org/officeDocument/2006/relationships/hyperlink" Target="https://finance.vietstock.vn/DTG-ctcp-duoc-pham-tipharco.htm" TargetMode="External"/><Relationship Id="rId396" Type="http://schemas.openxmlformats.org/officeDocument/2006/relationships/hyperlink" Target="https://finance.vietstock.vn/NAF-ctcp-nafoods-group.htm" TargetMode="External"/><Relationship Id="rId617" Type="http://schemas.openxmlformats.org/officeDocument/2006/relationships/hyperlink" Target="https://finance.vietstock.vn/SVC-ctcp-dich-vu-tong-hop-sai-gon.htm" TargetMode="External"/><Relationship Id="rId256" Type="http://schemas.openxmlformats.org/officeDocument/2006/relationships/hyperlink" Target="https://finance.vietstock.vn/HHC-ctcp-banh-keo-hai-ha.htm" TargetMode="External"/><Relationship Id="rId463" Type="http://schemas.openxmlformats.org/officeDocument/2006/relationships/hyperlink" Target="https://finance.vietstock.vn/PHP-ctcp-cang-hai-phong.htm" TargetMode="External"/><Relationship Id="rId670" Type="http://schemas.openxmlformats.org/officeDocument/2006/relationships/hyperlink" Target="https://finance.vietstock.vn/TN1-ctcp-rox-key-holdings.htm" TargetMode="External"/><Relationship Id="rId116" Type="http://schemas.openxmlformats.org/officeDocument/2006/relationships/hyperlink" Target="https://finance.vietstock.vn/CSM-ctcp-cong-nghiep-cao-su-mien-nam.htm" TargetMode="External"/><Relationship Id="rId323" Type="http://schemas.openxmlformats.org/officeDocument/2006/relationships/hyperlink" Target="https://finance.vietstock.vn/KDH-ctcp-dau-tu-va-kinh-doanh-nha-khang-dien.htm" TargetMode="External"/><Relationship Id="rId530" Type="http://schemas.openxmlformats.org/officeDocument/2006/relationships/hyperlink" Target="https://finance.vietstock.vn/RAL-ctcp-bong-den-phich-nuoc-rang-dong.htm" TargetMode="External"/><Relationship Id="rId768" Type="http://schemas.openxmlformats.org/officeDocument/2006/relationships/hyperlink" Target="https://finance.vietstock.vn/VRE-ctcp-vincom-retail.htm" TargetMode="External"/><Relationship Id="rId20" Type="http://schemas.openxmlformats.org/officeDocument/2006/relationships/hyperlink" Target="https://finance.vietstock.vn/AME-ctcp-alphanam-ec.htm" TargetMode="External"/><Relationship Id="rId628" Type="http://schemas.openxmlformats.org/officeDocument/2006/relationships/hyperlink" Target="https://finance.vietstock.vn/TAR-ctcp-nong-nghiep-cong-nghe-cao-trung-an.htm" TargetMode="External"/><Relationship Id="rId267" Type="http://schemas.openxmlformats.org/officeDocument/2006/relationships/hyperlink" Target="https://finance.vietstock.vn/HMC-ctcp-kim-khi-thanh-pho-ho-chi-minh-vnsteel.htm" TargetMode="External"/><Relationship Id="rId474" Type="http://schemas.openxmlformats.org/officeDocument/2006/relationships/hyperlink" Target="https://finance.vietstock.vn/PMG-ctcp-dau-tu-va-san-xuat-petro-mien-trung.htm" TargetMode="External"/><Relationship Id="rId127" Type="http://schemas.openxmlformats.org/officeDocument/2006/relationships/hyperlink" Target="https://finance.vietstock.vn/CVN-ctcp-vinam.htm" TargetMode="External"/><Relationship Id="rId681" Type="http://schemas.openxmlformats.org/officeDocument/2006/relationships/hyperlink" Target="https://finance.vietstock.vn/TPC-ctcp-nhua-tan-dai-hung.htm" TargetMode="External"/><Relationship Id="rId779" Type="http://schemas.openxmlformats.org/officeDocument/2006/relationships/hyperlink" Target="https://finance.vietstock.vn/VTH-ctcp-day-cap-dien-viet-thai.htm" TargetMode="External"/><Relationship Id="rId31" Type="http://schemas.openxmlformats.org/officeDocument/2006/relationships/hyperlink" Target="https://finance.vietstock.vn/ASG-ctcp-tap-doan-asg.htm" TargetMode="External"/><Relationship Id="rId334" Type="http://schemas.openxmlformats.org/officeDocument/2006/relationships/hyperlink" Target="https://finance.vietstock.vn/KSD-ctcp-dau-tu-dna.htm" TargetMode="External"/><Relationship Id="rId541" Type="http://schemas.openxmlformats.org/officeDocument/2006/relationships/hyperlink" Target="https://finance.vietstock.vn/S99-ctcp-sci.htm" TargetMode="External"/><Relationship Id="rId639" Type="http://schemas.openxmlformats.org/officeDocument/2006/relationships/hyperlink" Target="https://finance.vietstock.vn/TDG-ctcp-dau-tu-tdg-global.htm" TargetMode="External"/><Relationship Id="rId180" Type="http://schemas.openxmlformats.org/officeDocument/2006/relationships/hyperlink" Target="https://finance.vietstock.vn/DRG-ctcp-cao-su-dak-lak.htm" TargetMode="External"/><Relationship Id="rId278" Type="http://schemas.openxmlformats.org/officeDocument/2006/relationships/hyperlink" Target="https://finance.vietstock.vn/HPX-ctcp-dau-tu-hai-phat.htm" TargetMode="External"/><Relationship Id="rId401" Type="http://schemas.openxmlformats.org/officeDocument/2006/relationships/hyperlink" Target="https://finance.vietstock.vn/NBC-ctcp-than-nui-beo-vinacomin.htm" TargetMode="External"/><Relationship Id="rId485" Type="http://schemas.openxmlformats.org/officeDocument/2006/relationships/hyperlink" Target="https://finance.vietstock.vn/PPP-ctcp-duoc-pham-phong-phu.htm" TargetMode="External"/><Relationship Id="rId692" Type="http://schemas.openxmlformats.org/officeDocument/2006/relationships/hyperlink" Target="https://finance.vietstock.vn/TTS-ctcp-can-thep-thai-trung.htm" TargetMode="External"/><Relationship Id="rId706" Type="http://schemas.openxmlformats.org/officeDocument/2006/relationships/hyperlink" Target="https://finance.vietstock.vn/VAV-ctcp-viwaco.htm" TargetMode="External"/><Relationship Id="rId42" Type="http://schemas.openxmlformats.org/officeDocument/2006/relationships/hyperlink" Target="https://finance.vietstock.vn/BCF-ctcp-thuc-pham-bich-chi.htm" TargetMode="External"/><Relationship Id="rId138" Type="http://schemas.openxmlformats.org/officeDocument/2006/relationships/hyperlink" Target="https://finance.vietstock.vn/DCF-ctcp-xay-dung-va-thiet-ke-so-1.htm" TargetMode="External"/><Relationship Id="rId345" Type="http://schemas.openxmlformats.org/officeDocument/2006/relationships/hyperlink" Target="https://finance.vietstock.vn/LAI-ctcp-dau-tu-xay-dung-long-an-idico.htm" TargetMode="External"/><Relationship Id="rId552" Type="http://schemas.openxmlformats.org/officeDocument/2006/relationships/hyperlink" Target="https://finance.vietstock.vn/SCG-ctcp-tap-doan-xay-dung-scg.htm" TargetMode="External"/><Relationship Id="rId191" Type="http://schemas.openxmlformats.org/officeDocument/2006/relationships/hyperlink" Target="https://finance.vietstock.vn/DTK-tong-cong-ty-dien-luc-tkv-ctcp.htm" TargetMode="External"/><Relationship Id="rId205" Type="http://schemas.openxmlformats.org/officeDocument/2006/relationships/hyperlink" Target="https://finance.vietstock.vn/EIN-ctcp-dau-tu-thuong-mai-dich-vu-dien-luc.htm" TargetMode="External"/><Relationship Id="rId412" Type="http://schemas.openxmlformats.org/officeDocument/2006/relationships/hyperlink" Target="https://finance.vietstock.vn/NHC-ctcp-gach-ngoi-nhi-hiep.htm" TargetMode="External"/><Relationship Id="rId289" Type="http://schemas.openxmlformats.org/officeDocument/2006/relationships/hyperlink" Target="https://finance.vietstock.vn/HTM-tong-cong-ty-thuong-mai-ha-noi-ctcp.htm" TargetMode="External"/><Relationship Id="rId496" Type="http://schemas.openxmlformats.org/officeDocument/2006/relationships/hyperlink" Target="https://finance.vietstock.vn/PTD-ctcp-thiet-ke-xay-dung-thuong-mai-phuc-thinh.htm" TargetMode="External"/><Relationship Id="rId717" Type="http://schemas.openxmlformats.org/officeDocument/2006/relationships/hyperlink" Target="https://finance.vietstock.vn/VCP-ctcp-xay-dung-va-nang-luong-vcp.htm" TargetMode="External"/><Relationship Id="rId53" Type="http://schemas.openxmlformats.org/officeDocument/2006/relationships/hyperlink" Target="https://finance.vietstock.vn/BMP-ctcp-nhua-binh-minh.htm" TargetMode="External"/><Relationship Id="rId149" Type="http://schemas.openxmlformats.org/officeDocument/2006/relationships/hyperlink" Target="https://finance.vietstock.vn/DGW-ctcp-the-gioi-so.htm" TargetMode="External"/><Relationship Id="rId356" Type="http://schemas.openxmlformats.org/officeDocument/2006/relationships/hyperlink" Target="https://finance.vietstock.vn/LGC-ctcp-dau-tu-cau-duong-cii.htm" TargetMode="External"/><Relationship Id="rId563" Type="http://schemas.openxmlformats.org/officeDocument/2006/relationships/hyperlink" Target="https://finance.vietstock.vn/SDA-ctcp-simco-song-da.htm" TargetMode="External"/><Relationship Id="rId770" Type="http://schemas.openxmlformats.org/officeDocument/2006/relationships/hyperlink" Target="https://finance.vietstock.vn/VSF-tong-cong-ty-luong-thuc-mien-nam-ctcp.htm" TargetMode="External"/><Relationship Id="rId216" Type="http://schemas.openxmlformats.org/officeDocument/2006/relationships/hyperlink" Target="https://finance.vietstock.vn/FMC-ctcp-thuc-pham-sao-ta.htm" TargetMode="External"/><Relationship Id="rId423" Type="http://schemas.openxmlformats.org/officeDocument/2006/relationships/hyperlink" Target="https://finance.vietstock.vn/NSC-ctcp-tap-doan-giong-cay-trong-viet-nam.htm" TargetMode="External"/><Relationship Id="rId258" Type="http://schemas.openxmlformats.org/officeDocument/2006/relationships/hyperlink" Target="https://finance.vietstock.vn/HHP-ctcp-hhp-global.htm" TargetMode="External"/><Relationship Id="rId465" Type="http://schemas.openxmlformats.org/officeDocument/2006/relationships/hyperlink" Target="https://finance.vietstock.vn/PIC-ctcp-dau-tu-dien-luc-3.htm" TargetMode="External"/><Relationship Id="rId630" Type="http://schemas.openxmlformats.org/officeDocument/2006/relationships/hyperlink" Target="https://finance.vietstock.vn/TBD-tong-cong-ty-thiet-bi-dien-dong-anh-ctcp.htm" TargetMode="External"/><Relationship Id="rId672" Type="http://schemas.openxmlformats.org/officeDocument/2006/relationships/hyperlink" Target="https://finance.vietstock.vn/TNG-ctcp-dau-tu-va-thuong-mai-tng.htm" TargetMode="External"/><Relationship Id="rId728" Type="http://schemas.openxmlformats.org/officeDocument/2006/relationships/hyperlink" Target="https://finance.vietstock.vn/VFG-ctcp-khu-trung-viet-nam.htm" TargetMode="External"/><Relationship Id="rId22" Type="http://schemas.openxmlformats.org/officeDocument/2006/relationships/hyperlink" Target="https://finance.vietstock.vn/AMS-ctcp-co-khi-xay-dung-amecc.htm" TargetMode="External"/><Relationship Id="rId64" Type="http://schemas.openxmlformats.org/officeDocument/2006/relationships/hyperlink" Target="https://finance.vietstock.vn/BTP-ctcp-nhiet-dien-ba-ria.htm" TargetMode="External"/><Relationship Id="rId118" Type="http://schemas.openxmlformats.org/officeDocument/2006/relationships/hyperlink" Target="https://finance.vietstock.vn/CSV-ctcp-hoa-chat-co-ban-mien-nam.htm" TargetMode="External"/><Relationship Id="rId325" Type="http://schemas.openxmlformats.org/officeDocument/2006/relationships/hyperlink" Target="https://finance.vietstock.vn/KHG-ctcp-tap-doan-khai-hoan-land.htm" TargetMode="External"/><Relationship Id="rId367" Type="http://schemas.openxmlformats.org/officeDocument/2006/relationships/hyperlink" Target="https://finance.vietstock.vn/MAC-ctcp-tap-doan-macstar.htm" TargetMode="External"/><Relationship Id="rId532" Type="http://schemas.openxmlformats.org/officeDocument/2006/relationships/hyperlink" Target="https://finance.vietstock.vn/RCL-ctcp-dia-oc-cho-lon.htm" TargetMode="External"/><Relationship Id="rId574" Type="http://schemas.openxmlformats.org/officeDocument/2006/relationships/hyperlink" Target="https://finance.vietstock.vn/SFN-ctcp-det-luoi-sai-gon.htm" TargetMode="External"/><Relationship Id="rId171" Type="http://schemas.openxmlformats.org/officeDocument/2006/relationships/hyperlink" Target="https://finance.vietstock.vn/DNW-ctcp-cap-nuoc-dong-nai.htm" TargetMode="External"/><Relationship Id="rId227" Type="http://schemas.openxmlformats.org/officeDocument/2006/relationships/hyperlink" Target="https://finance.vietstock.vn/GEE-ctcp-dien-luc-gelex.htm" TargetMode="External"/><Relationship Id="rId781" Type="http://schemas.openxmlformats.org/officeDocument/2006/relationships/hyperlink" Target="https://finance.vietstock.vn/VTP-tong-cong-ty-co-phan-buu-chinh-viettel.htm" TargetMode="External"/><Relationship Id="rId269" Type="http://schemas.openxmlformats.org/officeDocument/2006/relationships/hyperlink" Target="https://finance.vietstock.vn/HNA-ctcp-thuy-dien-hua-na.htm" TargetMode="External"/><Relationship Id="rId434" Type="http://schemas.openxmlformats.org/officeDocument/2006/relationships/hyperlink" Target="https://finance.vietstock.vn/OCH-ctcp-one-capital-hospitality.htm" TargetMode="External"/><Relationship Id="rId476" Type="http://schemas.openxmlformats.org/officeDocument/2006/relationships/hyperlink" Target="https://finance.vietstock.vn/PMS-ctcp-co-khi-xang-dau.htm" TargetMode="External"/><Relationship Id="rId641" Type="http://schemas.openxmlformats.org/officeDocument/2006/relationships/hyperlink" Target="https://finance.vietstock.vn/TDM-ctcp-nuoc-thu-dau-mot.htm" TargetMode="External"/><Relationship Id="rId683" Type="http://schemas.openxmlformats.org/officeDocument/2006/relationships/hyperlink" Target="https://finance.vietstock.vn/TRA-ctcp-traphaco.htm" TargetMode="External"/><Relationship Id="rId739" Type="http://schemas.openxmlformats.org/officeDocument/2006/relationships/hyperlink" Target="https://finance.vietstock.vn/VHF-ctcp-xay-dung-va-che-bien-luong-thuc-vinh-ha.htm" TargetMode="External"/><Relationship Id="rId33" Type="http://schemas.openxmlformats.org/officeDocument/2006/relationships/hyperlink" Target="https://finance.vietstock.vn/ASP-ctcp-tap-doan-dau-khi-an-pha.htm" TargetMode="External"/><Relationship Id="rId129" Type="http://schemas.openxmlformats.org/officeDocument/2006/relationships/hyperlink" Target="https://finance.vietstock.vn/CX8-ctcp-dau-tu-va-xay-lap-constrexim-so-8.htm" TargetMode="External"/><Relationship Id="rId280" Type="http://schemas.openxmlformats.org/officeDocument/2006/relationships/hyperlink" Target="https://finance.vietstock.vn/HRC-ctcp-cao-su-hoa-binh.htm" TargetMode="External"/><Relationship Id="rId336" Type="http://schemas.openxmlformats.org/officeDocument/2006/relationships/hyperlink" Target="https://finance.vietstock.vn/KSV-tong-cong-ty-khoang-san-tkv-ctcp.htm" TargetMode="External"/><Relationship Id="rId501" Type="http://schemas.openxmlformats.org/officeDocument/2006/relationships/hyperlink" Target="https://finance.vietstock.vn/PTV-ctcp-thuong-mai-dau-khi.htm" TargetMode="External"/><Relationship Id="rId543" Type="http://schemas.openxmlformats.org/officeDocument/2006/relationships/hyperlink" Target="https://finance.vietstock.vn/SAM-ctcp-sam-holdings.htm" TargetMode="External"/><Relationship Id="rId75" Type="http://schemas.openxmlformats.org/officeDocument/2006/relationships/hyperlink" Target="https://finance.vietstock.vn/C69-ctcp-xay-dung-1369.htm" TargetMode="External"/><Relationship Id="rId140" Type="http://schemas.openxmlformats.org/officeDocument/2006/relationships/hyperlink" Target="https://finance.vietstock.vn/DCM-ctcp-tong-cong-ty-phan-bon-dau-khi-ca-mau.htm" TargetMode="External"/><Relationship Id="rId182" Type="http://schemas.openxmlformats.org/officeDocument/2006/relationships/hyperlink" Target="https://finance.vietstock.vn/DRI-ctcp-dau-tu-cao-su-dak-lak.htm" TargetMode="External"/><Relationship Id="rId378" Type="http://schemas.openxmlformats.org/officeDocument/2006/relationships/hyperlink" Target="https://finance.vietstock.vn/MED-ctcp-duoc-trung-uong-mediplantex.htm" TargetMode="External"/><Relationship Id="rId403" Type="http://schemas.openxmlformats.org/officeDocument/2006/relationships/hyperlink" Target="https://finance.vietstock.vn/NCG-ctcp-tap-doan-nova-consumer.htm" TargetMode="External"/><Relationship Id="rId585" Type="http://schemas.openxmlformats.org/officeDocument/2006/relationships/hyperlink" Target="https://finance.vietstock.vn/SHI-ctcp-quoc-te-son-ha.htm" TargetMode="External"/><Relationship Id="rId750" Type="http://schemas.openxmlformats.org/officeDocument/2006/relationships/hyperlink" Target="https://finance.vietstock.vn/VMC-ctcp-vimeco.htm" TargetMode="External"/><Relationship Id="rId6" Type="http://schemas.openxmlformats.org/officeDocument/2006/relationships/hyperlink" Target="https://finance.vietstock.vn/ABS-ctcp-dich-vu-nong-nghiep-binh-thuan.htm" TargetMode="External"/><Relationship Id="rId238" Type="http://schemas.openxmlformats.org/officeDocument/2006/relationships/hyperlink" Target="https://finance.vietstock.vn/GTA-ctcp-che-bien-go-thuan-an.htm" TargetMode="External"/><Relationship Id="rId445" Type="http://schemas.openxmlformats.org/officeDocument/2006/relationships/hyperlink" Target="https://finance.vietstock.vn/PBT-ctcp-bao-bi-va-thuong-mai-dau-khi-binh-son.htm" TargetMode="External"/><Relationship Id="rId487" Type="http://schemas.openxmlformats.org/officeDocument/2006/relationships/hyperlink" Target="https://finance.vietstock.vn/PPY-ctcp-xang-dau-dau-khi-phu-yen.htm" TargetMode="External"/><Relationship Id="rId610" Type="http://schemas.openxmlformats.org/officeDocument/2006/relationships/hyperlink" Target="https://finance.vietstock.vn/SRC-ctcp-cao-su-sao-vang.htm" TargetMode="External"/><Relationship Id="rId652" Type="http://schemas.openxmlformats.org/officeDocument/2006/relationships/hyperlink" Target="https://finance.vietstock.vn/THM-ctcp-tu-hai-ha-nam.htm" TargetMode="External"/><Relationship Id="rId694" Type="http://schemas.openxmlformats.org/officeDocument/2006/relationships/hyperlink" Target="https://finance.vietstock.vn/TV2-ctcp-tu-van-xay-dung-dien-2.htm" TargetMode="External"/><Relationship Id="rId708" Type="http://schemas.openxmlformats.org/officeDocument/2006/relationships/hyperlink" Target="https://finance.vietstock.vn/VC1-ctcp-xay-dung-so-1.htm" TargetMode="External"/><Relationship Id="rId291" Type="http://schemas.openxmlformats.org/officeDocument/2006/relationships/hyperlink" Target="https://finance.vietstock.vn/HTT-ctcp-thuong-mai-ha-tay.htm" TargetMode="External"/><Relationship Id="rId305" Type="http://schemas.openxmlformats.org/officeDocument/2006/relationships/hyperlink" Target="https://finance.vietstock.vn/IDC-tong-cong-ty-idico-ctcp.htm" TargetMode="External"/><Relationship Id="rId347" Type="http://schemas.openxmlformats.org/officeDocument/2006/relationships/hyperlink" Target="https://finance.vietstock.vn/LAW-ctcp-cap-thoat-nuoc-long-an.htm" TargetMode="External"/><Relationship Id="rId512" Type="http://schemas.openxmlformats.org/officeDocument/2006/relationships/hyperlink" Target="https://finance.vietstock.vn/PVP-ctcp-van-tai-dau-khi-thai-binh-duong.htm" TargetMode="External"/><Relationship Id="rId44" Type="http://schemas.openxmlformats.org/officeDocument/2006/relationships/hyperlink" Target="https://finance.vietstock.vn/BDG-ctcp-may-mac-binh-duong.htm" TargetMode="External"/><Relationship Id="rId86" Type="http://schemas.openxmlformats.org/officeDocument/2006/relationships/hyperlink" Target="https://finance.vietstock.vn/CEO-ctcp-tap-doan-c-e-o.htm" TargetMode="External"/><Relationship Id="rId151" Type="http://schemas.openxmlformats.org/officeDocument/2006/relationships/hyperlink" Target="https://finance.vietstock.vn/DHC-ctcp-dong-hai-ben-tre.htm" TargetMode="External"/><Relationship Id="rId389" Type="http://schemas.openxmlformats.org/officeDocument/2006/relationships/hyperlink" Target="https://finance.vietstock.vn/MTA-tong-cong-ty-khoang-san-va-thuong-mai-ha-tinh-ctcp.htm" TargetMode="External"/><Relationship Id="rId554" Type="http://schemas.openxmlformats.org/officeDocument/2006/relationships/hyperlink" Target="https://finance.vietstock.vn/SCJ-ctcp-xi-mang-sai-son.htm" TargetMode="External"/><Relationship Id="rId596" Type="http://schemas.openxmlformats.org/officeDocument/2006/relationships/hyperlink" Target="https://finance.vietstock.vn/SKH-ctcp-nuoc-giai-khat-sanest-khanh-hoa.htm" TargetMode="External"/><Relationship Id="rId761" Type="http://schemas.openxmlformats.org/officeDocument/2006/relationships/hyperlink" Target="https://finance.vietstock.vn/VOS-ctcp-van-tai-bien-viet-nam.htm" TargetMode="External"/><Relationship Id="rId193" Type="http://schemas.openxmlformats.org/officeDocument/2006/relationships/hyperlink" Target="https://finance.vietstock.vn/DTP-ctcp-duoc-pham-cpc1-ha-noi.htm" TargetMode="External"/><Relationship Id="rId207" Type="http://schemas.openxmlformats.org/officeDocument/2006/relationships/hyperlink" Target="https://finance.vietstock.vn/EVE-ctcp-everpia.htm" TargetMode="External"/><Relationship Id="rId249" Type="http://schemas.openxmlformats.org/officeDocument/2006/relationships/hyperlink" Target="https://finance.vietstock.vn/HD6-ctcp-dau-tu-va-phat-trien-nha-so-6-ha-noi.htm" TargetMode="External"/><Relationship Id="rId414" Type="http://schemas.openxmlformats.org/officeDocument/2006/relationships/hyperlink" Target="https://finance.vietstock.vn/NHT-ctcp-san-xuat-va-thuong-mai-nam-hoa.htm" TargetMode="External"/><Relationship Id="rId456" Type="http://schemas.openxmlformats.org/officeDocument/2006/relationships/hyperlink" Target="https://finance.vietstock.vn/PGD-ctcp-phan-phoi-khi-thap-ap-dau-khi-viet-nam.htm" TargetMode="External"/><Relationship Id="rId498" Type="http://schemas.openxmlformats.org/officeDocument/2006/relationships/hyperlink" Target="https://finance.vietstock.vn/PTL-ctcp-victory-group.htm" TargetMode="External"/><Relationship Id="rId621" Type="http://schemas.openxmlformats.org/officeDocument/2006/relationships/hyperlink" Target="https://finance.vietstock.vn/SWC-tong-cong-ty-co-phan-duong-song-mien-nam.htm" TargetMode="External"/><Relationship Id="rId663" Type="http://schemas.openxmlformats.org/officeDocument/2006/relationships/hyperlink" Target="https://finance.vietstock.vn/TLH-ctcp-tap-doan-thep-tien-len.htm" TargetMode="External"/><Relationship Id="rId13" Type="http://schemas.openxmlformats.org/officeDocument/2006/relationships/hyperlink" Target="https://finance.vietstock.vn/ADS-ctcp-damsan.htm" TargetMode="External"/><Relationship Id="rId109" Type="http://schemas.openxmlformats.org/officeDocument/2006/relationships/hyperlink" Target="https://finance.vietstock.vn/CNT-ctcp-tap-doan-cnt.htm" TargetMode="External"/><Relationship Id="rId260" Type="http://schemas.openxmlformats.org/officeDocument/2006/relationships/hyperlink" Target="https://finance.vietstock.vn/HHV-ctcp-dau-tu-ha-tang-giao-thong-deo-ca.htm" TargetMode="External"/><Relationship Id="rId316" Type="http://schemas.openxmlformats.org/officeDocument/2006/relationships/hyperlink" Target="https://finance.vietstock.vn/ISH-ctcp-thuy-dien-srok-phu-mieng-idico.htm" TargetMode="External"/><Relationship Id="rId523" Type="http://schemas.openxmlformats.org/officeDocument/2006/relationships/hyperlink" Target="https://finance.vietstock.vn/QHD-ctcp-que-han-dien-viet-duc.htm" TargetMode="External"/><Relationship Id="rId719" Type="http://schemas.openxmlformats.org/officeDocument/2006/relationships/hyperlink" Target="https://finance.vietstock.vn/VCS-ctcp-vicostone.htm" TargetMode="External"/><Relationship Id="rId55" Type="http://schemas.openxmlformats.org/officeDocument/2006/relationships/hyperlink" Target="https://finance.vietstock.vn/BNA-ctcp-tap-doan-dau-tu-bao-ngoc.htm" TargetMode="External"/><Relationship Id="rId97" Type="http://schemas.openxmlformats.org/officeDocument/2006/relationships/hyperlink" Target="https://finance.vietstock.vn/CLW-ctcp-cap-nuoc-cho-lon.htm" TargetMode="External"/><Relationship Id="rId120" Type="http://schemas.openxmlformats.org/officeDocument/2006/relationships/hyperlink" Target="https://finance.vietstock.vn/CTD-ctcp-xay-dung-coteccons.htm" TargetMode="External"/><Relationship Id="rId358" Type="http://schemas.openxmlformats.org/officeDocument/2006/relationships/hyperlink" Target="https://finance.vietstock.vn/LHC-ctcp-dau-tu-va-xay-dung-thuy-loi-lam-dong.htm" TargetMode="External"/><Relationship Id="rId565" Type="http://schemas.openxmlformats.org/officeDocument/2006/relationships/hyperlink" Target="https://finance.vietstock.vn/SDG-ctcp-sadico-can-tho.htm" TargetMode="External"/><Relationship Id="rId730" Type="http://schemas.openxmlformats.org/officeDocument/2006/relationships/hyperlink" Target="https://finance.vietstock.vn/VGG-tong-cong-ty-co-phan-may-viet-tien.htm" TargetMode="External"/><Relationship Id="rId772" Type="http://schemas.openxmlformats.org/officeDocument/2006/relationships/hyperlink" Target="https://finance.vietstock.vn/VSI-ctcp-dau-tu-va-xay-dung-cap-thoat-nuoc.htm" TargetMode="External"/><Relationship Id="rId162" Type="http://schemas.openxmlformats.org/officeDocument/2006/relationships/hyperlink" Target="https://finance.vietstock.vn/DLG-ctcp-tap-doan-duc-long-gia-lai.htm" TargetMode="External"/><Relationship Id="rId218" Type="http://schemas.openxmlformats.org/officeDocument/2006/relationships/hyperlink" Target="https://finance.vietstock.vn/FPT-ctcp-fpt.htm" TargetMode="External"/><Relationship Id="rId425" Type="http://schemas.openxmlformats.org/officeDocument/2006/relationships/hyperlink" Target="https://finance.vietstock.vn/NSL-ctcp-cap-nuoc-son-la.htm" TargetMode="External"/><Relationship Id="rId467" Type="http://schemas.openxmlformats.org/officeDocument/2006/relationships/hyperlink" Target="https://finance.vietstock.vn/PIT-ctcp-xuat-nhap-khau-petrolimex.htm" TargetMode="External"/><Relationship Id="rId632" Type="http://schemas.openxmlformats.org/officeDocument/2006/relationships/hyperlink" Target="https://finance.vietstock.vn/TCL-ctcp-dai-ly-giao-nhan-van-tai-xep-do-tan-cang.htm" TargetMode="External"/><Relationship Id="rId271" Type="http://schemas.openxmlformats.org/officeDocument/2006/relationships/hyperlink" Target="https://finance.vietstock.vn/HNG-ctcp-nong-nghiep-quoc-te-hoang-anh-gia-lai.htm" TargetMode="External"/><Relationship Id="rId674" Type="http://schemas.openxmlformats.org/officeDocument/2006/relationships/hyperlink" Target="https://finance.vietstock.vn/TNI-ctcp-tap-doan-thanh-nam.htm" TargetMode="External"/><Relationship Id="rId24" Type="http://schemas.openxmlformats.org/officeDocument/2006/relationships/hyperlink" Target="https://finance.vietstock.vn/ANT-ctcp-rau-qua-thuc-pham-an-giang.htm" TargetMode="External"/><Relationship Id="rId66" Type="http://schemas.openxmlformats.org/officeDocument/2006/relationships/hyperlink" Target="https://finance.vietstock.vn/BTV-ctcp-dich-vu-du-lich-ben-thanh.htm" TargetMode="External"/><Relationship Id="rId131" Type="http://schemas.openxmlformats.org/officeDocument/2006/relationships/hyperlink" Target="https://finance.vietstock.vn/DAN-ctcp-duoc-danapha.htm" TargetMode="External"/><Relationship Id="rId327" Type="http://schemas.openxmlformats.org/officeDocument/2006/relationships/hyperlink" Target="https://finance.vietstock.vn/KHS-ctcp-kien-hung.htm" TargetMode="External"/><Relationship Id="rId369" Type="http://schemas.openxmlformats.org/officeDocument/2006/relationships/hyperlink" Target="https://finance.vietstock.vn/MBG-ctcp-tap-doan-mbg.htm" TargetMode="External"/><Relationship Id="rId534" Type="http://schemas.openxmlformats.org/officeDocument/2006/relationships/hyperlink" Target="https://finance.vietstock.vn/RGG-ctcp-regal-group.htm" TargetMode="External"/><Relationship Id="rId576" Type="http://schemas.openxmlformats.org/officeDocument/2006/relationships/hyperlink" Target="https://finance.vietstock.vn/SGD-ctcp-sach-giao-duc-tai-thanh-pho-ho-chi-minh.htm" TargetMode="External"/><Relationship Id="rId741" Type="http://schemas.openxmlformats.org/officeDocument/2006/relationships/hyperlink" Target="https://finance.vietstock.vn/VHM-ctcp-vinhomes.htm" TargetMode="External"/><Relationship Id="rId783" Type="http://schemas.openxmlformats.org/officeDocument/2006/relationships/hyperlink" Target="https://finance.vietstock.vn/VTR-ctcp-du-lich-vietravel.htm" TargetMode="External"/><Relationship Id="rId173" Type="http://schemas.openxmlformats.org/officeDocument/2006/relationships/hyperlink" Target="https://finance.vietstock.vn/DP2-ctcp-duoc-pham-trung-uong-2.htm" TargetMode="External"/><Relationship Id="rId229" Type="http://schemas.openxmlformats.org/officeDocument/2006/relationships/hyperlink" Target="https://finance.vietstock.vn/GEX-ctcp-tap-doan-gelex.htm" TargetMode="External"/><Relationship Id="rId380" Type="http://schemas.openxmlformats.org/officeDocument/2006/relationships/hyperlink" Target="https://finance.vietstock.vn/MIC-ctcp-ky-nghe-khoang-san-quang-nam.htm" TargetMode="External"/><Relationship Id="rId436" Type="http://schemas.openxmlformats.org/officeDocument/2006/relationships/hyperlink" Target="https://finance.vietstock.vn/OIL-tong-cong-ty-dau-viet-nam-ctcp.htm" TargetMode="External"/><Relationship Id="rId601" Type="http://schemas.openxmlformats.org/officeDocument/2006/relationships/hyperlink" Target="https://finance.vietstock.vn/SMC-ctcp-dau-tu-thuong-mai-smc.htm" TargetMode="External"/><Relationship Id="rId643" Type="http://schemas.openxmlformats.org/officeDocument/2006/relationships/hyperlink" Target="https://finance.vietstock.vn/TDS-ctcp-thep-thu-duc-vnsteel.htm" TargetMode="External"/><Relationship Id="rId240" Type="http://schemas.openxmlformats.org/officeDocument/2006/relationships/hyperlink" Target="https://finance.vietstock.vn/HAG-ctcp-hoang-anh-gia-lai.htm" TargetMode="External"/><Relationship Id="rId478" Type="http://schemas.openxmlformats.org/officeDocument/2006/relationships/hyperlink" Target="https://finance.vietstock.vn/PNC-ctcp-van-hoa-phuong-nam.htm" TargetMode="External"/><Relationship Id="rId685" Type="http://schemas.openxmlformats.org/officeDocument/2006/relationships/hyperlink" Target="https://finance.vietstock.vn/TSA-ctcp-dau-tu-va-xay-lap-truong-son.htm" TargetMode="External"/><Relationship Id="rId35" Type="http://schemas.openxmlformats.org/officeDocument/2006/relationships/hyperlink" Target="https://finance.vietstock.vn/AVG-ctcp-phan-bon-quoc-te-au-viet.htm" TargetMode="External"/><Relationship Id="rId77" Type="http://schemas.openxmlformats.org/officeDocument/2006/relationships/hyperlink" Target="https://finance.vietstock.vn/CBI-ctcp-gang-thep-cao-bang.htm" TargetMode="External"/><Relationship Id="rId100" Type="http://schemas.openxmlformats.org/officeDocument/2006/relationships/hyperlink" Target="https://finance.vietstock.vn/CMD-ctcp-vat-lieu-xay-dung-va-trang-tri-noi-that-thanh-pho-ho-chi-minh.htm" TargetMode="External"/><Relationship Id="rId282" Type="http://schemas.openxmlformats.org/officeDocument/2006/relationships/hyperlink" Target="https://finance.vietstock.vn/HSM-tong-cong-ty-co-phan-det-may-ha-noi.htm" TargetMode="External"/><Relationship Id="rId338" Type="http://schemas.openxmlformats.org/officeDocument/2006/relationships/hyperlink" Target="https://finance.vietstock.vn/KTL-ctcp-kim-khi-thang-long.htm" TargetMode="External"/><Relationship Id="rId503" Type="http://schemas.openxmlformats.org/officeDocument/2006/relationships/hyperlink" Target="https://finance.vietstock.vn/PVB-ctcp-boc-ong-dau-khi-viet-nam.htm" TargetMode="External"/><Relationship Id="rId545" Type="http://schemas.openxmlformats.org/officeDocument/2006/relationships/hyperlink" Target="https://finance.vietstock.vn/SBA-ctcp-song-ba.htm" TargetMode="External"/><Relationship Id="rId587" Type="http://schemas.openxmlformats.org/officeDocument/2006/relationships/hyperlink" Target="https://finance.vietstock.vn/SIC-ctcp-ani.htm" TargetMode="External"/><Relationship Id="rId710" Type="http://schemas.openxmlformats.org/officeDocument/2006/relationships/hyperlink" Target="https://finance.vietstock.vn/VC3-ctcp-tap-doan-nam-me-kong.htm" TargetMode="External"/><Relationship Id="rId752" Type="http://schemas.openxmlformats.org/officeDocument/2006/relationships/hyperlink" Target="https://finance.vietstock.vn/VNC-ctcp-tap-doan-vinacontrol.htm" TargetMode="External"/><Relationship Id="rId8" Type="http://schemas.openxmlformats.org/officeDocument/2006/relationships/hyperlink" Target="https://finance.vietstock.vn/ACC-ctcp-dau-tu-va-xay-dung-binh-duong-acc.htm" TargetMode="External"/><Relationship Id="rId142" Type="http://schemas.openxmlformats.org/officeDocument/2006/relationships/hyperlink" Target="https://finance.vietstock.vn/DDB-ctcp-thuong-mai-va-xay-dung-dong-duong.htm" TargetMode="External"/><Relationship Id="rId184" Type="http://schemas.openxmlformats.org/officeDocument/2006/relationships/hyperlink" Target="https://finance.vietstock.vn/DSD-ctcp-dhc-suoi-doi.htm" TargetMode="External"/><Relationship Id="rId391" Type="http://schemas.openxmlformats.org/officeDocument/2006/relationships/hyperlink" Target="https://finance.vietstock.vn/MVB-tong-cong-ty-cong-nghiep-mo-viet-bac-tkv-ctcp.htm" TargetMode="External"/><Relationship Id="rId405" Type="http://schemas.openxmlformats.org/officeDocument/2006/relationships/hyperlink" Target="https://finance.vietstock.vn/ND2-ctcp-dau-tu-va-phat-trien-dien-mien-bac-2.htm" TargetMode="External"/><Relationship Id="rId447" Type="http://schemas.openxmlformats.org/officeDocument/2006/relationships/hyperlink" Target="https://finance.vietstock.vn/PCH-ctcp-nhua-picomat.htm" TargetMode="External"/><Relationship Id="rId612" Type="http://schemas.openxmlformats.org/officeDocument/2006/relationships/hyperlink" Target="https://finance.vietstock.vn/SSH-ctcp-phat-trien-sunshine-homes.htm" TargetMode="External"/><Relationship Id="rId251" Type="http://schemas.openxmlformats.org/officeDocument/2006/relationships/hyperlink" Target="https://finance.vietstock.vn/HDC-ctcp-phat-trien-nha-ba-ria-vung-tau.htm" TargetMode="External"/><Relationship Id="rId489" Type="http://schemas.openxmlformats.org/officeDocument/2006/relationships/hyperlink" Target="https://finance.vietstock.vn/PRC-ctcp-logistics-portserco.htm" TargetMode="External"/><Relationship Id="rId654" Type="http://schemas.openxmlformats.org/officeDocument/2006/relationships/hyperlink" Target="https://finance.vietstock.vn/THP-ctcp-thuy-san-va-thuong-mai-thuan-phuoc.htm" TargetMode="External"/><Relationship Id="rId696" Type="http://schemas.openxmlformats.org/officeDocument/2006/relationships/hyperlink" Target="https://finance.vietstock.vn/TVD-ctcp-than-vang-danh-vinacomin.htm" TargetMode="External"/><Relationship Id="rId46" Type="http://schemas.openxmlformats.org/officeDocument/2006/relationships/hyperlink" Target="https://finance.vietstock.vn/BDW-ctcp-cap-thoat-nuoc-binh-dinh.htm" TargetMode="External"/><Relationship Id="rId293" Type="http://schemas.openxmlformats.org/officeDocument/2006/relationships/hyperlink" Target="https://finance.vietstock.vn/HU4-ctcp-dau-tu-va-xay-dung-hud4.htm" TargetMode="External"/><Relationship Id="rId307" Type="http://schemas.openxmlformats.org/officeDocument/2006/relationships/hyperlink" Target="https://finance.vietstock.vn/IDJ-ctcp-dau-tu-idj-viet-nam.htm" TargetMode="External"/><Relationship Id="rId349" Type="http://schemas.openxmlformats.org/officeDocument/2006/relationships/hyperlink" Target="https://finance.vietstock.vn/LBM-ctcp-khoang-san-va-vat-lieu-xay-dung-lam-dong.htm" TargetMode="External"/><Relationship Id="rId514" Type="http://schemas.openxmlformats.org/officeDocument/2006/relationships/hyperlink" Target="https://finance.vietstock.vn/PVT-tong-cong-ty-co-phan-van-tai-dau-khi.htm" TargetMode="External"/><Relationship Id="rId556" Type="http://schemas.openxmlformats.org/officeDocument/2006/relationships/hyperlink" Target="https://finance.vietstock.vn/SCR-ctcp-dia-oc-sai-gon-thuong-tin.htm" TargetMode="External"/><Relationship Id="rId721" Type="http://schemas.openxmlformats.org/officeDocument/2006/relationships/hyperlink" Target="https://finance.vietstock.vn/VDP-ctcp-duoc-pham-trung-uong-vidipha.htm" TargetMode="External"/><Relationship Id="rId763" Type="http://schemas.openxmlformats.org/officeDocument/2006/relationships/hyperlink" Target="https://finance.vietstock.vn/VPG-ctcp-dau-tu-thuong-mai-xuat-nhap-khau-viet-phat.htm" TargetMode="External"/><Relationship Id="rId88" Type="http://schemas.openxmlformats.org/officeDocument/2006/relationships/hyperlink" Target="https://finance.vietstock.vn/CHP-ctcp-thuy-dien-mien-trung.htm" TargetMode="External"/><Relationship Id="rId111" Type="http://schemas.openxmlformats.org/officeDocument/2006/relationships/hyperlink" Target="https://finance.vietstock.vn/CPC-ctcp-thuoc-sat-trung-can-tho.htm" TargetMode="External"/><Relationship Id="rId153" Type="http://schemas.openxmlformats.org/officeDocument/2006/relationships/hyperlink" Target="https://finance.vietstock.vn/DHM-ctcp-thuong-mai-va-khai-thac-khoang-san-duong-hieu.htm" TargetMode="External"/><Relationship Id="rId195" Type="http://schemas.openxmlformats.org/officeDocument/2006/relationships/hyperlink" Target="https://finance.vietstock.vn/DVM-ctcp-duoc-lieu-viet-nam.htm" TargetMode="External"/><Relationship Id="rId209" Type="http://schemas.openxmlformats.org/officeDocument/2006/relationships/hyperlink" Target="https://finance.vietstock.vn/F88-ctcp-dau-tu-f88.htm" TargetMode="External"/><Relationship Id="rId360" Type="http://schemas.openxmlformats.org/officeDocument/2006/relationships/hyperlink" Target="https://finance.vietstock.vn/LIC-tong-cong-ty-licogi-ctcp.htm" TargetMode="External"/><Relationship Id="rId416" Type="http://schemas.openxmlformats.org/officeDocument/2006/relationships/hyperlink" Target="https://finance.vietstock.vn/NLG-ctcp-dau-tu-nam-long.htm" TargetMode="External"/><Relationship Id="rId598" Type="http://schemas.openxmlformats.org/officeDocument/2006/relationships/hyperlink" Target="https://finance.vietstock.vn/SLS-ctcp-mia-duong-son-la.htm" TargetMode="External"/><Relationship Id="rId220" Type="http://schemas.openxmlformats.org/officeDocument/2006/relationships/hyperlink" Target="https://finance.vietstock.vn/FTM-ctcp-dau-tu-va-phat-trien-duc-quan.htm" TargetMode="External"/><Relationship Id="rId458" Type="http://schemas.openxmlformats.org/officeDocument/2006/relationships/hyperlink" Target="https://finance.vietstock.vn/PGN-ctcp-phu-gia-nhua.htm" TargetMode="External"/><Relationship Id="rId623" Type="http://schemas.openxmlformats.org/officeDocument/2006/relationships/hyperlink" Target="https://finance.vietstock.vn/SZC-ctcp-sonadezi-chau-duc.htm" TargetMode="External"/><Relationship Id="rId665" Type="http://schemas.openxmlformats.org/officeDocument/2006/relationships/hyperlink" Target="https://finance.vietstock.vn/TMB-ctcp-kinh-doanh-than-mien-bac-vinacomin.htm" TargetMode="External"/><Relationship Id="rId15" Type="http://schemas.openxmlformats.org/officeDocument/2006/relationships/hyperlink" Target="https://finance.vietstock.vn/AGG-ctcp-dau-tu-va-phat-trien-bat-dong-san-an-gia.htm" TargetMode="External"/><Relationship Id="rId57" Type="http://schemas.openxmlformats.org/officeDocument/2006/relationships/hyperlink" Target="https://finance.vietstock.vn/BOT-ctcp-bot-cau-thai-ha.htm" TargetMode="External"/><Relationship Id="rId262" Type="http://schemas.openxmlformats.org/officeDocument/2006/relationships/hyperlink" Target="https://finance.vietstock.vn/HIO-ctcp-helio-energy.htm" TargetMode="External"/><Relationship Id="rId318" Type="http://schemas.openxmlformats.org/officeDocument/2006/relationships/hyperlink" Target="https://finance.vietstock.vn/ITQ-ctcp-tap-doan-thien-quang.htm" TargetMode="External"/><Relationship Id="rId525" Type="http://schemas.openxmlformats.org/officeDocument/2006/relationships/hyperlink" Target="https://finance.vietstock.vn/QNP-ctcp-cang-quy-nhon.htm" TargetMode="External"/><Relationship Id="rId567" Type="http://schemas.openxmlformats.org/officeDocument/2006/relationships/hyperlink" Target="https://finance.vietstock.vn/SDT-ctcp-song-da-10.htm" TargetMode="External"/><Relationship Id="rId732" Type="http://schemas.openxmlformats.org/officeDocument/2006/relationships/hyperlink" Target="https://finance.vietstock.vn/VGP-ctcp-cang-rau-qua.htm" TargetMode="External"/><Relationship Id="rId99" Type="http://schemas.openxmlformats.org/officeDocument/2006/relationships/hyperlink" Target="https://finance.vietstock.vn/CMC-ctcp-dau-tu-cmc.htm" TargetMode="External"/><Relationship Id="rId122" Type="http://schemas.openxmlformats.org/officeDocument/2006/relationships/hyperlink" Target="https://finance.vietstock.vn/CTI-ctcp-dau-tu-phat-trien-cuong-thuan-idico.htm" TargetMode="External"/><Relationship Id="rId164" Type="http://schemas.openxmlformats.org/officeDocument/2006/relationships/hyperlink" Target="https://finance.vietstock.vn/DMN-ctcp-domenal.htm" TargetMode="External"/><Relationship Id="rId371" Type="http://schemas.openxmlformats.org/officeDocument/2006/relationships/hyperlink" Target="https://finance.vietstock.vn/MCG-ctcp-nang-luong-va-bat-dong-san-mcg.htm" TargetMode="External"/><Relationship Id="rId774" Type="http://schemas.openxmlformats.org/officeDocument/2006/relationships/hyperlink" Target="https://finance.vietstock.vn/VST-ctcp-van-tai-va-thue-tau-bien-viet-nam.htm" TargetMode="External"/><Relationship Id="rId427" Type="http://schemas.openxmlformats.org/officeDocument/2006/relationships/hyperlink" Target="https://finance.vietstock.vn/NT2-ctcp-dien-luc-dau-khi-nhon-trach-2.htm" TargetMode="External"/><Relationship Id="rId469" Type="http://schemas.openxmlformats.org/officeDocument/2006/relationships/hyperlink" Target="https://finance.vietstock.vn/PJT-ctcp-van-tai-xang-dau-duong-thuy-petrolimex.htm" TargetMode="External"/><Relationship Id="rId634" Type="http://schemas.openxmlformats.org/officeDocument/2006/relationships/hyperlink" Target="https://finance.vietstock.vn/TCR-ctcp-cong-nghiep-gom-su-taicera.htm" TargetMode="External"/><Relationship Id="rId676" Type="http://schemas.openxmlformats.org/officeDocument/2006/relationships/hyperlink" Target="https://finance.vietstock.vn/TNT-ctcp-tap-doan-tnt.htm" TargetMode="External"/><Relationship Id="rId26" Type="http://schemas.openxmlformats.org/officeDocument/2006/relationships/hyperlink" Target="https://finance.vietstock.vn/APC-ctcp-chieu-xa-an-phu.htm" TargetMode="External"/><Relationship Id="rId231" Type="http://schemas.openxmlformats.org/officeDocument/2006/relationships/hyperlink" Target="https://finance.vietstock.vn/GIL-ctcp-san-xuat-kinh-doanh-va-xuat-nhap-khau-binh-thanh.htm" TargetMode="External"/><Relationship Id="rId273" Type="http://schemas.openxmlformats.org/officeDocument/2006/relationships/hyperlink" Target="https://finance.vietstock.vn/HOM-ctcp-xi-mang-vicem-hoang-mai.htm" TargetMode="External"/><Relationship Id="rId329" Type="http://schemas.openxmlformats.org/officeDocument/2006/relationships/hyperlink" Target="https://finance.vietstock.vn/KKC-ctcp-tap-doan-thanh-thai.htm" TargetMode="External"/><Relationship Id="rId480" Type="http://schemas.openxmlformats.org/officeDocument/2006/relationships/hyperlink" Target="https://finance.vietstock.vn/PNP-ctcp-tan-cang-phu-huu.htm" TargetMode="External"/><Relationship Id="rId536" Type="http://schemas.openxmlformats.org/officeDocument/2006/relationships/hyperlink" Target="https://finance.vietstock.vn/RTB-ctcp-cao-su-tan-bien.htm" TargetMode="External"/><Relationship Id="rId701" Type="http://schemas.openxmlformats.org/officeDocument/2006/relationships/hyperlink" Target="https://finance.vietstock.vn/UIC-ctcp-dau-tu-phat-trien-nha-va-do-thi-idico.htm" TargetMode="External"/><Relationship Id="rId68" Type="http://schemas.openxmlformats.org/officeDocument/2006/relationships/hyperlink" Target="https://finance.vietstock.vn/BVL-ctcp-bv-land.htm" TargetMode="External"/><Relationship Id="rId133" Type="http://schemas.openxmlformats.org/officeDocument/2006/relationships/hyperlink" Target="https://finance.vietstock.vn/DBC-ctcp-tap-doan-dabaco-viet-nam.htm" TargetMode="External"/><Relationship Id="rId175" Type="http://schemas.openxmlformats.org/officeDocument/2006/relationships/hyperlink" Target="https://finance.vietstock.vn/DPC-ctcp-nhua-da-nang.htm" TargetMode="External"/><Relationship Id="rId340" Type="http://schemas.openxmlformats.org/officeDocument/2006/relationships/hyperlink" Target="https://finance.vietstock.vn/L10-ctcp-lilama-10.htm" TargetMode="External"/><Relationship Id="rId578" Type="http://schemas.openxmlformats.org/officeDocument/2006/relationships/hyperlink" Target="https://finance.vietstock.vn/SGP-ctcp-cang-sai-gon.htm" TargetMode="External"/><Relationship Id="rId743" Type="http://schemas.openxmlformats.org/officeDocument/2006/relationships/hyperlink" Target="https://finance.vietstock.vn/VID-ctcp-dau-tu-phat-trien-thuong-mai-vien-dong.htm" TargetMode="External"/><Relationship Id="rId785" Type="http://schemas.openxmlformats.org/officeDocument/2006/relationships/hyperlink" Target="https://finance.vietstock.vn/VTX-ctcp-van-tai-da-phuong-thuc-vietranstimex.htm" TargetMode="External"/><Relationship Id="rId200" Type="http://schemas.openxmlformats.org/officeDocument/2006/relationships/hyperlink" Target="https://finance.vietstock.vn/DXP-ctcp-cang-doan-xa.htm" TargetMode="External"/><Relationship Id="rId382" Type="http://schemas.openxmlformats.org/officeDocument/2006/relationships/hyperlink" Target="https://finance.vietstock.vn/MML-ctcp-masan-meatlife.htm" TargetMode="External"/><Relationship Id="rId438" Type="http://schemas.openxmlformats.org/officeDocument/2006/relationships/hyperlink" Target="https://finance.vietstock.vn/PAC-ctcp-pin-ac-quy-mien-nam.htm" TargetMode="External"/><Relationship Id="rId603" Type="http://schemas.openxmlformats.org/officeDocument/2006/relationships/hyperlink" Target="https://finance.vietstock.vn/SNZ-tong-cong-ty-co-phan-phat-trien-khu-cong-nghiep.htm" TargetMode="External"/><Relationship Id="rId645" Type="http://schemas.openxmlformats.org/officeDocument/2006/relationships/hyperlink" Target="https://finance.vietstock.vn/TDW-ctcp-cap-nuoc-thu-duc.htm" TargetMode="External"/><Relationship Id="rId687" Type="http://schemas.openxmlformats.org/officeDocument/2006/relationships/hyperlink" Target="https://finance.vietstock.vn/TSC-ctcp-vat-tu-ky-thuat-nong-nghiep-can-tho.htm" TargetMode="External"/><Relationship Id="rId242" Type="http://schemas.openxmlformats.org/officeDocument/2006/relationships/hyperlink" Target="https://finance.vietstock.vn/HAN-tong-cong-ty-xay-dung-ha-noi-ctcp.htm" TargetMode="External"/><Relationship Id="rId284" Type="http://schemas.openxmlformats.org/officeDocument/2006/relationships/hyperlink" Target="https://finance.vietstock.vn/HT1-ctcp-xi-mang-vicem-ha-tien.htm" TargetMode="External"/><Relationship Id="rId491" Type="http://schemas.openxmlformats.org/officeDocument/2006/relationships/hyperlink" Target="https://finance.vietstock.vn/PSD-ctcp-dich-vu-phan-phoi-tong-hop-dau-khi.htm" TargetMode="External"/><Relationship Id="rId505" Type="http://schemas.openxmlformats.org/officeDocument/2006/relationships/hyperlink" Target="https://finance.vietstock.vn/PVD-tong-cong-ty-co-phan-khoan-va-dich-vu-khoan-dau-khi.htm" TargetMode="External"/><Relationship Id="rId712" Type="http://schemas.openxmlformats.org/officeDocument/2006/relationships/hyperlink" Target="https://finance.vietstock.vn/VC7-ctcp-tap-doan-bgi.htm" TargetMode="External"/><Relationship Id="rId37" Type="http://schemas.openxmlformats.org/officeDocument/2006/relationships/hyperlink" Target="https://finance.vietstock.vn/BBS-ctcp-vicem-bao-bi-but-son.htm" TargetMode="External"/><Relationship Id="rId79" Type="http://schemas.openxmlformats.org/officeDocument/2006/relationships/hyperlink" Target="https://finance.vietstock.vn/CCA-ctcp-xuat-nhap-khau-thuy-san-can-tho.htm" TargetMode="External"/><Relationship Id="rId102" Type="http://schemas.openxmlformats.org/officeDocument/2006/relationships/hyperlink" Target="https://finance.vietstock.vn/CMM-ctcp-camimex.htm" TargetMode="External"/><Relationship Id="rId144" Type="http://schemas.openxmlformats.org/officeDocument/2006/relationships/hyperlink" Target="https://finance.vietstock.vn/DDN-ctcp-duoc-va-thiet-bi-y-te-da-nang.htm" TargetMode="External"/><Relationship Id="rId547" Type="http://schemas.openxmlformats.org/officeDocument/2006/relationships/hyperlink" Target="https://finance.vietstock.vn/SBG-ctcp-tap-doan-co-khi-cong-nghe-cao-siba.htm" TargetMode="External"/><Relationship Id="rId589" Type="http://schemas.openxmlformats.org/officeDocument/2006/relationships/hyperlink" Target="https://finance.vietstock.vn/SIP-ctcp-dau-tu-sai-gon-vrg.htm" TargetMode="External"/><Relationship Id="rId754" Type="http://schemas.openxmlformats.org/officeDocument/2006/relationships/hyperlink" Target="https://finance.vietstock.vn/VNF-ctcp-vinafreight.htm" TargetMode="External"/><Relationship Id="rId90" Type="http://schemas.openxmlformats.org/officeDocument/2006/relationships/hyperlink" Target="https://finance.vietstock.vn/CII-ctcp-dau-tu-ha-tang-ky-thuat-thanh-pho-ho-chi-minh.htm" TargetMode="External"/><Relationship Id="rId186" Type="http://schemas.openxmlformats.org/officeDocument/2006/relationships/hyperlink" Target="https://finance.vietstock.vn/DTA-ctcp-de-tam.htm" TargetMode="External"/><Relationship Id="rId351" Type="http://schemas.openxmlformats.org/officeDocument/2006/relationships/hyperlink" Target="https://finance.vietstock.vn/LCG-ctcp-lizen.htm" TargetMode="External"/><Relationship Id="rId393" Type="http://schemas.openxmlformats.org/officeDocument/2006/relationships/hyperlink" Target="https://finance.vietstock.vn/MVN-tong-cong-ty-hang-hai-viet-nam-ctcp.htm" TargetMode="External"/><Relationship Id="rId407" Type="http://schemas.openxmlformats.org/officeDocument/2006/relationships/hyperlink" Target="https://finance.vietstock.vn/NDW-ctcp-cap-nuoc-nam-dinh.htm" TargetMode="External"/><Relationship Id="rId449" Type="http://schemas.openxmlformats.org/officeDocument/2006/relationships/hyperlink" Target="https://finance.vietstock.vn/PDN-ctcp-cang-dong-nai.htm" TargetMode="External"/><Relationship Id="rId614" Type="http://schemas.openxmlformats.org/officeDocument/2006/relationships/hyperlink" Target="https://finance.vietstock.vn/STG-ctcp-kho-van-mien-nam.htm" TargetMode="External"/><Relationship Id="rId656" Type="http://schemas.openxmlformats.org/officeDocument/2006/relationships/hyperlink" Target="https://finance.vietstock.vn/THT-ctcp-than-ha-tu-vinacomin.htm" TargetMode="External"/><Relationship Id="rId211" Type="http://schemas.openxmlformats.org/officeDocument/2006/relationships/hyperlink" Target="https://finance.vietstock.vn/FCS-ctcp-luong-thuc-thanh-pho-ho-chi-minh.htm" TargetMode="External"/><Relationship Id="rId253" Type="http://schemas.openxmlformats.org/officeDocument/2006/relationships/hyperlink" Target="https://finance.vietstock.vn/HDM-ctcp-det-may-hue.htm" TargetMode="External"/><Relationship Id="rId295" Type="http://schemas.openxmlformats.org/officeDocument/2006/relationships/hyperlink" Target="https://finance.vietstock.vn/HUT-ctcp-tasco.htm" TargetMode="External"/><Relationship Id="rId309" Type="http://schemas.openxmlformats.org/officeDocument/2006/relationships/hyperlink" Target="https://finance.vietstock.vn/IDV-ctcp-phat-trien-ha-tang-vinh-phuc.htm" TargetMode="External"/><Relationship Id="rId460" Type="http://schemas.openxmlformats.org/officeDocument/2006/relationships/hyperlink" Target="https://finance.vietstock.vn/PGV-tong-cong-ty-phat-dien-3-ctcp.htm" TargetMode="External"/><Relationship Id="rId516" Type="http://schemas.openxmlformats.org/officeDocument/2006/relationships/hyperlink" Target="https://finance.vietstock.vn/PVX-tong-cong-ty-co-phan-xay-lap-dau-khi-viet-nam.htm" TargetMode="External"/><Relationship Id="rId698" Type="http://schemas.openxmlformats.org/officeDocument/2006/relationships/hyperlink" Target="https://finance.vietstock.vn/TVT-tong-cong-ty-viet-thang-ctcp.htm" TargetMode="External"/><Relationship Id="rId48" Type="http://schemas.openxmlformats.org/officeDocument/2006/relationships/hyperlink" Target="https://finance.vietstock.vn/BHN-tong-cong-ty-co-phan-bia-ruou-nuoc-giai-khat-ha-noi.htm" TargetMode="External"/><Relationship Id="rId113" Type="http://schemas.openxmlformats.org/officeDocument/2006/relationships/hyperlink" Target="https://finance.vietstock.vn/CRC-ctcp-create-capital-viet-nam.htm" TargetMode="External"/><Relationship Id="rId320" Type="http://schemas.openxmlformats.org/officeDocument/2006/relationships/hyperlink" Target="https://finance.vietstock.vn/JVC-ctcp-dau-tu-y-te-duoc-pham-viet-nam.htm" TargetMode="External"/><Relationship Id="rId558" Type="http://schemas.openxmlformats.org/officeDocument/2006/relationships/hyperlink" Target="https://finance.vietstock.vn/SD3-ctcp-song-da-3.htm" TargetMode="External"/><Relationship Id="rId723" Type="http://schemas.openxmlformats.org/officeDocument/2006/relationships/hyperlink" Target="https://finance.vietstock.vn/VE4-ctcp-xay-dung-dien-vneco4.htm" TargetMode="External"/><Relationship Id="rId765" Type="http://schemas.openxmlformats.org/officeDocument/2006/relationships/hyperlink" Target="https://finance.vietstock.vn/VPI-ctcp-phat-trien-bat-dong-san-van-phu.htm" TargetMode="External"/><Relationship Id="rId155" Type="http://schemas.openxmlformats.org/officeDocument/2006/relationships/hyperlink" Target="https://finance.vietstock.vn/DHT-ctcp-duoc-pham-ha-tay.htm" TargetMode="External"/><Relationship Id="rId197" Type="http://schemas.openxmlformats.org/officeDocument/2006/relationships/hyperlink" Target="https://finance.vietstock.vn/DWC-ctcp-cap-nuoc-dak-lak.htm" TargetMode="External"/><Relationship Id="rId362" Type="http://schemas.openxmlformats.org/officeDocument/2006/relationships/hyperlink" Target="https://finance.vietstock.vn/LIX-ctcp-bot-giat-lix.htm" TargetMode="External"/><Relationship Id="rId418" Type="http://schemas.openxmlformats.org/officeDocument/2006/relationships/hyperlink" Target="https://finance.vietstock.vn/NO1-ctcp-tap-doan-911.htm" TargetMode="External"/><Relationship Id="rId625" Type="http://schemas.openxmlformats.org/officeDocument/2006/relationships/hyperlink" Target="https://finance.vietstock.vn/SZL-ctcp-sonadezi-long-thanh.htm" TargetMode="External"/><Relationship Id="rId222" Type="http://schemas.openxmlformats.org/officeDocument/2006/relationships/hyperlink" Target="https://finance.vietstock.vn/GAS-tong-cong-ty-khi-viet-nam-ctcp.htm" TargetMode="External"/><Relationship Id="rId264" Type="http://schemas.openxmlformats.org/officeDocument/2006/relationships/hyperlink" Target="https://finance.vietstock.vn/HKB-ctcp-nong-nghiep-va-thuc-pham-ha-noi-kinh-bac.htm" TargetMode="External"/><Relationship Id="rId471" Type="http://schemas.openxmlformats.org/officeDocument/2006/relationships/hyperlink" Target="https://finance.vietstock.vn/PLP-ctcp-san-xuat-va-cong-nghe-nhua-pha-le.htm" TargetMode="External"/><Relationship Id="rId667" Type="http://schemas.openxmlformats.org/officeDocument/2006/relationships/hyperlink" Target="https://finance.vietstock.vn/TMP-ctcp-thuy-dien-thac-mo.htm" TargetMode="External"/><Relationship Id="rId17" Type="http://schemas.openxmlformats.org/officeDocument/2006/relationships/hyperlink" Target="https://finance.vietstock.vn/AIG-ctcp-nguyen-lieu-a-chau-aig.htm" TargetMode="External"/><Relationship Id="rId59" Type="http://schemas.openxmlformats.org/officeDocument/2006/relationships/hyperlink" Target="https://finance.vietstock.vn/BRC-ctcp-cao-su-ben-thanh.htm" TargetMode="External"/><Relationship Id="rId124" Type="http://schemas.openxmlformats.org/officeDocument/2006/relationships/hyperlink" Target="https://finance.vietstock.vn/CTT-ctcp-che-tao-may-vinacomin.htm" TargetMode="External"/><Relationship Id="rId527" Type="http://schemas.openxmlformats.org/officeDocument/2006/relationships/hyperlink" Target="https://finance.vietstock.vn/QNW-ctcp-cap-thoat-nuoc-va-xay-dung-quang-ngai.htm" TargetMode="External"/><Relationship Id="rId569" Type="http://schemas.openxmlformats.org/officeDocument/2006/relationships/hyperlink" Target="https://finance.vietstock.vn/SEA-tong-cong-ty-thuy-san-viet-nam-ctcp.htm" TargetMode="External"/><Relationship Id="rId734" Type="http://schemas.openxmlformats.org/officeDocument/2006/relationships/hyperlink" Target="https://finance.vietstock.vn/VGT-tap-doan-det-may-viet-nam.htm" TargetMode="External"/><Relationship Id="rId776" Type="http://schemas.openxmlformats.org/officeDocument/2006/relationships/hyperlink" Target="https://finance.vietstock.vn/VTD-ctcp-vietourist-holdings.htm" TargetMode="External"/><Relationship Id="rId70" Type="http://schemas.openxmlformats.org/officeDocument/2006/relationships/hyperlink" Target="https://finance.vietstock.vn/BWS-ctcp-cap-nuoc-ba-ria-vung-tau.htm" TargetMode="External"/><Relationship Id="rId166" Type="http://schemas.openxmlformats.org/officeDocument/2006/relationships/hyperlink" Target="https://finance.vietstock.vn/DNC-ctcp-dien-nuoc-lap-may-hai-phong.htm" TargetMode="External"/><Relationship Id="rId331" Type="http://schemas.openxmlformats.org/officeDocument/2006/relationships/hyperlink" Target="https://finance.vietstock.vn/KMT-ctcp-kim-khi-mien-trung.htm" TargetMode="External"/><Relationship Id="rId373" Type="http://schemas.openxmlformats.org/officeDocument/2006/relationships/hyperlink" Target="https://finance.vietstock.vn/MCM-ctcp-giong-bo-sua-moc-chau.htm" TargetMode="External"/><Relationship Id="rId429" Type="http://schemas.openxmlformats.org/officeDocument/2006/relationships/hyperlink" Target="https://finance.vietstock.vn/NTL-ctcp-phat-trien-do-thi-tu-liem.htm" TargetMode="External"/><Relationship Id="rId580" Type="http://schemas.openxmlformats.org/officeDocument/2006/relationships/hyperlink" Target="https://finance.vietstock.vn/SGS-ctcp-van-tai-bien-sai-gon.htm" TargetMode="External"/><Relationship Id="rId636" Type="http://schemas.openxmlformats.org/officeDocument/2006/relationships/hyperlink" Target="https://finance.vietstock.vn/TD6-ctcp-than-deo-nai-coc-sau-tkv.htm" TargetMode="External"/><Relationship Id="rId1" Type="http://schemas.openxmlformats.org/officeDocument/2006/relationships/hyperlink" Target="https://finance.vietstock.vn/AAA-ctcp-nhua-an-phat-xanh.htm" TargetMode="External"/><Relationship Id="rId233" Type="http://schemas.openxmlformats.org/officeDocument/2006/relationships/hyperlink" Target="https://finance.vietstock.vn/GMA-ctcp-g-automobile.htm" TargetMode="External"/><Relationship Id="rId440" Type="http://schemas.openxmlformats.org/officeDocument/2006/relationships/hyperlink" Target="https://finance.vietstock.vn/PAP-ctcp-dau-khi-dau-tu-khai-thac-cang-phuoc-an.htm" TargetMode="External"/><Relationship Id="rId678" Type="http://schemas.openxmlformats.org/officeDocument/2006/relationships/hyperlink" Target="https://finance.vietstock.vn/TNW-ctcp-nuoc-sach-thai-nguyen.htm" TargetMode="External"/><Relationship Id="rId28" Type="http://schemas.openxmlformats.org/officeDocument/2006/relationships/hyperlink" Target="https://finance.vietstock.vn/APH-ctcp-tap-doan-an-phat-holdings.htm" TargetMode="External"/><Relationship Id="rId275" Type="http://schemas.openxmlformats.org/officeDocument/2006/relationships/hyperlink" Target="https://finance.vietstock.vn/HPG-ctcp-tap-doan-hoa-phat.htm" TargetMode="External"/><Relationship Id="rId300" Type="http://schemas.openxmlformats.org/officeDocument/2006/relationships/hyperlink" Target="https://finance.vietstock.vn/HWS-ctcp-cap-nuoc-hue.htm" TargetMode="External"/><Relationship Id="rId482" Type="http://schemas.openxmlformats.org/officeDocument/2006/relationships/hyperlink" Target="https://finance.vietstock.vn/POV-ctcp-xang-dau-dau-khi-vung-ang.htm" TargetMode="External"/><Relationship Id="rId538" Type="http://schemas.openxmlformats.org/officeDocument/2006/relationships/hyperlink" Target="https://finance.vietstock.vn/S4A-ctcp-thuy-dien-se-san-4a.htm" TargetMode="External"/><Relationship Id="rId703" Type="http://schemas.openxmlformats.org/officeDocument/2006/relationships/hyperlink" Target="https://finance.vietstock.vn/V12-ctcp-xay-dung-so-12.htm" TargetMode="External"/><Relationship Id="rId745" Type="http://schemas.openxmlformats.org/officeDocument/2006/relationships/hyperlink" Target="https://finance.vietstock.vn/VIW-tong-cong-ty-dau-tu-nuoc-va-moi-truong-viet-nam.htm" TargetMode="External"/><Relationship Id="rId81" Type="http://schemas.openxmlformats.org/officeDocument/2006/relationships/hyperlink" Target="https://finance.vietstock.vn/CCR-ctcp-cang-cam-ranh.htm" TargetMode="External"/><Relationship Id="rId135" Type="http://schemas.openxmlformats.org/officeDocument/2006/relationships/hyperlink" Target="https://finance.vietstock.vn/DBT-ctcp-duoc-pham-ben-tre.htm" TargetMode="External"/><Relationship Id="rId177" Type="http://schemas.openxmlformats.org/officeDocument/2006/relationships/hyperlink" Target="https://finance.vietstock.vn/DPM-tong-cong-ty-phan-bon-va-hoa-chat-dau-khi-ctcp.htm" TargetMode="External"/><Relationship Id="rId342" Type="http://schemas.openxmlformats.org/officeDocument/2006/relationships/hyperlink" Target="https://finance.vietstock.vn/L18-ctcp-dau-tu-va-xay-dung-so-18.htm" TargetMode="External"/><Relationship Id="rId384" Type="http://schemas.openxmlformats.org/officeDocument/2006/relationships/hyperlink" Target="https://finance.vietstock.vn/MPC-ctcp-tap-doan-thuy-san-minh-phu.htm" TargetMode="External"/><Relationship Id="rId591" Type="http://schemas.openxmlformats.org/officeDocument/2006/relationships/hyperlink" Target="https://finance.vietstock.vn/SJD-ctcp-thuy-dien-can-don.htm" TargetMode="External"/><Relationship Id="rId605" Type="http://schemas.openxmlformats.org/officeDocument/2006/relationships/hyperlink" Target="https://finance.vietstock.vn/SPB-ctcp-soi-phu-bai.htm" TargetMode="External"/><Relationship Id="rId787" Type="http://schemas.openxmlformats.org/officeDocument/2006/relationships/hyperlink" Target="https://finance.vietstock.vn/VVS-ctcp-dau-tu-phat-trien-may-viet-nam.htm" TargetMode="External"/><Relationship Id="rId202" Type="http://schemas.openxmlformats.org/officeDocument/2006/relationships/hyperlink" Target="https://finance.vietstock.vn/E12-ctcp-xay-dung-dien-vneco12.htm" TargetMode="External"/><Relationship Id="rId244" Type="http://schemas.openxmlformats.org/officeDocument/2006/relationships/hyperlink" Target="https://finance.vietstock.vn/HAS-ctcp-hacisco.htm" TargetMode="External"/><Relationship Id="rId647" Type="http://schemas.openxmlformats.org/officeDocument/2006/relationships/hyperlink" Target="https://finance.vietstock.vn/TEG-ctcp-truong-thanh-energy-group.htm" TargetMode="External"/><Relationship Id="rId689" Type="http://schemas.openxmlformats.org/officeDocument/2006/relationships/hyperlink" Target="https://finance.vietstock.vn/TTB-ctcp-ttbgroup.htm" TargetMode="External"/><Relationship Id="rId39" Type="http://schemas.openxmlformats.org/officeDocument/2006/relationships/hyperlink" Target="https://finance.vietstock.vn/BCA-ctcp-b-c-h.htm" TargetMode="External"/><Relationship Id="rId286" Type="http://schemas.openxmlformats.org/officeDocument/2006/relationships/hyperlink" Target="https://finance.vietstock.vn/HTG-tong-cong-ty-co-phan-det-may-hoa-tho.htm" TargetMode="External"/><Relationship Id="rId451" Type="http://schemas.openxmlformats.org/officeDocument/2006/relationships/hyperlink" Target="https://finance.vietstock.vn/PDV-ctcp-van-tai-va-tiep-van-phuong-dong-viet.htm" TargetMode="External"/><Relationship Id="rId493" Type="http://schemas.openxmlformats.org/officeDocument/2006/relationships/hyperlink" Target="https://finance.vietstock.vn/PSP-ctcp-cang-dich-vu-dau-khi-dinh-vu.htm" TargetMode="External"/><Relationship Id="rId507" Type="http://schemas.openxmlformats.org/officeDocument/2006/relationships/hyperlink" Target="https://finance.vietstock.vn/PVG-ctcp-kinh-doanh-lpg-viet-nam.htm" TargetMode="External"/><Relationship Id="rId549" Type="http://schemas.openxmlformats.org/officeDocument/2006/relationships/hyperlink" Target="https://finance.vietstock.vn/SBM-ctcp-dau-tu-phat-trien-bac-minh.htm" TargetMode="External"/><Relationship Id="rId714" Type="http://schemas.openxmlformats.org/officeDocument/2006/relationships/hyperlink" Target="https://finance.vietstock.vn/VCC-ctcp-vinaconex-25.htm" TargetMode="External"/><Relationship Id="rId756" Type="http://schemas.openxmlformats.org/officeDocument/2006/relationships/hyperlink" Target="https://finance.vietstock.vn/VNM-ctcp-sua-viet-nam.htm" TargetMode="External"/><Relationship Id="rId50" Type="http://schemas.openxmlformats.org/officeDocument/2006/relationships/hyperlink" Target="https://finance.vietstock.vn/BIG-ctcp-dau-tu-big-group-holdings.htm" TargetMode="External"/><Relationship Id="rId104" Type="http://schemas.openxmlformats.org/officeDocument/2006/relationships/hyperlink" Target="https://finance.vietstock.vn/CMS-ctcp-tap-doan-cmh-viet-nam.htm" TargetMode="External"/><Relationship Id="rId146" Type="http://schemas.openxmlformats.org/officeDocument/2006/relationships/hyperlink" Target="https://finance.vietstock.vn/DFF-ctcp-tap-doan-dua-fat.htm" TargetMode="External"/><Relationship Id="rId188" Type="http://schemas.openxmlformats.org/officeDocument/2006/relationships/hyperlink" Target="https://finance.vietstock.vn/DTD-ctcp-dau-tu-phat-trien-thanh-dat.htm" TargetMode="External"/><Relationship Id="rId311" Type="http://schemas.openxmlformats.org/officeDocument/2006/relationships/hyperlink" Target="https://finance.vietstock.vn/ILA-ctcp-ila.htm" TargetMode="External"/><Relationship Id="rId353" Type="http://schemas.openxmlformats.org/officeDocument/2006/relationships/hyperlink" Target="https://finance.vietstock.vn/LDP-ctcp-duoc-lam-dong-ladophar.htm" TargetMode="External"/><Relationship Id="rId395" Type="http://schemas.openxmlformats.org/officeDocument/2006/relationships/hyperlink" Target="https://finance.vietstock.vn/MZG-ctcp-miza.htm" TargetMode="External"/><Relationship Id="rId409" Type="http://schemas.openxmlformats.org/officeDocument/2006/relationships/hyperlink" Target="https://finance.vietstock.vn/NED-ctcp-dau-tu-va-phat-trien-dien-tay-bac.htm" TargetMode="External"/><Relationship Id="rId560" Type="http://schemas.openxmlformats.org/officeDocument/2006/relationships/hyperlink" Target="https://finance.vietstock.vn/SD5-ctcp-song-da-5.htm" TargetMode="External"/><Relationship Id="rId92" Type="http://schemas.openxmlformats.org/officeDocument/2006/relationships/hyperlink" Target="https://finance.vietstock.vn/CKD-ctcp-co-khi-dong-anh-licogi.htm" TargetMode="External"/><Relationship Id="rId213" Type="http://schemas.openxmlformats.org/officeDocument/2006/relationships/hyperlink" Target="https://finance.vietstock.vn/FIC-tong-cong-ty-vat-lieu-xay-dung-so-1-ctcp.htm" TargetMode="External"/><Relationship Id="rId420" Type="http://schemas.openxmlformats.org/officeDocument/2006/relationships/hyperlink" Target="https://finance.vietstock.vn/NQN-ctcp-nuoc-sach-quang-ninh.htm" TargetMode="External"/><Relationship Id="rId616" Type="http://schemas.openxmlformats.org/officeDocument/2006/relationships/hyperlink" Target="https://finance.vietstock.vn/STK-ctcp-soi-the-ky.htm" TargetMode="External"/><Relationship Id="rId658" Type="http://schemas.openxmlformats.org/officeDocument/2006/relationships/hyperlink" Target="https://finance.vietstock.vn/TIG-ctcp-tap-doan-dau-tu-thang-long.htm" TargetMode="External"/><Relationship Id="rId255" Type="http://schemas.openxmlformats.org/officeDocument/2006/relationships/hyperlink" Target="https://finance.vietstock.vn/HGT-ctcp-du-lich-huong-giang.htm" TargetMode="External"/><Relationship Id="rId297" Type="http://schemas.openxmlformats.org/officeDocument/2006/relationships/hyperlink" Target="https://finance.vietstock.vn/HVN-tong-cong-ty-hang-khong-viet-nam-ctcp.htm" TargetMode="External"/><Relationship Id="rId462" Type="http://schemas.openxmlformats.org/officeDocument/2006/relationships/hyperlink" Target="https://finance.vietstock.vn/PHN-ctcp-pin-ha-noi.htm" TargetMode="External"/><Relationship Id="rId518" Type="http://schemas.openxmlformats.org/officeDocument/2006/relationships/hyperlink" Target="https://finance.vietstock.vn/PWS-ctcp-cap-thoat-nuoc-phu-yen.htm" TargetMode="External"/><Relationship Id="rId725" Type="http://schemas.openxmlformats.org/officeDocument/2006/relationships/hyperlink" Target="https://finance.vietstock.vn/VEC-tong-cong-ty-co-phan-dien-tu-va-tin-hoc-viet-nam.htm" TargetMode="External"/><Relationship Id="rId115" Type="http://schemas.openxmlformats.org/officeDocument/2006/relationships/hyperlink" Target="https://finance.vietstock.vn/CSC-ctcp-tap-doan-cotana.htm" TargetMode="External"/><Relationship Id="rId157" Type="http://schemas.openxmlformats.org/officeDocument/2006/relationships/hyperlink" Target="https://finance.vietstock.vn/DID-ctcp-dic-dong-tien.htm" TargetMode="External"/><Relationship Id="rId322" Type="http://schemas.openxmlformats.org/officeDocument/2006/relationships/hyperlink" Target="https://finance.vietstock.vn/KDC-ctcp-tap-doan-kido.htm" TargetMode="External"/><Relationship Id="rId364" Type="http://schemas.openxmlformats.org/officeDocument/2006/relationships/hyperlink" Target="https://finance.vietstock.vn/LM8-ctcp-lilama-18.htm" TargetMode="External"/><Relationship Id="rId767" Type="http://schemas.openxmlformats.org/officeDocument/2006/relationships/hyperlink" Target="https://finance.vietstock.vn/VPS-ctcp-thuoc-sat-trung-viet-nam.htm" TargetMode="External"/><Relationship Id="rId61" Type="http://schemas.openxmlformats.org/officeDocument/2006/relationships/hyperlink" Target="https://finance.vietstock.vn/BSP-ctcp-bia-sai-gon-phu-tho.htm" TargetMode="External"/><Relationship Id="rId199" Type="http://schemas.openxmlformats.org/officeDocument/2006/relationships/hyperlink" Target="https://finance.vietstock.vn/DXG-ctcp-tap-doan-dat-xanh.htm" TargetMode="External"/><Relationship Id="rId571" Type="http://schemas.openxmlformats.org/officeDocument/2006/relationships/hyperlink" Target="https://finance.vietstock.vn/SFC-ctcp-nhien-lieu-sai-gon.htm" TargetMode="External"/><Relationship Id="rId627" Type="http://schemas.openxmlformats.org/officeDocument/2006/relationships/hyperlink" Target="https://finance.vietstock.vn/TAL-ctcp-dau-tu-bat-dong-san-taseco.htm" TargetMode="External"/><Relationship Id="rId669" Type="http://schemas.openxmlformats.org/officeDocument/2006/relationships/hyperlink" Target="https://finance.vietstock.vn/TMT-ctcp-o-to-tmt.htm" TargetMode="External"/><Relationship Id="rId19" Type="http://schemas.openxmlformats.org/officeDocument/2006/relationships/hyperlink" Target="https://finance.vietstock.vn/AMC-ctcp-khoang-san-a-chau.htm" TargetMode="External"/><Relationship Id="rId224" Type="http://schemas.openxmlformats.org/officeDocument/2006/relationships/hyperlink" Target="https://finance.vietstock.vn/GDA-ctcp-ton-dong-a.htm" TargetMode="External"/><Relationship Id="rId266" Type="http://schemas.openxmlformats.org/officeDocument/2006/relationships/hyperlink" Target="https://finance.vietstock.vn/HLD-ctcp-dau-tu-va-phat-trien-bat-dong-san-hudland.htm" TargetMode="External"/><Relationship Id="rId431" Type="http://schemas.openxmlformats.org/officeDocument/2006/relationships/hyperlink" Target="https://finance.vietstock.vn/NTT-ctcp-det-may-nha-trang.htm" TargetMode="External"/><Relationship Id="rId473" Type="http://schemas.openxmlformats.org/officeDocument/2006/relationships/hyperlink" Target="https://finance.vietstock.vn/PMC-ctcp-duoc-pham-duoc-lieu-pharmedic.htm" TargetMode="External"/><Relationship Id="rId529" Type="http://schemas.openxmlformats.org/officeDocument/2006/relationships/hyperlink" Target="https://finance.vietstock.vn/QTC-ctcp-cong-trinh-giao-thong-van-tai-quang-nam.htm" TargetMode="External"/><Relationship Id="rId680" Type="http://schemas.openxmlformats.org/officeDocument/2006/relationships/hyperlink" Target="https://finance.vietstock.vn/TOT-ctcp-transimex-logistics.htm" TargetMode="External"/><Relationship Id="rId736" Type="http://schemas.openxmlformats.org/officeDocument/2006/relationships/hyperlink" Target="https://finance.vietstock.vn/VHC-ctcp-vinh-hoan.htm" TargetMode="External"/><Relationship Id="rId30" Type="http://schemas.openxmlformats.org/officeDocument/2006/relationships/hyperlink" Target="https://finance.vietstock.vn/ARM-ctcp-xuat-nhap-khau-hang-khong.htm" TargetMode="External"/><Relationship Id="rId126" Type="http://schemas.openxmlformats.org/officeDocument/2006/relationships/hyperlink" Target="https://finance.vietstock.vn/CTX-tong-cong-ty-co-phan-dau-tu-xay-dung-va-thuong-mai-viet-nam.htm" TargetMode="External"/><Relationship Id="rId168" Type="http://schemas.openxmlformats.org/officeDocument/2006/relationships/hyperlink" Target="https://finance.vietstock.vn/DNH-ctcp-thuy-dien-da-nhim-ham-thuan-da-mi.htm" TargetMode="External"/><Relationship Id="rId333" Type="http://schemas.openxmlformats.org/officeDocument/2006/relationships/hyperlink" Target="https://finance.vietstock.vn/KSB-ctcp-khoang-san-va-xay-dung-binh-duong.htm" TargetMode="External"/><Relationship Id="rId540" Type="http://schemas.openxmlformats.org/officeDocument/2006/relationships/hyperlink" Target="https://finance.vietstock.vn/S72-ctcp-song-da-7-02.htm" TargetMode="External"/><Relationship Id="rId778" Type="http://schemas.openxmlformats.org/officeDocument/2006/relationships/hyperlink" Target="https://finance.vietstock.vn/VTG-ctcp-du-lich-tinh-ba-ria-vung-tau.htm" TargetMode="External"/><Relationship Id="rId72" Type="http://schemas.openxmlformats.org/officeDocument/2006/relationships/hyperlink" Target="https://finance.vietstock.vn/C32-ctcp-dau-tu-va-xay-dung-3-2.htm" TargetMode="External"/><Relationship Id="rId375" Type="http://schemas.openxmlformats.org/officeDocument/2006/relationships/hyperlink" Target="https://finance.vietstock.vn/MDC-ctcp-than-mong-duong-vinacomin.htm" TargetMode="External"/><Relationship Id="rId582" Type="http://schemas.openxmlformats.org/officeDocument/2006/relationships/hyperlink" Target="https://finance.vietstock.vn/SHA-ctcp-son-ha-sai-gon.htm" TargetMode="External"/><Relationship Id="rId638" Type="http://schemas.openxmlformats.org/officeDocument/2006/relationships/hyperlink" Target="https://finance.vietstock.vn/TDF-ctcp-trung-do.htm" TargetMode="External"/><Relationship Id="rId3" Type="http://schemas.openxmlformats.org/officeDocument/2006/relationships/hyperlink" Target="https://finance.vietstock.vn/AAT-ctcp-tap-doan-tien-son-thanh-hoa.htm" TargetMode="External"/><Relationship Id="rId235" Type="http://schemas.openxmlformats.org/officeDocument/2006/relationships/hyperlink" Target="https://finance.vietstock.vn/GPC-ctcp-tap-doan-green+.htm" TargetMode="External"/><Relationship Id="rId277" Type="http://schemas.openxmlformats.org/officeDocument/2006/relationships/hyperlink" Target="https://finance.vietstock.vn/HPW-ctcp-cap-nuoc-hai-phong.htm" TargetMode="External"/><Relationship Id="rId400" Type="http://schemas.openxmlformats.org/officeDocument/2006/relationships/hyperlink" Target="https://finance.vietstock.vn/NBB-ctcp-dau-tu-nam-bay-bay.htm" TargetMode="External"/><Relationship Id="rId442" Type="http://schemas.openxmlformats.org/officeDocument/2006/relationships/hyperlink" Target="https://finance.vietstock.vn/PAT-ctcp-phot-pho-apatit-viet-nam.htm" TargetMode="External"/><Relationship Id="rId484" Type="http://schemas.openxmlformats.org/officeDocument/2006/relationships/hyperlink" Target="https://finance.vietstock.vn/PPH-tong-cong-ty-co-phan-phong-phu.htm" TargetMode="External"/><Relationship Id="rId705" Type="http://schemas.openxmlformats.org/officeDocument/2006/relationships/hyperlink" Target="https://finance.vietstock.vn/VAF-ctcp-phan-lan-nung-chay-van-dien.htm" TargetMode="External"/><Relationship Id="rId137" Type="http://schemas.openxmlformats.org/officeDocument/2006/relationships/hyperlink" Target="https://finance.vietstock.vn/DC4-ctcp-dicera-holdings.htm" TargetMode="External"/><Relationship Id="rId302" Type="http://schemas.openxmlformats.org/officeDocument/2006/relationships/hyperlink" Target="https://finance.vietstock.vn/ICG-ctcp-xay-dung-song-hong.htm" TargetMode="External"/><Relationship Id="rId344" Type="http://schemas.openxmlformats.org/officeDocument/2006/relationships/hyperlink" Target="https://finance.vietstock.vn/LAF-ctcp-che-bien-hang-xuat-khau-long-an.htm" TargetMode="External"/><Relationship Id="rId691" Type="http://schemas.openxmlformats.org/officeDocument/2006/relationships/hyperlink" Target="https://finance.vietstock.vn/TTL-tong-cong-ty-thang-long-ctcp.htm" TargetMode="External"/><Relationship Id="rId747" Type="http://schemas.openxmlformats.org/officeDocument/2006/relationships/hyperlink" Target="https://finance.vietstock.vn/VLC-tong-cong-ty-chan-nuoi-viet-nam-ctcp.htm" TargetMode="External"/><Relationship Id="rId789" Type="http://schemas.openxmlformats.org/officeDocument/2006/relationships/table" Target="../tables/table1.xml"/><Relationship Id="rId41" Type="http://schemas.openxmlformats.org/officeDocument/2006/relationships/hyperlink" Target="https://finance.vietstock.vn/BCE-ctcp-xay-dung-giao-thong-becamex.htm" TargetMode="External"/><Relationship Id="rId83" Type="http://schemas.openxmlformats.org/officeDocument/2006/relationships/hyperlink" Target="https://finance.vietstock.vn/CDC-ctcp-chuong-duong.htm" TargetMode="External"/><Relationship Id="rId179" Type="http://schemas.openxmlformats.org/officeDocument/2006/relationships/hyperlink" Target="https://finance.vietstock.vn/DRC-ctcp-cao-su-da-nang.htm" TargetMode="External"/><Relationship Id="rId386" Type="http://schemas.openxmlformats.org/officeDocument/2006/relationships/hyperlink" Target="https://finance.vietstock.vn/MSN-ctcp-tap-doan-masan.htm" TargetMode="External"/><Relationship Id="rId551" Type="http://schemas.openxmlformats.org/officeDocument/2006/relationships/hyperlink" Target="https://finance.vietstock.vn/SC5-ctcp-xay-dung-so-5.htm" TargetMode="External"/><Relationship Id="rId593" Type="http://schemas.openxmlformats.org/officeDocument/2006/relationships/hyperlink" Target="https://finance.vietstock.vn/SJF-ctcp-dau-tu-sao-thai-duong.htm" TargetMode="External"/><Relationship Id="rId607" Type="http://schemas.openxmlformats.org/officeDocument/2006/relationships/hyperlink" Target="https://finance.vietstock.vn/SPD-ctcp-xuat-nhap-khau-thuy-san-mien-trung.htm" TargetMode="External"/><Relationship Id="rId649" Type="http://schemas.openxmlformats.org/officeDocument/2006/relationships/hyperlink" Target="https://finance.vietstock.vn/TGG-ctcp-the-golden-group.htm" TargetMode="External"/><Relationship Id="rId190" Type="http://schemas.openxmlformats.org/officeDocument/2006/relationships/hyperlink" Target="https://finance.vietstock.vn/DTI-ctcp-dau-tu-duc-trung.htm" TargetMode="External"/><Relationship Id="rId204" Type="http://schemas.openxmlformats.org/officeDocument/2006/relationships/hyperlink" Target="https://finance.vietstock.vn/ECO-ctcp-nhua-sinh-thai-viet-nam.htm" TargetMode="External"/><Relationship Id="rId246" Type="http://schemas.openxmlformats.org/officeDocument/2006/relationships/hyperlink" Target="https://finance.vietstock.vn/HBC-ctcp-tap-doan-xay-dung-hoa-binh.htm" TargetMode="External"/><Relationship Id="rId288" Type="http://schemas.openxmlformats.org/officeDocument/2006/relationships/hyperlink" Target="https://finance.vietstock.vn/HTL-ctcp-ky-thuat-va-o-to-truong-long.htm" TargetMode="External"/><Relationship Id="rId411" Type="http://schemas.openxmlformats.org/officeDocument/2006/relationships/hyperlink" Target="https://finance.vietstock.vn/NHA-tong-cong-ty-dau-tu-phat-trien-nha-va-do-thi-nam-ha-noi.htm" TargetMode="External"/><Relationship Id="rId453" Type="http://schemas.openxmlformats.org/officeDocument/2006/relationships/hyperlink" Target="https://finance.vietstock.vn/PEN-ctcp-xay-lap-iii-petrolimex.htm" TargetMode="External"/><Relationship Id="rId509" Type="http://schemas.openxmlformats.org/officeDocument/2006/relationships/hyperlink" Target="https://finance.vietstock.vn/PVI-ctcp-pvi.htm" TargetMode="External"/><Relationship Id="rId660" Type="http://schemas.openxmlformats.org/officeDocument/2006/relationships/hyperlink" Target="https://finance.vietstock.vn/TKU-ctcp-cong-nghiep-tung-kuang.htm" TargetMode="External"/><Relationship Id="rId106" Type="http://schemas.openxmlformats.org/officeDocument/2006/relationships/hyperlink" Target="https://finance.vietstock.vn/CMW-ctcp-cap-nuoc-ca-mau.htm" TargetMode="External"/><Relationship Id="rId313" Type="http://schemas.openxmlformats.org/officeDocument/2006/relationships/hyperlink" Target="https://finance.vietstock.vn/IMP-ctcp-duoc-pham-imexpharm.htm" TargetMode="External"/><Relationship Id="rId495" Type="http://schemas.openxmlformats.org/officeDocument/2006/relationships/hyperlink" Target="https://finance.vietstock.vn/PTB-ctcp-phu-tai.htm" TargetMode="External"/><Relationship Id="rId716" Type="http://schemas.openxmlformats.org/officeDocument/2006/relationships/hyperlink" Target="https://finance.vietstock.vn/VCG-tong-cong-ty-co-phan-xuat-nhap-khau-va-xay-dung-viet-nam.htm" TargetMode="External"/><Relationship Id="rId758" Type="http://schemas.openxmlformats.org/officeDocument/2006/relationships/hyperlink" Target="https://finance.vietstock.vn/VNS-ctcp-anh-duong-viet-nam.htm" TargetMode="External"/><Relationship Id="rId10" Type="http://schemas.openxmlformats.org/officeDocument/2006/relationships/hyperlink" Target="https://finance.vietstock.vn/ACL-ctcp-xuat-nhap-khau-thuy-san-cuu-long-an-giang.htm" TargetMode="External"/><Relationship Id="rId52" Type="http://schemas.openxmlformats.org/officeDocument/2006/relationships/hyperlink" Target="https://finance.vietstock.vn/BKG-ctcp-dau-tu-bkg-viet-nam.htm" TargetMode="External"/><Relationship Id="rId94" Type="http://schemas.openxmlformats.org/officeDocument/2006/relationships/hyperlink" Target="https://finance.vietstock.vn/CKV-ctcp-cokyvina.htm" TargetMode="External"/><Relationship Id="rId148" Type="http://schemas.openxmlformats.org/officeDocument/2006/relationships/hyperlink" Target="https://finance.vietstock.vn/DGT-ctcp-cong-trinh-giao-thong-dong-nai.htm" TargetMode="External"/><Relationship Id="rId355" Type="http://schemas.openxmlformats.org/officeDocument/2006/relationships/hyperlink" Target="https://finance.vietstock.vn/LEC-ctcp-bat-dong-san-dien-luc-mien-trung.htm" TargetMode="External"/><Relationship Id="rId397" Type="http://schemas.openxmlformats.org/officeDocument/2006/relationships/hyperlink" Target="https://finance.vietstock.vn/NAG-ctcp-tap-doan-nagakawa.htm" TargetMode="External"/><Relationship Id="rId520" Type="http://schemas.openxmlformats.org/officeDocument/2006/relationships/hyperlink" Target="https://finance.vietstock.vn/PXS-ctcp-ket-cau-kim-loai-va-lap-may-dau-khi.htm" TargetMode="External"/><Relationship Id="rId562" Type="http://schemas.openxmlformats.org/officeDocument/2006/relationships/hyperlink" Target="https://finance.vietstock.vn/SD9-ctcp-song-da-9.htm" TargetMode="External"/><Relationship Id="rId618" Type="http://schemas.openxmlformats.org/officeDocument/2006/relationships/hyperlink" Target="https://finance.vietstock.vn/SVD-ctcp-dau-tu-thuong-mai-vu-dang.htm" TargetMode="External"/><Relationship Id="rId215" Type="http://schemas.openxmlformats.org/officeDocument/2006/relationships/hyperlink" Target="https://finance.vietstock.vn/FIT-ctcp-tap-doan-f-i-t.htm" TargetMode="External"/><Relationship Id="rId257" Type="http://schemas.openxmlformats.org/officeDocument/2006/relationships/hyperlink" Target="https://finance.vietstock.vn/HHG-ctcp-hoang-ha.htm" TargetMode="External"/><Relationship Id="rId422" Type="http://schemas.openxmlformats.org/officeDocument/2006/relationships/hyperlink" Target="https://finance.vietstock.vn/NS2-ctcp-nuoc-sach-so-2-ha-noi.htm" TargetMode="External"/><Relationship Id="rId464" Type="http://schemas.openxmlformats.org/officeDocument/2006/relationships/hyperlink" Target="https://finance.vietstock.vn/PHR-ctcp-cao-su-phuoc-hoa.htm" TargetMode="External"/><Relationship Id="rId299" Type="http://schemas.openxmlformats.org/officeDocument/2006/relationships/hyperlink" Target="https://finance.vietstock.vn/HVX-ctcp-xi-mang-vicem-hai-van.htm" TargetMode="External"/><Relationship Id="rId727" Type="http://schemas.openxmlformats.org/officeDocument/2006/relationships/hyperlink" Target="https://finance.vietstock.vn/VFC-ctcp-vinafco.htm" TargetMode="External"/><Relationship Id="rId63" Type="http://schemas.openxmlformats.org/officeDocument/2006/relationships/hyperlink" Target="https://finance.vietstock.vn/BSR-ctcp-loc-hoa-dau-binh-son.htm" TargetMode="External"/><Relationship Id="rId159" Type="http://schemas.openxmlformats.org/officeDocument/2006/relationships/hyperlink" Target="https://finance.vietstock.vn/DIH-ctcp-dau-tu-phat-trien-xay-dung-hoi-an.htm" TargetMode="External"/><Relationship Id="rId366" Type="http://schemas.openxmlformats.org/officeDocument/2006/relationships/hyperlink" Target="https://finance.vietstock.vn/M10-tong-cong-ty-may-10-ctcp.htm" TargetMode="External"/><Relationship Id="rId573" Type="http://schemas.openxmlformats.org/officeDocument/2006/relationships/hyperlink" Target="https://finance.vietstock.vn/SFI-ctcp-dai-ly-van-tai-safi.htm" TargetMode="External"/><Relationship Id="rId780" Type="http://schemas.openxmlformats.org/officeDocument/2006/relationships/hyperlink" Target="https://finance.vietstock.vn/VTO-ctcp-van-tai-xang-dau-vitaco.htm" TargetMode="External"/><Relationship Id="rId226" Type="http://schemas.openxmlformats.org/officeDocument/2006/relationships/hyperlink" Target="https://finance.vietstock.vn/GDW-ctcp-cap-nuoc-gia-dinh.htm" TargetMode="External"/><Relationship Id="rId433" Type="http://schemas.openxmlformats.org/officeDocument/2006/relationships/hyperlink" Target="https://finance.vietstock.vn/NVT-ctcp-bat-dong-san-du-lich-ninh-van-bay.htm" TargetMode="External"/><Relationship Id="rId640" Type="http://schemas.openxmlformats.org/officeDocument/2006/relationships/hyperlink" Target="https://finance.vietstock.vn/TDH-ctcp-phat-trien-nha-thu-duc.htm" TargetMode="External"/><Relationship Id="rId738" Type="http://schemas.openxmlformats.org/officeDocument/2006/relationships/hyperlink" Target="https://finance.vietstock.vn/VHE-ctcp-duoc-lieu-va-thuc-pham-viet-nam.htm" TargetMode="External"/><Relationship Id="rId74" Type="http://schemas.openxmlformats.org/officeDocument/2006/relationships/hyperlink" Target="https://finance.vietstock.vn/C4G-ctcp-tap-doan-cienco4.htm" TargetMode="External"/><Relationship Id="rId377" Type="http://schemas.openxmlformats.org/officeDocument/2006/relationships/hyperlink" Target="https://finance.vietstock.vn/MDG-ctcp-mien-dong.htm" TargetMode="External"/><Relationship Id="rId500" Type="http://schemas.openxmlformats.org/officeDocument/2006/relationships/hyperlink" Target="https://finance.vietstock.vn/PTT-ctcp-van-tai-dau-khi-dong-duong.htm" TargetMode="External"/><Relationship Id="rId584" Type="http://schemas.openxmlformats.org/officeDocument/2006/relationships/hyperlink" Target="https://finance.vietstock.vn/SHG-tong-cong-ty-co-phan-song-hong.htm" TargetMode="External"/><Relationship Id="rId5" Type="http://schemas.openxmlformats.org/officeDocument/2006/relationships/hyperlink" Target="https://finance.vietstock.vn/ABC-ctcp-truyen-thong-vmg.htm" TargetMode="External"/><Relationship Id="rId237" Type="http://schemas.openxmlformats.org/officeDocument/2006/relationships/hyperlink" Target="https://finance.vietstock.vn/GSP-ctcp-van-tai-san-pham-khi-quoc-te.htm" TargetMode="External"/><Relationship Id="rId444" Type="http://schemas.openxmlformats.org/officeDocument/2006/relationships/hyperlink" Target="https://finance.vietstock.vn/PBP-ctcp-bao-bi-dau-khi-viet-nam.htm" TargetMode="External"/><Relationship Id="rId651" Type="http://schemas.openxmlformats.org/officeDocument/2006/relationships/hyperlink" Target="https://finance.vietstock.vn/THG-ctcp-dau-tu-va-xay-dung-tien-giang.htm" TargetMode="External"/><Relationship Id="rId749" Type="http://schemas.openxmlformats.org/officeDocument/2006/relationships/hyperlink" Target="https://finance.vietstock.vn/VLW-ctcp-cap-nuoc-vinh-long.htm" TargetMode="External"/><Relationship Id="rId290" Type="http://schemas.openxmlformats.org/officeDocument/2006/relationships/hyperlink" Target="https://finance.vietstock.vn/HTN-ctcp-hung-thinh-incons.htm" TargetMode="External"/><Relationship Id="rId304" Type="http://schemas.openxmlformats.org/officeDocument/2006/relationships/hyperlink" Target="https://finance.vietstock.vn/ICT-ctcp-vien-thong-tin-hoc-buu-dien.htm" TargetMode="External"/><Relationship Id="rId388" Type="http://schemas.openxmlformats.org/officeDocument/2006/relationships/hyperlink" Target="https://finance.vietstock.vn/MST-ctcp-dau-tu-mst.htm" TargetMode="External"/><Relationship Id="rId511" Type="http://schemas.openxmlformats.org/officeDocument/2006/relationships/hyperlink" Target="https://finance.vietstock.vn/PVM-ctcp-may-thiet-bi-dau-khi.htm" TargetMode="External"/><Relationship Id="rId609" Type="http://schemas.openxmlformats.org/officeDocument/2006/relationships/hyperlink" Target="https://finance.vietstock.vn/SRA-ctcp-sara-viet-nam.htm" TargetMode="External"/><Relationship Id="rId85" Type="http://schemas.openxmlformats.org/officeDocument/2006/relationships/hyperlink" Target="https://finance.vietstock.vn/CDP-ctcp-duoc-pham-trung-uong-codupha.htm" TargetMode="External"/><Relationship Id="rId150" Type="http://schemas.openxmlformats.org/officeDocument/2006/relationships/hyperlink" Target="https://finance.vietstock.vn/DHB-ctcp-phan-dam-va-hoa-chat-ha-bac.htm" TargetMode="External"/><Relationship Id="rId595" Type="http://schemas.openxmlformats.org/officeDocument/2006/relationships/hyperlink" Target="https://finance.vietstock.vn/SJS-ctcp-sj-group.htm" TargetMode="External"/><Relationship Id="rId248" Type="http://schemas.openxmlformats.org/officeDocument/2006/relationships/hyperlink" Target="https://finance.vietstock.vn/HCD-ctcp-dau-tu-san-xuat-va-thuong-mai-hcd.htm" TargetMode="External"/><Relationship Id="rId455" Type="http://schemas.openxmlformats.org/officeDocument/2006/relationships/hyperlink" Target="https://finance.vietstock.vn/PGC-tong-cong-ty-gas-petrolimex-ctcp.htm" TargetMode="External"/><Relationship Id="rId662" Type="http://schemas.openxmlformats.org/officeDocument/2006/relationships/hyperlink" Target="https://finance.vietstock.vn/TLG-ctcp-tap-doan-thien-long.htm" TargetMode="External"/><Relationship Id="rId12" Type="http://schemas.openxmlformats.org/officeDocument/2006/relationships/hyperlink" Target="https://finance.vietstock.vn/ADG-ctcp-clever-group.htm" TargetMode="External"/><Relationship Id="rId108" Type="http://schemas.openxmlformats.org/officeDocument/2006/relationships/hyperlink" Target="https://finance.vietstock.vn/CNG-ctcp-cng-viet-nam.htm" TargetMode="External"/><Relationship Id="rId315" Type="http://schemas.openxmlformats.org/officeDocument/2006/relationships/hyperlink" Target="https://finance.vietstock.vn/IPA-ctcp-tap-doan-dau-tu-i-p-a.htm" TargetMode="External"/><Relationship Id="rId522" Type="http://schemas.openxmlformats.org/officeDocument/2006/relationships/hyperlink" Target="https://finance.vietstock.vn/QCG-ctcp-quoc-cuong-gia-lai.htm" TargetMode="External"/><Relationship Id="rId96" Type="http://schemas.openxmlformats.org/officeDocument/2006/relationships/hyperlink" Target="https://finance.vietstock.vn/CLL-ctcp-cang-cat-lai.htm" TargetMode="External"/><Relationship Id="rId161" Type="http://schemas.openxmlformats.org/officeDocument/2006/relationships/hyperlink" Target="https://finance.vietstock.vn/DL1-ctcp-tap-doan-alpha-seven.htm" TargetMode="External"/><Relationship Id="rId399" Type="http://schemas.openxmlformats.org/officeDocument/2006/relationships/hyperlink" Target="https://finance.vietstock.vn/NAW-ctcp-cap-nuoc-nghe-an.htm" TargetMode="External"/><Relationship Id="rId259" Type="http://schemas.openxmlformats.org/officeDocument/2006/relationships/hyperlink" Target="https://finance.vietstock.vn/HHS-ctcp-dau-tu-dich-vu-hoang-huy.htm" TargetMode="External"/><Relationship Id="rId466" Type="http://schemas.openxmlformats.org/officeDocument/2006/relationships/hyperlink" Target="https://finance.vietstock.vn/PIS-tong-cong-ty-pisico-binh-dinh-ctcp.htm" TargetMode="External"/><Relationship Id="rId673" Type="http://schemas.openxmlformats.org/officeDocument/2006/relationships/hyperlink" Target="https://finance.vietstock.vn/TNH-ctcp-tap-doan-benh-vien-tnh.htm" TargetMode="External"/><Relationship Id="rId23" Type="http://schemas.openxmlformats.org/officeDocument/2006/relationships/hyperlink" Target="https://finance.vietstock.vn/AMV-ctcp-san-xuat-kinh-doanh-duoc-va-trang-thiet-bi-y-te-viet-my.htm" TargetMode="External"/><Relationship Id="rId119" Type="http://schemas.openxmlformats.org/officeDocument/2006/relationships/hyperlink" Target="https://finance.vietstock.vn/CTB-ctcp-che-tao-bom-hai-duong.htm" TargetMode="External"/><Relationship Id="rId326" Type="http://schemas.openxmlformats.org/officeDocument/2006/relationships/hyperlink" Target="https://finance.vietstock.vn/KHP-ctcp-dien-luc-khanh-hoa.htm" TargetMode="External"/><Relationship Id="rId533" Type="http://schemas.openxmlformats.org/officeDocument/2006/relationships/hyperlink" Target="https://finance.vietstock.vn/REE-ctcp-co-dien-lanh.htm" TargetMode="External"/><Relationship Id="rId740" Type="http://schemas.openxmlformats.org/officeDocument/2006/relationships/hyperlink" Target="https://finance.vietstock.vn/VHL-ctcp-viglacera-ha-long.htm" TargetMode="External"/><Relationship Id="rId172" Type="http://schemas.openxmlformats.org/officeDocument/2006/relationships/hyperlink" Target="https://finance.vietstock.vn/DP1-ctcp-duoc-pham-trung-uong-cpc1.htm" TargetMode="External"/><Relationship Id="rId477" Type="http://schemas.openxmlformats.org/officeDocument/2006/relationships/hyperlink" Target="https://finance.vietstock.vn/PMW-ctcp-cap-nuoc-phu-my.htm" TargetMode="External"/><Relationship Id="rId600" Type="http://schemas.openxmlformats.org/officeDocument/2006/relationships/hyperlink" Target="https://finance.vietstock.vn/SMB-ctcp-bia-sai-gon-mien-trung.htm" TargetMode="External"/><Relationship Id="rId684" Type="http://schemas.openxmlformats.org/officeDocument/2006/relationships/hyperlink" Target="https://finance.vietstock.vn/TRV-ctcp-van-tai-duong-sat.htm" TargetMode="External"/><Relationship Id="rId337" Type="http://schemas.openxmlformats.org/officeDocument/2006/relationships/hyperlink" Target="https://finance.vietstock.vn/KTC-ctcp-thuong-mai-kien-giang.htm" TargetMode="External"/><Relationship Id="rId34" Type="http://schemas.openxmlformats.org/officeDocument/2006/relationships/hyperlink" Target="https://finance.vietstock.vn/AST-ctcp-dich-vu-hang-khong-taseco.htm" TargetMode="External"/><Relationship Id="rId544" Type="http://schemas.openxmlformats.org/officeDocument/2006/relationships/hyperlink" Target="https://finance.vietstock.vn/SAV-ctcp-hop-tac-kinh-te-va-xuat-nhap-khau-savimex.htm" TargetMode="External"/><Relationship Id="rId751" Type="http://schemas.openxmlformats.org/officeDocument/2006/relationships/hyperlink" Target="https://finance.vietstock.vn/VNA-ctcp-van-tai-bien-vinaship.htm" TargetMode="External"/><Relationship Id="rId183" Type="http://schemas.openxmlformats.org/officeDocument/2006/relationships/hyperlink" Target="https://finance.vietstock.vn/DS3-ctcp-ds3.htm" TargetMode="External"/><Relationship Id="rId390" Type="http://schemas.openxmlformats.org/officeDocument/2006/relationships/hyperlink" Target="https://finance.vietstock.vn/MTS-ctcp-vat-tu-tkv.htm" TargetMode="External"/><Relationship Id="rId404" Type="http://schemas.openxmlformats.org/officeDocument/2006/relationships/hyperlink" Target="https://finance.vietstock.vn/NCS-ctcp-suat-an-hang-khong-noi-bai.htm" TargetMode="External"/><Relationship Id="rId611" Type="http://schemas.openxmlformats.org/officeDocument/2006/relationships/hyperlink" Target="https://finance.vietstock.vn/SRF-ctcp-searefico.htm" TargetMode="External"/><Relationship Id="rId250" Type="http://schemas.openxmlformats.org/officeDocument/2006/relationships/hyperlink" Target="https://finance.vietstock.vn/HDA-ctcp-hang-son-dong-a.htm" TargetMode="External"/><Relationship Id="rId488" Type="http://schemas.openxmlformats.org/officeDocument/2006/relationships/hyperlink" Target="https://finance.vietstock.vn/PQN-ctcp-dich-vu-dau-khi-quang-ngai-ptsc.htm" TargetMode="External"/><Relationship Id="rId695" Type="http://schemas.openxmlformats.org/officeDocument/2006/relationships/hyperlink" Target="https://finance.vietstock.vn/TV3-ctcp-tu-van-xay-dung-dien-3.htm" TargetMode="External"/><Relationship Id="rId709" Type="http://schemas.openxmlformats.org/officeDocument/2006/relationships/hyperlink" Target="https://finance.vietstock.vn/VC2-ctcp-dau-tu-va-xay-dung-vina2.htm" TargetMode="External"/><Relationship Id="rId45" Type="http://schemas.openxmlformats.org/officeDocument/2006/relationships/hyperlink" Target="https://finance.vietstock.vn/BDT-ctcp-xay-lap-va-vat-lieu-xay-dung-dong-thap.htm" TargetMode="External"/><Relationship Id="rId110" Type="http://schemas.openxmlformats.org/officeDocument/2006/relationships/hyperlink" Target="https://finance.vietstock.vn/CPA-ctcp-ca-phe-phuoc-an.htm" TargetMode="External"/><Relationship Id="rId348" Type="http://schemas.openxmlformats.org/officeDocument/2006/relationships/hyperlink" Target="https://finance.vietstock.vn/LBE-ctcp-thuong-mai-va-dich-vu-lva.htm" TargetMode="External"/><Relationship Id="rId555" Type="http://schemas.openxmlformats.org/officeDocument/2006/relationships/hyperlink" Target="https://finance.vietstock.vn/SCL-ctcp-song-da-cao-cuong.htm" TargetMode="External"/><Relationship Id="rId762" Type="http://schemas.openxmlformats.org/officeDocument/2006/relationships/hyperlink" Target="https://finance.vietstock.vn/VPD-ctcp-phat-trien-dien-luc-viet-nam.htm" TargetMode="External"/><Relationship Id="rId194" Type="http://schemas.openxmlformats.org/officeDocument/2006/relationships/hyperlink" Target="https://finance.vietstock.vn/DTT-ctcp-ky-nghe-do-thanh.htm" TargetMode="External"/><Relationship Id="rId208" Type="http://schemas.openxmlformats.org/officeDocument/2006/relationships/hyperlink" Target="https://finance.vietstock.vn/EVG-ctcp-tap-doan-everland.htm" TargetMode="External"/><Relationship Id="rId415" Type="http://schemas.openxmlformats.org/officeDocument/2006/relationships/hyperlink" Target="https://finance.vietstock.vn/NKG-ctcp-thep-nam-kim.htm" TargetMode="External"/><Relationship Id="rId622" Type="http://schemas.openxmlformats.org/officeDocument/2006/relationships/hyperlink" Target="https://finance.vietstock.vn/SZB-ctcp-sonadezi-long-binh.htm" TargetMode="External"/><Relationship Id="rId261" Type="http://schemas.openxmlformats.org/officeDocument/2006/relationships/hyperlink" Target="https://finance.vietstock.vn/HII-ctcp-an-tien-industries.htm" TargetMode="External"/><Relationship Id="rId499" Type="http://schemas.openxmlformats.org/officeDocument/2006/relationships/hyperlink" Target="https://finance.vietstock.vn/PTS-ctcp-van-tai-va-dich-vu-petrolimex-hai-phong.htm" TargetMode="External"/><Relationship Id="rId56" Type="http://schemas.openxmlformats.org/officeDocument/2006/relationships/hyperlink" Target="https://finance.vietstock.vn/BNW-ctcp-nuoc-sach-bac-ninh.htm" TargetMode="External"/><Relationship Id="rId359" Type="http://schemas.openxmlformats.org/officeDocument/2006/relationships/hyperlink" Target="https://finance.vietstock.vn/LHG-ctcp-long-hau.htm" TargetMode="External"/><Relationship Id="rId566" Type="http://schemas.openxmlformats.org/officeDocument/2006/relationships/hyperlink" Target="https://finance.vietstock.vn/SDN-ctcp-son-dong-nai.htm" TargetMode="External"/><Relationship Id="rId773" Type="http://schemas.openxmlformats.org/officeDocument/2006/relationships/hyperlink" Target="https://finance.vietstock.vn/VSN-ctcp-viet-nam-ky-nghe-suc-san.htm" TargetMode="External"/><Relationship Id="rId121" Type="http://schemas.openxmlformats.org/officeDocument/2006/relationships/hyperlink" Target="https://finance.vietstock.vn/CTF-ctcp-city-auto.htm" TargetMode="External"/><Relationship Id="rId219" Type="http://schemas.openxmlformats.org/officeDocument/2006/relationships/hyperlink" Target="https://finance.vietstock.vn/FRT-ctcp-ban-le-ky-thuat-so-fpt.htm" TargetMode="External"/><Relationship Id="rId426" Type="http://schemas.openxmlformats.org/officeDocument/2006/relationships/hyperlink" Target="https://finance.vietstock.vn/NST-ctcp-ngan-son.htm" TargetMode="External"/><Relationship Id="rId633" Type="http://schemas.openxmlformats.org/officeDocument/2006/relationships/hyperlink" Target="https://finance.vietstock.vn/TCM-ctcp-det-may-dau-tu-thuong-mai-thanh-cong.htm" TargetMode="External"/><Relationship Id="rId67" Type="http://schemas.openxmlformats.org/officeDocument/2006/relationships/hyperlink" Target="https://finance.vietstock.vn/BTW-ctcp-cap-nuoc-ben-thanh.htm" TargetMode="External"/><Relationship Id="rId272" Type="http://schemas.openxmlformats.org/officeDocument/2006/relationships/hyperlink" Target="https://finance.vietstock.vn/HNM-ctcp-sua-ha-noi.htm" TargetMode="External"/><Relationship Id="rId577" Type="http://schemas.openxmlformats.org/officeDocument/2006/relationships/hyperlink" Target="https://finance.vietstock.vn/SGI-ctcp-dau-tu-sgi-holdings.htm" TargetMode="External"/><Relationship Id="rId700" Type="http://schemas.openxmlformats.org/officeDocument/2006/relationships/hyperlink" Target="https://finance.vietstock.vn/UDC-ctcp-dau-tu-xay-dung-udcons.htm" TargetMode="External"/><Relationship Id="rId132" Type="http://schemas.openxmlformats.org/officeDocument/2006/relationships/hyperlink" Target="https://finance.vietstock.vn/DAT-ctcp-dau-tu-du-lich-va-phat-trien-thuy-san.htm" TargetMode="External"/><Relationship Id="rId784" Type="http://schemas.openxmlformats.org/officeDocument/2006/relationships/hyperlink" Target="https://finance.vietstock.vn/VTV-ctcp-nang-luong-va-moi-truong-vicem.htm" TargetMode="External"/><Relationship Id="rId437" Type="http://schemas.openxmlformats.org/officeDocument/2006/relationships/hyperlink" Target="https://finance.vietstock.vn/ONE-ctcp-cong-nghe-one.htm" TargetMode="External"/><Relationship Id="rId644" Type="http://schemas.openxmlformats.org/officeDocument/2006/relationships/hyperlink" Target="https://finance.vietstock.vn/TDT-ctcp-dau-tu-va-phat-trien-tdt.htm" TargetMode="External"/><Relationship Id="rId283" Type="http://schemas.openxmlformats.org/officeDocument/2006/relationships/hyperlink" Target="https://finance.vietstock.vn/HSV-ctcp-tap-doan-hsv-viet-nam.htm" TargetMode="External"/><Relationship Id="rId490" Type="http://schemas.openxmlformats.org/officeDocument/2006/relationships/hyperlink" Target="https://finance.vietstock.vn/PSC-ctcp-van-tai-va-dich-vu-petrolimex-sai-gon.htm" TargetMode="External"/><Relationship Id="rId504" Type="http://schemas.openxmlformats.org/officeDocument/2006/relationships/hyperlink" Target="https://finance.vietstock.vn/PVC-tong-cong-ty-hoa-chat-va-dich-vu-dau-khi-ctcp.htm" TargetMode="External"/><Relationship Id="rId711" Type="http://schemas.openxmlformats.org/officeDocument/2006/relationships/hyperlink" Target="https://finance.vietstock.vn/VC6-ctcp-xay-dung-va-dau-tu-visicons.htm" TargetMode="External"/><Relationship Id="rId78" Type="http://schemas.openxmlformats.org/officeDocument/2006/relationships/hyperlink" Target="https://finance.vietstock.vn/CC1-tong-cong-ty-xay-dung-so-1-ctcp.htm" TargetMode="External"/><Relationship Id="rId143" Type="http://schemas.openxmlformats.org/officeDocument/2006/relationships/hyperlink" Target="https://finance.vietstock.vn/DDG-ctcp-dau-tu-cong-nghiep-xuat-nhap-khau-dong-duong.htm" TargetMode="External"/><Relationship Id="rId350" Type="http://schemas.openxmlformats.org/officeDocument/2006/relationships/hyperlink" Target="https://finance.vietstock.vn/LCD-ctcp-lap-may-thi-nghiem-co-dien.htm" TargetMode="External"/><Relationship Id="rId588" Type="http://schemas.openxmlformats.org/officeDocument/2006/relationships/hyperlink" Target="https://finance.vietstock.vn/SII-ctcp-ha-tang-nuoc-sai-gon.htm" TargetMode="External"/><Relationship Id="rId9" Type="http://schemas.openxmlformats.org/officeDocument/2006/relationships/hyperlink" Target="https://finance.vietstock.vn/ACG-ctcp-go-an-cuong.htm" TargetMode="External"/><Relationship Id="rId210" Type="http://schemas.openxmlformats.org/officeDocument/2006/relationships/hyperlink" Target="https://finance.vietstock.vn/FCN-ctcp-fecon.htm" TargetMode="External"/><Relationship Id="rId448" Type="http://schemas.openxmlformats.org/officeDocument/2006/relationships/hyperlink" Target="https://finance.vietstock.vn/PCT-ctcp-van-tai-bien-global-pacific.htm" TargetMode="External"/><Relationship Id="rId655" Type="http://schemas.openxmlformats.org/officeDocument/2006/relationships/hyperlink" Target="https://finance.vietstock.vn/THS-ctcp-thanh-hoa-song-da.htm" TargetMode="External"/><Relationship Id="rId294" Type="http://schemas.openxmlformats.org/officeDocument/2006/relationships/hyperlink" Target="https://finance.vietstock.vn/HUB-ctcp-xay-lap-thua-thien-hue.htm" TargetMode="External"/><Relationship Id="rId308" Type="http://schemas.openxmlformats.org/officeDocument/2006/relationships/hyperlink" Target="https://finance.vietstock.vn/IDP-ctcp-sua-quoc-te-lof.htm" TargetMode="External"/><Relationship Id="rId515" Type="http://schemas.openxmlformats.org/officeDocument/2006/relationships/hyperlink" Target="https://finance.vietstock.vn/PVV-ctcp-vinaconex-39.htm" TargetMode="External"/><Relationship Id="rId722" Type="http://schemas.openxmlformats.org/officeDocument/2006/relationships/hyperlink" Target="https://finance.vietstock.vn/VE3-ctcp-xay-dung-dien-vneco-3.htm" TargetMode="External"/><Relationship Id="rId89" Type="http://schemas.openxmlformats.org/officeDocument/2006/relationships/hyperlink" Target="https://finance.vietstock.vn/CIG-ctcp-coma-18.htm" TargetMode="External"/><Relationship Id="rId154" Type="http://schemas.openxmlformats.org/officeDocument/2006/relationships/hyperlink" Target="https://finance.vietstock.vn/DHP-ctcp-dien-co-hai-phong.htm" TargetMode="External"/><Relationship Id="rId361" Type="http://schemas.openxmlformats.org/officeDocument/2006/relationships/hyperlink" Target="https://finance.vietstock.vn/LIG-ctcp-licogi-13.htm" TargetMode="External"/><Relationship Id="rId599" Type="http://schemas.openxmlformats.org/officeDocument/2006/relationships/hyperlink" Target="https://finance.vietstock.vn/SMA-ctcp-thiet-bi-phu-tung-sai-gon.htm" TargetMode="External"/><Relationship Id="rId459" Type="http://schemas.openxmlformats.org/officeDocument/2006/relationships/hyperlink" Target="https://finance.vietstock.vn/PGS-ctcp-kinh-doanh-khi-mien-nam.htm" TargetMode="External"/><Relationship Id="rId666" Type="http://schemas.openxmlformats.org/officeDocument/2006/relationships/hyperlink" Target="https://finance.vietstock.vn/TMG-ctcp-kim-loai-mau-thai-nguyen-vimico.htm" TargetMode="External"/><Relationship Id="rId16" Type="http://schemas.openxmlformats.org/officeDocument/2006/relationships/hyperlink" Target="https://finance.vietstock.vn/AGP-ctcp-duoc-pham-agimexpharm.htm" TargetMode="External"/><Relationship Id="rId221" Type="http://schemas.openxmlformats.org/officeDocument/2006/relationships/hyperlink" Target="https://finance.vietstock.vn/G36-tong-cong-ty-36-ctcp.htm" TargetMode="External"/><Relationship Id="rId319" Type="http://schemas.openxmlformats.org/officeDocument/2006/relationships/hyperlink" Target="https://finance.vietstock.vn/ITS-ctcp-dau-tu-thuong-mai-va-dich-vu-vinacomin.htm" TargetMode="External"/><Relationship Id="rId526" Type="http://schemas.openxmlformats.org/officeDocument/2006/relationships/hyperlink" Target="https://finance.vietstock.vn/QNS-ctcp-duong-quang-ngai.htm" TargetMode="External"/><Relationship Id="rId733" Type="http://schemas.openxmlformats.org/officeDocument/2006/relationships/hyperlink" Target="https://finance.vietstock.vn/VGS-ctcp-ong-thep-viet-duc-vg-pipe.htm" TargetMode="External"/><Relationship Id="rId165" Type="http://schemas.openxmlformats.org/officeDocument/2006/relationships/hyperlink" Target="https://finance.vietstock.vn/DNA-ctcp-dien-nuoc-an-giang.htm" TargetMode="External"/><Relationship Id="rId372" Type="http://schemas.openxmlformats.org/officeDocument/2006/relationships/hyperlink" Target="https://finance.vietstock.vn/MCH-ctcp-hang-tieu-dung-masan.htm" TargetMode="External"/><Relationship Id="rId677" Type="http://schemas.openxmlformats.org/officeDocument/2006/relationships/hyperlink" Target="https://finance.vietstock.vn/TNV-ctcp-thong-nhat-ha-noi.htm" TargetMode="External"/><Relationship Id="rId232" Type="http://schemas.openxmlformats.org/officeDocument/2006/relationships/hyperlink" Target="https://finance.vietstock.vn/GKM-ctcp-gkm-holdings.htm" TargetMode="External"/><Relationship Id="rId27" Type="http://schemas.openxmlformats.org/officeDocument/2006/relationships/hyperlink" Target="https://finance.vietstock.vn/APF-ctcp-nong-san-thuc-pham-quang-ngai.htm" TargetMode="External"/><Relationship Id="rId537" Type="http://schemas.openxmlformats.org/officeDocument/2006/relationships/hyperlink" Target="https://finance.vietstock.vn/RYG-ctcp-san-xuat-va-dau-tu-hoang-gia.htm" TargetMode="External"/><Relationship Id="rId744" Type="http://schemas.openxmlformats.org/officeDocument/2006/relationships/hyperlink" Target="https://finance.vietstock.vn/VIF-tong-cong-ty-lam-nghiep-viet-nam-ctcp.htm" TargetMode="External"/><Relationship Id="rId80" Type="http://schemas.openxmlformats.org/officeDocument/2006/relationships/hyperlink" Target="https://finance.vietstock.vn/CCL-ctcp-dau-tu-va-phat-trien-do-thi-dau-khi-cuu-long.htm" TargetMode="External"/><Relationship Id="rId176" Type="http://schemas.openxmlformats.org/officeDocument/2006/relationships/hyperlink" Target="https://finance.vietstock.vn/DPG-ctcp-tap-doan-dat-phuong.htm" TargetMode="External"/><Relationship Id="rId383" Type="http://schemas.openxmlformats.org/officeDocument/2006/relationships/hyperlink" Target="https://finance.vietstock.vn/MNB-tong-cong-ty-may-nha-be-ctcp.htm" TargetMode="External"/><Relationship Id="rId590" Type="http://schemas.openxmlformats.org/officeDocument/2006/relationships/hyperlink" Target="https://finance.vietstock.vn/SJ1-ctcp-nong-nghiep-hung-hau.htm" TargetMode="External"/><Relationship Id="rId604" Type="http://schemas.openxmlformats.org/officeDocument/2006/relationships/hyperlink" Target="https://finance.vietstock.vn/SP2-ctcp-thuy-dien-su-pan-2.htm" TargetMode="External"/><Relationship Id="rId243" Type="http://schemas.openxmlformats.org/officeDocument/2006/relationships/hyperlink" Target="https://finance.vietstock.vn/HAP-ctcp-tap-doan-hapaco.htm" TargetMode="External"/><Relationship Id="rId450" Type="http://schemas.openxmlformats.org/officeDocument/2006/relationships/hyperlink" Target="https://finance.vietstock.vn/PDR-ctcp-phat-trien-bat-dong-san-phat-dat.htm" TargetMode="External"/><Relationship Id="rId688" Type="http://schemas.openxmlformats.org/officeDocument/2006/relationships/hyperlink" Target="https://finance.vietstock.vn/TT6-ctcp-tap-doan-tien-thinh.htm" TargetMode="External"/><Relationship Id="rId38" Type="http://schemas.openxmlformats.org/officeDocument/2006/relationships/hyperlink" Target="https://finance.vietstock.vn/BBT-ctcp-bong-bach-tuyet.htm" TargetMode="External"/><Relationship Id="rId103" Type="http://schemas.openxmlformats.org/officeDocument/2006/relationships/hyperlink" Target="https://finance.vietstock.vn/CMP-ctcp-cang-chan-may.htm" TargetMode="External"/><Relationship Id="rId310" Type="http://schemas.openxmlformats.org/officeDocument/2006/relationships/hyperlink" Target="https://finance.vietstock.vn/IJC-ctcp-phat-trien-ha-tang-ky-thuat.htm" TargetMode="External"/><Relationship Id="rId548" Type="http://schemas.openxmlformats.org/officeDocument/2006/relationships/hyperlink" Target="https://finance.vietstock.vn/SBL-ctcp-bia-sai-gon-bac-lieu.htm" TargetMode="External"/><Relationship Id="rId755" Type="http://schemas.openxmlformats.org/officeDocument/2006/relationships/hyperlink" Target="https://finance.vietstock.vn/VNG-ctcp-du-lich-thanh-thanh-cong.htm" TargetMode="External"/><Relationship Id="rId91" Type="http://schemas.openxmlformats.org/officeDocument/2006/relationships/hyperlink" Target="https://finance.vietstock.vn/CJC-ctcp-co-dien-mien-trung.htm" TargetMode="External"/><Relationship Id="rId187" Type="http://schemas.openxmlformats.org/officeDocument/2006/relationships/hyperlink" Target="https://finance.vietstock.vn/DTC-ctcp-viglacera-dong-trieu.htm" TargetMode="External"/><Relationship Id="rId394" Type="http://schemas.openxmlformats.org/officeDocument/2006/relationships/hyperlink" Target="https://finance.vietstock.vn/MWG-ctcp-dau-tu-the-gioi-di-dong.htm" TargetMode="External"/><Relationship Id="rId408" Type="http://schemas.openxmlformats.org/officeDocument/2006/relationships/hyperlink" Target="https://finance.vietstock.vn/NDX-ctcp-xay-lap-phat-trien-nha-da-nang.htm" TargetMode="External"/><Relationship Id="rId615" Type="http://schemas.openxmlformats.org/officeDocument/2006/relationships/hyperlink" Target="https://finance.vietstock.vn/STH-ctcp-phat-hanh-sach-thai-nguyen.htm" TargetMode="External"/><Relationship Id="rId254" Type="http://schemas.openxmlformats.org/officeDocument/2006/relationships/hyperlink" Target="https://finance.vietstock.vn/HDW-ctcp-kinh-doanh-nuoc-sach-hai-duong.htm" TargetMode="External"/><Relationship Id="rId699" Type="http://schemas.openxmlformats.org/officeDocument/2006/relationships/hyperlink" Target="https://finance.vietstock.vn/TYA-ctcp-day-va-cap-dien-taya-viet-nam.htm" TargetMode="External"/><Relationship Id="rId49" Type="http://schemas.openxmlformats.org/officeDocument/2006/relationships/hyperlink" Target="https://finance.vietstock.vn/BIC-tong-cong-ty-co-phan-bao-hiem-ngan-hang-dau-tu-va-phat-trien-viet-nam.htm" TargetMode="External"/><Relationship Id="rId114" Type="http://schemas.openxmlformats.org/officeDocument/2006/relationships/hyperlink" Target="https://finance.vietstock.vn/CRE-ctcp-bat-dong-san-the-ky.htm" TargetMode="External"/><Relationship Id="rId461" Type="http://schemas.openxmlformats.org/officeDocument/2006/relationships/hyperlink" Target="https://finance.vietstock.vn/PHC-ctcp-xay-dung-phuc-hung-holdings.htm" TargetMode="External"/><Relationship Id="rId559" Type="http://schemas.openxmlformats.org/officeDocument/2006/relationships/hyperlink" Target="https://finance.vietstock.vn/SD4-ctcp-song-da-4.htm" TargetMode="External"/><Relationship Id="rId766" Type="http://schemas.openxmlformats.org/officeDocument/2006/relationships/hyperlink" Target="https://finance.vietstock.vn/VPL-ctcp-vinpearl.htm" TargetMode="External"/><Relationship Id="rId198" Type="http://schemas.openxmlformats.org/officeDocument/2006/relationships/hyperlink" Target="https://finance.vietstock.vn/DWS-ctcp-cap-nuoc-va-moi-truong-do-thi-dong-thap.htm" TargetMode="External"/><Relationship Id="rId321" Type="http://schemas.openxmlformats.org/officeDocument/2006/relationships/hyperlink" Target="https://finance.vietstock.vn/KBC-tong-cong-ty-phat-trien-do-thi-kinh-bac-ctcp.htm" TargetMode="External"/><Relationship Id="rId419" Type="http://schemas.openxmlformats.org/officeDocument/2006/relationships/hyperlink" Target="https://finance.vietstock.vn/NQB-ctcp-cap-nuoc-quang-binh.htm" TargetMode="External"/><Relationship Id="rId626" Type="http://schemas.openxmlformats.org/officeDocument/2006/relationships/hyperlink" Target="https://finance.vietstock.vn/TA9-ctcp-xay-lap-thanh-an-96.htm" TargetMode="External"/><Relationship Id="rId265" Type="http://schemas.openxmlformats.org/officeDocument/2006/relationships/hyperlink" Target="https://finance.vietstock.vn/HLC-ctcp-than-ha-lam-vinacomin.htm" TargetMode="External"/><Relationship Id="rId472" Type="http://schemas.openxmlformats.org/officeDocument/2006/relationships/hyperlink" Target="https://finance.vietstock.vn/PLX-tap-doan-xang-dau-viet-nam.htm" TargetMode="External"/><Relationship Id="rId125" Type="http://schemas.openxmlformats.org/officeDocument/2006/relationships/hyperlink" Target="https://finance.vietstock.vn/CTW-ctcp-cap-thoat-nuoc-can-tho.htm" TargetMode="External"/><Relationship Id="rId332" Type="http://schemas.openxmlformats.org/officeDocument/2006/relationships/hyperlink" Target="https://finance.vietstock.vn/KOS-ctcp-kosy.htm" TargetMode="External"/><Relationship Id="rId777" Type="http://schemas.openxmlformats.org/officeDocument/2006/relationships/hyperlink" Target="https://finance.vietstock.vn/VTE-ctcp-vinacap-kim-long.htm" TargetMode="External"/><Relationship Id="rId637" Type="http://schemas.openxmlformats.org/officeDocument/2006/relationships/hyperlink" Target="https://finance.vietstock.vn/TDC-ctcp-kinh-doanh-va-phat-trien-binh-duong.htm" TargetMode="External"/><Relationship Id="rId276" Type="http://schemas.openxmlformats.org/officeDocument/2006/relationships/hyperlink" Target="https://finance.vietstock.vn/HPI-ctcp-khu-cong-nghiep-hiep-phuoc.htm" TargetMode="External"/><Relationship Id="rId483" Type="http://schemas.openxmlformats.org/officeDocument/2006/relationships/hyperlink" Target="https://finance.vietstock.vn/POW-tong-cong-ty-dien-luc-dau-khi-viet-nam-ctcp.htm" TargetMode="External"/><Relationship Id="rId690" Type="http://schemas.openxmlformats.org/officeDocument/2006/relationships/hyperlink" Target="https://finance.vietstock.vn/TTF-ctcp-tap-doan-ky-nghe-go-truong-thanh.htm" TargetMode="External"/><Relationship Id="rId704" Type="http://schemas.openxmlformats.org/officeDocument/2006/relationships/hyperlink" Target="https://finance.vietstock.vn/V21-ctcp-vinaconex-21.htm" TargetMode="External"/><Relationship Id="rId40" Type="http://schemas.openxmlformats.org/officeDocument/2006/relationships/hyperlink" Target="https://finance.vietstock.vn/BCC-ctcp-xi-mang-bim-son.htm" TargetMode="External"/><Relationship Id="rId136" Type="http://schemas.openxmlformats.org/officeDocument/2006/relationships/hyperlink" Target="https://finance.vietstock.vn/DC2-ctcp-dau-tu-phat-trien-xay-dung-dic-so-2.htm" TargetMode="External"/><Relationship Id="rId343" Type="http://schemas.openxmlformats.org/officeDocument/2006/relationships/hyperlink" Target="https://finance.vietstock.vn/L40-ctcp-dau-tu-va-xay-dung-40.htm" TargetMode="External"/><Relationship Id="rId550" Type="http://schemas.openxmlformats.org/officeDocument/2006/relationships/hyperlink" Target="https://finance.vietstock.vn/SBV-ctcp-siam-brothers-viet-nam.htm" TargetMode="External"/><Relationship Id="rId788" Type="http://schemas.openxmlformats.org/officeDocument/2006/relationships/hyperlink" Target="https://finance.vietstock.vn/WTC-ctcp-van-tai-thuy-vinacomin.htm" TargetMode="External"/><Relationship Id="rId203" Type="http://schemas.openxmlformats.org/officeDocument/2006/relationships/hyperlink" Target="https://finance.vietstock.vn/EBS-ctcp-sach-giao-duc-tai-thanh-pho-ha-noi.htm" TargetMode="External"/><Relationship Id="rId648" Type="http://schemas.openxmlformats.org/officeDocument/2006/relationships/hyperlink" Target="https://finance.vietstock.vn/TFC-ctcp-trang.htm" TargetMode="External"/><Relationship Id="rId287" Type="http://schemas.openxmlformats.org/officeDocument/2006/relationships/hyperlink" Target="https://finance.vietstock.vn/HTI-ctcp-dau-tu-phat-trien-ha-tang-idico.htm" TargetMode="External"/><Relationship Id="rId410" Type="http://schemas.openxmlformats.org/officeDocument/2006/relationships/hyperlink" Target="https://finance.vietstock.vn/NET-ctcp-bot-giat-net.htm" TargetMode="External"/><Relationship Id="rId494" Type="http://schemas.openxmlformats.org/officeDocument/2006/relationships/hyperlink" Target="https://finance.vietstock.vn/PSW-ctcp-phan-bon-va-hoa-chat-dau-khi-tay-nam-bo.htm" TargetMode="External"/><Relationship Id="rId508" Type="http://schemas.openxmlformats.org/officeDocument/2006/relationships/hyperlink" Target="https://finance.vietstock.vn/PVH-ctcp-xay-lap-dau-khi-thanh-hoa.htm" TargetMode="External"/><Relationship Id="rId715" Type="http://schemas.openxmlformats.org/officeDocument/2006/relationships/hyperlink" Target="https://finance.vietstock.vn/VCF-ctcp-vinacafe-bien-hoa.htm" TargetMode="External"/><Relationship Id="rId147" Type="http://schemas.openxmlformats.org/officeDocument/2006/relationships/hyperlink" Target="https://finance.vietstock.vn/DGC-ctcp-tap-doan-hoa-chat-duc-giang.htm" TargetMode="External"/><Relationship Id="rId354" Type="http://schemas.openxmlformats.org/officeDocument/2006/relationships/hyperlink" Target="https://finance.vietstock.vn/LDW-ctcp-cap-thoat-nuoc-lam-dong.htm" TargetMode="External"/><Relationship Id="rId51" Type="http://schemas.openxmlformats.org/officeDocument/2006/relationships/hyperlink" Target="https://finance.vietstock.vn/BKC-ctcp-khoang-san-bac-kan.htm" TargetMode="External"/><Relationship Id="rId561" Type="http://schemas.openxmlformats.org/officeDocument/2006/relationships/hyperlink" Target="https://finance.vietstock.vn/SD6-ctcp-song-da-6.htm" TargetMode="External"/><Relationship Id="rId659" Type="http://schemas.openxmlformats.org/officeDocument/2006/relationships/hyperlink" Target="https://finance.vietstock.vn/TIS-ctcp-gang-thep-thai-nguyen.htm" TargetMode="External"/><Relationship Id="rId214" Type="http://schemas.openxmlformats.org/officeDocument/2006/relationships/hyperlink" Target="https://finance.vietstock.vn/FIR-ctcp-dia-oc-first-real.htm" TargetMode="External"/><Relationship Id="rId298" Type="http://schemas.openxmlformats.org/officeDocument/2006/relationships/hyperlink" Target="https://finance.vietstock.vn/HVT-ctcp-hoa-chat-viet-tri.htm" TargetMode="External"/><Relationship Id="rId421" Type="http://schemas.openxmlformats.org/officeDocument/2006/relationships/hyperlink" Target="https://finance.vietstock.vn/NRC-ctcp-tap-doan-nrc.htm" TargetMode="External"/><Relationship Id="rId519" Type="http://schemas.openxmlformats.org/officeDocument/2006/relationships/hyperlink" Target="https://finance.vietstock.vn/PXA-ctcp-dau-tu-va-thuong-mai-dau-khi-nghe-an.htm" TargetMode="External"/><Relationship Id="rId158" Type="http://schemas.openxmlformats.org/officeDocument/2006/relationships/hyperlink" Target="https://finance.vietstock.vn/DIG-tong-cong-ty-co-phan-dau-tu-phat-trien-xay-dung.htm" TargetMode="External"/><Relationship Id="rId726" Type="http://schemas.openxmlformats.org/officeDocument/2006/relationships/hyperlink" Target="https://finance.vietstock.vn/VET-ctcp-thuoc-thu-y-trung-uong-navetco.htm" TargetMode="External"/><Relationship Id="rId62" Type="http://schemas.openxmlformats.org/officeDocument/2006/relationships/hyperlink" Target="https://finance.vietstock.vn/BSQ-ctcp-bia-sai-gon-quang-ngai.htm" TargetMode="External"/><Relationship Id="rId365" Type="http://schemas.openxmlformats.org/officeDocument/2006/relationships/hyperlink" Target="https://finance.vietstock.vn/LPT-ctcp-thuong-mai-va-san-xuat-lap-phuong-thanh.htm" TargetMode="External"/><Relationship Id="rId572" Type="http://schemas.openxmlformats.org/officeDocument/2006/relationships/hyperlink" Target="https://finance.vietstock.vn/SFG-ctcp-phan-bon-mien-nam.htm" TargetMode="External"/><Relationship Id="rId225" Type="http://schemas.openxmlformats.org/officeDocument/2006/relationships/hyperlink" Target="https://finance.vietstock.vn/GDT-ctcp-che-bien-go-duc-thanh.htm" TargetMode="External"/><Relationship Id="rId432" Type="http://schemas.openxmlformats.org/officeDocument/2006/relationships/hyperlink" Target="https://finance.vietstock.vn/NVL-ctcp-tap-doan-dau-tu-dia-oc-no-va.htm" TargetMode="External"/><Relationship Id="rId737" Type="http://schemas.openxmlformats.org/officeDocument/2006/relationships/hyperlink" Target="https://finance.vietstock.vn/VHD-ctcp-dau-tu-phat-trien-nha-va-do-thi-vinahud.htm" TargetMode="External"/><Relationship Id="rId73" Type="http://schemas.openxmlformats.org/officeDocument/2006/relationships/hyperlink" Target="https://finance.vietstock.vn/C47-ctcp-xay-dung-47.htm" TargetMode="External"/><Relationship Id="rId169" Type="http://schemas.openxmlformats.org/officeDocument/2006/relationships/hyperlink" Target="https://finance.vietstock.vn/DNN-ctcp-cap-nuoc-da-nang.htm" TargetMode="External"/><Relationship Id="rId376" Type="http://schemas.openxmlformats.org/officeDocument/2006/relationships/hyperlink" Target="https://finance.vietstock.vn/MDF-ctcp-go-mdf-vrg-quang-tri.htm" TargetMode="External"/><Relationship Id="rId583" Type="http://schemas.openxmlformats.org/officeDocument/2006/relationships/hyperlink" Target="https://finance.vietstock.vn/SHE-ctcp-phat-trien-nang-luong-son-ha.htm" TargetMode="External"/><Relationship Id="rId4" Type="http://schemas.openxmlformats.org/officeDocument/2006/relationships/hyperlink" Target="https://finance.vietstock.vn/AAV-ctcp-aav-group.htm" TargetMode="External"/><Relationship Id="rId236" Type="http://schemas.openxmlformats.org/officeDocument/2006/relationships/hyperlink" Target="https://finance.vietstock.vn/GSM-ctcp-thuy-dien-huong-son.htm" TargetMode="External"/><Relationship Id="rId443" Type="http://schemas.openxmlformats.org/officeDocument/2006/relationships/hyperlink" Target="https://finance.vietstock.vn/PBC-ctcp-duoc-pham-trung-uong-i-pharbaco.htm" TargetMode="External"/><Relationship Id="rId650" Type="http://schemas.openxmlformats.org/officeDocument/2006/relationships/hyperlink" Target="https://finance.vietstock.vn/THB-ctcp-bia-ha-noi-thanh-hoa.htm" TargetMode="External"/><Relationship Id="rId303" Type="http://schemas.openxmlformats.org/officeDocument/2006/relationships/hyperlink" Target="https://finance.vietstock.vn/ICN-ctcp-dau-tu-xay-dung-dau-khi-idico.htm" TargetMode="External"/><Relationship Id="rId748" Type="http://schemas.openxmlformats.org/officeDocument/2006/relationships/hyperlink" Target="https://finance.vietstock.vn/VLS-ctcp-san-xuat-thep-viet-long.htm" TargetMode="External"/><Relationship Id="rId84" Type="http://schemas.openxmlformats.org/officeDocument/2006/relationships/hyperlink" Target="https://finance.vietstock.vn/CDN-ctcp-cang-da-nang.htm" TargetMode="External"/><Relationship Id="rId387" Type="http://schemas.openxmlformats.org/officeDocument/2006/relationships/hyperlink" Target="https://finance.vietstock.vn/MSR-ctcp-masan-high-tech-materials.htm" TargetMode="External"/><Relationship Id="rId510" Type="http://schemas.openxmlformats.org/officeDocument/2006/relationships/hyperlink" Target="https://finance.vietstock.vn/PVL-ctcp-dia-oc-dau-khi.htm" TargetMode="External"/><Relationship Id="rId594" Type="http://schemas.openxmlformats.org/officeDocument/2006/relationships/hyperlink" Target="https://finance.vietstock.vn/SJG-tong-cong-ty-song-da-ctcp.htm" TargetMode="External"/><Relationship Id="rId608" Type="http://schemas.openxmlformats.org/officeDocument/2006/relationships/hyperlink" Target="https://finance.vietstock.vn/SPM-ctcp-spm.htm" TargetMode="External"/><Relationship Id="rId247" Type="http://schemas.openxmlformats.org/officeDocument/2006/relationships/hyperlink" Target="https://finance.vietstock.vn/HBH-ctcp-habeco-hai-phong.htm" TargetMode="External"/><Relationship Id="rId107" Type="http://schemas.openxmlformats.org/officeDocument/2006/relationships/hyperlink" Target="https://finance.vietstock.vn/CMX-ctcp-camimex-group.htm" TargetMode="External"/><Relationship Id="rId454" Type="http://schemas.openxmlformats.org/officeDocument/2006/relationships/hyperlink" Target="https://finance.vietstock.vn/PET-tong-cong-ty-co-phan-dich-vu-tong-hop-dau-khi.htm" TargetMode="External"/><Relationship Id="rId661" Type="http://schemas.openxmlformats.org/officeDocument/2006/relationships/hyperlink" Target="https://finance.vietstock.vn/TLD-ctcp-dau-tu-xay-dung-va-phat-trien-do-thi-thang-long.htm" TargetMode="External"/><Relationship Id="rId759" Type="http://schemas.openxmlformats.org/officeDocument/2006/relationships/hyperlink" Target="https://finance.vietstock.vn/VNY-ctcp-thuoc-thu-y-trung-uong-i.htm" TargetMode="External"/><Relationship Id="rId11" Type="http://schemas.openxmlformats.org/officeDocument/2006/relationships/hyperlink" Target="https://finance.vietstock.vn/ACV-tong-cong-ty-cang-hang-khong-viet-nam-ctcp.htm" TargetMode="External"/><Relationship Id="rId314" Type="http://schemas.openxmlformats.org/officeDocument/2006/relationships/hyperlink" Target="https://finance.vietstock.vn/INN-ctcp-bao-bi-va-in-nong-nghiep.htm" TargetMode="External"/><Relationship Id="rId398" Type="http://schemas.openxmlformats.org/officeDocument/2006/relationships/hyperlink" Target="https://finance.vietstock.vn/NAP-ctcp-cang-nghe-tinh.htm" TargetMode="External"/><Relationship Id="rId521" Type="http://schemas.openxmlformats.org/officeDocument/2006/relationships/hyperlink" Target="https://finance.vietstock.vn/PXT-ctcp-xay-lap-duong-ong-be-chua-dau-khi.htm" TargetMode="External"/><Relationship Id="rId619" Type="http://schemas.openxmlformats.org/officeDocument/2006/relationships/hyperlink" Target="https://finance.vietstock.vn/SVG-ctcp-hoi-ky-nghe-que-han.htm" TargetMode="External"/><Relationship Id="rId95" Type="http://schemas.openxmlformats.org/officeDocument/2006/relationships/hyperlink" Target="https://finance.vietstock.vn/CLC-ctcp-cat-loi.htm" TargetMode="External"/><Relationship Id="rId160" Type="http://schemas.openxmlformats.org/officeDocument/2006/relationships/hyperlink" Target="https://finance.vietstock.vn/DKG-ctcp-tap-doan-damik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26E6-E9BF-4588-BAB8-AD3B54345705}">
  <dimension ref="A1:L789"/>
  <sheetViews>
    <sheetView tabSelected="1" workbookViewId="0">
      <selection activeCell="B2" sqref="B2"/>
    </sheetView>
  </sheetViews>
  <sheetFormatPr defaultRowHeight="14.25" x14ac:dyDescent="0.45"/>
  <cols>
    <col min="2" max="2" width="12.06640625" customWidth="1"/>
    <col min="3" max="4" width="9.1328125" customWidth="1"/>
    <col min="5" max="5" width="9.3984375" customWidth="1"/>
    <col min="6" max="6" width="13.1328125" customWidth="1"/>
    <col min="7" max="7" width="9.86328125" customWidth="1"/>
    <col min="8" max="8" width="11.6640625" customWidth="1"/>
    <col min="9" max="9" width="11.19921875" customWidth="1"/>
    <col min="11" max="11" width="9.59765625" customWidth="1"/>
  </cols>
  <sheetData>
    <row r="1" spans="1:12" x14ac:dyDescent="0.45">
      <c r="A1" s="23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 t="s">
        <v>5</v>
      </c>
      <c r="G1" s="26" t="s">
        <v>6</v>
      </c>
      <c r="H1" s="26" t="s">
        <v>7</v>
      </c>
      <c r="I1" s="27" t="s">
        <v>8</v>
      </c>
      <c r="J1" s="27" t="s">
        <v>9</v>
      </c>
      <c r="K1" s="24" t="s">
        <v>10</v>
      </c>
      <c r="L1" s="37" t="s">
        <v>799</v>
      </c>
    </row>
    <row r="2" spans="1:12" x14ac:dyDescent="0.45">
      <c r="A2" s="1" t="s">
        <v>11</v>
      </c>
      <c r="B2" s="2">
        <f>IF(OR(Table1[[#This Row],[M score]]=1,AND(Table1[[#This Row],[F score]]=1,Table1[[#This Row],[Z score]]=1)),1,0)</f>
        <v>0</v>
      </c>
      <c r="C2" s="3">
        <v>0</v>
      </c>
      <c r="D2" s="3">
        <v>1</v>
      </c>
      <c r="E2" s="4">
        <v>0</v>
      </c>
      <c r="F2" s="5">
        <v>3.1120331950207467E-3</v>
      </c>
      <c r="G2" s="6">
        <v>28.763291467293527</v>
      </c>
      <c r="H2" s="6">
        <v>23.51</v>
      </c>
      <c r="I2" s="7">
        <v>1</v>
      </c>
      <c r="J2" s="7">
        <v>1</v>
      </c>
      <c r="K2" s="8">
        <v>1</v>
      </c>
      <c r="L2" s="36">
        <v>-2.52</v>
      </c>
    </row>
    <row r="3" spans="1:12" x14ac:dyDescent="0.45">
      <c r="A3" s="9" t="s">
        <v>12</v>
      </c>
      <c r="B3" s="2">
        <f>IF(OR(Table1[[#This Row],[M score]]=1,AND(Table1[[#This Row],[F score]]=1,Table1[[#This Row],[Z score]]=1)),1,0)</f>
        <v>0</v>
      </c>
      <c r="C3" s="10">
        <v>0</v>
      </c>
      <c r="D3" s="10">
        <v>0</v>
      </c>
      <c r="E3" s="11">
        <v>0</v>
      </c>
      <c r="F3" s="12">
        <v>-1.1881188118811881</v>
      </c>
      <c r="G3" s="13">
        <v>26.774036489951801</v>
      </c>
      <c r="H3" s="14">
        <v>6.34</v>
      </c>
      <c r="I3" s="15">
        <v>0</v>
      </c>
      <c r="J3" s="15">
        <v>0</v>
      </c>
      <c r="K3" s="16">
        <v>1</v>
      </c>
      <c r="L3" s="36">
        <v>-0.19</v>
      </c>
    </row>
    <row r="4" spans="1:12" x14ac:dyDescent="0.45">
      <c r="A4" s="1" t="s">
        <v>13</v>
      </c>
      <c r="B4" s="2">
        <f>IF(OR(Table1[[#This Row],[M score]]=1,AND(Table1[[#This Row],[F score]]=1,Table1[[#This Row],[Z score]]=1)),1,0)</f>
        <v>0</v>
      </c>
      <c r="C4" s="17">
        <v>0</v>
      </c>
      <c r="D4" s="17">
        <v>1</v>
      </c>
      <c r="E4" s="18">
        <v>0</v>
      </c>
      <c r="F4" s="19">
        <v>-4.5762711864406782</v>
      </c>
      <c r="G4" s="6">
        <v>26.155876754870938</v>
      </c>
      <c r="H4" s="20">
        <v>29.52</v>
      </c>
      <c r="I4" s="21">
        <v>1</v>
      </c>
      <c r="J4" s="21">
        <v>0</v>
      </c>
      <c r="K4" s="22">
        <v>0</v>
      </c>
      <c r="L4" s="36">
        <v>5.4</v>
      </c>
    </row>
    <row r="5" spans="1:12" x14ac:dyDescent="0.45">
      <c r="A5" s="9" t="s">
        <v>14</v>
      </c>
      <c r="B5" s="2">
        <f>IF(OR(Table1[[#This Row],[M score]]=1,AND(Table1[[#This Row],[F score]]=1,Table1[[#This Row],[Z score]]=1)),1,0)</f>
        <v>1</v>
      </c>
      <c r="C5" s="10">
        <v>0</v>
      </c>
      <c r="D5" s="10">
        <v>1</v>
      </c>
      <c r="E5" s="11">
        <v>1</v>
      </c>
      <c r="F5" s="12">
        <v>0.47577092511013214</v>
      </c>
      <c r="G5" s="13">
        <v>26.797743132862909</v>
      </c>
      <c r="H5" s="14">
        <v>26.62</v>
      </c>
      <c r="I5" s="15">
        <v>1</v>
      </c>
      <c r="J5" s="15">
        <v>0</v>
      </c>
      <c r="K5" s="16">
        <v>1</v>
      </c>
      <c r="L5" s="36">
        <v>-2.95</v>
      </c>
    </row>
    <row r="6" spans="1:12" x14ac:dyDescent="0.45">
      <c r="A6" s="1" t="s">
        <v>15</v>
      </c>
      <c r="B6" s="2">
        <f>IF(OR(Table1[[#This Row],[M score]]=1,AND(Table1[[#This Row],[F score]]=1,Table1[[#This Row],[Z score]]=1)),1,0)</f>
        <v>0</v>
      </c>
      <c r="C6" s="17">
        <v>0</v>
      </c>
      <c r="D6" s="17">
        <v>0</v>
      </c>
      <c r="E6" s="18">
        <v>0</v>
      </c>
      <c r="F6" s="19">
        <v>0.54492753623188406</v>
      </c>
      <c r="G6" s="6">
        <v>26.145206484999537</v>
      </c>
      <c r="H6" s="20">
        <v>19.899999999999999</v>
      </c>
      <c r="I6" s="21">
        <v>0</v>
      </c>
      <c r="J6" s="21">
        <v>0</v>
      </c>
      <c r="K6" s="22">
        <v>1</v>
      </c>
      <c r="L6" s="36">
        <v>2.21</v>
      </c>
    </row>
    <row r="7" spans="1:12" x14ac:dyDescent="0.45">
      <c r="A7" s="9" t="s">
        <v>16</v>
      </c>
      <c r="B7" s="2">
        <f>IF(OR(Table1[[#This Row],[M score]]=1,AND(Table1[[#This Row],[F score]]=1,Table1[[#This Row],[Z score]]=1)),1,0)</f>
        <v>1</v>
      </c>
      <c r="C7" s="10">
        <v>0</v>
      </c>
      <c r="D7" s="10">
        <v>0</v>
      </c>
      <c r="E7" s="11">
        <v>1</v>
      </c>
      <c r="F7" s="12">
        <v>-214</v>
      </c>
      <c r="G7" s="13">
        <v>26.239915197811435</v>
      </c>
      <c r="H7" s="14">
        <v>12.93</v>
      </c>
      <c r="I7" s="15">
        <v>1</v>
      </c>
      <c r="J7" s="15">
        <v>0</v>
      </c>
      <c r="K7" s="16">
        <v>0</v>
      </c>
      <c r="L7" s="36">
        <v>-55.79</v>
      </c>
    </row>
    <row r="8" spans="1:12" x14ac:dyDescent="0.45">
      <c r="A8" s="1" t="s">
        <v>17</v>
      </c>
      <c r="B8" s="2">
        <f>IF(OR(Table1[[#This Row],[M score]]=1,AND(Table1[[#This Row],[F score]]=1,Table1[[#This Row],[Z score]]=1)),1,0)</f>
        <v>0</v>
      </c>
      <c r="C8" s="17">
        <v>0</v>
      </c>
      <c r="D8" s="17">
        <v>0</v>
      </c>
      <c r="E8" s="18">
        <v>0</v>
      </c>
      <c r="F8" s="19">
        <v>0.53823836602065689</v>
      </c>
      <c r="G8" s="6">
        <v>27.437931377812887</v>
      </c>
      <c r="H8" s="20">
        <v>15.25</v>
      </c>
      <c r="I8" s="21">
        <v>1</v>
      </c>
      <c r="J8" s="21">
        <v>1</v>
      </c>
      <c r="K8" s="22">
        <v>1</v>
      </c>
      <c r="L8" s="36">
        <v>19</v>
      </c>
    </row>
    <row r="9" spans="1:12" x14ac:dyDescent="0.45">
      <c r="A9" s="9" t="s">
        <v>18</v>
      </c>
      <c r="B9" s="2">
        <f>IF(OR(Table1[[#This Row],[M score]]=1,AND(Table1[[#This Row],[F score]]=1,Table1[[#This Row],[Z score]]=1)),1,0)</f>
        <v>1</v>
      </c>
      <c r="C9" s="10">
        <v>0</v>
      </c>
      <c r="D9" s="10">
        <v>1</v>
      </c>
      <c r="E9" s="11">
        <v>1</v>
      </c>
      <c r="F9" s="12">
        <v>-4.0160642570281121E-3</v>
      </c>
      <c r="G9" s="13">
        <v>28.005511353070613</v>
      </c>
      <c r="H9" s="14">
        <v>36.590000000000003</v>
      </c>
      <c r="I9" s="15">
        <v>1</v>
      </c>
      <c r="J9" s="15">
        <v>0</v>
      </c>
      <c r="K9" s="16">
        <v>1</v>
      </c>
      <c r="L9" s="36">
        <v>3.89</v>
      </c>
    </row>
    <row r="10" spans="1:12" x14ac:dyDescent="0.45">
      <c r="A10" s="1" t="s">
        <v>19</v>
      </c>
      <c r="B10" s="2">
        <f>IF(OR(Table1[[#This Row],[M score]]=1,AND(Table1[[#This Row],[F score]]=1,Table1[[#This Row],[Z score]]=1)),1,0)</f>
        <v>0</v>
      </c>
      <c r="C10" s="17">
        <v>0</v>
      </c>
      <c r="D10" s="17">
        <v>0</v>
      </c>
      <c r="E10" s="18">
        <v>0</v>
      </c>
      <c r="F10" s="19">
        <v>0.2</v>
      </c>
      <c r="G10" s="6">
        <v>29.310080511887648</v>
      </c>
      <c r="H10" s="20">
        <v>18.14</v>
      </c>
      <c r="I10" s="21">
        <v>1</v>
      </c>
      <c r="J10" s="21">
        <v>1</v>
      </c>
      <c r="K10" s="22">
        <v>1</v>
      </c>
      <c r="L10" s="36">
        <v>5.58</v>
      </c>
    </row>
    <row r="11" spans="1:12" x14ac:dyDescent="0.45">
      <c r="A11" s="9" t="s">
        <v>20</v>
      </c>
      <c r="B11" s="2">
        <f>IF(OR(Table1[[#This Row],[M score]]=1,AND(Table1[[#This Row],[F score]]=1,Table1[[#This Row],[Z score]]=1)),1,0)</f>
        <v>1</v>
      </c>
      <c r="C11" s="10">
        <v>0</v>
      </c>
      <c r="D11" s="10">
        <v>0</v>
      </c>
      <c r="E11" s="11">
        <v>1</v>
      </c>
      <c r="F11" s="12">
        <v>2.5627906976744188</v>
      </c>
      <c r="G11" s="13">
        <v>27.312612825090088</v>
      </c>
      <c r="H11" s="14">
        <v>36.020000000000003</v>
      </c>
      <c r="I11" s="15">
        <v>1</v>
      </c>
      <c r="J11" s="15">
        <v>0</v>
      </c>
      <c r="K11" s="16">
        <v>1</v>
      </c>
      <c r="L11" s="36">
        <v>4.74</v>
      </c>
    </row>
    <row r="12" spans="1:12" x14ac:dyDescent="0.45">
      <c r="A12" s="1" t="s">
        <v>21</v>
      </c>
      <c r="B12" s="2">
        <f>IF(OR(Table1[[#This Row],[M score]]=1,AND(Table1[[#This Row],[F score]]=1,Table1[[#This Row],[Z score]]=1)),1,0)</f>
        <v>0</v>
      </c>
      <c r="C12" s="17">
        <v>0</v>
      </c>
      <c r="D12" s="17">
        <v>0</v>
      </c>
      <c r="E12" s="18">
        <v>0</v>
      </c>
      <c r="F12" s="19">
        <v>-0.11534154535274356</v>
      </c>
      <c r="G12" s="6">
        <v>32.796810270639057</v>
      </c>
      <c r="H12" s="20">
        <v>10.68</v>
      </c>
      <c r="I12" s="21">
        <v>0</v>
      </c>
      <c r="J12" s="21">
        <v>0</v>
      </c>
      <c r="K12" s="22">
        <v>1</v>
      </c>
      <c r="L12" s="36">
        <v>16.47</v>
      </c>
    </row>
    <row r="13" spans="1:12" x14ac:dyDescent="0.45">
      <c r="A13" s="9" t="s">
        <v>22</v>
      </c>
      <c r="B13" s="2">
        <f>IF(OR(Table1[[#This Row],[M score]]=1,AND(Table1[[#This Row],[F score]]=1,Table1[[#This Row],[Z score]]=1)),1,0)</f>
        <v>0</v>
      </c>
      <c r="C13" s="10">
        <v>0</v>
      </c>
      <c r="D13" s="10">
        <v>0</v>
      </c>
      <c r="E13" s="11">
        <v>0</v>
      </c>
      <c r="F13" s="12">
        <v>0.15865384615384615</v>
      </c>
      <c r="G13" s="13">
        <v>25.93750831407462</v>
      </c>
      <c r="H13" s="14">
        <v>12.03</v>
      </c>
      <c r="I13" s="15">
        <v>1</v>
      </c>
      <c r="J13" s="15">
        <v>0</v>
      </c>
      <c r="K13" s="16">
        <v>1</v>
      </c>
      <c r="L13" s="36">
        <v>7.04</v>
      </c>
    </row>
    <row r="14" spans="1:12" x14ac:dyDescent="0.45">
      <c r="A14" s="1" t="s">
        <v>23</v>
      </c>
      <c r="B14" s="2">
        <f>IF(OR(Table1[[#This Row],[M score]]=1,AND(Table1[[#This Row],[F score]]=1,Table1[[#This Row],[Z score]]=1)),1,0)</f>
        <v>0</v>
      </c>
      <c r="C14" s="17">
        <v>0</v>
      </c>
      <c r="D14" s="17">
        <v>1</v>
      </c>
      <c r="E14" s="18">
        <v>0</v>
      </c>
      <c r="F14" s="19">
        <v>0.93740685543964231</v>
      </c>
      <c r="G14" s="6">
        <v>27.128570718238738</v>
      </c>
      <c r="H14" s="20">
        <v>38.82</v>
      </c>
      <c r="I14" s="21">
        <v>1</v>
      </c>
      <c r="J14" s="21">
        <v>0</v>
      </c>
      <c r="K14" s="22">
        <v>1</v>
      </c>
      <c r="L14" s="36">
        <v>6.86</v>
      </c>
    </row>
    <row r="15" spans="1:12" x14ac:dyDescent="0.45">
      <c r="A15" s="9" t="s">
        <v>24</v>
      </c>
      <c r="B15" s="2">
        <f>IF(OR(Table1[[#This Row],[M score]]=1,AND(Table1[[#This Row],[F score]]=1,Table1[[#This Row],[Z score]]=1)),1,0)</f>
        <v>0</v>
      </c>
      <c r="C15" s="10">
        <v>0</v>
      </c>
      <c r="D15" s="10">
        <v>0</v>
      </c>
      <c r="E15" s="11">
        <v>0</v>
      </c>
      <c r="F15" s="12">
        <v>0.68789013732833959</v>
      </c>
      <c r="G15" s="13">
        <v>26.746713429907444</v>
      </c>
      <c r="H15" s="14">
        <v>46.98</v>
      </c>
      <c r="I15" s="15">
        <v>1</v>
      </c>
      <c r="J15" s="15">
        <v>0</v>
      </c>
      <c r="K15" s="16">
        <v>1</v>
      </c>
      <c r="L15" s="36">
        <v>9.5399999999999991</v>
      </c>
    </row>
    <row r="16" spans="1:12" x14ac:dyDescent="0.45">
      <c r="A16" s="1" t="s">
        <v>25</v>
      </c>
      <c r="B16" s="2">
        <f>IF(OR(Table1[[#This Row],[M score]]=1,AND(Table1[[#This Row],[F score]]=1,Table1[[#This Row],[Z score]]=1)),1,0)</f>
        <v>1</v>
      </c>
      <c r="C16" s="17">
        <v>0</v>
      </c>
      <c r="D16" s="17">
        <v>1</v>
      </c>
      <c r="E16" s="18">
        <v>1</v>
      </c>
      <c r="F16" s="19">
        <v>8.6126629422718814E-2</v>
      </c>
      <c r="G16" s="6">
        <v>28.470873536655446</v>
      </c>
      <c r="H16" s="20">
        <v>18.32</v>
      </c>
      <c r="I16" s="21">
        <v>1</v>
      </c>
      <c r="J16" s="21">
        <v>1</v>
      </c>
      <c r="K16" s="22">
        <v>1</v>
      </c>
      <c r="L16" s="36">
        <v>12.05</v>
      </c>
    </row>
    <row r="17" spans="1:12" x14ac:dyDescent="0.45">
      <c r="A17" s="9" t="s">
        <v>26</v>
      </c>
      <c r="B17" s="2">
        <f>IF(OR(Table1[[#This Row],[M score]]=1,AND(Table1[[#This Row],[F score]]=1,Table1[[#This Row],[Z score]]=1)),1,0)</f>
        <v>0</v>
      </c>
      <c r="C17" s="10">
        <v>0</v>
      </c>
      <c r="D17" s="10">
        <v>0</v>
      </c>
      <c r="E17" s="11">
        <v>0</v>
      </c>
      <c r="F17" s="12">
        <v>-5.5860805860805864E-2</v>
      </c>
      <c r="G17" s="13">
        <v>27.602063133618554</v>
      </c>
      <c r="H17" s="14">
        <v>46.36</v>
      </c>
      <c r="I17" s="15">
        <v>0</v>
      </c>
      <c r="J17" s="15">
        <v>0</v>
      </c>
      <c r="K17" s="16">
        <v>1</v>
      </c>
      <c r="L17" s="36">
        <v>13.65</v>
      </c>
    </row>
    <row r="18" spans="1:12" x14ac:dyDescent="0.45">
      <c r="A18" s="1" t="s">
        <v>27</v>
      </c>
      <c r="B18" s="2">
        <f>IF(OR(Table1[[#This Row],[M score]]=1,AND(Table1[[#This Row],[F score]]=1,Table1[[#This Row],[Z score]]=1)),1,0)</f>
        <v>0</v>
      </c>
      <c r="C18" s="17">
        <v>0</v>
      </c>
      <c r="D18" s="17">
        <v>0</v>
      </c>
      <c r="E18" s="18">
        <v>0</v>
      </c>
      <c r="F18" s="19">
        <v>0.32315891472868219</v>
      </c>
      <c r="G18" s="6">
        <v>29.77461808584399</v>
      </c>
      <c r="H18" s="20">
        <v>21.97</v>
      </c>
      <c r="I18" s="21">
        <v>0</v>
      </c>
      <c r="J18" s="21">
        <v>1</v>
      </c>
      <c r="K18" s="22">
        <v>1</v>
      </c>
      <c r="L18" s="36">
        <v>25.34</v>
      </c>
    </row>
    <row r="19" spans="1:12" x14ac:dyDescent="0.45">
      <c r="A19" s="9" t="s">
        <v>28</v>
      </c>
      <c r="B19" s="2">
        <f>IF(OR(Table1[[#This Row],[M score]]=1,AND(Table1[[#This Row],[F score]]=1,Table1[[#This Row],[Z score]]=1)),1,0)</f>
        <v>0</v>
      </c>
      <c r="C19" s="10">
        <v>0</v>
      </c>
      <c r="D19" s="10">
        <v>0</v>
      </c>
      <c r="E19" s="11">
        <v>0</v>
      </c>
      <c r="F19" s="12">
        <v>2.0833333333333335</v>
      </c>
      <c r="G19" s="13">
        <v>25.035100895366622</v>
      </c>
      <c r="H19" s="14">
        <v>16.12</v>
      </c>
      <c r="I19" s="15">
        <v>1</v>
      </c>
      <c r="J19" s="15">
        <v>0</v>
      </c>
      <c r="K19" s="16">
        <v>0</v>
      </c>
      <c r="L19" s="36">
        <v>2.52</v>
      </c>
    </row>
    <row r="20" spans="1:12" x14ac:dyDescent="0.45">
      <c r="A20" s="1" t="s">
        <v>29</v>
      </c>
      <c r="B20" s="2">
        <f>IF(OR(Table1[[#This Row],[M score]]=1,AND(Table1[[#This Row],[F score]]=1,Table1[[#This Row],[Z score]]=1)),1,0)</f>
        <v>0</v>
      </c>
      <c r="C20" s="17">
        <v>0</v>
      </c>
      <c r="D20" s="17">
        <v>0</v>
      </c>
      <c r="E20" s="18">
        <v>0</v>
      </c>
      <c r="F20" s="19">
        <v>3.869184707508061E-2</v>
      </c>
      <c r="G20" s="6">
        <v>24.335534188688506</v>
      </c>
      <c r="H20" s="20">
        <v>17.22</v>
      </c>
      <c r="I20" s="21">
        <v>1</v>
      </c>
      <c r="J20" s="21">
        <v>0</v>
      </c>
      <c r="K20" s="22">
        <v>1</v>
      </c>
      <c r="L20" s="36">
        <v>3.69</v>
      </c>
    </row>
    <row r="21" spans="1:12" x14ac:dyDescent="0.45">
      <c r="A21" s="9" t="s">
        <v>30</v>
      </c>
      <c r="B21" s="2">
        <f>IF(OR(Table1[[#This Row],[M score]]=1,AND(Table1[[#This Row],[F score]]=1,Table1[[#This Row],[Z score]]=1)),1,0)</f>
        <v>0</v>
      </c>
      <c r="C21" s="10">
        <v>0</v>
      </c>
      <c r="D21" s="10">
        <v>0</v>
      </c>
      <c r="E21" s="11">
        <v>0</v>
      </c>
      <c r="F21" s="12">
        <v>0.79022988505747127</v>
      </c>
      <c r="G21" s="13">
        <v>26.888599654033364</v>
      </c>
      <c r="H21" s="14">
        <v>46.21</v>
      </c>
      <c r="I21" s="15">
        <v>1</v>
      </c>
      <c r="J21" s="15">
        <v>0</v>
      </c>
      <c r="K21" s="16">
        <v>0</v>
      </c>
      <c r="L21" s="36">
        <v>4.79</v>
      </c>
    </row>
    <row r="22" spans="1:12" x14ac:dyDescent="0.45">
      <c r="A22" s="1" t="s">
        <v>31</v>
      </c>
      <c r="B22" s="2">
        <f>IF(OR(Table1[[#This Row],[M score]]=1,AND(Table1[[#This Row],[F score]]=1,Table1[[#This Row],[Z score]]=1)),1,0)</f>
        <v>0</v>
      </c>
      <c r="C22" s="17">
        <v>0</v>
      </c>
      <c r="D22" s="17">
        <v>1</v>
      </c>
      <c r="E22" s="18">
        <v>0</v>
      </c>
      <c r="F22" s="19">
        <v>9.6085409252669035E-2</v>
      </c>
      <c r="G22" s="6">
        <v>25.989576407359362</v>
      </c>
      <c r="H22" s="20">
        <v>38.58</v>
      </c>
      <c r="I22" s="21">
        <v>0</v>
      </c>
      <c r="J22" s="21">
        <v>0</v>
      </c>
      <c r="K22" s="22">
        <v>1</v>
      </c>
      <c r="L22" s="36">
        <v>2</v>
      </c>
    </row>
    <row r="23" spans="1:12" x14ac:dyDescent="0.45">
      <c r="A23" s="9" t="s">
        <v>32</v>
      </c>
      <c r="B23" s="2">
        <f>IF(OR(Table1[[#This Row],[M score]]=1,AND(Table1[[#This Row],[F score]]=1,Table1[[#This Row],[Z score]]=1)),1,0)</f>
        <v>0</v>
      </c>
      <c r="C23" s="10">
        <v>0</v>
      </c>
      <c r="D23" s="10">
        <v>1</v>
      </c>
      <c r="E23" s="11">
        <v>0</v>
      </c>
      <c r="F23" s="12">
        <v>8.0697928026172303E-2</v>
      </c>
      <c r="G23" s="13">
        <v>26.845758646460798</v>
      </c>
      <c r="H23" s="14">
        <v>40.15</v>
      </c>
      <c r="I23" s="15">
        <v>0</v>
      </c>
      <c r="J23" s="15">
        <v>0</v>
      </c>
      <c r="K23" s="16">
        <v>0</v>
      </c>
      <c r="L23" s="36">
        <v>6.79</v>
      </c>
    </row>
    <row r="24" spans="1:12" x14ac:dyDescent="0.45">
      <c r="A24" s="1" t="s">
        <v>33</v>
      </c>
      <c r="B24" s="2">
        <f>IF(OR(Table1[[#This Row],[M score]]=1,AND(Table1[[#This Row],[F score]]=1,Table1[[#This Row],[Z score]]=1)),1,0)</f>
        <v>0</v>
      </c>
      <c r="C24" s="17">
        <v>0</v>
      </c>
      <c r="D24" s="17">
        <v>1</v>
      </c>
      <c r="E24" s="18">
        <v>0</v>
      </c>
      <c r="F24" s="19">
        <v>3.7647058823529411</v>
      </c>
      <c r="G24" s="6">
        <v>26.292416504219982</v>
      </c>
      <c r="H24" s="20">
        <v>7.85</v>
      </c>
      <c r="I24" s="21">
        <v>1</v>
      </c>
      <c r="J24" s="21">
        <v>0</v>
      </c>
      <c r="K24" s="22">
        <v>0</v>
      </c>
      <c r="L24" s="36">
        <v>-3.19</v>
      </c>
    </row>
    <row r="25" spans="1:12" x14ac:dyDescent="0.45">
      <c r="A25" s="9" t="s">
        <v>34</v>
      </c>
      <c r="B25" s="2">
        <f>IF(OR(Table1[[#This Row],[M score]]=1,AND(Table1[[#This Row],[F score]]=1,Table1[[#This Row],[Z score]]=1)),1,0)</f>
        <v>0</v>
      </c>
      <c r="C25" s="10">
        <v>0</v>
      </c>
      <c r="D25" s="10">
        <v>0</v>
      </c>
      <c r="E25" s="11">
        <v>0</v>
      </c>
      <c r="F25" s="12">
        <v>0.53181362725450898</v>
      </c>
      <c r="G25" s="13">
        <v>27.639143773643831</v>
      </c>
      <c r="H25" s="14">
        <v>58.03</v>
      </c>
      <c r="I25" s="15">
        <v>1</v>
      </c>
      <c r="J25" s="15">
        <v>1</v>
      </c>
      <c r="K25" s="16">
        <v>1</v>
      </c>
      <c r="L25" s="36">
        <v>58.26</v>
      </c>
    </row>
    <row r="26" spans="1:12" x14ac:dyDescent="0.45">
      <c r="A26" s="1" t="s">
        <v>35</v>
      </c>
      <c r="B26" s="2">
        <f>IF(OR(Table1[[#This Row],[M score]]=1,AND(Table1[[#This Row],[F score]]=1,Table1[[#This Row],[Z score]]=1)),1,0)</f>
        <v>0</v>
      </c>
      <c r="C26" s="17">
        <v>1</v>
      </c>
      <c r="D26" s="17">
        <v>0</v>
      </c>
      <c r="E26" s="18">
        <v>0</v>
      </c>
      <c r="F26" s="19">
        <v>10.879746835443038</v>
      </c>
      <c r="G26" s="6">
        <v>29.554214141882156</v>
      </c>
      <c r="H26" s="20">
        <v>28.39</v>
      </c>
      <c r="I26" s="21">
        <v>1</v>
      </c>
      <c r="J26" s="21">
        <v>0</v>
      </c>
      <c r="K26" s="22">
        <v>1</v>
      </c>
      <c r="L26" s="36">
        <v>26.11</v>
      </c>
    </row>
    <row r="27" spans="1:12" x14ac:dyDescent="0.45">
      <c r="A27" s="9" t="s">
        <v>36</v>
      </c>
      <c r="B27" s="2">
        <f>IF(OR(Table1[[#This Row],[M score]]=1,AND(Table1[[#This Row],[F score]]=1,Table1[[#This Row],[Z score]]=1)),1,0)</f>
        <v>0</v>
      </c>
      <c r="C27" s="10">
        <v>0</v>
      </c>
      <c r="D27" s="10">
        <v>1</v>
      </c>
      <c r="E27" s="11">
        <v>0</v>
      </c>
      <c r="F27" s="12">
        <v>0.29078694817658352</v>
      </c>
      <c r="G27" s="13">
        <v>25.586040226265332</v>
      </c>
      <c r="H27" s="14">
        <v>22.74</v>
      </c>
      <c r="I27" s="15">
        <v>0</v>
      </c>
      <c r="J27" s="15">
        <v>0</v>
      </c>
      <c r="K27" s="16">
        <v>1</v>
      </c>
      <c r="L27" s="36">
        <v>-4.71</v>
      </c>
    </row>
    <row r="28" spans="1:12" x14ac:dyDescent="0.45">
      <c r="A28" s="1" t="s">
        <v>37</v>
      </c>
      <c r="B28" s="2">
        <f>IF(OR(Table1[[#This Row],[M score]]=1,AND(Table1[[#This Row],[F score]]=1,Table1[[#This Row],[Z score]]=1)),1,0)</f>
        <v>0</v>
      </c>
      <c r="C28" s="17">
        <v>0</v>
      </c>
      <c r="D28" s="17">
        <v>0</v>
      </c>
      <c r="E28" s="18">
        <v>0</v>
      </c>
      <c r="F28" s="19">
        <v>-4.3223443223443223E-2</v>
      </c>
      <c r="G28" s="6">
        <v>27.908439012770799</v>
      </c>
      <c r="H28" s="20">
        <v>51.14</v>
      </c>
      <c r="I28" s="21">
        <v>0</v>
      </c>
      <c r="J28" s="21">
        <v>0</v>
      </c>
      <c r="K28" s="22">
        <v>1</v>
      </c>
      <c r="L28" s="36">
        <v>9.73</v>
      </c>
    </row>
    <row r="29" spans="1:12" x14ac:dyDescent="0.45">
      <c r="A29" s="9" t="s">
        <v>38</v>
      </c>
      <c r="B29" s="2">
        <f>IF(OR(Table1[[#This Row],[M score]]=1,AND(Table1[[#This Row],[F score]]=1,Table1[[#This Row],[Z score]]=1)),1,0)</f>
        <v>0</v>
      </c>
      <c r="C29" s="10">
        <v>0</v>
      </c>
      <c r="D29" s="10">
        <v>1</v>
      </c>
      <c r="E29" s="11">
        <v>0</v>
      </c>
      <c r="F29" s="12">
        <v>0.375</v>
      </c>
      <c r="G29" s="13">
        <v>28.068414451147532</v>
      </c>
      <c r="H29" s="14">
        <v>24.14</v>
      </c>
      <c r="I29" s="15">
        <v>1</v>
      </c>
      <c r="J29" s="15">
        <v>1</v>
      </c>
      <c r="K29" s="16">
        <v>1</v>
      </c>
      <c r="L29" s="36">
        <v>-2.0699999999999998</v>
      </c>
    </row>
    <row r="30" spans="1:12" x14ac:dyDescent="0.45">
      <c r="A30" s="1" t="s">
        <v>39</v>
      </c>
      <c r="B30" s="2">
        <f>IF(OR(Table1[[#This Row],[M score]]=1,AND(Table1[[#This Row],[F score]]=1,Table1[[#This Row],[Z score]]=1)),1,0)</f>
        <v>0</v>
      </c>
      <c r="C30" s="17">
        <v>0</v>
      </c>
      <c r="D30" s="17">
        <v>1</v>
      </c>
      <c r="E30" s="18">
        <v>0</v>
      </c>
      <c r="F30" s="19">
        <v>-1.7924528301886793</v>
      </c>
      <c r="G30" s="6">
        <v>27.100991999749223</v>
      </c>
      <c r="H30" s="20">
        <v>34.01</v>
      </c>
      <c r="I30" s="21">
        <v>1</v>
      </c>
      <c r="J30" s="21">
        <v>0</v>
      </c>
      <c r="K30" s="22">
        <v>0</v>
      </c>
      <c r="L30" s="36">
        <v>2.86</v>
      </c>
    </row>
    <row r="31" spans="1:12" x14ac:dyDescent="0.45">
      <c r="A31" s="9" t="s">
        <v>40</v>
      </c>
      <c r="B31" s="2">
        <f>IF(OR(Table1[[#This Row],[M score]]=1,AND(Table1[[#This Row],[F score]]=1,Table1[[#This Row],[Z score]]=1)),1,0)</f>
        <v>0</v>
      </c>
      <c r="C31" s="10">
        <v>0</v>
      </c>
      <c r="D31" s="10">
        <v>0</v>
      </c>
      <c r="E31" s="11">
        <v>0</v>
      </c>
      <c r="F31" s="12">
        <v>0.242503259452412</v>
      </c>
      <c r="G31" s="13">
        <v>25.089105413992645</v>
      </c>
      <c r="H31" s="14">
        <v>9.11</v>
      </c>
      <c r="I31" s="15">
        <v>1</v>
      </c>
      <c r="J31" s="15">
        <v>0</v>
      </c>
      <c r="K31" s="16">
        <v>1</v>
      </c>
      <c r="L31" s="36">
        <v>5.24</v>
      </c>
    </row>
    <row r="32" spans="1:12" x14ac:dyDescent="0.45">
      <c r="A32" s="1" t="s">
        <v>41</v>
      </c>
      <c r="B32" s="2">
        <f>IF(OR(Table1[[#This Row],[M score]]=1,AND(Table1[[#This Row],[F score]]=1,Table1[[#This Row],[Z score]]=1)),1,0)</f>
        <v>0</v>
      </c>
      <c r="C32" s="17">
        <v>0</v>
      </c>
      <c r="D32" s="17">
        <v>0</v>
      </c>
      <c r="E32" s="18">
        <v>0</v>
      </c>
      <c r="F32" s="19">
        <v>1.7492163009404389</v>
      </c>
      <c r="G32" s="6">
        <v>28.064969608741851</v>
      </c>
      <c r="H32" s="20">
        <v>26.05</v>
      </c>
      <c r="I32" s="21">
        <v>1</v>
      </c>
      <c r="J32" s="21">
        <v>0</v>
      </c>
      <c r="K32" s="22">
        <v>1</v>
      </c>
      <c r="L32" s="36">
        <v>4.83</v>
      </c>
    </row>
    <row r="33" spans="1:12" x14ac:dyDescent="0.45">
      <c r="A33" s="9" t="s">
        <v>42</v>
      </c>
      <c r="B33" s="2">
        <f>IF(OR(Table1[[#This Row],[M score]]=1,AND(Table1[[#This Row],[F score]]=1,Table1[[#This Row],[Z score]]=1)),1,0)</f>
        <v>0</v>
      </c>
      <c r="C33" s="10">
        <v>0</v>
      </c>
      <c r="D33" s="10">
        <v>1</v>
      </c>
      <c r="E33" s="11">
        <v>0</v>
      </c>
      <c r="F33" s="12">
        <v>-0.76070038910505833</v>
      </c>
      <c r="G33" s="13">
        <v>28.595084556833491</v>
      </c>
      <c r="H33" s="14">
        <v>55.57</v>
      </c>
      <c r="I33" s="15">
        <v>1</v>
      </c>
      <c r="J33" s="15">
        <v>0</v>
      </c>
      <c r="K33" s="16">
        <v>1</v>
      </c>
      <c r="L33" s="36">
        <v>1.61</v>
      </c>
    </row>
    <row r="34" spans="1:12" x14ac:dyDescent="0.45">
      <c r="A34" s="1" t="s">
        <v>43</v>
      </c>
      <c r="B34" s="2">
        <f>IF(OR(Table1[[#This Row],[M score]]=1,AND(Table1[[#This Row],[F score]]=1,Table1[[#This Row],[Z score]]=1)),1,0)</f>
        <v>0</v>
      </c>
      <c r="C34" s="17">
        <v>0</v>
      </c>
      <c r="D34" s="17">
        <v>0</v>
      </c>
      <c r="E34" s="18">
        <v>0</v>
      </c>
      <c r="F34" s="19">
        <v>2.0523560209424083</v>
      </c>
      <c r="G34" s="6">
        <v>25.888751291776106</v>
      </c>
      <c r="H34" s="20">
        <v>28.46</v>
      </c>
      <c r="I34" s="21">
        <v>1</v>
      </c>
      <c r="J34" s="21">
        <v>0</v>
      </c>
      <c r="K34" s="22">
        <v>1</v>
      </c>
      <c r="L34" s="36">
        <v>9.44</v>
      </c>
    </row>
    <row r="35" spans="1:12" x14ac:dyDescent="0.45">
      <c r="A35" s="9" t="s">
        <v>44</v>
      </c>
      <c r="B35" s="2">
        <f>IF(OR(Table1[[#This Row],[M score]]=1,AND(Table1[[#This Row],[F score]]=1,Table1[[#This Row],[Z score]]=1)),1,0)</f>
        <v>0</v>
      </c>
      <c r="C35" s="10">
        <v>0</v>
      </c>
      <c r="D35" s="10">
        <v>0</v>
      </c>
      <c r="E35" s="11">
        <v>0</v>
      </c>
      <c r="F35" s="12">
        <v>0.6830154405086285</v>
      </c>
      <c r="G35" s="13">
        <v>28.873733748570416</v>
      </c>
      <c r="H35" s="14">
        <v>5.67</v>
      </c>
      <c r="I35" s="15">
        <v>1</v>
      </c>
      <c r="J35" s="15">
        <v>1</v>
      </c>
      <c r="K35" s="16">
        <v>1</v>
      </c>
      <c r="L35" s="36">
        <v>11.08</v>
      </c>
    </row>
    <row r="36" spans="1:12" x14ac:dyDescent="0.45">
      <c r="A36" s="1" t="s">
        <v>45</v>
      </c>
      <c r="B36" s="2">
        <f>IF(OR(Table1[[#This Row],[M score]]=1,AND(Table1[[#This Row],[F score]]=1,Table1[[#This Row],[Z score]]=1)),1,0)</f>
        <v>0</v>
      </c>
      <c r="C36" s="17">
        <v>0</v>
      </c>
      <c r="D36" s="17">
        <v>0</v>
      </c>
      <c r="E36" s="18">
        <v>0</v>
      </c>
      <c r="F36" s="19">
        <v>2.8216704288939052E-2</v>
      </c>
      <c r="G36" s="6">
        <v>25.898283969049888</v>
      </c>
      <c r="H36" s="20">
        <v>39.729999999999997</v>
      </c>
      <c r="I36" s="21">
        <v>0</v>
      </c>
      <c r="J36" s="21">
        <v>0</v>
      </c>
      <c r="K36" s="22">
        <v>1</v>
      </c>
      <c r="L36" s="36">
        <v>7.14</v>
      </c>
    </row>
    <row r="37" spans="1:12" x14ac:dyDescent="0.45">
      <c r="A37" s="9" t="s">
        <v>46</v>
      </c>
      <c r="B37" s="2">
        <f>IF(OR(Table1[[#This Row],[M score]]=1,AND(Table1[[#This Row],[F score]]=1,Table1[[#This Row],[Z score]]=1)),1,0)</f>
        <v>0</v>
      </c>
      <c r="C37" s="10">
        <v>0</v>
      </c>
      <c r="D37" s="10">
        <v>1</v>
      </c>
      <c r="E37" s="11">
        <v>0</v>
      </c>
      <c r="F37" s="12">
        <v>-0.7950572634116938</v>
      </c>
      <c r="G37" s="13">
        <v>30.063371436571391</v>
      </c>
      <c r="H37" s="14">
        <v>36.83</v>
      </c>
      <c r="I37" s="15">
        <v>1</v>
      </c>
      <c r="J37" s="15">
        <v>1</v>
      </c>
      <c r="K37" s="16">
        <v>1</v>
      </c>
      <c r="L37" s="36">
        <v>37.520000000000003</v>
      </c>
    </row>
    <row r="38" spans="1:12" x14ac:dyDescent="0.45">
      <c r="A38" s="1" t="s">
        <v>47</v>
      </c>
      <c r="B38" s="2">
        <f>IF(OR(Table1[[#This Row],[M score]]=1,AND(Table1[[#This Row],[F score]]=1,Table1[[#This Row],[Z score]]=1)),1,0)</f>
        <v>0</v>
      </c>
      <c r="C38" s="17">
        <v>0</v>
      </c>
      <c r="D38" s="17">
        <v>0</v>
      </c>
      <c r="E38" s="18">
        <v>0</v>
      </c>
      <c r="F38" s="19">
        <v>0.14728682170542637</v>
      </c>
      <c r="G38" s="6">
        <v>25.072252617542091</v>
      </c>
      <c r="H38" s="20">
        <v>40.58</v>
      </c>
      <c r="I38" s="21">
        <v>1</v>
      </c>
      <c r="J38" s="21">
        <v>0</v>
      </c>
      <c r="K38" s="22">
        <v>1</v>
      </c>
      <c r="L38" s="36">
        <v>0.9</v>
      </c>
    </row>
    <row r="39" spans="1:12" x14ac:dyDescent="0.45">
      <c r="A39" s="9" t="s">
        <v>48</v>
      </c>
      <c r="B39" s="2">
        <f>IF(OR(Table1[[#This Row],[M score]]=1,AND(Table1[[#This Row],[F score]]=1,Table1[[#This Row],[Z score]]=1)),1,0)</f>
        <v>0</v>
      </c>
      <c r="C39" s="10">
        <v>0</v>
      </c>
      <c r="D39" s="10">
        <v>0</v>
      </c>
      <c r="E39" s="11">
        <v>0</v>
      </c>
      <c r="F39" s="12">
        <v>-0.31358721203573109</v>
      </c>
      <c r="G39" s="13">
        <v>26.240397396647428</v>
      </c>
      <c r="H39" s="14">
        <v>17.309999999999999</v>
      </c>
      <c r="I39" s="15">
        <v>0</v>
      </c>
      <c r="J39" s="15">
        <v>0</v>
      </c>
      <c r="K39" s="16">
        <v>1</v>
      </c>
      <c r="L39" s="36">
        <v>73.58</v>
      </c>
    </row>
    <row r="40" spans="1:12" x14ac:dyDescent="0.45">
      <c r="A40" s="1" t="s">
        <v>49</v>
      </c>
      <c r="B40" s="2">
        <f>IF(OR(Table1[[#This Row],[M score]]=1,AND(Table1[[#This Row],[F score]]=1,Table1[[#This Row],[Z score]]=1)),1,0)</f>
        <v>0</v>
      </c>
      <c r="C40" s="17">
        <v>0</v>
      </c>
      <c r="D40" s="17">
        <v>0</v>
      </c>
      <c r="E40" s="18">
        <v>0</v>
      </c>
      <c r="F40" s="19">
        <v>-1.1057619408642911</v>
      </c>
      <c r="G40" s="6">
        <v>27.267177682511203</v>
      </c>
      <c r="H40" s="20">
        <v>38.04</v>
      </c>
      <c r="I40" s="21">
        <v>0</v>
      </c>
      <c r="J40" s="21">
        <v>0</v>
      </c>
      <c r="K40" s="22">
        <v>1</v>
      </c>
      <c r="L40" s="36">
        <v>92.22</v>
      </c>
    </row>
    <row r="41" spans="1:12" x14ac:dyDescent="0.45">
      <c r="A41" s="9" t="s">
        <v>50</v>
      </c>
      <c r="B41" s="2">
        <f>IF(OR(Table1[[#This Row],[M score]]=1,AND(Table1[[#This Row],[F score]]=1,Table1[[#This Row],[Z score]]=1)),1,0)</f>
        <v>1</v>
      </c>
      <c r="C41" s="10">
        <v>0</v>
      </c>
      <c r="D41" s="10">
        <v>1</v>
      </c>
      <c r="E41" s="11">
        <v>1</v>
      </c>
      <c r="F41" s="12">
        <v>-5.8039215686274508</v>
      </c>
      <c r="G41" s="13">
        <v>27.565302775023934</v>
      </c>
      <c r="H41" s="14">
        <v>18.79</v>
      </c>
      <c r="I41" s="15">
        <v>1</v>
      </c>
      <c r="J41" s="15">
        <v>1</v>
      </c>
      <c r="K41" s="16">
        <v>1</v>
      </c>
      <c r="L41" s="36">
        <v>3.78</v>
      </c>
    </row>
    <row r="42" spans="1:12" x14ac:dyDescent="0.45">
      <c r="A42" s="1" t="s">
        <v>51</v>
      </c>
      <c r="B42" s="2">
        <f>IF(OR(Table1[[#This Row],[M score]]=1,AND(Table1[[#This Row],[F score]]=1,Table1[[#This Row],[Z score]]=1)),1,0)</f>
        <v>1</v>
      </c>
      <c r="C42" s="17">
        <v>0</v>
      </c>
      <c r="D42" s="17">
        <v>1</v>
      </c>
      <c r="E42" s="18">
        <v>1</v>
      </c>
      <c r="F42" s="19">
        <v>0.35664007508212109</v>
      </c>
      <c r="G42" s="6">
        <v>26.667376687670924</v>
      </c>
      <c r="H42" s="20">
        <v>24.46</v>
      </c>
      <c r="I42" s="21">
        <v>1</v>
      </c>
      <c r="J42" s="21">
        <v>0</v>
      </c>
      <c r="K42" s="22">
        <v>1</v>
      </c>
      <c r="L42" s="36">
        <v>23.57</v>
      </c>
    </row>
    <row r="43" spans="1:12" x14ac:dyDescent="0.45">
      <c r="A43" s="9" t="s">
        <v>52</v>
      </c>
      <c r="B43" s="2">
        <f>IF(OR(Table1[[#This Row],[M score]]=1,AND(Table1[[#This Row],[F score]]=1,Table1[[#This Row],[Z score]]=1)),1,0)</f>
        <v>0</v>
      </c>
      <c r="C43" s="10">
        <v>0</v>
      </c>
      <c r="D43" s="10">
        <v>0</v>
      </c>
      <c r="E43" s="11">
        <v>0</v>
      </c>
      <c r="F43" s="12">
        <v>7.6090417064629101E-2</v>
      </c>
      <c r="G43" s="13">
        <v>28.080786961348732</v>
      </c>
      <c r="H43" s="14">
        <v>28.45</v>
      </c>
      <c r="I43" s="15">
        <v>1</v>
      </c>
      <c r="J43" s="15">
        <v>0</v>
      </c>
      <c r="K43" s="16">
        <v>1</v>
      </c>
      <c r="L43" s="36">
        <v>12.02</v>
      </c>
    </row>
    <row r="44" spans="1:12" x14ac:dyDescent="0.45">
      <c r="A44" s="1" t="s">
        <v>53</v>
      </c>
      <c r="B44" s="2">
        <f>IF(OR(Table1[[#This Row],[M score]]=1,AND(Table1[[#This Row],[F score]]=1,Table1[[#This Row],[Z score]]=1)),1,0)</f>
        <v>0</v>
      </c>
      <c r="C44" s="17">
        <v>0</v>
      </c>
      <c r="D44" s="17">
        <v>1</v>
      </c>
      <c r="E44" s="18">
        <v>0</v>
      </c>
      <c r="F44" s="19">
        <v>0.59536204448651209</v>
      </c>
      <c r="G44" s="6">
        <v>31.789325907109525</v>
      </c>
      <c r="H44" s="20">
        <v>39.32</v>
      </c>
      <c r="I44" s="21">
        <v>1</v>
      </c>
      <c r="J44" s="21">
        <v>0</v>
      </c>
      <c r="K44" s="22">
        <v>1</v>
      </c>
      <c r="L44" s="36">
        <v>12.76</v>
      </c>
    </row>
    <row r="45" spans="1:12" x14ac:dyDescent="0.45">
      <c r="A45" s="9" t="s">
        <v>54</v>
      </c>
      <c r="B45" s="2">
        <f>IF(OR(Table1[[#This Row],[M score]]=1,AND(Table1[[#This Row],[F score]]=1,Table1[[#This Row],[Z score]]=1)),1,0)</f>
        <v>1</v>
      </c>
      <c r="C45" s="10">
        <v>0</v>
      </c>
      <c r="D45" s="10">
        <v>0</v>
      </c>
      <c r="E45" s="11">
        <v>1</v>
      </c>
      <c r="F45" s="12">
        <v>-0.23807367149758454</v>
      </c>
      <c r="G45" s="13">
        <v>27.681254626543605</v>
      </c>
      <c r="H45" s="14">
        <v>16.100000000000001</v>
      </c>
      <c r="I45" s="15">
        <v>0</v>
      </c>
      <c r="J45" s="15">
        <v>0</v>
      </c>
      <c r="K45" s="16">
        <v>1</v>
      </c>
      <c r="L45" s="36">
        <v>9.69</v>
      </c>
    </row>
    <row r="46" spans="1:12" x14ac:dyDescent="0.45">
      <c r="A46" s="1" t="s">
        <v>55</v>
      </c>
      <c r="B46" s="2">
        <f>IF(OR(Table1[[#This Row],[M score]]=1,AND(Table1[[#This Row],[F score]]=1,Table1[[#This Row],[Z score]]=1)),1,0)</f>
        <v>0</v>
      </c>
      <c r="C46" s="17">
        <v>0</v>
      </c>
      <c r="D46" s="17">
        <v>1</v>
      </c>
      <c r="E46" s="18">
        <v>0</v>
      </c>
      <c r="F46" s="19">
        <v>-1.5538057742782152</v>
      </c>
      <c r="G46" s="6">
        <v>26.648524820840652</v>
      </c>
      <c r="H46" s="20">
        <v>8.77</v>
      </c>
      <c r="I46" s="21">
        <v>0</v>
      </c>
      <c r="J46" s="21">
        <v>0</v>
      </c>
      <c r="K46" s="22">
        <v>1</v>
      </c>
      <c r="L46" s="36">
        <v>1.54</v>
      </c>
    </row>
    <row r="47" spans="1:12" x14ac:dyDescent="0.45">
      <c r="A47" s="9" t="s">
        <v>56</v>
      </c>
      <c r="B47" s="2">
        <f>IF(OR(Table1[[#This Row],[M score]]=1,AND(Table1[[#This Row],[F score]]=1,Table1[[#This Row],[Z score]]=1)),1,0)</f>
        <v>0</v>
      </c>
      <c r="C47" s="10">
        <v>0</v>
      </c>
      <c r="D47" s="10">
        <v>0</v>
      </c>
      <c r="E47" s="11">
        <v>0</v>
      </c>
      <c r="F47" s="12">
        <v>5.9108192188040094E-2</v>
      </c>
      <c r="G47" s="13">
        <v>26.570459587054344</v>
      </c>
      <c r="H47" s="14">
        <v>6.2</v>
      </c>
      <c r="I47" s="15">
        <v>0</v>
      </c>
      <c r="J47" s="15">
        <v>0</v>
      </c>
      <c r="K47" s="16">
        <v>1</v>
      </c>
      <c r="L47" s="36">
        <v>6.26</v>
      </c>
    </row>
    <row r="48" spans="1:12" x14ac:dyDescent="0.45">
      <c r="A48" s="1" t="s">
        <v>57</v>
      </c>
      <c r="B48" s="2">
        <f>IF(OR(Table1[[#This Row],[M score]]=1,AND(Table1[[#This Row],[F score]]=1,Table1[[#This Row],[Z score]]=1)),1,0)</f>
        <v>1</v>
      </c>
      <c r="C48" s="17">
        <v>0</v>
      </c>
      <c r="D48" s="17">
        <v>0</v>
      </c>
      <c r="E48" s="18">
        <v>1</v>
      </c>
      <c r="F48" s="19">
        <v>-0.13363171355498721</v>
      </c>
      <c r="G48" s="6">
        <v>28.523458936015913</v>
      </c>
      <c r="H48" s="20">
        <v>34.590000000000003</v>
      </c>
      <c r="I48" s="21">
        <v>1</v>
      </c>
      <c r="J48" s="21">
        <v>0</v>
      </c>
      <c r="K48" s="22">
        <v>0</v>
      </c>
      <c r="L48" s="36">
        <v>11.7</v>
      </c>
    </row>
    <row r="49" spans="1:12" x14ac:dyDescent="0.45">
      <c r="A49" s="9" t="s">
        <v>58</v>
      </c>
      <c r="B49" s="2">
        <f>IF(OR(Table1[[#This Row],[M score]]=1,AND(Table1[[#This Row],[F score]]=1,Table1[[#This Row],[Z score]]=1)),1,0)</f>
        <v>0</v>
      </c>
      <c r="C49" s="10">
        <v>0</v>
      </c>
      <c r="D49" s="10">
        <v>0</v>
      </c>
      <c r="E49" s="11">
        <v>0</v>
      </c>
      <c r="F49" s="12">
        <v>0.26391494684177613</v>
      </c>
      <c r="G49" s="13">
        <v>29.609558862667498</v>
      </c>
      <c r="H49" s="14">
        <v>0.38</v>
      </c>
      <c r="I49" s="15">
        <v>1</v>
      </c>
      <c r="J49" s="15">
        <v>0</v>
      </c>
      <c r="K49" s="16">
        <v>1</v>
      </c>
      <c r="L49" s="36">
        <v>2.5299999999999998</v>
      </c>
    </row>
    <row r="50" spans="1:12" x14ac:dyDescent="0.45">
      <c r="A50" s="1" t="s">
        <v>59</v>
      </c>
      <c r="B50" s="2">
        <f>IF(OR(Table1[[#This Row],[M score]]=1,AND(Table1[[#This Row],[F score]]=1,Table1[[#This Row],[Z score]]=1)),1,0)</f>
        <v>1</v>
      </c>
      <c r="C50" s="17">
        <v>1</v>
      </c>
      <c r="D50" s="17">
        <v>1</v>
      </c>
      <c r="E50" s="18">
        <v>0</v>
      </c>
      <c r="F50" s="19">
        <v>-5.2031361368496079E-2</v>
      </c>
      <c r="G50" s="6">
        <v>29.158625980566242</v>
      </c>
      <c r="H50" s="20">
        <v>4.1500000000000004</v>
      </c>
      <c r="I50" s="21">
        <v>1</v>
      </c>
      <c r="J50" s="21">
        <v>1</v>
      </c>
      <c r="K50" s="22">
        <v>1</v>
      </c>
      <c r="L50" s="36">
        <v>14.18</v>
      </c>
    </row>
    <row r="51" spans="1:12" x14ac:dyDescent="0.45">
      <c r="A51" s="9" t="s">
        <v>60</v>
      </c>
      <c r="B51" s="2">
        <f>IF(OR(Table1[[#This Row],[M score]]=1,AND(Table1[[#This Row],[F score]]=1,Table1[[#This Row],[Z score]]=1)),1,0)</f>
        <v>0</v>
      </c>
      <c r="C51" s="10">
        <v>1</v>
      </c>
      <c r="D51" s="10">
        <v>0</v>
      </c>
      <c r="E51" s="11">
        <v>0</v>
      </c>
      <c r="F51" s="12">
        <v>0.64181184668989544</v>
      </c>
      <c r="G51" s="13">
        <v>25.28695943921748</v>
      </c>
      <c r="H51" s="14">
        <v>39.75</v>
      </c>
      <c r="I51" s="15">
        <v>0</v>
      </c>
      <c r="J51" s="15">
        <v>0</v>
      </c>
      <c r="K51" s="16">
        <v>1</v>
      </c>
      <c r="L51" s="36">
        <v>31.62</v>
      </c>
    </row>
    <row r="52" spans="1:12" x14ac:dyDescent="0.45">
      <c r="A52" s="1" t="s">
        <v>61</v>
      </c>
      <c r="B52" s="2">
        <f>IF(OR(Table1[[#This Row],[M score]]=1,AND(Table1[[#This Row],[F score]]=1,Table1[[#This Row],[Z score]]=1)),1,0)</f>
        <v>0</v>
      </c>
      <c r="C52" s="17">
        <v>0</v>
      </c>
      <c r="D52" s="17">
        <v>0</v>
      </c>
      <c r="E52" s="18">
        <v>0</v>
      </c>
      <c r="F52" s="19">
        <v>0.39149128762163388</v>
      </c>
      <c r="G52" s="6">
        <v>26.894756187622374</v>
      </c>
      <c r="H52" s="20">
        <v>0.93</v>
      </c>
      <c r="I52" s="21">
        <v>1</v>
      </c>
      <c r="J52" s="21">
        <v>0</v>
      </c>
      <c r="K52" s="22">
        <v>1</v>
      </c>
      <c r="L52" s="36">
        <v>54.26</v>
      </c>
    </row>
    <row r="53" spans="1:12" x14ac:dyDescent="0.45">
      <c r="A53" s="9" t="s">
        <v>62</v>
      </c>
      <c r="B53" s="2">
        <f>IF(OR(Table1[[#This Row],[M score]]=1,AND(Table1[[#This Row],[F score]]=1,Table1[[#This Row],[Z score]]=1)),1,0)</f>
        <v>0</v>
      </c>
      <c r="C53" s="10">
        <v>0</v>
      </c>
      <c r="D53" s="10">
        <v>0</v>
      </c>
      <c r="E53" s="11">
        <v>0</v>
      </c>
      <c r="F53" s="12">
        <v>-0.3125</v>
      </c>
      <c r="G53" s="13">
        <v>26.048798910403654</v>
      </c>
      <c r="H53" s="14">
        <v>4.0599999999999996</v>
      </c>
      <c r="I53" s="15">
        <v>1</v>
      </c>
      <c r="J53" s="15">
        <v>0</v>
      </c>
      <c r="K53" s="16">
        <v>1</v>
      </c>
      <c r="L53" s="36">
        <v>1.39</v>
      </c>
    </row>
    <row r="54" spans="1:12" x14ac:dyDescent="0.45">
      <c r="A54" s="1" t="s">
        <v>63</v>
      </c>
      <c r="B54" s="2">
        <f>IF(OR(Table1[[#This Row],[M score]]=1,AND(Table1[[#This Row],[F score]]=1,Table1[[#This Row],[Z score]]=1)),1,0)</f>
        <v>0</v>
      </c>
      <c r="C54" s="17">
        <v>0</v>
      </c>
      <c r="D54" s="17">
        <v>0</v>
      </c>
      <c r="E54" s="18">
        <v>0</v>
      </c>
      <c r="F54" s="19">
        <v>0.24018838304552589</v>
      </c>
      <c r="G54" s="6">
        <v>30.293073740456364</v>
      </c>
      <c r="H54" s="20">
        <v>1.62</v>
      </c>
      <c r="I54" s="21">
        <v>1</v>
      </c>
      <c r="J54" s="21">
        <v>1</v>
      </c>
      <c r="K54" s="22">
        <v>1</v>
      </c>
      <c r="L54" s="36">
        <v>6.51</v>
      </c>
    </row>
    <row r="55" spans="1:12" x14ac:dyDescent="0.45">
      <c r="A55" s="9" t="s">
        <v>64</v>
      </c>
      <c r="B55" s="2">
        <f>IF(OR(Table1[[#This Row],[M score]]=1,AND(Table1[[#This Row],[F score]]=1,Table1[[#This Row],[Z score]]=1)),1,0)</f>
        <v>1</v>
      </c>
      <c r="C55" s="10">
        <v>0</v>
      </c>
      <c r="D55" s="10">
        <v>0</v>
      </c>
      <c r="E55" s="11">
        <v>1</v>
      </c>
      <c r="F55" s="12">
        <v>0.9135802469135802</v>
      </c>
      <c r="G55" s="13">
        <v>25.57732529066713</v>
      </c>
      <c r="H55" s="14">
        <v>30.63</v>
      </c>
      <c r="I55" s="15">
        <v>0</v>
      </c>
      <c r="J55" s="15">
        <v>0</v>
      </c>
      <c r="K55" s="16">
        <v>1</v>
      </c>
      <c r="L55" s="36">
        <v>0.94</v>
      </c>
    </row>
    <row r="56" spans="1:12" x14ac:dyDescent="0.45">
      <c r="A56" s="1" t="s">
        <v>65</v>
      </c>
      <c r="B56" s="2">
        <f>IF(OR(Table1[[#This Row],[M score]]=1,AND(Table1[[#This Row],[F score]]=1,Table1[[#This Row],[Z score]]=1)),1,0)</f>
        <v>1</v>
      </c>
      <c r="C56" s="17">
        <v>0</v>
      </c>
      <c r="D56" s="17">
        <v>0</v>
      </c>
      <c r="E56" s="18">
        <v>1</v>
      </c>
      <c r="F56" s="19">
        <v>-0.24975891996142718</v>
      </c>
      <c r="G56" s="6">
        <v>26.153140169095138</v>
      </c>
      <c r="H56" s="20">
        <v>47.44</v>
      </c>
      <c r="I56" s="21">
        <v>1</v>
      </c>
      <c r="J56" s="21">
        <v>0</v>
      </c>
      <c r="K56" s="22">
        <v>1</v>
      </c>
      <c r="L56" s="36">
        <v>7.02</v>
      </c>
    </row>
    <row r="57" spans="1:12" x14ac:dyDescent="0.45">
      <c r="A57" s="9" t="s">
        <v>66</v>
      </c>
      <c r="B57" s="2">
        <f>IF(OR(Table1[[#This Row],[M score]]=1,AND(Table1[[#This Row],[F score]]=1,Table1[[#This Row],[Z score]]=1)),1,0)</f>
        <v>0</v>
      </c>
      <c r="C57" s="10">
        <v>0</v>
      </c>
      <c r="D57" s="10">
        <v>1</v>
      </c>
      <c r="E57" s="11">
        <v>0</v>
      </c>
      <c r="F57" s="12">
        <v>-0.31771595900439237</v>
      </c>
      <c r="G57" s="13">
        <v>27.388672155620302</v>
      </c>
      <c r="H57" s="14">
        <v>32.979999999999997</v>
      </c>
      <c r="I57" s="15">
        <v>0</v>
      </c>
      <c r="J57" s="15">
        <v>0</v>
      </c>
      <c r="K57" s="16">
        <v>1</v>
      </c>
      <c r="L57" s="36">
        <v>-3.3</v>
      </c>
    </row>
    <row r="58" spans="1:12" x14ac:dyDescent="0.45">
      <c r="A58" s="1" t="s">
        <v>67</v>
      </c>
      <c r="B58" s="2">
        <f>IF(OR(Table1[[#This Row],[M score]]=1,AND(Table1[[#This Row],[F score]]=1,Table1[[#This Row],[Z score]]=1)),1,0)</f>
        <v>0</v>
      </c>
      <c r="C58" s="17">
        <v>0</v>
      </c>
      <c r="D58" s="17">
        <v>1</v>
      </c>
      <c r="E58" s="18">
        <v>0</v>
      </c>
      <c r="F58" s="19">
        <v>-1.4167661810365417</v>
      </c>
      <c r="G58" s="6">
        <v>25.392764271966445</v>
      </c>
      <c r="H58" s="20">
        <v>53.1</v>
      </c>
      <c r="I58" s="21">
        <v>0</v>
      </c>
      <c r="J58" s="21">
        <v>0</v>
      </c>
      <c r="K58" s="22">
        <v>0</v>
      </c>
      <c r="L58" s="36">
        <v>-25.61</v>
      </c>
    </row>
    <row r="59" spans="1:12" x14ac:dyDescent="0.45">
      <c r="A59" s="9" t="s">
        <v>68</v>
      </c>
      <c r="B59" s="2">
        <f>IF(OR(Table1[[#This Row],[M score]]=1,AND(Table1[[#This Row],[F score]]=1,Table1[[#This Row],[Z score]]=1)),1,0)</f>
        <v>1</v>
      </c>
      <c r="C59" s="10">
        <v>0</v>
      </c>
      <c r="D59" s="10">
        <v>0</v>
      </c>
      <c r="E59" s="11">
        <v>1</v>
      </c>
      <c r="F59" s="12">
        <v>0.31833910034602075</v>
      </c>
      <c r="G59" s="13">
        <v>24.567866166057122</v>
      </c>
      <c r="H59" s="14">
        <v>11.45</v>
      </c>
      <c r="I59" s="15">
        <v>1</v>
      </c>
      <c r="J59" s="15">
        <v>0</v>
      </c>
      <c r="K59" s="16">
        <v>1</v>
      </c>
      <c r="L59" s="36">
        <v>0.37</v>
      </c>
    </row>
    <row r="60" spans="1:12" x14ac:dyDescent="0.45">
      <c r="A60" s="1" t="s">
        <v>69</v>
      </c>
      <c r="B60" s="2">
        <f>IF(OR(Table1[[#This Row],[M score]]=1,AND(Table1[[#This Row],[F score]]=1,Table1[[#This Row],[Z score]]=1)),1,0)</f>
        <v>0</v>
      </c>
      <c r="C60" s="17">
        <v>0</v>
      </c>
      <c r="D60" s="17">
        <v>0</v>
      </c>
      <c r="E60" s="18">
        <v>0</v>
      </c>
      <c r="F60" s="19">
        <v>-4.4368600682593858E-2</v>
      </c>
      <c r="G60" s="6">
        <v>25.764672547285148</v>
      </c>
      <c r="H60" s="20">
        <v>8.31</v>
      </c>
      <c r="I60" s="21">
        <v>1</v>
      </c>
      <c r="J60" s="21">
        <v>0</v>
      </c>
      <c r="K60" s="22">
        <v>1</v>
      </c>
      <c r="L60" s="36">
        <v>-0.46</v>
      </c>
    </row>
    <row r="61" spans="1:12" x14ac:dyDescent="0.45">
      <c r="A61" s="9" t="s">
        <v>70</v>
      </c>
      <c r="B61" s="2">
        <f>IF(OR(Table1[[#This Row],[M score]]=1,AND(Table1[[#This Row],[F score]]=1,Table1[[#This Row],[Z score]]=1)),1,0)</f>
        <v>1</v>
      </c>
      <c r="C61" s="10">
        <v>0</v>
      </c>
      <c r="D61" s="10">
        <v>0</v>
      </c>
      <c r="E61" s="11">
        <v>1</v>
      </c>
      <c r="F61" s="12">
        <v>1.30893536121673</v>
      </c>
      <c r="G61" s="13">
        <v>28.061225941208704</v>
      </c>
      <c r="H61" s="14">
        <v>16.36</v>
      </c>
      <c r="I61" s="15">
        <v>0</v>
      </c>
      <c r="J61" s="15">
        <v>0</v>
      </c>
      <c r="K61" s="16">
        <v>1</v>
      </c>
      <c r="L61" s="36">
        <v>6.67</v>
      </c>
    </row>
    <row r="62" spans="1:12" x14ac:dyDescent="0.45">
      <c r="A62" s="1" t="s">
        <v>71</v>
      </c>
      <c r="B62" s="2">
        <f>IF(OR(Table1[[#This Row],[M score]]=1,AND(Table1[[#This Row],[F score]]=1,Table1[[#This Row],[Z score]]=1)),1,0)</f>
        <v>0</v>
      </c>
      <c r="C62" s="17">
        <v>0</v>
      </c>
      <c r="D62" s="17">
        <v>0</v>
      </c>
      <c r="E62" s="18">
        <v>0</v>
      </c>
      <c r="F62" s="19">
        <v>0.3206831119544592</v>
      </c>
      <c r="G62" s="6">
        <v>25.619238222722526</v>
      </c>
      <c r="H62" s="20">
        <v>20.64</v>
      </c>
      <c r="I62" s="21">
        <v>0</v>
      </c>
      <c r="J62" s="21">
        <v>1</v>
      </c>
      <c r="K62" s="22">
        <v>1</v>
      </c>
      <c r="L62" s="36">
        <v>-3.13</v>
      </c>
    </row>
    <row r="63" spans="1:12" x14ac:dyDescent="0.45">
      <c r="A63" s="9" t="s">
        <v>72</v>
      </c>
      <c r="B63" s="2">
        <f>IF(OR(Table1[[#This Row],[M score]]=1,AND(Table1[[#This Row],[F score]]=1,Table1[[#This Row],[Z score]]=1)),1,0)</f>
        <v>0</v>
      </c>
      <c r="C63" s="10">
        <v>0</v>
      </c>
      <c r="D63" s="10">
        <v>0</v>
      </c>
      <c r="E63" s="11">
        <v>0</v>
      </c>
      <c r="F63" s="12">
        <v>-0.19883040935672514</v>
      </c>
      <c r="G63" s="13">
        <v>27.484838605750468</v>
      </c>
      <c r="H63" s="14">
        <v>7.73</v>
      </c>
      <c r="I63" s="15">
        <v>0</v>
      </c>
      <c r="J63" s="15">
        <v>1</v>
      </c>
      <c r="K63" s="16">
        <v>1</v>
      </c>
      <c r="L63" s="36">
        <v>3.31</v>
      </c>
    </row>
    <row r="64" spans="1:12" x14ac:dyDescent="0.45">
      <c r="A64" s="1" t="s">
        <v>73</v>
      </c>
      <c r="B64" s="2">
        <f>IF(OR(Table1[[#This Row],[M score]]=1,AND(Table1[[#This Row],[F score]]=1,Table1[[#This Row],[Z score]]=1)),1,0)</f>
        <v>0</v>
      </c>
      <c r="C64" s="17">
        <v>0</v>
      </c>
      <c r="D64" s="17">
        <v>0</v>
      </c>
      <c r="E64" s="18">
        <v>0</v>
      </c>
      <c r="F64" s="19">
        <v>6.5441176470588234</v>
      </c>
      <c r="G64" s="6">
        <v>32.020737172880864</v>
      </c>
      <c r="H64" s="20">
        <v>12.35</v>
      </c>
      <c r="I64" s="21">
        <v>1</v>
      </c>
      <c r="J64" s="21">
        <v>1</v>
      </c>
      <c r="K64" s="22">
        <v>1</v>
      </c>
      <c r="L64" s="36">
        <v>8.91</v>
      </c>
    </row>
    <row r="65" spans="1:12" x14ac:dyDescent="0.45">
      <c r="A65" s="9" t="s">
        <v>74</v>
      </c>
      <c r="B65" s="2">
        <f>IF(OR(Table1[[#This Row],[M score]]=1,AND(Table1[[#This Row],[F score]]=1,Table1[[#This Row],[Z score]]=1)),1,0)</f>
        <v>0</v>
      </c>
      <c r="C65" s="10">
        <v>0</v>
      </c>
      <c r="D65" s="10">
        <v>0</v>
      </c>
      <c r="E65" s="11">
        <v>0</v>
      </c>
      <c r="F65" s="12">
        <v>-3.6723163841807911E-2</v>
      </c>
      <c r="G65" s="13">
        <v>27.02178400560738</v>
      </c>
      <c r="H65" s="14">
        <v>7.75</v>
      </c>
      <c r="I65" s="15">
        <v>1</v>
      </c>
      <c r="J65" s="15">
        <v>1</v>
      </c>
      <c r="K65" s="16">
        <v>1</v>
      </c>
      <c r="L65" s="36">
        <v>1.0900000000000001</v>
      </c>
    </row>
    <row r="66" spans="1:12" x14ac:dyDescent="0.45">
      <c r="A66" s="1" t="s">
        <v>75</v>
      </c>
      <c r="B66" s="2">
        <f>IF(OR(Table1[[#This Row],[M score]]=1,AND(Table1[[#This Row],[F score]]=1,Table1[[#This Row],[Z score]]=1)),1,0)</f>
        <v>0</v>
      </c>
      <c r="C66" s="17">
        <v>0</v>
      </c>
      <c r="D66" s="17">
        <v>1</v>
      </c>
      <c r="E66" s="18">
        <v>0</v>
      </c>
      <c r="F66" s="19">
        <v>-1.1567666870789957</v>
      </c>
      <c r="G66" s="6">
        <v>27.226390509327125</v>
      </c>
      <c r="H66" s="20">
        <v>35.07</v>
      </c>
      <c r="I66" s="21">
        <v>1</v>
      </c>
      <c r="J66" s="21">
        <v>1</v>
      </c>
      <c r="K66" s="22">
        <v>1</v>
      </c>
      <c r="L66" s="36">
        <v>2.96</v>
      </c>
    </row>
    <row r="67" spans="1:12" x14ac:dyDescent="0.45">
      <c r="A67" s="9" t="s">
        <v>76</v>
      </c>
      <c r="B67" s="2">
        <f>IF(OR(Table1[[#This Row],[M score]]=1,AND(Table1[[#This Row],[F score]]=1,Table1[[#This Row],[Z score]]=1)),1,0)</f>
        <v>0</v>
      </c>
      <c r="C67" s="10">
        <v>0</v>
      </c>
      <c r="D67" s="10">
        <v>0</v>
      </c>
      <c r="E67" s="11">
        <v>0</v>
      </c>
      <c r="F67" s="12">
        <v>4.9765258215962442E-2</v>
      </c>
      <c r="G67" s="13">
        <v>26.791110654724147</v>
      </c>
      <c r="H67" s="14">
        <v>22.57</v>
      </c>
      <c r="I67" s="15">
        <v>0</v>
      </c>
      <c r="J67" s="15">
        <v>0</v>
      </c>
      <c r="K67" s="16">
        <v>1</v>
      </c>
      <c r="L67" s="36">
        <v>12.76</v>
      </c>
    </row>
    <row r="68" spans="1:12" x14ac:dyDescent="0.45">
      <c r="A68" s="1" t="s">
        <v>77</v>
      </c>
      <c r="B68" s="2">
        <f>IF(OR(Table1[[#This Row],[M score]]=1,AND(Table1[[#This Row],[F score]]=1,Table1[[#This Row],[Z score]]=1)),1,0)</f>
        <v>0</v>
      </c>
      <c r="C68" s="17">
        <v>0</v>
      </c>
      <c r="D68" s="17">
        <v>0</v>
      </c>
      <c r="E68" s="18">
        <v>0</v>
      </c>
      <c r="F68" s="19">
        <v>2.6054097056483691E-2</v>
      </c>
      <c r="G68" s="6">
        <v>27.044005353804511</v>
      </c>
      <c r="H68" s="20">
        <v>1.53</v>
      </c>
      <c r="I68" s="21">
        <v>1</v>
      </c>
      <c r="J68" s="21">
        <v>0</v>
      </c>
      <c r="K68" s="22">
        <v>1</v>
      </c>
      <c r="L68" s="36">
        <v>2.65</v>
      </c>
    </row>
    <row r="69" spans="1:12" x14ac:dyDescent="0.45">
      <c r="A69" s="9" t="s">
        <v>78</v>
      </c>
      <c r="B69" s="2">
        <f>IF(OR(Table1[[#This Row],[M score]]=1,AND(Table1[[#This Row],[F score]]=1,Table1[[#This Row],[Z score]]=1)),1,0)</f>
        <v>1</v>
      </c>
      <c r="C69" s="10">
        <v>0</v>
      </c>
      <c r="D69" s="10">
        <v>0</v>
      </c>
      <c r="E69" s="11">
        <v>1</v>
      </c>
      <c r="F69" s="12">
        <v>30.263999999999999</v>
      </c>
      <c r="G69" s="13">
        <v>28.078713644882555</v>
      </c>
      <c r="H69" s="14">
        <v>16.89</v>
      </c>
      <c r="I69" s="15">
        <v>0</v>
      </c>
      <c r="J69" s="15">
        <v>0</v>
      </c>
      <c r="K69" s="16">
        <v>1</v>
      </c>
      <c r="L69" s="36">
        <v>23.24</v>
      </c>
    </row>
    <row r="70" spans="1:12" x14ac:dyDescent="0.45">
      <c r="A70" s="1" t="s">
        <v>79</v>
      </c>
      <c r="B70" s="2">
        <f>IF(OR(Table1[[#This Row],[M score]]=1,AND(Table1[[#This Row],[F score]]=1,Table1[[#This Row],[Z score]]=1)),1,0)</f>
        <v>0</v>
      </c>
      <c r="C70" s="17">
        <v>0</v>
      </c>
      <c r="D70" s="17">
        <v>1</v>
      </c>
      <c r="E70" s="18">
        <v>0</v>
      </c>
      <c r="F70" s="19">
        <v>0.47883163767640302</v>
      </c>
      <c r="G70" s="6">
        <v>29.975191213933893</v>
      </c>
      <c r="H70" s="20">
        <v>46.67</v>
      </c>
      <c r="I70" s="21">
        <v>1</v>
      </c>
      <c r="J70" s="21">
        <v>0</v>
      </c>
      <c r="K70" s="22">
        <v>1</v>
      </c>
      <c r="L70" s="36">
        <v>14.09</v>
      </c>
    </row>
    <row r="71" spans="1:12" x14ac:dyDescent="0.45">
      <c r="A71" s="9" t="s">
        <v>80</v>
      </c>
      <c r="B71" s="2">
        <f>IF(OR(Table1[[#This Row],[M score]]=1,AND(Table1[[#This Row],[F score]]=1,Table1[[#This Row],[Z score]]=1)),1,0)</f>
        <v>0</v>
      </c>
      <c r="C71" s="10">
        <v>0</v>
      </c>
      <c r="D71" s="10">
        <v>0</v>
      </c>
      <c r="E71" s="11">
        <v>0</v>
      </c>
      <c r="F71" s="12">
        <v>-3.9691289966923927E-2</v>
      </c>
      <c r="G71" s="13">
        <v>28.846009547428476</v>
      </c>
      <c r="H71" s="14">
        <v>0.77</v>
      </c>
      <c r="I71" s="15">
        <v>0</v>
      </c>
      <c r="J71" s="15">
        <v>0</v>
      </c>
      <c r="K71" s="16">
        <v>1</v>
      </c>
      <c r="L71" s="36">
        <v>2.5099999999999998</v>
      </c>
    </row>
    <row r="72" spans="1:12" x14ac:dyDescent="0.45">
      <c r="A72" s="1" t="s">
        <v>81</v>
      </c>
      <c r="B72" s="2">
        <f>IF(OR(Table1[[#This Row],[M score]]=1,AND(Table1[[#This Row],[F score]]=1,Table1[[#This Row],[Z score]]=1)),1,0)</f>
        <v>0</v>
      </c>
      <c r="C72" s="17">
        <v>0</v>
      </c>
      <c r="D72" s="17">
        <v>0</v>
      </c>
      <c r="E72" s="18">
        <v>0</v>
      </c>
      <c r="F72" s="19">
        <v>0.59788359788359791</v>
      </c>
      <c r="G72" s="6">
        <v>24.821615700562351</v>
      </c>
      <c r="H72" s="20">
        <v>0.7</v>
      </c>
      <c r="I72" s="21">
        <v>1</v>
      </c>
      <c r="J72" s="21">
        <v>0</v>
      </c>
      <c r="K72" s="22">
        <v>1</v>
      </c>
      <c r="L72" s="36">
        <v>0.63</v>
      </c>
    </row>
    <row r="73" spans="1:12" x14ac:dyDescent="0.45">
      <c r="A73" s="9" t="s">
        <v>82</v>
      </c>
      <c r="B73" s="2">
        <f>IF(OR(Table1[[#This Row],[M score]]=1,AND(Table1[[#This Row],[F score]]=1,Table1[[#This Row],[Z score]]=1)),1,0)</f>
        <v>0</v>
      </c>
      <c r="C73" s="10">
        <v>0</v>
      </c>
      <c r="D73" s="10">
        <v>1</v>
      </c>
      <c r="E73" s="11">
        <v>0</v>
      </c>
      <c r="F73" s="12">
        <v>3.8502772643253236</v>
      </c>
      <c r="G73" s="13">
        <v>25.812803286995841</v>
      </c>
      <c r="H73" s="14">
        <v>22.94</v>
      </c>
      <c r="I73" s="15">
        <v>1</v>
      </c>
      <c r="J73" s="15">
        <v>0</v>
      </c>
      <c r="K73" s="16">
        <v>1</v>
      </c>
      <c r="L73" s="36">
        <v>7.05</v>
      </c>
    </row>
    <row r="74" spans="1:12" x14ac:dyDescent="0.45">
      <c r="A74" s="1" t="s">
        <v>83</v>
      </c>
      <c r="B74" s="2">
        <f>IF(OR(Table1[[#This Row],[M score]]=1,AND(Table1[[#This Row],[F score]]=1,Table1[[#This Row],[Z score]]=1)),1,0)</f>
        <v>1</v>
      </c>
      <c r="C74" s="17">
        <v>0</v>
      </c>
      <c r="D74" s="17">
        <v>0</v>
      </c>
      <c r="E74" s="18">
        <v>1</v>
      </c>
      <c r="F74" s="19">
        <v>12.314814814814815</v>
      </c>
      <c r="G74" s="6">
        <v>26.618832429044062</v>
      </c>
      <c r="H74" s="20">
        <v>34.619999999999997</v>
      </c>
      <c r="I74" s="21">
        <v>1</v>
      </c>
      <c r="J74" s="21">
        <v>0</v>
      </c>
      <c r="K74" s="22">
        <v>0</v>
      </c>
      <c r="L74" s="36">
        <v>11.78</v>
      </c>
    </row>
    <row r="75" spans="1:12" x14ac:dyDescent="0.45">
      <c r="A75" s="9" t="s">
        <v>84</v>
      </c>
      <c r="B75" s="2">
        <f>IF(OR(Table1[[#This Row],[M score]]=1,AND(Table1[[#This Row],[F score]]=1,Table1[[#This Row],[Z score]]=1)),1,0)</f>
        <v>0</v>
      </c>
      <c r="C75" s="10">
        <v>0</v>
      </c>
      <c r="D75" s="10">
        <v>1</v>
      </c>
      <c r="E75" s="11">
        <v>0</v>
      </c>
      <c r="F75" s="12">
        <v>-0.43912175648702595</v>
      </c>
      <c r="G75" s="13">
        <v>28.765166737905567</v>
      </c>
      <c r="H75" s="14">
        <v>32.299999999999997</v>
      </c>
      <c r="I75" s="15">
        <v>0</v>
      </c>
      <c r="J75" s="15">
        <v>0</v>
      </c>
      <c r="K75" s="16">
        <v>1</v>
      </c>
      <c r="L75" s="36">
        <v>2.4500000000000002</v>
      </c>
    </row>
    <row r="76" spans="1:12" x14ac:dyDescent="0.45">
      <c r="A76" s="1" t="s">
        <v>85</v>
      </c>
      <c r="B76" s="2">
        <f>IF(OR(Table1[[#This Row],[M score]]=1,AND(Table1[[#This Row],[F score]]=1,Table1[[#This Row],[Z score]]=1)),1,0)</f>
        <v>1</v>
      </c>
      <c r="C76" s="17">
        <v>0</v>
      </c>
      <c r="D76" s="17">
        <v>0</v>
      </c>
      <c r="E76" s="18">
        <v>1</v>
      </c>
      <c r="F76" s="19">
        <v>1.4087591240875912</v>
      </c>
      <c r="G76" s="6">
        <v>27.380865562292954</v>
      </c>
      <c r="H76" s="20">
        <v>27.68</v>
      </c>
      <c r="I76" s="21">
        <v>1</v>
      </c>
      <c r="J76" s="21">
        <v>0</v>
      </c>
      <c r="K76" s="22">
        <v>1</v>
      </c>
      <c r="L76" s="36">
        <v>5.0599999999999996</v>
      </c>
    </row>
    <row r="77" spans="1:12" x14ac:dyDescent="0.45">
      <c r="A77" s="9" t="s">
        <v>86</v>
      </c>
      <c r="B77" s="2">
        <f>IF(OR(Table1[[#This Row],[M score]]=1,AND(Table1[[#This Row],[F score]]=1,Table1[[#This Row],[Z score]]=1)),1,0)</f>
        <v>0</v>
      </c>
      <c r="C77" s="10">
        <v>0</v>
      </c>
      <c r="D77" s="10">
        <v>0</v>
      </c>
      <c r="E77" s="11">
        <v>0</v>
      </c>
      <c r="F77" s="12">
        <v>-8.4705882352941173E-2</v>
      </c>
      <c r="G77" s="13">
        <v>25.779511642294718</v>
      </c>
      <c r="H77" s="14">
        <v>33.75</v>
      </c>
      <c r="I77" s="15">
        <v>1</v>
      </c>
      <c r="J77" s="15">
        <v>0</v>
      </c>
      <c r="K77" s="16">
        <v>1</v>
      </c>
      <c r="L77" s="36">
        <v>1.33</v>
      </c>
    </row>
    <row r="78" spans="1:12" x14ac:dyDescent="0.45">
      <c r="A78" s="1" t="s">
        <v>87</v>
      </c>
      <c r="B78" s="2">
        <f>IF(OR(Table1[[#This Row],[M score]]=1,AND(Table1[[#This Row],[F score]]=1,Table1[[#This Row],[Z score]]=1)),1,0)</f>
        <v>0</v>
      </c>
      <c r="C78" s="17">
        <v>0</v>
      </c>
      <c r="D78" s="17">
        <v>1</v>
      </c>
      <c r="E78" s="18">
        <v>0</v>
      </c>
      <c r="F78" s="19">
        <v>0.27943148297130599</v>
      </c>
      <c r="G78" s="6">
        <v>27.064830817786124</v>
      </c>
      <c r="H78" s="20">
        <v>38.99</v>
      </c>
      <c r="I78" s="21">
        <v>0</v>
      </c>
      <c r="J78" s="21">
        <v>0</v>
      </c>
      <c r="K78" s="22">
        <v>1</v>
      </c>
      <c r="L78" s="36">
        <v>-74.03</v>
      </c>
    </row>
    <row r="79" spans="1:12" x14ac:dyDescent="0.45">
      <c r="A79" s="9" t="s">
        <v>88</v>
      </c>
      <c r="B79" s="2">
        <f>IF(OR(Table1[[#This Row],[M score]]=1,AND(Table1[[#This Row],[F score]]=1,Table1[[#This Row],[Z score]]=1)),1,0)</f>
        <v>0</v>
      </c>
      <c r="C79" s="10">
        <v>0</v>
      </c>
      <c r="D79" s="10">
        <v>1</v>
      </c>
      <c r="E79" s="11">
        <v>0</v>
      </c>
      <c r="F79" s="12">
        <v>-3.4428794992175271E-2</v>
      </c>
      <c r="G79" s="13">
        <v>30.143469089231978</v>
      </c>
      <c r="H79" s="14">
        <v>38.93</v>
      </c>
      <c r="I79" s="15">
        <v>0</v>
      </c>
      <c r="J79" s="15">
        <v>1</v>
      </c>
      <c r="K79" s="16">
        <v>1</v>
      </c>
      <c r="L79" s="36">
        <v>-0.84</v>
      </c>
    </row>
    <row r="80" spans="1:12" x14ac:dyDescent="0.45">
      <c r="A80" s="1" t="s">
        <v>89</v>
      </c>
      <c r="B80" s="2">
        <f>IF(OR(Table1[[#This Row],[M score]]=1,AND(Table1[[#This Row],[F score]]=1,Table1[[#This Row],[Z score]]=1)),1,0)</f>
        <v>0</v>
      </c>
      <c r="C80" s="17">
        <v>0</v>
      </c>
      <c r="D80" s="17">
        <v>0</v>
      </c>
      <c r="E80" s="18">
        <v>0</v>
      </c>
      <c r="F80" s="19">
        <v>3.0323054331864903</v>
      </c>
      <c r="G80" s="6">
        <v>26.293912937695183</v>
      </c>
      <c r="H80" s="20">
        <v>36.69</v>
      </c>
      <c r="I80" s="21">
        <v>0</v>
      </c>
      <c r="J80" s="21">
        <v>0</v>
      </c>
      <c r="K80" s="22">
        <v>1</v>
      </c>
      <c r="L80" s="36">
        <v>11.17</v>
      </c>
    </row>
    <row r="81" spans="1:12" x14ac:dyDescent="0.45">
      <c r="A81" s="9" t="s">
        <v>90</v>
      </c>
      <c r="B81" s="2">
        <f>IF(OR(Table1[[#This Row],[M score]]=1,AND(Table1[[#This Row],[F score]]=1,Table1[[#This Row],[Z score]]=1)),1,0)</f>
        <v>1</v>
      </c>
      <c r="C81" s="10">
        <v>0</v>
      </c>
      <c r="D81" s="10">
        <v>1</v>
      </c>
      <c r="E81" s="11">
        <v>1</v>
      </c>
      <c r="F81" s="12">
        <v>-0.32911392405063289</v>
      </c>
      <c r="G81" s="13">
        <v>26.630308421798492</v>
      </c>
      <c r="H81" s="14">
        <v>32.299999999999997</v>
      </c>
      <c r="I81" s="15">
        <v>1</v>
      </c>
      <c r="J81" s="15">
        <v>0</v>
      </c>
      <c r="K81" s="16">
        <v>1</v>
      </c>
      <c r="L81" s="36">
        <v>-0.39</v>
      </c>
    </row>
    <row r="82" spans="1:12" x14ac:dyDescent="0.45">
      <c r="A82" s="1" t="s">
        <v>91</v>
      </c>
      <c r="B82" s="2">
        <f>IF(OR(Table1[[#This Row],[M score]]=1,AND(Table1[[#This Row],[F score]]=1,Table1[[#This Row],[Z score]]=1)),1,0)</f>
        <v>0</v>
      </c>
      <c r="C82" s="17">
        <v>0</v>
      </c>
      <c r="D82" s="17">
        <v>0</v>
      </c>
      <c r="E82" s="18">
        <v>0</v>
      </c>
      <c r="F82" s="19">
        <v>0.7339312406576981</v>
      </c>
      <c r="G82" s="6">
        <v>26.453740790443813</v>
      </c>
      <c r="H82" s="20">
        <v>2.09</v>
      </c>
      <c r="I82" s="21">
        <v>1</v>
      </c>
      <c r="J82" s="21">
        <v>0</v>
      </c>
      <c r="K82" s="22">
        <v>1</v>
      </c>
      <c r="L82" s="36">
        <v>4.29</v>
      </c>
    </row>
    <row r="83" spans="1:12" x14ac:dyDescent="0.45">
      <c r="A83" s="9" t="s">
        <v>92</v>
      </c>
      <c r="B83" s="2">
        <f>IF(OR(Table1[[#This Row],[M score]]=1,AND(Table1[[#This Row],[F score]]=1,Table1[[#This Row],[Z score]]=1)),1,0)</f>
        <v>0</v>
      </c>
      <c r="C83" s="10">
        <v>0</v>
      </c>
      <c r="D83" s="10">
        <v>0</v>
      </c>
      <c r="E83" s="11">
        <v>0</v>
      </c>
      <c r="F83" s="12">
        <v>0.453125</v>
      </c>
      <c r="G83" s="13">
        <v>26.51481495885939</v>
      </c>
      <c r="H83" s="14">
        <v>6.62</v>
      </c>
      <c r="I83" s="15">
        <v>0</v>
      </c>
      <c r="J83" s="15">
        <v>0</v>
      </c>
      <c r="K83" s="16">
        <v>0</v>
      </c>
      <c r="L83" s="36">
        <v>1.98</v>
      </c>
    </row>
    <row r="84" spans="1:12" x14ac:dyDescent="0.45">
      <c r="A84" s="1" t="s">
        <v>93</v>
      </c>
      <c r="B84" s="2">
        <f>IF(OR(Table1[[#This Row],[M score]]=1,AND(Table1[[#This Row],[F score]]=1,Table1[[#This Row],[Z score]]=1)),1,0)</f>
        <v>0</v>
      </c>
      <c r="C84" s="17">
        <v>0</v>
      </c>
      <c r="D84" s="17">
        <v>1</v>
      </c>
      <c r="E84" s="18">
        <v>0</v>
      </c>
      <c r="F84" s="19">
        <v>-0.40767824497257771</v>
      </c>
      <c r="G84" s="6">
        <v>27.906132931668772</v>
      </c>
      <c r="H84" s="20">
        <v>50.71</v>
      </c>
      <c r="I84" s="21">
        <v>1</v>
      </c>
      <c r="J84" s="21">
        <v>0</v>
      </c>
      <c r="K84" s="22">
        <v>1</v>
      </c>
      <c r="L84" s="36">
        <v>90.9</v>
      </c>
    </row>
    <row r="85" spans="1:12" x14ac:dyDescent="0.45">
      <c r="A85" s="9" t="s">
        <v>94</v>
      </c>
      <c r="B85" s="2">
        <f>IF(OR(Table1[[#This Row],[M score]]=1,AND(Table1[[#This Row],[F score]]=1,Table1[[#This Row],[Z score]]=1)),1,0)</f>
        <v>0</v>
      </c>
      <c r="C85" s="10">
        <v>0</v>
      </c>
      <c r="D85" s="10">
        <v>0</v>
      </c>
      <c r="E85" s="11">
        <v>0</v>
      </c>
      <c r="F85" s="12">
        <v>0.2224047306176084</v>
      </c>
      <c r="G85" s="13">
        <v>28.811858344852329</v>
      </c>
      <c r="H85" s="14">
        <v>15.9</v>
      </c>
      <c r="I85" s="15">
        <v>1</v>
      </c>
      <c r="J85" s="15">
        <v>0</v>
      </c>
      <c r="K85" s="16">
        <v>1</v>
      </c>
      <c r="L85" s="36">
        <v>12.27</v>
      </c>
    </row>
    <row r="86" spans="1:12" x14ac:dyDescent="0.45">
      <c r="A86" s="1" t="s">
        <v>95</v>
      </c>
      <c r="B86" s="2">
        <f>IF(OR(Table1[[#This Row],[M score]]=1,AND(Table1[[#This Row],[F score]]=1,Table1[[#This Row],[Z score]]=1)),1,0)</f>
        <v>0</v>
      </c>
      <c r="C86" s="17">
        <v>0</v>
      </c>
      <c r="D86" s="17">
        <v>1</v>
      </c>
      <c r="E86" s="18">
        <v>0</v>
      </c>
      <c r="F86" s="19">
        <v>0.80229226361031514</v>
      </c>
      <c r="G86" s="6">
        <v>26.142867303267241</v>
      </c>
      <c r="H86" s="20">
        <v>37.26</v>
      </c>
      <c r="I86" s="21">
        <v>0</v>
      </c>
      <c r="J86" s="21">
        <v>1</v>
      </c>
      <c r="K86" s="22">
        <v>1</v>
      </c>
      <c r="L86" s="36">
        <v>4.3499999999999996</v>
      </c>
    </row>
    <row r="87" spans="1:12" x14ac:dyDescent="0.45">
      <c r="A87" s="9" t="s">
        <v>96</v>
      </c>
      <c r="B87" s="2">
        <f>IF(OR(Table1[[#This Row],[M score]]=1,AND(Table1[[#This Row],[F score]]=1,Table1[[#This Row],[Z score]]=1)),1,0)</f>
        <v>0</v>
      </c>
      <c r="C87" s="10">
        <v>0</v>
      </c>
      <c r="D87" s="10">
        <v>0</v>
      </c>
      <c r="E87" s="11">
        <v>0</v>
      </c>
      <c r="F87" s="12">
        <v>-0.13223140495867769</v>
      </c>
      <c r="G87" s="13">
        <v>30.113631730385301</v>
      </c>
      <c r="H87" s="14">
        <v>4.99</v>
      </c>
      <c r="I87" s="15">
        <v>1</v>
      </c>
      <c r="J87" s="15">
        <v>0</v>
      </c>
      <c r="K87" s="16">
        <v>1</v>
      </c>
      <c r="L87" s="36">
        <v>2.0499999999999998</v>
      </c>
    </row>
    <row r="88" spans="1:12" x14ac:dyDescent="0.45">
      <c r="A88" s="1" t="s">
        <v>97</v>
      </c>
      <c r="B88" s="2">
        <f>IF(OR(Table1[[#This Row],[M score]]=1,AND(Table1[[#This Row],[F score]]=1,Table1[[#This Row],[Z score]]=1)),1,0)</f>
        <v>1</v>
      </c>
      <c r="C88" s="17">
        <v>1</v>
      </c>
      <c r="D88" s="17">
        <v>0</v>
      </c>
      <c r="E88" s="18">
        <v>1</v>
      </c>
      <c r="F88" s="19">
        <v>-0.61807423345884882</v>
      </c>
      <c r="G88" s="6">
        <v>26.24660498982043</v>
      </c>
      <c r="H88" s="20">
        <v>32.74</v>
      </c>
      <c r="I88" s="21">
        <v>0</v>
      </c>
      <c r="J88" s="21">
        <v>0</v>
      </c>
      <c r="K88" s="22">
        <v>0</v>
      </c>
      <c r="L88" s="36">
        <v>9.66</v>
      </c>
    </row>
    <row r="89" spans="1:12" x14ac:dyDescent="0.45">
      <c r="A89" s="9" t="s">
        <v>98</v>
      </c>
      <c r="B89" s="2">
        <f>IF(OR(Table1[[#This Row],[M score]]=1,AND(Table1[[#This Row],[F score]]=1,Table1[[#This Row],[Z score]]=1)),1,0)</f>
        <v>0</v>
      </c>
      <c r="C89" s="10">
        <v>0</v>
      </c>
      <c r="D89" s="10">
        <v>0</v>
      </c>
      <c r="E89" s="11">
        <v>0</v>
      </c>
      <c r="F89" s="12">
        <v>0.46582397003745318</v>
      </c>
      <c r="G89" s="13">
        <v>29.100878513272566</v>
      </c>
      <c r="H89" s="14">
        <v>14.79</v>
      </c>
      <c r="I89" s="15">
        <v>1</v>
      </c>
      <c r="J89" s="15">
        <v>0</v>
      </c>
      <c r="K89" s="16">
        <v>1</v>
      </c>
      <c r="L89" s="36">
        <v>6.13</v>
      </c>
    </row>
    <row r="90" spans="1:12" x14ac:dyDescent="0.45">
      <c r="A90" s="1" t="s">
        <v>99</v>
      </c>
      <c r="B90" s="2">
        <f>IF(OR(Table1[[#This Row],[M score]]=1,AND(Table1[[#This Row],[F score]]=1,Table1[[#This Row],[Z score]]=1)),1,0)</f>
        <v>1</v>
      </c>
      <c r="C90" s="17">
        <v>1</v>
      </c>
      <c r="D90" s="17">
        <v>1</v>
      </c>
      <c r="E90" s="18">
        <v>1</v>
      </c>
      <c r="F90" s="19">
        <v>0.56456282570932248</v>
      </c>
      <c r="G90" s="6">
        <v>26.795940601077422</v>
      </c>
      <c r="H90" s="20">
        <v>1.08</v>
      </c>
      <c r="I90" s="21">
        <v>1</v>
      </c>
      <c r="J90" s="21">
        <v>0</v>
      </c>
      <c r="K90" s="22">
        <v>1</v>
      </c>
      <c r="L90" s="36">
        <v>89.38</v>
      </c>
    </row>
    <row r="91" spans="1:12" x14ac:dyDescent="0.45">
      <c r="A91" s="9" t="s">
        <v>100</v>
      </c>
      <c r="B91" s="2">
        <f>IF(OR(Table1[[#This Row],[M score]]=1,AND(Table1[[#This Row],[F score]]=1,Table1[[#This Row],[Z score]]=1)),1,0)</f>
        <v>0</v>
      </c>
      <c r="C91" s="10">
        <v>0</v>
      </c>
      <c r="D91" s="10">
        <v>1</v>
      </c>
      <c r="E91" s="11">
        <v>0</v>
      </c>
      <c r="F91" s="12">
        <v>-0.70384138785625772</v>
      </c>
      <c r="G91" s="13">
        <v>30.201487059693058</v>
      </c>
      <c r="H91" s="14">
        <v>53.74</v>
      </c>
      <c r="I91" s="15">
        <v>1</v>
      </c>
      <c r="J91" s="15">
        <v>0</v>
      </c>
      <c r="K91" s="16">
        <v>1</v>
      </c>
      <c r="L91" s="36">
        <v>31.15</v>
      </c>
    </row>
    <row r="92" spans="1:12" x14ac:dyDescent="0.45">
      <c r="A92" s="1" t="s">
        <v>101</v>
      </c>
      <c r="B92" s="2">
        <f>IF(OR(Table1[[#This Row],[M score]]=1,AND(Table1[[#This Row],[F score]]=1,Table1[[#This Row],[Z score]]=1)),1,0)</f>
        <v>0</v>
      </c>
      <c r="C92" s="17">
        <v>0</v>
      </c>
      <c r="D92" s="17">
        <v>0</v>
      </c>
      <c r="E92" s="18">
        <v>0</v>
      </c>
      <c r="F92" s="19">
        <v>-0.26407369498464689</v>
      </c>
      <c r="G92" s="6">
        <v>25.875400693316365</v>
      </c>
      <c r="H92" s="20">
        <v>12.09</v>
      </c>
      <c r="I92" s="21">
        <v>1</v>
      </c>
      <c r="J92" s="21">
        <v>0</v>
      </c>
      <c r="K92" s="22">
        <v>1</v>
      </c>
      <c r="L92" s="36">
        <v>6.12</v>
      </c>
    </row>
    <row r="93" spans="1:12" x14ac:dyDescent="0.45">
      <c r="A93" s="9" t="s">
        <v>102</v>
      </c>
      <c r="B93" s="2">
        <f>IF(OR(Table1[[#This Row],[M score]]=1,AND(Table1[[#This Row],[F score]]=1,Table1[[#This Row],[Z score]]=1)),1,0)</f>
        <v>0</v>
      </c>
      <c r="C93" s="10">
        <v>1</v>
      </c>
      <c r="D93" s="10">
        <v>0</v>
      </c>
      <c r="E93" s="11">
        <v>0</v>
      </c>
      <c r="F93" s="12">
        <v>0.24136838770985111</v>
      </c>
      <c r="G93" s="13">
        <v>27.270768350641934</v>
      </c>
      <c r="H93" s="14">
        <v>39.14</v>
      </c>
      <c r="I93" s="15">
        <v>0</v>
      </c>
      <c r="J93" s="15">
        <v>0</v>
      </c>
      <c r="K93" s="16">
        <v>1</v>
      </c>
      <c r="L93" s="36">
        <v>8.1999999999999993</v>
      </c>
    </row>
    <row r="94" spans="1:12" x14ac:dyDescent="0.45">
      <c r="A94" s="1" t="s">
        <v>103</v>
      </c>
      <c r="B94" s="2">
        <f>IF(OR(Table1[[#This Row],[M score]]=1,AND(Table1[[#This Row],[F score]]=1,Table1[[#This Row],[Z score]]=1)),1,0)</f>
        <v>1</v>
      </c>
      <c r="C94" s="17">
        <v>0</v>
      </c>
      <c r="D94" s="17">
        <v>1</v>
      </c>
      <c r="E94" s="18">
        <v>1</v>
      </c>
      <c r="F94" s="19">
        <v>-0.46237393328161364</v>
      </c>
      <c r="G94" s="6">
        <v>28.112258447698174</v>
      </c>
      <c r="H94" s="20">
        <v>33.96</v>
      </c>
      <c r="I94" s="21">
        <v>1</v>
      </c>
      <c r="J94" s="21">
        <v>0</v>
      </c>
      <c r="K94" s="22">
        <v>1</v>
      </c>
      <c r="L94" s="36">
        <v>38.06</v>
      </c>
    </row>
    <row r="95" spans="1:12" x14ac:dyDescent="0.45">
      <c r="A95" s="9" t="s">
        <v>104</v>
      </c>
      <c r="B95" s="2">
        <f>IF(OR(Table1[[#This Row],[M score]]=1,AND(Table1[[#This Row],[F score]]=1,Table1[[#This Row],[Z score]]=1)),1,0)</f>
        <v>1</v>
      </c>
      <c r="C95" s="10">
        <v>0</v>
      </c>
      <c r="D95" s="10">
        <v>0</v>
      </c>
      <c r="E95" s="11">
        <v>1</v>
      </c>
      <c r="F95" s="12">
        <v>0.10419681620839363</v>
      </c>
      <c r="G95" s="13">
        <v>24.846923216465683</v>
      </c>
      <c r="H95" s="14">
        <v>1.81</v>
      </c>
      <c r="I95" s="15">
        <v>1</v>
      </c>
      <c r="J95" s="15">
        <v>0</v>
      </c>
      <c r="K95" s="16">
        <v>1</v>
      </c>
      <c r="L95" s="36">
        <v>0.37</v>
      </c>
    </row>
    <row r="96" spans="1:12" x14ac:dyDescent="0.45">
      <c r="A96" s="1" t="s">
        <v>105</v>
      </c>
      <c r="B96" s="2">
        <f>IF(OR(Table1[[#This Row],[M score]]=1,AND(Table1[[#This Row],[F score]]=1,Table1[[#This Row],[Z score]]=1)),1,0)</f>
        <v>0</v>
      </c>
      <c r="C96" s="17">
        <v>0</v>
      </c>
      <c r="D96" s="17">
        <v>0</v>
      </c>
      <c r="E96" s="18">
        <v>0</v>
      </c>
      <c r="F96" s="19">
        <v>0.21179344033496161</v>
      </c>
      <c r="G96" s="6">
        <v>28.01823139021797</v>
      </c>
      <c r="H96" s="20">
        <v>31.1</v>
      </c>
      <c r="I96" s="21">
        <v>1</v>
      </c>
      <c r="J96" s="21">
        <v>0</v>
      </c>
      <c r="K96" s="22">
        <v>1</v>
      </c>
      <c r="L96" s="36">
        <v>5.85</v>
      </c>
    </row>
    <row r="97" spans="1:12" x14ac:dyDescent="0.45">
      <c r="A97" s="9" t="s">
        <v>106</v>
      </c>
      <c r="B97" s="2">
        <f>IF(OR(Table1[[#This Row],[M score]]=1,AND(Table1[[#This Row],[F score]]=1,Table1[[#This Row],[Z score]]=1)),1,0)</f>
        <v>0</v>
      </c>
      <c r="C97" s="10">
        <v>0</v>
      </c>
      <c r="D97" s="10">
        <v>0</v>
      </c>
      <c r="E97" s="11">
        <v>0</v>
      </c>
      <c r="F97" s="12">
        <v>1.3268156424581005E-2</v>
      </c>
      <c r="G97" s="13">
        <v>27.66735304517594</v>
      </c>
      <c r="H97" s="14">
        <v>1.9</v>
      </c>
      <c r="I97" s="15">
        <v>1</v>
      </c>
      <c r="J97" s="15">
        <v>0</v>
      </c>
      <c r="K97" s="16">
        <v>1</v>
      </c>
      <c r="L97" s="36">
        <v>0.85</v>
      </c>
    </row>
    <row r="98" spans="1:12" x14ac:dyDescent="0.45">
      <c r="A98" s="1" t="s">
        <v>107</v>
      </c>
      <c r="B98" s="2">
        <f>IF(OR(Table1[[#This Row],[M score]]=1,AND(Table1[[#This Row],[F score]]=1,Table1[[#This Row],[Z score]]=1)),1,0)</f>
        <v>0</v>
      </c>
      <c r="C98" s="17">
        <v>0</v>
      </c>
      <c r="D98" s="17">
        <v>0</v>
      </c>
      <c r="E98" s="18">
        <v>0</v>
      </c>
      <c r="F98" s="19">
        <v>5.1819715594119062E-2</v>
      </c>
      <c r="G98" s="6">
        <v>27.044753296995697</v>
      </c>
      <c r="H98" s="20">
        <v>16.34</v>
      </c>
      <c r="I98" s="21">
        <v>1</v>
      </c>
      <c r="J98" s="21">
        <v>0</v>
      </c>
      <c r="K98" s="22">
        <v>1</v>
      </c>
      <c r="L98" s="36">
        <v>3.61</v>
      </c>
    </row>
    <row r="99" spans="1:12" x14ac:dyDescent="0.45">
      <c r="A99" s="9" t="s">
        <v>108</v>
      </c>
      <c r="B99" s="2">
        <f>IF(OR(Table1[[#This Row],[M score]]=1,AND(Table1[[#This Row],[F score]]=1,Table1[[#This Row],[Z score]]=1)),1,0)</f>
        <v>0</v>
      </c>
      <c r="C99" s="10">
        <v>0</v>
      </c>
      <c r="D99" s="10">
        <v>0</v>
      </c>
      <c r="E99" s="11">
        <v>0</v>
      </c>
      <c r="F99" s="12">
        <v>6.4332603938730859E-2</v>
      </c>
      <c r="G99" s="13">
        <v>27.931836566770293</v>
      </c>
      <c r="H99" s="14">
        <v>0.62</v>
      </c>
      <c r="I99" s="15">
        <v>0</v>
      </c>
      <c r="J99" s="15">
        <v>0</v>
      </c>
      <c r="K99" s="16">
        <v>0</v>
      </c>
      <c r="L99" s="36">
        <v>4.3899999999999997</v>
      </c>
    </row>
    <row r="100" spans="1:12" x14ac:dyDescent="0.45">
      <c r="A100" s="1" t="s">
        <v>109</v>
      </c>
      <c r="B100" s="2">
        <f>IF(OR(Table1[[#This Row],[M score]]=1,AND(Table1[[#This Row],[F score]]=1,Table1[[#This Row],[Z score]]=1)),1,0)</f>
        <v>0</v>
      </c>
      <c r="C100" s="17">
        <v>0</v>
      </c>
      <c r="D100" s="17">
        <v>1</v>
      </c>
      <c r="E100" s="18">
        <v>0</v>
      </c>
      <c r="F100" s="19">
        <v>55.375</v>
      </c>
      <c r="G100" s="6">
        <v>24.584156105623254</v>
      </c>
      <c r="H100" s="20">
        <v>53</v>
      </c>
      <c r="I100" s="21">
        <v>1</v>
      </c>
      <c r="J100" s="21">
        <v>0</v>
      </c>
      <c r="K100" s="22">
        <v>1</v>
      </c>
      <c r="L100" s="36">
        <v>14.2</v>
      </c>
    </row>
    <row r="101" spans="1:12" x14ac:dyDescent="0.45">
      <c r="A101" s="9" t="s">
        <v>110</v>
      </c>
      <c r="B101" s="2">
        <f>IF(OR(Table1[[#This Row],[M score]]=1,AND(Table1[[#This Row],[F score]]=1,Table1[[#This Row],[Z score]]=1)),1,0)</f>
        <v>0</v>
      </c>
      <c r="C101" s="10">
        <v>0</v>
      </c>
      <c r="D101" s="10">
        <v>0</v>
      </c>
      <c r="E101" s="11">
        <v>0</v>
      </c>
      <c r="F101" s="12">
        <v>4.1526374859708191E-2</v>
      </c>
      <c r="G101" s="13">
        <v>26.302210449072525</v>
      </c>
      <c r="H101" s="14">
        <v>36.08</v>
      </c>
      <c r="I101" s="15">
        <v>0</v>
      </c>
      <c r="J101" s="15">
        <v>0</v>
      </c>
      <c r="K101" s="16">
        <v>1</v>
      </c>
      <c r="L101" s="36">
        <v>0.5</v>
      </c>
    </row>
    <row r="102" spans="1:12" x14ac:dyDescent="0.45">
      <c r="A102" s="1" t="s">
        <v>111</v>
      </c>
      <c r="B102" s="2">
        <f>IF(OR(Table1[[#This Row],[M score]]=1,AND(Table1[[#This Row],[F score]]=1,Table1[[#This Row],[Z score]]=1)),1,0)</f>
        <v>1</v>
      </c>
      <c r="C102" s="17">
        <v>0</v>
      </c>
      <c r="D102" s="17">
        <v>1</v>
      </c>
      <c r="E102" s="18">
        <v>1</v>
      </c>
      <c r="F102" s="19">
        <v>-1.6975308641975308E-2</v>
      </c>
      <c r="G102" s="6">
        <v>23.272711007871983</v>
      </c>
      <c r="H102" s="20">
        <v>74.33</v>
      </c>
      <c r="I102" s="21">
        <v>0</v>
      </c>
      <c r="J102" s="21">
        <v>0</v>
      </c>
      <c r="K102" s="22">
        <v>0</v>
      </c>
      <c r="L102" s="36">
        <v>-218.36</v>
      </c>
    </row>
    <row r="103" spans="1:12" x14ac:dyDescent="0.45">
      <c r="A103" s="9" t="s">
        <v>112</v>
      </c>
      <c r="B103" s="2">
        <f>IF(OR(Table1[[#This Row],[M score]]=1,AND(Table1[[#This Row],[F score]]=1,Table1[[#This Row],[Z score]]=1)),1,0)</f>
        <v>0</v>
      </c>
      <c r="C103" s="10">
        <v>0</v>
      </c>
      <c r="D103" s="10">
        <v>0</v>
      </c>
      <c r="E103" s="11">
        <v>0</v>
      </c>
      <c r="F103" s="12">
        <v>1.3608247422680413</v>
      </c>
      <c r="G103" s="13">
        <v>28.459948388417523</v>
      </c>
      <c r="H103" s="14">
        <v>58.81</v>
      </c>
      <c r="I103" s="15">
        <v>0</v>
      </c>
      <c r="J103" s="15">
        <v>0</v>
      </c>
      <c r="K103" s="16">
        <v>1</v>
      </c>
      <c r="L103" s="36">
        <v>12.07</v>
      </c>
    </row>
    <row r="104" spans="1:12" x14ac:dyDescent="0.45">
      <c r="A104" s="1" t="s">
        <v>113</v>
      </c>
      <c r="B104" s="2">
        <f>IF(OR(Table1[[#This Row],[M score]]=1,AND(Table1[[#This Row],[F score]]=1,Table1[[#This Row],[Z score]]=1)),1,0)</f>
        <v>0</v>
      </c>
      <c r="C104" s="17">
        <v>0</v>
      </c>
      <c r="D104" s="17">
        <v>1</v>
      </c>
      <c r="E104" s="18">
        <v>0</v>
      </c>
      <c r="F104" s="19">
        <v>-6.8441064638783272E-2</v>
      </c>
      <c r="G104" s="6">
        <v>26.281032917089561</v>
      </c>
      <c r="H104" s="20">
        <v>23.41</v>
      </c>
      <c r="I104" s="21">
        <v>0</v>
      </c>
      <c r="J104" s="21">
        <v>0</v>
      </c>
      <c r="K104" s="22">
        <v>1</v>
      </c>
      <c r="L104" s="36">
        <v>4.66</v>
      </c>
    </row>
    <row r="105" spans="1:12" x14ac:dyDescent="0.45">
      <c r="A105" s="9" t="s">
        <v>114</v>
      </c>
      <c r="B105" s="2">
        <f>IF(OR(Table1[[#This Row],[M score]]=1,AND(Table1[[#This Row],[F score]]=1,Table1[[#This Row],[Z score]]=1)),1,0)</f>
        <v>0</v>
      </c>
      <c r="C105" s="10">
        <v>0</v>
      </c>
      <c r="D105" s="10">
        <v>0</v>
      </c>
      <c r="E105" s="11">
        <v>0</v>
      </c>
      <c r="F105" s="12">
        <v>5.1185567010309274</v>
      </c>
      <c r="G105" s="13">
        <v>26.051943868624019</v>
      </c>
      <c r="H105" s="14">
        <v>33.71</v>
      </c>
      <c r="I105" s="15">
        <v>1</v>
      </c>
      <c r="J105" s="15">
        <v>0</v>
      </c>
      <c r="K105" s="16">
        <v>1</v>
      </c>
      <c r="L105" s="36">
        <v>9.91</v>
      </c>
    </row>
    <row r="106" spans="1:12" x14ac:dyDescent="0.45">
      <c r="A106" s="1" t="s">
        <v>115</v>
      </c>
      <c r="B106" s="2">
        <f>IF(OR(Table1[[#This Row],[M score]]=1,AND(Table1[[#This Row],[F score]]=1,Table1[[#This Row],[Z score]]=1)),1,0)</f>
        <v>0</v>
      </c>
      <c r="C106" s="17">
        <v>0</v>
      </c>
      <c r="D106" s="17">
        <v>0</v>
      </c>
      <c r="E106" s="18">
        <v>0</v>
      </c>
      <c r="F106" s="19">
        <v>0.62599049128367668</v>
      </c>
      <c r="G106" s="6">
        <v>25.749300171669457</v>
      </c>
      <c r="H106" s="20">
        <v>27.57</v>
      </c>
      <c r="I106" s="21">
        <v>1</v>
      </c>
      <c r="J106" s="21">
        <v>0</v>
      </c>
      <c r="K106" s="22">
        <v>1</v>
      </c>
      <c r="L106" s="36">
        <v>6.75</v>
      </c>
    </row>
    <row r="107" spans="1:12" x14ac:dyDescent="0.45">
      <c r="A107" s="9" t="s">
        <v>116</v>
      </c>
      <c r="B107" s="2">
        <f>IF(OR(Table1[[#This Row],[M score]]=1,AND(Table1[[#This Row],[F score]]=1,Table1[[#This Row],[Z score]]=1)),1,0)</f>
        <v>0</v>
      </c>
      <c r="C107" s="10">
        <v>0</v>
      </c>
      <c r="D107" s="10">
        <v>1</v>
      </c>
      <c r="E107" s="11">
        <v>0</v>
      </c>
      <c r="F107" s="12">
        <v>0.32240437158469948</v>
      </c>
      <c r="G107" s="13">
        <v>26.181049686514015</v>
      </c>
      <c r="H107" s="14">
        <v>14.15</v>
      </c>
      <c r="I107" s="15">
        <v>0</v>
      </c>
      <c r="J107" s="15">
        <v>0</v>
      </c>
      <c r="K107" s="16">
        <v>1</v>
      </c>
      <c r="L107" s="36">
        <v>2.99</v>
      </c>
    </row>
    <row r="108" spans="1:12" x14ac:dyDescent="0.45">
      <c r="A108" s="1" t="s">
        <v>117</v>
      </c>
      <c r="B108" s="2">
        <f>IF(OR(Table1[[#This Row],[M score]]=1,AND(Table1[[#This Row],[F score]]=1,Table1[[#This Row],[Z score]]=1)),1,0)</f>
        <v>0</v>
      </c>
      <c r="C108" s="17">
        <v>0</v>
      </c>
      <c r="D108" s="17">
        <v>1</v>
      </c>
      <c r="E108" s="18">
        <v>0</v>
      </c>
      <c r="F108" s="19">
        <v>0.68306010928961747</v>
      </c>
      <c r="G108" s="6">
        <v>27.183024220092683</v>
      </c>
      <c r="H108" s="20">
        <v>46.18</v>
      </c>
      <c r="I108" s="21">
        <v>1</v>
      </c>
      <c r="J108" s="21">
        <v>0</v>
      </c>
      <c r="K108" s="22">
        <v>1</v>
      </c>
      <c r="L108" s="36">
        <v>7.79</v>
      </c>
    </row>
    <row r="109" spans="1:12" x14ac:dyDescent="0.45">
      <c r="A109" s="9" t="s">
        <v>118</v>
      </c>
      <c r="B109" s="2">
        <f>IF(OR(Table1[[#This Row],[M score]]=1,AND(Table1[[#This Row],[F score]]=1,Table1[[#This Row],[Z score]]=1)),1,0)</f>
        <v>0</v>
      </c>
      <c r="C109" s="10">
        <v>0</v>
      </c>
      <c r="D109" s="10">
        <v>0</v>
      </c>
      <c r="E109" s="11">
        <v>0</v>
      </c>
      <c r="F109" s="12">
        <v>-0.24575617283950618</v>
      </c>
      <c r="G109" s="13">
        <v>27.47807718313911</v>
      </c>
      <c r="H109" s="14">
        <v>3.51</v>
      </c>
      <c r="I109" s="15">
        <v>1</v>
      </c>
      <c r="J109" s="15">
        <v>1</v>
      </c>
      <c r="K109" s="16">
        <v>1</v>
      </c>
      <c r="L109" s="36">
        <v>0.84</v>
      </c>
    </row>
    <row r="110" spans="1:12" x14ac:dyDescent="0.45">
      <c r="A110" s="1" t="s">
        <v>119</v>
      </c>
      <c r="B110" s="2">
        <f>IF(OR(Table1[[#This Row],[M score]]=1,AND(Table1[[#This Row],[F score]]=1,Table1[[#This Row],[Z score]]=1)),1,0)</f>
        <v>1</v>
      </c>
      <c r="C110" s="17">
        <v>0</v>
      </c>
      <c r="D110" s="17">
        <v>0</v>
      </c>
      <c r="E110" s="18">
        <v>1</v>
      </c>
      <c r="F110" s="19">
        <v>-0.95787427090084254</v>
      </c>
      <c r="G110" s="6">
        <v>26.918389587316209</v>
      </c>
      <c r="H110" s="20">
        <v>1.97</v>
      </c>
      <c r="I110" s="21">
        <v>0</v>
      </c>
      <c r="J110" s="21">
        <v>0</v>
      </c>
      <c r="K110" s="22">
        <v>1</v>
      </c>
      <c r="L110" s="36">
        <v>0.98</v>
      </c>
    </row>
    <row r="111" spans="1:12" x14ac:dyDescent="0.45">
      <c r="A111" s="9" t="s">
        <v>120</v>
      </c>
      <c r="B111" s="2">
        <f>IF(OR(Table1[[#This Row],[M score]]=1,AND(Table1[[#This Row],[F score]]=1,Table1[[#This Row],[Z score]]=1)),1,0)</f>
        <v>0</v>
      </c>
      <c r="C111" s="10">
        <v>1</v>
      </c>
      <c r="D111" s="10">
        <v>0</v>
      </c>
      <c r="E111" s="11">
        <v>0</v>
      </c>
      <c r="F111" s="12">
        <v>-0.66335227272727271</v>
      </c>
      <c r="G111" s="13">
        <v>25.926918192024267</v>
      </c>
      <c r="H111" s="14">
        <v>33.26</v>
      </c>
      <c r="I111" s="15">
        <v>0</v>
      </c>
      <c r="J111" s="15">
        <v>1</v>
      </c>
      <c r="K111" s="16">
        <v>1</v>
      </c>
      <c r="L111" s="36">
        <v>-13.68</v>
      </c>
    </row>
    <row r="112" spans="1:12" x14ac:dyDescent="0.45">
      <c r="A112" s="1" t="s">
        <v>121</v>
      </c>
      <c r="B112" s="2">
        <f>IF(OR(Table1[[#This Row],[M score]]=1,AND(Table1[[#This Row],[F score]]=1,Table1[[#This Row],[Z score]]=1)),1,0)</f>
        <v>0</v>
      </c>
      <c r="C112" s="17">
        <v>1</v>
      </c>
      <c r="D112" s="17">
        <v>0</v>
      </c>
      <c r="E112" s="18">
        <v>0</v>
      </c>
      <c r="F112" s="19">
        <v>-0.1036734693877551</v>
      </c>
      <c r="G112" s="6">
        <v>24.997617056426616</v>
      </c>
      <c r="H112" s="20">
        <v>13.37</v>
      </c>
      <c r="I112" s="21">
        <v>1</v>
      </c>
      <c r="J112" s="21">
        <v>0</v>
      </c>
      <c r="K112" s="22">
        <v>1</v>
      </c>
      <c r="L112" s="36">
        <v>-0.26</v>
      </c>
    </row>
    <row r="113" spans="1:12" x14ac:dyDescent="0.45">
      <c r="A113" s="9" t="s">
        <v>122</v>
      </c>
      <c r="B113" s="2">
        <f>IF(OR(Table1[[#This Row],[M score]]=1,AND(Table1[[#This Row],[F score]]=1,Table1[[#This Row],[Z score]]=1)),1,0)</f>
        <v>1</v>
      </c>
      <c r="C113" s="10">
        <v>0</v>
      </c>
      <c r="D113" s="10">
        <v>0</v>
      </c>
      <c r="E113" s="11">
        <v>1</v>
      </c>
      <c r="F113" s="12">
        <v>1.4276729559748427</v>
      </c>
      <c r="G113" s="13">
        <v>26.034005723493006</v>
      </c>
      <c r="H113" s="14">
        <v>17</v>
      </c>
      <c r="I113" s="15">
        <v>0</v>
      </c>
      <c r="J113" s="15">
        <v>0</v>
      </c>
      <c r="K113" s="16">
        <v>1</v>
      </c>
      <c r="L113" s="36">
        <v>-0.22</v>
      </c>
    </row>
    <row r="114" spans="1:12" x14ac:dyDescent="0.45">
      <c r="A114" s="1" t="s">
        <v>123</v>
      </c>
      <c r="B114" s="2">
        <f>IF(OR(Table1[[#This Row],[M score]]=1,AND(Table1[[#This Row],[F score]]=1,Table1[[#This Row],[Z score]]=1)),1,0)</f>
        <v>0</v>
      </c>
      <c r="C114" s="17">
        <v>0</v>
      </c>
      <c r="D114" s="17">
        <v>1</v>
      </c>
      <c r="E114" s="18">
        <v>0</v>
      </c>
      <c r="F114" s="19">
        <v>-0.30214115781126089</v>
      </c>
      <c r="G114" s="6">
        <v>27.195709933526974</v>
      </c>
      <c r="H114" s="20">
        <v>34.770000000000003</v>
      </c>
      <c r="I114" s="21">
        <v>1</v>
      </c>
      <c r="J114" s="21">
        <v>0</v>
      </c>
      <c r="K114" s="22">
        <v>1</v>
      </c>
      <c r="L114" s="36">
        <v>7.17</v>
      </c>
    </row>
    <row r="115" spans="1:12" x14ac:dyDescent="0.45">
      <c r="A115" s="9" t="s">
        <v>124</v>
      </c>
      <c r="B115" s="2">
        <f>IF(OR(Table1[[#This Row],[M score]]=1,AND(Table1[[#This Row],[F score]]=1,Table1[[#This Row],[Z score]]=1)),1,0)</f>
        <v>0</v>
      </c>
      <c r="C115" s="10">
        <v>0</v>
      </c>
      <c r="D115" s="10">
        <v>0</v>
      </c>
      <c r="E115" s="11">
        <v>0</v>
      </c>
      <c r="F115" s="12">
        <v>0.8202247191011236</v>
      </c>
      <c r="G115" s="13">
        <v>29.013055837486661</v>
      </c>
      <c r="H115" s="14">
        <v>11.01</v>
      </c>
      <c r="I115" s="15">
        <v>1</v>
      </c>
      <c r="J115" s="15">
        <v>0</v>
      </c>
      <c r="K115" s="16">
        <v>1</v>
      </c>
      <c r="L115" s="36">
        <v>4.95</v>
      </c>
    </row>
    <row r="116" spans="1:12" x14ac:dyDescent="0.45">
      <c r="A116" s="1" t="s">
        <v>125</v>
      </c>
      <c r="B116" s="2">
        <f>IF(OR(Table1[[#This Row],[M score]]=1,AND(Table1[[#This Row],[F score]]=1,Table1[[#This Row],[Z score]]=1)),1,0)</f>
        <v>1</v>
      </c>
      <c r="C116" s="17">
        <v>0</v>
      </c>
      <c r="D116" s="17">
        <v>0</v>
      </c>
      <c r="E116" s="18">
        <v>1</v>
      </c>
      <c r="F116" s="19">
        <v>6.2412060301507539</v>
      </c>
      <c r="G116" s="6">
        <v>27.308370780169927</v>
      </c>
      <c r="H116" s="20">
        <v>21.64</v>
      </c>
      <c r="I116" s="21">
        <v>1</v>
      </c>
      <c r="J116" s="21">
        <v>0</v>
      </c>
      <c r="K116" s="22">
        <v>1</v>
      </c>
      <c r="L116" s="36">
        <v>9.83</v>
      </c>
    </row>
    <row r="117" spans="1:12" x14ac:dyDescent="0.45">
      <c r="A117" s="9" t="s">
        <v>126</v>
      </c>
      <c r="B117" s="2">
        <f>IF(OR(Table1[[#This Row],[M score]]=1,AND(Table1[[#This Row],[F score]]=1,Table1[[#This Row],[Z score]]=1)),1,0)</f>
        <v>0</v>
      </c>
      <c r="C117" s="10">
        <v>0</v>
      </c>
      <c r="D117" s="10">
        <v>0</v>
      </c>
      <c r="E117" s="11">
        <v>0</v>
      </c>
      <c r="F117" s="12">
        <v>-0.32902298850574713</v>
      </c>
      <c r="G117" s="13">
        <v>27.95556336359234</v>
      </c>
      <c r="H117" s="14">
        <v>48.38</v>
      </c>
      <c r="I117" s="15">
        <v>1</v>
      </c>
      <c r="J117" s="15">
        <v>0</v>
      </c>
      <c r="K117" s="16">
        <v>1</v>
      </c>
      <c r="L117" s="36">
        <v>0.28999999999999998</v>
      </c>
    </row>
    <row r="118" spans="1:12" x14ac:dyDescent="0.45">
      <c r="A118" s="1" t="s">
        <v>127</v>
      </c>
      <c r="B118" s="2">
        <f>IF(OR(Table1[[#This Row],[M score]]=1,AND(Table1[[#This Row],[F score]]=1,Table1[[#This Row],[Z score]]=1)),1,0)</f>
        <v>1</v>
      </c>
      <c r="C118" s="17">
        <v>0</v>
      </c>
      <c r="D118" s="17">
        <v>0</v>
      </c>
      <c r="E118" s="18">
        <v>1</v>
      </c>
      <c r="F118" s="19">
        <v>-0.36046128500823721</v>
      </c>
      <c r="G118" s="6">
        <v>27.038123481303742</v>
      </c>
      <c r="H118" s="20">
        <v>19.399999999999999</v>
      </c>
      <c r="I118" s="21">
        <v>1</v>
      </c>
      <c r="J118" s="21">
        <v>0</v>
      </c>
      <c r="K118" s="22">
        <v>1</v>
      </c>
      <c r="L118" s="36">
        <v>-3.92</v>
      </c>
    </row>
    <row r="119" spans="1:12" x14ac:dyDescent="0.45">
      <c r="A119" s="9" t="s">
        <v>128</v>
      </c>
      <c r="B119" s="2">
        <f>IF(OR(Table1[[#This Row],[M score]]=1,AND(Table1[[#This Row],[F score]]=1,Table1[[#This Row],[Z score]]=1)),1,0)</f>
        <v>0</v>
      </c>
      <c r="C119" s="10">
        <v>0</v>
      </c>
      <c r="D119" s="10">
        <v>0</v>
      </c>
      <c r="E119" s="11">
        <v>0</v>
      </c>
      <c r="F119" s="12">
        <v>-0.38703403565640193</v>
      </c>
      <c r="G119" s="13">
        <v>28.735167245615163</v>
      </c>
      <c r="H119" s="14">
        <v>7.66</v>
      </c>
      <c r="I119" s="15">
        <v>1</v>
      </c>
      <c r="J119" s="15">
        <v>0</v>
      </c>
      <c r="K119" s="16">
        <v>1</v>
      </c>
      <c r="L119" s="36">
        <v>4.3499999999999996</v>
      </c>
    </row>
    <row r="120" spans="1:12" x14ac:dyDescent="0.45">
      <c r="A120" s="1" t="s">
        <v>129</v>
      </c>
      <c r="B120" s="2">
        <f>IF(OR(Table1[[#This Row],[M score]]=1,AND(Table1[[#This Row],[F score]]=1,Table1[[#This Row],[Z score]]=1)),1,0)</f>
        <v>1</v>
      </c>
      <c r="C120" s="17">
        <v>0</v>
      </c>
      <c r="D120" s="17">
        <v>0</v>
      </c>
      <c r="E120" s="18">
        <v>1</v>
      </c>
      <c r="F120" s="19">
        <v>-0.12546978895634575</v>
      </c>
      <c r="G120" s="6">
        <v>26.577877251985559</v>
      </c>
      <c r="H120" s="20">
        <v>11.77</v>
      </c>
      <c r="I120" s="21">
        <v>1</v>
      </c>
      <c r="J120" s="21">
        <v>0</v>
      </c>
      <c r="K120" s="22">
        <v>1</v>
      </c>
      <c r="L120" s="36">
        <v>3.16</v>
      </c>
    </row>
    <row r="121" spans="1:12" x14ac:dyDescent="0.45">
      <c r="A121" s="9" t="s">
        <v>130</v>
      </c>
      <c r="B121" s="2">
        <f>IF(OR(Table1[[#This Row],[M score]]=1,AND(Table1[[#This Row],[F score]]=1,Table1[[#This Row],[Z score]]=1)),1,0)</f>
        <v>1</v>
      </c>
      <c r="C121" s="10">
        <v>0</v>
      </c>
      <c r="D121" s="10">
        <v>1</v>
      </c>
      <c r="E121" s="11">
        <v>1</v>
      </c>
      <c r="F121" s="12">
        <v>0.46451612903225808</v>
      </c>
      <c r="G121" s="13">
        <v>29.673368220646861</v>
      </c>
      <c r="H121" s="14">
        <v>10.06</v>
      </c>
      <c r="I121" s="15">
        <v>1</v>
      </c>
      <c r="J121" s="15">
        <v>1</v>
      </c>
      <c r="K121" s="16">
        <v>1</v>
      </c>
      <c r="L121" s="36">
        <v>4.3499999999999996</v>
      </c>
    </row>
    <row r="122" spans="1:12" x14ac:dyDescent="0.45">
      <c r="A122" s="1" t="s">
        <v>131</v>
      </c>
      <c r="B122" s="2">
        <f>IF(OR(Table1[[#This Row],[M score]]=1,AND(Table1[[#This Row],[F score]]=1,Table1[[#This Row],[Z score]]=1)),1,0)</f>
        <v>0</v>
      </c>
      <c r="C122" s="17">
        <v>0</v>
      </c>
      <c r="D122" s="17">
        <v>0</v>
      </c>
      <c r="E122" s="18">
        <v>0</v>
      </c>
      <c r="F122" s="19">
        <v>-0.79497098646034814</v>
      </c>
      <c r="G122" s="6">
        <v>28.228440856193117</v>
      </c>
      <c r="H122" s="20">
        <v>63.7</v>
      </c>
      <c r="I122" s="21">
        <v>1</v>
      </c>
      <c r="J122" s="21">
        <v>0</v>
      </c>
      <c r="K122" s="22">
        <v>1</v>
      </c>
      <c r="L122" s="36">
        <v>-3.36</v>
      </c>
    </row>
    <row r="123" spans="1:12" x14ac:dyDescent="0.45">
      <c r="A123" s="9" t="s">
        <v>132</v>
      </c>
      <c r="B123" s="2">
        <f>IF(OR(Table1[[#This Row],[M score]]=1,AND(Table1[[#This Row],[F score]]=1,Table1[[#This Row],[Z score]]=1)),1,0)</f>
        <v>0</v>
      </c>
      <c r="C123" s="10">
        <v>0</v>
      </c>
      <c r="D123" s="10">
        <v>1</v>
      </c>
      <c r="E123" s="11">
        <v>0</v>
      </c>
      <c r="F123" s="12">
        <v>0.37002212389380529</v>
      </c>
      <c r="G123" s="13">
        <v>27.968742524331144</v>
      </c>
      <c r="H123" s="14">
        <v>42.41</v>
      </c>
      <c r="I123" s="15">
        <v>1</v>
      </c>
      <c r="J123" s="15">
        <v>0</v>
      </c>
      <c r="K123" s="16">
        <v>1</v>
      </c>
      <c r="L123" s="36">
        <v>23.37</v>
      </c>
    </row>
    <row r="124" spans="1:12" x14ac:dyDescent="0.45">
      <c r="A124" s="1" t="s">
        <v>133</v>
      </c>
      <c r="B124" s="2">
        <f>IF(OR(Table1[[#This Row],[M score]]=1,AND(Table1[[#This Row],[F score]]=1,Table1[[#This Row],[Z score]]=1)),1,0)</f>
        <v>0</v>
      </c>
      <c r="C124" s="17">
        <v>0</v>
      </c>
      <c r="D124" s="17">
        <v>0</v>
      </c>
      <c r="E124" s="18">
        <v>0</v>
      </c>
      <c r="F124" s="19">
        <v>0.11455897980871413</v>
      </c>
      <c r="G124" s="6">
        <v>29.90901792745629</v>
      </c>
      <c r="H124" s="20">
        <v>27.65</v>
      </c>
      <c r="I124" s="21">
        <v>1</v>
      </c>
      <c r="J124" s="21">
        <v>0</v>
      </c>
      <c r="K124" s="22">
        <v>1</v>
      </c>
      <c r="L124" s="36">
        <v>10.84</v>
      </c>
    </row>
    <row r="125" spans="1:12" x14ac:dyDescent="0.45">
      <c r="A125" s="9" t="s">
        <v>134</v>
      </c>
      <c r="B125" s="2">
        <f>IF(OR(Table1[[#This Row],[M score]]=1,AND(Table1[[#This Row],[F score]]=1,Table1[[#This Row],[Z score]]=1)),1,0)</f>
        <v>0</v>
      </c>
      <c r="C125" s="10">
        <v>0</v>
      </c>
      <c r="D125" s="10">
        <v>0</v>
      </c>
      <c r="E125" s="11">
        <v>0</v>
      </c>
      <c r="F125" s="12">
        <v>0.22865208186309105</v>
      </c>
      <c r="G125" s="13">
        <v>25.664772963260727</v>
      </c>
      <c r="H125" s="14">
        <v>6.67</v>
      </c>
      <c r="I125" s="15">
        <v>1</v>
      </c>
      <c r="J125" s="15">
        <v>0</v>
      </c>
      <c r="K125" s="16">
        <v>1</v>
      </c>
      <c r="L125" s="36">
        <v>4.4400000000000004</v>
      </c>
    </row>
    <row r="126" spans="1:12" x14ac:dyDescent="0.45">
      <c r="A126" s="1" t="s">
        <v>135</v>
      </c>
      <c r="B126" s="2">
        <f>IF(OR(Table1[[#This Row],[M score]]=1,AND(Table1[[#This Row],[F score]]=1,Table1[[#This Row],[Z score]]=1)),1,0)</f>
        <v>0</v>
      </c>
      <c r="C126" s="17">
        <v>0</v>
      </c>
      <c r="D126" s="17">
        <v>0</v>
      </c>
      <c r="E126" s="18">
        <v>0</v>
      </c>
      <c r="F126" s="19">
        <v>-0.16207660652105096</v>
      </c>
      <c r="G126" s="6">
        <v>27.23347417621952</v>
      </c>
      <c r="H126" s="20">
        <v>27.24</v>
      </c>
      <c r="I126" s="21">
        <v>0</v>
      </c>
      <c r="J126" s="21">
        <v>0</v>
      </c>
      <c r="K126" s="22">
        <v>1</v>
      </c>
      <c r="L126" s="36">
        <v>5.94</v>
      </c>
    </row>
    <row r="127" spans="1:12" x14ac:dyDescent="0.45">
      <c r="A127" s="9" t="s">
        <v>136</v>
      </c>
      <c r="B127" s="2">
        <f>IF(OR(Table1[[#This Row],[M score]]=1,AND(Table1[[#This Row],[F score]]=1,Table1[[#This Row],[Z score]]=1)),1,0)</f>
        <v>1</v>
      </c>
      <c r="C127" s="10">
        <v>0</v>
      </c>
      <c r="D127" s="10">
        <v>0</v>
      </c>
      <c r="E127" s="11">
        <v>1</v>
      </c>
      <c r="F127" s="12">
        <v>16.319444444444443</v>
      </c>
      <c r="G127" s="13">
        <v>27.363665164053224</v>
      </c>
      <c r="H127" s="14">
        <v>9.8800000000000008</v>
      </c>
      <c r="I127" s="15">
        <v>0</v>
      </c>
      <c r="J127" s="15">
        <v>0</v>
      </c>
      <c r="K127" s="16">
        <v>1</v>
      </c>
      <c r="L127" s="36">
        <v>19.16</v>
      </c>
    </row>
    <row r="128" spans="1:12" x14ac:dyDescent="0.45">
      <c r="A128" s="1" t="s">
        <v>137</v>
      </c>
      <c r="B128" s="2">
        <f>IF(OR(Table1[[#This Row],[M score]]=1,AND(Table1[[#This Row],[F score]]=1,Table1[[#This Row],[Z score]]=1)),1,0)</f>
        <v>1</v>
      </c>
      <c r="C128" s="17">
        <v>0</v>
      </c>
      <c r="D128" s="17">
        <v>1</v>
      </c>
      <c r="E128" s="18">
        <v>1</v>
      </c>
      <c r="F128" s="19">
        <v>-9.3333333333333339</v>
      </c>
      <c r="G128" s="6">
        <v>24.376776844192207</v>
      </c>
      <c r="H128" s="20">
        <v>11.02</v>
      </c>
      <c r="I128" s="21">
        <v>0</v>
      </c>
      <c r="J128" s="21">
        <v>0</v>
      </c>
      <c r="K128" s="22">
        <v>0</v>
      </c>
      <c r="L128" s="36">
        <v>-3.7</v>
      </c>
    </row>
    <row r="129" spans="1:12" x14ac:dyDescent="0.45">
      <c r="A129" s="9" t="s">
        <v>138</v>
      </c>
      <c r="B129" s="2">
        <f>IF(OR(Table1[[#This Row],[M score]]=1,AND(Table1[[#This Row],[F score]]=1,Table1[[#This Row],[Z score]]=1)),1,0)</f>
        <v>0</v>
      </c>
      <c r="C129" s="10">
        <v>0</v>
      </c>
      <c r="D129" s="10">
        <v>1</v>
      </c>
      <c r="E129" s="11">
        <v>0</v>
      </c>
      <c r="F129" s="12">
        <v>-0.16441717791411042</v>
      </c>
      <c r="G129" s="13">
        <v>27.693090080532517</v>
      </c>
      <c r="H129" s="14">
        <v>44.46</v>
      </c>
      <c r="I129" s="15">
        <v>1</v>
      </c>
      <c r="J129" s="15">
        <v>0</v>
      </c>
      <c r="K129" s="16">
        <v>1</v>
      </c>
      <c r="L129" s="36">
        <v>5.17</v>
      </c>
    </row>
    <row r="130" spans="1:12" x14ac:dyDescent="0.45">
      <c r="A130" s="1" t="s">
        <v>139</v>
      </c>
      <c r="B130" s="2">
        <f>IF(OR(Table1[[#This Row],[M score]]=1,AND(Table1[[#This Row],[F score]]=1,Table1[[#This Row],[Z score]]=1)),1,0)</f>
        <v>0</v>
      </c>
      <c r="C130" s="17">
        <v>0</v>
      </c>
      <c r="D130" s="17">
        <v>1</v>
      </c>
      <c r="E130" s="18">
        <v>0</v>
      </c>
      <c r="F130" s="19">
        <v>0.12244897959183673</v>
      </c>
      <c r="G130" s="6">
        <v>23.92260002573726</v>
      </c>
      <c r="H130" s="20">
        <v>15.1</v>
      </c>
      <c r="I130" s="21">
        <v>1</v>
      </c>
      <c r="J130" s="21">
        <v>0</v>
      </c>
      <c r="K130" s="22">
        <v>1</v>
      </c>
      <c r="L130" s="36">
        <v>0.97</v>
      </c>
    </row>
    <row r="131" spans="1:12" x14ac:dyDescent="0.45">
      <c r="A131" s="9" t="s">
        <v>140</v>
      </c>
      <c r="B131" s="2">
        <f>IF(OR(Table1[[#This Row],[M score]]=1,AND(Table1[[#This Row],[F score]]=1,Table1[[#This Row],[Z score]]=1)),1,0)</f>
        <v>0</v>
      </c>
      <c r="C131" s="10">
        <v>0</v>
      </c>
      <c r="D131" s="10">
        <v>1</v>
      </c>
      <c r="E131" s="11">
        <v>0</v>
      </c>
      <c r="F131" s="12">
        <v>-11.271604938271604</v>
      </c>
      <c r="G131" s="13">
        <v>26.464793577844873</v>
      </c>
      <c r="H131" s="14">
        <v>13.55</v>
      </c>
      <c r="I131" s="15">
        <v>1</v>
      </c>
      <c r="J131" s="15">
        <v>0</v>
      </c>
      <c r="K131" s="16">
        <v>1</v>
      </c>
      <c r="L131" s="36">
        <v>-7.51</v>
      </c>
    </row>
    <row r="132" spans="1:12" x14ac:dyDescent="0.45">
      <c r="A132" s="1" t="s">
        <v>141</v>
      </c>
      <c r="B132" s="2">
        <f>IF(OR(Table1[[#This Row],[M score]]=1,AND(Table1[[#This Row],[F score]]=1,Table1[[#This Row],[Z score]]=1)),1,0)</f>
        <v>0</v>
      </c>
      <c r="C132" s="17">
        <v>0</v>
      </c>
      <c r="D132" s="17">
        <v>1</v>
      </c>
      <c r="E132" s="18">
        <v>0</v>
      </c>
      <c r="F132" s="19">
        <v>0.22494765180975171</v>
      </c>
      <c r="G132" s="6">
        <v>27.364879767250894</v>
      </c>
      <c r="H132" s="20">
        <v>31.08</v>
      </c>
      <c r="I132" s="21">
        <v>0</v>
      </c>
      <c r="J132" s="21">
        <v>0</v>
      </c>
      <c r="K132" s="22">
        <v>1</v>
      </c>
      <c r="L132" s="36">
        <v>11.21</v>
      </c>
    </row>
    <row r="133" spans="1:12" x14ac:dyDescent="0.45">
      <c r="A133" s="9" t="s">
        <v>142</v>
      </c>
      <c r="B133" s="2">
        <f>IF(OR(Table1[[#This Row],[M score]]=1,AND(Table1[[#This Row],[F score]]=1,Table1[[#This Row],[Z score]]=1)),1,0)</f>
        <v>0</v>
      </c>
      <c r="C133" s="10">
        <v>0</v>
      </c>
      <c r="D133" s="10">
        <v>0</v>
      </c>
      <c r="E133" s="11">
        <v>0</v>
      </c>
      <c r="F133" s="12">
        <v>0.15590200445434299</v>
      </c>
      <c r="G133" s="13">
        <v>27.330919909217478</v>
      </c>
      <c r="H133" s="14">
        <v>28.48</v>
      </c>
      <c r="I133" s="15">
        <v>1</v>
      </c>
      <c r="J133" s="15">
        <v>0</v>
      </c>
      <c r="K133" s="16">
        <v>1</v>
      </c>
      <c r="L133" s="36">
        <v>8.07</v>
      </c>
    </row>
    <row r="134" spans="1:12" x14ac:dyDescent="0.45">
      <c r="A134" s="1" t="s">
        <v>143</v>
      </c>
      <c r="B134" s="2">
        <f>IF(OR(Table1[[#This Row],[M score]]=1,AND(Table1[[#This Row],[F score]]=1,Table1[[#This Row],[Z score]]=1)),1,0)</f>
        <v>0</v>
      </c>
      <c r="C134" s="17">
        <v>0</v>
      </c>
      <c r="D134" s="17">
        <v>0</v>
      </c>
      <c r="E134" s="18">
        <v>0</v>
      </c>
      <c r="F134" s="19">
        <v>0.51923076923076927</v>
      </c>
      <c r="G134" s="6">
        <v>29.973849797063725</v>
      </c>
      <c r="H134" s="20">
        <v>36.78</v>
      </c>
      <c r="I134" s="21">
        <v>1</v>
      </c>
      <c r="J134" s="21">
        <v>1</v>
      </c>
      <c r="K134" s="22">
        <v>1</v>
      </c>
      <c r="L134" s="36">
        <v>19.260000000000002</v>
      </c>
    </row>
    <row r="135" spans="1:12" x14ac:dyDescent="0.45">
      <c r="A135" s="9" t="s">
        <v>144</v>
      </c>
      <c r="B135" s="2">
        <f>IF(OR(Table1[[#This Row],[M score]]=1,AND(Table1[[#This Row],[F score]]=1,Table1[[#This Row],[Z score]]=1)),1,0)</f>
        <v>0</v>
      </c>
      <c r="C135" s="10">
        <v>0</v>
      </c>
      <c r="D135" s="10">
        <v>0</v>
      </c>
      <c r="E135" s="11">
        <v>0</v>
      </c>
      <c r="F135" s="12">
        <v>-4.499229583975347E-2</v>
      </c>
      <c r="G135" s="13">
        <v>29.159482348219246</v>
      </c>
      <c r="H135" s="14">
        <v>6.78</v>
      </c>
      <c r="I135" s="15">
        <v>1</v>
      </c>
      <c r="J135" s="15">
        <v>1</v>
      </c>
      <c r="K135" s="16">
        <v>1</v>
      </c>
      <c r="L135" s="36">
        <v>3.63</v>
      </c>
    </row>
    <row r="136" spans="1:12" x14ac:dyDescent="0.45">
      <c r="A136" s="1" t="s">
        <v>145</v>
      </c>
      <c r="B136" s="2">
        <f>IF(OR(Table1[[#This Row],[M score]]=1,AND(Table1[[#This Row],[F score]]=1,Table1[[#This Row],[Z score]]=1)),1,0)</f>
        <v>0</v>
      </c>
      <c r="C136" s="17">
        <v>0</v>
      </c>
      <c r="D136" s="17">
        <v>0</v>
      </c>
      <c r="E136" s="18">
        <v>0</v>
      </c>
      <c r="F136" s="19">
        <v>-0.19304556354916066</v>
      </c>
      <c r="G136" s="6">
        <v>26.233187219739143</v>
      </c>
      <c r="H136" s="20">
        <v>55.42</v>
      </c>
      <c r="I136" s="21">
        <v>1</v>
      </c>
      <c r="J136" s="21">
        <v>0</v>
      </c>
      <c r="K136" s="22">
        <v>1</v>
      </c>
      <c r="L136" s="36">
        <v>2.3199999999999998</v>
      </c>
    </row>
    <row r="137" spans="1:12" x14ac:dyDescent="0.45">
      <c r="A137" s="9" t="s">
        <v>146</v>
      </c>
      <c r="B137" s="2">
        <f>IF(OR(Table1[[#This Row],[M score]]=1,AND(Table1[[#This Row],[F score]]=1,Table1[[#This Row],[Z score]]=1)),1,0)</f>
        <v>1</v>
      </c>
      <c r="C137" s="10">
        <v>0</v>
      </c>
      <c r="D137" s="10">
        <v>1</v>
      </c>
      <c r="E137" s="11">
        <v>1</v>
      </c>
      <c r="F137" s="12">
        <v>-0.26647966339410939</v>
      </c>
      <c r="G137" s="13">
        <v>25.020286493836476</v>
      </c>
      <c r="H137" s="14">
        <v>48.89</v>
      </c>
      <c r="I137" s="15">
        <v>1</v>
      </c>
      <c r="J137" s="15">
        <v>0</v>
      </c>
      <c r="K137" s="16">
        <v>1</v>
      </c>
      <c r="L137" s="36">
        <v>2.37</v>
      </c>
    </row>
    <row r="138" spans="1:12" x14ac:dyDescent="0.45">
      <c r="A138" s="1" t="s">
        <v>147</v>
      </c>
      <c r="B138" s="2">
        <f>IF(OR(Table1[[#This Row],[M score]]=1,AND(Table1[[#This Row],[F score]]=1,Table1[[#This Row],[Z score]]=1)),1,0)</f>
        <v>0</v>
      </c>
      <c r="C138" s="17">
        <v>0</v>
      </c>
      <c r="D138" s="17">
        <v>0</v>
      </c>
      <c r="E138" s="18">
        <v>0</v>
      </c>
      <c r="F138" s="19">
        <v>-4.933759707629054E-2</v>
      </c>
      <c r="G138" s="6">
        <v>27.652441376894707</v>
      </c>
      <c r="H138" s="20">
        <v>2.1</v>
      </c>
      <c r="I138" s="21">
        <v>1</v>
      </c>
      <c r="J138" s="21">
        <v>0</v>
      </c>
      <c r="K138" s="22">
        <v>1</v>
      </c>
      <c r="L138" s="36">
        <v>55.76</v>
      </c>
    </row>
    <row r="139" spans="1:12" x14ac:dyDescent="0.45">
      <c r="A139" s="9" t="s">
        <v>148</v>
      </c>
      <c r="B139" s="2">
        <f>IF(OR(Table1[[#This Row],[M score]]=1,AND(Table1[[#This Row],[F score]]=1,Table1[[#This Row],[Z score]]=1)),1,0)</f>
        <v>0</v>
      </c>
      <c r="C139" s="10">
        <v>0</v>
      </c>
      <c r="D139" s="10">
        <v>0</v>
      </c>
      <c r="E139" s="11">
        <v>0</v>
      </c>
      <c r="F139" s="12">
        <v>0.44097486671744096</v>
      </c>
      <c r="G139" s="13">
        <v>28.357098471880956</v>
      </c>
      <c r="H139" s="14">
        <v>27.02</v>
      </c>
      <c r="I139" s="15">
        <v>0</v>
      </c>
      <c r="J139" s="15">
        <v>0</v>
      </c>
      <c r="K139" s="16">
        <v>1</v>
      </c>
      <c r="L139" s="36">
        <v>34.89</v>
      </c>
    </row>
    <row r="140" spans="1:12" x14ac:dyDescent="0.45">
      <c r="A140" s="1" t="s">
        <v>149</v>
      </c>
      <c r="B140" s="2">
        <f>IF(OR(Table1[[#This Row],[M score]]=1,AND(Table1[[#This Row],[F score]]=1,Table1[[#This Row],[Z score]]=1)),1,0)</f>
        <v>0</v>
      </c>
      <c r="C140" s="17">
        <v>0</v>
      </c>
      <c r="D140" s="17">
        <v>0</v>
      </c>
      <c r="E140" s="18">
        <v>0</v>
      </c>
      <c r="F140" s="19">
        <v>-0.63574351978171895</v>
      </c>
      <c r="G140" s="6">
        <v>28.775487290689249</v>
      </c>
      <c r="H140" s="20">
        <v>32.159999999999997</v>
      </c>
      <c r="I140" s="21">
        <v>1</v>
      </c>
      <c r="J140" s="21">
        <v>0</v>
      </c>
      <c r="K140" s="22">
        <v>1</v>
      </c>
      <c r="L140" s="36">
        <v>1.2</v>
      </c>
    </row>
    <row r="141" spans="1:12" x14ac:dyDescent="0.45">
      <c r="A141" s="9" t="s">
        <v>150</v>
      </c>
      <c r="B141" s="2">
        <f>IF(OR(Table1[[#This Row],[M score]]=1,AND(Table1[[#This Row],[F score]]=1,Table1[[#This Row],[Z score]]=1)),1,0)</f>
        <v>1</v>
      </c>
      <c r="C141" s="10">
        <v>1</v>
      </c>
      <c r="D141" s="10">
        <v>0</v>
      </c>
      <c r="E141" s="11">
        <v>1</v>
      </c>
      <c r="F141" s="12">
        <v>0.38031319910514544</v>
      </c>
      <c r="G141" s="13">
        <v>30.482385204642618</v>
      </c>
      <c r="H141" s="14">
        <v>12.94</v>
      </c>
      <c r="I141" s="15">
        <v>1</v>
      </c>
      <c r="J141" s="15">
        <v>1</v>
      </c>
      <c r="K141" s="16">
        <v>1</v>
      </c>
      <c r="L141" s="36">
        <v>6.06</v>
      </c>
    </row>
    <row r="142" spans="1:12" x14ac:dyDescent="0.45">
      <c r="A142" s="1" t="s">
        <v>151</v>
      </c>
      <c r="B142" s="2">
        <f>IF(OR(Table1[[#This Row],[M score]]=1,AND(Table1[[#This Row],[F score]]=1,Table1[[#This Row],[Z score]]=1)),1,0)</f>
        <v>0</v>
      </c>
      <c r="C142" s="17">
        <v>0</v>
      </c>
      <c r="D142" s="17">
        <v>1</v>
      </c>
      <c r="E142" s="18">
        <v>0</v>
      </c>
      <c r="F142" s="19">
        <v>-0.22771941714672991</v>
      </c>
      <c r="G142" s="6">
        <v>23.921171888948951</v>
      </c>
      <c r="H142" s="20">
        <v>57.8</v>
      </c>
      <c r="I142" s="21">
        <v>0</v>
      </c>
      <c r="J142" s="21">
        <v>0</v>
      </c>
      <c r="K142" s="22">
        <v>0</v>
      </c>
      <c r="L142" s="36">
        <v>-212.49</v>
      </c>
    </row>
    <row r="143" spans="1:12" x14ac:dyDescent="0.45">
      <c r="A143" s="9" t="s">
        <v>152</v>
      </c>
      <c r="B143" s="2">
        <f>IF(OR(Table1[[#This Row],[M score]]=1,AND(Table1[[#This Row],[F score]]=1,Table1[[#This Row],[Z score]]=1)),1,0)</f>
        <v>0</v>
      </c>
      <c r="C143" s="10">
        <v>0</v>
      </c>
      <c r="D143" s="10">
        <v>0</v>
      </c>
      <c r="E143" s="11">
        <v>0</v>
      </c>
      <c r="F143" s="12">
        <v>-7.7134986225895319E-2</v>
      </c>
      <c r="G143" s="13">
        <v>25.530560207024635</v>
      </c>
      <c r="H143" s="14">
        <v>36.340000000000003</v>
      </c>
      <c r="I143" s="15">
        <v>0</v>
      </c>
      <c r="J143" s="15">
        <v>0</v>
      </c>
      <c r="K143" s="16">
        <v>1</v>
      </c>
      <c r="L143" s="36">
        <v>2.63</v>
      </c>
    </row>
    <row r="144" spans="1:12" x14ac:dyDescent="0.45">
      <c r="A144" s="1" t="s">
        <v>153</v>
      </c>
      <c r="B144" s="2">
        <f>IF(OR(Table1[[#This Row],[M score]]=1,AND(Table1[[#This Row],[F score]]=1,Table1[[#This Row],[Z score]]=1)),1,0)</f>
        <v>1</v>
      </c>
      <c r="C144" s="17">
        <v>0</v>
      </c>
      <c r="D144" s="17">
        <v>1</v>
      </c>
      <c r="E144" s="18">
        <v>1</v>
      </c>
      <c r="F144" s="19">
        <v>4.1161369193154034</v>
      </c>
      <c r="G144" s="6">
        <v>25.198599220897215</v>
      </c>
      <c r="H144" s="20">
        <v>48.94</v>
      </c>
      <c r="I144" s="21">
        <v>1</v>
      </c>
      <c r="J144" s="21">
        <v>0</v>
      </c>
      <c r="K144" s="22">
        <v>0</v>
      </c>
      <c r="L144" s="36">
        <v>-51.54</v>
      </c>
    </row>
    <row r="145" spans="1:12" x14ac:dyDescent="0.45">
      <c r="A145" s="9" t="s">
        <v>154</v>
      </c>
      <c r="B145" s="2">
        <f>IF(OR(Table1[[#This Row],[M score]]=1,AND(Table1[[#This Row],[F score]]=1,Table1[[#This Row],[Z score]]=1)),1,0)</f>
        <v>0</v>
      </c>
      <c r="C145" s="10">
        <v>0</v>
      </c>
      <c r="D145" s="10">
        <v>1</v>
      </c>
      <c r="E145" s="11">
        <v>0</v>
      </c>
      <c r="F145" s="12">
        <v>-0.48289738430583501</v>
      </c>
      <c r="G145" s="13">
        <v>25.420024781377467</v>
      </c>
      <c r="H145" s="14">
        <v>14.37</v>
      </c>
      <c r="I145" s="15">
        <v>0</v>
      </c>
      <c r="J145" s="15">
        <v>0</v>
      </c>
      <c r="K145" s="16">
        <v>1</v>
      </c>
      <c r="L145" s="36">
        <v>1.63</v>
      </c>
    </row>
    <row r="146" spans="1:12" x14ac:dyDescent="0.45">
      <c r="A146" s="1" t="s">
        <v>155</v>
      </c>
      <c r="B146" s="2">
        <f>IF(OR(Table1[[#This Row],[M score]]=1,AND(Table1[[#This Row],[F score]]=1,Table1[[#This Row],[Z score]]=1)),1,0)</f>
        <v>0</v>
      </c>
      <c r="C146" s="17">
        <v>0</v>
      </c>
      <c r="D146" s="17">
        <v>0</v>
      </c>
      <c r="E146" s="18">
        <v>0</v>
      </c>
      <c r="F146" s="19">
        <v>2.7638888888888888</v>
      </c>
      <c r="G146" s="6">
        <v>28.961867883919812</v>
      </c>
      <c r="H146" s="20">
        <v>4.04</v>
      </c>
      <c r="I146" s="21">
        <v>0</v>
      </c>
      <c r="J146" s="21">
        <v>0</v>
      </c>
      <c r="K146" s="22">
        <v>1</v>
      </c>
      <c r="L146" s="36">
        <v>27.48</v>
      </c>
    </row>
    <row r="147" spans="1:12" x14ac:dyDescent="0.45">
      <c r="A147" s="9" t="s">
        <v>156</v>
      </c>
      <c r="B147" s="2">
        <f>IF(OR(Table1[[#This Row],[M score]]=1,AND(Table1[[#This Row],[F score]]=1,Table1[[#This Row],[Z score]]=1)),1,0)</f>
        <v>0</v>
      </c>
      <c r="C147" s="10">
        <v>0</v>
      </c>
      <c r="D147" s="10">
        <v>1</v>
      </c>
      <c r="E147" s="11">
        <v>0</v>
      </c>
      <c r="F147" s="12">
        <v>0.6433759944655828</v>
      </c>
      <c r="G147" s="13">
        <v>24.74861752768156</v>
      </c>
      <c r="H147" s="14">
        <v>70.040000000000006</v>
      </c>
      <c r="I147" s="15">
        <v>0</v>
      </c>
      <c r="J147" s="15">
        <v>0</v>
      </c>
      <c r="K147" s="16">
        <v>0</v>
      </c>
      <c r="L147" s="36">
        <v>-316.2</v>
      </c>
    </row>
    <row r="148" spans="1:12" x14ac:dyDescent="0.45">
      <c r="A148" s="1" t="s">
        <v>157</v>
      </c>
      <c r="B148" s="2">
        <f>IF(OR(Table1[[#This Row],[M score]]=1,AND(Table1[[#This Row],[F score]]=1,Table1[[#This Row],[Z score]]=1)),1,0)</f>
        <v>0</v>
      </c>
      <c r="C148" s="17">
        <v>0</v>
      </c>
      <c r="D148" s="17">
        <v>0</v>
      </c>
      <c r="E148" s="18">
        <v>0</v>
      </c>
      <c r="F148" s="19">
        <v>1.2843336724313327E-2</v>
      </c>
      <c r="G148" s="6">
        <v>30.889687541168072</v>
      </c>
      <c r="H148" s="20">
        <v>7.91</v>
      </c>
      <c r="I148" s="21">
        <v>1</v>
      </c>
      <c r="J148" s="21">
        <v>1</v>
      </c>
      <c r="K148" s="22">
        <v>1</v>
      </c>
      <c r="L148" s="36">
        <v>12.44</v>
      </c>
    </row>
    <row r="149" spans="1:12" x14ac:dyDescent="0.45">
      <c r="A149" s="9" t="s">
        <v>158</v>
      </c>
      <c r="B149" s="2">
        <f>IF(OR(Table1[[#This Row],[M score]]=1,AND(Table1[[#This Row],[F score]]=1,Table1[[#This Row],[Z score]]=1)),1,0)</f>
        <v>0</v>
      </c>
      <c r="C149" s="10">
        <v>0</v>
      </c>
      <c r="D149" s="10">
        <v>1</v>
      </c>
      <c r="E149" s="11">
        <v>0</v>
      </c>
      <c r="F149" s="12">
        <v>-3.2340425531914891</v>
      </c>
      <c r="G149" s="13">
        <v>26.702151601847532</v>
      </c>
      <c r="H149" s="14">
        <v>17.239999999999998</v>
      </c>
      <c r="I149" s="15">
        <v>0</v>
      </c>
      <c r="J149" s="15">
        <v>0</v>
      </c>
      <c r="K149" s="16">
        <v>1</v>
      </c>
      <c r="L149" s="36">
        <v>3.94</v>
      </c>
    </row>
    <row r="150" spans="1:12" x14ac:dyDescent="0.45">
      <c r="A150" s="1" t="s">
        <v>159</v>
      </c>
      <c r="B150" s="2">
        <f>IF(OR(Table1[[#This Row],[M score]]=1,AND(Table1[[#This Row],[F score]]=1,Table1[[#This Row],[Z score]]=1)),1,0)</f>
        <v>0</v>
      </c>
      <c r="C150" s="17">
        <v>0</v>
      </c>
      <c r="D150" s="17">
        <v>0</v>
      </c>
      <c r="E150" s="18">
        <v>0</v>
      </c>
      <c r="F150" s="19">
        <v>2.2531749283080705E-2</v>
      </c>
      <c r="G150" s="6">
        <v>29.785753241807882</v>
      </c>
      <c r="H150" s="20">
        <v>25.75</v>
      </c>
      <c r="I150" s="21">
        <v>1</v>
      </c>
      <c r="J150" s="21">
        <v>1</v>
      </c>
      <c r="K150" s="22">
        <v>1</v>
      </c>
      <c r="L150" s="36">
        <v>15.29</v>
      </c>
    </row>
    <row r="151" spans="1:12" x14ac:dyDescent="0.45">
      <c r="A151" s="9" t="s">
        <v>160</v>
      </c>
      <c r="B151" s="2">
        <f>IF(OR(Table1[[#This Row],[M score]]=1,AND(Table1[[#This Row],[F score]]=1,Table1[[#This Row],[Z score]]=1)),1,0)</f>
        <v>0</v>
      </c>
      <c r="C151" s="10">
        <v>0</v>
      </c>
      <c r="D151" s="10">
        <v>1</v>
      </c>
      <c r="E151" s="11">
        <v>0</v>
      </c>
      <c r="F151" s="12">
        <v>0.6</v>
      </c>
      <c r="G151" s="13">
        <v>28.357951174456062</v>
      </c>
      <c r="H151" s="14">
        <v>39.39</v>
      </c>
      <c r="I151" s="15">
        <v>0</v>
      </c>
      <c r="J151" s="15">
        <v>0</v>
      </c>
      <c r="K151" s="16">
        <v>0</v>
      </c>
      <c r="L151" s="36">
        <v>2.13</v>
      </c>
    </row>
    <row r="152" spans="1:12" x14ac:dyDescent="0.45">
      <c r="A152" s="1" t="s">
        <v>161</v>
      </c>
      <c r="B152" s="2">
        <f>IF(OR(Table1[[#This Row],[M score]]=1,AND(Table1[[#This Row],[F score]]=1,Table1[[#This Row],[Z score]]=1)),1,0)</f>
        <v>0</v>
      </c>
      <c r="C152" s="17">
        <v>0</v>
      </c>
      <c r="D152" s="17">
        <v>0</v>
      </c>
      <c r="E152" s="18">
        <v>0</v>
      </c>
      <c r="F152" s="19">
        <v>0.46391752577319589</v>
      </c>
      <c r="G152" s="6">
        <v>28.800811311185875</v>
      </c>
      <c r="H152" s="20">
        <v>25.64</v>
      </c>
      <c r="I152" s="21">
        <v>1</v>
      </c>
      <c r="J152" s="21">
        <v>1</v>
      </c>
      <c r="K152" s="22">
        <v>1</v>
      </c>
      <c r="L152" s="36">
        <v>10.39</v>
      </c>
    </row>
    <row r="153" spans="1:12" x14ac:dyDescent="0.45">
      <c r="A153" s="9" t="s">
        <v>162</v>
      </c>
      <c r="B153" s="2">
        <f>IF(OR(Table1[[#This Row],[M score]]=1,AND(Table1[[#This Row],[F score]]=1,Table1[[#This Row],[Z score]]=1)),1,0)</f>
        <v>1</v>
      </c>
      <c r="C153" s="10">
        <v>0</v>
      </c>
      <c r="D153" s="10">
        <v>0</v>
      </c>
      <c r="E153" s="11">
        <v>1</v>
      </c>
      <c r="F153" s="12">
        <v>-2.6826484018264839E-2</v>
      </c>
      <c r="G153" s="13">
        <v>27.862019747164201</v>
      </c>
      <c r="H153" s="14">
        <v>31.81</v>
      </c>
      <c r="I153" s="15">
        <v>0</v>
      </c>
      <c r="J153" s="15">
        <v>0</v>
      </c>
      <c r="K153" s="16">
        <v>1</v>
      </c>
      <c r="L153" s="36">
        <v>10.8</v>
      </c>
    </row>
    <row r="154" spans="1:12" x14ac:dyDescent="0.45">
      <c r="A154" s="1" t="s">
        <v>163</v>
      </c>
      <c r="B154" s="2">
        <f>IF(OR(Table1[[#This Row],[M score]]=1,AND(Table1[[#This Row],[F score]]=1,Table1[[#This Row],[Z score]]=1)),1,0)</f>
        <v>0</v>
      </c>
      <c r="C154" s="17">
        <v>0</v>
      </c>
      <c r="D154" s="17">
        <v>0</v>
      </c>
      <c r="E154" s="18">
        <v>0</v>
      </c>
      <c r="F154" s="19">
        <v>1.1590909090909092</v>
      </c>
      <c r="G154" s="6">
        <v>26.083336157163835</v>
      </c>
      <c r="H154" s="20">
        <v>33.43</v>
      </c>
      <c r="I154" s="21">
        <v>1</v>
      </c>
      <c r="J154" s="21">
        <v>0</v>
      </c>
      <c r="K154" s="22">
        <v>1</v>
      </c>
      <c r="L154" s="36">
        <v>1.85</v>
      </c>
    </row>
    <row r="155" spans="1:12" x14ac:dyDescent="0.45">
      <c r="A155" s="9" t="s">
        <v>164</v>
      </c>
      <c r="B155" s="2">
        <f>IF(OR(Table1[[#This Row],[M score]]=1,AND(Table1[[#This Row],[F score]]=1,Table1[[#This Row],[Z score]]=1)),1,0)</f>
        <v>0</v>
      </c>
      <c r="C155" s="10">
        <v>0</v>
      </c>
      <c r="D155" s="10">
        <v>0</v>
      </c>
      <c r="E155" s="11">
        <v>0</v>
      </c>
      <c r="F155" s="12">
        <v>-1.7253774263120056E-2</v>
      </c>
      <c r="G155" s="13">
        <v>25.458642895461004</v>
      </c>
      <c r="H155" s="14">
        <v>4.29</v>
      </c>
      <c r="I155" s="15">
        <v>1</v>
      </c>
      <c r="J155" s="15">
        <v>0</v>
      </c>
      <c r="K155" s="16">
        <v>1</v>
      </c>
      <c r="L155" s="36">
        <v>1.55</v>
      </c>
    </row>
    <row r="156" spans="1:12" x14ac:dyDescent="0.45">
      <c r="A156" s="1" t="s">
        <v>165</v>
      </c>
      <c r="B156" s="2">
        <f>IF(OR(Table1[[#This Row],[M score]]=1,AND(Table1[[#This Row],[F score]]=1,Table1[[#This Row],[Z score]]=1)),1,0)</f>
        <v>0</v>
      </c>
      <c r="C156" s="17">
        <v>0</v>
      </c>
      <c r="D156" s="17">
        <v>0</v>
      </c>
      <c r="E156" s="18">
        <v>0</v>
      </c>
      <c r="F156" s="19">
        <v>-0.26261467889908258</v>
      </c>
      <c r="G156" s="6">
        <v>29.477928694688213</v>
      </c>
      <c r="H156" s="20">
        <v>17.28</v>
      </c>
      <c r="I156" s="21">
        <v>1</v>
      </c>
      <c r="J156" s="21">
        <v>0</v>
      </c>
      <c r="K156" s="22">
        <v>1</v>
      </c>
      <c r="L156" s="36">
        <v>5.15</v>
      </c>
    </row>
    <row r="157" spans="1:12" x14ac:dyDescent="0.45">
      <c r="A157" s="9" t="s">
        <v>166</v>
      </c>
      <c r="B157" s="2">
        <f>IF(OR(Table1[[#This Row],[M score]]=1,AND(Table1[[#This Row],[F score]]=1,Table1[[#This Row],[Z score]]=1)),1,0)</f>
        <v>1</v>
      </c>
      <c r="C157" s="10">
        <v>0</v>
      </c>
      <c r="D157" s="10">
        <v>1</v>
      </c>
      <c r="E157" s="11">
        <v>1</v>
      </c>
      <c r="F157" s="12">
        <v>-1.2352941176470589</v>
      </c>
      <c r="G157" s="13">
        <v>24.079919585151064</v>
      </c>
      <c r="H157" s="14">
        <v>55.98</v>
      </c>
      <c r="I157" s="15">
        <v>0</v>
      </c>
      <c r="J157" s="15">
        <v>0</v>
      </c>
      <c r="K157" s="16">
        <v>0</v>
      </c>
      <c r="L157" s="36">
        <v>-199.54</v>
      </c>
    </row>
    <row r="158" spans="1:12" x14ac:dyDescent="0.45">
      <c r="A158" s="1" t="s">
        <v>167</v>
      </c>
      <c r="B158" s="2">
        <f>IF(OR(Table1[[#This Row],[M score]]=1,AND(Table1[[#This Row],[F score]]=1,Table1[[#This Row],[Z score]]=1)),1,0)</f>
        <v>1</v>
      </c>
      <c r="C158" s="17">
        <v>0</v>
      </c>
      <c r="D158" s="17">
        <v>0</v>
      </c>
      <c r="E158" s="18">
        <v>1</v>
      </c>
      <c r="F158" s="19">
        <v>0.31818181818181818</v>
      </c>
      <c r="G158" s="6">
        <v>24.832957901430138</v>
      </c>
      <c r="H158" s="20">
        <v>22.38</v>
      </c>
      <c r="I158" s="21">
        <v>0</v>
      </c>
      <c r="J158" s="21">
        <v>0</v>
      </c>
      <c r="K158" s="22">
        <v>0</v>
      </c>
      <c r="L158" s="36">
        <v>0.99</v>
      </c>
    </row>
    <row r="159" spans="1:12" x14ac:dyDescent="0.45">
      <c r="A159" s="9" t="s">
        <v>168</v>
      </c>
      <c r="B159" s="2">
        <f>IF(OR(Table1[[#This Row],[M score]]=1,AND(Table1[[#This Row],[F score]]=1,Table1[[#This Row],[Z score]]=1)),1,0)</f>
        <v>0</v>
      </c>
      <c r="C159" s="10">
        <v>0</v>
      </c>
      <c r="D159" s="10">
        <v>0</v>
      </c>
      <c r="E159" s="11">
        <v>0</v>
      </c>
      <c r="F159" s="12">
        <v>4.4521276595744679</v>
      </c>
      <c r="G159" s="13">
        <v>30.221804831633065</v>
      </c>
      <c r="H159" s="14">
        <v>11.77</v>
      </c>
      <c r="I159" s="15">
        <v>1</v>
      </c>
      <c r="J159" s="15">
        <v>0</v>
      </c>
      <c r="K159" s="16">
        <v>1</v>
      </c>
      <c r="L159" s="36">
        <v>24.71</v>
      </c>
    </row>
    <row r="160" spans="1:12" x14ac:dyDescent="0.45">
      <c r="A160" s="1" t="s">
        <v>169</v>
      </c>
      <c r="B160" s="2">
        <f>IF(OR(Table1[[#This Row],[M score]]=1,AND(Table1[[#This Row],[F score]]=1,Table1[[#This Row],[Z score]]=1)),1,0)</f>
        <v>0</v>
      </c>
      <c r="C160" s="17">
        <v>0</v>
      </c>
      <c r="D160" s="17">
        <v>1</v>
      </c>
      <c r="E160" s="18">
        <v>0</v>
      </c>
      <c r="F160" s="19">
        <v>0.12151300236406619</v>
      </c>
      <c r="G160" s="6">
        <v>25.06985487186104</v>
      </c>
      <c r="H160" s="20">
        <v>64.61</v>
      </c>
      <c r="I160" s="21">
        <v>1</v>
      </c>
      <c r="J160" s="21">
        <v>0</v>
      </c>
      <c r="K160" s="22">
        <v>1</v>
      </c>
      <c r="L160" s="36">
        <v>3.9</v>
      </c>
    </row>
    <row r="161" spans="1:12" x14ac:dyDescent="0.45">
      <c r="A161" s="9" t="s">
        <v>170</v>
      </c>
      <c r="B161" s="2">
        <f>IF(OR(Table1[[#This Row],[M score]]=1,AND(Table1[[#This Row],[F score]]=1,Table1[[#This Row],[Z score]]=1)),1,0)</f>
        <v>0</v>
      </c>
      <c r="C161" s="10">
        <v>0</v>
      </c>
      <c r="D161" s="10">
        <v>0</v>
      </c>
      <c r="E161" s="11">
        <v>0</v>
      </c>
      <c r="F161" s="12">
        <v>-0.97304832713754652</v>
      </c>
      <c r="G161" s="13">
        <v>25.540518626889288</v>
      </c>
      <c r="H161" s="14">
        <v>32.4</v>
      </c>
      <c r="I161" s="15">
        <v>0</v>
      </c>
      <c r="J161" s="15">
        <v>0</v>
      </c>
      <c r="K161" s="16">
        <v>1</v>
      </c>
      <c r="L161" s="36">
        <v>0.25</v>
      </c>
    </row>
    <row r="162" spans="1:12" x14ac:dyDescent="0.45">
      <c r="A162" s="1" t="s">
        <v>171</v>
      </c>
      <c r="B162" s="2">
        <f>IF(OR(Table1[[#This Row],[M score]]=1,AND(Table1[[#This Row],[F score]]=1,Table1[[#This Row],[Z score]]=1)),1,0)</f>
        <v>0</v>
      </c>
      <c r="C162" s="17">
        <v>0</v>
      </c>
      <c r="D162" s="17">
        <v>1</v>
      </c>
      <c r="E162" s="18">
        <v>0</v>
      </c>
      <c r="F162" s="19">
        <v>1.5384615384615385</v>
      </c>
      <c r="G162" s="6">
        <v>26.998367668619505</v>
      </c>
      <c r="H162" s="20">
        <v>32.85</v>
      </c>
      <c r="I162" s="21">
        <v>1</v>
      </c>
      <c r="J162" s="21">
        <v>0</v>
      </c>
      <c r="K162" s="22">
        <v>1</v>
      </c>
      <c r="L162" s="36">
        <v>-0.75</v>
      </c>
    </row>
    <row r="163" spans="1:12" x14ac:dyDescent="0.45">
      <c r="A163" s="9" t="s">
        <v>172</v>
      </c>
      <c r="B163" s="2">
        <f>IF(OR(Table1[[#This Row],[M score]]=1,AND(Table1[[#This Row],[F score]]=1,Table1[[#This Row],[Z score]]=1)),1,0)</f>
        <v>1</v>
      </c>
      <c r="C163" s="10">
        <v>0</v>
      </c>
      <c r="D163" s="10">
        <v>1</v>
      </c>
      <c r="E163" s="11">
        <v>1</v>
      </c>
      <c r="F163" s="12">
        <v>0.75395683453237405</v>
      </c>
      <c r="G163" s="13">
        <v>27.403070849848159</v>
      </c>
      <c r="H163" s="14">
        <v>44.13</v>
      </c>
      <c r="I163" s="15">
        <v>1</v>
      </c>
      <c r="J163" s="15">
        <v>0</v>
      </c>
      <c r="K163" s="16">
        <v>1</v>
      </c>
      <c r="L163" s="36">
        <v>32.409999999999997</v>
      </c>
    </row>
    <row r="164" spans="1:12" x14ac:dyDescent="0.45">
      <c r="A164" s="1" t="s">
        <v>173</v>
      </c>
      <c r="B164" s="2">
        <f>IF(OR(Table1[[#This Row],[M score]]=1,AND(Table1[[#This Row],[F score]]=1,Table1[[#This Row],[Z score]]=1)),1,0)</f>
        <v>1</v>
      </c>
      <c r="C164" s="17">
        <v>1</v>
      </c>
      <c r="D164" s="17">
        <v>1</v>
      </c>
      <c r="E164" s="18">
        <v>0</v>
      </c>
      <c r="F164" s="19">
        <v>1.0602866779089377</v>
      </c>
      <c r="G164" s="6">
        <v>24.99366234294887</v>
      </c>
      <c r="H164" s="20">
        <v>8.86</v>
      </c>
      <c r="I164" s="21">
        <v>0</v>
      </c>
      <c r="J164" s="21">
        <v>0</v>
      </c>
      <c r="K164" s="22">
        <v>0</v>
      </c>
      <c r="L164" s="36">
        <v>161.88999999999999</v>
      </c>
    </row>
    <row r="165" spans="1:12" x14ac:dyDescent="0.45">
      <c r="A165" s="9" t="s">
        <v>174</v>
      </c>
      <c r="B165" s="2">
        <f>IF(OR(Table1[[#This Row],[M score]]=1,AND(Table1[[#This Row],[F score]]=1,Table1[[#This Row],[Z score]]=1)),1,0)</f>
        <v>0</v>
      </c>
      <c r="C165" s="10">
        <v>0</v>
      </c>
      <c r="D165" s="10">
        <v>0</v>
      </c>
      <c r="E165" s="11">
        <v>0</v>
      </c>
      <c r="F165" s="12">
        <v>5.4290429042904291</v>
      </c>
      <c r="G165" s="13">
        <v>25.194904630309981</v>
      </c>
      <c r="H165" s="14">
        <v>54.34</v>
      </c>
      <c r="I165" s="15">
        <v>0</v>
      </c>
      <c r="J165" s="15">
        <v>0</v>
      </c>
      <c r="K165" s="16">
        <v>1</v>
      </c>
      <c r="L165" s="36">
        <v>14.57</v>
      </c>
    </row>
    <row r="166" spans="1:12" x14ac:dyDescent="0.45">
      <c r="A166" s="1" t="s">
        <v>175</v>
      </c>
      <c r="B166" s="2">
        <f>IF(OR(Table1[[#This Row],[M score]]=1,AND(Table1[[#This Row],[F score]]=1,Table1[[#This Row],[Z score]]=1)),1,0)</f>
        <v>0</v>
      </c>
      <c r="C166" s="17">
        <v>0</v>
      </c>
      <c r="D166" s="17">
        <v>0</v>
      </c>
      <c r="E166" s="18">
        <v>0</v>
      </c>
      <c r="F166" s="19">
        <v>3.7540221666070787E-2</v>
      </c>
      <c r="G166" s="6">
        <v>27.965329056149052</v>
      </c>
      <c r="H166" s="20">
        <v>17.13</v>
      </c>
      <c r="I166" s="21">
        <v>0</v>
      </c>
      <c r="J166" s="21">
        <v>0</v>
      </c>
      <c r="K166" s="22">
        <v>1</v>
      </c>
      <c r="L166" s="36">
        <v>2.3199999999999998</v>
      </c>
    </row>
    <row r="167" spans="1:12" x14ac:dyDescent="0.45">
      <c r="A167" s="9" t="s">
        <v>176</v>
      </c>
      <c r="B167" s="2">
        <f>IF(OR(Table1[[#This Row],[M score]]=1,AND(Table1[[#This Row],[F score]]=1,Table1[[#This Row],[Z score]]=1)),1,0)</f>
        <v>0</v>
      </c>
      <c r="C167" s="10">
        <v>0</v>
      </c>
      <c r="D167" s="10">
        <v>0</v>
      </c>
      <c r="E167" s="11">
        <v>0</v>
      </c>
      <c r="F167" s="12">
        <v>8.1544350141454489E-2</v>
      </c>
      <c r="G167" s="13">
        <v>26.943334038040845</v>
      </c>
      <c r="H167" s="14">
        <v>0.11</v>
      </c>
      <c r="I167" s="15">
        <v>1</v>
      </c>
      <c r="J167" s="15">
        <v>0</v>
      </c>
      <c r="K167" s="16">
        <v>1</v>
      </c>
      <c r="L167" s="36">
        <v>20.64</v>
      </c>
    </row>
    <row r="168" spans="1:12" x14ac:dyDescent="0.45">
      <c r="A168" s="1" t="s">
        <v>177</v>
      </c>
      <c r="B168" s="2">
        <f>IF(OR(Table1[[#This Row],[M score]]=1,AND(Table1[[#This Row],[F score]]=1,Table1[[#This Row],[Z score]]=1)),1,0)</f>
        <v>1</v>
      </c>
      <c r="C168" s="17">
        <v>0</v>
      </c>
      <c r="D168" s="17">
        <v>1</v>
      </c>
      <c r="E168" s="18">
        <v>1</v>
      </c>
      <c r="F168" s="19">
        <v>1.7095926412614981</v>
      </c>
      <c r="G168" s="6">
        <v>25.494567220329728</v>
      </c>
      <c r="H168" s="20">
        <v>0.24</v>
      </c>
      <c r="I168" s="21">
        <v>0</v>
      </c>
      <c r="J168" s="21">
        <v>0</v>
      </c>
      <c r="K168" s="22">
        <v>1</v>
      </c>
      <c r="L168" s="36">
        <v>-16.11</v>
      </c>
    </row>
    <row r="169" spans="1:12" x14ac:dyDescent="0.45">
      <c r="A169" s="9" t="s">
        <v>178</v>
      </c>
      <c r="B169" s="2">
        <f>IF(OR(Table1[[#This Row],[M score]]=1,AND(Table1[[#This Row],[F score]]=1,Table1[[#This Row],[Z score]]=1)),1,0)</f>
        <v>0</v>
      </c>
      <c r="C169" s="10">
        <v>0</v>
      </c>
      <c r="D169" s="10">
        <v>0</v>
      </c>
      <c r="E169" s="11">
        <v>0</v>
      </c>
      <c r="F169" s="12">
        <v>4.211511464670098E-2</v>
      </c>
      <c r="G169" s="13">
        <v>30.6971149239229</v>
      </c>
      <c r="H169" s="14">
        <v>17.54</v>
      </c>
      <c r="I169" s="15">
        <v>0</v>
      </c>
      <c r="J169" s="15">
        <v>1</v>
      </c>
      <c r="K169" s="16">
        <v>1</v>
      </c>
      <c r="L169" s="36">
        <v>10.07</v>
      </c>
    </row>
    <row r="170" spans="1:12" x14ac:dyDescent="0.45">
      <c r="A170" s="1" t="s">
        <v>179</v>
      </c>
      <c r="B170" s="2">
        <f>IF(OR(Table1[[#This Row],[M score]]=1,AND(Table1[[#This Row],[F score]]=1,Table1[[#This Row],[Z score]]=1)),1,0)</f>
        <v>0</v>
      </c>
      <c r="C170" s="17">
        <v>0</v>
      </c>
      <c r="D170" s="17">
        <v>1</v>
      </c>
      <c r="E170" s="18">
        <v>0</v>
      </c>
      <c r="F170" s="19">
        <v>1.3275563258232235</v>
      </c>
      <c r="G170" s="6">
        <v>26.194075991217137</v>
      </c>
      <c r="H170" s="20">
        <v>24.72</v>
      </c>
      <c r="I170" s="21">
        <v>0</v>
      </c>
      <c r="J170" s="21">
        <v>0</v>
      </c>
      <c r="K170" s="22">
        <v>0</v>
      </c>
      <c r="L170" s="36">
        <v>15.32</v>
      </c>
    </row>
    <row r="171" spans="1:12" x14ac:dyDescent="0.45">
      <c r="A171" s="9" t="s">
        <v>180</v>
      </c>
      <c r="B171" s="2">
        <f>IF(OR(Table1[[#This Row],[M score]]=1,AND(Table1[[#This Row],[F score]]=1,Table1[[#This Row],[Z score]]=1)),1,0)</f>
        <v>0</v>
      </c>
      <c r="C171" s="10">
        <v>0</v>
      </c>
      <c r="D171" s="10">
        <v>1</v>
      </c>
      <c r="E171" s="11">
        <v>0</v>
      </c>
      <c r="F171" s="12">
        <v>2.0672514619883042</v>
      </c>
      <c r="G171" s="13">
        <v>28.744478133565963</v>
      </c>
      <c r="H171" s="14">
        <v>45.51</v>
      </c>
      <c r="I171" s="15">
        <v>1</v>
      </c>
      <c r="J171" s="15">
        <v>0</v>
      </c>
      <c r="K171" s="16">
        <v>1</v>
      </c>
      <c r="L171" s="36">
        <v>5.25</v>
      </c>
    </row>
    <row r="172" spans="1:12" x14ac:dyDescent="0.45">
      <c r="A172" s="1" t="s">
        <v>181</v>
      </c>
      <c r="B172" s="2">
        <f>IF(OR(Table1[[#This Row],[M score]]=1,AND(Table1[[#This Row],[F score]]=1,Table1[[#This Row],[Z score]]=1)),1,0)</f>
        <v>0</v>
      </c>
      <c r="C172" s="17">
        <v>0</v>
      </c>
      <c r="D172" s="17">
        <v>0</v>
      </c>
      <c r="E172" s="18">
        <v>0</v>
      </c>
      <c r="F172" s="19">
        <v>-0.14080459770114942</v>
      </c>
      <c r="G172" s="6">
        <v>29.037118104344618</v>
      </c>
      <c r="H172" s="20">
        <v>20.27</v>
      </c>
      <c r="I172" s="21">
        <v>0</v>
      </c>
      <c r="J172" s="21">
        <v>0</v>
      </c>
      <c r="K172" s="22">
        <v>1</v>
      </c>
      <c r="L172" s="36">
        <v>1.58</v>
      </c>
    </row>
    <row r="173" spans="1:12" x14ac:dyDescent="0.45">
      <c r="A173" s="9" t="s">
        <v>182</v>
      </c>
      <c r="B173" s="2">
        <f>IF(OR(Table1[[#This Row],[M score]]=1,AND(Table1[[#This Row],[F score]]=1,Table1[[#This Row],[Z score]]=1)),1,0)</f>
        <v>0</v>
      </c>
      <c r="C173" s="10">
        <v>0</v>
      </c>
      <c r="D173" s="10">
        <v>0</v>
      </c>
      <c r="E173" s="11">
        <v>0</v>
      </c>
      <c r="F173" s="12">
        <v>-6.0851926977687626E-3</v>
      </c>
      <c r="G173" s="13">
        <v>27.307747098373564</v>
      </c>
      <c r="H173" s="14">
        <v>32.049999999999997</v>
      </c>
      <c r="I173" s="15">
        <v>0</v>
      </c>
      <c r="J173" s="15">
        <v>1</v>
      </c>
      <c r="K173" s="16">
        <v>1</v>
      </c>
      <c r="L173" s="36">
        <v>15.28</v>
      </c>
    </row>
    <row r="174" spans="1:12" x14ac:dyDescent="0.45">
      <c r="A174" s="1" t="s">
        <v>183</v>
      </c>
      <c r="B174" s="2">
        <f>IF(OR(Table1[[#This Row],[M score]]=1,AND(Table1[[#This Row],[F score]]=1,Table1[[#This Row],[Z score]]=1)),1,0)</f>
        <v>0</v>
      </c>
      <c r="C174" s="17">
        <v>0</v>
      </c>
      <c r="D174" s="17">
        <v>1</v>
      </c>
      <c r="E174" s="18">
        <v>0</v>
      </c>
      <c r="F174" s="19">
        <v>0.85611510791366907</v>
      </c>
      <c r="G174" s="6">
        <v>25.154082635789724</v>
      </c>
      <c r="H174" s="20">
        <v>23.68</v>
      </c>
      <c r="I174" s="21">
        <v>0</v>
      </c>
      <c r="J174" s="21">
        <v>0</v>
      </c>
      <c r="K174" s="22">
        <v>0</v>
      </c>
      <c r="L174" s="36">
        <v>-13.38</v>
      </c>
    </row>
    <row r="175" spans="1:12" x14ac:dyDescent="0.45">
      <c r="A175" s="9" t="s">
        <v>184</v>
      </c>
      <c r="B175" s="2">
        <f>IF(OR(Table1[[#This Row],[M score]]=1,AND(Table1[[#This Row],[F score]]=1,Table1[[#This Row],[Z score]]=1)),1,0)</f>
        <v>0</v>
      </c>
      <c r="C175" s="10">
        <v>0</v>
      </c>
      <c r="D175" s="10">
        <v>0</v>
      </c>
      <c r="E175" s="11">
        <v>0</v>
      </c>
      <c r="F175" s="12">
        <v>0.26721078779276081</v>
      </c>
      <c r="G175" s="13">
        <v>27.757826846508319</v>
      </c>
      <c r="H175" s="14">
        <v>4.53</v>
      </c>
      <c r="I175" s="15">
        <v>1</v>
      </c>
      <c r="J175" s="15">
        <v>0</v>
      </c>
      <c r="K175" s="16">
        <v>1</v>
      </c>
      <c r="L175" s="36">
        <v>17.16</v>
      </c>
    </row>
    <row r="176" spans="1:12" x14ac:dyDescent="0.45">
      <c r="A176" s="1" t="s">
        <v>185</v>
      </c>
      <c r="B176" s="2">
        <f>IF(OR(Table1[[#This Row],[M score]]=1,AND(Table1[[#This Row],[F score]]=1,Table1[[#This Row],[Z score]]=1)),1,0)</f>
        <v>0</v>
      </c>
      <c r="C176" s="17">
        <v>0</v>
      </c>
      <c r="D176" s="17">
        <v>1</v>
      </c>
      <c r="E176" s="18">
        <v>0</v>
      </c>
      <c r="F176" s="19">
        <v>-3.3900889453621348</v>
      </c>
      <c r="G176" s="6">
        <v>23.714577955994908</v>
      </c>
      <c r="H176" s="20">
        <v>51.4</v>
      </c>
      <c r="I176" s="21">
        <v>0</v>
      </c>
      <c r="J176" s="21">
        <v>0</v>
      </c>
      <c r="K176" s="22">
        <v>1</v>
      </c>
      <c r="L176" s="36">
        <v>17.04</v>
      </c>
    </row>
    <row r="177" spans="1:12" x14ac:dyDescent="0.45">
      <c r="A177" s="9" t="s">
        <v>186</v>
      </c>
      <c r="B177" s="2">
        <f>IF(OR(Table1[[#This Row],[M score]]=1,AND(Table1[[#This Row],[F score]]=1,Table1[[#This Row],[Z score]]=1)),1,0)</f>
        <v>0</v>
      </c>
      <c r="C177" s="10">
        <v>0</v>
      </c>
      <c r="D177" s="10">
        <v>1</v>
      </c>
      <c r="E177" s="11">
        <v>0</v>
      </c>
      <c r="F177" s="12">
        <v>0.11145510835913312</v>
      </c>
      <c r="G177" s="13">
        <v>28.960735522339331</v>
      </c>
      <c r="H177" s="14">
        <v>46.61</v>
      </c>
      <c r="I177" s="15">
        <v>1</v>
      </c>
      <c r="J177" s="15">
        <v>0</v>
      </c>
      <c r="K177" s="16">
        <v>1</v>
      </c>
      <c r="L177" s="36">
        <v>11.92</v>
      </c>
    </row>
    <row r="178" spans="1:12" x14ac:dyDescent="0.45">
      <c r="A178" s="1" t="s">
        <v>187</v>
      </c>
      <c r="B178" s="2">
        <f>IF(OR(Table1[[#This Row],[M score]]=1,AND(Table1[[#This Row],[F score]]=1,Table1[[#This Row],[Z score]]=1)),1,0)</f>
        <v>0</v>
      </c>
      <c r="C178" s="17">
        <v>1</v>
      </c>
      <c r="D178" s="17">
        <v>0</v>
      </c>
      <c r="E178" s="18">
        <v>0</v>
      </c>
      <c r="F178" s="19">
        <v>0.61426491994177579</v>
      </c>
      <c r="G178" s="6">
        <v>30.347590374414082</v>
      </c>
      <c r="H178" s="20">
        <v>23.42</v>
      </c>
      <c r="I178" s="21">
        <v>1</v>
      </c>
      <c r="J178" s="21">
        <v>1</v>
      </c>
      <c r="K178" s="22">
        <v>1</v>
      </c>
      <c r="L178" s="36">
        <v>3.16</v>
      </c>
    </row>
    <row r="179" spans="1:12" x14ac:dyDescent="0.45">
      <c r="A179" s="9" t="s">
        <v>188</v>
      </c>
      <c r="B179" s="2">
        <f>IF(OR(Table1[[#This Row],[M score]]=1,AND(Table1[[#This Row],[F score]]=1,Table1[[#This Row],[Z score]]=1)),1,0)</f>
        <v>0</v>
      </c>
      <c r="C179" s="10">
        <v>0</v>
      </c>
      <c r="D179" s="10">
        <v>0</v>
      </c>
      <c r="E179" s="11">
        <v>0</v>
      </c>
      <c r="F179" s="12">
        <v>-1.0825275466606701</v>
      </c>
      <c r="G179" s="13">
        <v>26.386163084874909</v>
      </c>
      <c r="H179" s="14">
        <v>7.32</v>
      </c>
      <c r="I179" s="15">
        <v>1</v>
      </c>
      <c r="J179" s="15">
        <v>0</v>
      </c>
      <c r="K179" s="16">
        <v>0</v>
      </c>
      <c r="L179" s="36">
        <v>2.7</v>
      </c>
    </row>
    <row r="180" spans="1:12" x14ac:dyDescent="0.45">
      <c r="A180" s="1" t="s">
        <v>189</v>
      </c>
      <c r="B180" s="2">
        <f>IF(OR(Table1[[#This Row],[M score]]=1,AND(Table1[[#This Row],[F score]]=1,Table1[[#This Row],[Z score]]=1)),1,0)</f>
        <v>1</v>
      </c>
      <c r="C180" s="17">
        <v>0</v>
      </c>
      <c r="D180" s="17">
        <v>0</v>
      </c>
      <c r="E180" s="18">
        <v>1</v>
      </c>
      <c r="F180" s="19">
        <v>-0.5297435897435897</v>
      </c>
      <c r="G180" s="6">
        <v>28.457629294060343</v>
      </c>
      <c r="H180" s="20">
        <v>23.23</v>
      </c>
      <c r="I180" s="21">
        <v>1</v>
      </c>
      <c r="J180" s="21">
        <v>0</v>
      </c>
      <c r="K180" s="22">
        <v>1</v>
      </c>
      <c r="L180" s="36">
        <v>1.72</v>
      </c>
    </row>
    <row r="181" spans="1:12" x14ac:dyDescent="0.45">
      <c r="A181" s="9" t="s">
        <v>190</v>
      </c>
      <c r="B181" s="2">
        <f>IF(OR(Table1[[#This Row],[M score]]=1,AND(Table1[[#This Row],[F score]]=1,Table1[[#This Row],[Z score]]=1)),1,0)</f>
        <v>0</v>
      </c>
      <c r="C181" s="10">
        <v>0</v>
      </c>
      <c r="D181" s="10">
        <v>1</v>
      </c>
      <c r="E181" s="11">
        <v>0</v>
      </c>
      <c r="F181" s="12">
        <v>1.4812623274161736</v>
      </c>
      <c r="G181" s="13">
        <v>27.92360117364252</v>
      </c>
      <c r="H181" s="14">
        <v>15.78</v>
      </c>
      <c r="I181" s="15">
        <v>0</v>
      </c>
      <c r="J181" s="15">
        <v>0</v>
      </c>
      <c r="K181" s="16">
        <v>1</v>
      </c>
      <c r="L181" s="36">
        <v>-4.5999999999999996</v>
      </c>
    </row>
    <row r="182" spans="1:12" x14ac:dyDescent="0.45">
      <c r="A182" s="1" t="s">
        <v>191</v>
      </c>
      <c r="B182" s="2">
        <f>IF(OR(Table1[[#This Row],[M score]]=1,AND(Table1[[#This Row],[F score]]=1,Table1[[#This Row],[Z score]]=1)),1,0)</f>
        <v>0</v>
      </c>
      <c r="C182" s="17">
        <v>0</v>
      </c>
      <c r="D182" s="17">
        <v>1</v>
      </c>
      <c r="E182" s="18">
        <v>0</v>
      </c>
      <c r="F182" s="19">
        <v>-1.07673568818514</v>
      </c>
      <c r="G182" s="6">
        <v>26.338695899536347</v>
      </c>
      <c r="H182" s="20">
        <v>17.22</v>
      </c>
      <c r="I182" s="21">
        <v>1</v>
      </c>
      <c r="J182" s="21">
        <v>0</v>
      </c>
      <c r="K182" s="22">
        <v>0</v>
      </c>
      <c r="L182" s="36">
        <v>1.28</v>
      </c>
    </row>
    <row r="183" spans="1:12" x14ac:dyDescent="0.45">
      <c r="A183" s="9" t="s">
        <v>192</v>
      </c>
      <c r="B183" s="2">
        <f>IF(OR(Table1[[#This Row],[M score]]=1,AND(Table1[[#This Row],[F score]]=1,Table1[[#This Row],[Z score]]=1)),1,0)</f>
        <v>0</v>
      </c>
      <c r="C183" s="10">
        <v>1</v>
      </c>
      <c r="D183" s="10">
        <v>0</v>
      </c>
      <c r="E183" s="11">
        <v>0</v>
      </c>
      <c r="F183" s="12">
        <v>0.45601074546675624</v>
      </c>
      <c r="G183" s="13">
        <v>27.581410615375212</v>
      </c>
      <c r="H183" s="14">
        <v>10.99</v>
      </c>
      <c r="I183" s="15">
        <v>0</v>
      </c>
      <c r="J183" s="15">
        <v>0</v>
      </c>
      <c r="K183" s="16">
        <v>1</v>
      </c>
      <c r="L183" s="36">
        <v>19.71</v>
      </c>
    </row>
    <row r="184" spans="1:12" x14ac:dyDescent="0.45">
      <c r="A184" s="1" t="s">
        <v>193</v>
      </c>
      <c r="B184" s="2">
        <f>IF(OR(Table1[[#This Row],[M score]]=1,AND(Table1[[#This Row],[F score]]=1,Table1[[#This Row],[Z score]]=1)),1,0)</f>
        <v>0</v>
      </c>
      <c r="C184" s="17">
        <v>0</v>
      </c>
      <c r="D184" s="17">
        <v>0</v>
      </c>
      <c r="E184" s="18">
        <v>0</v>
      </c>
      <c r="F184" s="19">
        <v>9.5525997581620309E-2</v>
      </c>
      <c r="G184" s="6">
        <v>25.007599209529651</v>
      </c>
      <c r="H184" s="20">
        <v>22.89</v>
      </c>
      <c r="I184" s="21">
        <v>1</v>
      </c>
      <c r="J184" s="21">
        <v>0</v>
      </c>
      <c r="K184" s="22">
        <v>1</v>
      </c>
      <c r="L184" s="36">
        <v>10.56</v>
      </c>
    </row>
    <row r="185" spans="1:12" x14ac:dyDescent="0.45">
      <c r="A185" s="9" t="s">
        <v>194</v>
      </c>
      <c r="B185" s="2">
        <f>IF(OR(Table1[[#This Row],[M score]]=1,AND(Table1[[#This Row],[F score]]=1,Table1[[#This Row],[Z score]]=1)),1,0)</f>
        <v>0</v>
      </c>
      <c r="C185" s="10">
        <v>0</v>
      </c>
      <c r="D185" s="10">
        <v>0</v>
      </c>
      <c r="E185" s="11">
        <v>0</v>
      </c>
      <c r="F185" s="12">
        <v>0.41666666666666669</v>
      </c>
      <c r="G185" s="13">
        <v>27.563166270929454</v>
      </c>
      <c r="H185" s="14">
        <v>19.43</v>
      </c>
      <c r="I185" s="15">
        <v>0</v>
      </c>
      <c r="J185" s="15">
        <v>0</v>
      </c>
      <c r="K185" s="16">
        <v>1</v>
      </c>
      <c r="L185" s="36">
        <v>3.16</v>
      </c>
    </row>
    <row r="186" spans="1:12" x14ac:dyDescent="0.45">
      <c r="A186" s="1" t="s">
        <v>195</v>
      </c>
      <c r="B186" s="2">
        <f>IF(OR(Table1[[#This Row],[M score]]=1,AND(Table1[[#This Row],[F score]]=1,Table1[[#This Row],[Z score]]=1)),1,0)</f>
        <v>1</v>
      </c>
      <c r="C186" s="17">
        <v>1</v>
      </c>
      <c r="D186" s="17">
        <v>1</v>
      </c>
      <c r="E186" s="18">
        <v>0</v>
      </c>
      <c r="F186" s="19">
        <v>-0.797427652733119</v>
      </c>
      <c r="G186" s="6">
        <v>25.847229816349671</v>
      </c>
      <c r="H186" s="20">
        <v>10.06</v>
      </c>
      <c r="I186" s="21">
        <v>0</v>
      </c>
      <c r="J186" s="21">
        <v>0</v>
      </c>
      <c r="K186" s="22">
        <v>1</v>
      </c>
      <c r="L186" s="36">
        <v>-304.81</v>
      </c>
    </row>
    <row r="187" spans="1:12" x14ac:dyDescent="0.45">
      <c r="A187" s="9" t="s">
        <v>196</v>
      </c>
      <c r="B187" s="2">
        <f>IF(OR(Table1[[#This Row],[M score]]=1,AND(Table1[[#This Row],[F score]]=1,Table1[[#This Row],[Z score]]=1)),1,0)</f>
        <v>0</v>
      </c>
      <c r="C187" s="10">
        <v>0</v>
      </c>
      <c r="D187" s="10">
        <v>1</v>
      </c>
      <c r="E187" s="11">
        <v>0</v>
      </c>
      <c r="F187" s="12">
        <v>0.40963855421686746</v>
      </c>
      <c r="G187" s="13">
        <v>25.047267329103068</v>
      </c>
      <c r="H187" s="14">
        <v>22.79</v>
      </c>
      <c r="I187" s="15">
        <v>1</v>
      </c>
      <c r="J187" s="15">
        <v>0</v>
      </c>
      <c r="K187" s="16">
        <v>1</v>
      </c>
      <c r="L187" s="36">
        <v>0.88</v>
      </c>
    </row>
    <row r="188" spans="1:12" x14ac:dyDescent="0.45">
      <c r="A188" s="1" t="s">
        <v>197</v>
      </c>
      <c r="B188" s="2">
        <f>IF(OR(Table1[[#This Row],[M score]]=1,AND(Table1[[#This Row],[F score]]=1,Table1[[#This Row],[Z score]]=1)),1,0)</f>
        <v>0</v>
      </c>
      <c r="C188" s="17">
        <v>0</v>
      </c>
      <c r="D188" s="17">
        <v>1</v>
      </c>
      <c r="E188" s="18">
        <v>0</v>
      </c>
      <c r="F188" s="19">
        <v>-0.39123376623376621</v>
      </c>
      <c r="G188" s="6">
        <v>24.730599022178883</v>
      </c>
      <c r="H188" s="20">
        <v>73.78</v>
      </c>
      <c r="I188" s="21">
        <v>0</v>
      </c>
      <c r="J188" s="21">
        <v>0</v>
      </c>
      <c r="K188" s="22">
        <v>1</v>
      </c>
      <c r="L188" s="36">
        <v>-169.01</v>
      </c>
    </row>
    <row r="189" spans="1:12" x14ac:dyDescent="0.45">
      <c r="A189" s="9" t="s">
        <v>198</v>
      </c>
      <c r="B189" s="2">
        <f>IF(OR(Table1[[#This Row],[M score]]=1,AND(Table1[[#This Row],[F score]]=1,Table1[[#This Row],[Z score]]=1)),1,0)</f>
        <v>1</v>
      </c>
      <c r="C189" s="10">
        <v>0</v>
      </c>
      <c r="D189" s="10">
        <v>0</v>
      </c>
      <c r="E189" s="11">
        <v>1</v>
      </c>
      <c r="F189" s="12">
        <v>0.75640468953538864</v>
      </c>
      <c r="G189" s="13">
        <v>27.702080969535363</v>
      </c>
      <c r="H189" s="14">
        <v>1.96</v>
      </c>
      <c r="I189" s="15">
        <v>1</v>
      </c>
      <c r="J189" s="15">
        <v>0</v>
      </c>
      <c r="K189" s="16">
        <v>1</v>
      </c>
      <c r="L189" s="36">
        <v>25.65</v>
      </c>
    </row>
    <row r="190" spans="1:12" x14ac:dyDescent="0.45">
      <c r="A190" s="1" t="s">
        <v>199</v>
      </c>
      <c r="B190" s="2">
        <f>IF(OR(Table1[[#This Row],[M score]]=1,AND(Table1[[#This Row],[F score]]=1,Table1[[#This Row],[Z score]]=1)),1,0)</f>
        <v>1</v>
      </c>
      <c r="C190" s="17">
        <v>0</v>
      </c>
      <c r="D190" s="17">
        <v>0</v>
      </c>
      <c r="E190" s="18">
        <v>1</v>
      </c>
      <c r="F190" s="19">
        <v>-0.52446877012234383</v>
      </c>
      <c r="G190" s="6">
        <v>25.726422764300459</v>
      </c>
      <c r="H190" s="20">
        <v>13.59</v>
      </c>
      <c r="I190" s="21">
        <v>1</v>
      </c>
      <c r="J190" s="21">
        <v>0</v>
      </c>
      <c r="K190" s="22">
        <v>1</v>
      </c>
      <c r="L190" s="36">
        <v>6.89</v>
      </c>
    </row>
    <row r="191" spans="1:12" x14ac:dyDescent="0.45">
      <c r="A191" s="9" t="s">
        <v>200</v>
      </c>
      <c r="B191" s="2">
        <f>IF(OR(Table1[[#This Row],[M score]]=1,AND(Table1[[#This Row],[F score]]=1,Table1[[#This Row],[Z score]]=1)),1,0)</f>
        <v>1</v>
      </c>
      <c r="C191" s="10">
        <v>0</v>
      </c>
      <c r="D191" s="10">
        <v>1</v>
      </c>
      <c r="E191" s="11">
        <v>1</v>
      </c>
      <c r="F191" s="12">
        <v>0.23076923076923078</v>
      </c>
      <c r="G191" s="13">
        <v>24.200594285781946</v>
      </c>
      <c r="H191" s="14">
        <v>65.349999999999994</v>
      </c>
      <c r="I191" s="15">
        <v>0</v>
      </c>
      <c r="J191" s="15">
        <v>0</v>
      </c>
      <c r="K191" s="16">
        <v>1</v>
      </c>
      <c r="L191" s="36">
        <v>0.16</v>
      </c>
    </row>
    <row r="192" spans="1:12" x14ac:dyDescent="0.45">
      <c r="A192" s="1" t="s">
        <v>201</v>
      </c>
      <c r="B192" s="2">
        <f>IF(OR(Table1[[#This Row],[M score]]=1,AND(Table1[[#This Row],[F score]]=1,Table1[[#This Row],[Z score]]=1)),1,0)</f>
        <v>0</v>
      </c>
      <c r="C192" s="17">
        <v>0</v>
      </c>
      <c r="D192" s="17">
        <v>0</v>
      </c>
      <c r="E192" s="18">
        <v>0</v>
      </c>
      <c r="F192" s="19">
        <v>-5.4294175715695954E-2</v>
      </c>
      <c r="G192" s="6">
        <v>29.734326841780817</v>
      </c>
      <c r="H192" s="20">
        <v>19.64</v>
      </c>
      <c r="I192" s="21">
        <v>1</v>
      </c>
      <c r="J192" s="21">
        <v>0</v>
      </c>
      <c r="K192" s="22">
        <v>1</v>
      </c>
      <c r="L192" s="36">
        <v>2.87</v>
      </c>
    </row>
    <row r="193" spans="1:12" x14ac:dyDescent="0.45">
      <c r="A193" s="9" t="s">
        <v>202</v>
      </c>
      <c r="B193" s="2">
        <f>IF(OR(Table1[[#This Row],[M score]]=1,AND(Table1[[#This Row],[F score]]=1,Table1[[#This Row],[Z score]]=1)),1,0)</f>
        <v>0</v>
      </c>
      <c r="C193" s="10">
        <v>0</v>
      </c>
      <c r="D193" s="10">
        <v>1</v>
      </c>
      <c r="E193" s="11">
        <v>0</v>
      </c>
      <c r="F193" s="12">
        <v>-29.557142857142857</v>
      </c>
      <c r="G193" s="13">
        <v>27.408288716079991</v>
      </c>
      <c r="H193" s="14">
        <v>50.27</v>
      </c>
      <c r="I193" s="15">
        <v>1</v>
      </c>
      <c r="J193" s="15">
        <v>0</v>
      </c>
      <c r="K193" s="16">
        <v>1</v>
      </c>
      <c r="L193" s="36">
        <v>-15.96</v>
      </c>
    </row>
    <row r="194" spans="1:12" x14ac:dyDescent="0.45">
      <c r="A194" s="1" t="s">
        <v>203</v>
      </c>
      <c r="B194" s="2">
        <f>IF(OR(Table1[[#This Row],[M score]]=1,AND(Table1[[#This Row],[F score]]=1,Table1[[#This Row],[Z score]]=1)),1,0)</f>
        <v>0</v>
      </c>
      <c r="C194" s="17">
        <v>0</v>
      </c>
      <c r="D194" s="17">
        <v>0</v>
      </c>
      <c r="E194" s="18">
        <v>0</v>
      </c>
      <c r="F194" s="19">
        <v>-0.20584211246408537</v>
      </c>
      <c r="G194" s="6">
        <v>28.955943121142283</v>
      </c>
      <c r="H194" s="20">
        <v>5.12</v>
      </c>
      <c r="I194" s="21">
        <v>0</v>
      </c>
      <c r="J194" s="21">
        <v>0</v>
      </c>
      <c r="K194" s="22">
        <v>1</v>
      </c>
      <c r="L194" s="36">
        <v>23.19</v>
      </c>
    </row>
    <row r="195" spans="1:12" x14ac:dyDescent="0.45">
      <c r="A195" s="9" t="s">
        <v>204</v>
      </c>
      <c r="B195" s="2">
        <f>IF(OR(Table1[[#This Row],[M score]]=1,AND(Table1[[#This Row],[F score]]=1,Table1[[#This Row],[Z score]]=1)),1,0)</f>
        <v>0</v>
      </c>
      <c r="C195" s="10">
        <v>0</v>
      </c>
      <c r="D195" s="10">
        <v>0</v>
      </c>
      <c r="E195" s="11">
        <v>0</v>
      </c>
      <c r="F195" s="12">
        <v>0.1670235546038544</v>
      </c>
      <c r="G195" s="13">
        <v>25.594095774391789</v>
      </c>
      <c r="H195" s="14">
        <v>10.56</v>
      </c>
      <c r="I195" s="15">
        <v>1</v>
      </c>
      <c r="J195" s="15">
        <v>0</v>
      </c>
      <c r="K195" s="16">
        <v>1</v>
      </c>
      <c r="L195" s="36">
        <v>4.18</v>
      </c>
    </row>
    <row r="196" spans="1:12" x14ac:dyDescent="0.45">
      <c r="A196" s="1" t="s">
        <v>205</v>
      </c>
      <c r="B196" s="2">
        <f>IF(OR(Table1[[#This Row],[M score]]=1,AND(Table1[[#This Row],[F score]]=1,Table1[[#This Row],[Z score]]=1)),1,0)</f>
        <v>0</v>
      </c>
      <c r="C196" s="17">
        <v>0</v>
      </c>
      <c r="D196" s="17">
        <v>1</v>
      </c>
      <c r="E196" s="18">
        <v>0</v>
      </c>
      <c r="F196" s="19">
        <v>-0.26938449240607515</v>
      </c>
      <c r="G196" s="6">
        <v>26.297408791806646</v>
      </c>
      <c r="H196" s="20">
        <v>33.57</v>
      </c>
      <c r="I196" s="21">
        <v>1</v>
      </c>
      <c r="J196" s="21">
        <v>0</v>
      </c>
      <c r="K196" s="22">
        <v>1</v>
      </c>
      <c r="L196" s="36">
        <v>5.36</v>
      </c>
    </row>
    <row r="197" spans="1:12" x14ac:dyDescent="0.45">
      <c r="A197" s="9" t="s">
        <v>206</v>
      </c>
      <c r="B197" s="2">
        <f>IF(OR(Table1[[#This Row],[M score]]=1,AND(Table1[[#This Row],[F score]]=1,Table1[[#This Row],[Z score]]=1)),1,0)</f>
        <v>0</v>
      </c>
      <c r="C197" s="10">
        <v>0</v>
      </c>
      <c r="D197" s="10">
        <v>0</v>
      </c>
      <c r="E197" s="11">
        <v>0</v>
      </c>
      <c r="F197" s="12">
        <v>0.47072072072072074</v>
      </c>
      <c r="G197" s="13">
        <v>29.250033050796922</v>
      </c>
      <c r="H197" s="14">
        <v>20.22</v>
      </c>
      <c r="I197" s="15">
        <v>0</v>
      </c>
      <c r="J197" s="15">
        <v>1</v>
      </c>
      <c r="K197" s="16">
        <v>1</v>
      </c>
      <c r="L197" s="36">
        <v>11.45</v>
      </c>
    </row>
    <row r="198" spans="1:12" x14ac:dyDescent="0.45">
      <c r="A198" s="1" t="s">
        <v>207</v>
      </c>
      <c r="B198" s="2">
        <f>IF(OR(Table1[[#This Row],[M score]]=1,AND(Table1[[#This Row],[F score]]=1,Table1[[#This Row],[Z score]]=1)),1,0)</f>
        <v>0</v>
      </c>
      <c r="C198" s="17">
        <v>0</v>
      </c>
      <c r="D198" s="17">
        <v>0</v>
      </c>
      <c r="E198" s="18">
        <v>0</v>
      </c>
      <c r="F198" s="19">
        <v>0.54421768707482998</v>
      </c>
      <c r="G198" s="6">
        <v>26.8819383030383</v>
      </c>
      <c r="H198" s="20">
        <v>44.89</v>
      </c>
      <c r="I198" s="21">
        <v>0</v>
      </c>
      <c r="J198" s="21">
        <v>0</v>
      </c>
      <c r="K198" s="22">
        <v>0</v>
      </c>
      <c r="L198" s="36">
        <v>13.01</v>
      </c>
    </row>
    <row r="199" spans="1:12" x14ac:dyDescent="0.45">
      <c r="A199" s="9" t="s">
        <v>208</v>
      </c>
      <c r="B199" s="2">
        <f>IF(OR(Table1[[#This Row],[M score]]=1,AND(Table1[[#This Row],[F score]]=1,Table1[[#This Row],[Z score]]=1)),1,0)</f>
        <v>0</v>
      </c>
      <c r="C199" s="10">
        <v>0</v>
      </c>
      <c r="D199" s="10">
        <v>1</v>
      </c>
      <c r="E199" s="11">
        <v>0</v>
      </c>
      <c r="F199" s="12">
        <v>3.6706869428421607E-2</v>
      </c>
      <c r="G199" s="13">
        <v>26.686258761868388</v>
      </c>
      <c r="H199" s="14">
        <v>9.1300000000000008</v>
      </c>
      <c r="I199" s="15">
        <v>0</v>
      </c>
      <c r="J199" s="15">
        <v>0</v>
      </c>
      <c r="K199" s="16">
        <v>1</v>
      </c>
      <c r="L199" s="36">
        <v>4.5</v>
      </c>
    </row>
    <row r="200" spans="1:12" x14ac:dyDescent="0.45">
      <c r="A200" s="1" t="s">
        <v>209</v>
      </c>
      <c r="B200" s="2">
        <f>IF(OR(Table1[[#This Row],[M score]]=1,AND(Table1[[#This Row],[F score]]=1,Table1[[#This Row],[Z score]]=1)),1,0)</f>
        <v>0</v>
      </c>
      <c r="C200" s="17">
        <v>0</v>
      </c>
      <c r="D200" s="17">
        <v>1</v>
      </c>
      <c r="E200" s="18">
        <v>0</v>
      </c>
      <c r="F200" s="19">
        <v>-0.31388888888888888</v>
      </c>
      <c r="G200" s="6">
        <v>30.57660520930138</v>
      </c>
      <c r="H200" s="20">
        <v>12.59</v>
      </c>
      <c r="I200" s="21">
        <v>1</v>
      </c>
      <c r="J200" s="21">
        <v>1</v>
      </c>
      <c r="K200" s="22">
        <v>1</v>
      </c>
      <c r="L200" s="36">
        <v>37.229999999999997</v>
      </c>
    </row>
    <row r="201" spans="1:12" x14ac:dyDescent="0.45">
      <c r="A201" s="9" t="s">
        <v>210</v>
      </c>
      <c r="B201" s="2">
        <f>IF(OR(Table1[[#This Row],[M score]]=1,AND(Table1[[#This Row],[F score]]=1,Table1[[#This Row],[Z score]]=1)),1,0)</f>
        <v>1</v>
      </c>
      <c r="C201" s="10">
        <v>0</v>
      </c>
      <c r="D201" s="10">
        <v>0</v>
      </c>
      <c r="E201" s="11">
        <v>1</v>
      </c>
      <c r="F201" s="12">
        <v>1.200445434298441</v>
      </c>
      <c r="G201" s="13">
        <v>27.20487428227154</v>
      </c>
      <c r="H201" s="14">
        <v>22.32</v>
      </c>
      <c r="I201" s="15">
        <v>1</v>
      </c>
      <c r="J201" s="15">
        <v>0</v>
      </c>
      <c r="K201" s="16">
        <v>1</v>
      </c>
      <c r="L201" s="36">
        <v>10.43</v>
      </c>
    </row>
    <row r="202" spans="1:12" x14ac:dyDescent="0.45">
      <c r="A202" s="1" t="s">
        <v>211</v>
      </c>
      <c r="B202" s="2">
        <f>IF(OR(Table1[[#This Row],[M score]]=1,AND(Table1[[#This Row],[F score]]=1,Table1[[#This Row],[Z score]]=1)),1,0)</f>
        <v>0</v>
      </c>
      <c r="C202" s="17">
        <v>0</v>
      </c>
      <c r="D202" s="17">
        <v>1</v>
      </c>
      <c r="E202" s="18">
        <v>0</v>
      </c>
      <c r="F202" s="19">
        <v>1.3909465020576133</v>
      </c>
      <c r="G202" s="6">
        <v>29.289718669868442</v>
      </c>
      <c r="H202" s="20">
        <v>17.690000000000001</v>
      </c>
      <c r="I202" s="21">
        <v>1</v>
      </c>
      <c r="J202" s="21">
        <v>1</v>
      </c>
      <c r="K202" s="22">
        <v>1</v>
      </c>
      <c r="L202" s="36">
        <v>5.9</v>
      </c>
    </row>
    <row r="203" spans="1:12" x14ac:dyDescent="0.45">
      <c r="A203" s="9" t="s">
        <v>212</v>
      </c>
      <c r="B203" s="2">
        <f>IF(OR(Table1[[#This Row],[M score]]=1,AND(Table1[[#This Row],[F score]]=1,Table1[[#This Row],[Z score]]=1)),1,0)</f>
        <v>1</v>
      </c>
      <c r="C203" s="10">
        <v>0</v>
      </c>
      <c r="D203" s="10">
        <v>1</v>
      </c>
      <c r="E203" s="11">
        <v>1</v>
      </c>
      <c r="F203" s="12">
        <v>-127.10416666666667</v>
      </c>
      <c r="G203" s="13">
        <v>22.534827933470645</v>
      </c>
      <c r="H203" s="14">
        <v>67</v>
      </c>
      <c r="I203" s="15">
        <v>0</v>
      </c>
      <c r="J203" s="15">
        <v>0</v>
      </c>
      <c r="K203" s="16">
        <v>1</v>
      </c>
      <c r="L203" s="36">
        <v>-61.62</v>
      </c>
    </row>
    <row r="204" spans="1:12" x14ac:dyDescent="0.45">
      <c r="A204" s="1" t="s">
        <v>213</v>
      </c>
      <c r="B204" s="2">
        <f>IF(OR(Table1[[#This Row],[M score]]=1,AND(Table1[[#This Row],[F score]]=1,Table1[[#This Row],[Z score]]=1)),1,0)</f>
        <v>1</v>
      </c>
      <c r="C204" s="17">
        <v>0</v>
      </c>
      <c r="D204" s="17">
        <v>0</v>
      </c>
      <c r="E204" s="18">
        <v>1</v>
      </c>
      <c r="F204" s="19">
        <v>-0.2302771855010661</v>
      </c>
      <c r="G204" s="6">
        <v>25.490502925483487</v>
      </c>
      <c r="H204" s="20">
        <v>2.54</v>
      </c>
      <c r="I204" s="21">
        <v>1</v>
      </c>
      <c r="J204" s="21">
        <v>0</v>
      </c>
      <c r="K204" s="22">
        <v>1</v>
      </c>
      <c r="L204" s="36">
        <v>-3.08</v>
      </c>
    </row>
    <row r="205" spans="1:12" x14ac:dyDescent="0.45">
      <c r="A205" s="9" t="s">
        <v>214</v>
      </c>
      <c r="B205" s="2">
        <f>IF(OR(Table1[[#This Row],[M score]]=1,AND(Table1[[#This Row],[F score]]=1,Table1[[#This Row],[Z score]]=1)),1,0)</f>
        <v>0</v>
      </c>
      <c r="C205" s="10">
        <v>0</v>
      </c>
      <c r="D205" s="10">
        <v>0</v>
      </c>
      <c r="E205" s="11">
        <v>0</v>
      </c>
      <c r="F205" s="12">
        <v>-5.8156028368794327E-2</v>
      </c>
      <c r="G205" s="13">
        <v>27.369656351794141</v>
      </c>
      <c r="H205" s="14">
        <v>39.869999999999997</v>
      </c>
      <c r="I205" s="15">
        <v>0</v>
      </c>
      <c r="J205" s="15">
        <v>0</v>
      </c>
      <c r="K205" s="16">
        <v>1</v>
      </c>
      <c r="L205" s="36">
        <v>6.78</v>
      </c>
    </row>
    <row r="206" spans="1:12" x14ac:dyDescent="0.45">
      <c r="A206" s="1" t="s">
        <v>215</v>
      </c>
      <c r="B206" s="2">
        <f>IF(OR(Table1[[#This Row],[M score]]=1,AND(Table1[[#This Row],[F score]]=1,Table1[[#This Row],[Z score]]=1)),1,0)</f>
        <v>1</v>
      </c>
      <c r="C206" s="17">
        <v>0</v>
      </c>
      <c r="D206" s="17">
        <v>1</v>
      </c>
      <c r="E206" s="18">
        <v>1</v>
      </c>
      <c r="F206" s="19">
        <v>3.1749644381223328</v>
      </c>
      <c r="G206" s="6">
        <v>25.603646397825404</v>
      </c>
      <c r="H206" s="20">
        <v>14.56</v>
      </c>
      <c r="I206" s="21">
        <v>0</v>
      </c>
      <c r="J206" s="21">
        <v>0</v>
      </c>
      <c r="K206" s="22">
        <v>1</v>
      </c>
      <c r="L206" s="36">
        <v>-35.9</v>
      </c>
    </row>
    <row r="207" spans="1:12" x14ac:dyDescent="0.45">
      <c r="A207" s="9" t="s">
        <v>216</v>
      </c>
      <c r="B207" s="2">
        <f>IF(OR(Table1[[#This Row],[M score]]=1,AND(Table1[[#This Row],[F score]]=1,Table1[[#This Row],[Z score]]=1)),1,0)</f>
        <v>1</v>
      </c>
      <c r="C207" s="10">
        <v>0</v>
      </c>
      <c r="D207" s="10">
        <v>0</v>
      </c>
      <c r="E207" s="11">
        <v>1</v>
      </c>
      <c r="F207" s="12">
        <v>0.13217391304347825</v>
      </c>
      <c r="G207" s="13">
        <v>28.627300528342953</v>
      </c>
      <c r="H207" s="14">
        <v>15.88</v>
      </c>
      <c r="I207" s="15">
        <v>1</v>
      </c>
      <c r="J207" s="15">
        <v>0</v>
      </c>
      <c r="K207" s="16">
        <v>1</v>
      </c>
      <c r="L207" s="36">
        <v>23.8</v>
      </c>
    </row>
    <row r="208" spans="1:12" x14ac:dyDescent="0.45">
      <c r="A208" s="1" t="s">
        <v>217</v>
      </c>
      <c r="B208" s="2">
        <f>IF(OR(Table1[[#This Row],[M score]]=1,AND(Table1[[#This Row],[F score]]=1,Table1[[#This Row],[Z score]]=1)),1,0)</f>
        <v>0</v>
      </c>
      <c r="C208" s="17">
        <v>0</v>
      </c>
      <c r="D208" s="17">
        <v>0</v>
      </c>
      <c r="E208" s="18">
        <v>0</v>
      </c>
      <c r="F208" s="19">
        <v>-2.2767732962447846</v>
      </c>
      <c r="G208" s="6">
        <v>26.826013636142886</v>
      </c>
      <c r="H208" s="20">
        <v>17.45</v>
      </c>
      <c r="I208" s="21">
        <v>1</v>
      </c>
      <c r="J208" s="21">
        <v>1</v>
      </c>
      <c r="K208" s="22">
        <v>1</v>
      </c>
      <c r="L208" s="36">
        <v>1.45</v>
      </c>
    </row>
    <row r="209" spans="1:12" x14ac:dyDescent="0.45">
      <c r="A209" s="9" t="s">
        <v>218</v>
      </c>
      <c r="B209" s="2">
        <f>IF(OR(Table1[[#This Row],[M score]]=1,AND(Table1[[#This Row],[F score]]=1,Table1[[#This Row],[Z score]]=1)),1,0)</f>
        <v>1</v>
      </c>
      <c r="C209" s="10">
        <v>0</v>
      </c>
      <c r="D209" s="10">
        <v>1</v>
      </c>
      <c r="E209" s="11">
        <v>1</v>
      </c>
      <c r="F209" s="12">
        <v>1.4657534246575343</v>
      </c>
      <c r="G209" s="13">
        <v>28.200418141813536</v>
      </c>
      <c r="H209" s="14">
        <v>17.190000000000001</v>
      </c>
      <c r="I209" s="15">
        <v>1</v>
      </c>
      <c r="J209" s="15">
        <v>0</v>
      </c>
      <c r="K209" s="16">
        <v>1</v>
      </c>
      <c r="L209" s="36">
        <v>3.44</v>
      </c>
    </row>
    <row r="210" spans="1:12" x14ac:dyDescent="0.45">
      <c r="A210" s="1" t="s">
        <v>219</v>
      </c>
      <c r="B210" s="2">
        <f>IF(OR(Table1[[#This Row],[M score]]=1,AND(Table1[[#This Row],[F score]]=1,Table1[[#This Row],[Z score]]=1)),1,0)</f>
        <v>1</v>
      </c>
      <c r="C210" s="17">
        <v>0</v>
      </c>
      <c r="D210" s="17">
        <v>0</v>
      </c>
      <c r="E210" s="18">
        <v>1</v>
      </c>
      <c r="F210" s="19">
        <v>1.0478106397496529</v>
      </c>
      <c r="G210" s="6">
        <v>29.942755993007847</v>
      </c>
      <c r="H210" s="20">
        <v>52.52</v>
      </c>
      <c r="I210" s="21">
        <v>0</v>
      </c>
      <c r="J210" s="21">
        <v>1</v>
      </c>
      <c r="K210" s="22">
        <v>1</v>
      </c>
      <c r="L210" s="36">
        <v>41.75</v>
      </c>
    </row>
    <row r="211" spans="1:12" x14ac:dyDescent="0.45">
      <c r="A211" s="9" t="s">
        <v>220</v>
      </c>
      <c r="B211" s="2">
        <f>IF(OR(Table1[[#This Row],[M score]]=1,AND(Table1[[#This Row],[F score]]=1,Table1[[#This Row],[Z score]]=1)),1,0)</f>
        <v>0</v>
      </c>
      <c r="C211" s="10">
        <v>0</v>
      </c>
      <c r="D211" s="10">
        <v>1</v>
      </c>
      <c r="E211" s="11">
        <v>0</v>
      </c>
      <c r="F211" s="12">
        <v>2.4745762711864407</v>
      </c>
      <c r="G211" s="13">
        <v>28.46332547907679</v>
      </c>
      <c r="H211" s="14">
        <v>40.1</v>
      </c>
      <c r="I211" s="15">
        <v>1</v>
      </c>
      <c r="J211" s="15">
        <v>0</v>
      </c>
      <c r="K211" s="16">
        <v>1</v>
      </c>
      <c r="L211" s="36">
        <v>-1.88</v>
      </c>
    </row>
    <row r="212" spans="1:12" x14ac:dyDescent="0.45">
      <c r="A212" s="1" t="s">
        <v>221</v>
      </c>
      <c r="B212" s="2">
        <f>IF(OR(Table1[[#This Row],[M score]]=1,AND(Table1[[#This Row],[F score]]=1,Table1[[#This Row],[Z score]]=1)),1,0)</f>
        <v>0</v>
      </c>
      <c r="C212" s="17">
        <v>0</v>
      </c>
      <c r="D212" s="17">
        <v>1</v>
      </c>
      <c r="E212" s="18">
        <v>0</v>
      </c>
      <c r="F212" s="19">
        <v>-1.1599999999999999</v>
      </c>
      <c r="G212" s="6">
        <v>25.914248518223271</v>
      </c>
      <c r="H212" s="20">
        <v>0.13</v>
      </c>
      <c r="I212" s="21">
        <v>0</v>
      </c>
      <c r="J212" s="21">
        <v>0</v>
      </c>
      <c r="K212" s="22">
        <v>1</v>
      </c>
      <c r="L212" s="36">
        <v>0.38</v>
      </c>
    </row>
    <row r="213" spans="1:12" x14ac:dyDescent="0.45">
      <c r="A213" s="9" t="s">
        <v>222</v>
      </c>
      <c r="B213" s="2">
        <f>IF(OR(Table1[[#This Row],[M score]]=1,AND(Table1[[#This Row],[F score]]=1,Table1[[#This Row],[Z score]]=1)),1,0)</f>
        <v>0</v>
      </c>
      <c r="C213" s="10">
        <v>0</v>
      </c>
      <c r="D213" s="10">
        <v>1</v>
      </c>
      <c r="E213" s="11">
        <v>0</v>
      </c>
      <c r="F213" s="12">
        <v>-0.46523297491039428</v>
      </c>
      <c r="G213" s="13">
        <v>25.326422396949788</v>
      </c>
      <c r="H213" s="14">
        <v>28.33</v>
      </c>
      <c r="I213" s="15">
        <v>0</v>
      </c>
      <c r="J213" s="15">
        <v>0</v>
      </c>
      <c r="K213" s="16">
        <v>0</v>
      </c>
      <c r="L213" s="36">
        <v>-52.78</v>
      </c>
    </row>
    <row r="214" spans="1:12" x14ac:dyDescent="0.45">
      <c r="A214" s="1" t="s">
        <v>223</v>
      </c>
      <c r="B214" s="2">
        <f>IF(OR(Table1[[#This Row],[M score]]=1,AND(Table1[[#This Row],[F score]]=1,Table1[[#This Row],[Z score]]=1)),1,0)</f>
        <v>0</v>
      </c>
      <c r="C214" s="17">
        <v>0</v>
      </c>
      <c r="D214" s="17">
        <v>1</v>
      </c>
      <c r="E214" s="18">
        <v>0</v>
      </c>
      <c r="F214" s="19">
        <v>0.42009132420091322</v>
      </c>
      <c r="G214" s="6">
        <v>28.435351825449107</v>
      </c>
      <c r="H214" s="20">
        <v>30.73</v>
      </c>
      <c r="I214" s="21">
        <v>0</v>
      </c>
      <c r="J214" s="21">
        <v>0</v>
      </c>
      <c r="K214" s="22">
        <v>1</v>
      </c>
      <c r="L214" s="36">
        <v>3.99</v>
      </c>
    </row>
    <row r="215" spans="1:12" x14ac:dyDescent="0.45">
      <c r="A215" s="9" t="s">
        <v>224</v>
      </c>
      <c r="B215" s="2">
        <f>IF(OR(Table1[[#This Row],[M score]]=1,AND(Table1[[#This Row],[F score]]=1,Table1[[#This Row],[Z score]]=1)),1,0)</f>
        <v>0</v>
      </c>
      <c r="C215" s="10">
        <v>0</v>
      </c>
      <c r="D215" s="10">
        <v>1</v>
      </c>
      <c r="E215" s="11">
        <v>0</v>
      </c>
      <c r="F215" s="12">
        <v>2</v>
      </c>
      <c r="G215" s="13">
        <v>26.95397278626282</v>
      </c>
      <c r="H215" s="14">
        <v>12.25</v>
      </c>
      <c r="I215" s="15">
        <v>1</v>
      </c>
      <c r="J215" s="15">
        <v>0</v>
      </c>
      <c r="K215" s="16">
        <v>1</v>
      </c>
      <c r="L215" s="36">
        <v>0.27</v>
      </c>
    </row>
    <row r="216" spans="1:12" x14ac:dyDescent="0.45">
      <c r="A216" s="1" t="s">
        <v>225</v>
      </c>
      <c r="B216" s="2">
        <f>IF(OR(Table1[[#This Row],[M score]]=1,AND(Table1[[#This Row],[F score]]=1,Table1[[#This Row],[Z score]]=1)),1,0)</f>
        <v>0</v>
      </c>
      <c r="C216" s="17">
        <v>0</v>
      </c>
      <c r="D216" s="17">
        <v>1</v>
      </c>
      <c r="E216" s="18">
        <v>0</v>
      </c>
      <c r="F216" s="19">
        <v>-0.66096866096866091</v>
      </c>
      <c r="G216" s="6">
        <v>28.097447058792341</v>
      </c>
      <c r="H216" s="20">
        <v>20.76</v>
      </c>
      <c r="I216" s="21">
        <v>1</v>
      </c>
      <c r="J216" s="21">
        <v>0</v>
      </c>
      <c r="K216" s="22">
        <v>1</v>
      </c>
      <c r="L216" s="36">
        <v>1.63</v>
      </c>
    </row>
    <row r="217" spans="1:12" x14ac:dyDescent="0.45">
      <c r="A217" s="9" t="s">
        <v>226</v>
      </c>
      <c r="B217" s="2">
        <f>IF(OR(Table1[[#This Row],[M score]]=1,AND(Table1[[#This Row],[F score]]=1,Table1[[#This Row],[Z score]]=1)),1,0)</f>
        <v>0</v>
      </c>
      <c r="C217" s="10">
        <v>0</v>
      </c>
      <c r="D217" s="10">
        <v>0</v>
      </c>
      <c r="E217" s="11">
        <v>0</v>
      </c>
      <c r="F217" s="12">
        <v>0.19614973262032084</v>
      </c>
      <c r="G217" s="13">
        <v>28.46466427061381</v>
      </c>
      <c r="H217" s="14">
        <v>31.39</v>
      </c>
      <c r="I217" s="15">
        <v>1</v>
      </c>
      <c r="J217" s="15">
        <v>1</v>
      </c>
      <c r="K217" s="16">
        <v>1</v>
      </c>
      <c r="L217" s="36">
        <v>7.26</v>
      </c>
    </row>
    <row r="218" spans="1:12" x14ac:dyDescent="0.45">
      <c r="A218" s="1" t="s">
        <v>227</v>
      </c>
      <c r="B218" s="2">
        <f>IF(OR(Table1[[#This Row],[M score]]=1,AND(Table1[[#This Row],[F score]]=1,Table1[[#This Row],[Z score]]=1)),1,0)</f>
        <v>0</v>
      </c>
      <c r="C218" s="17">
        <v>0</v>
      </c>
      <c r="D218" s="17">
        <v>0</v>
      </c>
      <c r="E218" s="18">
        <v>0</v>
      </c>
      <c r="F218" s="19">
        <v>-1.7568517217146872E-2</v>
      </c>
      <c r="G218" s="6">
        <v>31.479283535426383</v>
      </c>
      <c r="H218" s="20">
        <v>28.77</v>
      </c>
      <c r="I218" s="21">
        <v>0</v>
      </c>
      <c r="J218" s="21">
        <v>1</v>
      </c>
      <c r="K218" s="22">
        <v>1</v>
      </c>
      <c r="L218" s="36">
        <v>5.49</v>
      </c>
    </row>
    <row r="219" spans="1:12" x14ac:dyDescent="0.45">
      <c r="A219" s="9" t="s">
        <v>228</v>
      </c>
      <c r="B219" s="2">
        <f>IF(OR(Table1[[#This Row],[M score]]=1,AND(Table1[[#This Row],[F score]]=1,Table1[[#This Row],[Z score]]=1)),1,0)</f>
        <v>0</v>
      </c>
      <c r="C219" s="10">
        <v>0</v>
      </c>
      <c r="D219" s="10">
        <v>0</v>
      </c>
      <c r="E219" s="11">
        <v>0</v>
      </c>
      <c r="F219" s="12">
        <v>5.4873772791023845E-2</v>
      </c>
      <c r="G219" s="13">
        <v>32.725972939232712</v>
      </c>
      <c r="H219" s="14">
        <v>23.92</v>
      </c>
      <c r="I219" s="15">
        <v>1</v>
      </c>
      <c r="J219" s="15">
        <v>1</v>
      </c>
      <c r="K219" s="16">
        <v>1</v>
      </c>
      <c r="L219" s="36">
        <v>22.45</v>
      </c>
    </row>
    <row r="220" spans="1:12" x14ac:dyDescent="0.45">
      <c r="A220" s="1" t="s">
        <v>229</v>
      </c>
      <c r="B220" s="2">
        <f>IF(OR(Table1[[#This Row],[M score]]=1,AND(Table1[[#This Row],[F score]]=1,Table1[[#This Row],[Z score]]=1)),1,0)</f>
        <v>0</v>
      </c>
      <c r="C220" s="17">
        <v>0</v>
      </c>
      <c r="D220" s="17">
        <v>0</v>
      </c>
      <c r="E220" s="18">
        <v>0</v>
      </c>
      <c r="F220" s="19">
        <v>1.2745602745602747</v>
      </c>
      <c r="G220" s="6">
        <v>30.868134298894095</v>
      </c>
      <c r="H220" s="20">
        <v>42.39</v>
      </c>
      <c r="I220" s="21">
        <v>1</v>
      </c>
      <c r="J220" s="21">
        <v>1</v>
      </c>
      <c r="K220" s="22">
        <v>1</v>
      </c>
      <c r="L220" s="36">
        <v>142.43</v>
      </c>
    </row>
    <row r="221" spans="1:12" x14ac:dyDescent="0.45">
      <c r="A221" s="9" t="s">
        <v>230</v>
      </c>
      <c r="B221" s="2">
        <f>IF(OR(Table1[[#This Row],[M score]]=1,AND(Table1[[#This Row],[F score]]=1,Table1[[#This Row],[Z score]]=1)),1,0)</f>
        <v>0</v>
      </c>
      <c r="C221" s="10">
        <v>0</v>
      </c>
      <c r="D221" s="10">
        <v>1</v>
      </c>
      <c r="E221" s="11">
        <v>0</v>
      </c>
      <c r="F221" s="12">
        <v>0.21956009426551454</v>
      </c>
      <c r="G221" s="13">
        <v>24.124463218608568</v>
      </c>
      <c r="H221" s="14">
        <v>4.67</v>
      </c>
      <c r="I221" s="15">
        <v>0</v>
      </c>
      <c r="J221" s="15">
        <v>0</v>
      </c>
      <c r="K221" s="16">
        <v>0</v>
      </c>
      <c r="L221" s="36">
        <v>-218.61</v>
      </c>
    </row>
    <row r="222" spans="1:12" x14ac:dyDescent="0.45">
      <c r="A222" s="1" t="s">
        <v>231</v>
      </c>
      <c r="B222" s="2">
        <f>IF(OR(Table1[[#This Row],[M score]]=1,AND(Table1[[#This Row],[F score]]=1,Table1[[#This Row],[Z score]]=1)),1,0)</f>
        <v>0</v>
      </c>
      <c r="C222" s="17">
        <v>0</v>
      </c>
      <c r="D222" s="17">
        <v>1</v>
      </c>
      <c r="E222" s="18">
        <v>0</v>
      </c>
      <c r="F222" s="19">
        <v>1.556420233463035E-2</v>
      </c>
      <c r="G222" s="6">
        <v>27.707008254086201</v>
      </c>
      <c r="H222" s="20">
        <v>24.03</v>
      </c>
      <c r="I222" s="21">
        <v>0</v>
      </c>
      <c r="J222" s="21">
        <v>0</v>
      </c>
      <c r="K222" s="22">
        <v>1</v>
      </c>
      <c r="L222" s="36">
        <v>0.39</v>
      </c>
    </row>
    <row r="223" spans="1:12" x14ac:dyDescent="0.45">
      <c r="A223" s="9" t="s">
        <v>232</v>
      </c>
      <c r="B223" s="2">
        <f>IF(OR(Table1[[#This Row],[M score]]=1,AND(Table1[[#This Row],[F score]]=1,Table1[[#This Row],[Z score]]=1)),1,0)</f>
        <v>0</v>
      </c>
      <c r="C223" s="10">
        <v>0</v>
      </c>
      <c r="D223" s="10">
        <v>0</v>
      </c>
      <c r="E223" s="11">
        <v>0</v>
      </c>
      <c r="F223" s="12">
        <v>7.3522878720568632E-2</v>
      </c>
      <c r="G223" s="13">
        <v>32.794077379533313</v>
      </c>
      <c r="H223" s="14">
        <v>3.18</v>
      </c>
      <c r="I223" s="15">
        <v>1</v>
      </c>
      <c r="J223" s="15">
        <v>1</v>
      </c>
      <c r="K223" s="16">
        <v>1</v>
      </c>
      <c r="L223" s="36">
        <v>9.8800000000000008</v>
      </c>
    </row>
    <row r="224" spans="1:12" x14ac:dyDescent="0.45">
      <c r="A224" s="1" t="s">
        <v>233</v>
      </c>
      <c r="B224" s="2">
        <f>IF(OR(Table1[[#This Row],[M score]]=1,AND(Table1[[#This Row],[F score]]=1,Table1[[#This Row],[Z score]]=1)),1,0)</f>
        <v>0</v>
      </c>
      <c r="C224" s="17">
        <v>0</v>
      </c>
      <c r="D224" s="17">
        <v>0</v>
      </c>
      <c r="E224" s="18">
        <v>0</v>
      </c>
      <c r="F224" s="19">
        <v>0.36612021857923499</v>
      </c>
      <c r="G224" s="6">
        <v>28.001726910450515</v>
      </c>
      <c r="H224" s="20">
        <v>7.71</v>
      </c>
      <c r="I224" s="21">
        <v>0</v>
      </c>
      <c r="J224" s="21">
        <v>0</v>
      </c>
      <c r="K224" s="22">
        <v>1</v>
      </c>
      <c r="L224" s="36">
        <v>62.67</v>
      </c>
    </row>
    <row r="225" spans="1:12" x14ac:dyDescent="0.45">
      <c r="A225" s="9" t="s">
        <v>234</v>
      </c>
      <c r="B225" s="2">
        <f>IF(OR(Table1[[#This Row],[M score]]=1,AND(Table1[[#This Row],[F score]]=1,Table1[[#This Row],[Z score]]=1)),1,0)</f>
        <v>1</v>
      </c>
      <c r="C225" s="10">
        <v>0</v>
      </c>
      <c r="D225" s="10">
        <v>0</v>
      </c>
      <c r="E225" s="11">
        <v>1</v>
      </c>
      <c r="F225" s="12">
        <v>-0.26266353572626633</v>
      </c>
      <c r="G225" s="13">
        <v>28.506694624440403</v>
      </c>
      <c r="H225" s="14">
        <v>52.34</v>
      </c>
      <c r="I225" s="15">
        <v>0</v>
      </c>
      <c r="J225" s="15">
        <v>1</v>
      </c>
      <c r="K225" s="16">
        <v>1</v>
      </c>
      <c r="L225" s="36">
        <v>3.98</v>
      </c>
    </row>
    <row r="226" spans="1:12" x14ac:dyDescent="0.45">
      <c r="A226" s="1" t="s">
        <v>235</v>
      </c>
      <c r="B226" s="2">
        <f>IF(OR(Table1[[#This Row],[M score]]=1,AND(Table1[[#This Row],[F score]]=1,Table1[[#This Row],[Z score]]=1)),1,0)</f>
        <v>0</v>
      </c>
      <c r="C226" s="17">
        <v>0</v>
      </c>
      <c r="D226" s="17">
        <v>0</v>
      </c>
      <c r="E226" s="18">
        <v>0</v>
      </c>
      <c r="F226" s="19">
        <v>0.20790513833992094</v>
      </c>
      <c r="G226" s="6">
        <v>26.973412321299886</v>
      </c>
      <c r="H226" s="20">
        <v>22.94</v>
      </c>
      <c r="I226" s="21">
        <v>1</v>
      </c>
      <c r="J226" s="21">
        <v>0</v>
      </c>
      <c r="K226" s="22">
        <v>1</v>
      </c>
      <c r="L226" s="36">
        <v>19.38</v>
      </c>
    </row>
    <row r="227" spans="1:12" x14ac:dyDescent="0.45">
      <c r="A227" s="9" t="s">
        <v>236</v>
      </c>
      <c r="B227" s="2">
        <f>IF(OR(Table1[[#This Row],[M score]]=1,AND(Table1[[#This Row],[F score]]=1,Table1[[#This Row],[Z score]]=1)),1,0)</f>
        <v>0</v>
      </c>
      <c r="C227" s="10">
        <v>1</v>
      </c>
      <c r="D227" s="10">
        <v>0</v>
      </c>
      <c r="E227" s="11">
        <v>0</v>
      </c>
      <c r="F227" s="12">
        <v>9.5260776375327462E-3</v>
      </c>
      <c r="G227" s="13">
        <v>26.588174605166294</v>
      </c>
      <c r="H227" s="14">
        <v>1.02</v>
      </c>
      <c r="I227" s="15">
        <v>1</v>
      </c>
      <c r="J227" s="15">
        <v>0</v>
      </c>
      <c r="K227" s="16">
        <v>1</v>
      </c>
      <c r="L227" s="36">
        <v>-0.35</v>
      </c>
    </row>
    <row r="228" spans="1:12" x14ac:dyDescent="0.45">
      <c r="A228" s="1" t="s">
        <v>237</v>
      </c>
      <c r="B228" s="2">
        <f>IF(OR(Table1[[#This Row],[M score]]=1,AND(Table1[[#This Row],[F score]]=1,Table1[[#This Row],[Z score]]=1)),1,0)</f>
        <v>0</v>
      </c>
      <c r="C228" s="17">
        <v>0</v>
      </c>
      <c r="D228" s="17">
        <v>0</v>
      </c>
      <c r="E228" s="18">
        <v>0</v>
      </c>
      <c r="F228" s="19">
        <v>0.78810198300283285</v>
      </c>
      <c r="G228" s="6">
        <v>32.129195997363766</v>
      </c>
      <c r="H228" s="20">
        <v>33.770000000000003</v>
      </c>
      <c r="I228" s="21">
        <v>1</v>
      </c>
      <c r="J228" s="21">
        <v>1</v>
      </c>
      <c r="K228" s="22">
        <v>1</v>
      </c>
      <c r="L228" s="36">
        <v>20.76</v>
      </c>
    </row>
    <row r="229" spans="1:12" x14ac:dyDescent="0.45">
      <c r="A229" s="9" t="s">
        <v>238</v>
      </c>
      <c r="B229" s="2">
        <f>IF(OR(Table1[[#This Row],[M score]]=1,AND(Table1[[#This Row],[F score]]=1,Table1[[#This Row],[Z score]]=1)),1,0)</f>
        <v>0</v>
      </c>
      <c r="C229" s="10">
        <v>0</v>
      </c>
      <c r="D229" s="10">
        <v>1</v>
      </c>
      <c r="E229" s="11">
        <v>0</v>
      </c>
      <c r="F229" s="12">
        <v>5.2242647058823533</v>
      </c>
      <c r="G229" s="13">
        <v>29.503842605984698</v>
      </c>
      <c r="H229" s="14">
        <v>55.21</v>
      </c>
      <c r="I229" s="15">
        <v>1</v>
      </c>
      <c r="J229" s="15">
        <v>1</v>
      </c>
      <c r="K229" s="16">
        <v>1</v>
      </c>
      <c r="L229" s="36">
        <v>12.72</v>
      </c>
    </row>
    <row r="230" spans="1:12" x14ac:dyDescent="0.45">
      <c r="A230" s="1" t="s">
        <v>239</v>
      </c>
      <c r="B230" s="2">
        <f>IF(OR(Table1[[#This Row],[M score]]=1,AND(Table1[[#This Row],[F score]]=1,Table1[[#This Row],[Z score]]=1)),1,0)</f>
        <v>0</v>
      </c>
      <c r="C230" s="17">
        <v>0</v>
      </c>
      <c r="D230" s="17">
        <v>1</v>
      </c>
      <c r="E230" s="18">
        <v>0</v>
      </c>
      <c r="F230" s="19">
        <v>-0.12513089005235603</v>
      </c>
      <c r="G230" s="6">
        <v>31.303379702264372</v>
      </c>
      <c r="H230" s="20">
        <v>39.18</v>
      </c>
      <c r="I230" s="21">
        <v>1</v>
      </c>
      <c r="J230" s="21">
        <v>1</v>
      </c>
      <c r="K230" s="22">
        <v>1</v>
      </c>
      <c r="L230" s="36">
        <v>29.79</v>
      </c>
    </row>
    <row r="231" spans="1:12" x14ac:dyDescent="0.45">
      <c r="A231" s="9" t="s">
        <v>240</v>
      </c>
      <c r="B231" s="2">
        <f>IF(OR(Table1[[#This Row],[M score]]=1,AND(Table1[[#This Row],[F score]]=1,Table1[[#This Row],[Z score]]=1)),1,0)</f>
        <v>0</v>
      </c>
      <c r="C231" s="10">
        <v>0</v>
      </c>
      <c r="D231" s="10">
        <v>0</v>
      </c>
      <c r="E231" s="11">
        <v>0</v>
      </c>
      <c r="F231" s="12">
        <v>-6.9327731092436978E-2</v>
      </c>
      <c r="G231" s="13">
        <v>27.958148936307541</v>
      </c>
      <c r="H231" s="14">
        <v>20.37</v>
      </c>
      <c r="I231" s="15">
        <v>1</v>
      </c>
      <c r="J231" s="15">
        <v>1</v>
      </c>
      <c r="K231" s="16">
        <v>1</v>
      </c>
      <c r="L231" s="36">
        <v>6.31</v>
      </c>
    </row>
    <row r="232" spans="1:12" x14ac:dyDescent="0.45">
      <c r="A232" s="1" t="s">
        <v>241</v>
      </c>
      <c r="B232" s="2">
        <f>IF(OR(Table1[[#This Row],[M score]]=1,AND(Table1[[#This Row],[F score]]=1,Table1[[#This Row],[Z score]]=1)),1,0)</f>
        <v>0</v>
      </c>
      <c r="C232" s="17">
        <v>0</v>
      </c>
      <c r="D232" s="17">
        <v>0</v>
      </c>
      <c r="E232" s="18">
        <v>0</v>
      </c>
      <c r="F232" s="19">
        <v>-0.15056818181818182</v>
      </c>
      <c r="G232" s="6">
        <v>27.954341939730504</v>
      </c>
      <c r="H232" s="20">
        <v>25.6</v>
      </c>
      <c r="I232" s="21">
        <v>1</v>
      </c>
      <c r="J232" s="21">
        <v>0</v>
      </c>
      <c r="K232" s="22">
        <v>1</v>
      </c>
      <c r="L232" s="36">
        <v>4.0199999999999996</v>
      </c>
    </row>
    <row r="233" spans="1:12" x14ac:dyDescent="0.45">
      <c r="A233" s="9" t="s">
        <v>242</v>
      </c>
      <c r="B233" s="2">
        <f>IF(OR(Table1[[#This Row],[M score]]=1,AND(Table1[[#This Row],[F score]]=1,Table1[[#This Row],[Z score]]=1)),1,0)</f>
        <v>1</v>
      </c>
      <c r="C233" s="10">
        <v>0</v>
      </c>
      <c r="D233" s="10">
        <v>1</v>
      </c>
      <c r="E233" s="11">
        <v>1</v>
      </c>
      <c r="F233" s="12">
        <v>-1</v>
      </c>
      <c r="G233" s="13">
        <v>24.701791737241091</v>
      </c>
      <c r="H233" s="14">
        <v>13.92</v>
      </c>
      <c r="I233" s="15">
        <v>1</v>
      </c>
      <c r="J233" s="15">
        <v>0</v>
      </c>
      <c r="K233" s="16">
        <v>0</v>
      </c>
      <c r="L233" s="36">
        <v>0</v>
      </c>
    </row>
    <row r="234" spans="1:12" x14ac:dyDescent="0.45">
      <c r="A234" s="1" t="s">
        <v>243</v>
      </c>
      <c r="B234" s="2">
        <f>IF(OR(Table1[[#This Row],[M score]]=1,AND(Table1[[#This Row],[F score]]=1,Table1[[#This Row],[Z score]]=1)),1,0)</f>
        <v>0</v>
      </c>
      <c r="C234" s="17">
        <v>0</v>
      </c>
      <c r="D234" s="17">
        <v>0</v>
      </c>
      <c r="E234" s="18">
        <v>0</v>
      </c>
      <c r="F234" s="19">
        <v>0.3862359550561798</v>
      </c>
      <c r="G234" s="6">
        <v>27.76204932833495</v>
      </c>
      <c r="H234" s="20">
        <v>60.89</v>
      </c>
      <c r="I234" s="21">
        <v>1</v>
      </c>
      <c r="J234" s="21">
        <v>0</v>
      </c>
      <c r="K234" s="22">
        <v>1</v>
      </c>
      <c r="L234" s="36">
        <v>0.27</v>
      </c>
    </row>
    <row r="235" spans="1:12" x14ac:dyDescent="0.45">
      <c r="A235" s="9" t="s">
        <v>244</v>
      </c>
      <c r="B235" s="2">
        <f>IF(OR(Table1[[#This Row],[M score]]=1,AND(Table1[[#This Row],[F score]]=1,Table1[[#This Row],[Z score]]=1)),1,0)</f>
        <v>0</v>
      </c>
      <c r="C235" s="10">
        <v>0</v>
      </c>
      <c r="D235" s="10">
        <v>0</v>
      </c>
      <c r="E235" s="11">
        <v>0</v>
      </c>
      <c r="F235" s="12">
        <v>-0.14107258238208056</v>
      </c>
      <c r="G235" s="13">
        <v>30.889740600224858</v>
      </c>
      <c r="H235" s="14">
        <v>12.08</v>
      </c>
      <c r="I235" s="15">
        <v>1</v>
      </c>
      <c r="J235" s="15">
        <v>0</v>
      </c>
      <c r="K235" s="16">
        <v>1</v>
      </c>
      <c r="L235" s="36">
        <v>7.9</v>
      </c>
    </row>
    <row r="236" spans="1:12" x14ac:dyDescent="0.45">
      <c r="A236" s="1" t="s">
        <v>245</v>
      </c>
      <c r="B236" s="2">
        <f>IF(OR(Table1[[#This Row],[M score]]=1,AND(Table1[[#This Row],[F score]]=1,Table1[[#This Row],[Z score]]=1)),1,0)</f>
        <v>1</v>
      </c>
      <c r="C236" s="17">
        <v>0</v>
      </c>
      <c r="D236" s="17">
        <v>1</v>
      </c>
      <c r="E236" s="18">
        <v>1</v>
      </c>
      <c r="F236" s="19">
        <v>-0.24038461538461539</v>
      </c>
      <c r="G236" s="6">
        <v>25.546494096298055</v>
      </c>
      <c r="H236" s="20">
        <v>15.39</v>
      </c>
      <c r="I236" s="21">
        <v>0</v>
      </c>
      <c r="J236" s="21">
        <v>0</v>
      </c>
      <c r="K236" s="22">
        <v>1</v>
      </c>
      <c r="L236" s="36">
        <v>0.65</v>
      </c>
    </row>
    <row r="237" spans="1:12" x14ac:dyDescent="0.45">
      <c r="A237" s="9" t="s">
        <v>246</v>
      </c>
      <c r="B237" s="2">
        <f>IF(OR(Table1[[#This Row],[M score]]=1,AND(Table1[[#This Row],[F score]]=1,Table1[[#This Row],[Z score]]=1)),1,0)</f>
        <v>0</v>
      </c>
      <c r="C237" s="10">
        <v>0</v>
      </c>
      <c r="D237" s="10">
        <v>0</v>
      </c>
      <c r="E237" s="11">
        <v>0</v>
      </c>
      <c r="F237" s="12">
        <v>0.63890028723840786</v>
      </c>
      <c r="G237" s="13">
        <v>27.541078902776878</v>
      </c>
      <c r="H237" s="14">
        <v>22.26</v>
      </c>
      <c r="I237" s="15">
        <v>0</v>
      </c>
      <c r="J237" s="15">
        <v>0</v>
      </c>
      <c r="K237" s="16">
        <v>1</v>
      </c>
      <c r="L237" s="36">
        <v>11.19</v>
      </c>
    </row>
    <row r="238" spans="1:12" x14ac:dyDescent="0.45">
      <c r="A238" s="1" t="s">
        <v>247</v>
      </c>
      <c r="B238" s="2">
        <f>IF(OR(Table1[[#This Row],[M score]]=1,AND(Table1[[#This Row],[F score]]=1,Table1[[#This Row],[Z score]]=1)),1,0)</f>
        <v>0</v>
      </c>
      <c r="C238" s="17">
        <v>0</v>
      </c>
      <c r="D238" s="17">
        <v>0</v>
      </c>
      <c r="E238" s="18">
        <v>0</v>
      </c>
      <c r="F238" s="19">
        <v>-0.10360884749708964</v>
      </c>
      <c r="G238" s="6">
        <v>27.277451801668676</v>
      </c>
      <c r="H238" s="20">
        <v>28.94</v>
      </c>
      <c r="I238" s="21">
        <v>1</v>
      </c>
      <c r="J238" s="21">
        <v>1</v>
      </c>
      <c r="K238" s="22">
        <v>1</v>
      </c>
      <c r="L238" s="36">
        <v>6.67</v>
      </c>
    </row>
    <row r="239" spans="1:12" x14ac:dyDescent="0.45">
      <c r="A239" s="9" t="s">
        <v>248</v>
      </c>
      <c r="B239" s="2">
        <f>IF(OR(Table1[[#This Row],[M score]]=1,AND(Table1[[#This Row],[F score]]=1,Table1[[#This Row],[Z score]]=1)),1,0)</f>
        <v>0</v>
      </c>
      <c r="C239" s="10">
        <v>0</v>
      </c>
      <c r="D239" s="10">
        <v>0</v>
      </c>
      <c r="E239" s="11">
        <v>0</v>
      </c>
      <c r="F239" s="12">
        <v>-0.18735632183908046</v>
      </c>
      <c r="G239" s="13">
        <v>25.269425660000834</v>
      </c>
      <c r="H239" s="14">
        <v>38.380000000000003</v>
      </c>
      <c r="I239" s="15">
        <v>1</v>
      </c>
      <c r="J239" s="15">
        <v>0</v>
      </c>
      <c r="K239" s="16">
        <v>1</v>
      </c>
      <c r="L239" s="36">
        <v>-1.6</v>
      </c>
    </row>
    <row r="240" spans="1:12" x14ac:dyDescent="0.45">
      <c r="A240" s="1" t="s">
        <v>249</v>
      </c>
      <c r="B240" s="2">
        <f>IF(OR(Table1[[#This Row],[M score]]=1,AND(Table1[[#This Row],[F score]]=1,Table1[[#This Row],[Z score]]=1)),1,0)</f>
        <v>0</v>
      </c>
      <c r="C240" s="17">
        <v>0</v>
      </c>
      <c r="D240" s="17">
        <v>0</v>
      </c>
      <c r="E240" s="18">
        <v>0</v>
      </c>
      <c r="F240" s="19">
        <v>0.4102306920762287</v>
      </c>
      <c r="G240" s="6">
        <v>32.283074887815488</v>
      </c>
      <c r="H240" s="20">
        <v>3.44</v>
      </c>
      <c r="I240" s="21">
        <v>1</v>
      </c>
      <c r="J240" s="21">
        <v>0</v>
      </c>
      <c r="K240" s="22">
        <v>1</v>
      </c>
      <c r="L240" s="36">
        <v>7.21</v>
      </c>
    </row>
    <row r="241" spans="1:12" x14ac:dyDescent="0.45">
      <c r="A241" s="9" t="s">
        <v>250</v>
      </c>
      <c r="B241" s="2">
        <f>IF(OR(Table1[[#This Row],[M score]]=1,AND(Table1[[#This Row],[F score]]=1,Table1[[#This Row],[Z score]]=1)),1,0)</f>
        <v>0</v>
      </c>
      <c r="C241" s="10">
        <v>0</v>
      </c>
      <c r="D241" s="10">
        <v>1</v>
      </c>
      <c r="E241" s="11">
        <v>0</v>
      </c>
      <c r="F241" s="12">
        <v>0.92663316582914568</v>
      </c>
      <c r="G241" s="13">
        <v>30.733042058022438</v>
      </c>
      <c r="H241" s="14">
        <v>29.38</v>
      </c>
      <c r="I241" s="15">
        <v>1</v>
      </c>
      <c r="J241" s="15">
        <v>1</v>
      </c>
      <c r="K241" s="16">
        <v>1</v>
      </c>
      <c r="L241" s="36">
        <v>52.1</v>
      </c>
    </row>
    <row r="242" spans="1:12" x14ac:dyDescent="0.45">
      <c r="A242" s="1" t="s">
        <v>251</v>
      </c>
      <c r="B242" s="2">
        <f>IF(OR(Table1[[#This Row],[M score]]=1,AND(Table1[[#This Row],[F score]]=1,Table1[[#This Row],[Z score]]=1)),1,0)</f>
        <v>1</v>
      </c>
      <c r="C242" s="17">
        <v>0</v>
      </c>
      <c r="D242" s="17">
        <v>0</v>
      </c>
      <c r="E242" s="18">
        <v>1</v>
      </c>
      <c r="F242" s="19">
        <v>0.48354341736694678</v>
      </c>
      <c r="G242" s="6">
        <v>29.924782710539585</v>
      </c>
      <c r="H242" s="20">
        <v>25.25</v>
      </c>
      <c r="I242" s="21">
        <v>1</v>
      </c>
      <c r="J242" s="21">
        <v>0</v>
      </c>
      <c r="K242" s="22">
        <v>1</v>
      </c>
      <c r="L242" s="36">
        <v>35.83</v>
      </c>
    </row>
    <row r="243" spans="1:12" x14ac:dyDescent="0.45">
      <c r="A243" s="9" t="s">
        <v>252</v>
      </c>
      <c r="B243" s="2">
        <f>IF(OR(Table1[[#This Row],[M score]]=1,AND(Table1[[#This Row],[F score]]=1,Table1[[#This Row],[Z score]]=1)),1,0)</f>
        <v>0</v>
      </c>
      <c r="C243" s="10">
        <v>0</v>
      </c>
      <c r="D243" s="10">
        <v>1</v>
      </c>
      <c r="E243" s="11">
        <v>0</v>
      </c>
      <c r="F243" s="12">
        <v>-2.9177718832891247E-2</v>
      </c>
      <c r="G243" s="13">
        <v>27.902380495084081</v>
      </c>
      <c r="H243" s="14">
        <v>14.53</v>
      </c>
      <c r="I243" s="15">
        <v>0</v>
      </c>
      <c r="J243" s="15">
        <v>0</v>
      </c>
      <c r="K243" s="16">
        <v>0</v>
      </c>
      <c r="L243" s="36">
        <v>0.44</v>
      </c>
    </row>
    <row r="244" spans="1:12" x14ac:dyDescent="0.45">
      <c r="A244" s="1" t="s">
        <v>253</v>
      </c>
      <c r="B244" s="2">
        <f>IF(OR(Table1[[#This Row],[M score]]=1,AND(Table1[[#This Row],[F score]]=1,Table1[[#This Row],[Z score]]=1)),1,0)</f>
        <v>0</v>
      </c>
      <c r="C244" s="17">
        <v>0</v>
      </c>
      <c r="D244" s="17">
        <v>0</v>
      </c>
      <c r="E244" s="18">
        <v>0</v>
      </c>
      <c r="F244" s="19">
        <v>-2.3580786026200875</v>
      </c>
      <c r="G244" s="6">
        <v>27.42151937507484</v>
      </c>
      <c r="H244" s="20">
        <v>1.39</v>
      </c>
      <c r="I244" s="21">
        <v>1</v>
      </c>
      <c r="J244" s="21">
        <v>0</v>
      </c>
      <c r="K244" s="22">
        <v>1</v>
      </c>
      <c r="L244" s="36">
        <v>-19.53</v>
      </c>
    </row>
    <row r="245" spans="1:12" x14ac:dyDescent="0.45">
      <c r="A245" s="9" t="s">
        <v>254</v>
      </c>
      <c r="B245" s="2">
        <f>IF(OR(Table1[[#This Row],[M score]]=1,AND(Table1[[#This Row],[F score]]=1,Table1[[#This Row],[Z score]]=1)),1,0)</f>
        <v>0</v>
      </c>
      <c r="C245" s="10">
        <v>0</v>
      </c>
      <c r="D245" s="10">
        <v>0</v>
      </c>
      <c r="E245" s="11">
        <v>0</v>
      </c>
      <c r="F245" s="12">
        <v>-0.71241830065359479</v>
      </c>
      <c r="G245" s="13">
        <v>24.881523724912164</v>
      </c>
      <c r="H245" s="14">
        <v>15.65</v>
      </c>
      <c r="I245" s="15">
        <v>1</v>
      </c>
      <c r="J245" s="15">
        <v>0</v>
      </c>
      <c r="K245" s="16">
        <v>1</v>
      </c>
      <c r="L245" s="36">
        <v>-2.42</v>
      </c>
    </row>
    <row r="246" spans="1:12" x14ac:dyDescent="0.45">
      <c r="A246" s="1" t="s">
        <v>255</v>
      </c>
      <c r="B246" s="2">
        <f>IF(OR(Table1[[#This Row],[M score]]=1,AND(Table1[[#This Row],[F score]]=1,Table1[[#This Row],[Z score]]=1)),1,0)</f>
        <v>0</v>
      </c>
      <c r="C246" s="17">
        <v>0</v>
      </c>
      <c r="D246" s="17">
        <v>0</v>
      </c>
      <c r="E246" s="18">
        <v>0</v>
      </c>
      <c r="F246" s="19">
        <v>-0.95734208367514351</v>
      </c>
      <c r="G246" s="6">
        <v>27.742001226205282</v>
      </c>
      <c r="H246" s="20">
        <v>38.380000000000003</v>
      </c>
      <c r="I246" s="21">
        <v>1</v>
      </c>
      <c r="J246" s="21">
        <v>0</v>
      </c>
      <c r="K246" s="22">
        <v>1</v>
      </c>
      <c r="L246" s="36">
        <v>-8.23</v>
      </c>
    </row>
    <row r="247" spans="1:12" x14ac:dyDescent="0.45">
      <c r="A247" s="9" t="s">
        <v>256</v>
      </c>
      <c r="B247" s="2">
        <f>IF(OR(Table1[[#This Row],[M score]]=1,AND(Table1[[#This Row],[F score]]=1,Table1[[#This Row],[Z score]]=1)),1,0)</f>
        <v>0</v>
      </c>
      <c r="C247" s="10">
        <v>0</v>
      </c>
      <c r="D247" s="10">
        <v>1</v>
      </c>
      <c r="E247" s="11">
        <v>0</v>
      </c>
      <c r="F247" s="12">
        <v>-0.76766040181464679</v>
      </c>
      <c r="G247" s="13">
        <v>28.429503029413947</v>
      </c>
      <c r="H247" s="14">
        <v>24.79</v>
      </c>
      <c r="I247" s="15">
        <v>0</v>
      </c>
      <c r="J247" s="15">
        <v>0</v>
      </c>
      <c r="K247" s="16">
        <v>0</v>
      </c>
      <c r="L247" s="36">
        <v>12.91</v>
      </c>
    </row>
    <row r="248" spans="1:12" x14ac:dyDescent="0.45">
      <c r="A248" s="1" t="s">
        <v>257</v>
      </c>
      <c r="B248" s="2">
        <f>IF(OR(Table1[[#This Row],[M score]]=1,AND(Table1[[#This Row],[F score]]=1,Table1[[#This Row],[Z score]]=1)),1,0)</f>
        <v>0</v>
      </c>
      <c r="C248" s="17">
        <v>0</v>
      </c>
      <c r="D248" s="17">
        <v>0</v>
      </c>
      <c r="E248" s="18">
        <v>0</v>
      </c>
      <c r="F248" s="19">
        <v>16.7</v>
      </c>
      <c r="G248" s="6">
        <v>25.218621156927295</v>
      </c>
      <c r="H248" s="20">
        <v>6.13</v>
      </c>
      <c r="I248" s="21">
        <v>0</v>
      </c>
      <c r="J248" s="21">
        <v>0</v>
      </c>
      <c r="K248" s="22">
        <v>1</v>
      </c>
      <c r="L248" s="36">
        <v>0.72</v>
      </c>
    </row>
    <row r="249" spans="1:12" x14ac:dyDescent="0.45">
      <c r="A249" s="9" t="s">
        <v>258</v>
      </c>
      <c r="B249" s="2">
        <f>IF(OR(Table1[[#This Row],[M score]]=1,AND(Table1[[#This Row],[F score]]=1,Table1[[#This Row],[Z score]]=1)),1,0)</f>
        <v>0</v>
      </c>
      <c r="C249" s="10">
        <v>0</v>
      </c>
      <c r="D249" s="10">
        <v>0</v>
      </c>
      <c r="E249" s="11">
        <v>0</v>
      </c>
      <c r="F249" s="12">
        <v>-0.21664626682986537</v>
      </c>
      <c r="G249" s="13">
        <v>26.358583248229021</v>
      </c>
      <c r="H249" s="14">
        <v>13.1</v>
      </c>
      <c r="I249" s="15">
        <v>1</v>
      </c>
      <c r="J249" s="15">
        <v>0</v>
      </c>
      <c r="K249" s="16">
        <v>1</v>
      </c>
      <c r="L249" s="36">
        <v>4.91</v>
      </c>
    </row>
    <row r="250" spans="1:12" x14ac:dyDescent="0.45">
      <c r="A250" s="1" t="s">
        <v>259</v>
      </c>
      <c r="B250" s="2">
        <f>IF(OR(Table1[[#This Row],[M score]]=1,AND(Table1[[#This Row],[F score]]=1,Table1[[#This Row],[Z score]]=1)),1,0)</f>
        <v>1</v>
      </c>
      <c r="C250" s="17">
        <v>0</v>
      </c>
      <c r="D250" s="17">
        <v>1</v>
      </c>
      <c r="E250" s="18">
        <v>1</v>
      </c>
      <c r="F250" s="19">
        <v>-0.95481220657276999</v>
      </c>
      <c r="G250" s="6">
        <v>25.890289305810118</v>
      </c>
      <c r="H250" s="20">
        <v>21.58</v>
      </c>
      <c r="I250" s="21">
        <v>0</v>
      </c>
      <c r="J250" s="21">
        <v>0</v>
      </c>
      <c r="K250" s="22">
        <v>1</v>
      </c>
      <c r="L250" s="36">
        <v>-3.31</v>
      </c>
    </row>
    <row r="251" spans="1:12" x14ac:dyDescent="0.45">
      <c r="A251" s="9" t="s">
        <v>260</v>
      </c>
      <c r="B251" s="2">
        <f>IF(OR(Table1[[#This Row],[M score]]=1,AND(Table1[[#This Row],[F score]]=1,Table1[[#This Row],[Z score]]=1)),1,0)</f>
        <v>0</v>
      </c>
      <c r="C251" s="10">
        <v>0</v>
      </c>
      <c r="D251" s="10">
        <v>0</v>
      </c>
      <c r="E251" s="11">
        <v>0</v>
      </c>
      <c r="F251" s="12">
        <v>0.54838709677419351</v>
      </c>
      <c r="G251" s="13">
        <v>25.849369185195894</v>
      </c>
      <c r="H251" s="14">
        <v>17.600000000000001</v>
      </c>
      <c r="I251" s="15">
        <v>1</v>
      </c>
      <c r="J251" s="15">
        <v>0</v>
      </c>
      <c r="K251" s="16">
        <v>1</v>
      </c>
      <c r="L251" s="36">
        <v>7.41</v>
      </c>
    </row>
    <row r="252" spans="1:12" x14ac:dyDescent="0.45">
      <c r="A252" s="1" t="s">
        <v>261</v>
      </c>
      <c r="B252" s="2">
        <f>IF(OR(Table1[[#This Row],[M score]]=1,AND(Table1[[#This Row],[F score]]=1,Table1[[#This Row],[Z score]]=1)),1,0)</f>
        <v>1</v>
      </c>
      <c r="C252" s="17">
        <v>0</v>
      </c>
      <c r="D252" s="17">
        <v>1</v>
      </c>
      <c r="E252" s="18">
        <v>1</v>
      </c>
      <c r="F252" s="19">
        <v>7.1986143187066975</v>
      </c>
      <c r="G252" s="6">
        <v>29.142720229422832</v>
      </c>
      <c r="H252" s="20">
        <v>36.17</v>
      </c>
      <c r="I252" s="21">
        <v>1</v>
      </c>
      <c r="J252" s="21">
        <v>0</v>
      </c>
      <c r="K252" s="22">
        <v>1</v>
      </c>
      <c r="L252" s="36">
        <v>29.26</v>
      </c>
    </row>
    <row r="253" spans="1:12" x14ac:dyDescent="0.45">
      <c r="A253" s="9" t="s">
        <v>262</v>
      </c>
      <c r="B253" s="2">
        <f>IF(OR(Table1[[#This Row],[M score]]=1,AND(Table1[[#This Row],[F score]]=1,Table1[[#This Row],[Z score]]=1)),1,0)</f>
        <v>0</v>
      </c>
      <c r="C253" s="10">
        <v>0</v>
      </c>
      <c r="D253" s="10">
        <v>1</v>
      </c>
      <c r="E253" s="11">
        <v>0</v>
      </c>
      <c r="F253" s="12">
        <v>0.84501845018450183</v>
      </c>
      <c r="G253" s="13">
        <v>29.943555634379312</v>
      </c>
      <c r="H253" s="14">
        <v>31.92</v>
      </c>
      <c r="I253" s="15">
        <v>1</v>
      </c>
      <c r="J253" s="15">
        <v>1</v>
      </c>
      <c r="K253" s="16">
        <v>1</v>
      </c>
      <c r="L253" s="36">
        <v>13.58</v>
      </c>
    </row>
    <row r="254" spans="1:12" x14ac:dyDescent="0.45">
      <c r="A254" s="1" t="s">
        <v>263</v>
      </c>
      <c r="B254" s="2">
        <f>IF(OR(Table1[[#This Row],[M score]]=1,AND(Table1[[#This Row],[F score]]=1,Table1[[#This Row],[Z score]]=1)),1,0)</f>
        <v>0</v>
      </c>
      <c r="C254" s="17">
        <v>0</v>
      </c>
      <c r="D254" s="17">
        <v>0</v>
      </c>
      <c r="E254" s="18">
        <v>0</v>
      </c>
      <c r="F254" s="19">
        <v>0.37729610580455547</v>
      </c>
      <c r="G254" s="6">
        <v>27.321111775874538</v>
      </c>
      <c r="H254" s="20">
        <v>35.090000000000003</v>
      </c>
      <c r="I254" s="21">
        <v>0</v>
      </c>
      <c r="J254" s="21">
        <v>1</v>
      </c>
      <c r="K254" s="22">
        <v>1</v>
      </c>
      <c r="L254" s="36">
        <v>25.77</v>
      </c>
    </row>
    <row r="255" spans="1:12" x14ac:dyDescent="0.45">
      <c r="A255" s="9" t="s">
        <v>264</v>
      </c>
      <c r="B255" s="2">
        <f>IF(OR(Table1[[#This Row],[M score]]=1,AND(Table1[[#This Row],[F score]]=1,Table1[[#This Row],[Z score]]=1)),1,0)</f>
        <v>0</v>
      </c>
      <c r="C255" s="10">
        <v>0</v>
      </c>
      <c r="D255" s="10">
        <v>0</v>
      </c>
      <c r="E255" s="11">
        <v>0</v>
      </c>
      <c r="F255" s="12">
        <v>5.4016620498614956E-2</v>
      </c>
      <c r="G255" s="13">
        <v>27.075693923805982</v>
      </c>
      <c r="H255" s="14">
        <v>23.45</v>
      </c>
      <c r="I255" s="15">
        <v>0</v>
      </c>
      <c r="J255" s="15">
        <v>0</v>
      </c>
      <c r="K255" s="16">
        <v>1</v>
      </c>
      <c r="L255" s="36">
        <v>3.42</v>
      </c>
    </row>
    <row r="256" spans="1:12" x14ac:dyDescent="0.45">
      <c r="A256" s="1" t="s">
        <v>265</v>
      </c>
      <c r="B256" s="2">
        <f>IF(OR(Table1[[#This Row],[M score]]=1,AND(Table1[[#This Row],[F score]]=1,Table1[[#This Row],[Z score]]=1)),1,0)</f>
        <v>0</v>
      </c>
      <c r="C256" s="17">
        <v>0</v>
      </c>
      <c r="D256" s="17">
        <v>0</v>
      </c>
      <c r="E256" s="18">
        <v>0</v>
      </c>
      <c r="F256" s="19">
        <v>-1.3078589108910892</v>
      </c>
      <c r="G256" s="6">
        <v>26.212203563103099</v>
      </c>
      <c r="H256" s="20">
        <v>3.7</v>
      </c>
      <c r="I256" s="21">
        <v>0</v>
      </c>
      <c r="J256" s="21">
        <v>0</v>
      </c>
      <c r="K256" s="22">
        <v>1</v>
      </c>
      <c r="L256" s="36">
        <v>-9.65</v>
      </c>
    </row>
    <row r="257" spans="1:12" x14ac:dyDescent="0.45">
      <c r="A257" s="9" t="s">
        <v>266</v>
      </c>
      <c r="B257" s="2">
        <f>IF(OR(Table1[[#This Row],[M score]]=1,AND(Table1[[#This Row],[F score]]=1,Table1[[#This Row],[Z score]]=1)),1,0)</f>
        <v>1</v>
      </c>
      <c r="C257" s="10">
        <v>0</v>
      </c>
      <c r="D257" s="10">
        <v>0</v>
      </c>
      <c r="E257" s="11">
        <v>1</v>
      </c>
      <c r="F257" s="12">
        <v>0.11469933184855234</v>
      </c>
      <c r="G257" s="13">
        <v>28.530703692742669</v>
      </c>
      <c r="H257" s="14">
        <v>15.91</v>
      </c>
      <c r="I257" s="15">
        <v>1</v>
      </c>
      <c r="J257" s="15">
        <v>0</v>
      </c>
      <c r="K257" s="16">
        <v>1</v>
      </c>
      <c r="L257" s="36">
        <v>3.97</v>
      </c>
    </row>
    <row r="258" spans="1:12" x14ac:dyDescent="0.45">
      <c r="A258" s="1" t="s">
        <v>267</v>
      </c>
      <c r="B258" s="2">
        <f>IF(OR(Table1[[#This Row],[M score]]=1,AND(Table1[[#This Row],[F score]]=1,Table1[[#This Row],[Z score]]=1)),1,0)</f>
        <v>0</v>
      </c>
      <c r="C258" s="17">
        <v>0</v>
      </c>
      <c r="D258" s="17">
        <v>1</v>
      </c>
      <c r="E258" s="18">
        <v>0</v>
      </c>
      <c r="F258" s="19">
        <v>1.0283018867924529</v>
      </c>
      <c r="G258" s="6">
        <v>24.538012455250882</v>
      </c>
      <c r="H258" s="20">
        <v>46.26</v>
      </c>
      <c r="I258" s="21">
        <v>0</v>
      </c>
      <c r="J258" s="21">
        <v>0</v>
      </c>
      <c r="K258" s="22">
        <v>1</v>
      </c>
      <c r="L258" s="36">
        <v>-78.36</v>
      </c>
    </row>
    <row r="259" spans="1:12" x14ac:dyDescent="0.45">
      <c r="A259" s="9" t="s">
        <v>268</v>
      </c>
      <c r="B259" s="2">
        <f>IF(OR(Table1[[#This Row],[M score]]=1,AND(Table1[[#This Row],[F score]]=1,Table1[[#This Row],[Z score]]=1)),1,0)</f>
        <v>0</v>
      </c>
      <c r="C259" s="10">
        <v>0</v>
      </c>
      <c r="D259" s="10">
        <v>1</v>
      </c>
      <c r="E259" s="11">
        <v>0</v>
      </c>
      <c r="F259" s="12">
        <v>1.553648068669528</v>
      </c>
      <c r="G259" s="13">
        <v>27.590983404715221</v>
      </c>
      <c r="H259" s="14">
        <v>61.9</v>
      </c>
      <c r="I259" s="15">
        <v>1</v>
      </c>
      <c r="J259" s="15">
        <v>0</v>
      </c>
      <c r="K259" s="16">
        <v>1</v>
      </c>
      <c r="L259" s="36">
        <v>10.08</v>
      </c>
    </row>
    <row r="260" spans="1:12" x14ac:dyDescent="0.45">
      <c r="A260" s="1" t="s">
        <v>269</v>
      </c>
      <c r="B260" s="2">
        <f>IF(OR(Table1[[#This Row],[M score]]=1,AND(Table1[[#This Row],[F score]]=1,Table1[[#This Row],[Z score]]=1)),1,0)</f>
        <v>1</v>
      </c>
      <c r="C260" s="17">
        <v>1</v>
      </c>
      <c r="D260" s="17">
        <v>1</v>
      </c>
      <c r="E260" s="18">
        <v>0</v>
      </c>
      <c r="F260" s="19">
        <v>7.6424418604651159</v>
      </c>
      <c r="G260" s="6">
        <v>29.317387587489762</v>
      </c>
      <c r="H260" s="20">
        <v>1.66</v>
      </c>
      <c r="I260" s="21">
        <v>1</v>
      </c>
      <c r="J260" s="21">
        <v>0</v>
      </c>
      <c r="K260" s="22">
        <v>1</v>
      </c>
      <c r="L260" s="36">
        <v>240.68</v>
      </c>
    </row>
    <row r="261" spans="1:12" x14ac:dyDescent="0.45">
      <c r="A261" s="9" t="s">
        <v>270</v>
      </c>
      <c r="B261" s="2">
        <f>IF(OR(Table1[[#This Row],[M score]]=1,AND(Table1[[#This Row],[F score]]=1,Table1[[#This Row],[Z score]]=1)),1,0)</f>
        <v>0</v>
      </c>
      <c r="C261" s="10">
        <v>0</v>
      </c>
      <c r="D261" s="10">
        <v>1</v>
      </c>
      <c r="E261" s="11">
        <v>0</v>
      </c>
      <c r="F261" s="12">
        <v>0.2300194931773879</v>
      </c>
      <c r="G261" s="13">
        <v>29.509148475763688</v>
      </c>
      <c r="H261" s="14">
        <v>45.29</v>
      </c>
      <c r="I261" s="15">
        <v>1</v>
      </c>
      <c r="J261" s="15">
        <v>0</v>
      </c>
      <c r="K261" s="16">
        <v>1</v>
      </c>
      <c r="L261" s="36">
        <v>15.65</v>
      </c>
    </row>
    <row r="262" spans="1:12" x14ac:dyDescent="0.45">
      <c r="A262" s="1" t="s">
        <v>271</v>
      </c>
      <c r="B262" s="2">
        <f>IF(OR(Table1[[#This Row],[M score]]=1,AND(Table1[[#This Row],[F score]]=1,Table1[[#This Row],[Z score]]=1)),1,0)</f>
        <v>0</v>
      </c>
      <c r="C262" s="17">
        <v>0</v>
      </c>
      <c r="D262" s="17">
        <v>0</v>
      </c>
      <c r="E262" s="18">
        <v>0</v>
      </c>
      <c r="F262" s="19">
        <v>15.285714285714286</v>
      </c>
      <c r="G262" s="6">
        <v>26.839218773825429</v>
      </c>
      <c r="H262" s="20">
        <v>21.92</v>
      </c>
      <c r="I262" s="21">
        <v>1</v>
      </c>
      <c r="J262" s="21">
        <v>1</v>
      </c>
      <c r="K262" s="22">
        <v>1</v>
      </c>
      <c r="L262" s="36">
        <v>-7.52</v>
      </c>
    </row>
    <row r="263" spans="1:12" x14ac:dyDescent="0.45">
      <c r="A263" s="9" t="s">
        <v>272</v>
      </c>
      <c r="B263" s="2">
        <f>IF(OR(Table1[[#This Row],[M score]]=1,AND(Table1[[#This Row],[F score]]=1,Table1[[#This Row],[Z score]]=1)),1,0)</f>
        <v>1</v>
      </c>
      <c r="C263" s="10">
        <v>0</v>
      </c>
      <c r="D263" s="10">
        <v>1</v>
      </c>
      <c r="E263" s="11">
        <v>1</v>
      </c>
      <c r="F263" s="12">
        <v>-0.34561752988047811</v>
      </c>
      <c r="G263" s="13">
        <v>25.871922428940042</v>
      </c>
      <c r="H263" s="14">
        <v>38.47</v>
      </c>
      <c r="I263" s="15">
        <v>0</v>
      </c>
      <c r="J263" s="15">
        <v>1</v>
      </c>
      <c r="K263" s="16">
        <v>1</v>
      </c>
      <c r="L263" s="36">
        <v>4.8099999999999996</v>
      </c>
    </row>
    <row r="264" spans="1:12" x14ac:dyDescent="0.45">
      <c r="A264" s="1" t="s">
        <v>273</v>
      </c>
      <c r="B264" s="2">
        <f>IF(OR(Table1[[#This Row],[M score]]=1,AND(Table1[[#This Row],[F score]]=1,Table1[[#This Row],[Z score]]=1)),1,0)</f>
        <v>0</v>
      </c>
      <c r="C264" s="17">
        <v>0</v>
      </c>
      <c r="D264" s="17">
        <v>0</v>
      </c>
      <c r="E264" s="18">
        <v>0</v>
      </c>
      <c r="F264" s="19">
        <v>0.34681496461071792</v>
      </c>
      <c r="G264" s="6">
        <v>25.416913293310568</v>
      </c>
      <c r="H264" s="20">
        <v>23.1</v>
      </c>
      <c r="I264" s="21">
        <v>0</v>
      </c>
      <c r="J264" s="21">
        <v>0</v>
      </c>
      <c r="K264" s="22">
        <v>0</v>
      </c>
      <c r="L264" s="36">
        <v>5.76</v>
      </c>
    </row>
    <row r="265" spans="1:12" x14ac:dyDescent="0.45">
      <c r="A265" s="9" t="s">
        <v>274</v>
      </c>
      <c r="B265" s="2">
        <f>IF(OR(Table1[[#This Row],[M score]]=1,AND(Table1[[#This Row],[F score]]=1,Table1[[#This Row],[Z score]]=1)),1,0)</f>
        <v>0</v>
      </c>
      <c r="C265" s="10">
        <v>0</v>
      </c>
      <c r="D265" s="10">
        <v>1</v>
      </c>
      <c r="E265" s="11">
        <v>0</v>
      </c>
      <c r="F265" s="12">
        <v>-4.3975373790677225E-3</v>
      </c>
      <c r="G265" s="13">
        <v>23.973640309494137</v>
      </c>
      <c r="H265" s="14">
        <v>44.06</v>
      </c>
      <c r="I265" s="15">
        <v>0</v>
      </c>
      <c r="J265" s="15">
        <v>0</v>
      </c>
      <c r="K265" s="16">
        <v>0</v>
      </c>
      <c r="L265" s="36">
        <v>-67.56</v>
      </c>
    </row>
    <row r="266" spans="1:12" x14ac:dyDescent="0.45">
      <c r="A266" s="1" t="s">
        <v>275</v>
      </c>
      <c r="B266" s="2">
        <f>IF(OR(Table1[[#This Row],[M score]]=1,AND(Table1[[#This Row],[F score]]=1,Table1[[#This Row],[Z score]]=1)),1,0)</f>
        <v>1</v>
      </c>
      <c r="C266" s="17">
        <v>0</v>
      </c>
      <c r="D266" s="17">
        <v>0</v>
      </c>
      <c r="E266" s="18">
        <v>1</v>
      </c>
      <c r="F266" s="19">
        <v>-6.5758980301274625E-2</v>
      </c>
      <c r="G266" s="6">
        <v>26.625841424418219</v>
      </c>
      <c r="H266" s="20">
        <v>43.21</v>
      </c>
      <c r="I266" s="21">
        <v>1</v>
      </c>
      <c r="J266" s="21">
        <v>0</v>
      </c>
      <c r="K266" s="22">
        <v>1</v>
      </c>
      <c r="L266" s="36">
        <v>1.73</v>
      </c>
    </row>
    <row r="267" spans="1:12" x14ac:dyDescent="0.45">
      <c r="A267" s="9" t="s">
        <v>276</v>
      </c>
      <c r="B267" s="2">
        <f>IF(OR(Table1[[#This Row],[M score]]=1,AND(Table1[[#This Row],[F score]]=1,Table1[[#This Row],[Z score]]=1)),1,0)</f>
        <v>1</v>
      </c>
      <c r="C267" s="10">
        <v>1</v>
      </c>
      <c r="D267" s="10">
        <v>1</v>
      </c>
      <c r="E267" s="11">
        <v>1</v>
      </c>
      <c r="F267" s="12">
        <v>1.3404255319148937</v>
      </c>
      <c r="G267" s="13">
        <v>27.87043093061547</v>
      </c>
      <c r="H267" s="14">
        <v>64.430000000000007</v>
      </c>
      <c r="I267" s="15">
        <v>1</v>
      </c>
      <c r="J267" s="15">
        <v>0</v>
      </c>
      <c r="K267" s="16">
        <v>1</v>
      </c>
      <c r="L267" s="36">
        <v>58.79</v>
      </c>
    </row>
    <row r="268" spans="1:12" x14ac:dyDescent="0.45">
      <c r="A268" s="1" t="s">
        <v>277</v>
      </c>
      <c r="B268" s="2">
        <f>IF(OR(Table1[[#This Row],[M score]]=1,AND(Table1[[#This Row],[F score]]=1,Table1[[#This Row],[Z score]]=1)),1,0)</f>
        <v>0</v>
      </c>
      <c r="C268" s="17">
        <v>0</v>
      </c>
      <c r="D268" s="17">
        <v>0</v>
      </c>
      <c r="E268" s="18">
        <v>0</v>
      </c>
      <c r="F268" s="19">
        <v>1.9607843137254902E-2</v>
      </c>
      <c r="G268" s="6">
        <v>26.489741344311</v>
      </c>
      <c r="H268" s="20">
        <v>49.48</v>
      </c>
      <c r="I268" s="21">
        <v>1</v>
      </c>
      <c r="J268" s="21">
        <v>0</v>
      </c>
      <c r="K268" s="22">
        <v>0</v>
      </c>
      <c r="L268" s="36">
        <v>1.35</v>
      </c>
    </row>
    <row r="269" spans="1:12" x14ac:dyDescent="0.45">
      <c r="A269" s="9" t="s">
        <v>278</v>
      </c>
      <c r="B269" s="2">
        <f>IF(OR(Table1[[#This Row],[M score]]=1,AND(Table1[[#This Row],[F score]]=1,Table1[[#This Row],[Z score]]=1)),1,0)</f>
        <v>0</v>
      </c>
      <c r="C269" s="10">
        <v>0</v>
      </c>
      <c r="D269" s="10">
        <v>0</v>
      </c>
      <c r="E269" s="11">
        <v>0</v>
      </c>
      <c r="F269" s="12">
        <v>0.45934379457917263</v>
      </c>
      <c r="G269" s="13">
        <v>26.129809101071697</v>
      </c>
      <c r="H269" s="14">
        <v>3.71</v>
      </c>
      <c r="I269" s="15">
        <v>1</v>
      </c>
      <c r="J269" s="15">
        <v>0</v>
      </c>
      <c r="K269" s="16">
        <v>1</v>
      </c>
      <c r="L269" s="36">
        <v>10.96</v>
      </c>
    </row>
    <row r="270" spans="1:12" x14ac:dyDescent="0.45">
      <c r="A270" s="1" t="s">
        <v>279</v>
      </c>
      <c r="B270" s="2">
        <f>IF(OR(Table1[[#This Row],[M score]]=1,AND(Table1[[#This Row],[F score]]=1,Table1[[#This Row],[Z score]]=1)),1,0)</f>
        <v>0</v>
      </c>
      <c r="C270" s="17">
        <v>0</v>
      </c>
      <c r="D270" s="17">
        <v>0</v>
      </c>
      <c r="E270" s="18">
        <v>0</v>
      </c>
      <c r="F270" s="19">
        <v>0.7637314734088928</v>
      </c>
      <c r="G270" s="6">
        <v>29.251891926006991</v>
      </c>
      <c r="H270" s="20">
        <v>10.11</v>
      </c>
      <c r="I270" s="21">
        <v>1</v>
      </c>
      <c r="J270" s="21">
        <v>0</v>
      </c>
      <c r="K270" s="22">
        <v>1</v>
      </c>
      <c r="L270" s="36">
        <v>6.9</v>
      </c>
    </row>
    <row r="271" spans="1:12" x14ac:dyDescent="0.45">
      <c r="A271" s="9" t="s">
        <v>280</v>
      </c>
      <c r="B271" s="2">
        <f>IF(OR(Table1[[#This Row],[M score]]=1,AND(Table1[[#This Row],[F score]]=1,Table1[[#This Row],[Z score]]=1)),1,0)</f>
        <v>1</v>
      </c>
      <c r="C271" s="10">
        <v>0</v>
      </c>
      <c r="D271" s="10">
        <v>0</v>
      </c>
      <c r="E271" s="11">
        <v>1</v>
      </c>
      <c r="F271" s="12">
        <v>-0.42691337258200168</v>
      </c>
      <c r="G271" s="13">
        <v>27.693995915089936</v>
      </c>
      <c r="H271" s="14">
        <v>43.22</v>
      </c>
      <c r="I271" s="15">
        <v>0</v>
      </c>
      <c r="J271" s="15">
        <v>0</v>
      </c>
      <c r="K271" s="16">
        <v>1</v>
      </c>
      <c r="L271" s="36">
        <v>4.8</v>
      </c>
    </row>
    <row r="272" spans="1:12" x14ac:dyDescent="0.45">
      <c r="A272" s="1" t="s">
        <v>281</v>
      </c>
      <c r="B272" s="2">
        <f>IF(OR(Table1[[#This Row],[M score]]=1,AND(Table1[[#This Row],[F score]]=1,Table1[[#This Row],[Z score]]=1)),1,0)</f>
        <v>0</v>
      </c>
      <c r="C272" s="17">
        <v>0</v>
      </c>
      <c r="D272" s="17">
        <v>1</v>
      </c>
      <c r="E272" s="18">
        <v>0</v>
      </c>
      <c r="F272" s="19">
        <v>-0.23615916955017302</v>
      </c>
      <c r="G272" s="6">
        <v>29.525836953805356</v>
      </c>
      <c r="H272" s="20">
        <v>52.55</v>
      </c>
      <c r="I272" s="21">
        <v>0</v>
      </c>
      <c r="J272" s="21">
        <v>1</v>
      </c>
      <c r="K272" s="22">
        <v>1</v>
      </c>
      <c r="L272" s="36">
        <v>-35.64</v>
      </c>
    </row>
    <row r="273" spans="1:12" x14ac:dyDescent="0.45">
      <c r="A273" s="9" t="s">
        <v>282</v>
      </c>
      <c r="B273" s="2">
        <f>IF(OR(Table1[[#This Row],[M score]]=1,AND(Table1[[#This Row],[F score]]=1,Table1[[#This Row],[Z score]]=1)),1,0)</f>
        <v>0</v>
      </c>
      <c r="C273" s="10">
        <v>0</v>
      </c>
      <c r="D273" s="10">
        <v>0</v>
      </c>
      <c r="E273" s="11">
        <v>0</v>
      </c>
      <c r="F273" s="12">
        <v>-0.40840840840840842</v>
      </c>
      <c r="G273" s="13">
        <v>26.595946848064425</v>
      </c>
      <c r="H273" s="14">
        <v>26.12</v>
      </c>
      <c r="I273" s="15">
        <v>0</v>
      </c>
      <c r="J273" s="15">
        <v>0</v>
      </c>
      <c r="K273" s="16">
        <v>1</v>
      </c>
      <c r="L273" s="36">
        <v>-0.73</v>
      </c>
    </row>
    <row r="274" spans="1:12" x14ac:dyDescent="0.45">
      <c r="A274" s="1" t="s">
        <v>283</v>
      </c>
      <c r="B274" s="2">
        <f>IF(OR(Table1[[#This Row],[M score]]=1,AND(Table1[[#This Row],[F score]]=1,Table1[[#This Row],[Z score]]=1)),1,0)</f>
        <v>0</v>
      </c>
      <c r="C274" s="17">
        <v>0</v>
      </c>
      <c r="D274" s="17">
        <v>0</v>
      </c>
      <c r="E274" s="18">
        <v>0</v>
      </c>
      <c r="F274" s="19">
        <v>-1.334020618556701</v>
      </c>
      <c r="G274" s="6">
        <v>26.609338354011104</v>
      </c>
      <c r="H274" s="20">
        <v>6.34</v>
      </c>
      <c r="I274" s="21">
        <v>1</v>
      </c>
      <c r="J274" s="21">
        <v>1</v>
      </c>
      <c r="K274" s="22">
        <v>1</v>
      </c>
      <c r="L274" s="36">
        <v>2.71</v>
      </c>
    </row>
    <row r="275" spans="1:12" x14ac:dyDescent="0.45">
      <c r="A275" s="9" t="s">
        <v>284</v>
      </c>
      <c r="B275" s="2">
        <f>IF(OR(Table1[[#This Row],[M score]]=1,AND(Table1[[#This Row],[F score]]=1,Table1[[#This Row],[Z score]]=1)),1,0)</f>
        <v>0</v>
      </c>
      <c r="C275" s="10">
        <v>0</v>
      </c>
      <c r="D275" s="10">
        <v>0</v>
      </c>
      <c r="E275" s="11">
        <v>0</v>
      </c>
      <c r="F275" s="12">
        <v>0.23660346248969497</v>
      </c>
      <c r="G275" s="13">
        <v>25.673528356676666</v>
      </c>
      <c r="H275" s="14">
        <v>8.93</v>
      </c>
      <c r="I275" s="15">
        <v>0</v>
      </c>
      <c r="J275" s="15">
        <v>0</v>
      </c>
      <c r="K275" s="16">
        <v>1</v>
      </c>
      <c r="L275" s="36">
        <v>12.88</v>
      </c>
    </row>
    <row r="276" spans="1:12" x14ac:dyDescent="0.45">
      <c r="A276" s="1" t="s">
        <v>285</v>
      </c>
      <c r="B276" s="2">
        <f>IF(OR(Table1[[#This Row],[M score]]=1,AND(Table1[[#This Row],[F score]]=1,Table1[[#This Row],[Z score]]=1)),1,0)</f>
        <v>0</v>
      </c>
      <c r="C276" s="17">
        <v>0</v>
      </c>
      <c r="D276" s="17">
        <v>0</v>
      </c>
      <c r="E276" s="18">
        <v>0</v>
      </c>
      <c r="F276" s="19">
        <v>0.1291645310097386</v>
      </c>
      <c r="G276" s="6">
        <v>32.942414115431916</v>
      </c>
      <c r="H276" s="20">
        <v>35.74</v>
      </c>
      <c r="I276" s="21">
        <v>1</v>
      </c>
      <c r="J276" s="21">
        <v>1</v>
      </c>
      <c r="K276" s="22">
        <v>1</v>
      </c>
      <c r="L276" s="36">
        <v>14.46</v>
      </c>
    </row>
    <row r="277" spans="1:12" x14ac:dyDescent="0.45">
      <c r="A277" s="9" t="s">
        <v>286</v>
      </c>
      <c r="B277" s="2">
        <f>IF(OR(Table1[[#This Row],[M score]]=1,AND(Table1[[#This Row],[F score]]=1,Table1[[#This Row],[Z score]]=1)),1,0)</f>
        <v>1</v>
      </c>
      <c r="C277" s="10">
        <v>1</v>
      </c>
      <c r="D277" s="10">
        <v>1</v>
      </c>
      <c r="E277" s="11">
        <v>0</v>
      </c>
      <c r="F277" s="12">
        <v>-0.81142339075249315</v>
      </c>
      <c r="G277" s="13">
        <v>28.124497101359427</v>
      </c>
      <c r="H277" s="14">
        <v>0.83</v>
      </c>
      <c r="I277" s="15">
        <v>0</v>
      </c>
      <c r="J277" s="15">
        <v>0</v>
      </c>
      <c r="K277" s="16">
        <v>1</v>
      </c>
      <c r="L277" s="36">
        <v>2.74</v>
      </c>
    </row>
    <row r="278" spans="1:12" x14ac:dyDescent="0.45">
      <c r="A278" s="1" t="s">
        <v>287</v>
      </c>
      <c r="B278" s="2">
        <f>IF(OR(Table1[[#This Row],[M score]]=1,AND(Table1[[#This Row],[F score]]=1,Table1[[#This Row],[Z score]]=1)),1,0)</f>
        <v>0</v>
      </c>
      <c r="C278" s="17">
        <v>0</v>
      </c>
      <c r="D278" s="17">
        <v>0</v>
      </c>
      <c r="E278" s="18">
        <v>0</v>
      </c>
      <c r="F278" s="19">
        <v>0.46198406951484433</v>
      </c>
      <c r="G278" s="6">
        <v>28.084124695421266</v>
      </c>
      <c r="H278" s="20">
        <v>38.840000000000003</v>
      </c>
      <c r="I278" s="21">
        <v>0</v>
      </c>
      <c r="J278" s="21">
        <v>0</v>
      </c>
      <c r="K278" s="22">
        <v>1</v>
      </c>
      <c r="L278" s="36">
        <v>5.45</v>
      </c>
    </row>
    <row r="279" spans="1:12" x14ac:dyDescent="0.45">
      <c r="A279" s="9" t="s">
        <v>288</v>
      </c>
      <c r="B279" s="2">
        <f>IF(OR(Table1[[#This Row],[M score]]=1,AND(Table1[[#This Row],[F score]]=1,Table1[[#This Row],[Z score]]=1)),1,0)</f>
        <v>1</v>
      </c>
      <c r="C279" s="10">
        <v>0</v>
      </c>
      <c r="D279" s="10">
        <v>1</v>
      </c>
      <c r="E279" s="11">
        <v>1</v>
      </c>
      <c r="F279" s="12">
        <v>1.1111111111111112</v>
      </c>
      <c r="G279" s="13">
        <v>28.00946384532762</v>
      </c>
      <c r="H279" s="14">
        <v>20.5</v>
      </c>
      <c r="I279" s="15">
        <v>1</v>
      </c>
      <c r="J279" s="15">
        <v>0</v>
      </c>
      <c r="K279" s="16">
        <v>1</v>
      </c>
      <c r="L279" s="36">
        <v>-2.2200000000000002</v>
      </c>
    </row>
    <row r="280" spans="1:12" x14ac:dyDescent="0.45">
      <c r="A280" s="1" t="s">
        <v>289</v>
      </c>
      <c r="B280" s="2">
        <f>IF(OR(Table1[[#This Row],[M score]]=1,AND(Table1[[#This Row],[F score]]=1,Table1[[#This Row],[Z score]]=1)),1,0)</f>
        <v>1</v>
      </c>
      <c r="C280" s="17">
        <v>0</v>
      </c>
      <c r="D280" s="17">
        <v>1</v>
      </c>
      <c r="E280" s="18">
        <v>1</v>
      </c>
      <c r="F280" s="19">
        <v>1.0819672131147542</v>
      </c>
      <c r="G280" s="6">
        <v>28.182353441805606</v>
      </c>
      <c r="H280" s="20">
        <v>13.72</v>
      </c>
      <c r="I280" s="21">
        <v>1</v>
      </c>
      <c r="J280" s="21">
        <v>0</v>
      </c>
      <c r="K280" s="22">
        <v>1</v>
      </c>
      <c r="L280" s="36">
        <v>1.36</v>
      </c>
    </row>
    <row r="281" spans="1:12" x14ac:dyDescent="0.45">
      <c r="A281" s="9" t="s">
        <v>290</v>
      </c>
      <c r="B281" s="2">
        <f>IF(OR(Table1[[#This Row],[M score]]=1,AND(Table1[[#This Row],[F score]]=1,Table1[[#This Row],[Z score]]=1)),1,0)</f>
        <v>0</v>
      </c>
      <c r="C281" s="10">
        <v>0</v>
      </c>
      <c r="D281" s="10">
        <v>0</v>
      </c>
      <c r="E281" s="11">
        <v>0</v>
      </c>
      <c r="F281" s="12">
        <v>-0.4279390063944909</v>
      </c>
      <c r="G281" s="13">
        <v>27.519101370143943</v>
      </c>
      <c r="H281" s="14">
        <v>18.57</v>
      </c>
      <c r="I281" s="15">
        <v>1</v>
      </c>
      <c r="J281" s="15">
        <v>0</v>
      </c>
      <c r="K281" s="16">
        <v>1</v>
      </c>
      <c r="L281" s="36">
        <v>4.17</v>
      </c>
    </row>
    <row r="282" spans="1:12" x14ac:dyDescent="0.45">
      <c r="A282" s="1" t="s">
        <v>291</v>
      </c>
      <c r="B282" s="2">
        <f>IF(OR(Table1[[#This Row],[M score]]=1,AND(Table1[[#This Row],[F score]]=1,Table1[[#This Row],[Z score]]=1)),1,0)</f>
        <v>0</v>
      </c>
      <c r="C282" s="17">
        <v>0</v>
      </c>
      <c r="D282" s="17">
        <v>0</v>
      </c>
      <c r="E282" s="18">
        <v>0</v>
      </c>
      <c r="F282" s="19">
        <v>0.41966426858513189</v>
      </c>
      <c r="G282" s="6">
        <v>29.911408795823039</v>
      </c>
      <c r="H282" s="20">
        <v>23.24</v>
      </c>
      <c r="I282" s="21">
        <v>1</v>
      </c>
      <c r="J282" s="21">
        <v>1</v>
      </c>
      <c r="K282" s="22">
        <v>1</v>
      </c>
      <c r="L282" s="36">
        <v>3.86</v>
      </c>
    </row>
    <row r="283" spans="1:12" x14ac:dyDescent="0.45">
      <c r="A283" s="9" t="s">
        <v>292</v>
      </c>
      <c r="B283" s="2">
        <f>IF(OR(Table1[[#This Row],[M score]]=1,AND(Table1[[#This Row],[F score]]=1,Table1[[#This Row],[Z score]]=1)),1,0)</f>
        <v>0</v>
      </c>
      <c r="C283" s="10">
        <v>0</v>
      </c>
      <c r="D283" s="10">
        <v>1</v>
      </c>
      <c r="E283" s="11">
        <v>0</v>
      </c>
      <c r="F283" s="12">
        <v>-1.1125654450261779</v>
      </c>
      <c r="G283" s="13">
        <v>25.675212134693986</v>
      </c>
      <c r="H283" s="14">
        <v>53.46</v>
      </c>
      <c r="I283" s="15">
        <v>0</v>
      </c>
      <c r="J283" s="15">
        <v>0</v>
      </c>
      <c r="K283" s="16">
        <v>1</v>
      </c>
      <c r="L283" s="36">
        <v>2.58</v>
      </c>
    </row>
    <row r="284" spans="1:12" x14ac:dyDescent="0.45">
      <c r="A284" s="1" t="s">
        <v>293</v>
      </c>
      <c r="B284" s="2">
        <f>IF(OR(Table1[[#This Row],[M score]]=1,AND(Table1[[#This Row],[F score]]=1,Table1[[#This Row],[Z score]]=1)),1,0)</f>
        <v>0</v>
      </c>
      <c r="C284" s="17">
        <v>0</v>
      </c>
      <c r="D284" s="17">
        <v>0</v>
      </c>
      <c r="E284" s="18">
        <v>0</v>
      </c>
      <c r="F284" s="19">
        <v>0.10980392156862745</v>
      </c>
      <c r="G284" s="6">
        <v>24.984183218041874</v>
      </c>
      <c r="H284" s="20">
        <v>66.75</v>
      </c>
      <c r="I284" s="21">
        <v>0</v>
      </c>
      <c r="J284" s="21">
        <v>0</v>
      </c>
      <c r="K284" s="22">
        <v>1</v>
      </c>
      <c r="L284" s="36">
        <v>2.57</v>
      </c>
    </row>
    <row r="285" spans="1:12" x14ac:dyDescent="0.45">
      <c r="A285" s="9" t="s">
        <v>294</v>
      </c>
      <c r="B285" s="2">
        <f>IF(OR(Table1[[#This Row],[M score]]=1,AND(Table1[[#This Row],[F score]]=1,Table1[[#This Row],[Z score]]=1)),1,0)</f>
        <v>0</v>
      </c>
      <c r="C285" s="10">
        <v>0</v>
      </c>
      <c r="D285" s="10">
        <v>0</v>
      </c>
      <c r="E285" s="11">
        <v>0</v>
      </c>
      <c r="F285" s="12">
        <v>3.537974683544304</v>
      </c>
      <c r="G285" s="13">
        <v>29.470972718398325</v>
      </c>
      <c r="H285" s="14">
        <v>8.1300000000000008</v>
      </c>
      <c r="I285" s="15">
        <v>1</v>
      </c>
      <c r="J285" s="15">
        <v>1</v>
      </c>
      <c r="K285" s="16">
        <v>1</v>
      </c>
      <c r="L285" s="36">
        <v>4.38</v>
      </c>
    </row>
    <row r="286" spans="1:12" x14ac:dyDescent="0.45">
      <c r="A286" s="1" t="s">
        <v>295</v>
      </c>
      <c r="B286" s="2">
        <f>IF(OR(Table1[[#This Row],[M score]]=1,AND(Table1[[#This Row],[F score]]=1,Table1[[#This Row],[Z score]]=1)),1,0)</f>
        <v>0</v>
      </c>
      <c r="C286" s="17">
        <v>0</v>
      </c>
      <c r="D286" s="17">
        <v>0</v>
      </c>
      <c r="E286" s="18">
        <v>0</v>
      </c>
      <c r="F286" s="19">
        <v>-3.8213132400430568E-2</v>
      </c>
      <c r="G286" s="6">
        <v>27.044123630968748</v>
      </c>
      <c r="H286" s="20">
        <v>10.75</v>
      </c>
      <c r="I286" s="21">
        <v>1</v>
      </c>
      <c r="J286" s="21">
        <v>0</v>
      </c>
      <c r="K286" s="22">
        <v>1</v>
      </c>
      <c r="L286" s="36">
        <v>-0.79</v>
      </c>
    </row>
    <row r="287" spans="1:12" x14ac:dyDescent="0.45">
      <c r="A287" s="9" t="s">
        <v>296</v>
      </c>
      <c r="B287" s="2">
        <f>IF(OR(Table1[[#This Row],[M score]]=1,AND(Table1[[#This Row],[F score]]=1,Table1[[#This Row],[Z score]]=1)),1,0)</f>
        <v>0</v>
      </c>
      <c r="C287" s="10">
        <v>0</v>
      </c>
      <c r="D287" s="10">
        <v>0</v>
      </c>
      <c r="E287" s="11">
        <v>0</v>
      </c>
      <c r="F287" s="12">
        <v>0.12700243496091246</v>
      </c>
      <c r="G287" s="13">
        <v>28.075012629804139</v>
      </c>
      <c r="H287" s="14">
        <v>44.59</v>
      </c>
      <c r="I287" s="15">
        <v>1</v>
      </c>
      <c r="J287" s="15">
        <v>1</v>
      </c>
      <c r="K287" s="16">
        <v>1</v>
      </c>
      <c r="L287" s="36">
        <v>20.38</v>
      </c>
    </row>
    <row r="288" spans="1:12" x14ac:dyDescent="0.45">
      <c r="A288" s="1" t="s">
        <v>297</v>
      </c>
      <c r="B288" s="2">
        <f>IF(OR(Table1[[#This Row],[M score]]=1,AND(Table1[[#This Row],[F score]]=1,Table1[[#This Row],[Z score]]=1)),1,0)</f>
        <v>0</v>
      </c>
      <c r="C288" s="17">
        <v>0</v>
      </c>
      <c r="D288" s="17">
        <v>1</v>
      </c>
      <c r="E288" s="18">
        <v>0</v>
      </c>
      <c r="F288" s="19">
        <v>1.6568857589984352</v>
      </c>
      <c r="G288" s="6">
        <v>27.092843616865274</v>
      </c>
      <c r="H288" s="20">
        <v>30.56</v>
      </c>
      <c r="I288" s="21">
        <v>1</v>
      </c>
      <c r="J288" s="21">
        <v>1</v>
      </c>
      <c r="K288" s="22">
        <v>1</v>
      </c>
      <c r="L288" s="36">
        <v>24.15</v>
      </c>
    </row>
    <row r="289" spans="1:12" x14ac:dyDescent="0.45">
      <c r="A289" s="9" t="s">
        <v>298</v>
      </c>
      <c r="B289" s="2">
        <f>IF(OR(Table1[[#This Row],[M score]]=1,AND(Table1[[#This Row],[F score]]=1,Table1[[#This Row],[Z score]]=1)),1,0)</f>
        <v>0</v>
      </c>
      <c r="C289" s="10">
        <v>0</v>
      </c>
      <c r="D289" s="10">
        <v>0</v>
      </c>
      <c r="E289" s="11">
        <v>0</v>
      </c>
      <c r="F289" s="12">
        <v>8.0352514256091245E-2</v>
      </c>
      <c r="G289" s="13">
        <v>26.356625847306066</v>
      </c>
      <c r="H289" s="14">
        <v>18.190000000000001</v>
      </c>
      <c r="I289" s="15">
        <v>1</v>
      </c>
      <c r="J289" s="15">
        <v>0</v>
      </c>
      <c r="K289" s="16">
        <v>1</v>
      </c>
      <c r="L289" s="36">
        <v>-6.1</v>
      </c>
    </row>
    <row r="290" spans="1:12" x14ac:dyDescent="0.45">
      <c r="A290" s="1" t="s">
        <v>299</v>
      </c>
      <c r="B290" s="2">
        <f>IF(OR(Table1[[#This Row],[M score]]=1,AND(Table1[[#This Row],[F score]]=1,Table1[[#This Row],[Z score]]=1)),1,0)</f>
        <v>1</v>
      </c>
      <c r="C290" s="17">
        <v>0</v>
      </c>
      <c r="D290" s="17">
        <v>0</v>
      </c>
      <c r="E290" s="18">
        <v>1</v>
      </c>
      <c r="F290" s="19">
        <v>0.31428571428571428</v>
      </c>
      <c r="G290" s="6">
        <v>28.514600456570541</v>
      </c>
      <c r="H290" s="20">
        <v>20.399999999999999</v>
      </c>
      <c r="I290" s="21">
        <v>0</v>
      </c>
      <c r="J290" s="21">
        <v>0</v>
      </c>
      <c r="K290" s="22">
        <v>0</v>
      </c>
      <c r="L290" s="36">
        <v>-1.76</v>
      </c>
    </row>
    <row r="291" spans="1:12" x14ac:dyDescent="0.45">
      <c r="A291" s="9" t="s">
        <v>300</v>
      </c>
      <c r="B291" s="2">
        <f>IF(OR(Table1[[#This Row],[M score]]=1,AND(Table1[[#This Row],[F score]]=1,Table1[[#This Row],[Z score]]=1)),1,0)</f>
        <v>0</v>
      </c>
      <c r="C291" s="10">
        <v>0</v>
      </c>
      <c r="D291" s="10">
        <v>1</v>
      </c>
      <c r="E291" s="11">
        <v>0</v>
      </c>
      <c r="F291" s="12">
        <v>-0.27464788732394368</v>
      </c>
      <c r="G291" s="13">
        <v>27.376532366431018</v>
      </c>
      <c r="H291" s="14">
        <v>31.49</v>
      </c>
      <c r="I291" s="15">
        <v>1</v>
      </c>
      <c r="J291" s="15">
        <v>0</v>
      </c>
      <c r="K291" s="16">
        <v>1</v>
      </c>
      <c r="L291" s="36">
        <v>1.03</v>
      </c>
    </row>
    <row r="292" spans="1:12" x14ac:dyDescent="0.45">
      <c r="A292" s="1" t="s">
        <v>301</v>
      </c>
      <c r="B292" s="2">
        <f>IF(OR(Table1[[#This Row],[M score]]=1,AND(Table1[[#This Row],[F score]]=1,Table1[[#This Row],[Z score]]=1)),1,0)</f>
        <v>0</v>
      </c>
      <c r="C292" s="17">
        <v>0</v>
      </c>
      <c r="D292" s="17">
        <v>1</v>
      </c>
      <c r="E292" s="18">
        <v>0</v>
      </c>
      <c r="F292" s="19">
        <v>-0.40292275574112735</v>
      </c>
      <c r="G292" s="6">
        <v>24.189001739746139</v>
      </c>
      <c r="H292" s="20">
        <v>11.69</v>
      </c>
      <c r="I292" s="21">
        <v>0</v>
      </c>
      <c r="J292" s="21">
        <v>0</v>
      </c>
      <c r="K292" s="22">
        <v>0</v>
      </c>
      <c r="L292" s="36">
        <v>-6.73</v>
      </c>
    </row>
    <row r="293" spans="1:12" x14ac:dyDescent="0.45">
      <c r="A293" s="9" t="s">
        <v>302</v>
      </c>
      <c r="B293" s="2">
        <f>IF(OR(Table1[[#This Row],[M score]]=1,AND(Table1[[#This Row],[F score]]=1,Table1[[#This Row],[Z score]]=1)),1,0)</f>
        <v>1</v>
      </c>
      <c r="C293" s="10">
        <v>0</v>
      </c>
      <c r="D293" s="10">
        <v>1</v>
      </c>
      <c r="E293" s="11">
        <v>1</v>
      </c>
      <c r="F293" s="12">
        <v>-3.6363636363636362E-2</v>
      </c>
      <c r="G293" s="13">
        <v>24.945710401795829</v>
      </c>
      <c r="H293" s="14">
        <v>48.4</v>
      </c>
      <c r="I293" s="15">
        <v>1</v>
      </c>
      <c r="J293" s="15">
        <v>0</v>
      </c>
      <c r="K293" s="16">
        <v>1</v>
      </c>
      <c r="L293" s="36">
        <v>2.62</v>
      </c>
    </row>
    <row r="294" spans="1:12" x14ac:dyDescent="0.45">
      <c r="A294" s="1" t="s">
        <v>303</v>
      </c>
      <c r="B294" s="2">
        <f>IF(OR(Table1[[#This Row],[M score]]=1,AND(Table1[[#This Row],[F score]]=1,Table1[[#This Row],[Z score]]=1)),1,0)</f>
        <v>1</v>
      </c>
      <c r="C294" s="17">
        <v>0</v>
      </c>
      <c r="D294" s="17">
        <v>0</v>
      </c>
      <c r="E294" s="18">
        <v>1</v>
      </c>
      <c r="F294" s="19">
        <v>0.95567567567567568</v>
      </c>
      <c r="G294" s="6">
        <v>25.890904879852332</v>
      </c>
      <c r="H294" s="20">
        <v>11.8</v>
      </c>
      <c r="I294" s="21">
        <v>0</v>
      </c>
      <c r="J294" s="21">
        <v>0</v>
      </c>
      <c r="K294" s="22">
        <v>1</v>
      </c>
      <c r="L294" s="36">
        <v>8.2799999999999994</v>
      </c>
    </row>
    <row r="295" spans="1:12" x14ac:dyDescent="0.45">
      <c r="A295" s="9" t="s">
        <v>304</v>
      </c>
      <c r="B295" s="2">
        <f>IF(OR(Table1[[#This Row],[M score]]=1,AND(Table1[[#This Row],[F score]]=1,Table1[[#This Row],[Z score]]=1)),1,0)</f>
        <v>0</v>
      </c>
      <c r="C295" s="10">
        <v>0</v>
      </c>
      <c r="D295" s="10">
        <v>0</v>
      </c>
      <c r="E295" s="11">
        <v>0</v>
      </c>
      <c r="F295" s="12">
        <v>-1.239829523440527E-2</v>
      </c>
      <c r="G295" s="13">
        <v>26.866894065106436</v>
      </c>
      <c r="H295" s="14">
        <v>1</v>
      </c>
      <c r="I295" s="15">
        <v>1</v>
      </c>
      <c r="J295" s="15">
        <v>0</v>
      </c>
      <c r="K295" s="16">
        <v>1</v>
      </c>
      <c r="L295" s="36">
        <v>8.61</v>
      </c>
    </row>
    <row r="296" spans="1:12" x14ac:dyDescent="0.45">
      <c r="A296" s="1" t="s">
        <v>305</v>
      </c>
      <c r="B296" s="2">
        <f>IF(OR(Table1[[#This Row],[M score]]=1,AND(Table1[[#This Row],[F score]]=1,Table1[[#This Row],[Z score]]=1)),1,0)</f>
        <v>1</v>
      </c>
      <c r="C296" s="17">
        <v>1</v>
      </c>
      <c r="D296" s="17">
        <v>1</v>
      </c>
      <c r="E296" s="18">
        <v>0</v>
      </c>
      <c r="F296" s="19">
        <v>1.5314285714285714</v>
      </c>
      <c r="G296" s="6">
        <v>30.457086158695091</v>
      </c>
      <c r="H296" s="20">
        <v>38.39</v>
      </c>
      <c r="I296" s="21">
        <v>1</v>
      </c>
      <c r="J296" s="21">
        <v>0</v>
      </c>
      <c r="K296" s="22">
        <v>1</v>
      </c>
      <c r="L296" s="36">
        <v>70.66</v>
      </c>
    </row>
    <row r="297" spans="1:12" x14ac:dyDescent="0.45">
      <c r="A297" s="9" t="s">
        <v>306</v>
      </c>
      <c r="B297" s="2">
        <f>IF(OR(Table1[[#This Row],[M score]]=1,AND(Table1[[#This Row],[F score]]=1,Table1[[#This Row],[Z score]]=1)),1,0)</f>
        <v>0</v>
      </c>
      <c r="C297" s="10">
        <v>1</v>
      </c>
      <c r="D297" s="10">
        <v>0</v>
      </c>
      <c r="E297" s="11">
        <v>0</v>
      </c>
      <c r="F297" s="12">
        <v>0.33243606998654107</v>
      </c>
      <c r="G297" s="13">
        <v>27.091036256530309</v>
      </c>
      <c r="H297" s="14">
        <v>14.45</v>
      </c>
      <c r="I297" s="15">
        <v>1</v>
      </c>
      <c r="J297" s="15">
        <v>0</v>
      </c>
      <c r="K297" s="16">
        <v>1</v>
      </c>
      <c r="L297" s="36">
        <v>7.25</v>
      </c>
    </row>
    <row r="298" spans="1:12" x14ac:dyDescent="0.45">
      <c r="A298" s="1" t="s">
        <v>307</v>
      </c>
      <c r="B298" s="2">
        <f>IF(OR(Table1[[#This Row],[M score]]=1,AND(Table1[[#This Row],[F score]]=1,Table1[[#This Row],[Z score]]=1)),1,0)</f>
        <v>0</v>
      </c>
      <c r="C298" s="17">
        <v>0</v>
      </c>
      <c r="D298" s="17">
        <v>0</v>
      </c>
      <c r="E298" s="18">
        <v>0</v>
      </c>
      <c r="F298" s="19">
        <v>-0.12060889929742388</v>
      </c>
      <c r="G298" s="6">
        <v>31.980993269462335</v>
      </c>
      <c r="H298" s="20">
        <v>17.829999999999998</v>
      </c>
      <c r="I298" s="21">
        <v>1</v>
      </c>
      <c r="J298" s="21">
        <v>1</v>
      </c>
      <c r="K298" s="22">
        <v>1</v>
      </c>
      <c r="L298" s="36">
        <v>-27.04</v>
      </c>
    </row>
    <row r="299" spans="1:12" x14ac:dyDescent="0.45">
      <c r="A299" s="9" t="s">
        <v>308</v>
      </c>
      <c r="B299" s="2">
        <f>IF(OR(Table1[[#This Row],[M score]]=1,AND(Table1[[#This Row],[F score]]=1,Table1[[#This Row],[Z score]]=1)),1,0)</f>
        <v>0</v>
      </c>
      <c r="C299" s="10">
        <v>0</v>
      </c>
      <c r="D299" s="10">
        <v>0</v>
      </c>
      <c r="E299" s="11">
        <v>0</v>
      </c>
      <c r="F299" s="12">
        <v>-0.43542531120331951</v>
      </c>
      <c r="G299" s="13">
        <v>27.382751156773409</v>
      </c>
      <c r="H299" s="14">
        <v>15.65</v>
      </c>
      <c r="I299" s="15">
        <v>1</v>
      </c>
      <c r="J299" s="15">
        <v>0</v>
      </c>
      <c r="K299" s="16">
        <v>1</v>
      </c>
      <c r="L299" s="36">
        <v>10.7</v>
      </c>
    </row>
    <row r="300" spans="1:12" x14ac:dyDescent="0.45">
      <c r="A300" s="1" t="s">
        <v>309</v>
      </c>
      <c r="B300" s="2">
        <f>IF(OR(Table1[[#This Row],[M score]]=1,AND(Table1[[#This Row],[F score]]=1,Table1[[#This Row],[Z score]]=1)),1,0)</f>
        <v>0</v>
      </c>
      <c r="C300" s="17">
        <v>0</v>
      </c>
      <c r="D300" s="17">
        <v>1</v>
      </c>
      <c r="E300" s="18">
        <v>0</v>
      </c>
      <c r="F300" s="19">
        <v>4.261363636363636E-2</v>
      </c>
      <c r="G300" s="6">
        <v>25.40507895792468</v>
      </c>
      <c r="H300" s="20">
        <v>14.33</v>
      </c>
      <c r="I300" s="21">
        <v>0</v>
      </c>
      <c r="J300" s="21">
        <v>0</v>
      </c>
      <c r="K300" s="22">
        <v>1</v>
      </c>
      <c r="L300" s="36">
        <v>-13.69</v>
      </c>
    </row>
    <row r="301" spans="1:12" x14ac:dyDescent="0.45">
      <c r="A301" s="9" t="s">
        <v>310</v>
      </c>
      <c r="B301" s="2">
        <f>IF(OR(Table1[[#This Row],[M score]]=1,AND(Table1[[#This Row],[F score]]=1,Table1[[#This Row],[Z score]]=1)),1,0)</f>
        <v>0</v>
      </c>
      <c r="C301" s="10">
        <v>0</v>
      </c>
      <c r="D301" s="10">
        <v>0</v>
      </c>
      <c r="E301" s="11">
        <v>0</v>
      </c>
      <c r="F301" s="12">
        <v>5.1132686084142398E-2</v>
      </c>
      <c r="G301" s="13">
        <v>27.888193773449682</v>
      </c>
      <c r="H301" s="14">
        <v>31.77</v>
      </c>
      <c r="I301" s="15">
        <v>0</v>
      </c>
      <c r="J301" s="15">
        <v>0</v>
      </c>
      <c r="K301" s="16">
        <v>0</v>
      </c>
      <c r="L301" s="36">
        <v>7.0000000000000007E-2</v>
      </c>
    </row>
    <row r="302" spans="1:12" x14ac:dyDescent="0.45">
      <c r="A302" s="1" t="s">
        <v>311</v>
      </c>
      <c r="B302" s="2">
        <f>IF(OR(Table1[[#This Row],[M score]]=1,AND(Table1[[#This Row],[F score]]=1,Table1[[#This Row],[Z score]]=1)),1,0)</f>
        <v>1</v>
      </c>
      <c r="C302" s="17">
        <v>0</v>
      </c>
      <c r="D302" s="17">
        <v>1</v>
      </c>
      <c r="E302" s="18">
        <v>1</v>
      </c>
      <c r="F302" s="19">
        <v>-9.545454545454545</v>
      </c>
      <c r="G302" s="6">
        <v>24.371870022058456</v>
      </c>
      <c r="H302" s="20">
        <v>18.46</v>
      </c>
      <c r="I302" s="21">
        <v>0</v>
      </c>
      <c r="J302" s="21">
        <v>0</v>
      </c>
      <c r="K302" s="22">
        <v>1</v>
      </c>
      <c r="L302" s="36">
        <v>-2.82</v>
      </c>
    </row>
    <row r="303" spans="1:12" x14ac:dyDescent="0.45">
      <c r="A303" s="9" t="s">
        <v>312</v>
      </c>
      <c r="B303" s="2">
        <f>IF(OR(Table1[[#This Row],[M score]]=1,AND(Table1[[#This Row],[F score]]=1,Table1[[#This Row],[Z score]]=1)),1,0)</f>
        <v>1</v>
      </c>
      <c r="C303" s="10">
        <v>1</v>
      </c>
      <c r="D303" s="10">
        <v>1</v>
      </c>
      <c r="E303" s="11">
        <v>0</v>
      </c>
      <c r="F303" s="12">
        <v>73.266666666666666</v>
      </c>
      <c r="G303" s="13">
        <v>26.468771020357984</v>
      </c>
      <c r="H303" s="14">
        <v>17.850000000000001</v>
      </c>
      <c r="I303" s="15">
        <v>1</v>
      </c>
      <c r="J303" s="15">
        <v>0</v>
      </c>
      <c r="K303" s="16">
        <v>1</v>
      </c>
      <c r="L303" s="36">
        <v>27.73</v>
      </c>
    </row>
    <row r="304" spans="1:12" x14ac:dyDescent="0.45">
      <c r="A304" s="1" t="s">
        <v>313</v>
      </c>
      <c r="B304" s="2">
        <f>IF(OR(Table1[[#This Row],[M score]]=1,AND(Table1[[#This Row],[F score]]=1,Table1[[#This Row],[Z score]]=1)),1,0)</f>
        <v>0</v>
      </c>
      <c r="C304" s="17">
        <v>0</v>
      </c>
      <c r="D304" s="17">
        <v>0</v>
      </c>
      <c r="E304" s="18">
        <v>0</v>
      </c>
      <c r="F304" s="19">
        <v>-0.59462486002239645</v>
      </c>
      <c r="G304" s="6">
        <v>27.765934033982198</v>
      </c>
      <c r="H304" s="20">
        <v>1.19</v>
      </c>
      <c r="I304" s="21">
        <v>0</v>
      </c>
      <c r="J304" s="21">
        <v>1</v>
      </c>
      <c r="K304" s="22">
        <v>1</v>
      </c>
      <c r="L304" s="36">
        <v>27.67</v>
      </c>
    </row>
    <row r="305" spans="1:12" x14ac:dyDescent="0.45">
      <c r="A305" s="9" t="s">
        <v>314</v>
      </c>
      <c r="B305" s="2">
        <f>IF(OR(Table1[[#This Row],[M score]]=1,AND(Table1[[#This Row],[F score]]=1,Table1[[#This Row],[Z score]]=1)),1,0)</f>
        <v>0</v>
      </c>
      <c r="C305" s="10">
        <v>0</v>
      </c>
      <c r="D305" s="10">
        <v>0</v>
      </c>
      <c r="E305" s="11">
        <v>0</v>
      </c>
      <c r="F305" s="12">
        <v>2.0703933747412008E-2</v>
      </c>
      <c r="G305" s="13">
        <v>27.085138100347155</v>
      </c>
      <c r="H305" s="14">
        <v>17.82</v>
      </c>
      <c r="I305" s="15">
        <v>1</v>
      </c>
      <c r="J305" s="15">
        <v>0</v>
      </c>
      <c r="K305" s="16">
        <v>1</v>
      </c>
      <c r="L305" s="36">
        <v>-0.66</v>
      </c>
    </row>
    <row r="306" spans="1:12" x14ac:dyDescent="0.45">
      <c r="A306" s="1" t="s">
        <v>315</v>
      </c>
      <c r="B306" s="2">
        <f>IF(OR(Table1[[#This Row],[M score]]=1,AND(Table1[[#This Row],[F score]]=1,Table1[[#This Row],[Z score]]=1)),1,0)</f>
        <v>0</v>
      </c>
      <c r="C306" s="17">
        <v>0</v>
      </c>
      <c r="D306" s="17">
        <v>1</v>
      </c>
      <c r="E306" s="18">
        <v>0</v>
      </c>
      <c r="F306" s="19">
        <v>-6.8771697801289472E-2</v>
      </c>
      <c r="G306" s="6">
        <v>30.256686106970704</v>
      </c>
      <c r="H306" s="20">
        <v>25.33</v>
      </c>
      <c r="I306" s="21">
        <v>1</v>
      </c>
      <c r="J306" s="21">
        <v>1</v>
      </c>
      <c r="K306" s="22">
        <v>1</v>
      </c>
      <c r="L306" s="36">
        <v>14.64</v>
      </c>
    </row>
    <row r="307" spans="1:12" x14ac:dyDescent="0.45">
      <c r="A307" s="9" t="s">
        <v>316</v>
      </c>
      <c r="B307" s="2">
        <f>IF(OR(Table1[[#This Row],[M score]]=1,AND(Table1[[#This Row],[F score]]=1,Table1[[#This Row],[Z score]]=1)),1,0)</f>
        <v>0</v>
      </c>
      <c r="C307" s="10">
        <v>0</v>
      </c>
      <c r="D307" s="10">
        <v>1</v>
      </c>
      <c r="E307" s="11">
        <v>0</v>
      </c>
      <c r="F307" s="12">
        <v>0.93415637860082301</v>
      </c>
      <c r="G307" s="13">
        <v>28.248820857285057</v>
      </c>
      <c r="H307" s="14">
        <v>56.95</v>
      </c>
      <c r="I307" s="15">
        <v>1</v>
      </c>
      <c r="J307" s="15">
        <v>0</v>
      </c>
      <c r="K307" s="16">
        <v>1</v>
      </c>
      <c r="L307" s="36">
        <v>4.12</v>
      </c>
    </row>
    <row r="308" spans="1:12" x14ac:dyDescent="0.45">
      <c r="A308" s="1" t="s">
        <v>317</v>
      </c>
      <c r="B308" s="2">
        <f>IF(OR(Table1[[#This Row],[M score]]=1,AND(Table1[[#This Row],[F score]]=1,Table1[[#This Row],[Z score]]=1)),1,0)</f>
        <v>1</v>
      </c>
      <c r="C308" s="17">
        <v>0</v>
      </c>
      <c r="D308" s="17">
        <v>1</v>
      </c>
      <c r="E308" s="18">
        <v>1</v>
      </c>
      <c r="F308" s="19">
        <v>-2.0907441016333936</v>
      </c>
      <c r="G308" s="6">
        <v>27.488824822674179</v>
      </c>
      <c r="H308" s="20">
        <v>11.6</v>
      </c>
      <c r="I308" s="21">
        <v>1</v>
      </c>
      <c r="J308" s="21">
        <v>0</v>
      </c>
      <c r="K308" s="22">
        <v>0</v>
      </c>
      <c r="L308" s="36">
        <v>-4.97</v>
      </c>
    </row>
    <row r="309" spans="1:12" x14ac:dyDescent="0.45">
      <c r="A309" s="9" t="s">
        <v>318</v>
      </c>
      <c r="B309" s="2">
        <f>IF(OR(Table1[[#This Row],[M score]]=1,AND(Table1[[#This Row],[F score]]=1,Table1[[#This Row],[Z score]]=1)),1,0)</f>
        <v>0</v>
      </c>
      <c r="C309" s="10">
        <v>0</v>
      </c>
      <c r="D309" s="10">
        <v>0</v>
      </c>
      <c r="E309" s="11">
        <v>0</v>
      </c>
      <c r="F309" s="12">
        <v>-0.80014094432699079</v>
      </c>
      <c r="G309" s="13">
        <v>30.240869107603928</v>
      </c>
      <c r="H309" s="14">
        <v>36.979999999999997</v>
      </c>
      <c r="I309" s="15">
        <v>0</v>
      </c>
      <c r="J309" s="15">
        <v>1</v>
      </c>
      <c r="K309" s="16">
        <v>1</v>
      </c>
      <c r="L309" s="36">
        <v>2.87</v>
      </c>
    </row>
    <row r="310" spans="1:12" x14ac:dyDescent="0.45">
      <c r="A310" s="1" t="s">
        <v>319</v>
      </c>
      <c r="B310" s="2">
        <f>IF(OR(Table1[[#This Row],[M score]]=1,AND(Table1[[#This Row],[F score]]=1,Table1[[#This Row],[Z score]]=1)),1,0)</f>
        <v>0</v>
      </c>
      <c r="C310" s="17">
        <v>0</v>
      </c>
      <c r="D310" s="17">
        <v>1</v>
      </c>
      <c r="E310" s="18">
        <v>0</v>
      </c>
      <c r="F310" s="19">
        <v>-0.15775884327394785</v>
      </c>
      <c r="G310" s="6">
        <v>27.730998228278594</v>
      </c>
      <c r="H310" s="20">
        <v>5.38</v>
      </c>
      <c r="I310" s="21">
        <v>1</v>
      </c>
      <c r="J310" s="21">
        <v>0</v>
      </c>
      <c r="K310" s="22">
        <v>1</v>
      </c>
      <c r="L310" s="36">
        <v>7.67</v>
      </c>
    </row>
    <row r="311" spans="1:12" x14ac:dyDescent="0.45">
      <c r="A311" s="9" t="s">
        <v>320</v>
      </c>
      <c r="B311" s="2">
        <f>IF(OR(Table1[[#This Row],[M score]]=1,AND(Table1[[#This Row],[F score]]=1,Table1[[#This Row],[Z score]]=1)),1,0)</f>
        <v>0</v>
      </c>
      <c r="C311" s="10">
        <v>0</v>
      </c>
      <c r="D311" s="10">
        <v>0</v>
      </c>
      <c r="E311" s="11">
        <v>0</v>
      </c>
      <c r="F311" s="12">
        <v>0.26413255360623783</v>
      </c>
      <c r="G311" s="13">
        <v>29.543225538468157</v>
      </c>
      <c r="H311" s="14">
        <v>12.41</v>
      </c>
      <c r="I311" s="15">
        <v>1</v>
      </c>
      <c r="J311" s="15">
        <v>0</v>
      </c>
      <c r="K311" s="16">
        <v>1</v>
      </c>
      <c r="L311" s="36">
        <v>56.54</v>
      </c>
    </row>
    <row r="312" spans="1:12" x14ac:dyDescent="0.45">
      <c r="A312" s="1" t="s">
        <v>321</v>
      </c>
      <c r="B312" s="2">
        <f>IF(OR(Table1[[#This Row],[M score]]=1,AND(Table1[[#This Row],[F score]]=1,Table1[[#This Row],[Z score]]=1)),1,0)</f>
        <v>1</v>
      </c>
      <c r="C312" s="17">
        <v>0</v>
      </c>
      <c r="D312" s="17">
        <v>1</v>
      </c>
      <c r="E312" s="18">
        <v>1</v>
      </c>
      <c r="F312" s="19">
        <v>5.1607142857142856</v>
      </c>
      <c r="G312" s="6">
        <v>25.632428410328803</v>
      </c>
      <c r="H312" s="20">
        <v>18.309999999999999</v>
      </c>
      <c r="I312" s="21">
        <v>0</v>
      </c>
      <c r="J312" s="21">
        <v>0</v>
      </c>
      <c r="K312" s="22">
        <v>1</v>
      </c>
      <c r="L312" s="36">
        <v>-6.43</v>
      </c>
    </row>
    <row r="313" spans="1:12" x14ac:dyDescent="0.45">
      <c r="A313" s="9" t="s">
        <v>322</v>
      </c>
      <c r="B313" s="2">
        <f>IF(OR(Table1[[#This Row],[M score]]=1,AND(Table1[[#This Row],[F score]]=1,Table1[[#This Row],[Z score]]=1)),1,0)</f>
        <v>0</v>
      </c>
      <c r="C313" s="10">
        <v>0</v>
      </c>
      <c r="D313" s="10">
        <v>1</v>
      </c>
      <c r="E313" s="11">
        <v>0</v>
      </c>
      <c r="F313" s="12">
        <v>0.13299232736572891</v>
      </c>
      <c r="G313" s="13">
        <v>27.397827228760836</v>
      </c>
      <c r="H313" s="14">
        <v>4.78</v>
      </c>
      <c r="I313" s="15">
        <v>0</v>
      </c>
      <c r="J313" s="15">
        <v>0</v>
      </c>
      <c r="K313" s="16">
        <v>1</v>
      </c>
      <c r="L313" s="36">
        <v>4.5</v>
      </c>
    </row>
    <row r="314" spans="1:12" x14ac:dyDescent="0.45">
      <c r="A314" s="1" t="s">
        <v>323</v>
      </c>
      <c r="B314" s="2">
        <f>IF(OR(Table1[[#This Row],[M score]]=1,AND(Table1[[#This Row],[F score]]=1,Table1[[#This Row],[Z score]]=1)),1,0)</f>
        <v>1</v>
      </c>
      <c r="C314" s="17">
        <v>0</v>
      </c>
      <c r="D314" s="17">
        <v>0</v>
      </c>
      <c r="E314" s="18">
        <v>1</v>
      </c>
      <c r="F314" s="19">
        <v>-0.32789801363771126</v>
      </c>
      <c r="G314" s="6">
        <v>29.72108980206956</v>
      </c>
      <c r="H314" s="20">
        <v>7.65</v>
      </c>
      <c r="I314" s="21">
        <v>1</v>
      </c>
      <c r="J314" s="21">
        <v>1</v>
      </c>
      <c r="K314" s="22">
        <v>1</v>
      </c>
      <c r="L314" s="36">
        <v>5.65</v>
      </c>
    </row>
    <row r="315" spans="1:12" x14ac:dyDescent="0.45">
      <c r="A315" s="9" t="s">
        <v>324</v>
      </c>
      <c r="B315" s="2">
        <f>IF(OR(Table1[[#This Row],[M score]]=1,AND(Table1[[#This Row],[F score]]=1,Table1[[#This Row],[Z score]]=1)),1,0)</f>
        <v>0</v>
      </c>
      <c r="C315" s="10">
        <v>0</v>
      </c>
      <c r="D315" s="10">
        <v>0</v>
      </c>
      <c r="E315" s="11">
        <v>0</v>
      </c>
      <c r="F315" s="12">
        <v>1.575299306868305E-4</v>
      </c>
      <c r="G315" s="13">
        <v>27.754388529878831</v>
      </c>
      <c r="H315" s="14">
        <v>7.68</v>
      </c>
      <c r="I315" s="15">
        <v>1</v>
      </c>
      <c r="J315" s="15">
        <v>0</v>
      </c>
      <c r="K315" s="16">
        <v>1</v>
      </c>
      <c r="L315" s="36">
        <v>16.64</v>
      </c>
    </row>
    <row r="316" spans="1:12" x14ac:dyDescent="0.45">
      <c r="A316" s="1" t="s">
        <v>325</v>
      </c>
      <c r="B316" s="2">
        <f>IF(OR(Table1[[#This Row],[M score]]=1,AND(Table1[[#This Row],[F score]]=1,Table1[[#This Row],[Z score]]=1)),1,0)</f>
        <v>0</v>
      </c>
      <c r="C316" s="17">
        <v>0</v>
      </c>
      <c r="D316" s="17">
        <v>1</v>
      </c>
      <c r="E316" s="18">
        <v>0</v>
      </c>
      <c r="F316" s="19">
        <v>0.13721413721413722</v>
      </c>
      <c r="G316" s="6">
        <v>29.027636072884672</v>
      </c>
      <c r="H316" s="20">
        <v>53.47</v>
      </c>
      <c r="I316" s="21">
        <v>1</v>
      </c>
      <c r="J316" s="21">
        <v>0</v>
      </c>
      <c r="K316" s="22">
        <v>1</v>
      </c>
      <c r="L316" s="36">
        <v>8.9600000000000009</v>
      </c>
    </row>
    <row r="317" spans="1:12" x14ac:dyDescent="0.45">
      <c r="A317" s="9" t="s">
        <v>326</v>
      </c>
      <c r="B317" s="2">
        <f>IF(OR(Table1[[#This Row],[M score]]=1,AND(Table1[[#This Row],[F score]]=1,Table1[[#This Row],[Z score]]=1)),1,0)</f>
        <v>0</v>
      </c>
      <c r="C317" s="10">
        <v>0</v>
      </c>
      <c r="D317" s="10">
        <v>0</v>
      </c>
      <c r="E317" s="11">
        <v>0</v>
      </c>
      <c r="F317" s="12">
        <v>0.10572947430596574</v>
      </c>
      <c r="G317" s="13">
        <v>27.788024864738212</v>
      </c>
      <c r="H317" s="14">
        <v>5.39</v>
      </c>
      <c r="I317" s="15">
        <v>0</v>
      </c>
      <c r="J317" s="15">
        <v>1</v>
      </c>
      <c r="K317" s="16">
        <v>1</v>
      </c>
      <c r="L317" s="36">
        <v>-1.32</v>
      </c>
    </row>
    <row r="318" spans="1:12" x14ac:dyDescent="0.45">
      <c r="A318" s="1" t="s">
        <v>327</v>
      </c>
      <c r="B318" s="2">
        <f>IF(OR(Table1[[#This Row],[M score]]=1,AND(Table1[[#This Row],[F score]]=1,Table1[[#This Row],[Z score]]=1)),1,0)</f>
        <v>0</v>
      </c>
      <c r="C318" s="17">
        <v>0</v>
      </c>
      <c r="D318" s="17">
        <v>1</v>
      </c>
      <c r="E318" s="18">
        <v>0</v>
      </c>
      <c r="F318" s="19">
        <v>0.62099125364431484</v>
      </c>
      <c r="G318" s="6">
        <v>27.915222459152186</v>
      </c>
      <c r="H318" s="20">
        <v>12.3</v>
      </c>
      <c r="I318" s="21">
        <v>1</v>
      </c>
      <c r="J318" s="21">
        <v>0</v>
      </c>
      <c r="K318" s="22">
        <v>1</v>
      </c>
      <c r="L318" s="36">
        <v>18.18</v>
      </c>
    </row>
    <row r="319" spans="1:12" x14ac:dyDescent="0.45">
      <c r="A319" s="9" t="s">
        <v>328</v>
      </c>
      <c r="B319" s="2">
        <f>IF(OR(Table1[[#This Row],[M score]]=1,AND(Table1[[#This Row],[F score]]=1,Table1[[#This Row],[Z score]]=1)),1,0)</f>
        <v>0</v>
      </c>
      <c r="C319" s="10">
        <v>0</v>
      </c>
      <c r="D319" s="10">
        <v>0</v>
      </c>
      <c r="E319" s="11">
        <v>0</v>
      </c>
      <c r="F319" s="12">
        <v>3.8787878787878789</v>
      </c>
      <c r="G319" s="13">
        <v>25.213712409968135</v>
      </c>
      <c r="H319" s="14">
        <v>26.97</v>
      </c>
      <c r="I319" s="15">
        <v>1</v>
      </c>
      <c r="J319" s="15">
        <v>0</v>
      </c>
      <c r="K319" s="16">
        <v>1</v>
      </c>
      <c r="L319" s="36">
        <v>1.48</v>
      </c>
    </row>
    <row r="320" spans="1:12" x14ac:dyDescent="0.45">
      <c r="A320" s="1" t="s">
        <v>329</v>
      </c>
      <c r="B320" s="2">
        <f>IF(OR(Table1[[#This Row],[M score]]=1,AND(Table1[[#This Row],[F score]]=1,Table1[[#This Row],[Z score]]=1)),1,0)</f>
        <v>1</v>
      </c>
      <c r="C320" s="17">
        <v>0</v>
      </c>
      <c r="D320" s="17">
        <v>1</v>
      </c>
      <c r="E320" s="18">
        <v>1</v>
      </c>
      <c r="F320" s="19">
        <v>0.20143884892086331</v>
      </c>
      <c r="G320" s="6">
        <v>25.433981648658403</v>
      </c>
      <c r="H320" s="20">
        <v>47.96</v>
      </c>
      <c r="I320" s="21">
        <v>0</v>
      </c>
      <c r="J320" s="21">
        <v>0</v>
      </c>
      <c r="K320" s="22">
        <v>0</v>
      </c>
      <c r="L320" s="36">
        <v>0.43</v>
      </c>
    </row>
    <row r="321" spans="1:12" x14ac:dyDescent="0.45">
      <c r="A321" s="9" t="s">
        <v>330</v>
      </c>
      <c r="B321" s="2">
        <f>IF(OR(Table1[[#This Row],[M score]]=1,AND(Table1[[#This Row],[F score]]=1,Table1[[#This Row],[Z score]]=1)),1,0)</f>
        <v>0</v>
      </c>
      <c r="C321" s="10">
        <v>0</v>
      </c>
      <c r="D321" s="10">
        <v>0</v>
      </c>
      <c r="E321" s="11">
        <v>0</v>
      </c>
      <c r="F321" s="12">
        <v>0.23184357541899442</v>
      </c>
      <c r="G321" s="13">
        <v>27.252868660311538</v>
      </c>
      <c r="H321" s="14">
        <v>28.22</v>
      </c>
      <c r="I321" s="15">
        <v>1</v>
      </c>
      <c r="J321" s="15">
        <v>0</v>
      </c>
      <c r="K321" s="16">
        <v>1</v>
      </c>
      <c r="L321" s="36">
        <v>16.11</v>
      </c>
    </row>
    <row r="322" spans="1:12" x14ac:dyDescent="0.45">
      <c r="A322" s="1" t="s">
        <v>331</v>
      </c>
      <c r="B322" s="2">
        <f>IF(OR(Table1[[#This Row],[M score]]=1,AND(Table1[[#This Row],[F score]]=1,Table1[[#This Row],[Z score]]=1)),1,0)</f>
        <v>1</v>
      </c>
      <c r="C322" s="17">
        <v>0</v>
      </c>
      <c r="D322" s="17">
        <v>1</v>
      </c>
      <c r="E322" s="18">
        <v>1</v>
      </c>
      <c r="F322" s="19">
        <v>4.0783132530120483</v>
      </c>
      <c r="G322" s="6">
        <v>31.136309129206484</v>
      </c>
      <c r="H322" s="20">
        <v>41.06</v>
      </c>
      <c r="I322" s="21">
        <v>1</v>
      </c>
      <c r="J322" s="21">
        <v>1</v>
      </c>
      <c r="K322" s="22">
        <v>1</v>
      </c>
      <c r="L322" s="36">
        <v>29.45</v>
      </c>
    </row>
    <row r="323" spans="1:12" x14ac:dyDescent="0.45">
      <c r="A323" s="9" t="s">
        <v>332</v>
      </c>
      <c r="B323" s="2">
        <f>IF(OR(Table1[[#This Row],[M score]]=1,AND(Table1[[#This Row],[F score]]=1,Table1[[#This Row],[Z score]]=1)),1,0)</f>
        <v>0</v>
      </c>
      <c r="C323" s="10">
        <v>0</v>
      </c>
      <c r="D323" s="10">
        <v>0</v>
      </c>
      <c r="E323" s="11">
        <v>0</v>
      </c>
      <c r="F323" s="12">
        <v>12.586466165413533</v>
      </c>
      <c r="G323" s="13">
        <v>30.343722379517853</v>
      </c>
      <c r="H323" s="14">
        <v>26.06</v>
      </c>
      <c r="I323" s="15">
        <v>1</v>
      </c>
      <c r="J323" s="15">
        <v>1</v>
      </c>
      <c r="K323" s="16">
        <v>1</v>
      </c>
      <c r="L323" s="36">
        <v>6.51</v>
      </c>
    </row>
    <row r="324" spans="1:12" x14ac:dyDescent="0.45">
      <c r="A324" s="1" t="s">
        <v>333</v>
      </c>
      <c r="B324" s="2">
        <f>IF(OR(Table1[[#This Row],[M score]]=1,AND(Table1[[#This Row],[F score]]=1,Table1[[#This Row],[Z score]]=1)),1,0)</f>
        <v>0</v>
      </c>
      <c r="C324" s="17">
        <v>0</v>
      </c>
      <c r="D324" s="17">
        <v>0</v>
      </c>
      <c r="E324" s="18">
        <v>0</v>
      </c>
      <c r="F324" s="19">
        <v>6.4102564102564097E-2</v>
      </c>
      <c r="G324" s="6">
        <v>31.196312982606273</v>
      </c>
      <c r="H324" s="20">
        <v>29.79</v>
      </c>
      <c r="I324" s="21">
        <v>1</v>
      </c>
      <c r="J324" s="21">
        <v>1</v>
      </c>
      <c r="K324" s="22">
        <v>1</v>
      </c>
      <c r="L324" s="36">
        <v>8.83</v>
      </c>
    </row>
    <row r="325" spans="1:12" x14ac:dyDescent="0.45">
      <c r="A325" s="9" t="s">
        <v>334</v>
      </c>
      <c r="B325" s="2">
        <f>IF(OR(Table1[[#This Row],[M score]]=1,AND(Table1[[#This Row],[F score]]=1,Table1[[#This Row],[Z score]]=1)),1,0)</f>
        <v>0</v>
      </c>
      <c r="C325" s="10">
        <v>0</v>
      </c>
      <c r="D325" s="10">
        <v>0</v>
      </c>
      <c r="E325" s="11">
        <v>0</v>
      </c>
      <c r="F325" s="12">
        <v>1.7621359223300972</v>
      </c>
      <c r="G325" s="13">
        <v>25.681962014121542</v>
      </c>
      <c r="H325" s="14">
        <v>27.95</v>
      </c>
      <c r="I325" s="15">
        <v>0</v>
      </c>
      <c r="J325" s="15">
        <v>0</v>
      </c>
      <c r="K325" s="16">
        <v>1</v>
      </c>
      <c r="L325" s="36">
        <v>3.55</v>
      </c>
    </row>
    <row r="326" spans="1:12" x14ac:dyDescent="0.45">
      <c r="A326" s="1" t="s">
        <v>335</v>
      </c>
      <c r="B326" s="2">
        <f>IF(OR(Table1[[#This Row],[M score]]=1,AND(Table1[[#This Row],[F score]]=1,Table1[[#This Row],[Z score]]=1)),1,0)</f>
        <v>0</v>
      </c>
      <c r="C326" s="17">
        <v>0</v>
      </c>
      <c r="D326" s="17">
        <v>1</v>
      </c>
      <c r="E326" s="18">
        <v>0</v>
      </c>
      <c r="F326" s="19">
        <v>0.21311475409836064</v>
      </c>
      <c r="G326" s="6">
        <v>28.761328616438675</v>
      </c>
      <c r="H326" s="20">
        <v>18.940000000000001</v>
      </c>
      <c r="I326" s="21">
        <v>1</v>
      </c>
      <c r="J326" s="21">
        <v>0</v>
      </c>
      <c r="K326" s="22">
        <v>1</v>
      </c>
      <c r="L326" s="36">
        <v>1.27</v>
      </c>
    </row>
    <row r="327" spans="1:12" x14ac:dyDescent="0.45">
      <c r="A327" s="9" t="s">
        <v>336</v>
      </c>
      <c r="B327" s="2">
        <f>IF(OR(Table1[[#This Row],[M score]]=1,AND(Table1[[#This Row],[F score]]=1,Table1[[#This Row],[Z score]]=1)),1,0)</f>
        <v>1</v>
      </c>
      <c r="C327" s="10">
        <v>0</v>
      </c>
      <c r="D327" s="10">
        <v>0</v>
      </c>
      <c r="E327" s="11">
        <v>1</v>
      </c>
      <c r="F327" s="12">
        <v>-0.18769230769230769</v>
      </c>
      <c r="G327" s="13">
        <v>27.333469130134024</v>
      </c>
      <c r="H327" s="14">
        <v>34.840000000000003</v>
      </c>
      <c r="I327" s="15">
        <v>1</v>
      </c>
      <c r="J327" s="15">
        <v>0</v>
      </c>
      <c r="K327" s="16">
        <v>1</v>
      </c>
      <c r="L327" s="36">
        <v>-1.65</v>
      </c>
    </row>
    <row r="328" spans="1:12" x14ac:dyDescent="0.45">
      <c r="A328" s="1" t="s">
        <v>337</v>
      </c>
      <c r="B328" s="2">
        <f>IF(OR(Table1[[#This Row],[M score]]=1,AND(Table1[[#This Row],[F score]]=1,Table1[[#This Row],[Z score]]=1)),1,0)</f>
        <v>1</v>
      </c>
      <c r="C328" s="17">
        <v>0</v>
      </c>
      <c r="D328" s="17">
        <v>0</v>
      </c>
      <c r="E328" s="18">
        <v>1</v>
      </c>
      <c r="F328" s="19">
        <v>1.0202543570419218</v>
      </c>
      <c r="G328" s="6">
        <v>26.251395410216745</v>
      </c>
      <c r="H328" s="20">
        <v>33.26</v>
      </c>
      <c r="I328" s="21">
        <v>1</v>
      </c>
      <c r="J328" s="21">
        <v>0</v>
      </c>
      <c r="K328" s="22">
        <v>1</v>
      </c>
      <c r="L328" s="36">
        <v>8.52</v>
      </c>
    </row>
    <row r="329" spans="1:12" x14ac:dyDescent="0.45">
      <c r="A329" s="9" t="s">
        <v>338</v>
      </c>
      <c r="B329" s="2">
        <f>IF(OR(Table1[[#This Row],[M score]]=1,AND(Table1[[#This Row],[F score]]=1,Table1[[#This Row],[Z score]]=1)),1,0)</f>
        <v>0</v>
      </c>
      <c r="C329" s="10">
        <v>0</v>
      </c>
      <c r="D329" s="10">
        <v>0</v>
      </c>
      <c r="E329" s="11">
        <v>0</v>
      </c>
      <c r="F329" s="12">
        <v>1.8360655737704918E-2</v>
      </c>
      <c r="G329" s="13">
        <v>27.443968244898542</v>
      </c>
      <c r="H329" s="14">
        <v>20.93</v>
      </c>
      <c r="I329" s="15">
        <v>0</v>
      </c>
      <c r="J329" s="15">
        <v>0</v>
      </c>
      <c r="K329" s="16">
        <v>1</v>
      </c>
      <c r="L329" s="36">
        <v>6.99</v>
      </c>
    </row>
    <row r="330" spans="1:12" x14ac:dyDescent="0.45">
      <c r="A330" s="1" t="s">
        <v>339</v>
      </c>
      <c r="B330" s="2">
        <f>IF(OR(Table1[[#This Row],[M score]]=1,AND(Table1[[#This Row],[F score]]=1,Table1[[#This Row],[Z score]]=1)),1,0)</f>
        <v>1</v>
      </c>
      <c r="C330" s="17">
        <v>0</v>
      </c>
      <c r="D330" s="17">
        <v>1</v>
      </c>
      <c r="E330" s="18">
        <v>1</v>
      </c>
      <c r="F330" s="19">
        <v>0.17207547169811321</v>
      </c>
      <c r="G330" s="6">
        <v>24.273996603689277</v>
      </c>
      <c r="H330" s="20">
        <v>49.04</v>
      </c>
      <c r="I330" s="21">
        <v>1</v>
      </c>
      <c r="J330" s="21">
        <v>0</v>
      </c>
      <c r="K330" s="22">
        <v>1</v>
      </c>
      <c r="L330" s="36">
        <v>17.13</v>
      </c>
    </row>
    <row r="331" spans="1:12" x14ac:dyDescent="0.45">
      <c r="A331" s="9" t="s">
        <v>340</v>
      </c>
      <c r="B331" s="2">
        <f>IF(OR(Table1[[#This Row],[M score]]=1,AND(Table1[[#This Row],[F score]]=1,Table1[[#This Row],[Z score]]=1)),1,0)</f>
        <v>0</v>
      </c>
      <c r="C331" s="10">
        <v>0</v>
      </c>
      <c r="D331" s="10">
        <v>0</v>
      </c>
      <c r="E331" s="11">
        <v>0</v>
      </c>
      <c r="F331" s="12">
        <v>-0.11570247933884298</v>
      </c>
      <c r="G331" s="13">
        <v>25.849360335181789</v>
      </c>
      <c r="H331" s="14">
        <v>14.99</v>
      </c>
      <c r="I331" s="15">
        <v>1</v>
      </c>
      <c r="J331" s="15">
        <v>0</v>
      </c>
      <c r="K331" s="16">
        <v>1</v>
      </c>
      <c r="L331" s="36">
        <v>0.83</v>
      </c>
    </row>
    <row r="332" spans="1:12" x14ac:dyDescent="0.45">
      <c r="A332" s="1" t="s">
        <v>341</v>
      </c>
      <c r="B332" s="2">
        <f>IF(OR(Table1[[#This Row],[M score]]=1,AND(Table1[[#This Row],[F score]]=1,Table1[[#This Row],[Z score]]=1)),1,0)</f>
        <v>0</v>
      </c>
      <c r="C332" s="17">
        <v>0</v>
      </c>
      <c r="D332" s="17">
        <v>0</v>
      </c>
      <c r="E332" s="18">
        <v>0</v>
      </c>
      <c r="F332" s="19">
        <v>-0.41689623507805323</v>
      </c>
      <c r="G332" s="6">
        <v>25.207612773006552</v>
      </c>
      <c r="H332" s="20">
        <v>77.13</v>
      </c>
      <c r="I332" s="21">
        <v>1</v>
      </c>
      <c r="J332" s="21">
        <v>0</v>
      </c>
      <c r="K332" s="22">
        <v>1</v>
      </c>
      <c r="L332" s="36">
        <v>-1.82</v>
      </c>
    </row>
    <row r="333" spans="1:12" x14ac:dyDescent="0.45">
      <c r="A333" s="9" t="s">
        <v>342</v>
      </c>
      <c r="B333" s="2">
        <f>IF(OR(Table1[[#This Row],[M score]]=1,AND(Table1[[#This Row],[F score]]=1,Table1[[#This Row],[Z score]]=1)),1,0)</f>
        <v>0</v>
      </c>
      <c r="C333" s="10">
        <v>0</v>
      </c>
      <c r="D333" s="10">
        <v>0</v>
      </c>
      <c r="E333" s="11">
        <v>0</v>
      </c>
      <c r="F333" s="12">
        <v>-0.12121212121212122</v>
      </c>
      <c r="G333" s="13">
        <v>29.752726268210655</v>
      </c>
      <c r="H333" s="14">
        <v>42.29</v>
      </c>
      <c r="I333" s="15">
        <v>1</v>
      </c>
      <c r="J333" s="15">
        <v>0</v>
      </c>
      <c r="K333" s="16">
        <v>1</v>
      </c>
      <c r="L333" s="36">
        <v>0.82</v>
      </c>
    </row>
    <row r="334" spans="1:12" x14ac:dyDescent="0.45">
      <c r="A334" s="1" t="s">
        <v>343</v>
      </c>
      <c r="B334" s="2">
        <f>IF(OR(Table1[[#This Row],[M score]]=1,AND(Table1[[#This Row],[F score]]=1,Table1[[#This Row],[Z score]]=1)),1,0)</f>
        <v>0</v>
      </c>
      <c r="C334" s="17">
        <v>0</v>
      </c>
      <c r="D334" s="17">
        <v>1</v>
      </c>
      <c r="E334" s="18">
        <v>0</v>
      </c>
      <c r="F334" s="19">
        <v>1.6805555555555556</v>
      </c>
      <c r="G334" s="6">
        <v>28.302427325680725</v>
      </c>
      <c r="H334" s="20">
        <v>22.79</v>
      </c>
      <c r="I334" s="21">
        <v>1</v>
      </c>
      <c r="J334" s="21">
        <v>1</v>
      </c>
      <c r="K334" s="22">
        <v>1</v>
      </c>
      <c r="L334" s="36">
        <v>4.82</v>
      </c>
    </row>
    <row r="335" spans="1:12" x14ac:dyDescent="0.45">
      <c r="A335" s="9" t="s">
        <v>344</v>
      </c>
      <c r="B335" s="2">
        <f>IF(OR(Table1[[#This Row],[M score]]=1,AND(Table1[[#This Row],[F score]]=1,Table1[[#This Row],[Z score]]=1)),1,0)</f>
        <v>0</v>
      </c>
      <c r="C335" s="10">
        <v>0</v>
      </c>
      <c r="D335" s="10">
        <v>0</v>
      </c>
      <c r="E335" s="11">
        <v>0</v>
      </c>
      <c r="F335" s="12">
        <v>-2.0169491525423728</v>
      </c>
      <c r="G335" s="13">
        <v>24.689777027658629</v>
      </c>
      <c r="H335" s="14">
        <v>12.58</v>
      </c>
      <c r="I335" s="15">
        <v>1</v>
      </c>
      <c r="J335" s="15">
        <v>0</v>
      </c>
      <c r="K335" s="16">
        <v>1</v>
      </c>
      <c r="L335" s="36">
        <v>0.6</v>
      </c>
    </row>
    <row r="336" spans="1:12" x14ac:dyDescent="0.45">
      <c r="A336" s="1" t="s">
        <v>345</v>
      </c>
      <c r="B336" s="2">
        <f>IF(OR(Table1[[#This Row],[M score]]=1,AND(Table1[[#This Row],[F score]]=1,Table1[[#This Row],[Z score]]=1)),1,0)</f>
        <v>1</v>
      </c>
      <c r="C336" s="17">
        <v>1</v>
      </c>
      <c r="D336" s="17">
        <v>1</v>
      </c>
      <c r="E336" s="18">
        <v>1</v>
      </c>
      <c r="F336" s="19">
        <v>7.7570671378091873</v>
      </c>
      <c r="G336" s="6">
        <v>31.722626195559066</v>
      </c>
      <c r="H336" s="20">
        <v>19.760000000000002</v>
      </c>
      <c r="I336" s="21">
        <v>1</v>
      </c>
      <c r="J336" s="21">
        <v>1</v>
      </c>
      <c r="K336" s="22">
        <v>1</v>
      </c>
      <c r="L336" s="36">
        <v>187.81</v>
      </c>
    </row>
    <row r="337" spans="1:12" x14ac:dyDescent="0.45">
      <c r="A337" s="9" t="s">
        <v>346</v>
      </c>
      <c r="B337" s="2">
        <f>IF(OR(Table1[[#This Row],[M score]]=1,AND(Table1[[#This Row],[F score]]=1,Table1[[#This Row],[Z score]]=1)),1,0)</f>
        <v>0</v>
      </c>
      <c r="C337" s="10">
        <v>0</v>
      </c>
      <c r="D337" s="10">
        <v>0</v>
      </c>
      <c r="E337" s="11">
        <v>0</v>
      </c>
      <c r="F337" s="12">
        <v>0.58567173538172124</v>
      </c>
      <c r="G337" s="13">
        <v>30.61468080824827</v>
      </c>
      <c r="H337" s="14">
        <v>20.89</v>
      </c>
      <c r="I337" s="15">
        <v>1</v>
      </c>
      <c r="J337" s="15">
        <v>0</v>
      </c>
      <c r="K337" s="16">
        <v>1</v>
      </c>
      <c r="L337" s="36">
        <v>39.61</v>
      </c>
    </row>
    <row r="338" spans="1:12" x14ac:dyDescent="0.45">
      <c r="A338" s="1" t="s">
        <v>347</v>
      </c>
      <c r="B338" s="2">
        <f>IF(OR(Table1[[#This Row],[M score]]=1,AND(Table1[[#This Row],[F score]]=1,Table1[[#This Row],[Z score]]=1)),1,0)</f>
        <v>0</v>
      </c>
      <c r="C338" s="17">
        <v>0</v>
      </c>
      <c r="D338" s="17">
        <v>0</v>
      </c>
      <c r="E338" s="18">
        <v>0</v>
      </c>
      <c r="F338" s="19">
        <v>0.40513552068473607</v>
      </c>
      <c r="G338" s="6">
        <v>26.622446029320677</v>
      </c>
      <c r="H338" s="20">
        <v>55.75</v>
      </c>
      <c r="I338" s="21">
        <v>0</v>
      </c>
      <c r="J338" s="21">
        <v>0</v>
      </c>
      <c r="K338" s="22">
        <v>1</v>
      </c>
      <c r="L338" s="36">
        <v>0.15</v>
      </c>
    </row>
    <row r="339" spans="1:12" x14ac:dyDescent="0.45">
      <c r="A339" s="9" t="s">
        <v>348</v>
      </c>
      <c r="B339" s="2">
        <f>IF(OR(Table1[[#This Row],[M score]]=1,AND(Table1[[#This Row],[F score]]=1,Table1[[#This Row],[Z score]]=1)),1,0)</f>
        <v>0</v>
      </c>
      <c r="C339" s="10">
        <v>0</v>
      </c>
      <c r="D339" s="10">
        <v>0</v>
      </c>
      <c r="E339" s="11">
        <v>0</v>
      </c>
      <c r="F339" s="12">
        <v>0.48149861239592967</v>
      </c>
      <c r="G339" s="13">
        <v>26.601337696699304</v>
      </c>
      <c r="H339" s="14">
        <v>33.270000000000003</v>
      </c>
      <c r="I339" s="15">
        <v>0</v>
      </c>
      <c r="J339" s="15">
        <v>0</v>
      </c>
      <c r="K339" s="16">
        <v>0</v>
      </c>
      <c r="L339" s="36">
        <v>2.37</v>
      </c>
    </row>
    <row r="340" spans="1:12" x14ac:dyDescent="0.45">
      <c r="A340" s="1" t="s">
        <v>349</v>
      </c>
      <c r="B340" s="2">
        <f>IF(OR(Table1[[#This Row],[M score]]=1,AND(Table1[[#This Row],[F score]]=1,Table1[[#This Row],[Z score]]=1)),1,0)</f>
        <v>0</v>
      </c>
      <c r="C340" s="17">
        <v>0</v>
      </c>
      <c r="D340" s="17">
        <v>1</v>
      </c>
      <c r="E340" s="18">
        <v>0</v>
      </c>
      <c r="F340" s="19">
        <v>0.10300147613580449</v>
      </c>
      <c r="G340" s="6">
        <v>25.943918915137949</v>
      </c>
      <c r="H340" s="20">
        <v>44.24</v>
      </c>
      <c r="I340" s="21">
        <v>1</v>
      </c>
      <c r="J340" s="21">
        <v>0</v>
      </c>
      <c r="K340" s="22">
        <v>1</v>
      </c>
      <c r="L340" s="36">
        <v>12.31</v>
      </c>
    </row>
    <row r="341" spans="1:12" x14ac:dyDescent="0.45">
      <c r="A341" s="9" t="s">
        <v>350</v>
      </c>
      <c r="B341" s="2">
        <f>IF(OR(Table1[[#This Row],[M score]]=1,AND(Table1[[#This Row],[F score]]=1,Table1[[#This Row],[Z score]]=1)),1,0)</f>
        <v>0</v>
      </c>
      <c r="C341" s="10">
        <v>0</v>
      </c>
      <c r="D341" s="10">
        <v>1</v>
      </c>
      <c r="E341" s="11">
        <v>0</v>
      </c>
      <c r="F341" s="12">
        <v>0.36647727272727271</v>
      </c>
      <c r="G341" s="13">
        <v>26.22350311835703</v>
      </c>
      <c r="H341" s="14">
        <v>18.36</v>
      </c>
      <c r="I341" s="15">
        <v>1</v>
      </c>
      <c r="J341" s="15">
        <v>0</v>
      </c>
      <c r="K341" s="16">
        <v>1</v>
      </c>
      <c r="L341" s="36">
        <v>7.05</v>
      </c>
    </row>
    <row r="342" spans="1:12" x14ac:dyDescent="0.45">
      <c r="A342" s="1" t="s">
        <v>351</v>
      </c>
      <c r="B342" s="2">
        <f>IF(OR(Table1[[#This Row],[M score]]=1,AND(Table1[[#This Row],[F score]]=1,Table1[[#This Row],[Z score]]=1)),1,0)</f>
        <v>0</v>
      </c>
      <c r="C342" s="17">
        <v>0</v>
      </c>
      <c r="D342" s="17">
        <v>0</v>
      </c>
      <c r="E342" s="18">
        <v>0</v>
      </c>
      <c r="F342" s="19">
        <v>0.28956834532374098</v>
      </c>
      <c r="G342" s="6">
        <v>27.513079873758173</v>
      </c>
      <c r="H342" s="20">
        <v>2.25</v>
      </c>
      <c r="I342" s="21">
        <v>1</v>
      </c>
      <c r="J342" s="21">
        <v>0</v>
      </c>
      <c r="K342" s="22">
        <v>1</v>
      </c>
      <c r="L342" s="36">
        <v>4.99</v>
      </c>
    </row>
    <row r="343" spans="1:12" x14ac:dyDescent="0.45">
      <c r="A343" s="9" t="s">
        <v>352</v>
      </c>
      <c r="B343" s="2">
        <f>IF(OR(Table1[[#This Row],[M score]]=1,AND(Table1[[#This Row],[F score]]=1,Table1[[#This Row],[Z score]]=1)),1,0)</f>
        <v>0</v>
      </c>
      <c r="C343" s="10">
        <v>0</v>
      </c>
      <c r="D343" s="10">
        <v>1</v>
      </c>
      <c r="E343" s="11">
        <v>0</v>
      </c>
      <c r="F343" s="12">
        <v>-0.25341057746215662</v>
      </c>
      <c r="G343" s="13">
        <v>27.849451473253396</v>
      </c>
      <c r="H343" s="14">
        <v>35.590000000000003</v>
      </c>
      <c r="I343" s="15">
        <v>1</v>
      </c>
      <c r="J343" s="15">
        <v>0</v>
      </c>
      <c r="K343" s="16">
        <v>1</v>
      </c>
      <c r="L343" s="36">
        <v>27.12</v>
      </c>
    </row>
    <row r="344" spans="1:12" x14ac:dyDescent="0.45">
      <c r="A344" s="1" t="s">
        <v>353</v>
      </c>
      <c r="B344" s="2">
        <f>IF(OR(Table1[[#This Row],[M score]]=1,AND(Table1[[#This Row],[F score]]=1,Table1[[#This Row],[Z score]]=1)),1,0)</f>
        <v>0</v>
      </c>
      <c r="C344" s="17">
        <v>1</v>
      </c>
      <c r="D344" s="17">
        <v>0</v>
      </c>
      <c r="E344" s="18">
        <v>0</v>
      </c>
      <c r="F344" s="19">
        <v>2.5354827847461907</v>
      </c>
      <c r="G344" s="6">
        <v>27.568720089731169</v>
      </c>
      <c r="H344" s="20">
        <v>5.3</v>
      </c>
      <c r="I344" s="21">
        <v>1</v>
      </c>
      <c r="J344" s="21">
        <v>0</v>
      </c>
      <c r="K344" s="22">
        <v>1</v>
      </c>
      <c r="L344" s="36">
        <v>475.01</v>
      </c>
    </row>
    <row r="345" spans="1:12" x14ac:dyDescent="0.45">
      <c r="A345" s="9" t="s">
        <v>354</v>
      </c>
      <c r="B345" s="2">
        <f>IF(OR(Table1[[#This Row],[M score]]=1,AND(Table1[[#This Row],[F score]]=1,Table1[[#This Row],[Z score]]=1)),1,0)</f>
        <v>1</v>
      </c>
      <c r="C345" s="10">
        <v>0</v>
      </c>
      <c r="D345" s="10">
        <v>0</v>
      </c>
      <c r="E345" s="11">
        <v>1</v>
      </c>
      <c r="F345" s="12">
        <v>-0.12371134020618557</v>
      </c>
      <c r="G345" s="13">
        <v>26.390841902333925</v>
      </c>
      <c r="H345" s="14">
        <v>47.37</v>
      </c>
      <c r="I345" s="15">
        <v>1</v>
      </c>
      <c r="J345" s="15">
        <v>1</v>
      </c>
      <c r="K345" s="16">
        <v>1</v>
      </c>
      <c r="L345" s="36">
        <v>4.26</v>
      </c>
    </row>
    <row r="346" spans="1:12" x14ac:dyDescent="0.45">
      <c r="A346" s="1" t="s">
        <v>355</v>
      </c>
      <c r="B346" s="2">
        <f>IF(OR(Table1[[#This Row],[M score]]=1,AND(Table1[[#This Row],[F score]]=1,Table1[[#This Row],[Z score]]=1)),1,0)</f>
        <v>1</v>
      </c>
      <c r="C346" s="17">
        <v>0</v>
      </c>
      <c r="D346" s="17">
        <v>1</v>
      </c>
      <c r="E346" s="18">
        <v>1</v>
      </c>
      <c r="F346" s="19">
        <v>-0.79937679769894532</v>
      </c>
      <c r="G346" s="6">
        <v>26.740396997761394</v>
      </c>
      <c r="H346" s="20">
        <v>44.1</v>
      </c>
      <c r="I346" s="21">
        <v>0</v>
      </c>
      <c r="J346" s="21">
        <v>1</v>
      </c>
      <c r="K346" s="22">
        <v>1</v>
      </c>
      <c r="L346" s="36">
        <v>13.7</v>
      </c>
    </row>
    <row r="347" spans="1:12" x14ac:dyDescent="0.45">
      <c r="A347" s="9" t="s">
        <v>356</v>
      </c>
      <c r="B347" s="2">
        <f>IF(OR(Table1[[#This Row],[M score]]=1,AND(Table1[[#This Row],[F score]]=1,Table1[[#This Row],[Z score]]=1)),1,0)</f>
        <v>1</v>
      </c>
      <c r="C347" s="10">
        <v>0</v>
      </c>
      <c r="D347" s="10">
        <v>0</v>
      </c>
      <c r="E347" s="11">
        <v>1</v>
      </c>
      <c r="F347" s="12">
        <v>-2.6755852842809364E-2</v>
      </c>
      <c r="G347" s="13">
        <v>28.203042763406284</v>
      </c>
      <c r="H347" s="14">
        <v>28.35</v>
      </c>
      <c r="I347" s="15">
        <v>1</v>
      </c>
      <c r="J347" s="15">
        <v>0</v>
      </c>
      <c r="K347" s="16">
        <v>1</v>
      </c>
      <c r="L347" s="36">
        <v>0.78</v>
      </c>
    </row>
    <row r="348" spans="1:12" x14ac:dyDescent="0.45">
      <c r="A348" s="1" t="s">
        <v>357</v>
      </c>
      <c r="B348" s="2">
        <f>IF(OR(Table1[[#This Row],[M score]]=1,AND(Table1[[#This Row],[F score]]=1,Table1[[#This Row],[Z score]]=1)),1,0)</f>
        <v>0</v>
      </c>
      <c r="C348" s="17">
        <v>0</v>
      </c>
      <c r="D348" s="17">
        <v>0</v>
      </c>
      <c r="E348" s="18">
        <v>0</v>
      </c>
      <c r="F348" s="19">
        <v>0.47349397590361447</v>
      </c>
      <c r="G348" s="6">
        <v>26.721209350152101</v>
      </c>
      <c r="H348" s="20">
        <v>18.68</v>
      </c>
      <c r="I348" s="21">
        <v>0</v>
      </c>
      <c r="J348" s="21">
        <v>0</v>
      </c>
      <c r="K348" s="22">
        <v>1</v>
      </c>
      <c r="L348" s="36">
        <v>10.69</v>
      </c>
    </row>
    <row r="349" spans="1:12" x14ac:dyDescent="0.45">
      <c r="A349" s="9" t="s">
        <v>358</v>
      </c>
      <c r="B349" s="2">
        <f>IF(OR(Table1[[#This Row],[M score]]=1,AND(Table1[[#This Row],[F score]]=1,Table1[[#This Row],[Z score]]=1)),1,0)</f>
        <v>0</v>
      </c>
      <c r="C349" s="10">
        <v>0</v>
      </c>
      <c r="D349" s="10">
        <v>0</v>
      </c>
      <c r="E349" s="11">
        <v>0</v>
      </c>
      <c r="F349" s="12">
        <v>5.5784381478921912</v>
      </c>
      <c r="G349" s="13">
        <v>24.971728078451257</v>
      </c>
      <c r="H349" s="14">
        <v>2.06</v>
      </c>
      <c r="I349" s="15">
        <v>1</v>
      </c>
      <c r="J349" s="15">
        <v>0</v>
      </c>
      <c r="K349" s="16">
        <v>1</v>
      </c>
      <c r="L349" s="36">
        <v>124.59</v>
      </c>
    </row>
    <row r="350" spans="1:12" x14ac:dyDescent="0.45">
      <c r="A350" s="1" t="s">
        <v>359</v>
      </c>
      <c r="B350" s="2">
        <f>IF(OR(Table1[[#This Row],[M score]]=1,AND(Table1[[#This Row],[F score]]=1,Table1[[#This Row],[Z score]]=1)),1,0)</f>
        <v>0</v>
      </c>
      <c r="C350" s="17">
        <v>0</v>
      </c>
      <c r="D350" s="17">
        <v>0</v>
      </c>
      <c r="E350" s="18">
        <v>0</v>
      </c>
      <c r="F350" s="19">
        <v>0.23157527069507511</v>
      </c>
      <c r="G350" s="6">
        <v>28.031138617710116</v>
      </c>
      <c r="H350" s="20">
        <v>20.239999999999998</v>
      </c>
      <c r="I350" s="21">
        <v>1</v>
      </c>
      <c r="J350" s="21">
        <v>0</v>
      </c>
      <c r="K350" s="22">
        <v>1</v>
      </c>
      <c r="L350" s="36">
        <v>4.8600000000000003</v>
      </c>
    </row>
    <row r="351" spans="1:12" x14ac:dyDescent="0.45">
      <c r="A351" s="9" t="s">
        <v>360</v>
      </c>
      <c r="B351" s="2">
        <f>IF(OR(Table1[[#This Row],[M score]]=1,AND(Table1[[#This Row],[F score]]=1,Table1[[#This Row],[Z score]]=1)),1,0)</f>
        <v>0</v>
      </c>
      <c r="C351" s="10">
        <v>0</v>
      </c>
      <c r="D351" s="10">
        <v>1</v>
      </c>
      <c r="E351" s="11">
        <v>0</v>
      </c>
      <c r="F351" s="12">
        <v>0.77586206896551724</v>
      </c>
      <c r="G351" s="13">
        <v>24.104223843952141</v>
      </c>
      <c r="H351" s="14">
        <v>0.05</v>
      </c>
      <c r="I351" s="15">
        <v>1</v>
      </c>
      <c r="J351" s="15">
        <v>0</v>
      </c>
      <c r="K351" s="16">
        <v>1</v>
      </c>
      <c r="L351" s="36">
        <v>0.45</v>
      </c>
    </row>
    <row r="352" spans="1:12" x14ac:dyDescent="0.45">
      <c r="A352" s="1" t="s">
        <v>361</v>
      </c>
      <c r="B352" s="2">
        <f>IF(OR(Table1[[#This Row],[M score]]=1,AND(Table1[[#This Row],[F score]]=1,Table1[[#This Row],[Z score]]=1)),1,0)</f>
        <v>0</v>
      </c>
      <c r="C352" s="17">
        <v>0</v>
      </c>
      <c r="D352" s="17">
        <v>1</v>
      </c>
      <c r="E352" s="18">
        <v>0</v>
      </c>
      <c r="F352" s="19">
        <v>0.22274881516587677</v>
      </c>
      <c r="G352" s="6">
        <v>28.376448418806156</v>
      </c>
      <c r="H352" s="20">
        <v>14.61</v>
      </c>
      <c r="I352" s="21">
        <v>1</v>
      </c>
      <c r="J352" s="21">
        <v>0</v>
      </c>
      <c r="K352" s="22">
        <v>1</v>
      </c>
      <c r="L352" s="36">
        <v>5.56</v>
      </c>
    </row>
    <row r="353" spans="1:12" x14ac:dyDescent="0.45">
      <c r="A353" s="9" t="s">
        <v>362</v>
      </c>
      <c r="B353" s="2">
        <f>IF(OR(Table1[[#This Row],[M score]]=1,AND(Table1[[#This Row],[F score]]=1,Table1[[#This Row],[Z score]]=1)),1,0)</f>
        <v>1</v>
      </c>
      <c r="C353" s="10">
        <v>1</v>
      </c>
      <c r="D353" s="10">
        <v>1</v>
      </c>
      <c r="E353" s="11">
        <v>1</v>
      </c>
      <c r="F353" s="12">
        <v>-2.7272727272727271</v>
      </c>
      <c r="G353" s="13">
        <v>23.927345090484945</v>
      </c>
      <c r="H353" s="14">
        <v>6.29</v>
      </c>
      <c r="I353" s="15">
        <v>0</v>
      </c>
      <c r="J353" s="15">
        <v>0</v>
      </c>
      <c r="K353" s="16">
        <v>0</v>
      </c>
      <c r="L353" s="36">
        <v>-2.33</v>
      </c>
    </row>
    <row r="354" spans="1:12" x14ac:dyDescent="0.45">
      <c r="A354" s="1" t="s">
        <v>363</v>
      </c>
      <c r="B354" s="2">
        <f>IF(OR(Table1[[#This Row],[M score]]=1,AND(Table1[[#This Row],[F score]]=1,Table1[[#This Row],[Z score]]=1)),1,0)</f>
        <v>1</v>
      </c>
      <c r="C354" s="17">
        <v>1</v>
      </c>
      <c r="D354" s="17">
        <v>0</v>
      </c>
      <c r="E354" s="18">
        <v>1</v>
      </c>
      <c r="F354" s="19">
        <v>2.711926605504587</v>
      </c>
      <c r="G354" s="6">
        <v>26.060237883885254</v>
      </c>
      <c r="H354" s="20">
        <v>18.5</v>
      </c>
      <c r="I354" s="21">
        <v>1</v>
      </c>
      <c r="J354" s="21">
        <v>0</v>
      </c>
      <c r="K354" s="22">
        <v>0</v>
      </c>
      <c r="L354" s="36">
        <v>91.71</v>
      </c>
    </row>
    <row r="355" spans="1:12" x14ac:dyDescent="0.45">
      <c r="A355" s="9" t="s">
        <v>364</v>
      </c>
      <c r="B355" s="2">
        <f>IF(OR(Table1[[#This Row],[M score]]=1,AND(Table1[[#This Row],[F score]]=1,Table1[[#This Row],[Z score]]=1)),1,0)</f>
        <v>0</v>
      </c>
      <c r="C355" s="10">
        <v>0</v>
      </c>
      <c r="D355" s="10">
        <v>0</v>
      </c>
      <c r="E355" s="11">
        <v>0</v>
      </c>
      <c r="F355" s="12">
        <v>-0.19288537549407114</v>
      </c>
      <c r="G355" s="13">
        <v>28.268232664158191</v>
      </c>
      <c r="H355" s="14">
        <v>13.69</v>
      </c>
      <c r="I355" s="15">
        <v>0</v>
      </c>
      <c r="J355" s="15">
        <v>0</v>
      </c>
      <c r="K355" s="16">
        <v>1</v>
      </c>
      <c r="L355" s="36">
        <v>0.26</v>
      </c>
    </row>
    <row r="356" spans="1:12" x14ac:dyDescent="0.45">
      <c r="A356" s="1" t="s">
        <v>365</v>
      </c>
      <c r="B356" s="2">
        <f>IF(OR(Table1[[#This Row],[M score]]=1,AND(Table1[[#This Row],[F score]]=1,Table1[[#This Row],[Z score]]=1)),1,0)</f>
        <v>0</v>
      </c>
      <c r="C356" s="17">
        <v>0</v>
      </c>
      <c r="D356" s="17">
        <v>1</v>
      </c>
      <c r="E356" s="18">
        <v>0</v>
      </c>
      <c r="F356" s="19">
        <v>-0.45474293989862419</v>
      </c>
      <c r="G356" s="6">
        <v>25.179123619747493</v>
      </c>
      <c r="H356" s="20">
        <v>31.97</v>
      </c>
      <c r="I356" s="21">
        <v>0</v>
      </c>
      <c r="J356" s="21">
        <v>0</v>
      </c>
      <c r="K356" s="22">
        <v>0</v>
      </c>
      <c r="L356" s="36">
        <v>-8.9700000000000006</v>
      </c>
    </row>
    <row r="357" spans="1:12" x14ac:dyDescent="0.45">
      <c r="A357" s="9" t="s">
        <v>366</v>
      </c>
      <c r="B357" s="2">
        <f>IF(OR(Table1[[#This Row],[M score]]=1,AND(Table1[[#This Row],[F score]]=1,Table1[[#This Row],[Z score]]=1)),1,0)</f>
        <v>0</v>
      </c>
      <c r="C357" s="10">
        <v>0</v>
      </c>
      <c r="D357" s="10">
        <v>1</v>
      </c>
      <c r="E357" s="11">
        <v>0</v>
      </c>
      <c r="F357" s="12">
        <v>-4.4960116026105876E-2</v>
      </c>
      <c r="G357" s="13">
        <v>30.033631531928787</v>
      </c>
      <c r="H357" s="14">
        <v>53.88</v>
      </c>
      <c r="I357" s="15">
        <v>1</v>
      </c>
      <c r="J357" s="15">
        <v>0</v>
      </c>
      <c r="K357" s="16">
        <v>1</v>
      </c>
      <c r="L357" s="36">
        <v>8.56</v>
      </c>
    </row>
    <row r="358" spans="1:12" x14ac:dyDescent="0.45">
      <c r="A358" s="1" t="s">
        <v>367</v>
      </c>
      <c r="B358" s="2">
        <f>IF(OR(Table1[[#This Row],[M score]]=1,AND(Table1[[#This Row],[F score]]=1,Table1[[#This Row],[Z score]]=1)),1,0)</f>
        <v>1</v>
      </c>
      <c r="C358" s="17">
        <v>0</v>
      </c>
      <c r="D358" s="17">
        <v>1</v>
      </c>
      <c r="E358" s="18">
        <v>1</v>
      </c>
      <c r="F358" s="19">
        <v>-1.3413729128014842</v>
      </c>
      <c r="G358" s="6">
        <v>26.474718105534489</v>
      </c>
      <c r="H358" s="20">
        <v>24.74</v>
      </c>
      <c r="I358" s="21">
        <v>1</v>
      </c>
      <c r="J358" s="21">
        <v>0</v>
      </c>
      <c r="K358" s="22">
        <v>1</v>
      </c>
      <c r="L358" s="36">
        <v>2.8</v>
      </c>
    </row>
    <row r="359" spans="1:12" x14ac:dyDescent="0.45">
      <c r="A359" s="9" t="s">
        <v>368</v>
      </c>
      <c r="B359" s="2">
        <f>IF(OR(Table1[[#This Row],[M score]]=1,AND(Table1[[#This Row],[F score]]=1,Table1[[#This Row],[Z score]]=1)),1,0)</f>
        <v>0</v>
      </c>
      <c r="C359" s="10">
        <v>0</v>
      </c>
      <c r="D359" s="10">
        <v>0</v>
      </c>
      <c r="E359" s="11">
        <v>0</v>
      </c>
      <c r="F359" s="12">
        <v>0.83053763440860218</v>
      </c>
      <c r="G359" s="13">
        <v>28.154375920671278</v>
      </c>
      <c r="H359" s="14">
        <v>16.75</v>
      </c>
      <c r="I359" s="15">
        <v>1</v>
      </c>
      <c r="J359" s="15">
        <v>0</v>
      </c>
      <c r="K359" s="16">
        <v>1</v>
      </c>
      <c r="L359" s="36">
        <v>10.99</v>
      </c>
    </row>
    <row r="360" spans="1:12" x14ac:dyDescent="0.45">
      <c r="A360" s="1" t="s">
        <v>369</v>
      </c>
      <c r="B360" s="2">
        <f>IF(OR(Table1[[#This Row],[M score]]=1,AND(Table1[[#This Row],[F score]]=1,Table1[[#This Row],[Z score]]=1)),1,0)</f>
        <v>0</v>
      </c>
      <c r="C360" s="17">
        <v>0</v>
      </c>
      <c r="D360" s="17">
        <v>0</v>
      </c>
      <c r="E360" s="18">
        <v>0</v>
      </c>
      <c r="F360" s="19">
        <v>0.56029882604055492</v>
      </c>
      <c r="G360" s="6">
        <v>27.997639006485265</v>
      </c>
      <c r="H360" s="20">
        <v>7.07</v>
      </c>
      <c r="I360" s="21">
        <v>1</v>
      </c>
      <c r="J360" s="21">
        <v>0</v>
      </c>
      <c r="K360" s="22">
        <v>1</v>
      </c>
      <c r="L360" s="36">
        <v>10.45</v>
      </c>
    </row>
    <row r="361" spans="1:12" x14ac:dyDescent="0.45">
      <c r="A361" s="9" t="s">
        <v>370</v>
      </c>
      <c r="B361" s="2">
        <f>IF(OR(Table1[[#This Row],[M score]]=1,AND(Table1[[#This Row],[F score]]=1,Table1[[#This Row],[Z score]]=1)),1,0)</f>
        <v>0</v>
      </c>
      <c r="C361" s="10">
        <v>0</v>
      </c>
      <c r="D361" s="10">
        <v>1</v>
      </c>
      <c r="E361" s="11">
        <v>0</v>
      </c>
      <c r="F361" s="12">
        <v>0.38763197586727</v>
      </c>
      <c r="G361" s="13">
        <v>28.453879903010151</v>
      </c>
      <c r="H361" s="14">
        <v>49</v>
      </c>
      <c r="I361" s="15">
        <v>0</v>
      </c>
      <c r="J361" s="15">
        <v>0</v>
      </c>
      <c r="K361" s="16">
        <v>0</v>
      </c>
      <c r="L361" s="36">
        <v>17.420000000000002</v>
      </c>
    </row>
    <row r="362" spans="1:12" x14ac:dyDescent="0.45">
      <c r="A362" s="1" t="s">
        <v>371</v>
      </c>
      <c r="B362" s="2">
        <f>IF(OR(Table1[[#This Row],[M score]]=1,AND(Table1[[#This Row],[F score]]=1,Table1[[#This Row],[Z score]]=1)),1,0)</f>
        <v>0</v>
      </c>
      <c r="C362" s="17">
        <v>0</v>
      </c>
      <c r="D362" s="17">
        <v>1</v>
      </c>
      <c r="E362" s="18">
        <v>0</v>
      </c>
      <c r="F362" s="19">
        <v>9.954545454545455</v>
      </c>
      <c r="G362" s="6">
        <v>26.679892299399608</v>
      </c>
      <c r="H362" s="20">
        <v>38.57</v>
      </c>
      <c r="I362" s="21">
        <v>1</v>
      </c>
      <c r="J362" s="21">
        <v>0</v>
      </c>
      <c r="K362" s="22">
        <v>1</v>
      </c>
      <c r="L362" s="36">
        <v>16.75</v>
      </c>
    </row>
    <row r="363" spans="1:12" x14ac:dyDescent="0.45">
      <c r="A363" s="9" t="s">
        <v>372</v>
      </c>
      <c r="B363" s="2">
        <f>IF(OR(Table1[[#This Row],[M score]]=1,AND(Table1[[#This Row],[F score]]=1,Table1[[#This Row],[Z score]]=1)),1,0)</f>
        <v>0</v>
      </c>
      <c r="C363" s="10">
        <v>0</v>
      </c>
      <c r="D363" s="10">
        <v>0</v>
      </c>
      <c r="E363" s="11">
        <v>0</v>
      </c>
      <c r="F363" s="12">
        <v>-0.25042548018477995</v>
      </c>
      <c r="G363" s="13">
        <v>28.429716794476533</v>
      </c>
      <c r="H363" s="14">
        <v>3.41</v>
      </c>
      <c r="I363" s="15">
        <v>1</v>
      </c>
      <c r="J363" s="15">
        <v>0</v>
      </c>
      <c r="K363" s="16">
        <v>1</v>
      </c>
      <c r="L363" s="36">
        <v>10.84</v>
      </c>
    </row>
    <row r="364" spans="1:12" x14ac:dyDescent="0.45">
      <c r="A364" s="1" t="s">
        <v>373</v>
      </c>
      <c r="B364" s="2">
        <f>IF(OR(Table1[[#This Row],[M score]]=1,AND(Table1[[#This Row],[F score]]=1,Table1[[#This Row],[Z score]]=1)),1,0)</f>
        <v>0</v>
      </c>
      <c r="C364" s="17">
        <v>0</v>
      </c>
      <c r="D364" s="17">
        <v>1</v>
      </c>
      <c r="E364" s="18">
        <v>0</v>
      </c>
      <c r="F364" s="19">
        <v>2.6483233018056751</v>
      </c>
      <c r="G364" s="6">
        <v>27.868182006573971</v>
      </c>
      <c r="H364" s="20">
        <v>13.52</v>
      </c>
      <c r="I364" s="21">
        <v>0</v>
      </c>
      <c r="J364" s="21">
        <v>0</v>
      </c>
      <c r="K364" s="22">
        <v>0</v>
      </c>
      <c r="L364" s="36">
        <v>29.03</v>
      </c>
    </row>
    <row r="365" spans="1:12" x14ac:dyDescent="0.45">
      <c r="A365" s="9" t="s">
        <v>374</v>
      </c>
      <c r="B365" s="2">
        <f>IF(OR(Table1[[#This Row],[M score]]=1,AND(Table1[[#This Row],[F score]]=1,Table1[[#This Row],[Z score]]=1)),1,0)</f>
        <v>0</v>
      </c>
      <c r="C365" s="10">
        <v>0</v>
      </c>
      <c r="D365" s="10">
        <v>1</v>
      </c>
      <c r="E365" s="11">
        <v>0</v>
      </c>
      <c r="F365" s="12">
        <v>-1.2600229095074456E-2</v>
      </c>
      <c r="G365" s="13">
        <v>25.735359480467359</v>
      </c>
      <c r="H365" s="14">
        <v>38.35</v>
      </c>
      <c r="I365" s="15">
        <v>1</v>
      </c>
      <c r="J365" s="15">
        <v>0</v>
      </c>
      <c r="K365" s="16">
        <v>1</v>
      </c>
      <c r="L365" s="36">
        <v>0.95</v>
      </c>
    </row>
    <row r="366" spans="1:12" x14ac:dyDescent="0.45">
      <c r="A366" s="1" t="s">
        <v>375</v>
      </c>
      <c r="B366" s="2">
        <f>IF(OR(Table1[[#This Row],[M score]]=1,AND(Table1[[#This Row],[F score]]=1,Table1[[#This Row],[Z score]]=1)),1,0)</f>
        <v>0</v>
      </c>
      <c r="C366" s="17">
        <v>0</v>
      </c>
      <c r="D366" s="17">
        <v>0</v>
      </c>
      <c r="E366" s="18">
        <v>0</v>
      </c>
      <c r="F366" s="19">
        <v>-0.35677966101694913</v>
      </c>
      <c r="G366" s="6">
        <v>24.966030404286784</v>
      </c>
      <c r="H366" s="20">
        <v>0.56999999999999995</v>
      </c>
      <c r="I366" s="21">
        <v>0</v>
      </c>
      <c r="J366" s="21">
        <v>0</v>
      </c>
      <c r="K366" s="22">
        <v>1</v>
      </c>
      <c r="L366" s="36">
        <v>-1.92</v>
      </c>
    </row>
    <row r="367" spans="1:12" x14ac:dyDescent="0.45">
      <c r="A367" s="9" t="s">
        <v>376</v>
      </c>
      <c r="B367" s="2">
        <f>IF(OR(Table1[[#This Row],[M score]]=1,AND(Table1[[#This Row],[F score]]=1,Table1[[#This Row],[Z score]]=1)),1,0)</f>
        <v>0</v>
      </c>
      <c r="C367" s="10">
        <v>0</v>
      </c>
      <c r="D367" s="10">
        <v>0</v>
      </c>
      <c r="E367" s="11">
        <v>0</v>
      </c>
      <c r="F367" s="12">
        <v>0.82110389610389611</v>
      </c>
      <c r="G367" s="13">
        <v>27.281274661903488</v>
      </c>
      <c r="H367" s="14">
        <v>26.83</v>
      </c>
      <c r="I367" s="15">
        <v>0</v>
      </c>
      <c r="J367" s="15">
        <v>1</v>
      </c>
      <c r="K367" s="16">
        <v>1</v>
      </c>
      <c r="L367" s="36">
        <v>20.18</v>
      </c>
    </row>
    <row r="368" spans="1:12" x14ac:dyDescent="0.45">
      <c r="A368" s="1" t="s">
        <v>377</v>
      </c>
      <c r="B368" s="2">
        <f>IF(OR(Table1[[#This Row],[M score]]=1,AND(Table1[[#This Row],[F score]]=1,Table1[[#This Row],[Z score]]=1)),1,0)</f>
        <v>0</v>
      </c>
      <c r="C368" s="17">
        <v>0</v>
      </c>
      <c r="D368" s="17">
        <v>0</v>
      </c>
      <c r="E368" s="18">
        <v>0</v>
      </c>
      <c r="F368" s="19">
        <v>-0.14616810877626699</v>
      </c>
      <c r="G368" s="6">
        <v>26.39549029583814</v>
      </c>
      <c r="H368" s="20">
        <v>12.57</v>
      </c>
      <c r="I368" s="21">
        <v>1</v>
      </c>
      <c r="J368" s="21">
        <v>0</v>
      </c>
      <c r="K368" s="22">
        <v>1</v>
      </c>
      <c r="L368" s="36">
        <v>248.77</v>
      </c>
    </row>
    <row r="369" spans="1:12" x14ac:dyDescent="0.45">
      <c r="A369" s="9" t="s">
        <v>378</v>
      </c>
      <c r="B369" s="2">
        <f>IF(OR(Table1[[#This Row],[M score]]=1,AND(Table1[[#This Row],[F score]]=1,Table1[[#This Row],[Z score]]=1)),1,0)</f>
        <v>0</v>
      </c>
      <c r="C369" s="10">
        <v>0</v>
      </c>
      <c r="D369" s="10">
        <v>0</v>
      </c>
      <c r="E369" s="11">
        <v>0</v>
      </c>
      <c r="F369" s="12">
        <v>0.19100467289719625</v>
      </c>
      <c r="G369" s="13">
        <v>25.811923053689398</v>
      </c>
      <c r="H369" s="14">
        <v>2.41</v>
      </c>
      <c r="I369" s="15">
        <v>1</v>
      </c>
      <c r="J369" s="15">
        <v>0</v>
      </c>
      <c r="K369" s="16">
        <v>1</v>
      </c>
      <c r="L369" s="36">
        <v>21.36</v>
      </c>
    </row>
    <row r="370" spans="1:12" x14ac:dyDescent="0.45">
      <c r="A370" s="1" t="s">
        <v>379</v>
      </c>
      <c r="B370" s="2">
        <f>IF(OR(Table1[[#This Row],[M score]]=1,AND(Table1[[#This Row],[F score]]=1,Table1[[#This Row],[Z score]]=1)),1,0)</f>
        <v>1</v>
      </c>
      <c r="C370" s="17">
        <v>0</v>
      </c>
      <c r="D370" s="17">
        <v>0</v>
      </c>
      <c r="E370" s="18">
        <v>1</v>
      </c>
      <c r="F370" s="19">
        <v>-0.26315789473684209</v>
      </c>
      <c r="G370" s="6">
        <v>26.643979201572854</v>
      </c>
      <c r="H370" s="20">
        <v>8.14</v>
      </c>
      <c r="I370" s="21">
        <v>1</v>
      </c>
      <c r="J370" s="21">
        <v>0</v>
      </c>
      <c r="K370" s="22">
        <v>1</v>
      </c>
      <c r="L370" s="36">
        <v>1.6</v>
      </c>
    </row>
    <row r="371" spans="1:12" x14ac:dyDescent="0.45">
      <c r="A371" s="9" t="s">
        <v>380</v>
      </c>
      <c r="B371" s="2">
        <f>IF(OR(Table1[[#This Row],[M score]]=1,AND(Table1[[#This Row],[F score]]=1,Table1[[#This Row],[Z score]]=1)),1,0)</f>
        <v>0</v>
      </c>
      <c r="C371" s="10">
        <v>0</v>
      </c>
      <c r="D371" s="10">
        <v>0</v>
      </c>
      <c r="E371" s="11">
        <v>0</v>
      </c>
      <c r="F371" s="12">
        <v>6.3616071428571425E-2</v>
      </c>
      <c r="G371" s="13">
        <v>25.102237825936953</v>
      </c>
      <c r="H371" s="14">
        <v>11.95</v>
      </c>
      <c r="I371" s="15">
        <v>1</v>
      </c>
      <c r="J371" s="15">
        <v>0</v>
      </c>
      <c r="K371" s="16">
        <v>1</v>
      </c>
      <c r="L371" s="36">
        <v>1.45</v>
      </c>
    </row>
    <row r="372" spans="1:12" x14ac:dyDescent="0.45">
      <c r="A372" s="1" t="s">
        <v>381</v>
      </c>
      <c r="B372" s="2">
        <f>IF(OR(Table1[[#This Row],[M score]]=1,AND(Table1[[#This Row],[F score]]=1,Table1[[#This Row],[Z score]]=1)),1,0)</f>
        <v>0</v>
      </c>
      <c r="C372" s="17">
        <v>0</v>
      </c>
      <c r="D372" s="17">
        <v>1</v>
      </c>
      <c r="E372" s="18">
        <v>0</v>
      </c>
      <c r="F372" s="19">
        <v>1.0138888888888888</v>
      </c>
      <c r="G372" s="6">
        <v>25.550939369361288</v>
      </c>
      <c r="H372" s="20">
        <v>41.15</v>
      </c>
      <c r="I372" s="21">
        <v>0</v>
      </c>
      <c r="J372" s="21">
        <v>0</v>
      </c>
      <c r="K372" s="22">
        <v>0</v>
      </c>
      <c r="L372" s="36">
        <v>-4.33</v>
      </c>
    </row>
    <row r="373" spans="1:12" x14ac:dyDescent="0.45">
      <c r="A373" s="9" t="s">
        <v>382</v>
      </c>
      <c r="B373" s="2">
        <f>IF(OR(Table1[[#This Row],[M score]]=1,AND(Table1[[#This Row],[F score]]=1,Table1[[#This Row],[Z score]]=1)),1,0)</f>
        <v>0</v>
      </c>
      <c r="C373" s="10">
        <v>0</v>
      </c>
      <c r="D373" s="10">
        <v>0</v>
      </c>
      <c r="E373" s="11">
        <v>0</v>
      </c>
      <c r="F373" s="12">
        <v>-0.35347292685176646</v>
      </c>
      <c r="G373" s="13">
        <v>33.088854412755332</v>
      </c>
      <c r="H373" s="14">
        <v>28.34</v>
      </c>
      <c r="I373" s="15">
        <v>1</v>
      </c>
      <c r="J373" s="15">
        <v>1</v>
      </c>
      <c r="K373" s="16">
        <v>1</v>
      </c>
      <c r="L373" s="36">
        <v>64.75</v>
      </c>
    </row>
    <row r="374" spans="1:12" x14ac:dyDescent="0.45">
      <c r="A374" s="1" t="s">
        <v>383</v>
      </c>
      <c r="B374" s="2">
        <f>IF(OR(Table1[[#This Row],[M score]]=1,AND(Table1[[#This Row],[F score]]=1,Table1[[#This Row],[Z score]]=1)),1,0)</f>
        <v>0</v>
      </c>
      <c r="C374" s="17">
        <v>0</v>
      </c>
      <c r="D374" s="17">
        <v>0</v>
      </c>
      <c r="E374" s="18">
        <v>0</v>
      </c>
      <c r="F374" s="19">
        <v>-1.9009504752376189E-2</v>
      </c>
      <c r="G374" s="6">
        <v>28.6952144777262</v>
      </c>
      <c r="H374" s="20">
        <v>2.5</v>
      </c>
      <c r="I374" s="21">
        <v>1</v>
      </c>
      <c r="J374" s="21">
        <v>1</v>
      </c>
      <c r="K374" s="22">
        <v>1</v>
      </c>
      <c r="L374" s="36">
        <v>-1.1200000000000001</v>
      </c>
    </row>
    <row r="375" spans="1:12" x14ac:dyDescent="0.45">
      <c r="A375" s="9" t="s">
        <v>384</v>
      </c>
      <c r="B375" s="2">
        <f>IF(OR(Table1[[#This Row],[M score]]=1,AND(Table1[[#This Row],[F score]]=1,Table1[[#This Row],[Z score]]=1)),1,0)</f>
        <v>0</v>
      </c>
      <c r="C375" s="10">
        <v>0</v>
      </c>
      <c r="D375" s="10">
        <v>1</v>
      </c>
      <c r="E375" s="11">
        <v>0</v>
      </c>
      <c r="F375" s="12">
        <v>-0.6</v>
      </c>
      <c r="G375" s="13">
        <v>24.037318170867216</v>
      </c>
      <c r="H375" s="14">
        <v>9.56</v>
      </c>
      <c r="I375" s="15">
        <v>1</v>
      </c>
      <c r="J375" s="15">
        <v>0</v>
      </c>
      <c r="K375" s="16">
        <v>1</v>
      </c>
      <c r="L375" s="36">
        <v>-0.23</v>
      </c>
    </row>
    <row r="376" spans="1:12" x14ac:dyDescent="0.45">
      <c r="A376" s="1" t="s">
        <v>385</v>
      </c>
      <c r="B376" s="2">
        <f>IF(OR(Table1[[#This Row],[M score]]=1,AND(Table1[[#This Row],[F score]]=1,Table1[[#This Row],[Z score]]=1)),1,0)</f>
        <v>0</v>
      </c>
      <c r="C376" s="17">
        <v>0</v>
      </c>
      <c r="D376" s="17">
        <v>0</v>
      </c>
      <c r="E376" s="18">
        <v>0</v>
      </c>
      <c r="F376" s="19">
        <v>-0.39277108433734942</v>
      </c>
      <c r="G376" s="6">
        <v>26.090098774424941</v>
      </c>
      <c r="H376" s="20">
        <v>39.4</v>
      </c>
      <c r="I376" s="21">
        <v>1</v>
      </c>
      <c r="J376" s="21">
        <v>0</v>
      </c>
      <c r="K376" s="22">
        <v>1</v>
      </c>
      <c r="L376" s="36">
        <v>-6.19</v>
      </c>
    </row>
    <row r="377" spans="1:12" x14ac:dyDescent="0.45">
      <c r="A377" s="9" t="s">
        <v>386</v>
      </c>
      <c r="B377" s="2">
        <f>IF(OR(Table1[[#This Row],[M score]]=1,AND(Table1[[#This Row],[F score]]=1,Table1[[#This Row],[Z score]]=1)),1,0)</f>
        <v>0</v>
      </c>
      <c r="C377" s="10">
        <v>0</v>
      </c>
      <c r="D377" s="10">
        <v>1</v>
      </c>
      <c r="E377" s="11">
        <v>0</v>
      </c>
      <c r="F377" s="12">
        <v>1.3870967741935485</v>
      </c>
      <c r="G377" s="13">
        <v>26.490520173436362</v>
      </c>
      <c r="H377" s="14">
        <v>29.62</v>
      </c>
      <c r="I377" s="15">
        <v>0</v>
      </c>
      <c r="J377" s="15">
        <v>0</v>
      </c>
      <c r="K377" s="16">
        <v>0</v>
      </c>
      <c r="L377" s="36">
        <v>1.26</v>
      </c>
    </row>
    <row r="378" spans="1:12" x14ac:dyDescent="0.45">
      <c r="A378" s="1" t="s">
        <v>387</v>
      </c>
      <c r="B378" s="2">
        <f>IF(OR(Table1[[#This Row],[M score]]=1,AND(Table1[[#This Row],[F score]]=1,Table1[[#This Row],[Z score]]=1)),1,0)</f>
        <v>0</v>
      </c>
      <c r="C378" s="17">
        <v>0</v>
      </c>
      <c r="D378" s="17">
        <v>0</v>
      </c>
      <c r="E378" s="18">
        <v>0</v>
      </c>
      <c r="F378" s="19">
        <v>9.836363636363636</v>
      </c>
      <c r="G378" s="6">
        <v>26.346214652431616</v>
      </c>
      <c r="H378" s="20">
        <v>22.4</v>
      </c>
      <c r="I378" s="21">
        <v>1</v>
      </c>
      <c r="J378" s="21">
        <v>0</v>
      </c>
      <c r="K378" s="22">
        <v>1</v>
      </c>
      <c r="L378" s="36">
        <v>33.08</v>
      </c>
    </row>
    <row r="379" spans="1:12" x14ac:dyDescent="0.45">
      <c r="A379" s="9" t="s">
        <v>388</v>
      </c>
      <c r="B379" s="2">
        <f>IF(OR(Table1[[#This Row],[M score]]=1,AND(Table1[[#This Row],[F score]]=1,Table1[[#This Row],[Z score]]=1)),1,0)</f>
        <v>1</v>
      </c>
      <c r="C379" s="10">
        <v>0</v>
      </c>
      <c r="D379" s="10">
        <v>0</v>
      </c>
      <c r="E379" s="11">
        <v>1</v>
      </c>
      <c r="F379" s="12">
        <v>1.6273393002441008E-3</v>
      </c>
      <c r="G379" s="13">
        <v>26.398768857313041</v>
      </c>
      <c r="H379" s="14">
        <v>7.43</v>
      </c>
      <c r="I379" s="15">
        <v>1</v>
      </c>
      <c r="J379" s="15">
        <v>0</v>
      </c>
      <c r="K379" s="16">
        <v>0</v>
      </c>
      <c r="L379" s="36">
        <v>0.14000000000000001</v>
      </c>
    </row>
    <row r="380" spans="1:12" x14ac:dyDescent="0.45">
      <c r="A380" s="1" t="s">
        <v>389</v>
      </c>
      <c r="B380" s="2">
        <f>IF(OR(Table1[[#This Row],[M score]]=1,AND(Table1[[#This Row],[F score]]=1,Table1[[#This Row],[Z score]]=1)),1,0)</f>
        <v>1</v>
      </c>
      <c r="C380" s="17">
        <v>0</v>
      </c>
      <c r="D380" s="17">
        <v>0</v>
      </c>
      <c r="E380" s="18">
        <v>1</v>
      </c>
      <c r="F380" s="19">
        <v>0.18703703703703703</v>
      </c>
      <c r="G380" s="6">
        <v>25.271865671446108</v>
      </c>
      <c r="H380" s="20">
        <v>56.35</v>
      </c>
      <c r="I380" s="21">
        <v>1</v>
      </c>
      <c r="J380" s="21">
        <v>0</v>
      </c>
      <c r="K380" s="22">
        <v>1</v>
      </c>
      <c r="L380" s="36">
        <v>3.71</v>
      </c>
    </row>
    <row r="381" spans="1:12" x14ac:dyDescent="0.45">
      <c r="A381" s="9" t="s">
        <v>390</v>
      </c>
      <c r="B381" s="2">
        <f>IF(OR(Table1[[#This Row],[M score]]=1,AND(Table1[[#This Row],[F score]]=1,Table1[[#This Row],[Z score]]=1)),1,0)</f>
        <v>0</v>
      </c>
      <c r="C381" s="10">
        <v>0</v>
      </c>
      <c r="D381" s="10">
        <v>0</v>
      </c>
      <c r="E381" s="11">
        <v>0</v>
      </c>
      <c r="F381" s="12">
        <v>-0.87843551797040165</v>
      </c>
      <c r="G381" s="13">
        <v>25.402595058784453</v>
      </c>
      <c r="H381" s="14">
        <v>21.76</v>
      </c>
      <c r="I381" s="15">
        <v>1</v>
      </c>
      <c r="J381" s="15">
        <v>1</v>
      </c>
      <c r="K381" s="16">
        <v>1</v>
      </c>
      <c r="L381" s="36">
        <v>1.47</v>
      </c>
    </row>
    <row r="382" spans="1:12" x14ac:dyDescent="0.45">
      <c r="A382" s="1" t="s">
        <v>391</v>
      </c>
      <c r="B382" s="2">
        <f>IF(OR(Table1[[#This Row],[M score]]=1,AND(Table1[[#This Row],[F score]]=1,Table1[[#This Row],[Z score]]=1)),1,0)</f>
        <v>0</v>
      </c>
      <c r="C382" s="17">
        <v>0</v>
      </c>
      <c r="D382" s="17">
        <v>1</v>
      </c>
      <c r="E382" s="18">
        <v>0</v>
      </c>
      <c r="F382" s="19">
        <v>0.8214285714285714</v>
      </c>
      <c r="G382" s="6">
        <v>27.065327394721002</v>
      </c>
      <c r="H382" s="20">
        <v>22.93</v>
      </c>
      <c r="I382" s="21">
        <v>0</v>
      </c>
      <c r="J382" s="21">
        <v>0</v>
      </c>
      <c r="K382" s="22">
        <v>0</v>
      </c>
      <c r="L382" s="36">
        <v>0.95</v>
      </c>
    </row>
    <row r="383" spans="1:12" x14ac:dyDescent="0.45">
      <c r="A383" s="9" t="s">
        <v>392</v>
      </c>
      <c r="B383" s="2">
        <f>IF(OR(Table1[[#This Row],[M score]]=1,AND(Table1[[#This Row],[F score]]=1,Table1[[#This Row],[Z score]]=1)),1,0)</f>
        <v>0</v>
      </c>
      <c r="C383" s="10">
        <v>0</v>
      </c>
      <c r="D383" s="10">
        <v>0</v>
      </c>
      <c r="E383" s="11">
        <v>0</v>
      </c>
      <c r="F383" s="12">
        <v>19.433734939759034</v>
      </c>
      <c r="G383" s="13">
        <v>30.128293644654242</v>
      </c>
      <c r="H383" s="14">
        <v>35.96</v>
      </c>
      <c r="I383" s="15">
        <v>0</v>
      </c>
      <c r="J383" s="15">
        <v>1</v>
      </c>
      <c r="K383" s="16">
        <v>1</v>
      </c>
      <c r="L383" s="36">
        <v>16.37</v>
      </c>
    </row>
    <row r="384" spans="1:12" x14ac:dyDescent="0.45">
      <c r="A384" s="1" t="s">
        <v>393</v>
      </c>
      <c r="B384" s="2">
        <f>IF(OR(Table1[[#This Row],[M score]]=1,AND(Table1[[#This Row],[F score]]=1,Table1[[#This Row],[Z score]]=1)),1,0)</f>
        <v>0</v>
      </c>
      <c r="C384" s="17">
        <v>0</v>
      </c>
      <c r="D384" s="17">
        <v>0</v>
      </c>
      <c r="E384" s="18">
        <v>0</v>
      </c>
      <c r="F384" s="19">
        <v>0.42704550309762873</v>
      </c>
      <c r="G384" s="6">
        <v>26.937873935368604</v>
      </c>
      <c r="H384" s="20">
        <v>49.53</v>
      </c>
      <c r="I384" s="21">
        <v>0</v>
      </c>
      <c r="J384" s="21">
        <v>0</v>
      </c>
      <c r="K384" s="22">
        <v>1</v>
      </c>
      <c r="L384" s="36">
        <v>27.24</v>
      </c>
    </row>
    <row r="385" spans="1:12" x14ac:dyDescent="0.45">
      <c r="A385" s="9" t="s">
        <v>394</v>
      </c>
      <c r="B385" s="2">
        <f>IF(OR(Table1[[#This Row],[M score]]=1,AND(Table1[[#This Row],[F score]]=1,Table1[[#This Row],[Z score]]=1)),1,0)</f>
        <v>0</v>
      </c>
      <c r="C385" s="10">
        <v>0</v>
      </c>
      <c r="D385" s="10">
        <v>0</v>
      </c>
      <c r="E385" s="11">
        <v>0</v>
      </c>
      <c r="F385" s="12">
        <v>-3.7032520325203251</v>
      </c>
      <c r="G385" s="13">
        <v>29.538838043972362</v>
      </c>
      <c r="H385" s="14">
        <v>42.03</v>
      </c>
      <c r="I385" s="15">
        <v>0</v>
      </c>
      <c r="J385" s="15">
        <v>1</v>
      </c>
      <c r="K385" s="16">
        <v>1</v>
      </c>
      <c r="L385" s="36">
        <v>9.3800000000000008</v>
      </c>
    </row>
    <row r="386" spans="1:12" x14ac:dyDescent="0.45">
      <c r="A386" s="1" t="s">
        <v>395</v>
      </c>
      <c r="B386" s="2">
        <f>IF(OR(Table1[[#This Row],[M score]]=1,AND(Table1[[#This Row],[F score]]=1,Table1[[#This Row],[Z score]]=1)),1,0)</f>
        <v>0</v>
      </c>
      <c r="C386" s="17">
        <v>0</v>
      </c>
      <c r="D386" s="17">
        <v>0</v>
      </c>
      <c r="E386" s="18">
        <v>0</v>
      </c>
      <c r="F386" s="19">
        <v>0.1702127659574468</v>
      </c>
      <c r="G386" s="6">
        <v>28.926106328732182</v>
      </c>
      <c r="H386" s="20">
        <v>27.68</v>
      </c>
      <c r="I386" s="21">
        <v>1</v>
      </c>
      <c r="J386" s="21">
        <v>0</v>
      </c>
      <c r="K386" s="22">
        <v>1</v>
      </c>
      <c r="L386" s="36">
        <v>7.43</v>
      </c>
    </row>
    <row r="387" spans="1:12" x14ac:dyDescent="0.45">
      <c r="A387" s="9" t="s">
        <v>396</v>
      </c>
      <c r="B387" s="2">
        <f>IF(OR(Table1[[#This Row],[M score]]=1,AND(Table1[[#This Row],[F score]]=1,Table1[[#This Row],[Z score]]=1)),1,0)</f>
        <v>1</v>
      </c>
      <c r="C387" s="10">
        <v>0</v>
      </c>
      <c r="D387" s="10">
        <v>0</v>
      </c>
      <c r="E387" s="11">
        <v>1</v>
      </c>
      <c r="F387" s="12">
        <v>0.97846374730796837</v>
      </c>
      <c r="G387" s="13">
        <v>32.393860456465731</v>
      </c>
      <c r="H387" s="14">
        <v>50.31</v>
      </c>
      <c r="I387" s="15">
        <v>1</v>
      </c>
      <c r="J387" s="15">
        <v>1</v>
      </c>
      <c r="K387" s="16">
        <v>1</v>
      </c>
      <c r="L387" s="36">
        <v>10.62</v>
      </c>
    </row>
    <row r="388" spans="1:12" x14ac:dyDescent="0.45">
      <c r="A388" s="1" t="s">
        <v>397</v>
      </c>
      <c r="B388" s="2">
        <f>IF(OR(Table1[[#This Row],[M score]]=1,AND(Table1[[#This Row],[F score]]=1,Table1[[#This Row],[Z score]]=1)),1,0)</f>
        <v>0</v>
      </c>
      <c r="C388" s="17">
        <v>0</v>
      </c>
      <c r="D388" s="17">
        <v>1</v>
      </c>
      <c r="E388" s="18">
        <v>0</v>
      </c>
      <c r="F388" s="19">
        <v>-1.0067069081153588</v>
      </c>
      <c r="G388" s="6">
        <v>30.928922744842087</v>
      </c>
      <c r="H388" s="20">
        <v>42.72</v>
      </c>
      <c r="I388" s="21">
        <v>0</v>
      </c>
      <c r="J388" s="21">
        <v>1</v>
      </c>
      <c r="K388" s="22">
        <v>1</v>
      </c>
      <c r="L388" s="36">
        <v>0.15</v>
      </c>
    </row>
    <row r="389" spans="1:12" x14ac:dyDescent="0.45">
      <c r="A389" s="9" t="s">
        <v>398</v>
      </c>
      <c r="B389" s="2">
        <f>IF(OR(Table1[[#This Row],[M score]]=1,AND(Table1[[#This Row],[F score]]=1,Table1[[#This Row],[Z score]]=1)),1,0)</f>
        <v>0</v>
      </c>
      <c r="C389" s="10">
        <v>0</v>
      </c>
      <c r="D389" s="10">
        <v>1</v>
      </c>
      <c r="E389" s="11">
        <v>0</v>
      </c>
      <c r="F389" s="12">
        <v>0.18584070796460178</v>
      </c>
      <c r="G389" s="13">
        <v>27.343056139463201</v>
      </c>
      <c r="H389" s="14">
        <v>15.34</v>
      </c>
      <c r="I389" s="15">
        <v>1</v>
      </c>
      <c r="J389" s="15">
        <v>0</v>
      </c>
      <c r="K389" s="16">
        <v>1</v>
      </c>
      <c r="L389" s="36">
        <v>37.840000000000003</v>
      </c>
    </row>
    <row r="390" spans="1:12" x14ac:dyDescent="0.45">
      <c r="A390" s="1" t="s">
        <v>399</v>
      </c>
      <c r="B390" s="2">
        <f>IF(OR(Table1[[#This Row],[M score]]=1,AND(Table1[[#This Row],[F score]]=1,Table1[[#This Row],[Z score]]=1)),1,0)</f>
        <v>0</v>
      </c>
      <c r="C390" s="17">
        <v>0</v>
      </c>
      <c r="D390" s="17">
        <v>0</v>
      </c>
      <c r="E390" s="18">
        <v>0</v>
      </c>
      <c r="F390" s="19">
        <v>-0.32183908045977011</v>
      </c>
      <c r="G390" s="6">
        <v>27.997390545588935</v>
      </c>
      <c r="H390" s="20">
        <v>6.07</v>
      </c>
      <c r="I390" s="21">
        <v>0</v>
      </c>
      <c r="J390" s="21">
        <v>0</v>
      </c>
      <c r="K390" s="22">
        <v>1</v>
      </c>
      <c r="L390" s="36">
        <v>13.89</v>
      </c>
    </row>
    <row r="391" spans="1:12" x14ac:dyDescent="0.45">
      <c r="A391" s="9" t="s">
        <v>400</v>
      </c>
      <c r="B391" s="2">
        <f>IF(OR(Table1[[#This Row],[M score]]=1,AND(Table1[[#This Row],[F score]]=1,Table1[[#This Row],[Z score]]=1)),1,0)</f>
        <v>1</v>
      </c>
      <c r="C391" s="10">
        <v>0</v>
      </c>
      <c r="D391" s="10">
        <v>0</v>
      </c>
      <c r="E391" s="11">
        <v>1</v>
      </c>
      <c r="F391" s="12">
        <v>0.45</v>
      </c>
      <c r="G391" s="13">
        <v>25.639590451571426</v>
      </c>
      <c r="H391" s="14">
        <v>27.11</v>
      </c>
      <c r="I391" s="15">
        <v>0</v>
      </c>
      <c r="J391" s="15">
        <v>0</v>
      </c>
      <c r="K391" s="16">
        <v>1</v>
      </c>
      <c r="L391" s="36">
        <v>3.44</v>
      </c>
    </row>
    <row r="392" spans="1:12" x14ac:dyDescent="0.45">
      <c r="A392" s="1" t="s">
        <v>401</v>
      </c>
      <c r="B392" s="2">
        <f>IF(OR(Table1[[#This Row],[M score]]=1,AND(Table1[[#This Row],[F score]]=1,Table1[[#This Row],[Z score]]=1)),1,0)</f>
        <v>0</v>
      </c>
      <c r="C392" s="17">
        <v>0</v>
      </c>
      <c r="D392" s="17">
        <v>0</v>
      </c>
      <c r="E392" s="18">
        <v>0</v>
      </c>
      <c r="F392" s="19">
        <v>1.1660447761194031E-2</v>
      </c>
      <c r="G392" s="6">
        <v>28.162237429342273</v>
      </c>
      <c r="H392" s="20">
        <v>11.17</v>
      </c>
      <c r="I392" s="21">
        <v>1</v>
      </c>
      <c r="J392" s="21">
        <v>0</v>
      </c>
      <c r="K392" s="22">
        <v>1</v>
      </c>
      <c r="L392" s="36">
        <v>3.85</v>
      </c>
    </row>
    <row r="393" spans="1:12" x14ac:dyDescent="0.45">
      <c r="A393" s="9" t="s">
        <v>402</v>
      </c>
      <c r="B393" s="2">
        <f>IF(OR(Table1[[#This Row],[M score]]=1,AND(Table1[[#This Row],[F score]]=1,Table1[[#This Row],[Z score]]=1)),1,0)</f>
        <v>0</v>
      </c>
      <c r="C393" s="10">
        <v>0</v>
      </c>
      <c r="D393" s="10">
        <v>0</v>
      </c>
      <c r="E393" s="11">
        <v>0</v>
      </c>
      <c r="F393" s="12">
        <v>0.41946697566628044</v>
      </c>
      <c r="G393" s="13">
        <v>28.179142524438237</v>
      </c>
      <c r="H393" s="14">
        <v>15.95</v>
      </c>
      <c r="I393" s="15">
        <v>0</v>
      </c>
      <c r="J393" s="15">
        <v>0</v>
      </c>
      <c r="K393" s="16">
        <v>1</v>
      </c>
      <c r="L393" s="36">
        <v>13.66</v>
      </c>
    </row>
    <row r="394" spans="1:12" x14ac:dyDescent="0.45">
      <c r="A394" s="1" t="s">
        <v>403</v>
      </c>
      <c r="B394" s="2">
        <f>IF(OR(Table1[[#This Row],[M score]]=1,AND(Table1[[#This Row],[F score]]=1,Table1[[#This Row],[Z score]]=1)),1,0)</f>
        <v>0</v>
      </c>
      <c r="C394" s="17">
        <v>0</v>
      </c>
      <c r="D394" s="17">
        <v>0</v>
      </c>
      <c r="E394" s="18">
        <v>0</v>
      </c>
      <c r="F394" s="19">
        <v>-3.5056446821152706E-2</v>
      </c>
      <c r="G394" s="6">
        <v>31.646812350799397</v>
      </c>
      <c r="H394" s="20">
        <v>15.34</v>
      </c>
      <c r="I394" s="21">
        <v>0</v>
      </c>
      <c r="J394" s="21">
        <v>0</v>
      </c>
      <c r="K394" s="22">
        <v>0</v>
      </c>
      <c r="L394" s="36">
        <v>11.01</v>
      </c>
    </row>
    <row r="395" spans="1:12" x14ac:dyDescent="0.45">
      <c r="A395" s="9" t="s">
        <v>404</v>
      </c>
      <c r="B395" s="2">
        <f>IF(OR(Table1[[#This Row],[M score]]=1,AND(Table1[[#This Row],[F score]]=1,Table1[[#This Row],[Z score]]=1)),1,0)</f>
        <v>0</v>
      </c>
      <c r="C395" s="10">
        <v>0</v>
      </c>
      <c r="D395" s="10">
        <v>0</v>
      </c>
      <c r="E395" s="11">
        <v>0</v>
      </c>
      <c r="F395" s="12">
        <v>0.875490966221524</v>
      </c>
      <c r="G395" s="13">
        <v>32.50389190162673</v>
      </c>
      <c r="H395" s="14">
        <v>35.65</v>
      </c>
      <c r="I395" s="15">
        <v>1</v>
      </c>
      <c r="J395" s="15">
        <v>1</v>
      </c>
      <c r="K395" s="16">
        <v>1</v>
      </c>
      <c r="L395" s="36">
        <v>17.98</v>
      </c>
    </row>
    <row r="396" spans="1:12" x14ac:dyDescent="0.45">
      <c r="A396" s="1" t="s">
        <v>405</v>
      </c>
      <c r="B396" s="2">
        <f>IF(OR(Table1[[#This Row],[M score]]=1,AND(Table1[[#This Row],[F score]]=1,Table1[[#This Row],[Z score]]=1)),1,0)</f>
        <v>0</v>
      </c>
      <c r="C396" s="17">
        <v>0</v>
      </c>
      <c r="D396" s="17">
        <v>1</v>
      </c>
      <c r="E396" s="18">
        <v>0</v>
      </c>
      <c r="F396" s="19">
        <v>0.53379310344827591</v>
      </c>
      <c r="G396" s="6">
        <v>27.940802379348359</v>
      </c>
      <c r="H396" s="20">
        <v>61.9</v>
      </c>
      <c r="I396" s="21">
        <v>0</v>
      </c>
      <c r="J396" s="21">
        <v>1</v>
      </c>
      <c r="K396" s="22">
        <v>1</v>
      </c>
      <c r="L396" s="36">
        <v>17.760000000000002</v>
      </c>
    </row>
    <row r="397" spans="1:12" x14ac:dyDescent="0.45">
      <c r="A397" s="9" t="s">
        <v>406</v>
      </c>
      <c r="B397" s="2">
        <f>IF(OR(Table1[[#This Row],[M score]]=1,AND(Table1[[#This Row],[F score]]=1,Table1[[#This Row],[Z score]]=1)),1,0)</f>
        <v>0</v>
      </c>
      <c r="C397" s="10">
        <v>0</v>
      </c>
      <c r="D397" s="10">
        <v>0</v>
      </c>
      <c r="E397" s="11">
        <v>0</v>
      </c>
      <c r="F397" s="12">
        <v>0.20067453625632378</v>
      </c>
      <c r="G397" s="13">
        <v>28.473388238640773</v>
      </c>
      <c r="H397" s="14">
        <v>55.04</v>
      </c>
      <c r="I397" s="15">
        <v>1</v>
      </c>
      <c r="J397" s="15">
        <v>0</v>
      </c>
      <c r="K397" s="16">
        <v>1</v>
      </c>
      <c r="L397" s="36">
        <v>-20.36</v>
      </c>
    </row>
    <row r="398" spans="1:12" x14ac:dyDescent="0.45">
      <c r="A398" s="1" t="s">
        <v>407</v>
      </c>
      <c r="B398" s="2">
        <f>IF(OR(Table1[[#This Row],[M score]]=1,AND(Table1[[#This Row],[F score]]=1,Table1[[#This Row],[Z score]]=1)),1,0)</f>
        <v>0</v>
      </c>
      <c r="C398" s="17">
        <v>0</v>
      </c>
      <c r="D398" s="17">
        <v>0</v>
      </c>
      <c r="E398" s="18">
        <v>0</v>
      </c>
      <c r="F398" s="19">
        <v>4.9704142011834318E-2</v>
      </c>
      <c r="G398" s="6">
        <v>26.481176301342238</v>
      </c>
      <c r="H398" s="20">
        <v>67.86</v>
      </c>
      <c r="I398" s="21">
        <v>1</v>
      </c>
      <c r="J398" s="21">
        <v>0</v>
      </c>
      <c r="K398" s="22">
        <v>1</v>
      </c>
      <c r="L398" s="36">
        <v>11.28</v>
      </c>
    </row>
    <row r="399" spans="1:12" x14ac:dyDescent="0.45">
      <c r="A399" s="9" t="s">
        <v>408</v>
      </c>
      <c r="B399" s="2">
        <f>IF(OR(Table1[[#This Row],[M score]]=1,AND(Table1[[#This Row],[F score]]=1,Table1[[#This Row],[Z score]]=1)),1,0)</f>
        <v>0</v>
      </c>
      <c r="C399" s="10">
        <v>0</v>
      </c>
      <c r="D399" s="10">
        <v>0</v>
      </c>
      <c r="E399" s="11">
        <v>0</v>
      </c>
      <c r="F399" s="12">
        <v>0.4580152671755725</v>
      </c>
      <c r="G399" s="13">
        <v>26.14349370941407</v>
      </c>
      <c r="H399" s="14">
        <v>7.9</v>
      </c>
      <c r="I399" s="15">
        <v>1</v>
      </c>
      <c r="J399" s="15">
        <v>0</v>
      </c>
      <c r="K399" s="16">
        <v>1</v>
      </c>
      <c r="L399" s="36">
        <v>4.22</v>
      </c>
    </row>
    <row r="400" spans="1:12" x14ac:dyDescent="0.45">
      <c r="A400" s="1" t="s">
        <v>409</v>
      </c>
      <c r="B400" s="2">
        <f>IF(OR(Table1[[#This Row],[M score]]=1,AND(Table1[[#This Row],[F score]]=1,Table1[[#This Row],[Z score]]=1)),1,0)</f>
        <v>0</v>
      </c>
      <c r="C400" s="17">
        <v>0</v>
      </c>
      <c r="D400" s="17">
        <v>1</v>
      </c>
      <c r="E400" s="18">
        <v>0</v>
      </c>
      <c r="F400" s="19">
        <v>5.7215189873417724</v>
      </c>
      <c r="G400" s="6">
        <v>26.595853483627273</v>
      </c>
      <c r="H400" s="20">
        <v>16.670000000000002</v>
      </c>
      <c r="I400" s="21">
        <v>0</v>
      </c>
      <c r="J400" s="21">
        <v>0</v>
      </c>
      <c r="K400" s="22">
        <v>0</v>
      </c>
      <c r="L400" s="36">
        <v>4.8600000000000003</v>
      </c>
    </row>
    <row r="401" spans="1:12" x14ac:dyDescent="0.45">
      <c r="A401" s="9" t="s">
        <v>410</v>
      </c>
      <c r="B401" s="2">
        <f>IF(OR(Table1[[#This Row],[M score]]=1,AND(Table1[[#This Row],[F score]]=1,Table1[[#This Row],[Z score]]=1)),1,0)</f>
        <v>1</v>
      </c>
      <c r="C401" s="10">
        <v>0</v>
      </c>
      <c r="D401" s="10">
        <v>1</v>
      </c>
      <c r="E401" s="11">
        <v>1</v>
      </c>
      <c r="F401" s="12">
        <v>12.875</v>
      </c>
      <c r="G401" s="13">
        <v>28.300447163140568</v>
      </c>
      <c r="H401" s="14">
        <v>57.27</v>
      </c>
      <c r="I401" s="15">
        <v>1</v>
      </c>
      <c r="J401" s="15">
        <v>0</v>
      </c>
      <c r="K401" s="16">
        <v>1</v>
      </c>
      <c r="L401" s="36">
        <v>0.26</v>
      </c>
    </row>
    <row r="402" spans="1:12" x14ac:dyDescent="0.45">
      <c r="A402" s="1" t="s">
        <v>411</v>
      </c>
      <c r="B402" s="2">
        <f>IF(OR(Table1[[#This Row],[M score]]=1,AND(Table1[[#This Row],[F score]]=1,Table1[[#This Row],[Z score]]=1)),1,0)</f>
        <v>0</v>
      </c>
      <c r="C402" s="17">
        <v>0</v>
      </c>
      <c r="D402" s="17">
        <v>1</v>
      </c>
      <c r="E402" s="18">
        <v>0</v>
      </c>
      <c r="F402" s="19">
        <v>0.10468594217347957</v>
      </c>
      <c r="G402" s="6">
        <v>26.485922276894147</v>
      </c>
      <c r="H402" s="20">
        <v>46.47</v>
      </c>
      <c r="I402" s="21">
        <v>1</v>
      </c>
      <c r="J402" s="21">
        <v>0</v>
      </c>
      <c r="K402" s="22">
        <v>1</v>
      </c>
      <c r="L402" s="36">
        <v>0.84</v>
      </c>
    </row>
    <row r="403" spans="1:12" x14ac:dyDescent="0.45">
      <c r="A403" s="9" t="s">
        <v>412</v>
      </c>
      <c r="B403" s="2">
        <f>IF(OR(Table1[[#This Row],[M score]]=1,AND(Table1[[#This Row],[F score]]=1,Table1[[#This Row],[Z score]]=1)),1,0)</f>
        <v>0</v>
      </c>
      <c r="C403" s="10">
        <v>1</v>
      </c>
      <c r="D403" s="10">
        <v>0</v>
      </c>
      <c r="E403" s="11">
        <v>0</v>
      </c>
      <c r="F403" s="12">
        <v>-1.3231552162849873E-2</v>
      </c>
      <c r="G403" s="13">
        <v>27.022031243375327</v>
      </c>
      <c r="H403" s="14">
        <v>9.92</v>
      </c>
      <c r="I403" s="15">
        <v>0</v>
      </c>
      <c r="J403" s="15">
        <v>0</v>
      </c>
      <c r="K403" s="16">
        <v>1</v>
      </c>
      <c r="L403" s="36">
        <v>0.15</v>
      </c>
    </row>
    <row r="404" spans="1:12" x14ac:dyDescent="0.45">
      <c r="A404" s="1" t="s">
        <v>413</v>
      </c>
      <c r="B404" s="2">
        <f>IF(OR(Table1[[#This Row],[M score]]=1,AND(Table1[[#This Row],[F score]]=1,Table1[[#This Row],[Z score]]=1)),1,0)</f>
        <v>0</v>
      </c>
      <c r="C404" s="17">
        <v>0</v>
      </c>
      <c r="D404" s="17">
        <v>0</v>
      </c>
      <c r="E404" s="18">
        <v>0</v>
      </c>
      <c r="F404" s="19">
        <v>1.3309248554913296</v>
      </c>
      <c r="G404" s="6">
        <v>27.91590377931356</v>
      </c>
      <c r="H404" s="20">
        <v>30.4</v>
      </c>
      <c r="I404" s="21">
        <v>0</v>
      </c>
      <c r="J404" s="21">
        <v>0</v>
      </c>
      <c r="K404" s="22">
        <v>1</v>
      </c>
      <c r="L404" s="36">
        <v>6.19</v>
      </c>
    </row>
    <row r="405" spans="1:12" x14ac:dyDescent="0.45">
      <c r="A405" s="9" t="s">
        <v>414</v>
      </c>
      <c r="B405" s="2">
        <f>IF(OR(Table1[[#This Row],[M score]]=1,AND(Table1[[#This Row],[F score]]=1,Table1[[#This Row],[Z score]]=1)),1,0)</f>
        <v>0</v>
      </c>
      <c r="C405" s="10">
        <v>0</v>
      </c>
      <c r="D405" s="10">
        <v>0</v>
      </c>
      <c r="E405" s="11">
        <v>0</v>
      </c>
      <c r="F405" s="12">
        <v>0.23558322411533419</v>
      </c>
      <c r="G405" s="13">
        <v>27.264008501930501</v>
      </c>
      <c r="H405" s="14">
        <v>16.059999999999999</v>
      </c>
      <c r="I405" s="15">
        <v>0</v>
      </c>
      <c r="J405" s="15">
        <v>0</v>
      </c>
      <c r="K405" s="16">
        <v>1</v>
      </c>
      <c r="L405" s="36">
        <v>35.51</v>
      </c>
    </row>
    <row r="406" spans="1:12" x14ac:dyDescent="0.45">
      <c r="A406" s="1" t="s">
        <v>415</v>
      </c>
      <c r="B406" s="2">
        <f>IF(OR(Table1[[#This Row],[M score]]=1,AND(Table1[[#This Row],[F score]]=1,Table1[[#This Row],[Z score]]=1)),1,0)</f>
        <v>0</v>
      </c>
      <c r="C406" s="17">
        <v>0</v>
      </c>
      <c r="D406" s="17">
        <v>0</v>
      </c>
      <c r="E406" s="18">
        <v>0</v>
      </c>
      <c r="F406" s="19">
        <v>0.32622798887859128</v>
      </c>
      <c r="G406" s="6">
        <v>28.213115928484303</v>
      </c>
      <c r="H406" s="20">
        <v>35.94</v>
      </c>
      <c r="I406" s="21">
        <v>0</v>
      </c>
      <c r="J406" s="21">
        <v>1</v>
      </c>
      <c r="K406" s="22">
        <v>1</v>
      </c>
      <c r="L406" s="36">
        <v>10.68</v>
      </c>
    </row>
    <row r="407" spans="1:12" x14ac:dyDescent="0.45">
      <c r="A407" s="9" t="s">
        <v>416</v>
      </c>
      <c r="B407" s="2">
        <f>IF(OR(Table1[[#This Row],[M score]]=1,AND(Table1[[#This Row],[F score]]=1,Table1[[#This Row],[Z score]]=1)),1,0)</f>
        <v>0</v>
      </c>
      <c r="C407" s="10">
        <v>0</v>
      </c>
      <c r="D407" s="10">
        <v>1</v>
      </c>
      <c r="E407" s="11">
        <v>0</v>
      </c>
      <c r="F407" s="12">
        <v>-1.0370970354770777</v>
      </c>
      <c r="G407" s="13">
        <v>25.195862635276647</v>
      </c>
      <c r="H407" s="14">
        <v>70.62</v>
      </c>
      <c r="I407" s="15">
        <v>0</v>
      </c>
      <c r="J407" s="15">
        <v>1</v>
      </c>
      <c r="K407" s="16">
        <v>1</v>
      </c>
      <c r="L407" s="36">
        <v>0.2</v>
      </c>
    </row>
    <row r="408" spans="1:12" x14ac:dyDescent="0.45">
      <c r="A408" s="1" t="s">
        <v>417</v>
      </c>
      <c r="B408" s="2">
        <f>IF(OR(Table1[[#This Row],[M score]]=1,AND(Table1[[#This Row],[F score]]=1,Table1[[#This Row],[Z score]]=1)),1,0)</f>
        <v>0</v>
      </c>
      <c r="C408" s="17">
        <v>1</v>
      </c>
      <c r="D408" s="17">
        <v>0</v>
      </c>
      <c r="E408" s="18">
        <v>0</v>
      </c>
      <c r="F408" s="19">
        <v>-7.179487179487179E-2</v>
      </c>
      <c r="G408" s="6">
        <v>26.916570799127737</v>
      </c>
      <c r="H408" s="20">
        <v>9.34</v>
      </c>
      <c r="I408" s="21">
        <v>0</v>
      </c>
      <c r="J408" s="21">
        <v>0</v>
      </c>
      <c r="K408" s="22">
        <v>1</v>
      </c>
      <c r="L408" s="36">
        <v>10.45</v>
      </c>
    </row>
    <row r="409" spans="1:12" x14ac:dyDescent="0.45">
      <c r="A409" s="9" t="s">
        <v>418</v>
      </c>
      <c r="B409" s="2">
        <f>IF(OR(Table1[[#This Row],[M score]]=1,AND(Table1[[#This Row],[F score]]=1,Table1[[#This Row],[Z score]]=1)),1,0)</f>
        <v>0</v>
      </c>
      <c r="C409" s="10">
        <v>0</v>
      </c>
      <c r="D409" s="10">
        <v>1</v>
      </c>
      <c r="E409" s="11">
        <v>0</v>
      </c>
      <c r="F409" s="12">
        <v>36.9375</v>
      </c>
      <c r="G409" s="13">
        <v>24.775491418091367</v>
      </c>
      <c r="H409" s="14">
        <v>20.5</v>
      </c>
      <c r="I409" s="15">
        <v>1</v>
      </c>
      <c r="J409" s="15">
        <v>0</v>
      </c>
      <c r="K409" s="16">
        <v>1</v>
      </c>
      <c r="L409" s="36">
        <v>4.7</v>
      </c>
    </row>
    <row r="410" spans="1:12" x14ac:dyDescent="0.45">
      <c r="A410" s="1" t="s">
        <v>419</v>
      </c>
      <c r="B410" s="2">
        <f>IF(OR(Table1[[#This Row],[M score]]=1,AND(Table1[[#This Row],[F score]]=1,Table1[[#This Row],[Z score]]=1)),1,0)</f>
        <v>0</v>
      </c>
      <c r="C410" s="17">
        <v>0</v>
      </c>
      <c r="D410" s="17">
        <v>1</v>
      </c>
      <c r="E410" s="18">
        <v>0</v>
      </c>
      <c r="F410" s="19">
        <v>0.37681159420289856</v>
      </c>
      <c r="G410" s="6">
        <v>26.341490423240966</v>
      </c>
      <c r="H410" s="20">
        <v>19.18</v>
      </c>
      <c r="I410" s="21">
        <v>0</v>
      </c>
      <c r="J410" s="21">
        <v>0</v>
      </c>
      <c r="K410" s="22">
        <v>1</v>
      </c>
      <c r="L410" s="36">
        <v>3.57</v>
      </c>
    </row>
    <row r="411" spans="1:12" x14ac:dyDescent="0.45">
      <c r="A411" s="9" t="s">
        <v>420</v>
      </c>
      <c r="B411" s="2">
        <f>IF(OR(Table1[[#This Row],[M score]]=1,AND(Table1[[#This Row],[F score]]=1,Table1[[#This Row],[Z score]]=1)),1,0)</f>
        <v>0</v>
      </c>
      <c r="C411" s="10">
        <v>0</v>
      </c>
      <c r="D411" s="10">
        <v>0</v>
      </c>
      <c r="E411" s="11">
        <v>0</v>
      </c>
      <c r="F411" s="12">
        <v>-0.23197831978319783</v>
      </c>
      <c r="G411" s="13">
        <v>28.04881639883331</v>
      </c>
      <c r="H411" s="14">
        <v>21.15</v>
      </c>
      <c r="I411" s="15">
        <v>1</v>
      </c>
      <c r="J411" s="15">
        <v>1</v>
      </c>
      <c r="K411" s="16">
        <v>1</v>
      </c>
      <c r="L411" s="36">
        <v>2.48</v>
      </c>
    </row>
    <row r="412" spans="1:12" x14ac:dyDescent="0.45">
      <c r="A412" s="1" t="s">
        <v>421</v>
      </c>
      <c r="B412" s="2">
        <f>IF(OR(Table1[[#This Row],[M score]]=1,AND(Table1[[#This Row],[F score]]=1,Table1[[#This Row],[Z score]]=1)),1,0)</f>
        <v>1</v>
      </c>
      <c r="C412" s="17">
        <v>0</v>
      </c>
      <c r="D412" s="17">
        <v>0</v>
      </c>
      <c r="E412" s="18">
        <v>1</v>
      </c>
      <c r="F412" s="19">
        <v>0.15678254942058623</v>
      </c>
      <c r="G412" s="6">
        <v>27.369888256915058</v>
      </c>
      <c r="H412" s="20">
        <v>26.93</v>
      </c>
      <c r="I412" s="21">
        <v>1</v>
      </c>
      <c r="J412" s="21">
        <v>0</v>
      </c>
      <c r="K412" s="22">
        <v>1</v>
      </c>
      <c r="L412" s="36">
        <v>15.3</v>
      </c>
    </row>
    <row r="413" spans="1:12" x14ac:dyDescent="0.45">
      <c r="A413" s="9" t="s">
        <v>422</v>
      </c>
      <c r="B413" s="2">
        <f>IF(OR(Table1[[#This Row],[M score]]=1,AND(Table1[[#This Row],[F score]]=1,Table1[[#This Row],[Z score]]=1)),1,0)</f>
        <v>0</v>
      </c>
      <c r="C413" s="10">
        <v>0</v>
      </c>
      <c r="D413" s="10">
        <v>0</v>
      </c>
      <c r="E413" s="11">
        <v>0</v>
      </c>
      <c r="F413" s="12">
        <v>8.7666666666666675</v>
      </c>
      <c r="G413" s="13">
        <v>24.926672913963841</v>
      </c>
      <c r="H413" s="14">
        <v>18.46</v>
      </c>
      <c r="I413" s="15">
        <v>1</v>
      </c>
      <c r="J413" s="15">
        <v>0</v>
      </c>
      <c r="K413" s="16">
        <v>1</v>
      </c>
      <c r="L413" s="36">
        <v>10.52</v>
      </c>
    </row>
    <row r="414" spans="1:12" x14ac:dyDescent="0.45">
      <c r="A414" s="1" t="s">
        <v>423</v>
      </c>
      <c r="B414" s="2">
        <f>IF(OR(Table1[[#This Row],[M score]]=1,AND(Table1[[#This Row],[F score]]=1,Table1[[#This Row],[Z score]]=1)),1,0)</f>
        <v>0</v>
      </c>
      <c r="C414" s="17">
        <v>0</v>
      </c>
      <c r="D414" s="17">
        <v>0</v>
      </c>
      <c r="E414" s="18">
        <v>0</v>
      </c>
      <c r="F414" s="19">
        <v>0.15169491525423728</v>
      </c>
      <c r="G414" s="6">
        <v>27.897020457797073</v>
      </c>
      <c r="H414" s="20">
        <v>13.05</v>
      </c>
      <c r="I414" s="21">
        <v>1</v>
      </c>
      <c r="J414" s="21">
        <v>1</v>
      </c>
      <c r="K414" s="22">
        <v>1</v>
      </c>
      <c r="L414" s="36">
        <v>34.58</v>
      </c>
    </row>
    <row r="415" spans="1:12" x14ac:dyDescent="0.45">
      <c r="A415" s="9" t="s">
        <v>424</v>
      </c>
      <c r="B415" s="2">
        <f>IF(OR(Table1[[#This Row],[M score]]=1,AND(Table1[[#This Row],[F score]]=1,Table1[[#This Row],[Z score]]=1)),1,0)</f>
        <v>0</v>
      </c>
      <c r="C415" s="10">
        <v>0</v>
      </c>
      <c r="D415" s="10">
        <v>0</v>
      </c>
      <c r="E415" s="11">
        <v>0</v>
      </c>
      <c r="F415" s="12">
        <v>1.0542553191489361</v>
      </c>
      <c r="G415" s="13">
        <v>26.294813195020584</v>
      </c>
      <c r="H415" s="14">
        <v>11.28</v>
      </c>
      <c r="I415" s="15">
        <v>1</v>
      </c>
      <c r="J415" s="15">
        <v>0</v>
      </c>
      <c r="K415" s="16">
        <v>1</v>
      </c>
      <c r="L415" s="36">
        <v>9.89</v>
      </c>
    </row>
    <row r="416" spans="1:12" x14ac:dyDescent="0.45">
      <c r="A416" s="1" t="s">
        <v>425</v>
      </c>
      <c r="B416" s="2">
        <f>IF(OR(Table1[[#This Row],[M score]]=1,AND(Table1[[#This Row],[F score]]=1,Table1[[#This Row],[Z score]]=1)),1,0)</f>
        <v>1</v>
      </c>
      <c r="C416" s="17">
        <v>0</v>
      </c>
      <c r="D416" s="17">
        <v>1</v>
      </c>
      <c r="E416" s="18">
        <v>1</v>
      </c>
      <c r="F416" s="19">
        <v>-0.73177842565597673</v>
      </c>
      <c r="G416" s="6">
        <v>29.525100620663224</v>
      </c>
      <c r="H416" s="20">
        <v>41.63</v>
      </c>
      <c r="I416" s="21">
        <v>1</v>
      </c>
      <c r="J416" s="21">
        <v>1</v>
      </c>
      <c r="K416" s="22">
        <v>1</v>
      </c>
      <c r="L416" s="36">
        <v>30.05</v>
      </c>
    </row>
    <row r="417" spans="1:12" x14ac:dyDescent="0.45">
      <c r="A417" s="9" t="s">
        <v>426</v>
      </c>
      <c r="B417" s="2">
        <f>IF(OR(Table1[[#This Row],[M score]]=1,AND(Table1[[#This Row],[F score]]=1,Table1[[#This Row],[Z score]]=1)),1,0)</f>
        <v>0</v>
      </c>
      <c r="C417" s="10">
        <v>0</v>
      </c>
      <c r="D417" s="10">
        <v>0</v>
      </c>
      <c r="E417" s="11">
        <v>0</v>
      </c>
      <c r="F417" s="12">
        <v>0.35289747399702825</v>
      </c>
      <c r="G417" s="13">
        <v>30.092790741069127</v>
      </c>
      <c r="H417" s="14">
        <v>20.79</v>
      </c>
      <c r="I417" s="15">
        <v>1</v>
      </c>
      <c r="J417" s="15">
        <v>1</v>
      </c>
      <c r="K417" s="16">
        <v>1</v>
      </c>
      <c r="L417" s="36">
        <v>1.75</v>
      </c>
    </row>
    <row r="418" spans="1:12" x14ac:dyDescent="0.45">
      <c r="A418" s="1" t="s">
        <v>427</v>
      </c>
      <c r="B418" s="2">
        <f>IF(OR(Table1[[#This Row],[M score]]=1,AND(Table1[[#This Row],[F score]]=1,Table1[[#This Row],[Z score]]=1)),1,0)</f>
        <v>0</v>
      </c>
      <c r="C418" s="17">
        <v>0</v>
      </c>
      <c r="D418" s="17">
        <v>0</v>
      </c>
      <c r="E418" s="18">
        <v>0</v>
      </c>
      <c r="F418" s="19">
        <v>1.3613445378151261</v>
      </c>
      <c r="G418" s="6">
        <v>28.004855196218042</v>
      </c>
      <c r="H418" s="20">
        <v>4.3499999999999996</v>
      </c>
      <c r="I418" s="21">
        <v>1</v>
      </c>
      <c r="J418" s="21">
        <v>0</v>
      </c>
      <c r="K418" s="22">
        <v>1</v>
      </c>
      <c r="L418" s="36">
        <v>26.96</v>
      </c>
    </row>
    <row r="419" spans="1:12" x14ac:dyDescent="0.45">
      <c r="A419" s="9" t="s">
        <v>428</v>
      </c>
      <c r="B419" s="2">
        <f>IF(OR(Table1[[#This Row],[M score]]=1,AND(Table1[[#This Row],[F score]]=1,Table1[[#This Row],[Z score]]=1)),1,0)</f>
        <v>0</v>
      </c>
      <c r="C419" s="10">
        <v>0</v>
      </c>
      <c r="D419" s="10">
        <v>0</v>
      </c>
      <c r="E419" s="11">
        <v>0</v>
      </c>
      <c r="F419" s="12">
        <v>-1.5978695073235686E-2</v>
      </c>
      <c r="G419" s="13">
        <v>25.765399798102038</v>
      </c>
      <c r="H419" s="14">
        <v>11.45</v>
      </c>
      <c r="I419" s="15">
        <v>1</v>
      </c>
      <c r="J419" s="15">
        <v>0</v>
      </c>
      <c r="K419" s="16">
        <v>1</v>
      </c>
      <c r="L419" s="36">
        <v>5.14</v>
      </c>
    </row>
    <row r="420" spans="1:12" x14ac:dyDescent="0.45">
      <c r="A420" s="1" t="s">
        <v>429</v>
      </c>
      <c r="B420" s="2">
        <f>IF(OR(Table1[[#This Row],[M score]]=1,AND(Table1[[#This Row],[F score]]=1,Table1[[#This Row],[Z score]]=1)),1,0)</f>
        <v>0</v>
      </c>
      <c r="C420" s="17">
        <v>0</v>
      </c>
      <c r="D420" s="17">
        <v>0</v>
      </c>
      <c r="E420" s="18">
        <v>0</v>
      </c>
      <c r="F420" s="19">
        <v>-0.11737089201877934</v>
      </c>
      <c r="G420" s="6">
        <v>25.88246515107765</v>
      </c>
      <c r="H420" s="20">
        <v>10.23</v>
      </c>
      <c r="I420" s="21">
        <v>0</v>
      </c>
      <c r="J420" s="21">
        <v>0</v>
      </c>
      <c r="K420" s="22">
        <v>1</v>
      </c>
      <c r="L420" s="36">
        <v>0.34</v>
      </c>
    </row>
    <row r="421" spans="1:12" x14ac:dyDescent="0.45">
      <c r="A421" s="9" t="s">
        <v>430</v>
      </c>
      <c r="B421" s="2">
        <f>IF(OR(Table1[[#This Row],[M score]]=1,AND(Table1[[#This Row],[F score]]=1,Table1[[#This Row],[Z score]]=1)),1,0)</f>
        <v>0</v>
      </c>
      <c r="C421" s="10">
        <v>1</v>
      </c>
      <c r="D421" s="10">
        <v>0</v>
      </c>
      <c r="E421" s="11">
        <v>0</v>
      </c>
      <c r="F421" s="12">
        <v>0.16010733452593917</v>
      </c>
      <c r="G421" s="13">
        <v>27.003159164837605</v>
      </c>
      <c r="H421" s="14">
        <v>27.87</v>
      </c>
      <c r="I421" s="15">
        <v>0</v>
      </c>
      <c r="J421" s="15">
        <v>0</v>
      </c>
      <c r="K421" s="16">
        <v>0</v>
      </c>
      <c r="L421" s="36">
        <v>2.68</v>
      </c>
    </row>
    <row r="422" spans="1:12" x14ac:dyDescent="0.45">
      <c r="A422" s="1" t="s">
        <v>431</v>
      </c>
      <c r="B422" s="2">
        <f>IF(OR(Table1[[#This Row],[M score]]=1,AND(Table1[[#This Row],[F score]]=1,Table1[[#This Row],[Z score]]=1)),1,0)</f>
        <v>1</v>
      </c>
      <c r="C422" s="17">
        <v>1</v>
      </c>
      <c r="D422" s="17">
        <v>1</v>
      </c>
      <c r="E422" s="18">
        <v>1</v>
      </c>
      <c r="F422" s="19">
        <v>-1.2584345479082322</v>
      </c>
      <c r="G422" s="6">
        <v>27.026483160751635</v>
      </c>
      <c r="H422" s="20">
        <v>13.78</v>
      </c>
      <c r="I422" s="21">
        <v>1</v>
      </c>
      <c r="J422" s="21">
        <v>0</v>
      </c>
      <c r="K422" s="22">
        <v>1</v>
      </c>
      <c r="L422" s="36">
        <v>3.53</v>
      </c>
    </row>
    <row r="423" spans="1:12" x14ac:dyDescent="0.45">
      <c r="A423" s="9" t="s">
        <v>432</v>
      </c>
      <c r="B423" s="2">
        <f>IF(OR(Table1[[#This Row],[M score]]=1,AND(Table1[[#This Row],[F score]]=1,Table1[[#This Row],[Z score]]=1)),1,0)</f>
        <v>0</v>
      </c>
      <c r="C423" s="10">
        <v>0</v>
      </c>
      <c r="D423" s="10">
        <v>0</v>
      </c>
      <c r="E423" s="11">
        <v>0</v>
      </c>
      <c r="F423" s="12">
        <v>4.9853372434017593E-2</v>
      </c>
      <c r="G423" s="13">
        <v>27.484097590525746</v>
      </c>
      <c r="H423" s="14">
        <v>38.299999999999997</v>
      </c>
      <c r="I423" s="15">
        <v>0</v>
      </c>
      <c r="J423" s="15">
        <v>0</v>
      </c>
      <c r="K423" s="16">
        <v>1</v>
      </c>
      <c r="L423" s="36">
        <v>0.16</v>
      </c>
    </row>
    <row r="424" spans="1:12" x14ac:dyDescent="0.45">
      <c r="A424" s="1" t="s">
        <v>433</v>
      </c>
      <c r="B424" s="2">
        <f>IF(OR(Table1[[#This Row],[M score]]=1,AND(Table1[[#This Row],[F score]]=1,Table1[[#This Row],[Z score]]=1)),1,0)</f>
        <v>0</v>
      </c>
      <c r="C424" s="17">
        <v>0</v>
      </c>
      <c r="D424" s="17">
        <v>0</v>
      </c>
      <c r="E424" s="18">
        <v>0</v>
      </c>
      <c r="F424" s="19">
        <v>5.4592371582936859E-2</v>
      </c>
      <c r="G424" s="6">
        <v>27.936115192176597</v>
      </c>
      <c r="H424" s="20">
        <v>22.63</v>
      </c>
      <c r="I424" s="21">
        <v>1</v>
      </c>
      <c r="J424" s="21">
        <v>1</v>
      </c>
      <c r="K424" s="22">
        <v>1</v>
      </c>
      <c r="L424" s="36">
        <v>9.16</v>
      </c>
    </row>
    <row r="425" spans="1:12" x14ac:dyDescent="0.45">
      <c r="A425" s="9" t="s">
        <v>434</v>
      </c>
      <c r="B425" s="2">
        <f>IF(OR(Table1[[#This Row],[M score]]=1,AND(Table1[[#This Row],[F score]]=1,Table1[[#This Row],[Z score]]=1)),1,0)</f>
        <v>0</v>
      </c>
      <c r="C425" s="10">
        <v>0</v>
      </c>
      <c r="D425" s="10">
        <v>1</v>
      </c>
      <c r="E425" s="11">
        <v>0</v>
      </c>
      <c r="F425" s="12">
        <v>0.86813186813186816</v>
      </c>
      <c r="G425" s="13">
        <v>25.257159830581941</v>
      </c>
      <c r="H425" s="14">
        <v>54.51</v>
      </c>
      <c r="I425" s="15">
        <v>1</v>
      </c>
      <c r="J425" s="15">
        <v>0</v>
      </c>
      <c r="K425" s="16">
        <v>1</v>
      </c>
      <c r="L425" s="36">
        <v>1.34</v>
      </c>
    </row>
    <row r="426" spans="1:12" x14ac:dyDescent="0.45">
      <c r="A426" s="1" t="s">
        <v>435</v>
      </c>
      <c r="B426" s="2">
        <f>IF(OR(Table1[[#This Row],[M score]]=1,AND(Table1[[#This Row],[F score]]=1,Table1[[#This Row],[Z score]]=1)),1,0)</f>
        <v>0</v>
      </c>
      <c r="C426" s="17">
        <v>0</v>
      </c>
      <c r="D426" s="17">
        <v>0</v>
      </c>
      <c r="E426" s="18">
        <v>0</v>
      </c>
      <c r="F426" s="19">
        <v>-0.66859456333140543</v>
      </c>
      <c r="G426" s="6">
        <v>26.269397847167472</v>
      </c>
      <c r="H426" s="20">
        <v>18.329999999999998</v>
      </c>
      <c r="I426" s="21">
        <v>0</v>
      </c>
      <c r="J426" s="21">
        <v>0</v>
      </c>
      <c r="K426" s="22">
        <v>1</v>
      </c>
      <c r="L426" s="36">
        <v>-2.1800000000000002</v>
      </c>
    </row>
    <row r="427" spans="1:12" x14ac:dyDescent="0.45">
      <c r="A427" s="9" t="s">
        <v>436</v>
      </c>
      <c r="B427" s="2">
        <f>IF(OR(Table1[[#This Row],[M score]]=1,AND(Table1[[#This Row],[F score]]=1,Table1[[#This Row],[Z score]]=1)),1,0)</f>
        <v>1</v>
      </c>
      <c r="C427" s="10">
        <v>0</v>
      </c>
      <c r="D427" s="10">
        <v>0</v>
      </c>
      <c r="E427" s="11">
        <v>1</v>
      </c>
      <c r="F427" s="12">
        <v>0.32782874617737001</v>
      </c>
      <c r="G427" s="13">
        <v>25.590363536655655</v>
      </c>
      <c r="H427" s="14">
        <v>43.72</v>
      </c>
      <c r="I427" s="15">
        <v>1</v>
      </c>
      <c r="J427" s="15">
        <v>0</v>
      </c>
      <c r="K427" s="16">
        <v>1</v>
      </c>
      <c r="L427" s="36">
        <v>2.74</v>
      </c>
    </row>
    <row r="428" spans="1:12" x14ac:dyDescent="0.45">
      <c r="A428" s="1" t="s">
        <v>437</v>
      </c>
      <c r="B428" s="2">
        <f>IF(OR(Table1[[#This Row],[M score]]=1,AND(Table1[[#This Row],[F score]]=1,Table1[[#This Row],[Z score]]=1)),1,0)</f>
        <v>0</v>
      </c>
      <c r="C428" s="17">
        <v>0</v>
      </c>
      <c r="D428" s="17">
        <v>0</v>
      </c>
      <c r="E428" s="18">
        <v>0</v>
      </c>
      <c r="F428" s="19">
        <v>12.631944444444445</v>
      </c>
      <c r="G428" s="6">
        <v>29.578327619077555</v>
      </c>
      <c r="H428" s="20">
        <v>19</v>
      </c>
      <c r="I428" s="21">
        <v>1</v>
      </c>
      <c r="J428" s="21">
        <v>1</v>
      </c>
      <c r="K428" s="22">
        <v>1</v>
      </c>
      <c r="L428" s="36">
        <v>16</v>
      </c>
    </row>
    <row r="429" spans="1:12" x14ac:dyDescent="0.45">
      <c r="A429" s="9" t="s">
        <v>438</v>
      </c>
      <c r="B429" s="2">
        <f>IF(OR(Table1[[#This Row],[M score]]=1,AND(Table1[[#This Row],[F score]]=1,Table1[[#This Row],[Z score]]=1)),1,0)</f>
        <v>0</v>
      </c>
      <c r="C429" s="10">
        <v>0</v>
      </c>
      <c r="D429" s="10">
        <v>1</v>
      </c>
      <c r="E429" s="11">
        <v>0</v>
      </c>
      <c r="F429" s="12">
        <v>9.9721174348040023E-2</v>
      </c>
      <c r="G429" s="13">
        <v>28.953735662071885</v>
      </c>
      <c r="H429" s="14">
        <v>1.54</v>
      </c>
      <c r="I429" s="15">
        <v>1</v>
      </c>
      <c r="J429" s="15">
        <v>0</v>
      </c>
      <c r="K429" s="16">
        <v>1</v>
      </c>
      <c r="L429" s="36">
        <v>15.7</v>
      </c>
    </row>
    <row r="430" spans="1:12" x14ac:dyDescent="0.45">
      <c r="A430" s="1" t="s">
        <v>439</v>
      </c>
      <c r="B430" s="2">
        <f>IF(OR(Table1[[#This Row],[M score]]=1,AND(Table1[[#This Row],[F score]]=1,Table1[[#This Row],[Z score]]=1)),1,0)</f>
        <v>1</v>
      </c>
      <c r="C430" s="17">
        <v>0</v>
      </c>
      <c r="D430" s="17">
        <v>0</v>
      </c>
      <c r="E430" s="18">
        <v>1</v>
      </c>
      <c r="F430" s="19">
        <v>-0.9751091703056769</v>
      </c>
      <c r="G430" s="6">
        <v>28.436751688508441</v>
      </c>
      <c r="H430" s="20">
        <v>0.76</v>
      </c>
      <c r="I430" s="21">
        <v>1</v>
      </c>
      <c r="J430" s="21">
        <v>0</v>
      </c>
      <c r="K430" s="22">
        <v>1</v>
      </c>
      <c r="L430" s="36">
        <v>-8.42</v>
      </c>
    </row>
    <row r="431" spans="1:12" x14ac:dyDescent="0.45">
      <c r="A431" s="9" t="s">
        <v>440</v>
      </c>
      <c r="B431" s="2">
        <f>IF(OR(Table1[[#This Row],[M score]]=1,AND(Table1[[#This Row],[F score]]=1,Table1[[#This Row],[Z score]]=1)),1,0)</f>
        <v>0</v>
      </c>
      <c r="C431" s="10">
        <v>0</v>
      </c>
      <c r="D431" s="10">
        <v>0</v>
      </c>
      <c r="E431" s="11">
        <v>0</v>
      </c>
      <c r="F431" s="12">
        <v>0.12770829663554695</v>
      </c>
      <c r="G431" s="13">
        <v>30.053291318755097</v>
      </c>
      <c r="H431" s="14">
        <v>16.53</v>
      </c>
      <c r="I431" s="15">
        <v>1</v>
      </c>
      <c r="J431" s="15">
        <v>1</v>
      </c>
      <c r="K431" s="16">
        <v>1</v>
      </c>
      <c r="L431" s="36">
        <v>15.42</v>
      </c>
    </row>
    <row r="432" spans="1:12" x14ac:dyDescent="0.45">
      <c r="A432" s="1" t="s">
        <v>441</v>
      </c>
      <c r="B432" s="2">
        <f>IF(OR(Table1[[#This Row],[M score]]=1,AND(Table1[[#This Row],[F score]]=1,Table1[[#This Row],[Z score]]=1)),1,0)</f>
        <v>0</v>
      </c>
      <c r="C432" s="17">
        <v>0</v>
      </c>
      <c r="D432" s="17">
        <v>0</v>
      </c>
      <c r="E432" s="18">
        <v>0</v>
      </c>
      <c r="F432" s="19">
        <v>0.32085987261146498</v>
      </c>
      <c r="G432" s="6">
        <v>26.020332421592794</v>
      </c>
      <c r="H432" s="20">
        <v>52.82</v>
      </c>
      <c r="I432" s="21">
        <v>0</v>
      </c>
      <c r="J432" s="21">
        <v>0</v>
      </c>
      <c r="K432" s="22">
        <v>1</v>
      </c>
      <c r="L432" s="36">
        <v>20.76</v>
      </c>
    </row>
    <row r="433" spans="1:12" x14ac:dyDescent="0.45">
      <c r="A433" s="9" t="s">
        <v>442</v>
      </c>
      <c r="B433" s="2">
        <f>IF(OR(Table1[[#This Row],[M score]]=1,AND(Table1[[#This Row],[F score]]=1,Table1[[#This Row],[Z score]]=1)),1,0)</f>
        <v>0</v>
      </c>
      <c r="C433" s="10">
        <v>0</v>
      </c>
      <c r="D433" s="10">
        <v>1</v>
      </c>
      <c r="E433" s="11">
        <v>0</v>
      </c>
      <c r="F433" s="12">
        <v>-1.2607250755287009</v>
      </c>
      <c r="G433" s="13">
        <v>30.939210644874205</v>
      </c>
      <c r="H433" s="14">
        <v>26.9</v>
      </c>
      <c r="I433" s="15">
        <v>1</v>
      </c>
      <c r="J433" s="15">
        <v>0</v>
      </c>
      <c r="K433" s="16">
        <v>1</v>
      </c>
      <c r="L433" s="36">
        <v>24.44</v>
      </c>
    </row>
    <row r="434" spans="1:12" x14ac:dyDescent="0.45">
      <c r="A434" s="1" t="s">
        <v>443</v>
      </c>
      <c r="B434" s="2">
        <f>IF(OR(Table1[[#This Row],[M score]]=1,AND(Table1[[#This Row],[F score]]=1,Table1[[#This Row],[Z score]]=1)),1,0)</f>
        <v>0</v>
      </c>
      <c r="C434" s="17">
        <v>0</v>
      </c>
      <c r="D434" s="17">
        <v>0</v>
      </c>
      <c r="E434" s="18">
        <v>0</v>
      </c>
      <c r="F434" s="19">
        <v>-2.8055555555555554</v>
      </c>
      <c r="G434" s="6">
        <v>27.300528962911336</v>
      </c>
      <c r="H434" s="20">
        <v>20.49</v>
      </c>
      <c r="I434" s="21">
        <v>1</v>
      </c>
      <c r="J434" s="21">
        <v>0</v>
      </c>
      <c r="K434" s="22">
        <v>1</v>
      </c>
      <c r="L434" s="36">
        <v>4.8</v>
      </c>
    </row>
    <row r="435" spans="1:12" x14ac:dyDescent="0.45">
      <c r="A435" s="9" t="s">
        <v>444</v>
      </c>
      <c r="B435" s="2">
        <f>IF(OR(Table1[[#This Row],[M score]]=1,AND(Table1[[#This Row],[F score]]=1,Table1[[#This Row],[Z score]]=1)),1,0)</f>
        <v>0</v>
      </c>
      <c r="C435" s="10">
        <v>0</v>
      </c>
      <c r="D435" s="10">
        <v>1</v>
      </c>
      <c r="E435" s="11">
        <v>0</v>
      </c>
      <c r="F435" s="12">
        <v>-0.56692913385826771</v>
      </c>
      <c r="G435" s="13">
        <v>27.829871974673715</v>
      </c>
      <c r="H435" s="14">
        <v>33.700000000000003</v>
      </c>
      <c r="I435" s="15">
        <v>1</v>
      </c>
      <c r="J435" s="15">
        <v>0</v>
      </c>
      <c r="K435" s="16">
        <v>1</v>
      </c>
      <c r="L435" s="36">
        <v>7.37</v>
      </c>
    </row>
    <row r="436" spans="1:12" x14ac:dyDescent="0.45">
      <c r="A436" s="1" t="s">
        <v>445</v>
      </c>
      <c r="B436" s="2">
        <f>IF(OR(Table1[[#This Row],[M score]]=1,AND(Table1[[#This Row],[F score]]=1,Table1[[#This Row],[Z score]]=1)),1,0)</f>
        <v>0</v>
      </c>
      <c r="C436" s="17">
        <v>0</v>
      </c>
      <c r="D436" s="17">
        <v>1</v>
      </c>
      <c r="E436" s="18">
        <v>0</v>
      </c>
      <c r="F436" s="19">
        <v>-0.28894472361809043</v>
      </c>
      <c r="G436" s="6">
        <v>27.735381127919457</v>
      </c>
      <c r="H436" s="20">
        <v>28.42</v>
      </c>
      <c r="I436" s="21">
        <v>1</v>
      </c>
      <c r="J436" s="21">
        <v>0</v>
      </c>
      <c r="K436" s="22">
        <v>1</v>
      </c>
      <c r="L436" s="36">
        <v>10.75</v>
      </c>
    </row>
    <row r="437" spans="1:12" x14ac:dyDescent="0.45">
      <c r="A437" s="9" t="s">
        <v>446</v>
      </c>
      <c r="B437" s="2">
        <f>IF(OR(Table1[[#This Row],[M score]]=1,AND(Table1[[#This Row],[F score]]=1,Table1[[#This Row],[Z score]]=1)),1,0)</f>
        <v>0</v>
      </c>
      <c r="C437" s="10">
        <v>0</v>
      </c>
      <c r="D437" s="10">
        <v>0</v>
      </c>
      <c r="E437" s="11">
        <v>0</v>
      </c>
      <c r="F437" s="12">
        <v>5.793450881612091E-2</v>
      </c>
      <c r="G437" s="13">
        <v>30.044223955095244</v>
      </c>
      <c r="H437" s="14">
        <v>23.85</v>
      </c>
      <c r="I437" s="15">
        <v>0</v>
      </c>
      <c r="J437" s="15">
        <v>1</v>
      </c>
      <c r="K437" s="16">
        <v>0</v>
      </c>
      <c r="L437" s="36">
        <v>0.93</v>
      </c>
    </row>
    <row r="438" spans="1:12" x14ac:dyDescent="0.45">
      <c r="A438" s="1" t="s">
        <v>447</v>
      </c>
      <c r="B438" s="2">
        <f>IF(OR(Table1[[#This Row],[M score]]=1,AND(Table1[[#This Row],[F score]]=1,Table1[[#This Row],[Z score]]=1)),1,0)</f>
        <v>0</v>
      </c>
      <c r="C438" s="17">
        <v>0</v>
      </c>
      <c r="D438" s="17">
        <v>0</v>
      </c>
      <c r="E438" s="18">
        <v>0</v>
      </c>
      <c r="F438" s="19">
        <v>1.6851851851851851</v>
      </c>
      <c r="G438" s="6">
        <v>24.749420273252245</v>
      </c>
      <c r="H438" s="20">
        <v>14.2</v>
      </c>
      <c r="I438" s="21">
        <v>1</v>
      </c>
      <c r="J438" s="21">
        <v>0</v>
      </c>
      <c r="K438" s="22">
        <v>1</v>
      </c>
      <c r="L438" s="36">
        <v>3.1</v>
      </c>
    </row>
    <row r="439" spans="1:12" x14ac:dyDescent="0.45">
      <c r="A439" s="9" t="s">
        <v>448</v>
      </c>
      <c r="B439" s="2">
        <f>IF(OR(Table1[[#This Row],[M score]]=1,AND(Table1[[#This Row],[F score]]=1,Table1[[#This Row],[Z score]]=1)),1,0)</f>
        <v>0</v>
      </c>
      <c r="C439" s="10">
        <v>0</v>
      </c>
      <c r="D439" s="10">
        <v>0</v>
      </c>
      <c r="E439" s="11">
        <v>0</v>
      </c>
      <c r="F439" s="12">
        <v>-0.24</v>
      </c>
      <c r="G439" s="13">
        <v>28.076632244345873</v>
      </c>
      <c r="H439" s="14">
        <v>49.52</v>
      </c>
      <c r="I439" s="15">
        <v>1</v>
      </c>
      <c r="J439" s="15">
        <v>1</v>
      </c>
      <c r="K439" s="16">
        <v>1</v>
      </c>
      <c r="L439" s="36">
        <v>5.68</v>
      </c>
    </row>
    <row r="440" spans="1:12" x14ac:dyDescent="0.45">
      <c r="A440" s="1" t="s">
        <v>449</v>
      </c>
      <c r="B440" s="2">
        <f>IF(OR(Table1[[#This Row],[M score]]=1,AND(Table1[[#This Row],[F score]]=1,Table1[[#This Row],[Z score]]=1)),1,0)</f>
        <v>0</v>
      </c>
      <c r="C440" s="17">
        <v>0</v>
      </c>
      <c r="D440" s="17">
        <v>0</v>
      </c>
      <c r="E440" s="18">
        <v>0</v>
      </c>
      <c r="F440" s="19">
        <v>0.10394511149228131</v>
      </c>
      <c r="G440" s="6">
        <v>29.371983075742108</v>
      </c>
      <c r="H440" s="20">
        <v>24.25</v>
      </c>
      <c r="I440" s="21">
        <v>1</v>
      </c>
      <c r="J440" s="21">
        <v>1</v>
      </c>
      <c r="K440" s="22">
        <v>1</v>
      </c>
      <c r="L440" s="36">
        <v>2.54</v>
      </c>
    </row>
    <row r="441" spans="1:12" x14ac:dyDescent="0.45">
      <c r="A441" s="9" t="s">
        <v>450</v>
      </c>
      <c r="B441" s="2">
        <f>IF(OR(Table1[[#This Row],[M score]]=1,AND(Table1[[#This Row],[F score]]=1,Table1[[#This Row],[Z score]]=1)),1,0)</f>
        <v>1</v>
      </c>
      <c r="C441" s="10">
        <v>1</v>
      </c>
      <c r="D441" s="10">
        <v>1</v>
      </c>
      <c r="E441" s="11">
        <v>1</v>
      </c>
      <c r="F441" s="12">
        <v>25.524390243902438</v>
      </c>
      <c r="G441" s="13">
        <v>29.428099746634203</v>
      </c>
      <c r="H441" s="14">
        <v>49.9</v>
      </c>
      <c r="I441" s="15">
        <v>0</v>
      </c>
      <c r="J441" s="15">
        <v>1</v>
      </c>
      <c r="K441" s="16">
        <v>1</v>
      </c>
      <c r="L441" s="36">
        <v>-20.55</v>
      </c>
    </row>
    <row r="442" spans="1:12" x14ac:dyDescent="0.45">
      <c r="A442" s="1" t="s">
        <v>451</v>
      </c>
      <c r="B442" s="2">
        <f>IF(OR(Table1[[#This Row],[M score]]=1,AND(Table1[[#This Row],[F score]]=1,Table1[[#This Row],[Z score]]=1)),1,0)</f>
        <v>1</v>
      </c>
      <c r="C442" s="17">
        <v>0</v>
      </c>
      <c r="D442" s="17">
        <v>1</v>
      </c>
      <c r="E442" s="18">
        <v>1</v>
      </c>
      <c r="F442" s="19">
        <v>2.7643312101910826</v>
      </c>
      <c r="G442" s="6">
        <v>25.155865616762611</v>
      </c>
      <c r="H442" s="20">
        <v>48.5</v>
      </c>
      <c r="I442" s="21">
        <v>0</v>
      </c>
      <c r="J442" s="21">
        <v>0</v>
      </c>
      <c r="K442" s="22">
        <v>1</v>
      </c>
      <c r="L442" s="36">
        <v>3.19</v>
      </c>
    </row>
    <row r="443" spans="1:12" x14ac:dyDescent="0.45">
      <c r="A443" s="9" t="s">
        <v>452</v>
      </c>
      <c r="B443" s="2">
        <f>IF(OR(Table1[[#This Row],[M score]]=1,AND(Table1[[#This Row],[F score]]=1,Table1[[#This Row],[Z score]]=1)),1,0)</f>
        <v>0</v>
      </c>
      <c r="C443" s="10">
        <v>0</v>
      </c>
      <c r="D443" s="10">
        <v>0</v>
      </c>
      <c r="E443" s="11">
        <v>0</v>
      </c>
      <c r="F443" s="12">
        <v>0.311568220418947</v>
      </c>
      <c r="G443" s="13">
        <v>28.334118627341663</v>
      </c>
      <c r="H443" s="14">
        <v>12.13</v>
      </c>
      <c r="I443" s="15">
        <v>0</v>
      </c>
      <c r="J443" s="15">
        <v>1</v>
      </c>
      <c r="K443" s="16">
        <v>1</v>
      </c>
      <c r="L443" s="36">
        <v>3.78</v>
      </c>
    </row>
    <row r="444" spans="1:12" x14ac:dyDescent="0.45">
      <c r="A444" s="1" t="s">
        <v>453</v>
      </c>
      <c r="B444" s="2">
        <f>IF(OR(Table1[[#This Row],[M score]]=1,AND(Table1[[#This Row],[F score]]=1,Table1[[#This Row],[Z score]]=1)),1,0)</f>
        <v>1</v>
      </c>
      <c r="C444" s="17">
        <v>0</v>
      </c>
      <c r="D444" s="17">
        <v>1</v>
      </c>
      <c r="E444" s="18">
        <v>1</v>
      </c>
      <c r="F444" s="19">
        <v>0.49214659685863876</v>
      </c>
      <c r="G444" s="6">
        <v>27.323408710490565</v>
      </c>
      <c r="H444" s="20">
        <v>45.58</v>
      </c>
      <c r="I444" s="21">
        <v>0</v>
      </c>
      <c r="J444" s="21">
        <v>0</v>
      </c>
      <c r="K444" s="22">
        <v>1</v>
      </c>
      <c r="L444" s="36">
        <v>1.96</v>
      </c>
    </row>
    <row r="445" spans="1:12" x14ac:dyDescent="0.45">
      <c r="A445" s="9" t="s">
        <v>454</v>
      </c>
      <c r="B445" s="2">
        <f>IF(OR(Table1[[#This Row],[M score]]=1,AND(Table1[[#This Row],[F score]]=1,Table1[[#This Row],[Z score]]=1)),1,0)</f>
        <v>1</v>
      </c>
      <c r="C445" s="10">
        <v>0</v>
      </c>
      <c r="D445" s="10">
        <v>0</v>
      </c>
      <c r="E445" s="11">
        <v>1</v>
      </c>
      <c r="F445" s="12">
        <v>0</v>
      </c>
      <c r="G445" s="13">
        <v>24.825477730400333</v>
      </c>
      <c r="H445" s="14">
        <v>10.38</v>
      </c>
      <c r="I445" s="15">
        <v>1</v>
      </c>
      <c r="J445" s="15">
        <v>1</v>
      </c>
      <c r="K445" s="16">
        <v>1</v>
      </c>
      <c r="L445" s="36">
        <v>1.85</v>
      </c>
    </row>
    <row r="446" spans="1:12" x14ac:dyDescent="0.45">
      <c r="A446" s="1" t="s">
        <v>455</v>
      </c>
      <c r="B446" s="2">
        <f>IF(OR(Table1[[#This Row],[M score]]=1,AND(Table1[[#This Row],[F score]]=1,Table1[[#This Row],[Z score]]=1)),1,0)</f>
        <v>0</v>
      </c>
      <c r="C446" s="17">
        <v>0</v>
      </c>
      <c r="D446" s="17">
        <v>0</v>
      </c>
      <c r="E446" s="18">
        <v>0</v>
      </c>
      <c r="F446" s="19">
        <v>9.9420849420849416E-2</v>
      </c>
      <c r="G446" s="6">
        <v>26.181993986211509</v>
      </c>
      <c r="H446" s="20">
        <v>18.64</v>
      </c>
      <c r="I446" s="21">
        <v>0</v>
      </c>
      <c r="J446" s="21">
        <v>1</v>
      </c>
      <c r="K446" s="22">
        <v>1</v>
      </c>
      <c r="L446" s="36">
        <v>-0.56000000000000005</v>
      </c>
    </row>
    <row r="447" spans="1:12" x14ac:dyDescent="0.45">
      <c r="A447" s="9" t="s">
        <v>456</v>
      </c>
      <c r="B447" s="2">
        <f>IF(OR(Table1[[#This Row],[M score]]=1,AND(Table1[[#This Row],[F score]]=1,Table1[[#This Row],[Z score]]=1)),1,0)</f>
        <v>0</v>
      </c>
      <c r="C447" s="10">
        <v>0</v>
      </c>
      <c r="D447" s="10">
        <v>1</v>
      </c>
      <c r="E447" s="11">
        <v>0</v>
      </c>
      <c r="F447" s="12">
        <v>0.97216564833672781</v>
      </c>
      <c r="G447" s="13">
        <v>29.858288141707547</v>
      </c>
      <c r="H447" s="14">
        <v>47.65</v>
      </c>
      <c r="I447" s="15">
        <v>1</v>
      </c>
      <c r="J447" s="15">
        <v>1</v>
      </c>
      <c r="K447" s="16">
        <v>1</v>
      </c>
      <c r="L447" s="36">
        <v>15.2</v>
      </c>
    </row>
    <row r="448" spans="1:12" x14ac:dyDescent="0.45">
      <c r="A448" s="1" t="s">
        <v>457</v>
      </c>
      <c r="B448" s="2">
        <f>IF(OR(Table1[[#This Row],[M score]]=1,AND(Table1[[#This Row],[F score]]=1,Table1[[#This Row],[Z score]]=1)),1,0)</f>
        <v>0</v>
      </c>
      <c r="C448" s="17">
        <v>0</v>
      </c>
      <c r="D448" s="17">
        <v>0</v>
      </c>
      <c r="E448" s="18">
        <v>0</v>
      </c>
      <c r="F448" s="19">
        <v>0.42830882352941174</v>
      </c>
      <c r="G448" s="6">
        <v>26.876175155413321</v>
      </c>
      <c r="H448" s="20">
        <v>0.78</v>
      </c>
      <c r="I448" s="21">
        <v>1</v>
      </c>
      <c r="J448" s="21">
        <v>0</v>
      </c>
      <c r="K448" s="22">
        <v>1</v>
      </c>
      <c r="L448" s="36">
        <v>7.3</v>
      </c>
    </row>
    <row r="449" spans="1:12" x14ac:dyDescent="0.45">
      <c r="A449" s="9" t="s">
        <v>458</v>
      </c>
      <c r="B449" s="2">
        <f>IF(OR(Table1[[#This Row],[M score]]=1,AND(Table1[[#This Row],[F score]]=1,Table1[[#This Row],[Z score]]=1)),1,0)</f>
        <v>1</v>
      </c>
      <c r="C449" s="10">
        <v>0</v>
      </c>
      <c r="D449" s="10">
        <v>1</v>
      </c>
      <c r="E449" s="11">
        <v>1</v>
      </c>
      <c r="F449" s="12">
        <v>-0.36773090079817561</v>
      </c>
      <c r="G449" s="13">
        <v>26.75225396534567</v>
      </c>
      <c r="H449" s="14">
        <v>65.290000000000006</v>
      </c>
      <c r="I449" s="15">
        <v>1</v>
      </c>
      <c r="J449" s="15">
        <v>1</v>
      </c>
      <c r="K449" s="16">
        <v>1</v>
      </c>
      <c r="L449" s="36">
        <v>7.79</v>
      </c>
    </row>
    <row r="450" spans="1:12" x14ac:dyDescent="0.45">
      <c r="A450" s="1" t="s">
        <v>459</v>
      </c>
      <c r="B450" s="2">
        <f>IF(OR(Table1[[#This Row],[M score]]=1,AND(Table1[[#This Row],[F score]]=1,Table1[[#This Row],[Z score]]=1)),1,0)</f>
        <v>1</v>
      </c>
      <c r="C450" s="17">
        <v>0</v>
      </c>
      <c r="D450" s="17">
        <v>0</v>
      </c>
      <c r="E450" s="18">
        <v>1</v>
      </c>
      <c r="F450" s="19">
        <v>1.632174098570514E-2</v>
      </c>
      <c r="G450" s="6">
        <v>29.502152969444378</v>
      </c>
      <c r="H450" s="20">
        <v>5.16</v>
      </c>
      <c r="I450" s="21">
        <v>1</v>
      </c>
      <c r="J450" s="21">
        <v>0</v>
      </c>
      <c r="K450" s="22">
        <v>1</v>
      </c>
      <c r="L450" s="36">
        <v>19.79</v>
      </c>
    </row>
    <row r="451" spans="1:12" x14ac:dyDescent="0.45">
      <c r="A451" s="9" t="s">
        <v>460</v>
      </c>
      <c r="B451" s="2">
        <f>IF(OR(Table1[[#This Row],[M score]]=1,AND(Table1[[#This Row],[F score]]=1,Table1[[#This Row],[Z score]]=1)),1,0)</f>
        <v>0</v>
      </c>
      <c r="C451" s="10">
        <v>0</v>
      </c>
      <c r="D451" s="10">
        <v>1</v>
      </c>
      <c r="E451" s="11">
        <v>0</v>
      </c>
      <c r="F451" s="12">
        <v>1.9162303664921465</v>
      </c>
      <c r="G451" s="13">
        <v>30.544480748302682</v>
      </c>
      <c r="H451" s="14">
        <v>20.329999999999998</v>
      </c>
      <c r="I451" s="15">
        <v>1</v>
      </c>
      <c r="J451" s="15">
        <v>1</v>
      </c>
      <c r="K451" s="16">
        <v>1</v>
      </c>
      <c r="L451" s="36">
        <v>12.35</v>
      </c>
    </row>
    <row r="452" spans="1:12" x14ac:dyDescent="0.45">
      <c r="A452" s="1" t="s">
        <v>461</v>
      </c>
      <c r="B452" s="2">
        <f>IF(OR(Table1[[#This Row],[M score]]=1,AND(Table1[[#This Row],[F score]]=1,Table1[[#This Row],[Z score]]=1)),1,0)</f>
        <v>0</v>
      </c>
      <c r="C452" s="17">
        <v>0</v>
      </c>
      <c r="D452" s="17">
        <v>1</v>
      </c>
      <c r="E452" s="18">
        <v>0</v>
      </c>
      <c r="F452" s="19">
        <v>-0.70383428823270167</v>
      </c>
      <c r="G452" s="6">
        <v>27.389226926958223</v>
      </c>
      <c r="H452" s="20">
        <v>44.52</v>
      </c>
      <c r="I452" s="21">
        <v>1</v>
      </c>
      <c r="J452" s="21">
        <v>1</v>
      </c>
      <c r="K452" s="22">
        <v>1</v>
      </c>
      <c r="L452" s="36">
        <v>4.2</v>
      </c>
    </row>
    <row r="453" spans="1:12" x14ac:dyDescent="0.45">
      <c r="A453" s="9" t="s">
        <v>462</v>
      </c>
      <c r="B453" s="2">
        <f>IF(OR(Table1[[#This Row],[M score]]=1,AND(Table1[[#This Row],[F score]]=1,Table1[[#This Row],[Z score]]=1)),1,0)</f>
        <v>0</v>
      </c>
      <c r="C453" s="10">
        <v>0</v>
      </c>
      <c r="D453" s="10">
        <v>0</v>
      </c>
      <c r="E453" s="11">
        <v>0</v>
      </c>
      <c r="F453" s="12">
        <v>-1</v>
      </c>
      <c r="G453" s="13">
        <v>27.651213497652758</v>
      </c>
      <c r="H453" s="14">
        <v>0.16</v>
      </c>
      <c r="I453" s="15">
        <v>0</v>
      </c>
      <c r="J453" s="15">
        <v>0</v>
      </c>
      <c r="K453" s="16">
        <v>0</v>
      </c>
      <c r="L453" s="36">
        <v>0.01</v>
      </c>
    </row>
    <row r="454" spans="1:12" x14ac:dyDescent="0.45">
      <c r="A454" s="1" t="s">
        <v>463</v>
      </c>
      <c r="B454" s="2">
        <f>IF(OR(Table1[[#This Row],[M score]]=1,AND(Table1[[#This Row],[F score]]=1,Table1[[#This Row],[Z score]]=1)),1,0)</f>
        <v>1</v>
      </c>
      <c r="C454" s="17">
        <v>0</v>
      </c>
      <c r="D454" s="17">
        <v>0</v>
      </c>
      <c r="E454" s="18">
        <v>1</v>
      </c>
      <c r="F454" s="19">
        <v>0.98019801980198018</v>
      </c>
      <c r="G454" s="6">
        <v>24.448959264183063</v>
      </c>
      <c r="H454" s="20">
        <v>37.36</v>
      </c>
      <c r="I454" s="21">
        <v>1</v>
      </c>
      <c r="J454" s="21">
        <v>0</v>
      </c>
      <c r="K454" s="22">
        <v>0</v>
      </c>
      <c r="L454" s="36">
        <v>3.46</v>
      </c>
    </row>
    <row r="455" spans="1:12" x14ac:dyDescent="0.45">
      <c r="A455" s="9" t="s">
        <v>464</v>
      </c>
      <c r="B455" s="2">
        <f>IF(OR(Table1[[#This Row],[M score]]=1,AND(Table1[[#This Row],[F score]]=1,Table1[[#This Row],[Z score]]=1)),1,0)</f>
        <v>0</v>
      </c>
      <c r="C455" s="10">
        <v>0</v>
      </c>
      <c r="D455" s="10">
        <v>0</v>
      </c>
      <c r="E455" s="11">
        <v>0</v>
      </c>
      <c r="F455" s="12">
        <v>0.72253922967189732</v>
      </c>
      <c r="G455" s="13">
        <v>28.945981216263675</v>
      </c>
      <c r="H455" s="14">
        <v>52.03</v>
      </c>
      <c r="I455" s="15">
        <v>1</v>
      </c>
      <c r="J455" s="15">
        <v>1</v>
      </c>
      <c r="K455" s="16">
        <v>1</v>
      </c>
      <c r="L455" s="36">
        <v>13.77</v>
      </c>
    </row>
    <row r="456" spans="1:12" x14ac:dyDescent="0.45">
      <c r="A456" s="1" t="s">
        <v>465</v>
      </c>
      <c r="B456" s="2">
        <f>IF(OR(Table1[[#This Row],[M score]]=1,AND(Table1[[#This Row],[F score]]=1,Table1[[#This Row],[Z score]]=1)),1,0)</f>
        <v>0</v>
      </c>
      <c r="C456" s="17">
        <v>0</v>
      </c>
      <c r="D456" s="17">
        <v>0</v>
      </c>
      <c r="E456" s="18">
        <v>0</v>
      </c>
      <c r="F456" s="19">
        <v>3.8953811908736785E-2</v>
      </c>
      <c r="G456" s="6">
        <v>27.422228327135578</v>
      </c>
      <c r="H456" s="20">
        <v>34.89</v>
      </c>
      <c r="I456" s="21">
        <v>1</v>
      </c>
      <c r="J456" s="21">
        <v>1</v>
      </c>
      <c r="K456" s="22">
        <v>1</v>
      </c>
      <c r="L456" s="36">
        <v>0.18</v>
      </c>
    </row>
    <row r="457" spans="1:12" x14ac:dyDescent="0.45">
      <c r="A457" s="9" t="s">
        <v>466</v>
      </c>
      <c r="B457" s="2">
        <f>IF(OR(Table1[[#This Row],[M score]]=1,AND(Table1[[#This Row],[F score]]=1,Table1[[#This Row],[Z score]]=1)),1,0)</f>
        <v>0</v>
      </c>
      <c r="C457" s="10">
        <v>0</v>
      </c>
      <c r="D457" s="10">
        <v>0</v>
      </c>
      <c r="E457" s="11">
        <v>0</v>
      </c>
      <c r="F457" s="12">
        <v>-0.32419547079856975</v>
      </c>
      <c r="G457" s="13">
        <v>28.479605237127519</v>
      </c>
      <c r="H457" s="14">
        <v>0.85</v>
      </c>
      <c r="I457" s="15">
        <v>1</v>
      </c>
      <c r="J457" s="15">
        <v>1</v>
      </c>
      <c r="K457" s="16">
        <v>1</v>
      </c>
      <c r="L457" s="36">
        <v>-0.14000000000000001</v>
      </c>
    </row>
    <row r="458" spans="1:12" x14ac:dyDescent="0.45">
      <c r="A458" s="1" t="s">
        <v>467</v>
      </c>
      <c r="B458" s="2">
        <f>IF(OR(Table1[[#This Row],[M score]]=1,AND(Table1[[#This Row],[F score]]=1,Table1[[#This Row],[Z score]]=1)),1,0)</f>
        <v>0</v>
      </c>
      <c r="C458" s="17">
        <v>0</v>
      </c>
      <c r="D458" s="17">
        <v>1</v>
      </c>
      <c r="E458" s="18">
        <v>0</v>
      </c>
      <c r="F458" s="19">
        <v>5.730659025787966E-2</v>
      </c>
      <c r="G458" s="6">
        <v>28.427598113546676</v>
      </c>
      <c r="H458" s="20">
        <v>9.83</v>
      </c>
      <c r="I458" s="21">
        <v>1</v>
      </c>
      <c r="J458" s="21">
        <v>1</v>
      </c>
      <c r="K458" s="22">
        <v>1</v>
      </c>
      <c r="L458" s="36">
        <v>2.4</v>
      </c>
    </row>
    <row r="459" spans="1:12" x14ac:dyDescent="0.45">
      <c r="A459" s="9" t="s">
        <v>468</v>
      </c>
      <c r="B459" s="2">
        <f>IF(OR(Table1[[#This Row],[M score]]=1,AND(Table1[[#This Row],[F score]]=1,Table1[[#This Row],[Z score]]=1)),1,0)</f>
        <v>1</v>
      </c>
      <c r="C459" s="10">
        <v>0</v>
      </c>
      <c r="D459" s="10">
        <v>0</v>
      </c>
      <c r="E459" s="11">
        <v>1</v>
      </c>
      <c r="F459" s="12">
        <v>1.4567901234567902</v>
      </c>
      <c r="G459" s="13">
        <v>24.811401357905318</v>
      </c>
      <c r="H459" s="14">
        <v>28.57</v>
      </c>
      <c r="I459" s="15">
        <v>1</v>
      </c>
      <c r="J459" s="15">
        <v>0</v>
      </c>
      <c r="K459" s="16">
        <v>1</v>
      </c>
      <c r="L459" s="36">
        <v>1.75</v>
      </c>
    </row>
    <row r="460" spans="1:12" x14ac:dyDescent="0.45">
      <c r="A460" s="1" t="s">
        <v>469</v>
      </c>
      <c r="B460" s="2">
        <f>IF(OR(Table1[[#This Row],[M score]]=1,AND(Table1[[#This Row],[F score]]=1,Table1[[#This Row],[Z score]]=1)),1,0)</f>
        <v>0</v>
      </c>
      <c r="C460" s="17">
        <v>0</v>
      </c>
      <c r="D460" s="17">
        <v>0</v>
      </c>
      <c r="E460" s="18">
        <v>0</v>
      </c>
      <c r="F460" s="19">
        <v>-8.1931867184131084E-3</v>
      </c>
      <c r="G460" s="6">
        <v>28.603668060947918</v>
      </c>
      <c r="H460" s="20">
        <v>17.57</v>
      </c>
      <c r="I460" s="21">
        <v>1</v>
      </c>
      <c r="J460" s="21">
        <v>1</v>
      </c>
      <c r="K460" s="22">
        <v>1</v>
      </c>
      <c r="L460" s="36">
        <v>0.39</v>
      </c>
    </row>
    <row r="461" spans="1:12" x14ac:dyDescent="0.45">
      <c r="A461" s="9" t="s">
        <v>470</v>
      </c>
      <c r="B461" s="2">
        <f>IF(OR(Table1[[#This Row],[M score]]=1,AND(Table1[[#This Row],[F score]]=1,Table1[[#This Row],[Z score]]=1)),1,0)</f>
        <v>0</v>
      </c>
      <c r="C461" s="10">
        <v>0</v>
      </c>
      <c r="D461" s="10">
        <v>1</v>
      </c>
      <c r="E461" s="11">
        <v>0</v>
      </c>
      <c r="F461" s="12">
        <v>-5.2007672634271103</v>
      </c>
      <c r="G461" s="13">
        <v>30.71528855675426</v>
      </c>
      <c r="H461" s="14">
        <v>49.79</v>
      </c>
      <c r="I461" s="15">
        <v>1</v>
      </c>
      <c r="J461" s="15">
        <v>1</v>
      </c>
      <c r="K461" s="16">
        <v>1</v>
      </c>
      <c r="L461" s="36">
        <v>22.68</v>
      </c>
    </row>
    <row r="462" spans="1:12" x14ac:dyDescent="0.45">
      <c r="A462" s="1" t="s">
        <v>471</v>
      </c>
      <c r="B462" s="2">
        <f>IF(OR(Table1[[#This Row],[M score]]=1,AND(Table1[[#This Row],[F score]]=1,Table1[[#This Row],[Z score]]=1)),1,0)</f>
        <v>0</v>
      </c>
      <c r="C462" s="17">
        <v>0</v>
      </c>
      <c r="D462" s="17">
        <v>1</v>
      </c>
      <c r="E462" s="18">
        <v>0</v>
      </c>
      <c r="F462" s="19">
        <v>3.6041666666666665</v>
      </c>
      <c r="G462" s="6">
        <v>26.24417420261981</v>
      </c>
      <c r="H462" s="20">
        <v>38.22</v>
      </c>
      <c r="I462" s="21">
        <v>1</v>
      </c>
      <c r="J462" s="21">
        <v>0</v>
      </c>
      <c r="K462" s="22">
        <v>1</v>
      </c>
      <c r="L462" s="36">
        <v>3.46</v>
      </c>
    </row>
    <row r="463" spans="1:12" x14ac:dyDescent="0.45">
      <c r="A463" s="9" t="s">
        <v>472</v>
      </c>
      <c r="B463" s="2">
        <f>IF(OR(Table1[[#This Row],[M score]]=1,AND(Table1[[#This Row],[F score]]=1,Table1[[#This Row],[Z score]]=1)),1,0)</f>
        <v>1</v>
      </c>
      <c r="C463" s="10">
        <v>0</v>
      </c>
      <c r="D463" s="10">
        <v>0</v>
      </c>
      <c r="E463" s="11">
        <v>1</v>
      </c>
      <c r="F463" s="12">
        <v>-0.39758436060266467</v>
      </c>
      <c r="G463" s="13">
        <v>26.953301850688302</v>
      </c>
      <c r="H463" s="14">
        <v>6.56</v>
      </c>
      <c r="I463" s="15">
        <v>1</v>
      </c>
      <c r="J463" s="15">
        <v>0</v>
      </c>
      <c r="K463" s="16">
        <v>1</v>
      </c>
      <c r="L463" s="36">
        <v>2.99</v>
      </c>
    </row>
    <row r="464" spans="1:12" x14ac:dyDescent="0.45">
      <c r="A464" s="1" t="s">
        <v>473</v>
      </c>
      <c r="B464" s="2">
        <f>IF(OR(Table1[[#This Row],[M score]]=1,AND(Table1[[#This Row],[F score]]=1,Table1[[#This Row],[Z score]]=1)),1,0)</f>
        <v>0</v>
      </c>
      <c r="C464" s="17">
        <v>0</v>
      </c>
      <c r="D464" s="17">
        <v>0</v>
      </c>
      <c r="E464" s="18">
        <v>0</v>
      </c>
      <c r="F464" s="19">
        <v>1.9846091535034426E-2</v>
      </c>
      <c r="G464" s="6">
        <v>29.953521771017869</v>
      </c>
      <c r="H464" s="20">
        <v>17.87</v>
      </c>
      <c r="I464" s="21">
        <v>0</v>
      </c>
      <c r="J464" s="21">
        <v>0</v>
      </c>
      <c r="K464" s="22">
        <v>0</v>
      </c>
      <c r="L464" s="36">
        <v>7.17</v>
      </c>
    </row>
    <row r="465" spans="1:12" x14ac:dyDescent="0.45">
      <c r="A465" s="9" t="s">
        <v>474</v>
      </c>
      <c r="B465" s="2">
        <f>IF(OR(Table1[[#This Row],[M score]]=1,AND(Table1[[#This Row],[F score]]=1,Table1[[#This Row],[Z score]]=1)),1,0)</f>
        <v>0</v>
      </c>
      <c r="C465" s="10">
        <v>0</v>
      </c>
      <c r="D465" s="10">
        <v>0</v>
      </c>
      <c r="E465" s="11">
        <v>0</v>
      </c>
      <c r="F465" s="12">
        <v>0.11605301914580265</v>
      </c>
      <c r="G465" s="13">
        <v>29.701258312667274</v>
      </c>
      <c r="H465" s="14">
        <v>0.36</v>
      </c>
      <c r="I465" s="15">
        <v>1</v>
      </c>
      <c r="J465" s="15">
        <v>0</v>
      </c>
      <c r="K465" s="16">
        <v>1</v>
      </c>
      <c r="L465" s="36">
        <v>8.64</v>
      </c>
    </row>
    <row r="466" spans="1:12" x14ac:dyDescent="0.45">
      <c r="A466" s="1" t="s">
        <v>475</v>
      </c>
      <c r="B466" s="2">
        <f>IF(OR(Table1[[#This Row],[M score]]=1,AND(Table1[[#This Row],[F score]]=1,Table1[[#This Row],[Z score]]=1)),1,0)</f>
        <v>0</v>
      </c>
      <c r="C466" s="17">
        <v>0</v>
      </c>
      <c r="D466" s="17">
        <v>0</v>
      </c>
      <c r="E466" s="18">
        <v>0</v>
      </c>
      <c r="F466" s="19">
        <v>0.26811594202898553</v>
      </c>
      <c r="G466" s="6">
        <v>27.039423140280082</v>
      </c>
      <c r="H466" s="20">
        <v>6.76</v>
      </c>
      <c r="I466" s="21">
        <v>1</v>
      </c>
      <c r="J466" s="21">
        <v>0</v>
      </c>
      <c r="K466" s="22">
        <v>1</v>
      </c>
      <c r="L466" s="36">
        <v>2.5499999999999998</v>
      </c>
    </row>
    <row r="467" spans="1:12" x14ac:dyDescent="0.45">
      <c r="A467" s="9" t="s">
        <v>476</v>
      </c>
      <c r="B467" s="2">
        <f>IF(OR(Table1[[#This Row],[M score]]=1,AND(Table1[[#This Row],[F score]]=1,Table1[[#This Row],[Z score]]=1)),1,0)</f>
        <v>0</v>
      </c>
      <c r="C467" s="10">
        <v>0</v>
      </c>
      <c r="D467" s="10">
        <v>1</v>
      </c>
      <c r="E467" s="11">
        <v>0</v>
      </c>
      <c r="F467" s="12">
        <v>-0.63525835866261393</v>
      </c>
      <c r="G467" s="13">
        <v>26.388827098782414</v>
      </c>
      <c r="H467" s="14">
        <v>21.78</v>
      </c>
      <c r="I467" s="15">
        <v>0</v>
      </c>
      <c r="J467" s="15">
        <v>0</v>
      </c>
      <c r="K467" s="16">
        <v>1</v>
      </c>
      <c r="L467" s="36">
        <v>-0.97</v>
      </c>
    </row>
    <row r="468" spans="1:12" x14ac:dyDescent="0.45">
      <c r="A468" s="1" t="s">
        <v>477</v>
      </c>
      <c r="B468" s="2">
        <f>IF(OR(Table1[[#This Row],[M score]]=1,AND(Table1[[#This Row],[F score]]=1,Table1[[#This Row],[Z score]]=1)),1,0)</f>
        <v>1</v>
      </c>
      <c r="C468" s="17">
        <v>0</v>
      </c>
      <c r="D468" s="17">
        <v>0</v>
      </c>
      <c r="E468" s="18">
        <v>1</v>
      </c>
      <c r="F468" s="19">
        <v>-1.7512437810945274</v>
      </c>
      <c r="G468" s="6">
        <v>25.305846264795093</v>
      </c>
      <c r="H468" s="20">
        <v>60.18</v>
      </c>
      <c r="I468" s="21">
        <v>1</v>
      </c>
      <c r="J468" s="21">
        <v>0</v>
      </c>
      <c r="K468" s="22">
        <v>1</v>
      </c>
      <c r="L468" s="36">
        <v>-1.91</v>
      </c>
    </row>
    <row r="469" spans="1:12" x14ac:dyDescent="0.45">
      <c r="A469" s="9" t="s">
        <v>478</v>
      </c>
      <c r="B469" s="2">
        <f>IF(OR(Table1[[#This Row],[M score]]=1,AND(Table1[[#This Row],[F score]]=1,Table1[[#This Row],[Z score]]=1)),1,0)</f>
        <v>0</v>
      </c>
      <c r="C469" s="10">
        <v>1</v>
      </c>
      <c r="D469" s="10">
        <v>0</v>
      </c>
      <c r="E469" s="11">
        <v>0</v>
      </c>
      <c r="F469" s="12">
        <v>-8.068965517241379</v>
      </c>
      <c r="G469" s="13">
        <v>25.447215211155019</v>
      </c>
      <c r="H469" s="14">
        <v>65.95</v>
      </c>
      <c r="I469" s="15">
        <v>0</v>
      </c>
      <c r="J469" s="15">
        <v>0</v>
      </c>
      <c r="K469" s="16">
        <v>1</v>
      </c>
      <c r="L469" s="36">
        <v>404.64</v>
      </c>
    </row>
    <row r="470" spans="1:12" x14ac:dyDescent="0.45">
      <c r="A470" s="1" t="s">
        <v>479</v>
      </c>
      <c r="B470" s="2">
        <f>IF(OR(Table1[[#This Row],[M score]]=1,AND(Table1[[#This Row],[F score]]=1,Table1[[#This Row],[Z score]]=1)),1,0)</f>
        <v>0</v>
      </c>
      <c r="C470" s="17">
        <v>0</v>
      </c>
      <c r="D470" s="17">
        <v>0</v>
      </c>
      <c r="E470" s="18">
        <v>0</v>
      </c>
      <c r="F470" s="19">
        <v>-0.26180613090306543</v>
      </c>
      <c r="G470" s="6">
        <v>26.188733834458407</v>
      </c>
      <c r="H470" s="20">
        <v>18.46</v>
      </c>
      <c r="I470" s="21">
        <v>1</v>
      </c>
      <c r="J470" s="21">
        <v>1</v>
      </c>
      <c r="K470" s="22">
        <v>1</v>
      </c>
      <c r="L470" s="36">
        <v>0.88</v>
      </c>
    </row>
    <row r="471" spans="1:12" x14ac:dyDescent="0.45">
      <c r="A471" s="9" t="s">
        <v>480</v>
      </c>
      <c r="B471" s="2">
        <f>IF(OR(Table1[[#This Row],[M score]]=1,AND(Table1[[#This Row],[F score]]=1,Table1[[#This Row],[Z score]]=1)),1,0)</f>
        <v>1</v>
      </c>
      <c r="C471" s="10">
        <v>0</v>
      </c>
      <c r="D471" s="10">
        <v>0</v>
      </c>
      <c r="E471" s="11">
        <v>1</v>
      </c>
      <c r="F471" s="12">
        <v>-0.68598130841121496</v>
      </c>
      <c r="G471" s="13">
        <v>28.301565311419996</v>
      </c>
      <c r="H471" s="14">
        <v>51.68</v>
      </c>
      <c r="I471" s="15">
        <v>1</v>
      </c>
      <c r="J471" s="15">
        <v>1</v>
      </c>
      <c r="K471" s="16">
        <v>1</v>
      </c>
      <c r="L471" s="36">
        <v>-2.15</v>
      </c>
    </row>
    <row r="472" spans="1:12" x14ac:dyDescent="0.45">
      <c r="A472" s="1" t="s">
        <v>481</v>
      </c>
      <c r="B472" s="2">
        <f>IF(OR(Table1[[#This Row],[M score]]=1,AND(Table1[[#This Row],[F score]]=1,Table1[[#This Row],[Z score]]=1)),1,0)</f>
        <v>0</v>
      </c>
      <c r="C472" s="17">
        <v>0</v>
      </c>
      <c r="D472" s="17">
        <v>1</v>
      </c>
      <c r="E472" s="18">
        <v>0</v>
      </c>
      <c r="F472" s="19">
        <v>2.1190476190476191</v>
      </c>
      <c r="G472" s="6">
        <v>27.023132079317982</v>
      </c>
      <c r="H472" s="20">
        <v>50.48</v>
      </c>
      <c r="I472" s="21">
        <v>1</v>
      </c>
      <c r="J472" s="21">
        <v>0</v>
      </c>
      <c r="K472" s="22">
        <v>1</v>
      </c>
      <c r="L472" s="36">
        <v>29.87</v>
      </c>
    </row>
    <row r="473" spans="1:12" x14ac:dyDescent="0.45">
      <c r="A473" s="9" t="s">
        <v>482</v>
      </c>
      <c r="B473" s="2">
        <f>IF(OR(Table1[[#This Row],[M score]]=1,AND(Table1[[#This Row],[F score]]=1,Table1[[#This Row],[Z score]]=1)),1,0)</f>
        <v>0</v>
      </c>
      <c r="C473" s="10">
        <v>0</v>
      </c>
      <c r="D473" s="10">
        <v>0</v>
      </c>
      <c r="E473" s="11">
        <v>0</v>
      </c>
      <c r="F473" s="12">
        <v>-6.6842568161829374E-2</v>
      </c>
      <c r="G473" s="13">
        <v>31.434387198413415</v>
      </c>
      <c r="H473" s="14">
        <v>21.71</v>
      </c>
      <c r="I473" s="15">
        <v>1</v>
      </c>
      <c r="J473" s="15">
        <v>1</v>
      </c>
      <c r="K473" s="16">
        <v>1</v>
      </c>
      <c r="L473" s="36">
        <v>0.56999999999999995</v>
      </c>
    </row>
    <row r="474" spans="1:12" x14ac:dyDescent="0.45">
      <c r="A474" s="1" t="s">
        <v>483</v>
      </c>
      <c r="B474" s="2">
        <f>IF(OR(Table1[[#This Row],[M score]]=1,AND(Table1[[#This Row],[F score]]=1,Table1[[#This Row],[Z score]]=1)),1,0)</f>
        <v>0</v>
      </c>
      <c r="C474" s="17">
        <v>0</v>
      </c>
      <c r="D474" s="17">
        <v>0</v>
      </c>
      <c r="E474" s="18">
        <v>0</v>
      </c>
      <c r="F474" s="19">
        <v>2.7137200093174937E-2</v>
      </c>
      <c r="G474" s="6">
        <v>28.063933451936272</v>
      </c>
      <c r="H474" s="20">
        <v>0.05</v>
      </c>
      <c r="I474" s="21">
        <v>1</v>
      </c>
      <c r="J474" s="21">
        <v>0</v>
      </c>
      <c r="K474" s="22">
        <v>1</v>
      </c>
      <c r="L474" s="36">
        <v>-16.84</v>
      </c>
    </row>
    <row r="475" spans="1:12" x14ac:dyDescent="0.45">
      <c r="A475" s="9" t="s">
        <v>484</v>
      </c>
      <c r="B475" s="2">
        <f>IF(OR(Table1[[#This Row],[M score]]=1,AND(Table1[[#This Row],[F score]]=1,Table1[[#This Row],[Z score]]=1)),1,0)</f>
        <v>0</v>
      </c>
      <c r="C475" s="10">
        <v>0</v>
      </c>
      <c r="D475" s="10">
        <v>0</v>
      </c>
      <c r="E475" s="11">
        <v>0</v>
      </c>
      <c r="F475" s="12">
        <v>-0.16635514018691588</v>
      </c>
      <c r="G475" s="13">
        <v>26.489262118371929</v>
      </c>
      <c r="H475" s="14">
        <v>24.3</v>
      </c>
      <c r="I475" s="15">
        <v>1</v>
      </c>
      <c r="J475" s="15">
        <v>0</v>
      </c>
      <c r="K475" s="16">
        <v>1</v>
      </c>
      <c r="L475" s="36">
        <v>3.32</v>
      </c>
    </row>
    <row r="476" spans="1:12" x14ac:dyDescent="0.45">
      <c r="A476" s="1" t="s">
        <v>485</v>
      </c>
      <c r="B476" s="2">
        <f>IF(OR(Table1[[#This Row],[M score]]=1,AND(Table1[[#This Row],[F score]]=1,Table1[[#This Row],[Z score]]=1)),1,0)</f>
        <v>1</v>
      </c>
      <c r="C476" s="17">
        <v>0</v>
      </c>
      <c r="D476" s="17">
        <v>0</v>
      </c>
      <c r="E476" s="18">
        <v>1</v>
      </c>
      <c r="F476" s="19">
        <v>0.13306908267270667</v>
      </c>
      <c r="G476" s="6">
        <v>24.684079006543989</v>
      </c>
      <c r="H476" s="20">
        <v>43.4</v>
      </c>
      <c r="I476" s="21">
        <v>1</v>
      </c>
      <c r="J476" s="21">
        <v>0</v>
      </c>
      <c r="K476" s="22">
        <v>1</v>
      </c>
      <c r="L476" s="36">
        <v>3.96</v>
      </c>
    </row>
    <row r="477" spans="1:12" x14ac:dyDescent="0.45">
      <c r="A477" s="9" t="s">
        <v>486</v>
      </c>
      <c r="B477" s="2">
        <f>IF(OR(Table1[[#This Row],[M score]]=1,AND(Table1[[#This Row],[F score]]=1,Table1[[#This Row],[Z score]]=1)),1,0)</f>
        <v>0</v>
      </c>
      <c r="C477" s="10">
        <v>0</v>
      </c>
      <c r="D477" s="10">
        <v>0</v>
      </c>
      <c r="E477" s="11">
        <v>0</v>
      </c>
      <c r="F477" s="12">
        <v>4.0816326530612242E-2</v>
      </c>
      <c r="G477" s="13">
        <v>26.241446625862839</v>
      </c>
      <c r="H477" s="14">
        <v>15.87</v>
      </c>
      <c r="I477" s="15">
        <v>1</v>
      </c>
      <c r="J477" s="15">
        <v>0</v>
      </c>
      <c r="K477" s="16">
        <v>1</v>
      </c>
      <c r="L477" s="36">
        <v>4.3499999999999996</v>
      </c>
    </row>
    <row r="478" spans="1:12" x14ac:dyDescent="0.45">
      <c r="A478" s="1" t="s">
        <v>487</v>
      </c>
      <c r="B478" s="2">
        <f>IF(OR(Table1[[#This Row],[M score]]=1,AND(Table1[[#This Row],[F score]]=1,Table1[[#This Row],[Z score]]=1)),1,0)</f>
        <v>1</v>
      </c>
      <c r="C478" s="17">
        <v>0</v>
      </c>
      <c r="D478" s="17">
        <v>0</v>
      </c>
      <c r="E478" s="18">
        <v>1</v>
      </c>
      <c r="F478" s="19">
        <v>0.20485584218512898</v>
      </c>
      <c r="G478" s="6">
        <v>28.190633543858326</v>
      </c>
      <c r="H478" s="20">
        <v>6.57</v>
      </c>
      <c r="I478" s="21">
        <v>0</v>
      </c>
      <c r="J478" s="21">
        <v>0</v>
      </c>
      <c r="K478" s="22">
        <v>1</v>
      </c>
      <c r="L478" s="36">
        <v>-6.88</v>
      </c>
    </row>
    <row r="479" spans="1:12" x14ac:dyDescent="0.45">
      <c r="A479" s="9" t="s">
        <v>488</v>
      </c>
      <c r="B479" s="2">
        <f>IF(OR(Table1[[#This Row],[M score]]=1,AND(Table1[[#This Row],[F score]]=1,Table1[[#This Row],[Z score]]=1)),1,0)</f>
        <v>0</v>
      </c>
      <c r="C479" s="10">
        <v>0</v>
      </c>
      <c r="D479" s="10">
        <v>0</v>
      </c>
      <c r="E479" s="11">
        <v>0</v>
      </c>
      <c r="F479" s="12">
        <v>-0.80021141649048622</v>
      </c>
      <c r="G479" s="13">
        <v>26.028598022768186</v>
      </c>
      <c r="H479" s="14">
        <v>0.11</v>
      </c>
      <c r="I479" s="15">
        <v>1</v>
      </c>
      <c r="J479" s="15">
        <v>0</v>
      </c>
      <c r="K479" s="16">
        <v>1</v>
      </c>
      <c r="L479" s="36">
        <v>-1.79</v>
      </c>
    </row>
    <row r="480" spans="1:12" x14ac:dyDescent="0.45">
      <c r="A480" s="1" t="s">
        <v>489</v>
      </c>
      <c r="B480" s="2">
        <f>IF(OR(Table1[[#This Row],[M score]]=1,AND(Table1[[#This Row],[F score]]=1,Table1[[#This Row],[Z score]]=1)),1,0)</f>
        <v>1</v>
      </c>
      <c r="C480" s="17">
        <v>0</v>
      </c>
      <c r="D480" s="17">
        <v>0</v>
      </c>
      <c r="E480" s="18">
        <v>1</v>
      </c>
      <c r="F480" s="19">
        <v>0.32576959695334812</v>
      </c>
      <c r="G480" s="6">
        <v>31.130296461090918</v>
      </c>
      <c r="H480" s="20">
        <v>20.94</v>
      </c>
      <c r="I480" s="21">
        <v>1</v>
      </c>
      <c r="J480" s="21">
        <v>1</v>
      </c>
      <c r="K480" s="22">
        <v>1</v>
      </c>
      <c r="L480" s="36">
        <v>17.940000000000001</v>
      </c>
    </row>
    <row r="481" spans="1:12" x14ac:dyDescent="0.45">
      <c r="A481" s="9" t="s">
        <v>490</v>
      </c>
      <c r="B481" s="2">
        <f>IF(OR(Table1[[#This Row],[M score]]=1,AND(Table1[[#This Row],[F score]]=1,Table1[[#This Row],[Z score]]=1)),1,0)</f>
        <v>1</v>
      </c>
      <c r="C481" s="10">
        <v>0</v>
      </c>
      <c r="D481" s="10">
        <v>0</v>
      </c>
      <c r="E481" s="11">
        <v>1</v>
      </c>
      <c r="F481" s="12">
        <v>2.4558710667689946E-2</v>
      </c>
      <c r="G481" s="13">
        <v>26.633222019497023</v>
      </c>
      <c r="H481" s="14">
        <v>11.58</v>
      </c>
      <c r="I481" s="15">
        <v>0</v>
      </c>
      <c r="J481" s="15">
        <v>0</v>
      </c>
      <c r="K481" s="16">
        <v>1</v>
      </c>
      <c r="L481" s="36">
        <v>2.59</v>
      </c>
    </row>
    <row r="482" spans="1:12" x14ac:dyDescent="0.45">
      <c r="A482" s="1" t="s">
        <v>491</v>
      </c>
      <c r="B482" s="2">
        <f>IF(OR(Table1[[#This Row],[M score]]=1,AND(Table1[[#This Row],[F score]]=1,Table1[[#This Row],[Z score]]=1)),1,0)</f>
        <v>0</v>
      </c>
      <c r="C482" s="17">
        <v>0</v>
      </c>
      <c r="D482" s="17">
        <v>1</v>
      </c>
      <c r="E482" s="18">
        <v>0</v>
      </c>
      <c r="F482" s="19">
        <v>2.2427745664739884</v>
      </c>
      <c r="G482" s="6">
        <v>26.753475331164342</v>
      </c>
      <c r="H482" s="20">
        <v>29.01</v>
      </c>
      <c r="I482" s="21">
        <v>1</v>
      </c>
      <c r="J482" s="21">
        <v>0</v>
      </c>
      <c r="K482" s="22">
        <v>1</v>
      </c>
      <c r="L482" s="36">
        <v>-0.23</v>
      </c>
    </row>
    <row r="483" spans="1:12" x14ac:dyDescent="0.45">
      <c r="A483" s="9" t="s">
        <v>492</v>
      </c>
      <c r="B483" s="2">
        <f>IF(OR(Table1[[#This Row],[M score]]=1,AND(Table1[[#This Row],[F score]]=1,Table1[[#This Row],[Z score]]=1)),1,0)</f>
        <v>0</v>
      </c>
      <c r="C483" s="10">
        <v>0</v>
      </c>
      <c r="D483" s="10">
        <v>0</v>
      </c>
      <c r="E483" s="11">
        <v>0</v>
      </c>
      <c r="F483" s="12">
        <v>3.2338308457711441E-2</v>
      </c>
      <c r="G483" s="13">
        <v>25.328404982452753</v>
      </c>
      <c r="H483" s="14">
        <v>0.46</v>
      </c>
      <c r="I483" s="15">
        <v>0</v>
      </c>
      <c r="J483" s="15">
        <v>0</v>
      </c>
      <c r="K483" s="16">
        <v>1</v>
      </c>
      <c r="L483" s="36">
        <v>1.9</v>
      </c>
    </row>
    <row r="484" spans="1:12" x14ac:dyDescent="0.45">
      <c r="A484" s="1" t="s">
        <v>493</v>
      </c>
      <c r="B484" s="2">
        <f>IF(OR(Table1[[#This Row],[M score]]=1,AND(Table1[[#This Row],[F score]]=1,Table1[[#This Row],[Z score]]=1)),1,0)</f>
        <v>0</v>
      </c>
      <c r="C484" s="17">
        <v>0</v>
      </c>
      <c r="D484" s="17">
        <v>1</v>
      </c>
      <c r="E484" s="18">
        <v>0</v>
      </c>
      <c r="F484" s="19">
        <v>1.1010526315789473</v>
      </c>
      <c r="G484" s="6">
        <v>31.023573548129725</v>
      </c>
      <c r="H484" s="20">
        <v>32.659999999999997</v>
      </c>
      <c r="I484" s="21">
        <v>1</v>
      </c>
      <c r="J484" s="21">
        <v>1</v>
      </c>
      <c r="K484" s="22">
        <v>1</v>
      </c>
      <c r="L484" s="36">
        <v>7.31</v>
      </c>
    </row>
    <row r="485" spans="1:12" x14ac:dyDescent="0.45">
      <c r="A485" s="9" t="s">
        <v>494</v>
      </c>
      <c r="B485" s="2">
        <f>IF(OR(Table1[[#This Row],[M score]]=1,AND(Table1[[#This Row],[F score]]=1,Table1[[#This Row],[Z score]]=1)),1,0)</f>
        <v>0</v>
      </c>
      <c r="C485" s="10">
        <v>0</v>
      </c>
      <c r="D485" s="10">
        <v>0</v>
      </c>
      <c r="E485" s="11">
        <v>0</v>
      </c>
      <c r="F485" s="12">
        <v>0.20974830203755493</v>
      </c>
      <c r="G485" s="13">
        <v>28.354171947148949</v>
      </c>
      <c r="H485" s="14">
        <v>24.59</v>
      </c>
      <c r="I485" s="15">
        <v>0</v>
      </c>
      <c r="J485" s="15">
        <v>0</v>
      </c>
      <c r="K485" s="16">
        <v>1</v>
      </c>
      <c r="L485" s="36">
        <v>10.01</v>
      </c>
    </row>
    <row r="486" spans="1:12" x14ac:dyDescent="0.45">
      <c r="A486" s="1" t="s">
        <v>495</v>
      </c>
      <c r="B486" s="2">
        <f>IF(OR(Table1[[#This Row],[M score]]=1,AND(Table1[[#This Row],[F score]]=1,Table1[[#This Row],[Z score]]=1)),1,0)</f>
        <v>0</v>
      </c>
      <c r="C486" s="17">
        <v>0</v>
      </c>
      <c r="D486" s="17">
        <v>0</v>
      </c>
      <c r="E486" s="18">
        <v>0</v>
      </c>
      <c r="F486" s="19">
        <v>6.893056259503294E-2</v>
      </c>
      <c r="G486" s="6">
        <v>25.918441421847138</v>
      </c>
      <c r="H486" s="20">
        <v>3.56</v>
      </c>
      <c r="I486" s="21">
        <v>1</v>
      </c>
      <c r="J486" s="21">
        <v>0</v>
      </c>
      <c r="K486" s="22">
        <v>1</v>
      </c>
      <c r="L486" s="36">
        <v>2.4900000000000002</v>
      </c>
    </row>
    <row r="487" spans="1:12" x14ac:dyDescent="0.45">
      <c r="A487" s="9" t="s">
        <v>496</v>
      </c>
      <c r="B487" s="2">
        <f>IF(OR(Table1[[#This Row],[M score]]=1,AND(Table1[[#This Row],[F score]]=1,Table1[[#This Row],[Z score]]=1)),1,0)</f>
        <v>0</v>
      </c>
      <c r="C487" s="10">
        <v>0</v>
      </c>
      <c r="D487" s="10">
        <v>0</v>
      </c>
      <c r="E487" s="11">
        <v>0</v>
      </c>
      <c r="F487" s="12">
        <v>-6.9724770642201839E-2</v>
      </c>
      <c r="G487" s="13">
        <v>26.422380198228971</v>
      </c>
      <c r="H487" s="14">
        <v>52.6</v>
      </c>
      <c r="I487" s="15">
        <v>1</v>
      </c>
      <c r="J487" s="15">
        <v>0</v>
      </c>
      <c r="K487" s="16">
        <v>1</v>
      </c>
      <c r="L487" s="36">
        <v>4.8499999999999996</v>
      </c>
    </row>
    <row r="488" spans="1:12" x14ac:dyDescent="0.45">
      <c r="A488" s="1" t="s">
        <v>497</v>
      </c>
      <c r="B488" s="2">
        <f>IF(OR(Table1[[#This Row],[M score]]=1,AND(Table1[[#This Row],[F score]]=1,Table1[[#This Row],[Z score]]=1)),1,0)</f>
        <v>0</v>
      </c>
      <c r="C488" s="17">
        <v>0</v>
      </c>
      <c r="D488" s="17">
        <v>0</v>
      </c>
      <c r="E488" s="18">
        <v>0</v>
      </c>
      <c r="F488" s="19">
        <v>-0.88627132412672627</v>
      </c>
      <c r="G488" s="6">
        <v>25.209289279100659</v>
      </c>
      <c r="H488" s="20">
        <v>15.4</v>
      </c>
      <c r="I488" s="21">
        <v>1</v>
      </c>
      <c r="J488" s="21">
        <v>0</v>
      </c>
      <c r="K488" s="22">
        <v>1</v>
      </c>
      <c r="L488" s="36">
        <v>-5.13</v>
      </c>
    </row>
    <row r="489" spans="1:12" x14ac:dyDescent="0.45">
      <c r="A489" s="9" t="s">
        <v>498</v>
      </c>
      <c r="B489" s="2">
        <f>IF(OR(Table1[[#This Row],[M score]]=1,AND(Table1[[#This Row],[F score]]=1,Table1[[#This Row],[Z score]]=1)),1,0)</f>
        <v>0</v>
      </c>
      <c r="C489" s="10">
        <v>0</v>
      </c>
      <c r="D489" s="10">
        <v>1</v>
      </c>
      <c r="E489" s="11">
        <v>0</v>
      </c>
      <c r="F489" s="12">
        <v>0.18027571580063625</v>
      </c>
      <c r="G489" s="13">
        <v>25.510757579728459</v>
      </c>
      <c r="H489" s="14">
        <v>3.59</v>
      </c>
      <c r="I489" s="15">
        <v>0</v>
      </c>
      <c r="J489" s="15">
        <v>1</v>
      </c>
      <c r="K489" s="16">
        <v>1</v>
      </c>
      <c r="L489" s="36">
        <v>19.010000000000002</v>
      </c>
    </row>
    <row r="490" spans="1:12" x14ac:dyDescent="0.45">
      <c r="A490" s="1" t="s">
        <v>499</v>
      </c>
      <c r="B490" s="2">
        <f>IF(OR(Table1[[#This Row],[M score]]=1,AND(Table1[[#This Row],[F score]]=1,Table1[[#This Row],[Z score]]=1)),1,0)</f>
        <v>0</v>
      </c>
      <c r="C490" s="17">
        <v>0</v>
      </c>
      <c r="D490" s="17">
        <v>1</v>
      </c>
      <c r="E490" s="18">
        <v>0</v>
      </c>
      <c r="F490" s="19">
        <v>-0.23693803159173754</v>
      </c>
      <c r="G490" s="6">
        <v>24.364218499952109</v>
      </c>
      <c r="H490" s="20">
        <v>38.409999999999997</v>
      </c>
      <c r="I490" s="21">
        <v>1</v>
      </c>
      <c r="J490" s="21">
        <v>0</v>
      </c>
      <c r="K490" s="22">
        <v>1</v>
      </c>
      <c r="L490" s="36">
        <v>106.85</v>
      </c>
    </row>
    <row r="491" spans="1:12" x14ac:dyDescent="0.45">
      <c r="A491" s="9" t="s">
        <v>500</v>
      </c>
      <c r="B491" s="2">
        <f>IF(OR(Table1[[#This Row],[M score]]=1,AND(Table1[[#This Row],[F score]]=1,Table1[[#This Row],[Z score]]=1)),1,0)</f>
        <v>0</v>
      </c>
      <c r="C491" s="10">
        <v>1</v>
      </c>
      <c r="D491" s="10">
        <v>0</v>
      </c>
      <c r="E491" s="11">
        <v>0</v>
      </c>
      <c r="F491" s="12">
        <v>6.7898550724637685</v>
      </c>
      <c r="G491" s="13">
        <v>25.039152669115747</v>
      </c>
      <c r="H491" s="14">
        <v>31.46</v>
      </c>
      <c r="I491" s="15">
        <v>1</v>
      </c>
      <c r="J491" s="15">
        <v>0</v>
      </c>
      <c r="K491" s="16">
        <v>1</v>
      </c>
      <c r="L491" s="36">
        <v>6.64</v>
      </c>
    </row>
    <row r="492" spans="1:12" x14ac:dyDescent="0.45">
      <c r="A492" s="1" t="s">
        <v>501</v>
      </c>
      <c r="B492" s="2">
        <f>IF(OR(Table1[[#This Row],[M score]]=1,AND(Table1[[#This Row],[F score]]=1,Table1[[#This Row],[Z score]]=1)),1,0)</f>
        <v>1</v>
      </c>
      <c r="C492" s="17">
        <v>0</v>
      </c>
      <c r="D492" s="17">
        <v>0</v>
      </c>
      <c r="E492" s="18">
        <v>1</v>
      </c>
      <c r="F492" s="19">
        <v>0.73212045169385198</v>
      </c>
      <c r="G492" s="6">
        <v>27.424855047838626</v>
      </c>
      <c r="H492" s="20">
        <v>54.99</v>
      </c>
      <c r="I492" s="21">
        <v>1</v>
      </c>
      <c r="J492" s="21">
        <v>1</v>
      </c>
      <c r="K492" s="22">
        <v>1</v>
      </c>
      <c r="L492" s="36">
        <v>24.37</v>
      </c>
    </row>
    <row r="493" spans="1:12" x14ac:dyDescent="0.45">
      <c r="A493" s="9" t="s">
        <v>502</v>
      </c>
      <c r="B493" s="2">
        <f>IF(OR(Table1[[#This Row],[M score]]=1,AND(Table1[[#This Row],[F score]]=1,Table1[[#This Row],[Z score]]=1)),1,0)</f>
        <v>0</v>
      </c>
      <c r="C493" s="10">
        <v>0</v>
      </c>
      <c r="D493" s="10">
        <v>1</v>
      </c>
      <c r="E493" s="11">
        <v>0</v>
      </c>
      <c r="F493" s="12">
        <v>-8.8362068965517238E-2</v>
      </c>
      <c r="G493" s="13">
        <v>26.56390749431981</v>
      </c>
      <c r="H493" s="14">
        <v>4.22</v>
      </c>
      <c r="I493" s="15">
        <v>0</v>
      </c>
      <c r="J493" s="15">
        <v>1</v>
      </c>
      <c r="K493" s="16">
        <v>1</v>
      </c>
      <c r="L493" s="36">
        <v>2.41</v>
      </c>
    </row>
    <row r="494" spans="1:12" x14ac:dyDescent="0.45">
      <c r="A494" s="1" t="s">
        <v>503</v>
      </c>
      <c r="B494" s="2">
        <f>IF(OR(Table1[[#This Row],[M score]]=1,AND(Table1[[#This Row],[F score]]=1,Table1[[#This Row],[Z score]]=1)),1,0)</f>
        <v>0</v>
      </c>
      <c r="C494" s="17">
        <v>0</v>
      </c>
      <c r="D494" s="17">
        <v>0</v>
      </c>
      <c r="E494" s="18">
        <v>0</v>
      </c>
      <c r="F494" s="19">
        <v>0.36842105263157893</v>
      </c>
      <c r="G494" s="6">
        <v>27.262851792564081</v>
      </c>
      <c r="H494" s="20">
        <v>5.85</v>
      </c>
      <c r="I494" s="21">
        <v>0</v>
      </c>
      <c r="J494" s="21">
        <v>1</v>
      </c>
      <c r="K494" s="22">
        <v>1</v>
      </c>
      <c r="L494" s="36">
        <v>-0.57999999999999996</v>
      </c>
    </row>
    <row r="495" spans="1:12" x14ac:dyDescent="0.45">
      <c r="A495" s="9" t="s">
        <v>504</v>
      </c>
      <c r="B495" s="2">
        <f>IF(OR(Table1[[#This Row],[M score]]=1,AND(Table1[[#This Row],[F score]]=1,Table1[[#This Row],[Z score]]=1)),1,0)</f>
        <v>0</v>
      </c>
      <c r="C495" s="10">
        <v>0</v>
      </c>
      <c r="D495" s="10">
        <v>0</v>
      </c>
      <c r="E495" s="11">
        <v>0</v>
      </c>
      <c r="F495" s="12">
        <v>1.1079136690647482</v>
      </c>
      <c r="G495" s="13">
        <v>25.584627428294912</v>
      </c>
      <c r="H495" s="14">
        <v>3.38</v>
      </c>
      <c r="I495" s="15">
        <v>1</v>
      </c>
      <c r="J495" s="15">
        <v>1</v>
      </c>
      <c r="K495" s="16">
        <v>1</v>
      </c>
      <c r="L495" s="36">
        <v>3</v>
      </c>
    </row>
    <row r="496" spans="1:12" x14ac:dyDescent="0.45">
      <c r="A496" s="1" t="s">
        <v>505</v>
      </c>
      <c r="B496" s="2">
        <f>IF(OR(Table1[[#This Row],[M score]]=1,AND(Table1[[#This Row],[F score]]=1,Table1[[#This Row],[Z score]]=1)),1,0)</f>
        <v>0</v>
      </c>
      <c r="C496" s="17">
        <v>0</v>
      </c>
      <c r="D496" s="17">
        <v>0</v>
      </c>
      <c r="E496" s="18">
        <v>0</v>
      </c>
      <c r="F496" s="19">
        <v>0.36020334059549747</v>
      </c>
      <c r="G496" s="6">
        <v>28.778249541290855</v>
      </c>
      <c r="H496" s="20">
        <v>30.25</v>
      </c>
      <c r="I496" s="21">
        <v>1</v>
      </c>
      <c r="J496" s="21">
        <v>0</v>
      </c>
      <c r="K496" s="22">
        <v>1</v>
      </c>
      <c r="L496" s="36">
        <v>10.4</v>
      </c>
    </row>
    <row r="497" spans="1:12" x14ac:dyDescent="0.45">
      <c r="A497" s="9" t="s">
        <v>506</v>
      </c>
      <c r="B497" s="2">
        <f>IF(OR(Table1[[#This Row],[M score]]=1,AND(Table1[[#This Row],[F score]]=1,Table1[[#This Row],[Z score]]=1)),1,0)</f>
        <v>1</v>
      </c>
      <c r="C497" s="10">
        <v>1</v>
      </c>
      <c r="D497" s="10">
        <v>1</v>
      </c>
      <c r="E497" s="11">
        <v>0</v>
      </c>
      <c r="F497" s="12">
        <v>-1.0415375788869765</v>
      </c>
      <c r="G497" s="13">
        <v>24.412131890970567</v>
      </c>
      <c r="H497" s="14">
        <v>31.04</v>
      </c>
      <c r="I497" s="15">
        <v>1</v>
      </c>
      <c r="J497" s="15">
        <v>0</v>
      </c>
      <c r="K497" s="16">
        <v>1</v>
      </c>
      <c r="L497" s="36">
        <v>734.27</v>
      </c>
    </row>
    <row r="498" spans="1:12" x14ac:dyDescent="0.45">
      <c r="A498" s="1" t="s">
        <v>507</v>
      </c>
      <c r="B498" s="2">
        <f>IF(OR(Table1[[#This Row],[M score]]=1,AND(Table1[[#This Row],[F score]]=1,Table1[[#This Row],[Z score]]=1)),1,0)</f>
        <v>0</v>
      </c>
      <c r="C498" s="17">
        <v>0</v>
      </c>
      <c r="D498" s="17">
        <v>1</v>
      </c>
      <c r="E498" s="18">
        <v>0</v>
      </c>
      <c r="F498" s="19">
        <v>-0.38240439890027494</v>
      </c>
      <c r="G498" s="6">
        <v>29.042040378385817</v>
      </c>
      <c r="H498" s="20">
        <v>3.46</v>
      </c>
      <c r="I498" s="21">
        <v>1</v>
      </c>
      <c r="J498" s="21">
        <v>1</v>
      </c>
      <c r="K498" s="22">
        <v>1</v>
      </c>
      <c r="L498" s="36">
        <v>11.57</v>
      </c>
    </row>
    <row r="499" spans="1:12" x14ac:dyDescent="0.45">
      <c r="A499" s="9" t="s">
        <v>508</v>
      </c>
      <c r="B499" s="2">
        <f>IF(OR(Table1[[#This Row],[M score]]=1,AND(Table1[[#This Row],[F score]]=1,Table1[[#This Row],[Z score]]=1)),1,0)</f>
        <v>0</v>
      </c>
      <c r="C499" s="10">
        <v>0</v>
      </c>
      <c r="D499" s="10">
        <v>1</v>
      </c>
      <c r="E499" s="11">
        <v>0</v>
      </c>
      <c r="F499" s="12">
        <v>-1.2566735112936345</v>
      </c>
      <c r="G499" s="13">
        <v>26.35805544011566</v>
      </c>
      <c r="H499" s="14">
        <v>10.77</v>
      </c>
      <c r="I499" s="15">
        <v>1</v>
      </c>
      <c r="J499" s="15">
        <v>0</v>
      </c>
      <c r="K499" s="16">
        <v>1</v>
      </c>
      <c r="L499" s="36">
        <v>3.58</v>
      </c>
    </row>
    <row r="500" spans="1:12" x14ac:dyDescent="0.45">
      <c r="A500" s="1" t="s">
        <v>509</v>
      </c>
      <c r="B500" s="2">
        <f>IF(OR(Table1[[#This Row],[M score]]=1,AND(Table1[[#This Row],[F score]]=1,Table1[[#This Row],[Z score]]=1)),1,0)</f>
        <v>0</v>
      </c>
      <c r="C500" s="17">
        <v>0</v>
      </c>
      <c r="D500" s="17">
        <v>0</v>
      </c>
      <c r="E500" s="18">
        <v>0</v>
      </c>
      <c r="F500" s="19">
        <v>1.8323615160349853</v>
      </c>
      <c r="G500" s="6">
        <v>24.791677017142007</v>
      </c>
      <c r="H500" s="20">
        <v>27.47</v>
      </c>
      <c r="I500" s="21">
        <v>1</v>
      </c>
      <c r="J500" s="21">
        <v>0</v>
      </c>
      <c r="K500" s="22">
        <v>1</v>
      </c>
      <c r="L500" s="36">
        <v>7.11</v>
      </c>
    </row>
    <row r="501" spans="1:12" x14ac:dyDescent="0.45">
      <c r="A501" s="9" t="s">
        <v>510</v>
      </c>
      <c r="B501" s="2">
        <f>IF(OR(Table1[[#This Row],[M score]]=1,AND(Table1[[#This Row],[F score]]=1,Table1[[#This Row],[Z score]]=1)),1,0)</f>
        <v>0</v>
      </c>
      <c r="C501" s="10">
        <v>0</v>
      </c>
      <c r="D501" s="10">
        <v>1</v>
      </c>
      <c r="E501" s="11">
        <v>0</v>
      </c>
      <c r="F501" s="12">
        <v>-0.30614805520702637</v>
      </c>
      <c r="G501" s="13">
        <v>25.877587571188233</v>
      </c>
      <c r="H501" s="14">
        <v>46.66</v>
      </c>
      <c r="I501" s="15">
        <v>0</v>
      </c>
      <c r="J501" s="15">
        <v>1</v>
      </c>
      <c r="K501" s="16">
        <v>1</v>
      </c>
      <c r="L501" s="36">
        <v>6.65</v>
      </c>
    </row>
    <row r="502" spans="1:12" x14ac:dyDescent="0.45">
      <c r="A502" s="1" t="s">
        <v>511</v>
      </c>
      <c r="B502" s="2">
        <f>IF(OR(Table1[[#This Row],[M score]]=1,AND(Table1[[#This Row],[F score]]=1,Table1[[#This Row],[Z score]]=1)),1,0)</f>
        <v>1</v>
      </c>
      <c r="C502" s="17">
        <v>0</v>
      </c>
      <c r="D502" s="17">
        <v>1</v>
      </c>
      <c r="E502" s="18">
        <v>1</v>
      </c>
      <c r="F502" s="19">
        <v>-13.75</v>
      </c>
      <c r="G502" s="6">
        <v>25.02733093015058</v>
      </c>
      <c r="H502" s="20">
        <v>43.74</v>
      </c>
      <c r="I502" s="21">
        <v>0</v>
      </c>
      <c r="J502" s="21">
        <v>0</v>
      </c>
      <c r="K502" s="22">
        <v>0</v>
      </c>
      <c r="L502" s="36">
        <v>-1.38</v>
      </c>
    </row>
    <row r="503" spans="1:12" x14ac:dyDescent="0.45">
      <c r="A503" s="9" t="s">
        <v>512</v>
      </c>
      <c r="B503" s="2">
        <f>IF(OR(Table1[[#This Row],[M score]]=1,AND(Table1[[#This Row],[F score]]=1,Table1[[#This Row],[Z score]]=1)),1,0)</f>
        <v>0</v>
      </c>
      <c r="C503" s="10">
        <v>0</v>
      </c>
      <c r="D503" s="10">
        <v>0</v>
      </c>
      <c r="E503" s="11">
        <v>0</v>
      </c>
      <c r="F503" s="12">
        <v>-3.805774278215223E-2</v>
      </c>
      <c r="G503" s="13">
        <v>25.770974428610181</v>
      </c>
      <c r="H503" s="14">
        <v>37.869999999999997</v>
      </c>
      <c r="I503" s="15">
        <v>1</v>
      </c>
      <c r="J503" s="15">
        <v>0</v>
      </c>
      <c r="K503" s="16">
        <v>1</v>
      </c>
      <c r="L503" s="36">
        <v>0.8</v>
      </c>
    </row>
    <row r="504" spans="1:12" x14ac:dyDescent="0.45">
      <c r="A504" s="1" t="s">
        <v>513</v>
      </c>
      <c r="B504" s="2">
        <f>IF(OR(Table1[[#This Row],[M score]]=1,AND(Table1[[#This Row],[F score]]=1,Table1[[#This Row],[Z score]]=1)),1,0)</f>
        <v>0</v>
      </c>
      <c r="C504" s="17">
        <v>1</v>
      </c>
      <c r="D504" s="17">
        <v>0</v>
      </c>
      <c r="E504" s="18">
        <v>0</v>
      </c>
      <c r="F504" s="19">
        <v>3.224368499257058</v>
      </c>
      <c r="G504" s="6">
        <v>27.373906952450589</v>
      </c>
      <c r="H504" s="20">
        <v>34.229999999999997</v>
      </c>
      <c r="I504" s="21">
        <v>1</v>
      </c>
      <c r="J504" s="21">
        <v>1</v>
      </c>
      <c r="K504" s="22">
        <v>1</v>
      </c>
      <c r="L504" s="36">
        <v>14.94</v>
      </c>
    </row>
    <row r="505" spans="1:12" x14ac:dyDescent="0.45">
      <c r="A505" s="9" t="s">
        <v>514</v>
      </c>
      <c r="B505" s="2">
        <f>IF(OR(Table1[[#This Row],[M score]]=1,AND(Table1[[#This Row],[F score]]=1,Table1[[#This Row],[Z score]]=1)),1,0)</f>
        <v>0</v>
      </c>
      <c r="C505" s="10">
        <v>0</v>
      </c>
      <c r="D505" s="10">
        <v>0</v>
      </c>
      <c r="E505" s="11">
        <v>0</v>
      </c>
      <c r="F505" s="12">
        <v>7.1463414634146343</v>
      </c>
      <c r="G505" s="13">
        <v>27.544915617852144</v>
      </c>
      <c r="H505" s="14">
        <v>26.29</v>
      </c>
      <c r="I505" s="15">
        <v>1</v>
      </c>
      <c r="J505" s="15">
        <v>1</v>
      </c>
      <c r="K505" s="16">
        <v>1</v>
      </c>
      <c r="L505" s="36">
        <v>2.5099999999999998</v>
      </c>
    </row>
    <row r="506" spans="1:12" x14ac:dyDescent="0.45">
      <c r="A506" s="1" t="s">
        <v>515</v>
      </c>
      <c r="B506" s="2">
        <f>IF(OR(Table1[[#This Row],[M score]]=1,AND(Table1[[#This Row],[F score]]=1,Table1[[#This Row],[Z score]]=1)),1,0)</f>
        <v>0</v>
      </c>
      <c r="C506" s="17">
        <v>0</v>
      </c>
      <c r="D506" s="17">
        <v>1</v>
      </c>
      <c r="E506" s="18">
        <v>0</v>
      </c>
      <c r="F506" s="19">
        <v>0.48685258964143424</v>
      </c>
      <c r="G506" s="6">
        <v>30.388445321532249</v>
      </c>
      <c r="H506" s="20">
        <v>15.57</v>
      </c>
      <c r="I506" s="21">
        <v>1</v>
      </c>
      <c r="J506" s="21">
        <v>1</v>
      </c>
      <c r="K506" s="22">
        <v>1</v>
      </c>
      <c r="L506" s="36">
        <v>6.5</v>
      </c>
    </row>
    <row r="507" spans="1:12" x14ac:dyDescent="0.45">
      <c r="A507" s="9" t="s">
        <v>516</v>
      </c>
      <c r="B507" s="2">
        <f>IF(OR(Table1[[#This Row],[M score]]=1,AND(Table1[[#This Row],[F score]]=1,Table1[[#This Row],[Z score]]=1)),1,0)</f>
        <v>0</v>
      </c>
      <c r="C507" s="10">
        <v>0</v>
      </c>
      <c r="D507" s="10">
        <v>1</v>
      </c>
      <c r="E507" s="11">
        <v>0</v>
      </c>
      <c r="F507" s="12">
        <v>1.4385964912280702</v>
      </c>
      <c r="G507" s="13">
        <v>24.858432393688766</v>
      </c>
      <c r="H507" s="14">
        <v>15.56</v>
      </c>
      <c r="I507" s="15">
        <v>0</v>
      </c>
      <c r="J507" s="15">
        <v>0</v>
      </c>
      <c r="K507" s="16">
        <v>0</v>
      </c>
      <c r="L507" s="36">
        <v>-197.96</v>
      </c>
    </row>
    <row r="508" spans="1:12" x14ac:dyDescent="0.45">
      <c r="A508" s="1" t="s">
        <v>517</v>
      </c>
      <c r="B508" s="2">
        <f>IF(OR(Table1[[#This Row],[M score]]=1,AND(Table1[[#This Row],[F score]]=1,Table1[[#This Row],[Z score]]=1)),1,0)</f>
        <v>0</v>
      </c>
      <c r="C508" s="17">
        <v>0</v>
      </c>
      <c r="D508" s="17">
        <v>0</v>
      </c>
      <c r="E508" s="18">
        <v>0</v>
      </c>
      <c r="F508" s="19">
        <v>8.5798816568047331E-2</v>
      </c>
      <c r="G508" s="6">
        <v>26.236657632428724</v>
      </c>
      <c r="H508" s="20">
        <v>1.37</v>
      </c>
      <c r="I508" s="21">
        <v>1</v>
      </c>
      <c r="J508" s="21">
        <v>1</v>
      </c>
      <c r="K508" s="22">
        <v>1</v>
      </c>
      <c r="L508" s="36">
        <v>1.89</v>
      </c>
    </row>
    <row r="509" spans="1:12" x14ac:dyDescent="0.45">
      <c r="A509" s="9" t="s">
        <v>518</v>
      </c>
      <c r="B509" s="2">
        <f>IF(OR(Table1[[#This Row],[M score]]=1,AND(Table1[[#This Row],[F score]]=1,Table1[[#This Row],[Z score]]=1)),1,0)</f>
        <v>1</v>
      </c>
      <c r="C509" s="10">
        <v>0</v>
      </c>
      <c r="D509" s="10">
        <v>1</v>
      </c>
      <c r="E509" s="11">
        <v>1</v>
      </c>
      <c r="F509" s="12">
        <v>-0.81535269709543567</v>
      </c>
      <c r="G509" s="13">
        <v>23.256962650903844</v>
      </c>
      <c r="H509" s="14">
        <v>56.97</v>
      </c>
      <c r="I509" s="15">
        <v>0</v>
      </c>
      <c r="J509" s="15">
        <v>0</v>
      </c>
      <c r="K509" s="16">
        <v>0</v>
      </c>
      <c r="L509" s="36">
        <v>-16.239999999999998</v>
      </c>
    </row>
    <row r="510" spans="1:12" x14ac:dyDescent="0.45">
      <c r="A510" s="1" t="s">
        <v>519</v>
      </c>
      <c r="B510" s="2">
        <f>IF(OR(Table1[[#This Row],[M score]]=1,AND(Table1[[#This Row],[F score]]=1,Table1[[#This Row],[Z score]]=1)),1,0)</f>
        <v>0</v>
      </c>
      <c r="C510" s="17">
        <v>0</v>
      </c>
      <c r="D510" s="17">
        <v>1</v>
      </c>
      <c r="E510" s="18">
        <v>0</v>
      </c>
      <c r="F510" s="19">
        <v>0.30841900527924421</v>
      </c>
      <c r="G510" s="6">
        <v>30.712219445916663</v>
      </c>
      <c r="H510" s="20">
        <v>1.21</v>
      </c>
      <c r="I510" s="21">
        <v>1</v>
      </c>
      <c r="J510" s="21">
        <v>1</v>
      </c>
      <c r="K510" s="22">
        <v>1</v>
      </c>
      <c r="L510" s="36">
        <v>4.29</v>
      </c>
    </row>
    <row r="511" spans="1:12" x14ac:dyDescent="0.45">
      <c r="A511" s="9" t="s">
        <v>520</v>
      </c>
      <c r="B511" s="2">
        <f>IF(OR(Table1[[#This Row],[M score]]=1,AND(Table1[[#This Row],[F score]]=1,Table1[[#This Row],[Z score]]=1)),1,0)</f>
        <v>1</v>
      </c>
      <c r="C511" s="10">
        <v>0</v>
      </c>
      <c r="D511" s="10">
        <v>0</v>
      </c>
      <c r="E511" s="11">
        <v>1</v>
      </c>
      <c r="F511" s="12">
        <v>-0.89534883720930236</v>
      </c>
      <c r="G511" s="13">
        <v>25.943621662024736</v>
      </c>
      <c r="H511" s="14">
        <v>0.59</v>
      </c>
      <c r="I511" s="15">
        <v>0</v>
      </c>
      <c r="J511" s="15">
        <v>0</v>
      </c>
      <c r="K511" s="16">
        <v>0</v>
      </c>
      <c r="L511" s="36">
        <v>-1.23</v>
      </c>
    </row>
    <row r="512" spans="1:12" x14ac:dyDescent="0.45">
      <c r="A512" s="1" t="s">
        <v>521</v>
      </c>
      <c r="B512" s="2">
        <f>IF(OR(Table1[[#This Row],[M score]]=1,AND(Table1[[#This Row],[F score]]=1,Table1[[#This Row],[Z score]]=1)),1,0)</f>
        <v>0</v>
      </c>
      <c r="C512" s="17">
        <v>0</v>
      </c>
      <c r="D512" s="17">
        <v>0</v>
      </c>
      <c r="E512" s="18">
        <v>0</v>
      </c>
      <c r="F512" s="19">
        <v>-0.35813274981765136</v>
      </c>
      <c r="G512" s="6">
        <v>27.327205948802863</v>
      </c>
      <c r="H512" s="20">
        <v>27.08</v>
      </c>
      <c r="I512" s="21">
        <v>0</v>
      </c>
      <c r="J512" s="21">
        <v>0</v>
      </c>
      <c r="K512" s="22">
        <v>1</v>
      </c>
      <c r="L512" s="36">
        <v>2.4</v>
      </c>
    </row>
    <row r="513" spans="1:12" x14ac:dyDescent="0.45">
      <c r="A513" s="9" t="s">
        <v>522</v>
      </c>
      <c r="B513" s="2">
        <f>IF(OR(Table1[[#This Row],[M score]]=1,AND(Table1[[#This Row],[F score]]=1,Table1[[#This Row],[Z score]]=1)),1,0)</f>
        <v>0</v>
      </c>
      <c r="C513" s="10">
        <v>0</v>
      </c>
      <c r="D513" s="10">
        <v>0</v>
      </c>
      <c r="E513" s="11">
        <v>0</v>
      </c>
      <c r="F513" s="12">
        <v>-9.1899573661771677E-2</v>
      </c>
      <c r="G513" s="13">
        <v>28.003848926647795</v>
      </c>
      <c r="H513" s="14">
        <v>23.27</v>
      </c>
      <c r="I513" s="15">
        <v>1</v>
      </c>
      <c r="J513" s="15">
        <v>1</v>
      </c>
      <c r="K513" s="16">
        <v>1</v>
      </c>
      <c r="L513" s="36">
        <v>4.28</v>
      </c>
    </row>
    <row r="514" spans="1:12" x14ac:dyDescent="0.45">
      <c r="A514" s="1" t="s">
        <v>523</v>
      </c>
      <c r="B514" s="2">
        <f>IF(OR(Table1[[#This Row],[M score]]=1,AND(Table1[[#This Row],[F score]]=1,Table1[[#This Row],[Z score]]=1)),1,0)</f>
        <v>0</v>
      </c>
      <c r="C514" s="17">
        <v>0</v>
      </c>
      <c r="D514" s="17">
        <v>0</v>
      </c>
      <c r="E514" s="18">
        <v>0</v>
      </c>
      <c r="F514" s="19">
        <v>0.69883824843610365</v>
      </c>
      <c r="G514" s="6">
        <v>30.495602555119401</v>
      </c>
      <c r="H514" s="20">
        <v>2.5099999999999998</v>
      </c>
      <c r="I514" s="21">
        <v>1</v>
      </c>
      <c r="J514" s="21">
        <v>1</v>
      </c>
      <c r="K514" s="22">
        <v>1</v>
      </c>
      <c r="L514" s="36">
        <v>9.9700000000000006</v>
      </c>
    </row>
    <row r="515" spans="1:12" x14ac:dyDescent="0.45">
      <c r="A515" s="9" t="s">
        <v>524</v>
      </c>
      <c r="B515" s="2">
        <f>IF(OR(Table1[[#This Row],[M score]]=1,AND(Table1[[#This Row],[F score]]=1,Table1[[#This Row],[Z score]]=1)),1,0)</f>
        <v>0</v>
      </c>
      <c r="C515" s="10">
        <v>0</v>
      </c>
      <c r="D515" s="10">
        <v>0</v>
      </c>
      <c r="E515" s="11">
        <v>0</v>
      </c>
      <c r="F515" s="12">
        <v>-0.39936708860759496</v>
      </c>
      <c r="G515" s="13">
        <v>29.788202877050683</v>
      </c>
      <c r="H515" s="14">
        <v>28.52</v>
      </c>
      <c r="I515" s="15">
        <v>1</v>
      </c>
      <c r="J515" s="15">
        <v>1</v>
      </c>
      <c r="K515" s="16">
        <v>1</v>
      </c>
      <c r="L515" s="36">
        <v>-35.200000000000003</v>
      </c>
    </row>
    <row r="516" spans="1:12" x14ac:dyDescent="0.45">
      <c r="A516" s="1" t="s">
        <v>525</v>
      </c>
      <c r="B516" s="2">
        <f>IF(OR(Table1[[#This Row],[M score]]=1,AND(Table1[[#This Row],[F score]]=1,Table1[[#This Row],[Z score]]=1)),1,0)</f>
        <v>0</v>
      </c>
      <c r="C516" s="17">
        <v>0</v>
      </c>
      <c r="D516" s="17">
        <v>1</v>
      </c>
      <c r="E516" s="18">
        <v>0</v>
      </c>
      <c r="F516" s="19">
        <v>-4.2995348837209306</v>
      </c>
      <c r="G516" s="6">
        <v>24.46093545522978</v>
      </c>
      <c r="H516" s="20">
        <v>14.25</v>
      </c>
      <c r="I516" s="21">
        <v>0</v>
      </c>
      <c r="J516" s="21">
        <v>0</v>
      </c>
      <c r="K516" s="22">
        <v>0</v>
      </c>
      <c r="L516" s="36">
        <v>-120.45</v>
      </c>
    </row>
    <row r="517" spans="1:12" x14ac:dyDescent="0.45">
      <c r="A517" s="9" t="s">
        <v>526</v>
      </c>
      <c r="B517" s="2">
        <f>IF(OR(Table1[[#This Row],[M score]]=1,AND(Table1[[#This Row],[F score]]=1,Table1[[#This Row],[Z score]]=1)),1,0)</f>
        <v>1</v>
      </c>
      <c r="C517" s="10">
        <v>0</v>
      </c>
      <c r="D517" s="10">
        <v>1</v>
      </c>
      <c r="E517" s="11">
        <v>1</v>
      </c>
      <c r="F517" s="12">
        <v>-1.5555555555555556</v>
      </c>
      <c r="G517" s="13">
        <v>27.245351155088589</v>
      </c>
      <c r="H517" s="14">
        <v>12.27</v>
      </c>
      <c r="I517" s="15">
        <v>0</v>
      </c>
      <c r="J517" s="15">
        <v>0</v>
      </c>
      <c r="K517" s="16">
        <v>0</v>
      </c>
      <c r="L517" s="36">
        <v>-8.5299999999999994</v>
      </c>
    </row>
    <row r="518" spans="1:12" x14ac:dyDescent="0.45">
      <c r="A518" s="1" t="s">
        <v>527</v>
      </c>
      <c r="B518" s="2">
        <f>IF(OR(Table1[[#This Row],[M score]]=1,AND(Table1[[#This Row],[F score]]=1,Table1[[#This Row],[Z score]]=1)),1,0)</f>
        <v>0</v>
      </c>
      <c r="C518" s="17">
        <v>0</v>
      </c>
      <c r="D518" s="17">
        <v>1</v>
      </c>
      <c r="E518" s="18">
        <v>0</v>
      </c>
      <c r="F518" s="19">
        <v>1.6666666666666667</v>
      </c>
      <c r="G518" s="6">
        <v>25.450924373878525</v>
      </c>
      <c r="H518" s="20">
        <v>58.6</v>
      </c>
      <c r="I518" s="21">
        <v>0</v>
      </c>
      <c r="J518" s="21">
        <v>0</v>
      </c>
      <c r="K518" s="22">
        <v>0</v>
      </c>
      <c r="L518" s="36">
        <v>-214.21</v>
      </c>
    </row>
    <row r="519" spans="1:12" x14ac:dyDescent="0.45">
      <c r="A519" s="9" t="s">
        <v>528</v>
      </c>
      <c r="B519" s="2">
        <f>IF(OR(Table1[[#This Row],[M score]]=1,AND(Table1[[#This Row],[F score]]=1,Table1[[#This Row],[Z score]]=1)),1,0)</f>
        <v>0</v>
      </c>
      <c r="C519" s="10">
        <v>0</v>
      </c>
      <c r="D519" s="10">
        <v>0</v>
      </c>
      <c r="E519" s="11">
        <v>0</v>
      </c>
      <c r="F519" s="12">
        <v>-0.32344213649851633</v>
      </c>
      <c r="G519" s="13">
        <v>26.85528103271027</v>
      </c>
      <c r="H519" s="14">
        <v>6.31</v>
      </c>
      <c r="I519" s="15">
        <v>0</v>
      </c>
      <c r="J519" s="15">
        <v>0</v>
      </c>
      <c r="K519" s="16">
        <v>1</v>
      </c>
      <c r="L519" s="36">
        <v>-3.53</v>
      </c>
    </row>
    <row r="520" spans="1:12" x14ac:dyDescent="0.45">
      <c r="A520" s="1" t="s">
        <v>529</v>
      </c>
      <c r="B520" s="2">
        <f>IF(OR(Table1[[#This Row],[M score]]=1,AND(Table1[[#This Row],[F score]]=1,Table1[[#This Row],[Z score]]=1)),1,0)</f>
        <v>1</v>
      </c>
      <c r="C520" s="17">
        <v>0</v>
      </c>
      <c r="D520" s="17">
        <v>1</v>
      </c>
      <c r="E520" s="18">
        <v>1</v>
      </c>
      <c r="F520" s="19">
        <v>-1.537037037037037</v>
      </c>
      <c r="G520" s="6">
        <v>23.208172486734412</v>
      </c>
      <c r="H520" s="20">
        <v>26.18</v>
      </c>
      <c r="I520" s="21">
        <v>0</v>
      </c>
      <c r="J520" s="21">
        <v>0</v>
      </c>
      <c r="K520" s="22">
        <v>1</v>
      </c>
      <c r="L520" s="36">
        <v>1.43</v>
      </c>
    </row>
    <row r="521" spans="1:12" x14ac:dyDescent="0.45">
      <c r="A521" s="9" t="s">
        <v>530</v>
      </c>
      <c r="B521" s="2">
        <f>IF(OR(Table1[[#This Row],[M score]]=1,AND(Table1[[#This Row],[F score]]=1,Table1[[#This Row],[Z score]]=1)),1,0)</f>
        <v>0</v>
      </c>
      <c r="C521" s="10">
        <v>0</v>
      </c>
      <c r="D521" s="10">
        <v>1</v>
      </c>
      <c r="E521" s="11">
        <v>0</v>
      </c>
      <c r="F521" s="12">
        <v>0.48192771084337349</v>
      </c>
      <c r="G521" s="13">
        <v>25.882321102827607</v>
      </c>
      <c r="H521" s="14">
        <v>1.23</v>
      </c>
      <c r="I521" s="15">
        <v>0</v>
      </c>
      <c r="J521" s="15">
        <v>0</v>
      </c>
      <c r="K521" s="16">
        <v>0</v>
      </c>
      <c r="L521" s="36">
        <v>-25.1</v>
      </c>
    </row>
    <row r="522" spans="1:12" x14ac:dyDescent="0.45">
      <c r="A522" s="1" t="s">
        <v>531</v>
      </c>
      <c r="B522" s="2">
        <f>IF(OR(Table1[[#This Row],[M score]]=1,AND(Table1[[#This Row],[F score]]=1,Table1[[#This Row],[Z score]]=1)),1,0)</f>
        <v>0</v>
      </c>
      <c r="C522" s="17">
        <v>0</v>
      </c>
      <c r="D522" s="17">
        <v>1</v>
      </c>
      <c r="E522" s="18">
        <v>0</v>
      </c>
      <c r="F522" s="19">
        <v>0.47540983606557374</v>
      </c>
      <c r="G522" s="6">
        <v>24.055470347121616</v>
      </c>
      <c r="H522" s="20">
        <v>3.64</v>
      </c>
      <c r="I522" s="21">
        <v>0</v>
      </c>
      <c r="J522" s="21">
        <v>0</v>
      </c>
      <c r="K522" s="22">
        <v>0</v>
      </c>
      <c r="L522" s="36">
        <v>3.23</v>
      </c>
    </row>
    <row r="523" spans="1:12" x14ac:dyDescent="0.45">
      <c r="A523" s="9" t="s">
        <v>532</v>
      </c>
      <c r="B523" s="2">
        <f>IF(OR(Table1[[#This Row],[M score]]=1,AND(Table1[[#This Row],[F score]]=1,Table1[[#This Row],[Z score]]=1)),1,0)</f>
        <v>0</v>
      </c>
      <c r="C523" s="10">
        <v>0</v>
      </c>
      <c r="D523" s="10">
        <v>1</v>
      </c>
      <c r="E523" s="11">
        <v>0</v>
      </c>
      <c r="F523" s="12">
        <v>1.0860927152317881</v>
      </c>
      <c r="G523" s="13">
        <v>29.055201171840945</v>
      </c>
      <c r="H523" s="14">
        <v>1.07</v>
      </c>
      <c r="I523" s="15">
        <v>1</v>
      </c>
      <c r="J523" s="15">
        <v>0</v>
      </c>
      <c r="K523" s="16">
        <v>1</v>
      </c>
      <c r="L523" s="36">
        <v>3.69</v>
      </c>
    </row>
    <row r="524" spans="1:12" x14ac:dyDescent="0.45">
      <c r="A524" s="1" t="s">
        <v>533</v>
      </c>
      <c r="B524" s="2">
        <f>IF(OR(Table1[[#This Row],[M score]]=1,AND(Table1[[#This Row],[F score]]=1,Table1[[#This Row],[Z score]]=1)),1,0)</f>
        <v>0</v>
      </c>
      <c r="C524" s="17">
        <v>0</v>
      </c>
      <c r="D524" s="17">
        <v>0</v>
      </c>
      <c r="E524" s="18">
        <v>0</v>
      </c>
      <c r="F524" s="19">
        <v>0.66188524590163933</v>
      </c>
      <c r="G524" s="6">
        <v>26.471303859765239</v>
      </c>
      <c r="H524" s="20">
        <v>12.14</v>
      </c>
      <c r="I524" s="21">
        <v>1</v>
      </c>
      <c r="J524" s="21">
        <v>0</v>
      </c>
      <c r="K524" s="22">
        <v>1</v>
      </c>
      <c r="L524" s="36">
        <v>11</v>
      </c>
    </row>
    <row r="525" spans="1:12" x14ac:dyDescent="0.45">
      <c r="A525" s="9" t="s">
        <v>534</v>
      </c>
      <c r="B525" s="2">
        <f>IF(OR(Table1[[#This Row],[M score]]=1,AND(Table1[[#This Row],[F score]]=1,Table1[[#This Row],[Z score]]=1)),1,0)</f>
        <v>0</v>
      </c>
      <c r="C525" s="10">
        <v>0</v>
      </c>
      <c r="D525" s="10">
        <v>1</v>
      </c>
      <c r="E525" s="11">
        <v>0</v>
      </c>
      <c r="F525" s="12">
        <v>-0.16944444444444445</v>
      </c>
      <c r="G525" s="13">
        <v>26.574334340679684</v>
      </c>
      <c r="H525" s="14">
        <v>50.52</v>
      </c>
      <c r="I525" s="15">
        <v>0</v>
      </c>
      <c r="J525" s="15">
        <v>0</v>
      </c>
      <c r="K525" s="16">
        <v>0</v>
      </c>
      <c r="L525" s="36">
        <v>4.68</v>
      </c>
    </row>
    <row r="526" spans="1:12" x14ac:dyDescent="0.45">
      <c r="A526" s="1" t="s">
        <v>535</v>
      </c>
      <c r="B526" s="2">
        <f>IF(OR(Table1[[#This Row],[M score]]=1,AND(Table1[[#This Row],[F score]]=1,Table1[[#This Row],[Z score]]=1)),1,0)</f>
        <v>0</v>
      </c>
      <c r="C526" s="17">
        <v>0</v>
      </c>
      <c r="D526" s="17">
        <v>0</v>
      </c>
      <c r="E526" s="18">
        <v>0</v>
      </c>
      <c r="F526" s="19">
        <v>0.11317780580075662</v>
      </c>
      <c r="G526" s="6">
        <v>27.796510587992767</v>
      </c>
      <c r="H526" s="20">
        <v>18.010000000000002</v>
      </c>
      <c r="I526" s="21">
        <v>1</v>
      </c>
      <c r="J526" s="21">
        <v>0</v>
      </c>
      <c r="K526" s="22">
        <v>1</v>
      </c>
      <c r="L526" s="36">
        <v>6.08</v>
      </c>
    </row>
    <row r="527" spans="1:12" x14ac:dyDescent="0.45">
      <c r="A527" s="9" t="s">
        <v>536</v>
      </c>
      <c r="B527" s="2">
        <f>IF(OR(Table1[[#This Row],[M score]]=1,AND(Table1[[#This Row],[F score]]=1,Table1[[#This Row],[Z score]]=1)),1,0)</f>
        <v>0</v>
      </c>
      <c r="C527" s="10">
        <v>0</v>
      </c>
      <c r="D527" s="10">
        <v>0</v>
      </c>
      <c r="E527" s="11">
        <v>0</v>
      </c>
      <c r="F527" s="12">
        <v>-0.20859268255655078</v>
      </c>
      <c r="G527" s="13">
        <v>30.480539813486271</v>
      </c>
      <c r="H527" s="14">
        <v>17.670000000000002</v>
      </c>
      <c r="I527" s="15">
        <v>0</v>
      </c>
      <c r="J527" s="15">
        <v>0</v>
      </c>
      <c r="K527" s="16">
        <v>1</v>
      </c>
      <c r="L527" s="36">
        <v>6.44</v>
      </c>
    </row>
    <row r="528" spans="1:12" x14ac:dyDescent="0.45">
      <c r="A528" s="1" t="s">
        <v>537</v>
      </c>
      <c r="B528" s="2">
        <f>IF(OR(Table1[[#This Row],[M score]]=1,AND(Table1[[#This Row],[F score]]=1,Table1[[#This Row],[Z score]]=1)),1,0)</f>
        <v>0</v>
      </c>
      <c r="C528" s="17">
        <v>0</v>
      </c>
      <c r="D528" s="17">
        <v>0</v>
      </c>
      <c r="E528" s="18">
        <v>0</v>
      </c>
      <c r="F528" s="19">
        <v>0.21869382863990414</v>
      </c>
      <c r="G528" s="6">
        <v>26.427048311602611</v>
      </c>
      <c r="H528" s="20">
        <v>1.51</v>
      </c>
      <c r="I528" s="21">
        <v>0</v>
      </c>
      <c r="J528" s="21">
        <v>0</v>
      </c>
      <c r="K528" s="22">
        <v>1</v>
      </c>
      <c r="L528" s="36">
        <v>6.52</v>
      </c>
    </row>
    <row r="529" spans="1:12" x14ac:dyDescent="0.45">
      <c r="A529" s="9" t="s">
        <v>538</v>
      </c>
      <c r="B529" s="2">
        <f>IF(OR(Table1[[#This Row],[M score]]=1,AND(Table1[[#This Row],[F score]]=1,Table1[[#This Row],[Z score]]=1)),1,0)</f>
        <v>0</v>
      </c>
      <c r="C529" s="10">
        <v>0</v>
      </c>
      <c r="D529" s="10">
        <v>0</v>
      </c>
      <c r="E529" s="11">
        <v>0</v>
      </c>
      <c r="F529" s="12">
        <v>0.18627765309394037</v>
      </c>
      <c r="G529" s="13">
        <v>25.252245884576457</v>
      </c>
      <c r="H529" s="14">
        <v>26.92</v>
      </c>
      <c r="I529" s="15">
        <v>1</v>
      </c>
      <c r="J529" s="15">
        <v>0</v>
      </c>
      <c r="K529" s="16">
        <v>1</v>
      </c>
      <c r="L529" s="36">
        <v>9.06</v>
      </c>
    </row>
    <row r="530" spans="1:12" x14ac:dyDescent="0.45">
      <c r="A530" s="1" t="s">
        <v>539</v>
      </c>
      <c r="B530" s="2">
        <f>IF(OR(Table1[[#This Row],[M score]]=1,AND(Table1[[#This Row],[F score]]=1,Table1[[#This Row],[Z score]]=1)),1,0)</f>
        <v>0</v>
      </c>
      <c r="C530" s="17">
        <v>0</v>
      </c>
      <c r="D530" s="17">
        <v>0</v>
      </c>
      <c r="E530" s="18">
        <v>0</v>
      </c>
      <c r="F530" s="19">
        <v>0.30492196878751499</v>
      </c>
      <c r="G530" s="6">
        <v>25.083813439943167</v>
      </c>
      <c r="H530" s="20">
        <v>8.92</v>
      </c>
      <c r="I530" s="21">
        <v>1</v>
      </c>
      <c r="J530" s="21">
        <v>0</v>
      </c>
      <c r="K530" s="22">
        <v>1</v>
      </c>
      <c r="L530" s="36">
        <v>1.71</v>
      </c>
    </row>
    <row r="531" spans="1:12" x14ac:dyDescent="0.45">
      <c r="A531" s="9" t="s">
        <v>540</v>
      </c>
      <c r="B531" s="2">
        <f>IF(OR(Table1[[#This Row],[M score]]=1,AND(Table1[[#This Row],[F score]]=1,Table1[[#This Row],[Z score]]=1)),1,0)</f>
        <v>0</v>
      </c>
      <c r="C531" s="10">
        <v>0</v>
      </c>
      <c r="D531" s="10">
        <v>0</v>
      </c>
      <c r="E531" s="11">
        <v>0</v>
      </c>
      <c r="F531" s="12">
        <v>-0.39111446381069598</v>
      </c>
      <c r="G531" s="13">
        <v>28.414881547952977</v>
      </c>
      <c r="H531" s="14">
        <v>36.39</v>
      </c>
      <c r="I531" s="15">
        <v>1</v>
      </c>
      <c r="J531" s="15">
        <v>0</v>
      </c>
      <c r="K531" s="16">
        <v>1</v>
      </c>
      <c r="L531" s="36">
        <v>2.88</v>
      </c>
    </row>
    <row r="532" spans="1:12" x14ac:dyDescent="0.45">
      <c r="A532" s="1" t="s">
        <v>541</v>
      </c>
      <c r="B532" s="2">
        <f>IF(OR(Table1[[#This Row],[M score]]=1,AND(Table1[[#This Row],[F score]]=1,Table1[[#This Row],[Z score]]=1)),1,0)</f>
        <v>0</v>
      </c>
      <c r="C532" s="17">
        <v>0</v>
      </c>
      <c r="D532" s="17">
        <v>1</v>
      </c>
      <c r="E532" s="18">
        <v>0</v>
      </c>
      <c r="F532" s="19">
        <v>0.29268292682926828</v>
      </c>
      <c r="G532" s="6">
        <v>26.93186312559212</v>
      </c>
      <c r="H532" s="20">
        <v>35.72</v>
      </c>
      <c r="I532" s="21">
        <v>0</v>
      </c>
      <c r="J532" s="21">
        <v>0</v>
      </c>
      <c r="K532" s="22">
        <v>0</v>
      </c>
      <c r="L532" s="36">
        <v>-0.34</v>
      </c>
    </row>
    <row r="533" spans="1:12" x14ac:dyDescent="0.45">
      <c r="A533" s="9" t="s">
        <v>542</v>
      </c>
      <c r="B533" s="2">
        <f>IF(OR(Table1[[#This Row],[M score]]=1,AND(Table1[[#This Row],[F score]]=1,Table1[[#This Row],[Z score]]=1)),1,0)</f>
        <v>0</v>
      </c>
      <c r="C533" s="10">
        <v>0</v>
      </c>
      <c r="D533" s="10">
        <v>1</v>
      </c>
      <c r="E533" s="11">
        <v>0</v>
      </c>
      <c r="F533" s="12">
        <v>4.2477064220183482</v>
      </c>
      <c r="G533" s="13">
        <v>25.889669429818639</v>
      </c>
      <c r="H533" s="14">
        <v>2.67</v>
      </c>
      <c r="I533" s="15">
        <v>1</v>
      </c>
      <c r="J533" s="15">
        <v>0</v>
      </c>
      <c r="K533" s="16">
        <v>1</v>
      </c>
      <c r="L533" s="36">
        <v>2.19</v>
      </c>
    </row>
    <row r="534" spans="1:12" x14ac:dyDescent="0.45">
      <c r="A534" s="1" t="s">
        <v>543</v>
      </c>
      <c r="B534" s="2">
        <f>IF(OR(Table1[[#This Row],[M score]]=1,AND(Table1[[#This Row],[F score]]=1,Table1[[#This Row],[Z score]]=1)),1,0)</f>
        <v>0</v>
      </c>
      <c r="C534" s="17">
        <v>0</v>
      </c>
      <c r="D534" s="17">
        <v>0</v>
      </c>
      <c r="E534" s="18">
        <v>0</v>
      </c>
      <c r="F534" s="19">
        <v>0.12281879194630872</v>
      </c>
      <c r="G534" s="6">
        <v>31.128774763706907</v>
      </c>
      <c r="H534" s="20">
        <v>27.08</v>
      </c>
      <c r="I534" s="21">
        <v>1</v>
      </c>
      <c r="J534" s="21">
        <v>1</v>
      </c>
      <c r="K534" s="22">
        <v>1</v>
      </c>
      <c r="L534" s="36">
        <v>10.43</v>
      </c>
    </row>
    <row r="535" spans="1:12" x14ac:dyDescent="0.45">
      <c r="A535" s="9" t="s">
        <v>544</v>
      </c>
      <c r="B535" s="2">
        <f>IF(OR(Table1[[#This Row],[M score]]=1,AND(Table1[[#This Row],[F score]]=1,Table1[[#This Row],[Z score]]=1)),1,0)</f>
        <v>1</v>
      </c>
      <c r="C535" s="10">
        <v>0</v>
      </c>
      <c r="D535" s="10">
        <v>0</v>
      </c>
      <c r="E535" s="11">
        <v>1</v>
      </c>
      <c r="F535" s="12">
        <v>-0.23076923076923078</v>
      </c>
      <c r="G535" s="13">
        <v>29.381958590636348</v>
      </c>
      <c r="H535" s="14">
        <v>26.38</v>
      </c>
      <c r="I535" s="15">
        <v>0</v>
      </c>
      <c r="J535" s="15">
        <v>1</v>
      </c>
      <c r="K535" s="16">
        <v>1</v>
      </c>
      <c r="L535" s="36">
        <v>5.13</v>
      </c>
    </row>
    <row r="536" spans="1:12" x14ac:dyDescent="0.45">
      <c r="A536" s="1" t="s">
        <v>545</v>
      </c>
      <c r="B536" s="2">
        <f>IF(OR(Table1[[#This Row],[M score]]=1,AND(Table1[[#This Row],[F score]]=1,Table1[[#This Row],[Z score]]=1)),1,0)</f>
        <v>0</v>
      </c>
      <c r="C536" s="17">
        <v>0</v>
      </c>
      <c r="D536" s="17">
        <v>1</v>
      </c>
      <c r="E536" s="18">
        <v>0</v>
      </c>
      <c r="F536" s="19">
        <v>-1.4496124031007751</v>
      </c>
      <c r="G536" s="6">
        <v>26.581883505096926</v>
      </c>
      <c r="H536" s="20">
        <v>18.399999999999999</v>
      </c>
      <c r="I536" s="21">
        <v>0</v>
      </c>
      <c r="J536" s="21">
        <v>0</v>
      </c>
      <c r="K536" s="22">
        <v>1</v>
      </c>
      <c r="L536" s="36">
        <v>4.5999999999999996</v>
      </c>
    </row>
    <row r="537" spans="1:12" x14ac:dyDescent="0.45">
      <c r="A537" s="9" t="s">
        <v>546</v>
      </c>
      <c r="B537" s="2">
        <f>IF(OR(Table1[[#This Row],[M score]]=1,AND(Table1[[#This Row],[F score]]=1,Table1[[#This Row],[Z score]]=1)),1,0)</f>
        <v>1</v>
      </c>
      <c r="C537" s="10">
        <v>0</v>
      </c>
      <c r="D537" s="10">
        <v>0</v>
      </c>
      <c r="E537" s="11">
        <v>1</v>
      </c>
      <c r="F537" s="12">
        <v>6.1332055582175374E-2</v>
      </c>
      <c r="G537" s="13">
        <v>28.567273286017173</v>
      </c>
      <c r="H537" s="14">
        <v>0.54</v>
      </c>
      <c r="I537" s="15">
        <v>0</v>
      </c>
      <c r="J537" s="15">
        <v>0</v>
      </c>
      <c r="K537" s="16">
        <v>1</v>
      </c>
      <c r="L537" s="36">
        <v>12.89</v>
      </c>
    </row>
    <row r="538" spans="1:12" x14ac:dyDescent="0.45">
      <c r="A538" s="1" t="s">
        <v>547</v>
      </c>
      <c r="B538" s="2">
        <f>IF(OR(Table1[[#This Row],[M score]]=1,AND(Table1[[#This Row],[F score]]=1,Table1[[#This Row],[Z score]]=1)),1,0)</f>
        <v>0</v>
      </c>
      <c r="C538" s="17">
        <v>0</v>
      </c>
      <c r="D538" s="17">
        <v>1</v>
      </c>
      <c r="E538" s="18">
        <v>0</v>
      </c>
      <c r="F538" s="19">
        <v>-0.51400000000000001</v>
      </c>
      <c r="G538" s="6">
        <v>26.862072221952321</v>
      </c>
      <c r="H538" s="20">
        <v>55.64</v>
      </c>
      <c r="I538" s="21">
        <v>1</v>
      </c>
      <c r="J538" s="21">
        <v>0</v>
      </c>
      <c r="K538" s="22">
        <v>1</v>
      </c>
      <c r="L538" s="36">
        <v>2.41</v>
      </c>
    </row>
    <row r="539" spans="1:12" x14ac:dyDescent="0.45">
      <c r="A539" s="9" t="s">
        <v>548</v>
      </c>
      <c r="B539" s="2">
        <f>IF(OR(Table1[[#This Row],[M score]]=1,AND(Table1[[#This Row],[F score]]=1,Table1[[#This Row],[Z score]]=1)),1,0)</f>
        <v>0</v>
      </c>
      <c r="C539" s="10">
        <v>1</v>
      </c>
      <c r="D539" s="10">
        <v>0</v>
      </c>
      <c r="E539" s="11">
        <v>0</v>
      </c>
      <c r="F539" s="12">
        <v>0.65373563218390807</v>
      </c>
      <c r="G539" s="13">
        <v>27.946926147324071</v>
      </c>
      <c r="H539" s="14">
        <v>32.4</v>
      </c>
      <c r="I539" s="15">
        <v>1</v>
      </c>
      <c r="J539" s="15">
        <v>0</v>
      </c>
      <c r="K539" s="16">
        <v>1</v>
      </c>
      <c r="L539" s="36">
        <v>8.11</v>
      </c>
    </row>
    <row r="540" spans="1:12" x14ac:dyDescent="0.45">
      <c r="A540" s="1" t="s">
        <v>549</v>
      </c>
      <c r="B540" s="2">
        <f>IF(OR(Table1[[#This Row],[M score]]=1,AND(Table1[[#This Row],[F score]]=1,Table1[[#This Row],[Z score]]=1)),1,0)</f>
        <v>0</v>
      </c>
      <c r="C540" s="17">
        <v>0</v>
      </c>
      <c r="D540" s="17">
        <v>1</v>
      </c>
      <c r="E540" s="18">
        <v>0</v>
      </c>
      <c r="F540" s="19">
        <v>0.1004460137520907</v>
      </c>
      <c r="G540" s="6">
        <v>27.045831076873696</v>
      </c>
      <c r="H540" s="20">
        <v>43.57</v>
      </c>
      <c r="I540" s="21">
        <v>1</v>
      </c>
      <c r="J540" s="21">
        <v>0</v>
      </c>
      <c r="K540" s="22">
        <v>1</v>
      </c>
      <c r="L540" s="36">
        <v>12.87</v>
      </c>
    </row>
    <row r="541" spans="1:12" x14ac:dyDescent="0.45">
      <c r="A541" s="9" t="s">
        <v>550</v>
      </c>
      <c r="B541" s="2">
        <f>IF(OR(Table1[[#This Row],[M score]]=1,AND(Table1[[#This Row],[F score]]=1,Table1[[#This Row],[Z score]]=1)),1,0)</f>
        <v>0</v>
      </c>
      <c r="C541" s="10">
        <v>0</v>
      </c>
      <c r="D541" s="10">
        <v>1</v>
      </c>
      <c r="E541" s="11">
        <v>0</v>
      </c>
      <c r="F541" s="12">
        <v>0.36530612244897959</v>
      </c>
      <c r="G541" s="13">
        <v>25.154082635789724</v>
      </c>
      <c r="H541" s="14">
        <v>27.59</v>
      </c>
      <c r="I541" s="15">
        <v>0</v>
      </c>
      <c r="J541" s="15">
        <v>0</v>
      </c>
      <c r="K541" s="16">
        <v>1</v>
      </c>
      <c r="L541" s="36">
        <v>6.7</v>
      </c>
    </row>
    <row r="542" spans="1:12" x14ac:dyDescent="0.45">
      <c r="A542" s="1" t="s">
        <v>551</v>
      </c>
      <c r="B542" s="2">
        <f>IF(OR(Table1[[#This Row],[M score]]=1,AND(Table1[[#This Row],[F score]]=1,Table1[[#This Row],[Z score]]=1)),1,0)</f>
        <v>0</v>
      </c>
      <c r="C542" s="17">
        <v>0</v>
      </c>
      <c r="D542" s="17">
        <v>1</v>
      </c>
      <c r="E542" s="18">
        <v>0</v>
      </c>
      <c r="F542" s="19">
        <v>1.3429256594724222</v>
      </c>
      <c r="G542" s="6">
        <v>27.576786476022331</v>
      </c>
      <c r="H542" s="20">
        <v>42.34</v>
      </c>
      <c r="I542" s="21">
        <v>1</v>
      </c>
      <c r="J542" s="21">
        <v>0</v>
      </c>
      <c r="K542" s="22">
        <v>1</v>
      </c>
      <c r="L542" s="36">
        <v>11.86</v>
      </c>
    </row>
    <row r="543" spans="1:12" x14ac:dyDescent="0.45">
      <c r="A543" s="9" t="s">
        <v>552</v>
      </c>
      <c r="B543" s="2">
        <f>IF(OR(Table1[[#This Row],[M score]]=1,AND(Table1[[#This Row],[F score]]=1,Table1[[#This Row],[Z score]]=1)),1,0)</f>
        <v>1</v>
      </c>
      <c r="C543" s="10">
        <v>0</v>
      </c>
      <c r="D543" s="10">
        <v>0</v>
      </c>
      <c r="E543" s="11">
        <v>1</v>
      </c>
      <c r="F543" s="12">
        <v>2.1623222748815167E-2</v>
      </c>
      <c r="G543" s="13">
        <v>31.77170134405781</v>
      </c>
      <c r="H543" s="14">
        <v>1.34</v>
      </c>
      <c r="I543" s="15">
        <v>1</v>
      </c>
      <c r="J543" s="15">
        <v>1</v>
      </c>
      <c r="K543" s="16">
        <v>1</v>
      </c>
      <c r="L543" s="36">
        <v>-5.88</v>
      </c>
    </row>
    <row r="544" spans="1:12" x14ac:dyDescent="0.45">
      <c r="A544" s="1" t="s">
        <v>553</v>
      </c>
      <c r="B544" s="2">
        <f>IF(OR(Table1[[#This Row],[M score]]=1,AND(Table1[[#This Row],[F score]]=1,Table1[[#This Row],[Z score]]=1)),1,0)</f>
        <v>0</v>
      </c>
      <c r="C544" s="17">
        <v>0</v>
      </c>
      <c r="D544" s="17">
        <v>0</v>
      </c>
      <c r="E544" s="18">
        <v>0</v>
      </c>
      <c r="F544" s="19">
        <v>9.90990990990991E-2</v>
      </c>
      <c r="G544" s="6">
        <v>28.742775918177124</v>
      </c>
      <c r="H544" s="20">
        <v>23.44</v>
      </c>
      <c r="I544" s="21">
        <v>1</v>
      </c>
      <c r="J544" s="21">
        <v>0</v>
      </c>
      <c r="K544" s="22">
        <v>1</v>
      </c>
      <c r="L544" s="36">
        <v>1.74</v>
      </c>
    </row>
    <row r="545" spans="1:12" x14ac:dyDescent="0.45">
      <c r="A545" s="9" t="s">
        <v>554</v>
      </c>
      <c r="B545" s="2">
        <f>IF(OR(Table1[[#This Row],[M score]]=1,AND(Table1[[#This Row],[F score]]=1,Table1[[#This Row],[Z score]]=1)),1,0)</f>
        <v>0</v>
      </c>
      <c r="C545" s="10">
        <v>0</v>
      </c>
      <c r="D545" s="10">
        <v>0</v>
      </c>
      <c r="E545" s="11">
        <v>0</v>
      </c>
      <c r="F545" s="12">
        <v>-0.83694709453599303</v>
      </c>
      <c r="G545" s="13">
        <v>26.589035402115769</v>
      </c>
      <c r="H545" s="14">
        <v>11.61</v>
      </c>
      <c r="I545" s="15">
        <v>1</v>
      </c>
      <c r="J545" s="15">
        <v>0</v>
      </c>
      <c r="K545" s="16">
        <v>1</v>
      </c>
      <c r="L545" s="36">
        <v>-6.9</v>
      </c>
    </row>
    <row r="546" spans="1:12" x14ac:dyDescent="0.45">
      <c r="A546" s="1" t="s">
        <v>555</v>
      </c>
      <c r="B546" s="2">
        <f>IF(OR(Table1[[#This Row],[M score]]=1,AND(Table1[[#This Row],[F score]]=1,Table1[[#This Row],[Z score]]=1)),1,0)</f>
        <v>0</v>
      </c>
      <c r="C546" s="17">
        <v>0</v>
      </c>
      <c r="D546" s="17">
        <v>0</v>
      </c>
      <c r="E546" s="18">
        <v>0</v>
      </c>
      <c r="F546" s="19">
        <v>0.4938732019179542</v>
      </c>
      <c r="G546" s="6">
        <v>28.187825143052613</v>
      </c>
      <c r="H546" s="20">
        <v>3.61</v>
      </c>
      <c r="I546" s="21">
        <v>1</v>
      </c>
      <c r="J546" s="21">
        <v>0</v>
      </c>
      <c r="K546" s="22">
        <v>1</v>
      </c>
      <c r="L546" s="36">
        <v>7.53</v>
      </c>
    </row>
    <row r="547" spans="1:12" x14ac:dyDescent="0.45">
      <c r="A547" s="9" t="s">
        <v>556</v>
      </c>
      <c r="B547" s="2">
        <f>IF(OR(Table1[[#This Row],[M score]]=1,AND(Table1[[#This Row],[F score]]=1,Table1[[#This Row],[Z score]]=1)),1,0)</f>
        <v>0</v>
      </c>
      <c r="C547" s="10">
        <v>1</v>
      </c>
      <c r="D547" s="10">
        <v>0</v>
      </c>
      <c r="E547" s="11">
        <v>0</v>
      </c>
      <c r="F547" s="12">
        <v>-1.5940085592011413</v>
      </c>
      <c r="G547" s="13">
        <v>27.998545383337149</v>
      </c>
      <c r="H547" s="14">
        <v>7.05</v>
      </c>
      <c r="I547" s="15">
        <v>0</v>
      </c>
      <c r="J547" s="15">
        <v>0</v>
      </c>
      <c r="K547" s="16">
        <v>1</v>
      </c>
      <c r="L547" s="36">
        <v>15.26</v>
      </c>
    </row>
    <row r="548" spans="1:12" x14ac:dyDescent="0.45">
      <c r="A548" s="1" t="s">
        <v>557</v>
      </c>
      <c r="B548" s="2">
        <f>IF(OR(Table1[[#This Row],[M score]]=1,AND(Table1[[#This Row],[F score]]=1,Table1[[#This Row],[Z score]]=1)),1,0)</f>
        <v>1</v>
      </c>
      <c r="C548" s="17">
        <v>0</v>
      </c>
      <c r="D548" s="17">
        <v>0</v>
      </c>
      <c r="E548" s="18">
        <v>1</v>
      </c>
      <c r="F548" s="19">
        <v>-0.47787610619469029</v>
      </c>
      <c r="G548" s="6">
        <v>27.346666093569169</v>
      </c>
      <c r="H548" s="20">
        <v>29.28</v>
      </c>
      <c r="I548" s="21">
        <v>1</v>
      </c>
      <c r="J548" s="21">
        <v>0</v>
      </c>
      <c r="K548" s="22">
        <v>1</v>
      </c>
      <c r="L548" s="36">
        <v>7.22</v>
      </c>
    </row>
    <row r="549" spans="1:12" x14ac:dyDescent="0.45">
      <c r="A549" s="9" t="s">
        <v>558</v>
      </c>
      <c r="B549" s="2">
        <f>IF(OR(Table1[[#This Row],[M score]]=1,AND(Table1[[#This Row],[F score]]=1,Table1[[#This Row],[Z score]]=1)),1,0)</f>
        <v>1</v>
      </c>
      <c r="C549" s="10">
        <v>0</v>
      </c>
      <c r="D549" s="10">
        <v>0</v>
      </c>
      <c r="E549" s="11">
        <v>1</v>
      </c>
      <c r="F549" s="12">
        <v>-0.6645962732919255</v>
      </c>
      <c r="G549" s="13">
        <v>25.080974163969085</v>
      </c>
      <c r="H549" s="14">
        <v>6.17</v>
      </c>
      <c r="I549" s="15">
        <v>0</v>
      </c>
      <c r="J549" s="15">
        <v>1</v>
      </c>
      <c r="K549" s="16">
        <v>1</v>
      </c>
      <c r="L549" s="36">
        <v>-3.02</v>
      </c>
    </row>
    <row r="550" spans="1:12" x14ac:dyDescent="0.45">
      <c r="A550" s="1" t="s">
        <v>559</v>
      </c>
      <c r="B550" s="2">
        <f>IF(OR(Table1[[#This Row],[M score]]=1,AND(Table1[[#This Row],[F score]]=1,Table1[[#This Row],[Z score]]=1)),1,0)</f>
        <v>0</v>
      </c>
      <c r="C550" s="17">
        <v>0</v>
      </c>
      <c r="D550" s="17">
        <v>0</v>
      </c>
      <c r="E550" s="18">
        <v>0</v>
      </c>
      <c r="F550" s="19">
        <v>-2.8673835125448029E-2</v>
      </c>
      <c r="G550" s="6">
        <v>28.080544170428656</v>
      </c>
      <c r="H550" s="20">
        <v>6.2</v>
      </c>
      <c r="I550" s="21">
        <v>0</v>
      </c>
      <c r="J550" s="21">
        <v>0</v>
      </c>
      <c r="K550" s="22">
        <v>1</v>
      </c>
      <c r="L550" s="36">
        <v>-5.87</v>
      </c>
    </row>
    <row r="551" spans="1:12" x14ac:dyDescent="0.45">
      <c r="A551" s="9" t="s">
        <v>560</v>
      </c>
      <c r="B551" s="2">
        <f>IF(OR(Table1[[#This Row],[M score]]=1,AND(Table1[[#This Row],[F score]]=1,Table1[[#This Row],[Z score]]=1)),1,0)</f>
        <v>0</v>
      </c>
      <c r="C551" s="10">
        <v>0</v>
      </c>
      <c r="D551" s="10">
        <v>1</v>
      </c>
      <c r="E551" s="11">
        <v>0</v>
      </c>
      <c r="F551" s="12">
        <v>-1.0610510046367851</v>
      </c>
      <c r="G551" s="13">
        <v>26.082586733657223</v>
      </c>
      <c r="H551" s="14">
        <v>32.590000000000003</v>
      </c>
      <c r="I551" s="15">
        <v>1</v>
      </c>
      <c r="J551" s="15">
        <v>0</v>
      </c>
      <c r="K551" s="16">
        <v>1</v>
      </c>
      <c r="L551" s="36">
        <v>-0.66</v>
      </c>
    </row>
    <row r="552" spans="1:12" x14ac:dyDescent="0.45">
      <c r="A552" s="1" t="s">
        <v>561</v>
      </c>
      <c r="B552" s="2">
        <f>IF(OR(Table1[[#This Row],[M score]]=1,AND(Table1[[#This Row],[F score]]=1,Table1[[#This Row],[Z score]]=1)),1,0)</f>
        <v>0</v>
      </c>
      <c r="C552" s="17">
        <v>0</v>
      </c>
      <c r="D552" s="17">
        <v>1</v>
      </c>
      <c r="E552" s="18">
        <v>0</v>
      </c>
      <c r="F552" s="19">
        <v>0.11003236245954692</v>
      </c>
      <c r="G552" s="6">
        <v>26.171055389789707</v>
      </c>
      <c r="H552" s="20">
        <v>31.85</v>
      </c>
      <c r="I552" s="21">
        <v>1</v>
      </c>
      <c r="J552" s="21">
        <v>0</v>
      </c>
      <c r="K552" s="22">
        <v>1</v>
      </c>
      <c r="L552" s="36">
        <v>10.220000000000001</v>
      </c>
    </row>
    <row r="553" spans="1:12" x14ac:dyDescent="0.45">
      <c r="A553" s="9" t="s">
        <v>562</v>
      </c>
      <c r="B553" s="2">
        <f>IF(OR(Table1[[#This Row],[M score]]=1,AND(Table1[[#This Row],[F score]]=1,Table1[[#This Row],[Z score]]=1)),1,0)</f>
        <v>0</v>
      </c>
      <c r="C553" s="10">
        <v>0</v>
      </c>
      <c r="D553" s="10">
        <v>1</v>
      </c>
      <c r="E553" s="11">
        <v>0</v>
      </c>
      <c r="F553" s="12">
        <v>0.6063601203266008</v>
      </c>
      <c r="G553" s="13">
        <v>29.327920304132643</v>
      </c>
      <c r="H553" s="14">
        <v>20.79</v>
      </c>
      <c r="I553" s="15">
        <v>1</v>
      </c>
      <c r="J553" s="15">
        <v>1</v>
      </c>
      <c r="K553" s="16">
        <v>1</v>
      </c>
      <c r="L553" s="36">
        <v>23.37</v>
      </c>
    </row>
    <row r="554" spans="1:12" x14ac:dyDescent="0.45">
      <c r="A554" s="1" t="s">
        <v>563</v>
      </c>
      <c r="B554" s="2">
        <f>IF(OR(Table1[[#This Row],[M score]]=1,AND(Table1[[#This Row],[F score]]=1,Table1[[#This Row],[Z score]]=1)),1,0)</f>
        <v>0</v>
      </c>
      <c r="C554" s="17">
        <v>0</v>
      </c>
      <c r="D554" s="17">
        <v>1</v>
      </c>
      <c r="E554" s="18">
        <v>0</v>
      </c>
      <c r="F554" s="19">
        <v>34</v>
      </c>
      <c r="G554" s="6">
        <v>26.381420498027541</v>
      </c>
      <c r="H554" s="20">
        <v>24.59</v>
      </c>
      <c r="I554" s="21">
        <v>1</v>
      </c>
      <c r="J554" s="21">
        <v>0</v>
      </c>
      <c r="K554" s="22">
        <v>1</v>
      </c>
      <c r="L554" s="36">
        <v>0.18</v>
      </c>
    </row>
    <row r="555" spans="1:12" x14ac:dyDescent="0.45">
      <c r="A555" s="9" t="s">
        <v>564</v>
      </c>
      <c r="B555" s="2">
        <f>IF(OR(Table1[[#This Row],[M score]]=1,AND(Table1[[#This Row],[F score]]=1,Table1[[#This Row],[Z score]]=1)),1,0)</f>
        <v>0</v>
      </c>
      <c r="C555" s="10">
        <v>0</v>
      </c>
      <c r="D555" s="10">
        <v>1</v>
      </c>
      <c r="E555" s="11">
        <v>0</v>
      </c>
      <c r="F555" s="12">
        <v>-9.2592592592592587E-2</v>
      </c>
      <c r="G555" s="13">
        <v>26.089261945224337</v>
      </c>
      <c r="H555" s="14">
        <v>46.65</v>
      </c>
      <c r="I555" s="15">
        <v>0</v>
      </c>
      <c r="J555" s="15">
        <v>0</v>
      </c>
      <c r="K555" s="16">
        <v>1</v>
      </c>
      <c r="L555" s="36">
        <v>1.64</v>
      </c>
    </row>
    <row r="556" spans="1:12" x14ac:dyDescent="0.45">
      <c r="A556" s="1" t="s">
        <v>565</v>
      </c>
      <c r="B556" s="2">
        <f>IF(OR(Table1[[#This Row],[M score]]=1,AND(Table1[[#This Row],[F score]]=1,Table1[[#This Row],[Z score]]=1)),1,0)</f>
        <v>0</v>
      </c>
      <c r="C556" s="17">
        <v>0</v>
      </c>
      <c r="D556" s="17">
        <v>0</v>
      </c>
      <c r="E556" s="18">
        <v>0</v>
      </c>
      <c r="F556" s="19">
        <v>1.0981210855949897</v>
      </c>
      <c r="G556" s="6">
        <v>26.846695186936493</v>
      </c>
      <c r="H556" s="20">
        <v>37.68</v>
      </c>
      <c r="I556" s="21">
        <v>0</v>
      </c>
      <c r="J556" s="21">
        <v>0</v>
      </c>
      <c r="K556" s="22">
        <v>1</v>
      </c>
      <c r="L556" s="36">
        <v>59.4</v>
      </c>
    </row>
    <row r="557" spans="1:12" x14ac:dyDescent="0.45">
      <c r="A557" s="9" t="s">
        <v>566</v>
      </c>
      <c r="B557" s="2">
        <f>IF(OR(Table1[[#This Row],[M score]]=1,AND(Table1[[#This Row],[F score]]=1,Table1[[#This Row],[Z score]]=1)),1,0)</f>
        <v>0</v>
      </c>
      <c r="C557" s="10">
        <v>0</v>
      </c>
      <c r="D557" s="10">
        <v>1</v>
      </c>
      <c r="E557" s="11">
        <v>0</v>
      </c>
      <c r="F557" s="12">
        <v>24.285714285714285</v>
      </c>
      <c r="G557" s="13">
        <v>28.806000031671648</v>
      </c>
      <c r="H557" s="14">
        <v>32.42</v>
      </c>
      <c r="I557" s="15">
        <v>1</v>
      </c>
      <c r="J557" s="15">
        <v>0</v>
      </c>
      <c r="K557" s="16">
        <v>1</v>
      </c>
      <c r="L557" s="36">
        <v>-1.97</v>
      </c>
    </row>
    <row r="558" spans="1:12" x14ac:dyDescent="0.45">
      <c r="A558" s="1" t="s">
        <v>567</v>
      </c>
      <c r="B558" s="2">
        <f>IF(OR(Table1[[#This Row],[M score]]=1,AND(Table1[[#This Row],[F score]]=1,Table1[[#This Row],[Z score]]=1)),1,0)</f>
        <v>0</v>
      </c>
      <c r="C558" s="17">
        <v>0</v>
      </c>
      <c r="D558" s="17">
        <v>1</v>
      </c>
      <c r="E558" s="18">
        <v>0</v>
      </c>
      <c r="F558" s="19">
        <v>-2.2711864406779663</v>
      </c>
      <c r="G558" s="6">
        <v>24.700459973372311</v>
      </c>
      <c r="H558" s="20">
        <v>8.2200000000000006</v>
      </c>
      <c r="I558" s="21">
        <v>0</v>
      </c>
      <c r="J558" s="21">
        <v>0</v>
      </c>
      <c r="K558" s="22">
        <v>1</v>
      </c>
      <c r="L558" s="36">
        <v>10.49</v>
      </c>
    </row>
    <row r="559" spans="1:12" x14ac:dyDescent="0.45">
      <c r="A559" s="9" t="s">
        <v>568</v>
      </c>
      <c r="B559" s="2">
        <f>IF(OR(Table1[[#This Row],[M score]]=1,AND(Table1[[#This Row],[F score]]=1,Table1[[#This Row],[Z score]]=1)),1,0)</f>
        <v>0</v>
      </c>
      <c r="C559" s="10">
        <v>0</v>
      </c>
      <c r="D559" s="10">
        <v>1</v>
      </c>
      <c r="E559" s="11">
        <v>0</v>
      </c>
      <c r="F559" s="12">
        <v>-13.613793103448275</v>
      </c>
      <c r="G559" s="13">
        <v>25.469895334398149</v>
      </c>
      <c r="H559" s="14">
        <v>53.73</v>
      </c>
      <c r="I559" s="15">
        <v>0</v>
      </c>
      <c r="J559" s="15">
        <v>0</v>
      </c>
      <c r="K559" s="16">
        <v>0</v>
      </c>
      <c r="L559" s="36">
        <v>53.55</v>
      </c>
    </row>
    <row r="560" spans="1:12" x14ac:dyDescent="0.45">
      <c r="A560" s="1" t="s">
        <v>569</v>
      </c>
      <c r="B560" s="2">
        <f>IF(OR(Table1[[#This Row],[M score]]=1,AND(Table1[[#This Row],[F score]]=1,Table1[[#This Row],[Z score]]=1)),1,0)</f>
        <v>0</v>
      </c>
      <c r="C560" s="17">
        <v>0</v>
      </c>
      <c r="D560" s="17">
        <v>1</v>
      </c>
      <c r="E560" s="18">
        <v>0</v>
      </c>
      <c r="F560" s="19">
        <v>-0.87286299060919814</v>
      </c>
      <c r="G560" s="6">
        <v>23.643196397084122</v>
      </c>
      <c r="H560" s="20">
        <v>37.86</v>
      </c>
      <c r="I560" s="21">
        <v>0</v>
      </c>
      <c r="J560" s="21">
        <v>0</v>
      </c>
      <c r="K560" s="22">
        <v>0</v>
      </c>
      <c r="L560" s="36">
        <v>-269.93</v>
      </c>
    </row>
    <row r="561" spans="1:12" x14ac:dyDescent="0.45">
      <c r="A561" s="9" t="s">
        <v>570</v>
      </c>
      <c r="B561" s="2">
        <f>IF(OR(Table1[[#This Row],[M score]]=1,AND(Table1[[#This Row],[F score]]=1,Table1[[#This Row],[Z score]]=1)),1,0)</f>
        <v>1</v>
      </c>
      <c r="C561" s="10">
        <v>0</v>
      </c>
      <c r="D561" s="10">
        <v>0</v>
      </c>
      <c r="E561" s="11">
        <v>1</v>
      </c>
      <c r="F561" s="12">
        <v>5.5005500550055009E-3</v>
      </c>
      <c r="G561" s="13">
        <v>26.200560012851952</v>
      </c>
      <c r="H561" s="14">
        <v>1.58</v>
      </c>
      <c r="I561" s="15">
        <v>1</v>
      </c>
      <c r="J561" s="15">
        <v>0</v>
      </c>
      <c r="K561" s="16">
        <v>1</v>
      </c>
      <c r="L561" s="36">
        <v>0.24</v>
      </c>
    </row>
    <row r="562" spans="1:12" x14ac:dyDescent="0.45">
      <c r="A562" s="1" t="s">
        <v>571</v>
      </c>
      <c r="B562" s="2">
        <f>IF(OR(Table1[[#This Row],[M score]]=1,AND(Table1[[#This Row],[F score]]=1,Table1[[#This Row],[Z score]]=1)),1,0)</f>
        <v>0</v>
      </c>
      <c r="C562" s="17">
        <v>0</v>
      </c>
      <c r="D562" s="17">
        <v>1</v>
      </c>
      <c r="E562" s="18">
        <v>0</v>
      </c>
      <c r="F562" s="19">
        <v>-28.542857142857144</v>
      </c>
      <c r="G562" s="6">
        <v>25.104976237873672</v>
      </c>
      <c r="H562" s="20">
        <v>25.63</v>
      </c>
      <c r="I562" s="21">
        <v>0</v>
      </c>
      <c r="J562" s="21">
        <v>0</v>
      </c>
      <c r="K562" s="22">
        <v>0</v>
      </c>
      <c r="L562" s="36">
        <v>-37.090000000000003</v>
      </c>
    </row>
    <row r="563" spans="1:12" x14ac:dyDescent="0.45">
      <c r="A563" s="9" t="s">
        <v>572</v>
      </c>
      <c r="B563" s="2">
        <f>IF(OR(Table1[[#This Row],[M score]]=1,AND(Table1[[#This Row],[F score]]=1,Table1[[#This Row],[Z score]]=1)),1,0)</f>
        <v>0</v>
      </c>
      <c r="C563" s="10">
        <v>0</v>
      </c>
      <c r="D563" s="10">
        <v>1</v>
      </c>
      <c r="E563" s="11">
        <v>0</v>
      </c>
      <c r="F563" s="12">
        <v>0.2273342354533153</v>
      </c>
      <c r="G563" s="13">
        <v>26.681287864938177</v>
      </c>
      <c r="H563" s="14">
        <v>32.31</v>
      </c>
      <c r="I563" s="15">
        <v>1</v>
      </c>
      <c r="J563" s="15">
        <v>0</v>
      </c>
      <c r="K563" s="16">
        <v>1</v>
      </c>
      <c r="L563" s="36">
        <v>0.4</v>
      </c>
    </row>
    <row r="564" spans="1:12" x14ac:dyDescent="0.45">
      <c r="A564" s="1" t="s">
        <v>573</v>
      </c>
      <c r="B564" s="2">
        <f>IF(OR(Table1[[#This Row],[M score]]=1,AND(Table1[[#This Row],[F score]]=1,Table1[[#This Row],[Z score]]=1)),1,0)</f>
        <v>1</v>
      </c>
      <c r="C564" s="17">
        <v>0</v>
      </c>
      <c r="D564" s="17">
        <v>1</v>
      </c>
      <c r="E564" s="18">
        <v>1</v>
      </c>
      <c r="F564" s="19">
        <v>-1.0259094477885371</v>
      </c>
      <c r="G564" s="6">
        <v>24.822162970471833</v>
      </c>
      <c r="H564" s="20">
        <v>9.81</v>
      </c>
      <c r="I564" s="21">
        <v>1</v>
      </c>
      <c r="J564" s="21">
        <v>0</v>
      </c>
      <c r="K564" s="22">
        <v>0</v>
      </c>
      <c r="L564" s="36">
        <v>2.99</v>
      </c>
    </row>
    <row r="565" spans="1:12" x14ac:dyDescent="0.45">
      <c r="A565" s="9" t="s">
        <v>574</v>
      </c>
      <c r="B565" s="2">
        <f>IF(OR(Table1[[#This Row],[M score]]=1,AND(Table1[[#This Row],[F score]]=1,Table1[[#This Row],[Z score]]=1)),1,0)</f>
        <v>0</v>
      </c>
      <c r="C565" s="10">
        <v>0</v>
      </c>
      <c r="D565" s="10">
        <v>0</v>
      </c>
      <c r="E565" s="11">
        <v>0</v>
      </c>
      <c r="F565" s="12">
        <v>0.28325508607198746</v>
      </c>
      <c r="G565" s="13">
        <v>23.670355531439753</v>
      </c>
      <c r="H565" s="14">
        <v>4.28</v>
      </c>
      <c r="I565" s="15">
        <v>1</v>
      </c>
      <c r="J565" s="15">
        <v>0</v>
      </c>
      <c r="K565" s="16">
        <v>1</v>
      </c>
      <c r="L565" s="36">
        <v>0.13</v>
      </c>
    </row>
    <row r="566" spans="1:12" x14ac:dyDescent="0.45">
      <c r="A566" s="1" t="s">
        <v>575</v>
      </c>
      <c r="B566" s="2">
        <f>IF(OR(Table1[[#This Row],[M score]]=1,AND(Table1[[#This Row],[F score]]=1,Table1[[#This Row],[Z score]]=1)),1,0)</f>
        <v>0</v>
      </c>
      <c r="C566" s="17">
        <v>0</v>
      </c>
      <c r="D566" s="17">
        <v>1</v>
      </c>
      <c r="E566" s="18">
        <v>0</v>
      </c>
      <c r="F566" s="19">
        <v>0.71401370906321404</v>
      </c>
      <c r="G566" s="6">
        <v>25.269767939410627</v>
      </c>
      <c r="H566" s="20">
        <v>32.549999999999997</v>
      </c>
      <c r="I566" s="21">
        <v>1</v>
      </c>
      <c r="J566" s="21">
        <v>0</v>
      </c>
      <c r="K566" s="22">
        <v>1</v>
      </c>
      <c r="L566" s="36">
        <v>-32.159999999999997</v>
      </c>
    </row>
    <row r="567" spans="1:12" x14ac:dyDescent="0.45">
      <c r="A567" s="9" t="s">
        <v>576</v>
      </c>
      <c r="B567" s="2">
        <f>IF(OR(Table1[[#This Row],[M score]]=1,AND(Table1[[#This Row],[F score]]=1,Table1[[#This Row],[Z score]]=1)),1,0)</f>
        <v>0</v>
      </c>
      <c r="C567" s="10">
        <v>0</v>
      </c>
      <c r="D567" s="10">
        <v>0</v>
      </c>
      <c r="E567" s="11">
        <v>0</v>
      </c>
      <c r="F567" s="12">
        <v>-0.24459691252144083</v>
      </c>
      <c r="G567" s="13">
        <v>25.092046834203522</v>
      </c>
      <c r="H567" s="14">
        <v>9.76</v>
      </c>
      <c r="I567" s="15">
        <v>1</v>
      </c>
      <c r="J567" s="15">
        <v>0</v>
      </c>
      <c r="K567" s="16">
        <v>1</v>
      </c>
      <c r="L567" s="36">
        <v>-0.17</v>
      </c>
    </row>
    <row r="568" spans="1:12" x14ac:dyDescent="0.45">
      <c r="A568" s="1" t="s">
        <v>577</v>
      </c>
      <c r="B568" s="2">
        <f>IF(OR(Table1[[#This Row],[M score]]=1,AND(Table1[[#This Row],[F score]]=1,Table1[[#This Row],[Z score]]=1)),1,0)</f>
        <v>0</v>
      </c>
      <c r="C568" s="17">
        <v>0</v>
      </c>
      <c r="D568" s="17">
        <v>1</v>
      </c>
      <c r="E568" s="18">
        <v>0</v>
      </c>
      <c r="F568" s="19">
        <v>-516.66666666666663</v>
      </c>
      <c r="G568" s="6">
        <v>25.889208142632018</v>
      </c>
      <c r="H568" s="20">
        <v>17.97</v>
      </c>
      <c r="I568" s="21">
        <v>0</v>
      </c>
      <c r="J568" s="21">
        <v>0</v>
      </c>
      <c r="K568" s="22">
        <v>0</v>
      </c>
      <c r="L568" s="36">
        <v>7.81</v>
      </c>
    </row>
    <row r="569" spans="1:12" x14ac:dyDescent="0.45">
      <c r="A569" s="9" t="s">
        <v>578</v>
      </c>
      <c r="B569" s="2">
        <f>IF(OR(Table1[[#This Row],[M score]]=1,AND(Table1[[#This Row],[F score]]=1,Table1[[#This Row],[Z score]]=1)),1,0)</f>
        <v>1</v>
      </c>
      <c r="C569" s="10">
        <v>0</v>
      </c>
      <c r="D569" s="10">
        <v>1</v>
      </c>
      <c r="E569" s="11">
        <v>1</v>
      </c>
      <c r="F569" s="12">
        <v>16.38095238095238</v>
      </c>
      <c r="G569" s="13">
        <v>26.55221145455662</v>
      </c>
      <c r="H569" s="14">
        <v>6.66</v>
      </c>
      <c r="I569" s="15">
        <v>1</v>
      </c>
      <c r="J569" s="15">
        <v>0</v>
      </c>
      <c r="K569" s="16">
        <v>0</v>
      </c>
      <c r="L569" s="36">
        <v>6.19</v>
      </c>
    </row>
    <row r="570" spans="1:12" x14ac:dyDescent="0.45">
      <c r="A570" s="1" t="s">
        <v>579</v>
      </c>
      <c r="B570" s="2">
        <f>IF(OR(Table1[[#This Row],[M score]]=1,AND(Table1[[#This Row],[F score]]=1,Table1[[#This Row],[Z score]]=1)),1,0)</f>
        <v>0</v>
      </c>
      <c r="C570" s="17">
        <v>0</v>
      </c>
      <c r="D570" s="17">
        <v>0</v>
      </c>
      <c r="E570" s="18">
        <v>0</v>
      </c>
      <c r="F570" s="19">
        <v>0.22919708029197081</v>
      </c>
      <c r="G570" s="6">
        <v>29.240383025474504</v>
      </c>
      <c r="H570" s="20">
        <v>3.07</v>
      </c>
      <c r="I570" s="21">
        <v>0</v>
      </c>
      <c r="J570" s="21">
        <v>0</v>
      </c>
      <c r="K570" s="22">
        <v>1</v>
      </c>
      <c r="L570" s="36">
        <v>6.42</v>
      </c>
    </row>
    <row r="571" spans="1:12" x14ac:dyDescent="0.45">
      <c r="A571" s="9" t="s">
        <v>580</v>
      </c>
      <c r="B571" s="2">
        <f>IF(OR(Table1[[#This Row],[M score]]=1,AND(Table1[[#This Row],[F score]]=1,Table1[[#This Row],[Z score]]=1)),1,0)</f>
        <v>0</v>
      </c>
      <c r="C571" s="10">
        <v>0</v>
      </c>
      <c r="D571" s="10">
        <v>0</v>
      </c>
      <c r="E571" s="11">
        <v>0</v>
      </c>
      <c r="F571" s="12">
        <v>-0.43630282760717543</v>
      </c>
      <c r="G571" s="13">
        <v>26.011532867640945</v>
      </c>
      <c r="H571" s="14">
        <v>11.58</v>
      </c>
      <c r="I571" s="15">
        <v>1</v>
      </c>
      <c r="J571" s="15">
        <v>0</v>
      </c>
      <c r="K571" s="16">
        <v>1</v>
      </c>
      <c r="L571" s="36">
        <v>5.29</v>
      </c>
    </row>
    <row r="572" spans="1:12" x14ac:dyDescent="0.45">
      <c r="A572" s="1" t="s">
        <v>581</v>
      </c>
      <c r="B572" s="2">
        <f>IF(OR(Table1[[#This Row],[M score]]=1,AND(Table1[[#This Row],[F score]]=1,Table1[[#This Row],[Z score]]=1)),1,0)</f>
        <v>0</v>
      </c>
      <c r="C572" s="17">
        <v>0</v>
      </c>
      <c r="D572" s="17">
        <v>0</v>
      </c>
      <c r="E572" s="18">
        <v>0</v>
      </c>
      <c r="F572" s="19">
        <v>0.16726403823178015</v>
      </c>
      <c r="G572" s="6">
        <v>26.037684194061299</v>
      </c>
      <c r="H572" s="20">
        <v>10.77</v>
      </c>
      <c r="I572" s="21">
        <v>1</v>
      </c>
      <c r="J572" s="21">
        <v>1</v>
      </c>
      <c r="K572" s="22">
        <v>1</v>
      </c>
      <c r="L572" s="36">
        <v>2.48</v>
      </c>
    </row>
    <row r="573" spans="1:12" x14ac:dyDescent="0.45">
      <c r="A573" s="9" t="s">
        <v>582</v>
      </c>
      <c r="B573" s="2">
        <f>IF(OR(Table1[[#This Row],[M score]]=1,AND(Table1[[#This Row],[F score]]=1,Table1[[#This Row],[Z score]]=1)),1,0)</f>
        <v>1</v>
      </c>
      <c r="C573" s="10">
        <v>0</v>
      </c>
      <c r="D573" s="10">
        <v>0</v>
      </c>
      <c r="E573" s="11">
        <v>1</v>
      </c>
      <c r="F573" s="12">
        <v>7.2115384615384609E-2</v>
      </c>
      <c r="G573" s="13">
        <v>26.934131467463633</v>
      </c>
      <c r="H573" s="14">
        <v>55.14</v>
      </c>
      <c r="I573" s="15">
        <v>1</v>
      </c>
      <c r="J573" s="15">
        <v>0</v>
      </c>
      <c r="K573" s="16">
        <v>0</v>
      </c>
      <c r="L573" s="36">
        <v>0.8</v>
      </c>
    </row>
    <row r="574" spans="1:12" x14ac:dyDescent="0.45">
      <c r="A574" s="1" t="s">
        <v>583</v>
      </c>
      <c r="B574" s="2">
        <f>IF(OR(Table1[[#This Row],[M score]]=1,AND(Table1[[#This Row],[F score]]=1,Table1[[#This Row],[Z score]]=1)),1,0)</f>
        <v>0</v>
      </c>
      <c r="C574" s="17">
        <v>0</v>
      </c>
      <c r="D574" s="17">
        <v>0</v>
      </c>
      <c r="E574" s="18">
        <v>0</v>
      </c>
      <c r="F574" s="19">
        <v>0.12848837209302325</v>
      </c>
      <c r="G574" s="6">
        <v>27.133113115914469</v>
      </c>
      <c r="H574" s="20">
        <v>2.13</v>
      </c>
      <c r="I574" s="21">
        <v>1</v>
      </c>
      <c r="J574" s="21">
        <v>0</v>
      </c>
      <c r="K574" s="22">
        <v>1</v>
      </c>
      <c r="L574" s="36">
        <v>0.8</v>
      </c>
    </row>
    <row r="575" spans="1:12" x14ac:dyDescent="0.45">
      <c r="A575" s="9" t="s">
        <v>584</v>
      </c>
      <c r="B575" s="2">
        <f>IF(OR(Table1[[#This Row],[M score]]=1,AND(Table1[[#This Row],[F score]]=1,Table1[[#This Row],[Z score]]=1)),1,0)</f>
        <v>0</v>
      </c>
      <c r="C575" s="10">
        <v>0</v>
      </c>
      <c r="D575" s="10">
        <v>0</v>
      </c>
      <c r="E575" s="11">
        <v>0</v>
      </c>
      <c r="F575" s="12">
        <v>0.31548627583869876</v>
      </c>
      <c r="G575" s="13">
        <v>24.848230773665119</v>
      </c>
      <c r="H575" s="14">
        <v>28.2</v>
      </c>
      <c r="I575" s="15">
        <v>1</v>
      </c>
      <c r="J575" s="15">
        <v>0</v>
      </c>
      <c r="K575" s="16">
        <v>1</v>
      </c>
      <c r="L575" s="36">
        <v>8.3699999999999992</v>
      </c>
    </row>
    <row r="576" spans="1:12" x14ac:dyDescent="0.45">
      <c r="A576" s="1" t="s">
        <v>585</v>
      </c>
      <c r="B576" s="2">
        <f>IF(OR(Table1[[#This Row],[M score]]=1,AND(Table1[[#This Row],[F score]]=1,Table1[[#This Row],[Z score]]=1)),1,0)</f>
        <v>0</v>
      </c>
      <c r="C576" s="17">
        <v>0</v>
      </c>
      <c r="D576" s="17">
        <v>0</v>
      </c>
      <c r="E576" s="18">
        <v>0</v>
      </c>
      <c r="F576" s="19">
        <v>0.28118981382409586</v>
      </c>
      <c r="G576" s="6">
        <v>27.096758922087083</v>
      </c>
      <c r="H576" s="20">
        <v>2.06</v>
      </c>
      <c r="I576" s="21">
        <v>1</v>
      </c>
      <c r="J576" s="21">
        <v>1</v>
      </c>
      <c r="K576" s="22">
        <v>1</v>
      </c>
      <c r="L576" s="36">
        <v>42.33</v>
      </c>
    </row>
    <row r="577" spans="1:12" x14ac:dyDescent="0.45">
      <c r="A577" s="9" t="s">
        <v>586</v>
      </c>
      <c r="B577" s="2">
        <f>IF(OR(Table1[[#This Row],[M score]]=1,AND(Table1[[#This Row],[F score]]=1,Table1[[#This Row],[Z score]]=1)),1,0)</f>
        <v>0</v>
      </c>
      <c r="C577" s="10">
        <v>0</v>
      </c>
      <c r="D577" s="10">
        <v>0</v>
      </c>
      <c r="E577" s="11">
        <v>0</v>
      </c>
      <c r="F577" s="12">
        <v>7.6628352490421452E-3</v>
      </c>
      <c r="G577" s="13">
        <v>25.095782393841517</v>
      </c>
      <c r="H577" s="14">
        <v>13.33</v>
      </c>
      <c r="I577" s="15">
        <v>1</v>
      </c>
      <c r="J577" s="15">
        <v>0</v>
      </c>
      <c r="K577" s="16">
        <v>1</v>
      </c>
      <c r="L577" s="36">
        <v>-2.89</v>
      </c>
    </row>
    <row r="578" spans="1:12" x14ac:dyDescent="0.45">
      <c r="A578" s="1" t="s">
        <v>587</v>
      </c>
      <c r="B578" s="2">
        <f>IF(OR(Table1[[#This Row],[M score]]=1,AND(Table1[[#This Row],[F score]]=1,Table1[[#This Row],[Z score]]=1)),1,0)</f>
        <v>0</v>
      </c>
      <c r="C578" s="17">
        <v>0</v>
      </c>
      <c r="D578" s="17">
        <v>1</v>
      </c>
      <c r="E578" s="18">
        <v>0</v>
      </c>
      <c r="F578" s="19">
        <v>-0.82524271844660191</v>
      </c>
      <c r="G578" s="6">
        <v>27.596376005122661</v>
      </c>
      <c r="H578" s="20">
        <v>38.35</v>
      </c>
      <c r="I578" s="21">
        <v>0</v>
      </c>
      <c r="J578" s="21">
        <v>0</v>
      </c>
      <c r="K578" s="22">
        <v>1</v>
      </c>
      <c r="L578" s="36">
        <v>3.31</v>
      </c>
    </row>
    <row r="579" spans="1:12" x14ac:dyDescent="0.45">
      <c r="A579" s="9" t="s">
        <v>588</v>
      </c>
      <c r="B579" s="2">
        <f>IF(OR(Table1[[#This Row],[M score]]=1,AND(Table1[[#This Row],[F score]]=1,Table1[[#This Row],[Z score]]=1)),1,0)</f>
        <v>0</v>
      </c>
      <c r="C579" s="10">
        <v>0</v>
      </c>
      <c r="D579" s="10">
        <v>0</v>
      </c>
      <c r="E579" s="11">
        <v>0</v>
      </c>
      <c r="F579" s="12">
        <v>1.122629582806574</v>
      </c>
      <c r="G579" s="13">
        <v>29.346323577560227</v>
      </c>
      <c r="H579" s="14">
        <v>0.72</v>
      </c>
      <c r="I579" s="15">
        <v>0</v>
      </c>
      <c r="J579" s="15">
        <v>0</v>
      </c>
      <c r="K579" s="16">
        <v>1</v>
      </c>
      <c r="L579" s="36">
        <v>11.9</v>
      </c>
    </row>
    <row r="580" spans="1:12" x14ac:dyDescent="0.45">
      <c r="A580" s="1" t="s">
        <v>589</v>
      </c>
      <c r="B580" s="2">
        <f>IF(OR(Table1[[#This Row],[M score]]=1,AND(Table1[[#This Row],[F score]]=1,Table1[[#This Row],[Z score]]=1)),1,0)</f>
        <v>0</v>
      </c>
      <c r="C580" s="17">
        <v>0</v>
      </c>
      <c r="D580" s="17">
        <v>1</v>
      </c>
      <c r="E580" s="18">
        <v>0</v>
      </c>
      <c r="F580" s="19">
        <v>0.44478216818642352</v>
      </c>
      <c r="G580" s="6">
        <v>27.893135191716848</v>
      </c>
      <c r="H580" s="20">
        <v>14.9</v>
      </c>
      <c r="I580" s="21">
        <v>1</v>
      </c>
      <c r="J580" s="21">
        <v>0</v>
      </c>
      <c r="K580" s="22">
        <v>1</v>
      </c>
      <c r="L580" s="36">
        <v>48.78</v>
      </c>
    </row>
    <row r="581" spans="1:12" x14ac:dyDescent="0.45">
      <c r="A581" s="9" t="s">
        <v>590</v>
      </c>
      <c r="B581" s="2">
        <f>IF(OR(Table1[[#This Row],[M score]]=1,AND(Table1[[#This Row],[F score]]=1,Table1[[#This Row],[Z score]]=1)),1,0)</f>
        <v>0</v>
      </c>
      <c r="C581" s="10">
        <v>0</v>
      </c>
      <c r="D581" s="10">
        <v>0</v>
      </c>
      <c r="E581" s="11">
        <v>0</v>
      </c>
      <c r="F581" s="12">
        <v>-0.54964731416169288</v>
      </c>
      <c r="G581" s="13">
        <v>26.491974257681449</v>
      </c>
      <c r="H581" s="14">
        <v>0.1</v>
      </c>
      <c r="I581" s="15">
        <v>0</v>
      </c>
      <c r="J581" s="15">
        <v>0</v>
      </c>
      <c r="K581" s="16">
        <v>0</v>
      </c>
      <c r="L581" s="36">
        <v>2.5499999999999998</v>
      </c>
    </row>
    <row r="582" spans="1:12" x14ac:dyDescent="0.45">
      <c r="A582" s="1" t="s">
        <v>591</v>
      </c>
      <c r="B582" s="2">
        <f>IF(OR(Table1[[#This Row],[M score]]=1,AND(Table1[[#This Row],[F score]]=1,Table1[[#This Row],[Z score]]=1)),1,0)</f>
        <v>0</v>
      </c>
      <c r="C582" s="17">
        <v>0</v>
      </c>
      <c r="D582" s="17">
        <v>1</v>
      </c>
      <c r="E582" s="18">
        <v>0</v>
      </c>
      <c r="F582" s="19">
        <v>1.8862343572241183</v>
      </c>
      <c r="G582" s="6">
        <v>28.514727683494549</v>
      </c>
      <c r="H582" s="20">
        <v>48.49</v>
      </c>
      <c r="I582" s="21">
        <v>1</v>
      </c>
      <c r="J582" s="21">
        <v>0</v>
      </c>
      <c r="K582" s="22">
        <v>1</v>
      </c>
      <c r="L582" s="36">
        <v>17.68</v>
      </c>
    </row>
    <row r="583" spans="1:12" x14ac:dyDescent="0.45">
      <c r="A583" s="9" t="s">
        <v>592</v>
      </c>
      <c r="B583" s="2">
        <f>IF(OR(Table1[[#This Row],[M score]]=1,AND(Table1[[#This Row],[F score]]=1,Table1[[#This Row],[Z score]]=1)),1,0)</f>
        <v>0</v>
      </c>
      <c r="C583" s="10">
        <v>0</v>
      </c>
      <c r="D583" s="10">
        <v>0</v>
      </c>
      <c r="E583" s="11">
        <v>0</v>
      </c>
      <c r="F583" s="12">
        <v>0.17574257425742573</v>
      </c>
      <c r="G583" s="13">
        <v>25.648089306593032</v>
      </c>
      <c r="H583" s="14">
        <v>53.53</v>
      </c>
      <c r="I583" s="15">
        <v>1</v>
      </c>
      <c r="J583" s="15">
        <v>0</v>
      </c>
      <c r="K583" s="16">
        <v>1</v>
      </c>
      <c r="L583" s="36">
        <v>3.7</v>
      </c>
    </row>
    <row r="584" spans="1:12" x14ac:dyDescent="0.45">
      <c r="A584" s="1" t="s">
        <v>593</v>
      </c>
      <c r="B584" s="2">
        <f>IF(OR(Table1[[#This Row],[M score]]=1,AND(Table1[[#This Row],[F score]]=1,Table1[[#This Row],[Z score]]=1)),1,0)</f>
        <v>1</v>
      </c>
      <c r="C584" s="17">
        <v>0</v>
      </c>
      <c r="D584" s="17">
        <v>0</v>
      </c>
      <c r="E584" s="18">
        <v>1</v>
      </c>
      <c r="F584" s="19">
        <v>-9.5774647887323941E-2</v>
      </c>
      <c r="G584" s="6">
        <v>25.345110830364852</v>
      </c>
      <c r="H584" s="20">
        <v>29.4</v>
      </c>
      <c r="I584" s="21">
        <v>1</v>
      </c>
      <c r="J584" s="21">
        <v>0</v>
      </c>
      <c r="K584" s="22">
        <v>1</v>
      </c>
      <c r="L584" s="36">
        <v>8.1300000000000008</v>
      </c>
    </row>
    <row r="585" spans="1:12" x14ac:dyDescent="0.45">
      <c r="A585" s="9" t="s">
        <v>594</v>
      </c>
      <c r="B585" s="2">
        <f>IF(OR(Table1[[#This Row],[M score]]=1,AND(Table1[[#This Row],[F score]]=1,Table1[[#This Row],[Z score]]=1)),1,0)</f>
        <v>0</v>
      </c>
      <c r="C585" s="10">
        <v>0</v>
      </c>
      <c r="D585" s="10">
        <v>1</v>
      </c>
      <c r="E585" s="11">
        <v>0</v>
      </c>
      <c r="F585" s="12">
        <v>80.647058823529406</v>
      </c>
      <c r="G585" s="13">
        <v>24.974614147978176</v>
      </c>
      <c r="H585" s="14">
        <v>40.130000000000003</v>
      </c>
      <c r="I585" s="15">
        <v>0</v>
      </c>
      <c r="J585" s="15">
        <v>0</v>
      </c>
      <c r="K585" s="16">
        <v>0</v>
      </c>
      <c r="L585" s="36">
        <v>-206.06</v>
      </c>
    </row>
    <row r="586" spans="1:12" x14ac:dyDescent="0.45">
      <c r="A586" s="1" t="s">
        <v>595</v>
      </c>
      <c r="B586" s="2">
        <f>IF(OR(Table1[[#This Row],[M score]]=1,AND(Table1[[#This Row],[F score]]=1,Table1[[#This Row],[Z score]]=1)),1,0)</f>
        <v>0</v>
      </c>
      <c r="C586" s="17">
        <v>0</v>
      </c>
      <c r="D586" s="17">
        <v>1</v>
      </c>
      <c r="E586" s="18">
        <v>0</v>
      </c>
      <c r="F586" s="19">
        <v>-0.35429769392033544</v>
      </c>
      <c r="G586" s="6">
        <v>28.532916108789863</v>
      </c>
      <c r="H586" s="20">
        <v>46.13</v>
      </c>
      <c r="I586" s="21">
        <v>1</v>
      </c>
      <c r="J586" s="21">
        <v>0</v>
      </c>
      <c r="K586" s="22">
        <v>1</v>
      </c>
      <c r="L586" s="36">
        <v>3.51</v>
      </c>
    </row>
    <row r="587" spans="1:12" x14ac:dyDescent="0.45">
      <c r="A587" s="9" t="s">
        <v>596</v>
      </c>
      <c r="B587" s="2">
        <f>IF(OR(Table1[[#This Row],[M score]]=1,AND(Table1[[#This Row],[F score]]=1,Table1[[#This Row],[Z score]]=1)),1,0)</f>
        <v>0</v>
      </c>
      <c r="C587" s="10">
        <v>0</v>
      </c>
      <c r="D587" s="10">
        <v>1</v>
      </c>
      <c r="E587" s="11">
        <v>0</v>
      </c>
      <c r="F587" s="12">
        <v>-0.61764705882352944</v>
      </c>
      <c r="G587" s="13">
        <v>27.156389683862852</v>
      </c>
      <c r="H587" s="14">
        <v>52.94</v>
      </c>
      <c r="I587" s="15">
        <v>1</v>
      </c>
      <c r="J587" s="15">
        <v>0</v>
      </c>
      <c r="K587" s="16">
        <v>1</v>
      </c>
      <c r="L587" s="36">
        <v>0.76</v>
      </c>
    </row>
    <row r="588" spans="1:12" x14ac:dyDescent="0.45">
      <c r="A588" s="1" t="s">
        <v>597</v>
      </c>
      <c r="B588" s="2">
        <f>IF(OR(Table1[[#This Row],[M score]]=1,AND(Table1[[#This Row],[F score]]=1,Table1[[#This Row],[Z score]]=1)),1,0)</f>
        <v>1</v>
      </c>
      <c r="C588" s="17">
        <v>1</v>
      </c>
      <c r="D588" s="17">
        <v>1</v>
      </c>
      <c r="E588" s="18">
        <v>0</v>
      </c>
      <c r="F588" s="19">
        <v>0.22877302080841905</v>
      </c>
      <c r="G588" s="6">
        <v>26.992331453515774</v>
      </c>
      <c r="H588" s="20">
        <v>73.16</v>
      </c>
      <c r="I588" s="21">
        <v>0</v>
      </c>
      <c r="J588" s="21">
        <v>0</v>
      </c>
      <c r="K588" s="22">
        <v>1</v>
      </c>
      <c r="L588" s="36">
        <v>33.9</v>
      </c>
    </row>
    <row r="589" spans="1:12" x14ac:dyDescent="0.45">
      <c r="A589" s="9" t="s">
        <v>598</v>
      </c>
      <c r="B589" s="2">
        <f>IF(OR(Table1[[#This Row],[M score]]=1,AND(Table1[[#This Row],[F score]]=1,Table1[[#This Row],[Z score]]=1)),1,0)</f>
        <v>0</v>
      </c>
      <c r="C589" s="10">
        <v>0</v>
      </c>
      <c r="D589" s="10">
        <v>1</v>
      </c>
      <c r="E589" s="11">
        <v>0</v>
      </c>
      <c r="F589" s="12">
        <v>-0.99537969434901075</v>
      </c>
      <c r="G589" s="13">
        <v>27.763838339294903</v>
      </c>
      <c r="H589" s="14">
        <v>24</v>
      </c>
      <c r="I589" s="15">
        <v>0</v>
      </c>
      <c r="J589" s="15">
        <v>0</v>
      </c>
      <c r="K589" s="16">
        <v>1</v>
      </c>
      <c r="L589" s="36">
        <v>0.04</v>
      </c>
    </row>
    <row r="590" spans="1:12" x14ac:dyDescent="0.45">
      <c r="A590" s="1" t="s">
        <v>599</v>
      </c>
      <c r="B590" s="2">
        <f>IF(OR(Table1[[#This Row],[M score]]=1,AND(Table1[[#This Row],[F score]]=1,Table1[[#This Row],[Z score]]=1)),1,0)</f>
        <v>0</v>
      </c>
      <c r="C590" s="17">
        <v>0</v>
      </c>
      <c r="D590" s="17">
        <v>1</v>
      </c>
      <c r="E590" s="18">
        <v>0</v>
      </c>
      <c r="F590" s="19">
        <v>6.3091482649842269E-3</v>
      </c>
      <c r="G590" s="6">
        <v>30.175386280584675</v>
      </c>
      <c r="H590" s="20">
        <v>16.760000000000002</v>
      </c>
      <c r="I590" s="21">
        <v>1</v>
      </c>
      <c r="J590" s="21">
        <v>1</v>
      </c>
      <c r="K590" s="22">
        <v>1</v>
      </c>
      <c r="L590" s="36">
        <v>20.27</v>
      </c>
    </row>
    <row r="591" spans="1:12" x14ac:dyDescent="0.45">
      <c r="A591" s="9" t="s">
        <v>600</v>
      </c>
      <c r="B591" s="2">
        <f>IF(OR(Table1[[#This Row],[M score]]=1,AND(Table1[[#This Row],[F score]]=1,Table1[[#This Row],[Z score]]=1)),1,0)</f>
        <v>0</v>
      </c>
      <c r="C591" s="10">
        <v>0</v>
      </c>
      <c r="D591" s="10">
        <v>1</v>
      </c>
      <c r="E591" s="11">
        <v>0</v>
      </c>
      <c r="F591" s="12">
        <v>-0.3506151142355009</v>
      </c>
      <c r="G591" s="13">
        <v>27.075616189458827</v>
      </c>
      <c r="H591" s="14">
        <v>58.42</v>
      </c>
      <c r="I591" s="15">
        <v>1</v>
      </c>
      <c r="J591" s="15">
        <v>0</v>
      </c>
      <c r="K591" s="16">
        <v>1</v>
      </c>
      <c r="L591" s="36">
        <v>72.56</v>
      </c>
    </row>
    <row r="592" spans="1:12" x14ac:dyDescent="0.45">
      <c r="A592" s="1" t="s">
        <v>601</v>
      </c>
      <c r="B592" s="2">
        <f>IF(OR(Table1[[#This Row],[M score]]=1,AND(Table1[[#This Row],[F score]]=1,Table1[[#This Row],[Z score]]=1)),1,0)</f>
        <v>0</v>
      </c>
      <c r="C592" s="17">
        <v>0</v>
      </c>
      <c r="D592" s="17">
        <v>0</v>
      </c>
      <c r="E592" s="18">
        <v>0</v>
      </c>
      <c r="F592" s="19">
        <v>0.12736077481840194</v>
      </c>
      <c r="G592" s="6">
        <v>27.599974737123421</v>
      </c>
      <c r="H592" s="20">
        <v>14.59</v>
      </c>
      <c r="I592" s="21">
        <v>1</v>
      </c>
      <c r="J592" s="21">
        <v>0</v>
      </c>
      <c r="K592" s="22">
        <v>1</v>
      </c>
      <c r="L592" s="36">
        <v>3.61</v>
      </c>
    </row>
    <row r="593" spans="1:12" x14ac:dyDescent="0.45">
      <c r="A593" s="9" t="s">
        <v>602</v>
      </c>
      <c r="B593" s="2">
        <f>IF(OR(Table1[[#This Row],[M score]]=1,AND(Table1[[#This Row],[F score]]=1,Table1[[#This Row],[Z score]]=1)),1,0)</f>
        <v>1</v>
      </c>
      <c r="C593" s="10">
        <v>0</v>
      </c>
      <c r="D593" s="10">
        <v>1</v>
      </c>
      <c r="E593" s="11">
        <v>1</v>
      </c>
      <c r="F593" s="12">
        <v>-0.17619493908153702</v>
      </c>
      <c r="G593" s="13">
        <v>27.319046350907723</v>
      </c>
      <c r="H593" s="14">
        <v>49.53</v>
      </c>
      <c r="I593" s="15">
        <v>1</v>
      </c>
      <c r="J593" s="15">
        <v>0</v>
      </c>
      <c r="K593" s="16">
        <v>1</v>
      </c>
      <c r="L593" s="36">
        <v>59.14</v>
      </c>
    </row>
    <row r="594" spans="1:12" x14ac:dyDescent="0.45">
      <c r="A594" s="1" t="s">
        <v>603</v>
      </c>
      <c r="B594" s="2">
        <f>IF(OR(Table1[[#This Row],[M score]]=1,AND(Table1[[#This Row],[F score]]=1,Table1[[#This Row],[Z score]]=1)),1,0)</f>
        <v>1</v>
      </c>
      <c r="C594" s="17">
        <v>0</v>
      </c>
      <c r="D594" s="17">
        <v>1</v>
      </c>
      <c r="E594" s="18">
        <v>1</v>
      </c>
      <c r="F594" s="19">
        <v>0.62427745664739887</v>
      </c>
      <c r="G594" s="6">
        <v>25.625870386828961</v>
      </c>
      <c r="H594" s="20">
        <v>20.77</v>
      </c>
      <c r="I594" s="21">
        <v>0</v>
      </c>
      <c r="J594" s="21">
        <v>0</v>
      </c>
      <c r="K594" s="22">
        <v>0</v>
      </c>
      <c r="L594" s="36">
        <v>-4.37</v>
      </c>
    </row>
    <row r="595" spans="1:12" x14ac:dyDescent="0.45">
      <c r="A595" s="9" t="s">
        <v>604</v>
      </c>
      <c r="B595" s="2">
        <f>IF(OR(Table1[[#This Row],[M score]]=1,AND(Table1[[#This Row],[F score]]=1,Table1[[#This Row],[Z score]]=1)),1,0)</f>
        <v>0</v>
      </c>
      <c r="C595" s="10">
        <v>0</v>
      </c>
      <c r="D595" s="10">
        <v>1</v>
      </c>
      <c r="E595" s="11">
        <v>0</v>
      </c>
      <c r="F595" s="12">
        <v>1</v>
      </c>
      <c r="G595" s="13">
        <v>29.710682707595609</v>
      </c>
      <c r="H595" s="14">
        <v>26.87</v>
      </c>
      <c r="I595" s="15">
        <v>0</v>
      </c>
      <c r="J595" s="15">
        <v>0</v>
      </c>
      <c r="K595" s="16">
        <v>0</v>
      </c>
      <c r="L595" s="36">
        <v>14.68</v>
      </c>
    </row>
    <row r="596" spans="1:12" x14ac:dyDescent="0.45">
      <c r="A596" s="1" t="s">
        <v>605</v>
      </c>
      <c r="B596" s="2">
        <f>IF(OR(Table1[[#This Row],[M score]]=1,AND(Table1[[#This Row],[F score]]=1,Table1[[#This Row],[Z score]]=1)),1,0)</f>
        <v>0</v>
      </c>
      <c r="C596" s="17">
        <v>0</v>
      </c>
      <c r="D596" s="17">
        <v>0</v>
      </c>
      <c r="E596" s="18">
        <v>0</v>
      </c>
      <c r="F596" s="19">
        <v>-0.38523546881629189</v>
      </c>
      <c r="G596" s="6">
        <v>30.542498811051257</v>
      </c>
      <c r="H596" s="20">
        <v>7.25</v>
      </c>
      <c r="I596" s="21">
        <v>1</v>
      </c>
      <c r="J596" s="21">
        <v>1</v>
      </c>
      <c r="K596" s="22">
        <v>1</v>
      </c>
      <c r="L596" s="36">
        <v>-0.1</v>
      </c>
    </row>
    <row r="597" spans="1:12" x14ac:dyDescent="0.45">
      <c r="A597" s="9" t="s">
        <v>606</v>
      </c>
      <c r="B597" s="2">
        <f>IF(OR(Table1[[#This Row],[M score]]=1,AND(Table1[[#This Row],[F score]]=1,Table1[[#This Row],[Z score]]=1)),1,0)</f>
        <v>1</v>
      </c>
      <c r="C597" s="10">
        <v>0</v>
      </c>
      <c r="D597" s="10">
        <v>0</v>
      </c>
      <c r="E597" s="11">
        <v>1</v>
      </c>
      <c r="F597" s="12">
        <v>0.16480938416422286</v>
      </c>
      <c r="G597" s="13">
        <v>27.426576642046822</v>
      </c>
      <c r="H597" s="14">
        <v>17.84</v>
      </c>
      <c r="I597" s="15">
        <v>0</v>
      </c>
      <c r="J597" s="15">
        <v>0</v>
      </c>
      <c r="K597" s="16">
        <v>1</v>
      </c>
      <c r="L597" s="36">
        <v>3.1</v>
      </c>
    </row>
    <row r="598" spans="1:12" x14ac:dyDescent="0.45">
      <c r="A598" s="1" t="s">
        <v>607</v>
      </c>
      <c r="B598" s="2">
        <f>IF(OR(Table1[[#This Row],[M score]]=1,AND(Table1[[#This Row],[F score]]=1,Table1[[#This Row],[Z score]]=1)),1,0)</f>
        <v>1</v>
      </c>
      <c r="C598" s="17">
        <v>0</v>
      </c>
      <c r="D598" s="17">
        <v>0</v>
      </c>
      <c r="E598" s="18">
        <v>1</v>
      </c>
      <c r="F598" s="19">
        <v>9.4694178334561535E-2</v>
      </c>
      <c r="G598" s="6">
        <v>27.135904785867737</v>
      </c>
      <c r="H598" s="20">
        <v>13.38</v>
      </c>
      <c r="I598" s="21">
        <v>0</v>
      </c>
      <c r="J598" s="21">
        <v>0</v>
      </c>
      <c r="K598" s="22">
        <v>1</v>
      </c>
      <c r="L598" s="36">
        <v>4.74</v>
      </c>
    </row>
    <row r="599" spans="1:12" x14ac:dyDescent="0.45">
      <c r="A599" s="9" t="s">
        <v>608</v>
      </c>
      <c r="B599" s="2">
        <f>IF(OR(Table1[[#This Row],[M score]]=1,AND(Table1[[#This Row],[F score]]=1,Table1[[#This Row],[Z score]]=1)),1,0)</f>
        <v>1</v>
      </c>
      <c r="C599" s="10">
        <v>0</v>
      </c>
      <c r="D599" s="10">
        <v>0</v>
      </c>
      <c r="E599" s="11">
        <v>1</v>
      </c>
      <c r="F599" s="12">
        <v>-0.28905755850727388</v>
      </c>
      <c r="G599" s="13">
        <v>28.09180480655413</v>
      </c>
      <c r="H599" s="14">
        <v>13.19</v>
      </c>
      <c r="I599" s="15">
        <v>1</v>
      </c>
      <c r="J599" s="15">
        <v>0</v>
      </c>
      <c r="K599" s="16">
        <v>1</v>
      </c>
      <c r="L599" s="36">
        <v>11.11</v>
      </c>
    </row>
    <row r="600" spans="1:12" x14ac:dyDescent="0.45">
      <c r="A600" s="1" t="s">
        <v>609</v>
      </c>
      <c r="B600" s="2">
        <f>IF(OR(Table1[[#This Row],[M score]]=1,AND(Table1[[#This Row],[F score]]=1,Table1[[#This Row],[Z score]]=1)),1,0)</f>
        <v>0</v>
      </c>
      <c r="C600" s="17">
        <v>0</v>
      </c>
      <c r="D600" s="17">
        <v>1</v>
      </c>
      <c r="E600" s="18">
        <v>0</v>
      </c>
      <c r="F600" s="19">
        <v>7.8247261345852897E-3</v>
      </c>
      <c r="G600" s="6">
        <v>25.876552263800779</v>
      </c>
      <c r="H600" s="20">
        <v>37.520000000000003</v>
      </c>
      <c r="I600" s="21">
        <v>1</v>
      </c>
      <c r="J600" s="21">
        <v>0</v>
      </c>
      <c r="K600" s="22">
        <v>1</v>
      </c>
      <c r="L600" s="36">
        <v>0.88</v>
      </c>
    </row>
    <row r="601" spans="1:12" x14ac:dyDescent="0.45">
      <c r="A601" s="9" t="s">
        <v>610</v>
      </c>
      <c r="B601" s="2">
        <f>IF(OR(Table1[[#This Row],[M score]]=1,AND(Table1[[#This Row],[F score]]=1,Table1[[#This Row],[Z score]]=1)),1,0)</f>
        <v>0</v>
      </c>
      <c r="C601" s="10">
        <v>0</v>
      </c>
      <c r="D601" s="10">
        <v>0</v>
      </c>
      <c r="E601" s="11">
        <v>0</v>
      </c>
      <c r="F601" s="12">
        <v>-9.3629827787995324E-3</v>
      </c>
      <c r="G601" s="13">
        <v>27.804460780908343</v>
      </c>
      <c r="H601" s="14">
        <v>12.84</v>
      </c>
      <c r="I601" s="15">
        <v>1</v>
      </c>
      <c r="J601" s="15">
        <v>1</v>
      </c>
      <c r="K601" s="16">
        <v>1</v>
      </c>
      <c r="L601" s="36">
        <v>4.76</v>
      </c>
    </row>
    <row r="602" spans="1:12" x14ac:dyDescent="0.45">
      <c r="A602" s="1" t="s">
        <v>611</v>
      </c>
      <c r="B602" s="2">
        <f>IF(OR(Table1[[#This Row],[M score]]=1,AND(Table1[[#This Row],[F score]]=1,Table1[[#This Row],[Z score]]=1)),1,0)</f>
        <v>1</v>
      </c>
      <c r="C602" s="17">
        <v>1</v>
      </c>
      <c r="D602" s="17">
        <v>1</v>
      </c>
      <c r="E602" s="18">
        <v>0</v>
      </c>
      <c r="F602" s="19">
        <v>4.7304785894206551</v>
      </c>
      <c r="G602" s="6">
        <v>27.598425511012373</v>
      </c>
      <c r="H602" s="20">
        <v>46.01</v>
      </c>
      <c r="I602" s="21">
        <v>1</v>
      </c>
      <c r="J602" s="21">
        <v>0</v>
      </c>
      <c r="K602" s="22">
        <v>1</v>
      </c>
      <c r="L602" s="36">
        <v>22.85</v>
      </c>
    </row>
    <row r="603" spans="1:12" x14ac:dyDescent="0.45">
      <c r="A603" s="9" t="s">
        <v>612</v>
      </c>
      <c r="B603" s="2">
        <f>IF(OR(Table1[[#This Row],[M score]]=1,AND(Table1[[#This Row],[F score]]=1,Table1[[#This Row],[Z score]]=1)),1,0)</f>
        <v>0</v>
      </c>
      <c r="C603" s="10">
        <v>0</v>
      </c>
      <c r="D603" s="10">
        <v>1</v>
      </c>
      <c r="E603" s="11">
        <v>0</v>
      </c>
      <c r="F603" s="12">
        <v>-5.8173515981735155</v>
      </c>
      <c r="G603" s="13">
        <v>25.113968348374996</v>
      </c>
      <c r="H603" s="14">
        <v>9.6199999999999992</v>
      </c>
      <c r="I603" s="15">
        <v>1</v>
      </c>
      <c r="J603" s="15">
        <v>0</v>
      </c>
      <c r="K603" s="16">
        <v>1</v>
      </c>
      <c r="L603" s="36">
        <v>-16.02</v>
      </c>
    </row>
    <row r="604" spans="1:12" x14ac:dyDescent="0.45">
      <c r="A604" s="1" t="s">
        <v>613</v>
      </c>
      <c r="B604" s="2">
        <f>IF(OR(Table1[[#This Row],[M score]]=1,AND(Table1[[#This Row],[F score]]=1,Table1[[#This Row],[Z score]]=1)),1,0)</f>
        <v>0</v>
      </c>
      <c r="C604" s="17">
        <v>0</v>
      </c>
      <c r="D604" s="17">
        <v>1</v>
      </c>
      <c r="E604" s="18">
        <v>0</v>
      </c>
      <c r="F604" s="19">
        <v>0.32594321275768184</v>
      </c>
      <c r="G604" s="6">
        <v>30.055359486062866</v>
      </c>
      <c r="H604" s="20">
        <v>18.38</v>
      </c>
      <c r="I604" s="21">
        <v>0</v>
      </c>
      <c r="J604" s="21">
        <v>0</v>
      </c>
      <c r="K604" s="22">
        <v>1</v>
      </c>
      <c r="L604" s="36">
        <v>-58.33</v>
      </c>
    </row>
    <row r="605" spans="1:12" x14ac:dyDescent="0.45">
      <c r="A605" s="9" t="s">
        <v>614</v>
      </c>
      <c r="B605" s="2">
        <f>IF(OR(Table1[[#This Row],[M score]]=1,AND(Table1[[#This Row],[F score]]=1,Table1[[#This Row],[Z score]]=1)),1,0)</f>
        <v>1</v>
      </c>
      <c r="C605" s="10">
        <v>1</v>
      </c>
      <c r="D605" s="10">
        <v>1</v>
      </c>
      <c r="E605" s="11">
        <v>0</v>
      </c>
      <c r="F605" s="12">
        <v>0.10126098586167367</v>
      </c>
      <c r="G605" s="13">
        <v>26.840715248126639</v>
      </c>
      <c r="H605" s="14">
        <v>24.9</v>
      </c>
      <c r="I605" s="15">
        <v>0</v>
      </c>
      <c r="J605" s="15">
        <v>0</v>
      </c>
      <c r="K605" s="16">
        <v>1</v>
      </c>
      <c r="L605" s="36">
        <v>50.1</v>
      </c>
    </row>
    <row r="606" spans="1:12" x14ac:dyDescent="0.45">
      <c r="A606" s="1" t="s">
        <v>615</v>
      </c>
      <c r="B606" s="2">
        <f>IF(OR(Table1[[#This Row],[M score]]=1,AND(Table1[[#This Row],[F score]]=1,Table1[[#This Row],[Z score]]=1)),1,0)</f>
        <v>0</v>
      </c>
      <c r="C606" s="17">
        <v>0</v>
      </c>
      <c r="D606" s="17">
        <v>1</v>
      </c>
      <c r="E606" s="18">
        <v>0</v>
      </c>
      <c r="F606" s="19">
        <v>0.44649122807017544</v>
      </c>
      <c r="G606" s="6">
        <v>26.071046353539028</v>
      </c>
      <c r="H606" s="20">
        <v>65.63</v>
      </c>
      <c r="I606" s="21">
        <v>0</v>
      </c>
      <c r="J606" s="21">
        <v>1</v>
      </c>
      <c r="K606" s="22">
        <v>1</v>
      </c>
      <c r="L606" s="36">
        <v>9.25</v>
      </c>
    </row>
    <row r="607" spans="1:12" x14ac:dyDescent="0.45">
      <c r="A607" s="9" t="s">
        <v>616</v>
      </c>
      <c r="B607" s="2">
        <f>IF(OR(Table1[[#This Row],[M score]]=1,AND(Table1[[#This Row],[F score]]=1,Table1[[#This Row],[Z score]]=1)),1,0)</f>
        <v>0</v>
      </c>
      <c r="C607" s="10">
        <v>0</v>
      </c>
      <c r="D607" s="10">
        <v>0</v>
      </c>
      <c r="E607" s="11">
        <v>0</v>
      </c>
      <c r="F607" s="12">
        <v>-1.4481111593573599</v>
      </c>
      <c r="G607" s="13">
        <v>25.131617896787841</v>
      </c>
      <c r="H607" s="14">
        <v>26.62</v>
      </c>
      <c r="I607" s="15">
        <v>1</v>
      </c>
      <c r="J607" s="15">
        <v>0</v>
      </c>
      <c r="K607" s="16">
        <v>1</v>
      </c>
      <c r="L607" s="36">
        <v>21.54</v>
      </c>
    </row>
    <row r="608" spans="1:12" x14ac:dyDescent="0.45">
      <c r="A608" s="1" t="s">
        <v>617</v>
      </c>
      <c r="B608" s="2">
        <f>IF(OR(Table1[[#This Row],[M score]]=1,AND(Table1[[#This Row],[F score]]=1,Table1[[#This Row],[Z score]]=1)),1,0)</f>
        <v>0</v>
      </c>
      <c r="C608" s="17">
        <v>0</v>
      </c>
      <c r="D608" s="17">
        <v>0</v>
      </c>
      <c r="E608" s="18">
        <v>0</v>
      </c>
      <c r="F608" s="19">
        <v>-0.10201149425287356</v>
      </c>
      <c r="G608" s="6">
        <v>25.287614028414247</v>
      </c>
      <c r="H608" s="20">
        <v>55.18</v>
      </c>
      <c r="I608" s="21">
        <v>0</v>
      </c>
      <c r="J608" s="21">
        <v>0</v>
      </c>
      <c r="K608" s="22">
        <v>0</v>
      </c>
      <c r="L608" s="36">
        <v>5.68</v>
      </c>
    </row>
    <row r="609" spans="1:12" x14ac:dyDescent="0.45">
      <c r="A609" s="9" t="s">
        <v>618</v>
      </c>
      <c r="B609" s="2">
        <f>IF(OR(Table1[[#This Row],[M score]]=1,AND(Table1[[#This Row],[F score]]=1,Table1[[#This Row],[Z score]]=1)),1,0)</f>
        <v>1</v>
      </c>
      <c r="C609" s="10">
        <v>0</v>
      </c>
      <c r="D609" s="10">
        <v>0</v>
      </c>
      <c r="E609" s="11">
        <v>1</v>
      </c>
      <c r="F609" s="12">
        <v>0.14029850746268657</v>
      </c>
      <c r="G609" s="13">
        <v>25.658293573534188</v>
      </c>
      <c r="H609" s="14">
        <v>7.68</v>
      </c>
      <c r="I609" s="15">
        <v>1</v>
      </c>
      <c r="J609" s="15">
        <v>0</v>
      </c>
      <c r="K609" s="16">
        <v>1</v>
      </c>
      <c r="L609" s="36">
        <v>-0.2</v>
      </c>
    </row>
    <row r="610" spans="1:12" x14ac:dyDescent="0.45">
      <c r="A610" s="1" t="s">
        <v>619</v>
      </c>
      <c r="B610" s="2">
        <f>IF(OR(Table1[[#This Row],[M score]]=1,AND(Table1[[#This Row],[F score]]=1,Table1[[#This Row],[Z score]]=1)),1,0)</f>
        <v>0</v>
      </c>
      <c r="C610" s="17">
        <v>0</v>
      </c>
      <c r="D610" s="17">
        <v>1</v>
      </c>
      <c r="E610" s="18">
        <v>0</v>
      </c>
      <c r="F610" s="19">
        <v>-0.96165191740412981</v>
      </c>
      <c r="G610" s="6">
        <v>25.482357503354727</v>
      </c>
      <c r="H610" s="20">
        <v>6.14</v>
      </c>
      <c r="I610" s="21">
        <v>1</v>
      </c>
      <c r="J610" s="21">
        <v>0</v>
      </c>
      <c r="K610" s="22">
        <v>0</v>
      </c>
      <c r="L610" s="36">
        <v>0.16</v>
      </c>
    </row>
    <row r="611" spans="1:12" x14ac:dyDescent="0.45">
      <c r="A611" s="9" t="s">
        <v>620</v>
      </c>
      <c r="B611" s="2">
        <f>IF(OR(Table1[[#This Row],[M score]]=1,AND(Table1[[#This Row],[F score]]=1,Table1[[#This Row],[Z score]]=1)),1,0)</f>
        <v>0</v>
      </c>
      <c r="C611" s="10">
        <v>0</v>
      </c>
      <c r="D611" s="10">
        <v>0</v>
      </c>
      <c r="E611" s="11">
        <v>0</v>
      </c>
      <c r="F611" s="12">
        <v>-0.83768276883213033</v>
      </c>
      <c r="G611" s="13">
        <v>28.003188714442601</v>
      </c>
      <c r="H611" s="14">
        <v>35.31</v>
      </c>
      <c r="I611" s="15">
        <v>1</v>
      </c>
      <c r="J611" s="15">
        <v>1</v>
      </c>
      <c r="K611" s="16">
        <v>1</v>
      </c>
      <c r="L611" s="36">
        <v>-1.34</v>
      </c>
    </row>
    <row r="612" spans="1:12" x14ac:dyDescent="0.45">
      <c r="A612" s="1" t="s">
        <v>621</v>
      </c>
      <c r="B612" s="2">
        <f>IF(OR(Table1[[#This Row],[M score]]=1,AND(Table1[[#This Row],[F score]]=1,Table1[[#This Row],[Z score]]=1)),1,0)</f>
        <v>1</v>
      </c>
      <c r="C612" s="17">
        <v>0</v>
      </c>
      <c r="D612" s="17">
        <v>1</v>
      </c>
      <c r="E612" s="18">
        <v>1</v>
      </c>
      <c r="F612" s="19">
        <v>9.0384615384615383</v>
      </c>
      <c r="G612" s="6">
        <v>26.37394526692022</v>
      </c>
      <c r="H612" s="20">
        <v>32.5</v>
      </c>
      <c r="I612" s="21">
        <v>1</v>
      </c>
      <c r="J612" s="21">
        <v>0</v>
      </c>
      <c r="K612" s="22">
        <v>0</v>
      </c>
      <c r="L612" s="36">
        <v>8.91</v>
      </c>
    </row>
    <row r="613" spans="1:12" x14ac:dyDescent="0.45">
      <c r="A613" s="9" t="s">
        <v>622</v>
      </c>
      <c r="B613" s="2">
        <f>IF(OR(Table1[[#This Row],[M score]]=1,AND(Table1[[#This Row],[F score]]=1,Table1[[#This Row],[Z score]]=1)),1,0)</f>
        <v>1</v>
      </c>
      <c r="C613" s="10">
        <v>0</v>
      </c>
      <c r="D613" s="10">
        <v>0</v>
      </c>
      <c r="E613" s="11">
        <v>1</v>
      </c>
      <c r="F613" s="12">
        <v>-1.5104895104895104</v>
      </c>
      <c r="G613" s="13">
        <v>31.004333294101169</v>
      </c>
      <c r="H613" s="14">
        <v>34.06</v>
      </c>
      <c r="I613" s="15">
        <v>0</v>
      </c>
      <c r="J613" s="15">
        <v>1</v>
      </c>
      <c r="K613" s="16">
        <v>1</v>
      </c>
      <c r="L613" s="36">
        <v>-6.5</v>
      </c>
    </row>
    <row r="614" spans="1:12" x14ac:dyDescent="0.45">
      <c r="A614" s="1" t="s">
        <v>623</v>
      </c>
      <c r="B614" s="2">
        <f>IF(OR(Table1[[#This Row],[M score]]=1,AND(Table1[[#This Row],[F score]]=1,Table1[[#This Row],[Z score]]=1)),1,0)</f>
        <v>0</v>
      </c>
      <c r="C614" s="17">
        <v>0</v>
      </c>
      <c r="D614" s="17">
        <v>0</v>
      </c>
      <c r="E614" s="18">
        <v>0</v>
      </c>
      <c r="F614" s="19">
        <v>-3.0836956521739132</v>
      </c>
      <c r="G614" s="6">
        <v>24.026891678856082</v>
      </c>
      <c r="H614" s="20">
        <v>34.58</v>
      </c>
      <c r="I614" s="21">
        <v>1</v>
      </c>
      <c r="J614" s="21">
        <v>0</v>
      </c>
      <c r="K614" s="22">
        <v>1</v>
      </c>
      <c r="L614" s="36">
        <v>-14.78</v>
      </c>
    </row>
    <row r="615" spans="1:12" x14ac:dyDescent="0.45">
      <c r="A615" s="9" t="s">
        <v>624</v>
      </c>
      <c r="B615" s="2">
        <f>IF(OR(Table1[[#This Row],[M score]]=1,AND(Table1[[#This Row],[F score]]=1,Table1[[#This Row],[Z score]]=1)),1,0)</f>
        <v>0</v>
      </c>
      <c r="C615" s="10">
        <v>0</v>
      </c>
      <c r="D615" s="10">
        <v>0</v>
      </c>
      <c r="E615" s="11">
        <v>0</v>
      </c>
      <c r="F615" s="12">
        <v>0.52551020408163263</v>
      </c>
      <c r="G615" s="13">
        <v>28.971809505675402</v>
      </c>
      <c r="H615" s="14">
        <v>12.07</v>
      </c>
      <c r="I615" s="15">
        <v>1</v>
      </c>
      <c r="J615" s="15">
        <v>1</v>
      </c>
      <c r="K615" s="16">
        <v>1</v>
      </c>
      <c r="L615" s="36">
        <v>11.94</v>
      </c>
    </row>
    <row r="616" spans="1:12" x14ac:dyDescent="0.45">
      <c r="A616" s="1" t="s">
        <v>625</v>
      </c>
      <c r="B616" s="2">
        <f>IF(OR(Table1[[#This Row],[M score]]=1,AND(Table1[[#This Row],[F score]]=1,Table1[[#This Row],[Z score]]=1)),1,0)</f>
        <v>1</v>
      </c>
      <c r="C616" s="17">
        <v>0</v>
      </c>
      <c r="D616" s="17">
        <v>1</v>
      </c>
      <c r="E616" s="18">
        <v>1</v>
      </c>
      <c r="F616" s="19">
        <v>28.439393939393938</v>
      </c>
      <c r="G616" s="6">
        <v>26.742953342998135</v>
      </c>
      <c r="H616" s="20">
        <v>42.48</v>
      </c>
      <c r="I616" s="21">
        <v>0</v>
      </c>
      <c r="J616" s="21">
        <v>0</v>
      </c>
      <c r="K616" s="22">
        <v>1</v>
      </c>
      <c r="L616" s="36">
        <v>123.22</v>
      </c>
    </row>
    <row r="617" spans="1:12" x14ac:dyDescent="0.45">
      <c r="A617" s="9" t="s">
        <v>626</v>
      </c>
      <c r="B617" s="2">
        <f>IF(OR(Table1[[#This Row],[M score]]=1,AND(Table1[[#This Row],[F score]]=1,Table1[[#This Row],[Z score]]=1)),1,0)</f>
        <v>0</v>
      </c>
      <c r="C617" s="10">
        <v>0</v>
      </c>
      <c r="D617" s="10">
        <v>1</v>
      </c>
      <c r="E617" s="11">
        <v>0</v>
      </c>
      <c r="F617" s="12">
        <v>2.8217054263565893</v>
      </c>
      <c r="G617" s="13">
        <v>28.409848011647455</v>
      </c>
      <c r="H617" s="14">
        <v>47.42</v>
      </c>
      <c r="I617" s="15">
        <v>1</v>
      </c>
      <c r="J617" s="15">
        <v>1</v>
      </c>
      <c r="K617" s="16">
        <v>1</v>
      </c>
      <c r="L617" s="36">
        <v>2.93</v>
      </c>
    </row>
    <row r="618" spans="1:12" x14ac:dyDescent="0.45">
      <c r="A618" s="1" t="s">
        <v>627</v>
      </c>
      <c r="B618" s="2">
        <f>IF(OR(Table1[[#This Row],[M score]]=1,AND(Table1[[#This Row],[F score]]=1,Table1[[#This Row],[Z score]]=1)),1,0)</f>
        <v>0</v>
      </c>
      <c r="C618" s="17">
        <v>0</v>
      </c>
      <c r="D618" s="17">
        <v>0</v>
      </c>
      <c r="E618" s="18">
        <v>0</v>
      </c>
      <c r="F618" s="19">
        <v>3.3011968085106385</v>
      </c>
      <c r="G618" s="6">
        <v>28.370031258220969</v>
      </c>
      <c r="H618" s="20">
        <v>41.8</v>
      </c>
      <c r="I618" s="21">
        <v>1</v>
      </c>
      <c r="J618" s="21">
        <v>0</v>
      </c>
      <c r="K618" s="22">
        <v>1</v>
      </c>
      <c r="L618" s="36">
        <v>20.96</v>
      </c>
    </row>
    <row r="619" spans="1:12" x14ac:dyDescent="0.45">
      <c r="A619" s="9" t="s">
        <v>628</v>
      </c>
      <c r="B619" s="2">
        <f>IF(OR(Table1[[#This Row],[M score]]=1,AND(Table1[[#This Row],[F score]]=1,Table1[[#This Row],[Z score]]=1)),1,0)</f>
        <v>0</v>
      </c>
      <c r="C619" s="10">
        <v>0</v>
      </c>
      <c r="D619" s="10">
        <v>0</v>
      </c>
      <c r="E619" s="11">
        <v>0</v>
      </c>
      <c r="F619" s="12">
        <v>-0.8434959349593496</v>
      </c>
      <c r="G619" s="13">
        <v>25.534199740911539</v>
      </c>
      <c r="H619" s="14">
        <v>15.02</v>
      </c>
      <c r="I619" s="15">
        <v>1</v>
      </c>
      <c r="J619" s="15">
        <v>0</v>
      </c>
      <c r="K619" s="16">
        <v>1</v>
      </c>
      <c r="L619" s="36">
        <v>0.82</v>
      </c>
    </row>
    <row r="620" spans="1:12" x14ac:dyDescent="0.45">
      <c r="A620" s="1" t="s">
        <v>629</v>
      </c>
      <c r="B620" s="2">
        <f>IF(OR(Table1[[#This Row],[M score]]=1,AND(Table1[[#This Row],[F score]]=1,Table1[[#This Row],[Z score]]=1)),1,0)</f>
        <v>0</v>
      </c>
      <c r="C620" s="17">
        <v>0</v>
      </c>
      <c r="D620" s="17">
        <v>0</v>
      </c>
      <c r="E620" s="18">
        <v>0</v>
      </c>
      <c r="F620" s="19">
        <v>-0.83333333333333337</v>
      </c>
      <c r="G620" s="6">
        <v>26.04846853227583</v>
      </c>
      <c r="H620" s="20">
        <v>16.28</v>
      </c>
      <c r="I620" s="21">
        <v>0</v>
      </c>
      <c r="J620" s="21">
        <v>0</v>
      </c>
      <c r="K620" s="22">
        <v>0</v>
      </c>
      <c r="L620" s="36">
        <v>0.22</v>
      </c>
    </row>
    <row r="621" spans="1:12" x14ac:dyDescent="0.45">
      <c r="A621" s="9" t="s">
        <v>630</v>
      </c>
      <c r="B621" s="2">
        <f>IF(OR(Table1[[#This Row],[M score]]=1,AND(Table1[[#This Row],[F score]]=1,Table1[[#This Row],[Z score]]=1)),1,0)</f>
        <v>1</v>
      </c>
      <c r="C621" s="10">
        <v>0</v>
      </c>
      <c r="D621" s="10">
        <v>0</v>
      </c>
      <c r="E621" s="11">
        <v>1</v>
      </c>
      <c r="F621" s="12">
        <v>-0.64058803649881713</v>
      </c>
      <c r="G621" s="13">
        <v>26.886159855621205</v>
      </c>
      <c r="H621" s="14">
        <v>17.649999999999999</v>
      </c>
      <c r="I621" s="15">
        <v>0</v>
      </c>
      <c r="J621" s="15">
        <v>1</v>
      </c>
      <c r="K621" s="16">
        <v>1</v>
      </c>
      <c r="L621" s="36">
        <v>3.13</v>
      </c>
    </row>
    <row r="622" spans="1:12" x14ac:dyDescent="0.45">
      <c r="A622" s="1" t="s">
        <v>631</v>
      </c>
      <c r="B622" s="2">
        <f>IF(OR(Table1[[#This Row],[M score]]=1,AND(Table1[[#This Row],[F score]]=1,Table1[[#This Row],[Z score]]=1)),1,0)</f>
        <v>0</v>
      </c>
      <c r="C622" s="17">
        <v>0</v>
      </c>
      <c r="D622" s="17">
        <v>0</v>
      </c>
      <c r="E622" s="18">
        <v>0</v>
      </c>
      <c r="F622" s="19">
        <v>0.1343612334801762</v>
      </c>
      <c r="G622" s="6">
        <v>28.410689970259739</v>
      </c>
      <c r="H622" s="20">
        <v>2.79</v>
      </c>
      <c r="I622" s="21">
        <v>0</v>
      </c>
      <c r="J622" s="21">
        <v>1</v>
      </c>
      <c r="K622" s="22">
        <v>1</v>
      </c>
      <c r="L622" s="36">
        <v>3.64</v>
      </c>
    </row>
    <row r="623" spans="1:12" x14ac:dyDescent="0.45">
      <c r="A623" s="9" t="s">
        <v>632</v>
      </c>
      <c r="B623" s="2">
        <f>IF(OR(Table1[[#This Row],[M score]]=1,AND(Table1[[#This Row],[F score]]=1,Table1[[#This Row],[Z score]]=1)),1,0)</f>
        <v>0</v>
      </c>
      <c r="C623" s="10">
        <v>0</v>
      </c>
      <c r="D623" s="10">
        <v>1</v>
      </c>
      <c r="E623" s="11">
        <v>0</v>
      </c>
      <c r="F623" s="12">
        <v>2.5781845919145691E-2</v>
      </c>
      <c r="G623" s="13">
        <v>27.748804151584931</v>
      </c>
      <c r="H623" s="14">
        <v>6.14</v>
      </c>
      <c r="I623" s="15">
        <v>1</v>
      </c>
      <c r="J623" s="15">
        <v>0</v>
      </c>
      <c r="K623" s="16">
        <v>1</v>
      </c>
      <c r="L623" s="36">
        <v>14.95</v>
      </c>
    </row>
    <row r="624" spans="1:12" x14ac:dyDescent="0.45">
      <c r="A624" s="1" t="s">
        <v>633</v>
      </c>
      <c r="B624" s="2">
        <f>IF(OR(Table1[[#This Row],[M score]]=1,AND(Table1[[#This Row],[F score]]=1,Table1[[#This Row],[Z score]]=1)),1,0)</f>
        <v>0</v>
      </c>
      <c r="C624" s="17">
        <v>0</v>
      </c>
      <c r="D624" s="17">
        <v>1</v>
      </c>
      <c r="E624" s="18">
        <v>0</v>
      </c>
      <c r="F624" s="19">
        <v>3.5656401944894653E-2</v>
      </c>
      <c r="G624" s="6">
        <v>29.288599058659894</v>
      </c>
      <c r="H624" s="20">
        <v>30.31</v>
      </c>
      <c r="I624" s="21">
        <v>1</v>
      </c>
      <c r="J624" s="21">
        <v>0</v>
      </c>
      <c r="K624" s="22">
        <v>1</v>
      </c>
      <c r="L624" s="36">
        <v>3.13</v>
      </c>
    </row>
    <row r="625" spans="1:12" x14ac:dyDescent="0.45">
      <c r="A625" s="9" t="s">
        <v>634</v>
      </c>
      <c r="B625" s="2">
        <f>IF(OR(Table1[[#This Row],[M score]]=1,AND(Table1[[#This Row],[F score]]=1,Table1[[#This Row],[Z score]]=1)),1,0)</f>
        <v>0</v>
      </c>
      <c r="C625" s="10">
        <v>0</v>
      </c>
      <c r="D625" s="10">
        <v>0</v>
      </c>
      <c r="E625" s="11">
        <v>0</v>
      </c>
      <c r="F625" s="12">
        <v>-0.52894995093228658</v>
      </c>
      <c r="G625" s="13">
        <v>26.427048311602611</v>
      </c>
      <c r="H625" s="14">
        <v>7.17</v>
      </c>
      <c r="I625" s="15">
        <v>0</v>
      </c>
      <c r="J625" s="15">
        <v>0</v>
      </c>
      <c r="K625" s="16">
        <v>1</v>
      </c>
      <c r="L625" s="36">
        <v>-3.92</v>
      </c>
    </row>
    <row r="626" spans="1:12" x14ac:dyDescent="0.45">
      <c r="A626" s="1" t="s">
        <v>635</v>
      </c>
      <c r="B626" s="2">
        <f>IF(OR(Table1[[#This Row],[M score]]=1,AND(Table1[[#This Row],[F score]]=1,Table1[[#This Row],[Z score]]=1)),1,0)</f>
        <v>0</v>
      </c>
      <c r="C626" s="17">
        <v>0</v>
      </c>
      <c r="D626" s="17">
        <v>1</v>
      </c>
      <c r="E626" s="18">
        <v>0</v>
      </c>
      <c r="F626" s="19">
        <v>0.34544979079497906</v>
      </c>
      <c r="G626" s="6">
        <v>27.881930313225581</v>
      </c>
      <c r="H626" s="20">
        <v>10.33</v>
      </c>
      <c r="I626" s="21">
        <v>1</v>
      </c>
      <c r="J626" s="21">
        <v>0</v>
      </c>
      <c r="K626" s="22">
        <v>1</v>
      </c>
      <c r="L626" s="36">
        <v>8.31</v>
      </c>
    </row>
    <row r="627" spans="1:12" x14ac:dyDescent="0.45">
      <c r="A627" s="9" t="s">
        <v>636</v>
      </c>
      <c r="B627" s="2">
        <f>IF(OR(Table1[[#This Row],[M score]]=1,AND(Table1[[#This Row],[F score]]=1,Table1[[#This Row],[Z score]]=1)),1,0)</f>
        <v>0</v>
      </c>
      <c r="C627" s="10">
        <v>0</v>
      </c>
      <c r="D627" s="10">
        <v>1</v>
      </c>
      <c r="E627" s="11">
        <v>0</v>
      </c>
      <c r="F627" s="12">
        <v>-2.4782010096374485E-2</v>
      </c>
      <c r="G627" s="13">
        <v>25.752156025924602</v>
      </c>
      <c r="H627" s="14">
        <v>11.19</v>
      </c>
      <c r="I627" s="15">
        <v>1</v>
      </c>
      <c r="J627" s="15">
        <v>0</v>
      </c>
      <c r="K627" s="16">
        <v>1</v>
      </c>
      <c r="L627" s="36">
        <v>1.65</v>
      </c>
    </row>
    <row r="628" spans="1:12" x14ac:dyDescent="0.45">
      <c r="A628" s="1" t="s">
        <v>637</v>
      </c>
      <c r="B628" s="2">
        <f>IF(OR(Table1[[#This Row],[M score]]=1,AND(Table1[[#This Row],[F score]]=1,Table1[[#This Row],[Z score]]=1)),1,0)</f>
        <v>0</v>
      </c>
      <c r="C628" s="17">
        <v>0</v>
      </c>
      <c r="D628" s="17">
        <v>0</v>
      </c>
      <c r="E628" s="18">
        <v>0</v>
      </c>
      <c r="F628" s="19">
        <v>-8.5344057193923142E-2</v>
      </c>
      <c r="G628" s="6">
        <v>30.552891540884083</v>
      </c>
      <c r="H628" s="20">
        <v>28.26</v>
      </c>
      <c r="I628" s="21">
        <v>1</v>
      </c>
      <c r="J628" s="21">
        <v>1</v>
      </c>
      <c r="K628" s="22">
        <v>1</v>
      </c>
      <c r="L628" s="36">
        <v>31.52</v>
      </c>
    </row>
    <row r="629" spans="1:12" x14ac:dyDescent="0.45">
      <c r="A629" s="9" t="s">
        <v>638</v>
      </c>
      <c r="B629" s="2">
        <f>IF(OR(Table1[[#This Row],[M score]]=1,AND(Table1[[#This Row],[F score]]=1,Table1[[#This Row],[Z score]]=1)),1,0)</f>
        <v>0</v>
      </c>
      <c r="C629" s="10">
        <v>0</v>
      </c>
      <c r="D629" s="10">
        <v>1</v>
      </c>
      <c r="E629" s="11">
        <v>0</v>
      </c>
      <c r="F629" s="12">
        <v>-0.79025710419485795</v>
      </c>
      <c r="G629" s="13">
        <v>26.542681010570973</v>
      </c>
      <c r="H629" s="14">
        <v>47.84</v>
      </c>
      <c r="I629" s="15">
        <v>0</v>
      </c>
      <c r="J629" s="15">
        <v>0</v>
      </c>
      <c r="K629" s="16">
        <v>0</v>
      </c>
      <c r="L629" s="36">
        <v>-0.87</v>
      </c>
    </row>
    <row r="630" spans="1:12" x14ac:dyDescent="0.45">
      <c r="A630" s="1" t="s">
        <v>639</v>
      </c>
      <c r="B630" s="2">
        <f>IF(OR(Table1[[#This Row],[M score]]=1,AND(Table1[[#This Row],[F score]]=1,Table1[[#This Row],[Z score]]=1)),1,0)</f>
        <v>0</v>
      </c>
      <c r="C630" s="17">
        <v>0</v>
      </c>
      <c r="D630" s="17">
        <v>0</v>
      </c>
      <c r="E630" s="18">
        <v>0</v>
      </c>
      <c r="F630" s="19">
        <v>7.9529243937232527E-2</v>
      </c>
      <c r="G630" s="6">
        <v>28.435351825449107</v>
      </c>
      <c r="H630" s="20">
        <v>5.48</v>
      </c>
      <c r="I630" s="21">
        <v>1</v>
      </c>
      <c r="J630" s="21">
        <v>1</v>
      </c>
      <c r="K630" s="22">
        <v>1</v>
      </c>
      <c r="L630" s="36">
        <v>8.08</v>
      </c>
    </row>
    <row r="631" spans="1:12" x14ac:dyDescent="0.45">
      <c r="A631" s="9" t="s">
        <v>640</v>
      </c>
      <c r="B631" s="2">
        <f>IF(OR(Table1[[#This Row],[M score]]=1,AND(Table1[[#This Row],[F score]]=1,Table1[[#This Row],[Z score]]=1)),1,0)</f>
        <v>1</v>
      </c>
      <c r="C631" s="10">
        <v>0</v>
      </c>
      <c r="D631" s="10">
        <v>0</v>
      </c>
      <c r="E631" s="11">
        <v>1</v>
      </c>
      <c r="F631" s="12">
        <v>0.53045628231063158</v>
      </c>
      <c r="G631" s="13">
        <v>28.939943050232824</v>
      </c>
      <c r="H631" s="14">
        <v>41.17</v>
      </c>
      <c r="I631" s="15">
        <v>0</v>
      </c>
      <c r="J631" s="15">
        <v>1</v>
      </c>
      <c r="K631" s="16">
        <v>1</v>
      </c>
      <c r="L631" s="36">
        <v>20.78</v>
      </c>
    </row>
    <row r="632" spans="1:12" x14ac:dyDescent="0.45">
      <c r="A632" s="1" t="s">
        <v>641</v>
      </c>
      <c r="B632" s="2">
        <f>IF(OR(Table1[[#This Row],[M score]]=1,AND(Table1[[#This Row],[F score]]=1,Table1[[#This Row],[Z score]]=1)),1,0)</f>
        <v>0</v>
      </c>
      <c r="C632" s="17">
        <v>0</v>
      </c>
      <c r="D632" s="17">
        <v>1</v>
      </c>
      <c r="E632" s="18">
        <v>0</v>
      </c>
      <c r="F632" s="19">
        <v>-0.83493282149712089</v>
      </c>
      <c r="G632" s="6">
        <v>24.99366234294887</v>
      </c>
      <c r="H632" s="20">
        <v>16.329999999999998</v>
      </c>
      <c r="I632" s="21">
        <v>0</v>
      </c>
      <c r="J632" s="21">
        <v>0</v>
      </c>
      <c r="K632" s="22">
        <v>0</v>
      </c>
      <c r="L632" s="36">
        <v>-185.8</v>
      </c>
    </row>
    <row r="633" spans="1:12" x14ac:dyDescent="0.45">
      <c r="A633" s="9" t="s">
        <v>642</v>
      </c>
      <c r="B633" s="2">
        <f>IF(OR(Table1[[#This Row],[M score]]=1,AND(Table1[[#This Row],[F score]]=1,Table1[[#This Row],[Z score]]=1)),1,0)</f>
        <v>0</v>
      </c>
      <c r="C633" s="10">
        <v>0</v>
      </c>
      <c r="D633" s="10">
        <v>0</v>
      </c>
      <c r="E633" s="11">
        <v>0</v>
      </c>
      <c r="F633" s="12">
        <v>7.288870534792484E-2</v>
      </c>
      <c r="G633" s="13">
        <v>27.657560554573152</v>
      </c>
      <c r="H633" s="14">
        <v>0.15</v>
      </c>
      <c r="I633" s="15">
        <v>1</v>
      </c>
      <c r="J633" s="15">
        <v>0</v>
      </c>
      <c r="K633" s="16">
        <v>1</v>
      </c>
      <c r="L633" s="36">
        <v>9.65</v>
      </c>
    </row>
    <row r="634" spans="1:12" x14ac:dyDescent="0.45">
      <c r="A634" s="1" t="s">
        <v>643</v>
      </c>
      <c r="B634" s="2">
        <f>IF(OR(Table1[[#This Row],[M score]]=1,AND(Table1[[#This Row],[F score]]=1,Table1[[#This Row],[Z score]]=1)),1,0)</f>
        <v>0</v>
      </c>
      <c r="C634" s="17">
        <v>0</v>
      </c>
      <c r="D634" s="17">
        <v>0</v>
      </c>
      <c r="E634" s="18">
        <v>0</v>
      </c>
      <c r="F634" s="19">
        <v>-0.10871104815864023</v>
      </c>
      <c r="G634" s="6">
        <v>28.723021890961412</v>
      </c>
      <c r="H634" s="20">
        <v>21.81</v>
      </c>
      <c r="I634" s="21">
        <v>1</v>
      </c>
      <c r="J634" s="21">
        <v>1</v>
      </c>
      <c r="K634" s="22">
        <v>1</v>
      </c>
      <c r="L634" s="36">
        <v>7.72</v>
      </c>
    </row>
    <row r="635" spans="1:12" x14ac:dyDescent="0.45">
      <c r="A635" s="9" t="s">
        <v>644</v>
      </c>
      <c r="B635" s="2">
        <f>IF(OR(Table1[[#This Row],[M score]]=1,AND(Table1[[#This Row],[F score]]=1,Table1[[#This Row],[Z score]]=1)),1,0)</f>
        <v>0</v>
      </c>
      <c r="C635" s="10">
        <v>0</v>
      </c>
      <c r="D635" s="10">
        <v>1</v>
      </c>
      <c r="E635" s="11">
        <v>0</v>
      </c>
      <c r="F635" s="12">
        <v>-1.4129464285714286</v>
      </c>
      <c r="G635" s="13">
        <v>24.102034215204068</v>
      </c>
      <c r="H635" s="14">
        <v>32.880000000000003</v>
      </c>
      <c r="I635" s="15">
        <v>1</v>
      </c>
      <c r="J635" s="15">
        <v>0</v>
      </c>
      <c r="K635" s="16">
        <v>1</v>
      </c>
      <c r="L635" s="36">
        <v>3.39</v>
      </c>
    </row>
    <row r="636" spans="1:12" x14ac:dyDescent="0.45">
      <c r="A636" s="1" t="s">
        <v>645</v>
      </c>
      <c r="B636" s="2">
        <f>IF(OR(Table1[[#This Row],[M score]]=1,AND(Table1[[#This Row],[F score]]=1,Table1[[#This Row],[Z score]]=1)),1,0)</f>
        <v>0</v>
      </c>
      <c r="C636" s="17">
        <v>0</v>
      </c>
      <c r="D636" s="17">
        <v>0</v>
      </c>
      <c r="E636" s="18">
        <v>0</v>
      </c>
      <c r="F636" s="19">
        <v>0.16625258799171844</v>
      </c>
      <c r="G636" s="6">
        <v>27.171706130262585</v>
      </c>
      <c r="H636" s="20">
        <v>0.8</v>
      </c>
      <c r="I636" s="21">
        <v>0</v>
      </c>
      <c r="J636" s="21">
        <v>0</v>
      </c>
      <c r="K636" s="22">
        <v>1</v>
      </c>
      <c r="L636" s="36">
        <v>9.44</v>
      </c>
    </row>
    <row r="637" spans="1:12" x14ac:dyDescent="0.45">
      <c r="A637" s="9" t="s">
        <v>646</v>
      </c>
      <c r="B637" s="2">
        <f>IF(OR(Table1[[#This Row],[M score]]=1,AND(Table1[[#This Row],[F score]]=1,Table1[[#This Row],[Z score]]=1)),1,0)</f>
        <v>0</v>
      </c>
      <c r="C637" s="10">
        <v>0</v>
      </c>
      <c r="D637" s="10">
        <v>0</v>
      </c>
      <c r="E637" s="11">
        <v>0</v>
      </c>
      <c r="F637" s="12">
        <v>-6.6271018793273989E-2</v>
      </c>
      <c r="G637" s="13">
        <v>26.809449330478341</v>
      </c>
      <c r="H637" s="14">
        <v>38.03</v>
      </c>
      <c r="I637" s="15">
        <v>1</v>
      </c>
      <c r="J637" s="15">
        <v>0</v>
      </c>
      <c r="K637" s="16">
        <v>1</v>
      </c>
      <c r="L637" s="36">
        <v>3.62</v>
      </c>
    </row>
    <row r="638" spans="1:12" x14ac:dyDescent="0.45">
      <c r="A638" s="1" t="s">
        <v>647</v>
      </c>
      <c r="B638" s="2">
        <f>IF(OR(Table1[[#This Row],[M score]]=1,AND(Table1[[#This Row],[F score]]=1,Table1[[#This Row],[Z score]]=1)),1,0)</f>
        <v>1</v>
      </c>
      <c r="C638" s="17">
        <v>0</v>
      </c>
      <c r="D638" s="17">
        <v>1</v>
      </c>
      <c r="E638" s="18">
        <v>1</v>
      </c>
      <c r="F638" s="19">
        <v>-0.42313253012048191</v>
      </c>
      <c r="G638" s="6">
        <v>28.037346120886088</v>
      </c>
      <c r="H638" s="20">
        <v>27.8</v>
      </c>
      <c r="I638" s="21">
        <v>1</v>
      </c>
      <c r="J638" s="21">
        <v>0</v>
      </c>
      <c r="K638" s="22">
        <v>1</v>
      </c>
      <c r="L638" s="36">
        <v>42.1</v>
      </c>
    </row>
    <row r="639" spans="1:12" x14ac:dyDescent="0.45">
      <c r="A639" s="9" t="s">
        <v>648</v>
      </c>
      <c r="B639" s="2">
        <f>IF(OR(Table1[[#This Row],[M score]]=1,AND(Table1[[#This Row],[F score]]=1,Table1[[#This Row],[Z score]]=1)),1,0)</f>
        <v>0</v>
      </c>
      <c r="C639" s="10">
        <v>0</v>
      </c>
      <c r="D639" s="10">
        <v>1</v>
      </c>
      <c r="E639" s="11">
        <v>0</v>
      </c>
      <c r="F639" s="12">
        <v>-0.71365638766519823</v>
      </c>
      <c r="G639" s="13">
        <v>26.228597372878774</v>
      </c>
      <c r="H639" s="14">
        <v>40</v>
      </c>
      <c r="I639" s="15">
        <v>0</v>
      </c>
      <c r="J639" s="15">
        <v>0</v>
      </c>
      <c r="K639" s="16">
        <v>1</v>
      </c>
      <c r="L639" s="36">
        <v>0.56999999999999995</v>
      </c>
    </row>
    <row r="640" spans="1:12" x14ac:dyDescent="0.45">
      <c r="A640" s="1" t="s">
        <v>649</v>
      </c>
      <c r="B640" s="2">
        <f>IF(OR(Table1[[#This Row],[M score]]=1,AND(Table1[[#This Row],[F score]]=1,Table1[[#This Row],[Z score]]=1)),1,0)</f>
        <v>0</v>
      </c>
      <c r="C640" s="17">
        <v>0</v>
      </c>
      <c r="D640" s="17">
        <v>0</v>
      </c>
      <c r="E640" s="18">
        <v>0</v>
      </c>
      <c r="F640" s="19">
        <v>-0.19858156028368795</v>
      </c>
      <c r="G640" s="6">
        <v>25.015337591317639</v>
      </c>
      <c r="H640" s="20">
        <v>56.57</v>
      </c>
      <c r="I640" s="21">
        <v>1</v>
      </c>
      <c r="J640" s="21">
        <v>0</v>
      </c>
      <c r="K640" s="22">
        <v>1</v>
      </c>
      <c r="L640" s="36">
        <v>6.23</v>
      </c>
    </row>
    <row r="641" spans="1:12" x14ac:dyDescent="0.45">
      <c r="A641" s="9" t="s">
        <v>650</v>
      </c>
      <c r="B641" s="2">
        <f>IF(OR(Table1[[#This Row],[M score]]=1,AND(Table1[[#This Row],[F score]]=1,Table1[[#This Row],[Z score]]=1)),1,0)</f>
        <v>1</v>
      </c>
      <c r="C641" s="10">
        <v>1</v>
      </c>
      <c r="D641" s="10">
        <v>1</v>
      </c>
      <c r="E641" s="11">
        <v>1</v>
      </c>
      <c r="F641" s="12">
        <v>-1.3630314232902034</v>
      </c>
      <c r="G641" s="13">
        <v>26.922339075435652</v>
      </c>
      <c r="H641" s="14">
        <v>0.12</v>
      </c>
      <c r="I641" s="15">
        <v>1</v>
      </c>
      <c r="J641" s="15">
        <v>1</v>
      </c>
      <c r="K641" s="16">
        <v>1</v>
      </c>
      <c r="L641" s="36">
        <v>160.22</v>
      </c>
    </row>
    <row r="642" spans="1:12" x14ac:dyDescent="0.45">
      <c r="A642" s="1" t="s">
        <v>651</v>
      </c>
      <c r="B642" s="2">
        <f>IF(OR(Table1[[#This Row],[M score]]=1,AND(Table1[[#This Row],[F score]]=1,Table1[[#This Row],[Z score]]=1)),1,0)</f>
        <v>0</v>
      </c>
      <c r="C642" s="17">
        <v>0</v>
      </c>
      <c r="D642" s="17">
        <v>0</v>
      </c>
      <c r="E642" s="18">
        <v>0</v>
      </c>
      <c r="F642" s="19">
        <v>7.4191838897721251E-3</v>
      </c>
      <c r="G642" s="6">
        <v>29.476747801426544</v>
      </c>
      <c r="H642" s="20">
        <v>19.899999999999999</v>
      </c>
      <c r="I642" s="21">
        <v>1</v>
      </c>
      <c r="J642" s="21">
        <v>0</v>
      </c>
      <c r="K642" s="22">
        <v>1</v>
      </c>
      <c r="L642" s="36">
        <v>2.64</v>
      </c>
    </row>
    <row r="643" spans="1:12" x14ac:dyDescent="0.45">
      <c r="A643" s="9" t="s">
        <v>652</v>
      </c>
      <c r="B643" s="2">
        <f>IF(OR(Table1[[#This Row],[M score]]=1,AND(Table1[[#This Row],[F score]]=1,Table1[[#This Row],[Z score]]=1)),1,0)</f>
        <v>1</v>
      </c>
      <c r="C643" s="10">
        <v>0</v>
      </c>
      <c r="D643" s="10">
        <v>0</v>
      </c>
      <c r="E643" s="11">
        <v>1</v>
      </c>
      <c r="F643" s="12">
        <v>-2.3519163763066203E-2</v>
      </c>
      <c r="G643" s="13">
        <v>28.570420865705213</v>
      </c>
      <c r="H643" s="14">
        <v>65.06</v>
      </c>
      <c r="I643" s="15">
        <v>1</v>
      </c>
      <c r="J643" s="15">
        <v>1</v>
      </c>
      <c r="K643" s="16">
        <v>1</v>
      </c>
      <c r="L643" s="36">
        <v>9.69</v>
      </c>
    </row>
    <row r="644" spans="1:12" x14ac:dyDescent="0.45">
      <c r="A644" s="1" t="s">
        <v>653</v>
      </c>
      <c r="B644" s="2">
        <f>IF(OR(Table1[[#This Row],[M score]]=1,AND(Table1[[#This Row],[F score]]=1,Table1[[#This Row],[Z score]]=1)),1,0)</f>
        <v>1</v>
      </c>
      <c r="C644" s="17">
        <v>0</v>
      </c>
      <c r="D644" s="17">
        <v>0</v>
      </c>
      <c r="E644" s="18">
        <v>1</v>
      </c>
      <c r="F644" s="19">
        <v>12.13953488372093</v>
      </c>
      <c r="G644" s="6">
        <v>25.318645080708293</v>
      </c>
      <c r="H644" s="20">
        <v>11.3</v>
      </c>
      <c r="I644" s="21">
        <v>0</v>
      </c>
      <c r="J644" s="21">
        <v>0</v>
      </c>
      <c r="K644" s="22">
        <v>1</v>
      </c>
      <c r="L644" s="36">
        <v>3.41</v>
      </c>
    </row>
    <row r="645" spans="1:12" x14ac:dyDescent="0.45">
      <c r="A645" s="9" t="s">
        <v>654</v>
      </c>
      <c r="B645" s="2">
        <f>IF(OR(Table1[[#This Row],[M score]]=1,AND(Table1[[#This Row],[F score]]=1,Table1[[#This Row],[Z score]]=1)),1,0)</f>
        <v>0</v>
      </c>
      <c r="C645" s="10">
        <v>0</v>
      </c>
      <c r="D645" s="10">
        <v>0</v>
      </c>
      <c r="E645" s="11">
        <v>0</v>
      </c>
      <c r="F645" s="12">
        <v>0.23263327948303716</v>
      </c>
      <c r="G645" s="13">
        <v>25.799106790843744</v>
      </c>
      <c r="H645" s="14">
        <v>48.29</v>
      </c>
      <c r="I645" s="15">
        <v>1</v>
      </c>
      <c r="J645" s="15">
        <v>0</v>
      </c>
      <c r="K645" s="16">
        <v>1</v>
      </c>
      <c r="L645" s="36">
        <v>2.15</v>
      </c>
    </row>
    <row r="646" spans="1:12" x14ac:dyDescent="0.45">
      <c r="A646" s="1" t="s">
        <v>655</v>
      </c>
      <c r="B646" s="2">
        <f>IF(OR(Table1[[#This Row],[M score]]=1,AND(Table1[[#This Row],[F score]]=1,Table1[[#This Row],[Z score]]=1)),1,0)</f>
        <v>1</v>
      </c>
      <c r="C646" s="17">
        <v>0</v>
      </c>
      <c r="D646" s="17">
        <v>0</v>
      </c>
      <c r="E646" s="18">
        <v>1</v>
      </c>
      <c r="F646" s="19">
        <v>7.6841467111245829E-2</v>
      </c>
      <c r="G646" s="6">
        <v>26.755152298553309</v>
      </c>
      <c r="H646" s="20">
        <v>22.66</v>
      </c>
      <c r="I646" s="21">
        <v>1</v>
      </c>
      <c r="J646" s="21">
        <v>0</v>
      </c>
      <c r="K646" s="22">
        <v>1</v>
      </c>
      <c r="L646" s="36">
        <v>8.27</v>
      </c>
    </row>
    <row r="647" spans="1:12" x14ac:dyDescent="0.45">
      <c r="A647" s="9" t="s">
        <v>656</v>
      </c>
      <c r="B647" s="2">
        <f>IF(OR(Table1[[#This Row],[M score]]=1,AND(Table1[[#This Row],[F score]]=1,Table1[[#This Row],[Z score]]=1)),1,0)</f>
        <v>0</v>
      </c>
      <c r="C647" s="10">
        <v>0</v>
      </c>
      <c r="D647" s="10">
        <v>0</v>
      </c>
      <c r="E647" s="11">
        <v>0</v>
      </c>
      <c r="F647" s="12">
        <v>0.40334316617502458</v>
      </c>
      <c r="G647" s="13">
        <v>27.483100985851927</v>
      </c>
      <c r="H647" s="14">
        <v>0.74</v>
      </c>
      <c r="I647" s="15">
        <v>0</v>
      </c>
      <c r="J647" s="15">
        <v>0</v>
      </c>
      <c r="K647" s="16">
        <v>1</v>
      </c>
      <c r="L647" s="36">
        <v>14.43</v>
      </c>
    </row>
    <row r="648" spans="1:12" x14ac:dyDescent="0.45">
      <c r="A648" s="1" t="s">
        <v>657</v>
      </c>
      <c r="B648" s="2">
        <f>IF(OR(Table1[[#This Row],[M score]]=1,AND(Table1[[#This Row],[F score]]=1,Table1[[#This Row],[Z score]]=1)),1,0)</f>
        <v>1</v>
      </c>
      <c r="C648" s="17">
        <v>0</v>
      </c>
      <c r="D648" s="17">
        <v>0</v>
      </c>
      <c r="E648" s="18">
        <v>1</v>
      </c>
      <c r="F648" s="19">
        <v>3.3333333333333335</v>
      </c>
      <c r="G648" s="6">
        <v>27.456198101740537</v>
      </c>
      <c r="H648" s="20">
        <v>14.17</v>
      </c>
      <c r="I648" s="21">
        <v>1</v>
      </c>
      <c r="J648" s="21">
        <v>0</v>
      </c>
      <c r="K648" s="22">
        <v>1</v>
      </c>
      <c r="L648" s="36">
        <v>1.55</v>
      </c>
    </row>
    <row r="649" spans="1:12" x14ac:dyDescent="0.45">
      <c r="A649" s="9" t="s">
        <v>658</v>
      </c>
      <c r="B649" s="2">
        <f>IF(OR(Table1[[#This Row],[M score]]=1,AND(Table1[[#This Row],[F score]]=1,Table1[[#This Row],[Z score]]=1)),1,0)</f>
        <v>1</v>
      </c>
      <c r="C649" s="10">
        <v>0</v>
      </c>
      <c r="D649" s="10">
        <v>0</v>
      </c>
      <c r="E649" s="11">
        <v>1</v>
      </c>
      <c r="F649" s="12">
        <v>6.2838682784493533E-2</v>
      </c>
      <c r="G649" s="13">
        <v>27.491886270157206</v>
      </c>
      <c r="H649" s="14">
        <v>35.64</v>
      </c>
      <c r="I649" s="15">
        <v>1</v>
      </c>
      <c r="J649" s="15">
        <v>0</v>
      </c>
      <c r="K649" s="16">
        <v>1</v>
      </c>
      <c r="L649" s="36">
        <v>34.44</v>
      </c>
    </row>
    <row r="650" spans="1:12" x14ac:dyDescent="0.45">
      <c r="A650" s="1" t="s">
        <v>659</v>
      </c>
      <c r="B650" s="2">
        <f>IF(OR(Table1[[#This Row],[M score]]=1,AND(Table1[[#This Row],[F score]]=1,Table1[[#This Row],[Z score]]=1)),1,0)</f>
        <v>0</v>
      </c>
      <c r="C650" s="17">
        <v>0</v>
      </c>
      <c r="D650" s="17">
        <v>0</v>
      </c>
      <c r="E650" s="18">
        <v>0</v>
      </c>
      <c r="F650" s="19">
        <v>-0.26291079812206575</v>
      </c>
      <c r="G650" s="6">
        <v>24.863061295771995</v>
      </c>
      <c r="H650" s="20">
        <v>26.24</v>
      </c>
      <c r="I650" s="21">
        <v>0</v>
      </c>
      <c r="J650" s="21">
        <v>0</v>
      </c>
      <c r="K650" s="22">
        <v>0</v>
      </c>
      <c r="L650" s="36">
        <v>-6</v>
      </c>
    </row>
    <row r="651" spans="1:12" x14ac:dyDescent="0.45">
      <c r="A651" s="9" t="s">
        <v>660</v>
      </c>
      <c r="B651" s="2">
        <f>IF(OR(Table1[[#This Row],[M score]]=1,AND(Table1[[#This Row],[F score]]=1,Table1[[#This Row],[Z score]]=1)),1,0)</f>
        <v>0</v>
      </c>
      <c r="C651" s="10">
        <v>0</v>
      </c>
      <c r="D651" s="10">
        <v>0</v>
      </c>
      <c r="E651" s="11">
        <v>0</v>
      </c>
      <c r="F651" s="12">
        <v>0.12275449101796407</v>
      </c>
      <c r="G651" s="13">
        <v>25.378235620311905</v>
      </c>
      <c r="H651" s="14">
        <v>1.68</v>
      </c>
      <c r="I651" s="15">
        <v>1</v>
      </c>
      <c r="J651" s="15">
        <v>0</v>
      </c>
      <c r="K651" s="16">
        <v>1</v>
      </c>
      <c r="L651" s="36">
        <v>0.31</v>
      </c>
    </row>
    <row r="652" spans="1:12" x14ac:dyDescent="0.45">
      <c r="A652" s="1" t="s">
        <v>661</v>
      </c>
      <c r="B652" s="2">
        <f>IF(OR(Table1[[#This Row],[M score]]=1,AND(Table1[[#This Row],[F score]]=1,Table1[[#This Row],[Z score]]=1)),1,0)</f>
        <v>1</v>
      </c>
      <c r="C652" s="17">
        <v>0</v>
      </c>
      <c r="D652" s="17">
        <v>0</v>
      </c>
      <c r="E652" s="18">
        <v>1</v>
      </c>
      <c r="F652" s="19">
        <v>-2.3710626514364831E-2</v>
      </c>
      <c r="G652" s="6">
        <v>28.00196183764665</v>
      </c>
      <c r="H652" s="20">
        <v>26.01</v>
      </c>
      <c r="I652" s="21">
        <v>1</v>
      </c>
      <c r="J652" s="21">
        <v>0</v>
      </c>
      <c r="K652" s="22">
        <v>1</v>
      </c>
      <c r="L652" s="36">
        <v>8.6300000000000008</v>
      </c>
    </row>
    <row r="653" spans="1:12" x14ac:dyDescent="0.45">
      <c r="A653" s="9" t="s">
        <v>662</v>
      </c>
      <c r="B653" s="2">
        <f>IF(OR(Table1[[#This Row],[M score]]=1,AND(Table1[[#This Row],[F score]]=1,Table1[[#This Row],[Z score]]=1)),1,0)</f>
        <v>0</v>
      </c>
      <c r="C653" s="10">
        <v>0</v>
      </c>
      <c r="D653" s="10">
        <v>0</v>
      </c>
      <c r="E653" s="11">
        <v>0</v>
      </c>
      <c r="F653" s="12">
        <v>-0.96460176991150437</v>
      </c>
      <c r="G653" s="13">
        <v>25.395577154341886</v>
      </c>
      <c r="H653" s="14">
        <v>18.88</v>
      </c>
      <c r="I653" s="15">
        <v>0</v>
      </c>
      <c r="J653" s="15">
        <v>0</v>
      </c>
      <c r="K653" s="16">
        <v>1</v>
      </c>
      <c r="L653" s="36">
        <v>0.19</v>
      </c>
    </row>
    <row r="654" spans="1:12" x14ac:dyDescent="0.45">
      <c r="A654" s="1" t="s">
        <v>663</v>
      </c>
      <c r="B654" s="2">
        <f>IF(OR(Table1[[#This Row],[M score]]=1,AND(Table1[[#This Row],[F score]]=1,Table1[[#This Row],[Z score]]=1)),1,0)</f>
        <v>0</v>
      </c>
      <c r="C654" s="17">
        <v>0</v>
      </c>
      <c r="D654" s="17">
        <v>1</v>
      </c>
      <c r="E654" s="18">
        <v>0</v>
      </c>
      <c r="F654" s="19">
        <v>1.2738853503184714E-2</v>
      </c>
      <c r="G654" s="6">
        <v>25.554635394869347</v>
      </c>
      <c r="H654" s="20">
        <v>21.09</v>
      </c>
      <c r="I654" s="21">
        <v>0</v>
      </c>
      <c r="J654" s="21">
        <v>0</v>
      </c>
      <c r="K654" s="22">
        <v>1</v>
      </c>
      <c r="L654" s="36">
        <v>2.37</v>
      </c>
    </row>
    <row r="655" spans="1:12" x14ac:dyDescent="0.45">
      <c r="A655" s="9" t="s">
        <v>664</v>
      </c>
      <c r="B655" s="2">
        <f>IF(OR(Table1[[#This Row],[M score]]=1,AND(Table1[[#This Row],[F score]]=1,Table1[[#This Row],[Z score]]=1)),1,0)</f>
        <v>0</v>
      </c>
      <c r="C655" s="10">
        <v>0</v>
      </c>
      <c r="D655" s="10">
        <v>0</v>
      </c>
      <c r="E655" s="11">
        <v>0</v>
      </c>
      <c r="F655" s="12">
        <v>1.4007884362680683</v>
      </c>
      <c r="G655" s="13">
        <v>26.128602227816135</v>
      </c>
      <c r="H655" s="14">
        <v>59.15</v>
      </c>
      <c r="I655" s="15">
        <v>0</v>
      </c>
      <c r="J655" s="15">
        <v>0</v>
      </c>
      <c r="K655" s="16">
        <v>1</v>
      </c>
      <c r="L655" s="36">
        <v>6.74</v>
      </c>
    </row>
    <row r="656" spans="1:12" x14ac:dyDescent="0.45">
      <c r="A656" s="1" t="s">
        <v>665</v>
      </c>
      <c r="B656" s="2">
        <f>IF(OR(Table1[[#This Row],[M score]]=1,AND(Table1[[#This Row],[F score]]=1,Table1[[#This Row],[Z score]]=1)),1,0)</f>
        <v>1</v>
      </c>
      <c r="C656" s="17">
        <v>0</v>
      </c>
      <c r="D656" s="17">
        <v>0</v>
      </c>
      <c r="E656" s="18">
        <v>1</v>
      </c>
      <c r="F656" s="19">
        <v>-0.53349875930521096</v>
      </c>
      <c r="G656" s="6">
        <v>24.234214082567686</v>
      </c>
      <c r="H656" s="20">
        <v>66.150000000000006</v>
      </c>
      <c r="I656" s="21">
        <v>1</v>
      </c>
      <c r="J656" s="21">
        <v>0</v>
      </c>
      <c r="K656" s="22">
        <v>1</v>
      </c>
      <c r="L656" s="36">
        <v>-4.2</v>
      </c>
    </row>
    <row r="657" spans="1:12" x14ac:dyDescent="0.45">
      <c r="A657" s="9" t="s">
        <v>666</v>
      </c>
      <c r="B657" s="2">
        <f>IF(OR(Table1[[#This Row],[M score]]=1,AND(Table1[[#This Row],[F score]]=1,Table1[[#This Row],[Z score]]=1)),1,0)</f>
        <v>0</v>
      </c>
      <c r="C657" s="10">
        <v>0</v>
      </c>
      <c r="D657" s="10">
        <v>0</v>
      </c>
      <c r="E657" s="11">
        <v>0</v>
      </c>
      <c r="F657" s="12">
        <v>0.80394304490690038</v>
      </c>
      <c r="G657" s="13">
        <v>25.991616198569524</v>
      </c>
      <c r="H657" s="14">
        <v>25.02</v>
      </c>
      <c r="I657" s="15">
        <v>1</v>
      </c>
      <c r="J657" s="15">
        <v>0</v>
      </c>
      <c r="K657" s="16">
        <v>1</v>
      </c>
      <c r="L657" s="36">
        <v>5.74</v>
      </c>
    </row>
    <row r="658" spans="1:12" x14ac:dyDescent="0.45">
      <c r="A658" s="1" t="s">
        <v>667</v>
      </c>
      <c r="B658" s="2">
        <f>IF(OR(Table1[[#This Row],[M score]]=1,AND(Table1[[#This Row],[F score]]=1,Table1[[#This Row],[Z score]]=1)),1,0)</f>
        <v>0</v>
      </c>
      <c r="C658" s="17">
        <v>0</v>
      </c>
      <c r="D658" s="17">
        <v>1</v>
      </c>
      <c r="E658" s="18">
        <v>0</v>
      </c>
      <c r="F658" s="19">
        <v>1.0496134020618557</v>
      </c>
      <c r="G658" s="6">
        <v>29.161415821022196</v>
      </c>
      <c r="H658" s="20">
        <v>22.6</v>
      </c>
      <c r="I658" s="21">
        <v>0</v>
      </c>
      <c r="J658" s="21">
        <v>0</v>
      </c>
      <c r="K658" s="22">
        <v>1</v>
      </c>
      <c r="L658" s="36">
        <v>11.1</v>
      </c>
    </row>
    <row r="659" spans="1:12" x14ac:dyDescent="0.45">
      <c r="A659" s="9" t="s">
        <v>668</v>
      </c>
      <c r="B659" s="2">
        <f>IF(OR(Table1[[#This Row],[M score]]=1,AND(Table1[[#This Row],[F score]]=1,Table1[[#This Row],[Z score]]=1)),1,0)</f>
        <v>0</v>
      </c>
      <c r="C659" s="10">
        <v>0</v>
      </c>
      <c r="D659" s="10">
        <v>1</v>
      </c>
      <c r="E659" s="11">
        <v>0</v>
      </c>
      <c r="F659" s="12">
        <v>-0.60284463894967177</v>
      </c>
      <c r="G659" s="13">
        <v>28.129158225391382</v>
      </c>
      <c r="H659" s="14">
        <v>26.03</v>
      </c>
      <c r="I659" s="15">
        <v>1</v>
      </c>
      <c r="J659" s="15">
        <v>0</v>
      </c>
      <c r="K659" s="16">
        <v>0</v>
      </c>
      <c r="L659" s="36">
        <v>3.52</v>
      </c>
    </row>
    <row r="660" spans="1:12" x14ac:dyDescent="0.45">
      <c r="A660" s="1" t="s">
        <v>669</v>
      </c>
      <c r="B660" s="2">
        <f>IF(OR(Table1[[#This Row],[M score]]=1,AND(Table1[[#This Row],[F score]]=1,Table1[[#This Row],[Z score]]=1)),1,0)</f>
        <v>0</v>
      </c>
      <c r="C660" s="17">
        <v>0</v>
      </c>
      <c r="D660" s="17">
        <v>1</v>
      </c>
      <c r="E660" s="18">
        <v>0</v>
      </c>
      <c r="F660" s="19">
        <v>-1.0652173913043479</v>
      </c>
      <c r="G660" s="6">
        <v>27.567381806379029</v>
      </c>
      <c r="H660" s="20">
        <v>41.91</v>
      </c>
      <c r="I660" s="21">
        <v>0</v>
      </c>
      <c r="J660" s="21">
        <v>0</v>
      </c>
      <c r="K660" s="22">
        <v>0</v>
      </c>
      <c r="L660" s="36">
        <v>-5.33</v>
      </c>
    </row>
    <row r="661" spans="1:12" x14ac:dyDescent="0.45">
      <c r="A661" s="9" t="s">
        <v>670</v>
      </c>
      <c r="B661" s="2">
        <f>IF(OR(Table1[[#This Row],[M score]]=1,AND(Table1[[#This Row],[F score]]=1,Table1[[#This Row],[Z score]]=1)),1,0)</f>
        <v>0</v>
      </c>
      <c r="C661" s="10">
        <v>0</v>
      </c>
      <c r="D661" s="10">
        <v>0</v>
      </c>
      <c r="E661" s="11">
        <v>0</v>
      </c>
      <c r="F661" s="12">
        <v>0.43404634581105167</v>
      </c>
      <c r="G661" s="13">
        <v>25.307748953434597</v>
      </c>
      <c r="H661" s="14">
        <v>27.15</v>
      </c>
      <c r="I661" s="15">
        <v>1</v>
      </c>
      <c r="J661" s="15">
        <v>0</v>
      </c>
      <c r="K661" s="16">
        <v>1</v>
      </c>
      <c r="L661" s="36">
        <v>1.38</v>
      </c>
    </row>
    <row r="662" spans="1:12" x14ac:dyDescent="0.45">
      <c r="A662" s="1" t="s">
        <v>671</v>
      </c>
      <c r="B662" s="2">
        <f>IF(OR(Table1[[#This Row],[M score]]=1,AND(Table1[[#This Row],[F score]]=1,Table1[[#This Row],[Z score]]=1)),1,0)</f>
        <v>0</v>
      </c>
      <c r="C662" s="17">
        <v>0</v>
      </c>
      <c r="D662" s="17">
        <v>0</v>
      </c>
      <c r="E662" s="18">
        <v>0</v>
      </c>
      <c r="F662" s="19">
        <v>3.7348066298342539</v>
      </c>
      <c r="G662" s="6">
        <v>27.186866405322867</v>
      </c>
      <c r="H662" s="20">
        <v>21.93</v>
      </c>
      <c r="I662" s="21">
        <v>1</v>
      </c>
      <c r="J662" s="21">
        <v>0</v>
      </c>
      <c r="K662" s="22">
        <v>1</v>
      </c>
      <c r="L662" s="36">
        <v>6.8</v>
      </c>
    </row>
    <row r="663" spans="1:12" x14ac:dyDescent="0.45">
      <c r="A663" s="9" t="s">
        <v>672</v>
      </c>
      <c r="B663" s="2">
        <f>IF(OR(Table1[[#This Row],[M score]]=1,AND(Table1[[#This Row],[F score]]=1,Table1[[#This Row],[Z score]]=1)),1,0)</f>
        <v>0</v>
      </c>
      <c r="C663" s="10">
        <v>0</v>
      </c>
      <c r="D663" s="10">
        <v>0</v>
      </c>
      <c r="E663" s="11">
        <v>0</v>
      </c>
      <c r="F663" s="12">
        <v>-0.10487342862063027</v>
      </c>
      <c r="G663" s="13">
        <v>29.199107414035247</v>
      </c>
      <c r="H663" s="14">
        <v>12.51</v>
      </c>
      <c r="I663" s="15">
        <v>1</v>
      </c>
      <c r="J663" s="15">
        <v>1</v>
      </c>
      <c r="K663" s="16">
        <v>1</v>
      </c>
      <c r="L663" s="36">
        <v>7.68</v>
      </c>
    </row>
    <row r="664" spans="1:12" x14ac:dyDescent="0.45">
      <c r="A664" s="1" t="s">
        <v>673</v>
      </c>
      <c r="B664" s="2">
        <f>IF(OR(Table1[[#This Row],[M score]]=1,AND(Table1[[#This Row],[F score]]=1,Table1[[#This Row],[Z score]]=1)),1,0)</f>
        <v>0</v>
      </c>
      <c r="C664" s="17">
        <v>0</v>
      </c>
      <c r="D664" s="17">
        <v>0</v>
      </c>
      <c r="E664" s="18">
        <v>0</v>
      </c>
      <c r="F664" s="19">
        <v>-1.0086256469235193</v>
      </c>
      <c r="G664" s="6">
        <v>27.000655064284164</v>
      </c>
      <c r="H664" s="20">
        <v>44.56</v>
      </c>
      <c r="I664" s="21">
        <v>1</v>
      </c>
      <c r="J664" s="21">
        <v>0</v>
      </c>
      <c r="K664" s="22">
        <v>1</v>
      </c>
      <c r="L664" s="36">
        <v>0.45</v>
      </c>
    </row>
    <row r="665" spans="1:12" x14ac:dyDescent="0.45">
      <c r="A665" s="9" t="s">
        <v>674</v>
      </c>
      <c r="B665" s="2">
        <f>IF(OR(Table1[[#This Row],[M score]]=1,AND(Table1[[#This Row],[F score]]=1,Table1[[#This Row],[Z score]]=1)),1,0)</f>
        <v>0</v>
      </c>
      <c r="C665" s="10">
        <v>0</v>
      </c>
      <c r="D665" s="10">
        <v>0</v>
      </c>
      <c r="E665" s="11">
        <v>0</v>
      </c>
      <c r="F665" s="12">
        <v>1.218241042345277</v>
      </c>
      <c r="G665" s="13">
        <v>28.030101464771402</v>
      </c>
      <c r="H665" s="14">
        <v>53.33</v>
      </c>
      <c r="I665" s="15">
        <v>0</v>
      </c>
      <c r="J665" s="15">
        <v>0</v>
      </c>
      <c r="K665" s="16">
        <v>1</v>
      </c>
      <c r="L665" s="36">
        <v>3.94</v>
      </c>
    </row>
    <row r="666" spans="1:12" x14ac:dyDescent="0.45">
      <c r="A666" s="1" t="s">
        <v>675</v>
      </c>
      <c r="B666" s="2">
        <f>IF(OR(Table1[[#This Row],[M score]]=1,AND(Table1[[#This Row],[F score]]=1,Table1[[#This Row],[Z score]]=1)),1,0)</f>
        <v>0</v>
      </c>
      <c r="C666" s="17">
        <v>0</v>
      </c>
      <c r="D666" s="17">
        <v>0</v>
      </c>
      <c r="E666" s="18">
        <v>0</v>
      </c>
      <c r="F666" s="19">
        <v>-0.59564237415477084</v>
      </c>
      <c r="G666" s="6">
        <v>27.438649223281093</v>
      </c>
      <c r="H666" s="20">
        <v>35.31</v>
      </c>
      <c r="I666" s="21">
        <v>1</v>
      </c>
      <c r="J666" s="21">
        <v>0</v>
      </c>
      <c r="K666" s="22">
        <v>1</v>
      </c>
      <c r="L666" s="36">
        <v>3.07</v>
      </c>
    </row>
    <row r="667" spans="1:12" x14ac:dyDescent="0.45">
      <c r="A667" s="9" t="s">
        <v>676</v>
      </c>
      <c r="B667" s="2">
        <f>IF(OR(Table1[[#This Row],[M score]]=1,AND(Table1[[#This Row],[F score]]=1,Table1[[#This Row],[Z score]]=1)),1,0)</f>
        <v>0</v>
      </c>
      <c r="C667" s="10">
        <v>0</v>
      </c>
      <c r="D667" s="10">
        <v>0</v>
      </c>
      <c r="E667" s="11">
        <v>0</v>
      </c>
      <c r="F667" s="12">
        <v>0.19565766220651351</v>
      </c>
      <c r="G667" s="13">
        <v>27.917702688046745</v>
      </c>
      <c r="H667" s="14">
        <v>13.45</v>
      </c>
      <c r="I667" s="15">
        <v>0</v>
      </c>
      <c r="J667" s="15">
        <v>0</v>
      </c>
      <c r="K667" s="16">
        <v>1</v>
      </c>
      <c r="L667" s="36">
        <v>5.17</v>
      </c>
    </row>
    <row r="668" spans="1:12" x14ac:dyDescent="0.45">
      <c r="A668" s="1" t="s">
        <v>677</v>
      </c>
      <c r="B668" s="2">
        <f>IF(OR(Table1[[#This Row],[M score]]=1,AND(Table1[[#This Row],[F score]]=1,Table1[[#This Row],[Z score]]=1)),1,0)</f>
        <v>0</v>
      </c>
      <c r="C668" s="17">
        <v>0</v>
      </c>
      <c r="D668" s="17">
        <v>0</v>
      </c>
      <c r="E668" s="18">
        <v>0</v>
      </c>
      <c r="F668" s="19">
        <v>-9.7502497502497509E-2</v>
      </c>
      <c r="G668" s="6">
        <v>29.061093099394327</v>
      </c>
      <c r="H668" s="20">
        <v>11.56</v>
      </c>
      <c r="I668" s="21">
        <v>1</v>
      </c>
      <c r="J668" s="21">
        <v>0</v>
      </c>
      <c r="K668" s="22">
        <v>1</v>
      </c>
      <c r="L668" s="36">
        <v>9.8800000000000008</v>
      </c>
    </row>
    <row r="669" spans="1:12" x14ac:dyDescent="0.45">
      <c r="A669" s="9" t="s">
        <v>678</v>
      </c>
      <c r="B669" s="2">
        <f>IF(OR(Table1[[#This Row],[M score]]=1,AND(Table1[[#This Row],[F score]]=1,Table1[[#This Row],[Z score]]=1)),1,0)</f>
        <v>0</v>
      </c>
      <c r="C669" s="10">
        <v>0</v>
      </c>
      <c r="D669" s="10">
        <v>0</v>
      </c>
      <c r="E669" s="11">
        <v>0</v>
      </c>
      <c r="F669" s="12">
        <v>0.6544876886417792</v>
      </c>
      <c r="G669" s="13">
        <v>29.568724788781932</v>
      </c>
      <c r="H669" s="14">
        <v>28.6</v>
      </c>
      <c r="I669" s="15">
        <v>1</v>
      </c>
      <c r="J669" s="15">
        <v>1</v>
      </c>
      <c r="K669" s="16">
        <v>1</v>
      </c>
      <c r="L669" s="36">
        <v>1.41</v>
      </c>
    </row>
    <row r="670" spans="1:12" x14ac:dyDescent="0.45">
      <c r="A670" s="1" t="s">
        <v>679</v>
      </c>
      <c r="B670" s="2">
        <f>IF(OR(Table1[[#This Row],[M score]]=1,AND(Table1[[#This Row],[F score]]=1,Table1[[#This Row],[Z score]]=1)),1,0)</f>
        <v>0</v>
      </c>
      <c r="C670" s="17">
        <v>1</v>
      </c>
      <c r="D670" s="17">
        <v>0</v>
      </c>
      <c r="E670" s="18">
        <v>0</v>
      </c>
      <c r="F670" s="19">
        <v>-1.1930142889544115</v>
      </c>
      <c r="G670" s="6">
        <v>26.951919286013059</v>
      </c>
      <c r="H670" s="20">
        <v>42.75</v>
      </c>
      <c r="I670" s="21">
        <v>1</v>
      </c>
      <c r="J670" s="21">
        <v>0</v>
      </c>
      <c r="K670" s="22">
        <v>1</v>
      </c>
      <c r="L670" s="36">
        <v>55.9</v>
      </c>
    </row>
    <row r="671" spans="1:12" x14ac:dyDescent="0.45">
      <c r="A671" s="9" t="s">
        <v>680</v>
      </c>
      <c r="B671" s="2">
        <f>IF(OR(Table1[[#This Row],[M score]]=1,AND(Table1[[#This Row],[F score]]=1,Table1[[#This Row],[Z score]]=1)),1,0)</f>
        <v>0</v>
      </c>
      <c r="C671" s="10">
        <v>0</v>
      </c>
      <c r="D671" s="10">
        <v>0</v>
      </c>
      <c r="E671" s="11">
        <v>0</v>
      </c>
      <c r="F671" s="12">
        <v>3.8068756319514661</v>
      </c>
      <c r="G671" s="13">
        <v>27.451089307809269</v>
      </c>
      <c r="H671" s="14">
        <v>25.17</v>
      </c>
      <c r="I671" s="15">
        <v>1</v>
      </c>
      <c r="J671" s="15">
        <v>1</v>
      </c>
      <c r="K671" s="16">
        <v>1</v>
      </c>
      <c r="L671" s="36">
        <v>26.42</v>
      </c>
    </row>
    <row r="672" spans="1:12" x14ac:dyDescent="0.45">
      <c r="A672" s="1" t="s">
        <v>681</v>
      </c>
      <c r="B672" s="2">
        <f>IF(OR(Table1[[#This Row],[M score]]=1,AND(Table1[[#This Row],[F score]]=1,Table1[[#This Row],[Z score]]=1)),1,0)</f>
        <v>1</v>
      </c>
      <c r="C672" s="17">
        <v>0</v>
      </c>
      <c r="D672" s="17">
        <v>0</v>
      </c>
      <c r="E672" s="18">
        <v>1</v>
      </c>
      <c r="F672" s="19">
        <v>0.16091954022988506</v>
      </c>
      <c r="G672" s="6">
        <v>26.397776997262461</v>
      </c>
      <c r="H672" s="20">
        <v>42.65</v>
      </c>
      <c r="I672" s="21">
        <v>0</v>
      </c>
      <c r="J672" s="21">
        <v>0</v>
      </c>
      <c r="K672" s="22">
        <v>0</v>
      </c>
      <c r="L672" s="36">
        <v>84.24</v>
      </c>
    </row>
    <row r="673" spans="1:12" x14ac:dyDescent="0.45">
      <c r="A673" s="9" t="s">
        <v>682</v>
      </c>
      <c r="B673" s="2">
        <f>IF(OR(Table1[[#This Row],[M score]]=1,AND(Table1[[#This Row],[F score]]=1,Table1[[#This Row],[Z score]]=1)),1,0)</f>
        <v>0</v>
      </c>
      <c r="C673" s="10">
        <v>0</v>
      </c>
      <c r="D673" s="10">
        <v>0</v>
      </c>
      <c r="E673" s="11">
        <v>0</v>
      </c>
      <c r="F673" s="12">
        <v>0.17854491462509281</v>
      </c>
      <c r="G673" s="13">
        <v>28.482414453189747</v>
      </c>
      <c r="H673" s="14">
        <v>48.04</v>
      </c>
      <c r="I673" s="15">
        <v>1</v>
      </c>
      <c r="J673" s="15">
        <v>1</v>
      </c>
      <c r="K673" s="16">
        <v>1</v>
      </c>
      <c r="L673" s="36">
        <v>5.75</v>
      </c>
    </row>
    <row r="674" spans="1:12" x14ac:dyDescent="0.45">
      <c r="A674" s="1" t="s">
        <v>683</v>
      </c>
      <c r="B674" s="2">
        <f>IF(OR(Table1[[#This Row],[M score]]=1,AND(Table1[[#This Row],[F score]]=1,Table1[[#This Row],[Z score]]=1)),1,0)</f>
        <v>1</v>
      </c>
      <c r="C674" s="17">
        <v>0</v>
      </c>
      <c r="D674" s="17">
        <v>1</v>
      </c>
      <c r="E674" s="18">
        <v>1</v>
      </c>
      <c r="F674" s="19">
        <v>-2.5989974937343359</v>
      </c>
      <c r="G674" s="6">
        <v>28.280443625385082</v>
      </c>
      <c r="H674" s="20">
        <v>36.380000000000003</v>
      </c>
      <c r="I674" s="21">
        <v>1</v>
      </c>
      <c r="J674" s="21">
        <v>1</v>
      </c>
      <c r="K674" s="22">
        <v>1</v>
      </c>
      <c r="L674" s="36">
        <v>-5.15</v>
      </c>
    </row>
    <row r="675" spans="1:12" x14ac:dyDescent="0.45">
      <c r="A675" s="9" t="s">
        <v>684</v>
      </c>
      <c r="B675" s="2">
        <f>IF(OR(Table1[[#This Row],[M score]]=1,AND(Table1[[#This Row],[F score]]=1,Table1[[#This Row],[Z score]]=1)),1,0)</f>
        <v>0</v>
      </c>
      <c r="C675" s="10">
        <v>1</v>
      </c>
      <c r="D675" s="10">
        <v>0</v>
      </c>
      <c r="E675" s="11">
        <v>0</v>
      </c>
      <c r="F675" s="12">
        <v>-2.7542533081285443</v>
      </c>
      <c r="G675" s="13">
        <v>26.297508940247628</v>
      </c>
      <c r="H675" s="14">
        <v>21.35</v>
      </c>
      <c r="I675" s="15">
        <v>1</v>
      </c>
      <c r="J675" s="15">
        <v>0</v>
      </c>
      <c r="K675" s="16">
        <v>1</v>
      </c>
      <c r="L675" s="36">
        <v>18.5</v>
      </c>
    </row>
    <row r="676" spans="1:12" x14ac:dyDescent="0.45">
      <c r="A676" s="1" t="s">
        <v>685</v>
      </c>
      <c r="B676" s="2">
        <f>IF(OR(Table1[[#This Row],[M score]]=1,AND(Table1[[#This Row],[F score]]=1,Table1[[#This Row],[Z score]]=1)),1,0)</f>
        <v>1</v>
      </c>
      <c r="C676" s="17">
        <v>0</v>
      </c>
      <c r="D676" s="17">
        <v>0</v>
      </c>
      <c r="E676" s="18">
        <v>1</v>
      </c>
      <c r="F676" s="19">
        <v>-0.71665319320937748</v>
      </c>
      <c r="G676" s="6">
        <v>24.817610399168512</v>
      </c>
      <c r="H676" s="20">
        <v>8.43</v>
      </c>
      <c r="I676" s="21">
        <v>0</v>
      </c>
      <c r="J676" s="21">
        <v>0</v>
      </c>
      <c r="K676" s="22">
        <v>0</v>
      </c>
      <c r="L676" s="36">
        <v>17.77</v>
      </c>
    </row>
    <row r="677" spans="1:12" x14ac:dyDescent="0.45">
      <c r="A677" s="9" t="s">
        <v>686</v>
      </c>
      <c r="B677" s="2">
        <f>IF(OR(Table1[[#This Row],[M score]]=1,AND(Table1[[#This Row],[F score]]=1,Table1[[#This Row],[Z score]]=1)),1,0)</f>
        <v>0</v>
      </c>
      <c r="C677" s="10">
        <v>0</v>
      </c>
      <c r="D677" s="10">
        <v>0</v>
      </c>
      <c r="E677" s="11">
        <v>0</v>
      </c>
      <c r="F677" s="12">
        <v>37.285714285714285</v>
      </c>
      <c r="G677" s="13">
        <v>26.813806192245082</v>
      </c>
      <c r="H677" s="14">
        <v>8.5399999999999991</v>
      </c>
      <c r="I677" s="15">
        <v>1</v>
      </c>
      <c r="J677" s="15">
        <v>0</v>
      </c>
      <c r="K677" s="16">
        <v>1</v>
      </c>
      <c r="L677" s="36">
        <v>3.17</v>
      </c>
    </row>
    <row r="678" spans="1:12" x14ac:dyDescent="0.45">
      <c r="A678" s="1" t="s">
        <v>687</v>
      </c>
      <c r="B678" s="2">
        <f>IF(OR(Table1[[#This Row],[M score]]=1,AND(Table1[[#This Row],[F score]]=1,Table1[[#This Row],[Z score]]=1)),1,0)</f>
        <v>0</v>
      </c>
      <c r="C678" s="17">
        <v>0</v>
      </c>
      <c r="D678" s="17">
        <v>0</v>
      </c>
      <c r="E678" s="18">
        <v>0</v>
      </c>
      <c r="F678" s="19">
        <v>6.7417582417582418</v>
      </c>
      <c r="G678" s="6">
        <v>26.859155350657197</v>
      </c>
      <c r="H678" s="20">
        <v>19.43</v>
      </c>
      <c r="I678" s="21">
        <v>0</v>
      </c>
      <c r="J678" s="21">
        <v>0</v>
      </c>
      <c r="K678" s="22">
        <v>1</v>
      </c>
      <c r="L678" s="36">
        <v>15.39</v>
      </c>
    </row>
    <row r="679" spans="1:12" x14ac:dyDescent="0.45">
      <c r="A679" s="9" t="s">
        <v>688</v>
      </c>
      <c r="B679" s="2">
        <f>IF(OR(Table1[[#This Row],[M score]]=1,AND(Table1[[#This Row],[F score]]=1,Table1[[#This Row],[Z score]]=1)),1,0)</f>
        <v>0</v>
      </c>
      <c r="C679" s="10">
        <v>0</v>
      </c>
      <c r="D679" s="10">
        <v>1</v>
      </c>
      <c r="E679" s="11">
        <v>0</v>
      </c>
      <c r="F679" s="12">
        <v>-5.06993006993007</v>
      </c>
      <c r="G679" s="13">
        <v>26.021583203494448</v>
      </c>
      <c r="H679" s="14">
        <v>55.79</v>
      </c>
      <c r="I679" s="15">
        <v>0</v>
      </c>
      <c r="J679" s="15">
        <v>0</v>
      </c>
      <c r="K679" s="16">
        <v>0</v>
      </c>
      <c r="L679" s="36">
        <v>8.24</v>
      </c>
    </row>
    <row r="680" spans="1:12" x14ac:dyDescent="0.45">
      <c r="A680" s="1" t="s">
        <v>689</v>
      </c>
      <c r="B680" s="2">
        <f>IF(OR(Table1[[#This Row],[M score]]=1,AND(Table1[[#This Row],[F score]]=1,Table1[[#This Row],[Z score]]=1)),1,0)</f>
        <v>1</v>
      </c>
      <c r="C680" s="17">
        <v>0</v>
      </c>
      <c r="D680" s="17">
        <v>0</v>
      </c>
      <c r="E680" s="18">
        <v>1</v>
      </c>
      <c r="F680" s="19">
        <v>1.0875208217656858</v>
      </c>
      <c r="G680" s="6">
        <v>29.516263839329927</v>
      </c>
      <c r="H680" s="20">
        <v>30.49</v>
      </c>
      <c r="I680" s="21">
        <v>0</v>
      </c>
      <c r="J680" s="21">
        <v>0</v>
      </c>
      <c r="K680" s="22">
        <v>1</v>
      </c>
      <c r="L680" s="36">
        <v>74.23</v>
      </c>
    </row>
    <row r="681" spans="1:12" x14ac:dyDescent="0.45">
      <c r="A681" s="9" t="s">
        <v>690</v>
      </c>
      <c r="B681" s="2">
        <f>IF(OR(Table1[[#This Row],[M score]]=1,AND(Table1[[#This Row],[F score]]=1,Table1[[#This Row],[Z score]]=1)),1,0)</f>
        <v>0</v>
      </c>
      <c r="C681" s="10">
        <v>0</v>
      </c>
      <c r="D681" s="10">
        <v>0</v>
      </c>
      <c r="E681" s="11">
        <v>0</v>
      </c>
      <c r="F681" s="12">
        <v>-4.2454513021762397E-2</v>
      </c>
      <c r="G681" s="13">
        <v>25.703331289259516</v>
      </c>
      <c r="H681" s="14">
        <v>21.66</v>
      </c>
      <c r="I681" s="15">
        <v>1</v>
      </c>
      <c r="J681" s="15">
        <v>1</v>
      </c>
      <c r="K681" s="16">
        <v>1</v>
      </c>
      <c r="L681" s="36">
        <v>4.3499999999999996</v>
      </c>
    </row>
    <row r="682" spans="1:12" x14ac:dyDescent="0.45">
      <c r="A682" s="1" t="s">
        <v>691</v>
      </c>
      <c r="B682" s="2">
        <f>IF(OR(Table1[[#This Row],[M score]]=1,AND(Table1[[#This Row],[F score]]=1,Table1[[#This Row],[Z score]]=1)),1,0)</f>
        <v>0</v>
      </c>
      <c r="C682" s="17">
        <v>0</v>
      </c>
      <c r="D682" s="17">
        <v>0</v>
      </c>
      <c r="E682" s="18">
        <v>0</v>
      </c>
      <c r="F682" s="19">
        <v>-1.890359168241966E-3</v>
      </c>
      <c r="G682" s="6">
        <v>26.342550743255906</v>
      </c>
      <c r="H682" s="20">
        <v>33.869999999999997</v>
      </c>
      <c r="I682" s="21">
        <v>1</v>
      </c>
      <c r="J682" s="21">
        <v>0</v>
      </c>
      <c r="K682" s="22">
        <v>1</v>
      </c>
      <c r="L682" s="36">
        <v>-11.4</v>
      </c>
    </row>
    <row r="683" spans="1:12" x14ac:dyDescent="0.45">
      <c r="A683" s="9" t="s">
        <v>692</v>
      </c>
      <c r="B683" s="2">
        <f>IF(OR(Table1[[#This Row],[M score]]=1,AND(Table1[[#This Row],[F score]]=1,Table1[[#This Row],[Z score]]=1)),1,0)</f>
        <v>1</v>
      </c>
      <c r="C683" s="10">
        <v>0</v>
      </c>
      <c r="D683" s="10">
        <v>0</v>
      </c>
      <c r="E683" s="11">
        <v>1</v>
      </c>
      <c r="F683" s="12">
        <v>4.3787878787878789</v>
      </c>
      <c r="G683" s="13">
        <v>27.225447885775406</v>
      </c>
      <c r="H683" s="14">
        <v>57.23</v>
      </c>
      <c r="I683" s="15">
        <v>1</v>
      </c>
      <c r="J683" s="15">
        <v>0</v>
      </c>
      <c r="K683" s="16">
        <v>1</v>
      </c>
      <c r="L683" s="36">
        <v>73.56</v>
      </c>
    </row>
    <row r="684" spans="1:12" x14ac:dyDescent="0.45">
      <c r="A684" s="1" t="s">
        <v>693</v>
      </c>
      <c r="B684" s="2">
        <f>IF(OR(Table1[[#This Row],[M score]]=1,AND(Table1[[#This Row],[F score]]=1,Table1[[#This Row],[Z score]]=1)),1,0)</f>
        <v>0</v>
      </c>
      <c r="C684" s="17">
        <v>0</v>
      </c>
      <c r="D684" s="17">
        <v>0</v>
      </c>
      <c r="E684" s="18">
        <v>0</v>
      </c>
      <c r="F684" s="19">
        <v>4.4745057232049947E-2</v>
      </c>
      <c r="G684" s="6">
        <v>28.765254859723434</v>
      </c>
      <c r="H684" s="20">
        <v>5.82</v>
      </c>
      <c r="I684" s="21">
        <v>1</v>
      </c>
      <c r="J684" s="21">
        <v>1</v>
      </c>
      <c r="K684" s="22">
        <v>1</v>
      </c>
      <c r="L684" s="36">
        <v>10.029999999999999</v>
      </c>
    </row>
    <row r="685" spans="1:12" x14ac:dyDescent="0.45">
      <c r="A685" s="9" t="s">
        <v>694</v>
      </c>
      <c r="B685" s="2">
        <f>IF(OR(Table1[[#This Row],[M score]]=1,AND(Table1[[#This Row],[F score]]=1,Table1[[#This Row],[Z score]]=1)),1,0)</f>
        <v>1</v>
      </c>
      <c r="C685" s="10">
        <v>0</v>
      </c>
      <c r="D685" s="10">
        <v>0</v>
      </c>
      <c r="E685" s="11">
        <v>1</v>
      </c>
      <c r="F685" s="12">
        <v>41.81818181818182</v>
      </c>
      <c r="G685" s="13">
        <v>28.218303090162422</v>
      </c>
      <c r="H685" s="14">
        <v>28.99</v>
      </c>
      <c r="I685" s="15">
        <v>0</v>
      </c>
      <c r="J685" s="15">
        <v>0</v>
      </c>
      <c r="K685" s="16">
        <v>1</v>
      </c>
      <c r="L685" s="36">
        <v>8.9600000000000009</v>
      </c>
    </row>
    <row r="686" spans="1:12" x14ac:dyDescent="0.45">
      <c r="A686" s="1" t="s">
        <v>695</v>
      </c>
      <c r="B686" s="2">
        <f>IF(OR(Table1[[#This Row],[M score]]=1,AND(Table1[[#This Row],[F score]]=1,Table1[[#This Row],[Z score]]=1)),1,0)</f>
        <v>0</v>
      </c>
      <c r="C686" s="17">
        <v>0</v>
      </c>
      <c r="D686" s="17">
        <v>0</v>
      </c>
      <c r="E686" s="18">
        <v>0</v>
      </c>
      <c r="F686" s="19">
        <v>5.4977711738484397E-2</v>
      </c>
      <c r="G686" s="6">
        <v>27.061771423601822</v>
      </c>
      <c r="H686" s="20">
        <v>10.01</v>
      </c>
      <c r="I686" s="21">
        <v>1</v>
      </c>
      <c r="J686" s="21">
        <v>0</v>
      </c>
      <c r="K686" s="22">
        <v>1</v>
      </c>
      <c r="L686" s="36">
        <v>10.88</v>
      </c>
    </row>
    <row r="687" spans="1:12" x14ac:dyDescent="0.45">
      <c r="A687" s="9" t="s">
        <v>696</v>
      </c>
      <c r="B687" s="2">
        <f>IF(OR(Table1[[#This Row],[M score]]=1,AND(Table1[[#This Row],[F score]]=1,Table1[[#This Row],[Z score]]=1)),1,0)</f>
        <v>0</v>
      </c>
      <c r="C687" s="10">
        <v>0</v>
      </c>
      <c r="D687" s="10">
        <v>0</v>
      </c>
      <c r="E687" s="11">
        <v>0</v>
      </c>
      <c r="F687" s="12">
        <v>-0.60025873221216042</v>
      </c>
      <c r="G687" s="13">
        <v>25.957174508595752</v>
      </c>
      <c r="H687" s="14">
        <v>28.74</v>
      </c>
      <c r="I687" s="15">
        <v>1</v>
      </c>
      <c r="J687" s="15">
        <v>0</v>
      </c>
      <c r="K687" s="16">
        <v>1</v>
      </c>
      <c r="L687" s="36">
        <v>-3.67</v>
      </c>
    </row>
    <row r="688" spans="1:12" x14ac:dyDescent="0.45">
      <c r="A688" s="1" t="s">
        <v>697</v>
      </c>
      <c r="B688" s="2">
        <f>IF(OR(Table1[[#This Row],[M score]]=1,AND(Table1[[#This Row],[F score]]=1,Table1[[#This Row],[Z score]]=1)),1,0)</f>
        <v>0</v>
      </c>
      <c r="C688" s="17">
        <v>0</v>
      </c>
      <c r="D688" s="17">
        <v>1</v>
      </c>
      <c r="E688" s="18">
        <v>0</v>
      </c>
      <c r="F688" s="19">
        <v>-21.8</v>
      </c>
      <c r="G688" s="6">
        <v>27.124168108363339</v>
      </c>
      <c r="H688" s="20">
        <v>21.52</v>
      </c>
      <c r="I688" s="21">
        <v>1</v>
      </c>
      <c r="J688" s="21">
        <v>0</v>
      </c>
      <c r="K688" s="22">
        <v>1</v>
      </c>
      <c r="L688" s="36">
        <v>1.5</v>
      </c>
    </row>
    <row r="689" spans="1:12" x14ac:dyDescent="0.45">
      <c r="A689" s="9" t="s">
        <v>698</v>
      </c>
      <c r="B689" s="2">
        <f>IF(OR(Table1[[#This Row],[M score]]=1,AND(Table1[[#This Row],[F score]]=1,Table1[[#This Row],[Z score]]=1)),1,0)</f>
        <v>0</v>
      </c>
      <c r="C689" s="10">
        <v>0</v>
      </c>
      <c r="D689" s="10">
        <v>0</v>
      </c>
      <c r="E689" s="11">
        <v>0</v>
      </c>
      <c r="F689" s="12">
        <v>0.18461538461538463</v>
      </c>
      <c r="G689" s="13">
        <v>25.658569015366805</v>
      </c>
      <c r="H689" s="14">
        <v>41.78</v>
      </c>
      <c r="I689" s="15">
        <v>0</v>
      </c>
      <c r="J689" s="15">
        <v>0</v>
      </c>
      <c r="K689" s="16">
        <v>1</v>
      </c>
      <c r="L689" s="36">
        <v>9.02</v>
      </c>
    </row>
    <row r="690" spans="1:12" x14ac:dyDescent="0.45">
      <c r="A690" s="1" t="s">
        <v>699</v>
      </c>
      <c r="B690" s="2">
        <f>IF(OR(Table1[[#This Row],[M score]]=1,AND(Table1[[#This Row],[F score]]=1,Table1[[#This Row],[Z score]]=1)),1,0)</f>
        <v>1</v>
      </c>
      <c r="C690" s="17">
        <v>0</v>
      </c>
      <c r="D690" s="17">
        <v>1</v>
      </c>
      <c r="E690" s="18">
        <v>1</v>
      </c>
      <c r="F690" s="19">
        <v>-1.0022962112514351</v>
      </c>
      <c r="G690" s="6">
        <v>25.931205709666774</v>
      </c>
      <c r="H690" s="20">
        <v>3.93</v>
      </c>
      <c r="I690" s="21">
        <v>0</v>
      </c>
      <c r="J690" s="21">
        <v>0</v>
      </c>
      <c r="K690" s="22">
        <v>0</v>
      </c>
      <c r="L690" s="36">
        <v>36.979999999999997</v>
      </c>
    </row>
    <row r="691" spans="1:12" x14ac:dyDescent="0.45">
      <c r="A691" s="9" t="s">
        <v>700</v>
      </c>
      <c r="B691" s="2">
        <f>IF(OR(Table1[[#This Row],[M score]]=1,AND(Table1[[#This Row],[F score]]=1,Table1[[#This Row],[Z score]]=1)),1,0)</f>
        <v>0</v>
      </c>
      <c r="C691" s="10">
        <v>0</v>
      </c>
      <c r="D691" s="10">
        <v>1</v>
      </c>
      <c r="E691" s="11">
        <v>0</v>
      </c>
      <c r="F691" s="12">
        <v>1.4666666666666666</v>
      </c>
      <c r="G691" s="13">
        <v>27.873742275890809</v>
      </c>
      <c r="H691" s="14">
        <v>21.59</v>
      </c>
      <c r="I691" s="15">
        <v>1</v>
      </c>
      <c r="J691" s="15">
        <v>1</v>
      </c>
      <c r="K691" s="16">
        <v>1</v>
      </c>
      <c r="L691" s="36">
        <v>-1.57</v>
      </c>
    </row>
    <row r="692" spans="1:12" x14ac:dyDescent="0.45">
      <c r="A692" s="1" t="s">
        <v>701</v>
      </c>
      <c r="B692" s="2">
        <f>IF(OR(Table1[[#This Row],[M score]]=1,AND(Table1[[#This Row],[F score]]=1,Table1[[#This Row],[Z score]]=1)),1,0)</f>
        <v>0</v>
      </c>
      <c r="C692" s="17">
        <v>0</v>
      </c>
      <c r="D692" s="17">
        <v>1</v>
      </c>
      <c r="E692" s="18">
        <v>0</v>
      </c>
      <c r="F692" s="19">
        <v>-7.4224598930481287</v>
      </c>
      <c r="G692" s="6">
        <v>26.62076906662605</v>
      </c>
      <c r="H692" s="20">
        <v>30.95</v>
      </c>
      <c r="I692" s="21">
        <v>1</v>
      </c>
      <c r="J692" s="21">
        <v>0</v>
      </c>
      <c r="K692" s="22">
        <v>1</v>
      </c>
      <c r="L692" s="36">
        <v>8.33</v>
      </c>
    </row>
    <row r="693" spans="1:12" x14ac:dyDescent="0.45">
      <c r="A693" s="9" t="s">
        <v>702</v>
      </c>
      <c r="B693" s="2">
        <f>IF(OR(Table1[[#This Row],[M score]]=1,AND(Table1[[#This Row],[F score]]=1,Table1[[#This Row],[Z score]]=1)),1,0)</f>
        <v>0</v>
      </c>
      <c r="C693" s="10">
        <v>0</v>
      </c>
      <c r="D693" s="10">
        <v>0</v>
      </c>
      <c r="E693" s="11">
        <v>0</v>
      </c>
      <c r="F693" s="12">
        <v>-0.7963800904977375</v>
      </c>
      <c r="G693" s="13">
        <v>26.155239588307122</v>
      </c>
      <c r="H693" s="14">
        <v>23.54</v>
      </c>
      <c r="I693" s="15">
        <v>0</v>
      </c>
      <c r="J693" s="15">
        <v>0</v>
      </c>
      <c r="K693" s="16">
        <v>1</v>
      </c>
      <c r="L693" s="36">
        <v>0.53</v>
      </c>
    </row>
    <row r="694" spans="1:12" x14ac:dyDescent="0.45">
      <c r="A694" s="1" t="s">
        <v>703</v>
      </c>
      <c r="B694" s="2">
        <f>IF(OR(Table1[[#This Row],[M score]]=1,AND(Table1[[#This Row],[F score]]=1,Table1[[#This Row],[Z score]]=1)),1,0)</f>
        <v>0</v>
      </c>
      <c r="C694" s="17">
        <v>0</v>
      </c>
      <c r="D694" s="17">
        <v>0</v>
      </c>
      <c r="E694" s="18">
        <v>0</v>
      </c>
      <c r="F694" s="19">
        <v>0.71659548505186088</v>
      </c>
      <c r="G694" s="6">
        <v>27.116665177260895</v>
      </c>
      <c r="H694" s="20">
        <v>12.44</v>
      </c>
      <c r="I694" s="21">
        <v>0</v>
      </c>
      <c r="J694" s="21">
        <v>0</v>
      </c>
      <c r="K694" s="22">
        <v>1</v>
      </c>
      <c r="L694" s="36">
        <v>29.65</v>
      </c>
    </row>
    <row r="695" spans="1:12" x14ac:dyDescent="0.45">
      <c r="A695" s="9" t="s">
        <v>704</v>
      </c>
      <c r="B695" s="2">
        <f>IF(OR(Table1[[#This Row],[M score]]=1,AND(Table1[[#This Row],[F score]]=1,Table1[[#This Row],[Z score]]=1)),1,0)</f>
        <v>0</v>
      </c>
      <c r="C695" s="10">
        <v>0</v>
      </c>
      <c r="D695" s="10">
        <v>1</v>
      </c>
      <c r="E695" s="11">
        <v>0</v>
      </c>
      <c r="F695" s="12">
        <v>0.4603340292275574</v>
      </c>
      <c r="G695" s="13">
        <v>28.475289986805237</v>
      </c>
      <c r="H695" s="14">
        <v>2.73</v>
      </c>
      <c r="I695" s="15">
        <v>1</v>
      </c>
      <c r="J695" s="15">
        <v>1</v>
      </c>
      <c r="K695" s="16">
        <v>1</v>
      </c>
      <c r="L695" s="36">
        <v>2.23</v>
      </c>
    </row>
    <row r="696" spans="1:12" x14ac:dyDescent="0.45">
      <c r="A696" s="1" t="s">
        <v>705</v>
      </c>
      <c r="B696" s="2">
        <f>IF(OR(Table1[[#This Row],[M score]]=1,AND(Table1[[#This Row],[F score]]=1,Table1[[#This Row],[Z score]]=1)),1,0)</f>
        <v>0</v>
      </c>
      <c r="C696" s="17">
        <v>0</v>
      </c>
      <c r="D696" s="17">
        <v>0</v>
      </c>
      <c r="E696" s="18">
        <v>0</v>
      </c>
      <c r="F696" s="19">
        <v>0.18866396761133603</v>
      </c>
      <c r="G696" s="6">
        <v>25.894146608372036</v>
      </c>
      <c r="H696" s="20">
        <v>0.56999999999999995</v>
      </c>
      <c r="I696" s="21">
        <v>1</v>
      </c>
      <c r="J696" s="21">
        <v>0</v>
      </c>
      <c r="K696" s="22">
        <v>0</v>
      </c>
      <c r="L696" s="36">
        <v>6.93</v>
      </c>
    </row>
    <row r="697" spans="1:12" x14ac:dyDescent="0.45">
      <c r="A697" s="9" t="s">
        <v>706</v>
      </c>
      <c r="B697" s="2">
        <f>IF(OR(Table1[[#This Row],[M score]]=1,AND(Table1[[#This Row],[F score]]=1,Table1[[#This Row],[Z score]]=1)),1,0)</f>
        <v>0</v>
      </c>
      <c r="C697" s="10">
        <v>0</v>
      </c>
      <c r="D697" s="10">
        <v>0</v>
      </c>
      <c r="E697" s="11">
        <v>0</v>
      </c>
      <c r="F697" s="12">
        <v>-0.17735849056603772</v>
      </c>
      <c r="G697" s="13">
        <v>26.841638165417848</v>
      </c>
      <c r="H697" s="14">
        <v>38.56</v>
      </c>
      <c r="I697" s="15">
        <v>1</v>
      </c>
      <c r="J697" s="15">
        <v>0</v>
      </c>
      <c r="K697" s="16">
        <v>1</v>
      </c>
      <c r="L697" s="36">
        <v>-2.92</v>
      </c>
    </row>
    <row r="698" spans="1:12" x14ac:dyDescent="0.45">
      <c r="A698" s="1" t="s">
        <v>707</v>
      </c>
      <c r="B698" s="2">
        <f>IF(OR(Table1[[#This Row],[M score]]=1,AND(Table1[[#This Row],[F score]]=1,Table1[[#This Row],[Z score]]=1)),1,0)</f>
        <v>0</v>
      </c>
      <c r="C698" s="17">
        <v>0</v>
      </c>
      <c r="D698" s="17">
        <v>0</v>
      </c>
      <c r="E698" s="18">
        <v>0</v>
      </c>
      <c r="F698" s="19">
        <v>0.81516587677725116</v>
      </c>
      <c r="G698" s="6">
        <v>29.243893125096932</v>
      </c>
      <c r="H698" s="20">
        <v>36.11</v>
      </c>
      <c r="I698" s="21">
        <v>0</v>
      </c>
      <c r="J698" s="21">
        <v>0</v>
      </c>
      <c r="K698" s="22">
        <v>0</v>
      </c>
      <c r="L698" s="36">
        <v>9.85</v>
      </c>
    </row>
    <row r="699" spans="1:12" x14ac:dyDescent="0.45">
      <c r="A699" s="9" t="s">
        <v>708</v>
      </c>
      <c r="B699" s="2">
        <f>IF(OR(Table1[[#This Row],[M score]]=1,AND(Table1[[#This Row],[F score]]=1,Table1[[#This Row],[Z score]]=1)),1,0)</f>
        <v>0</v>
      </c>
      <c r="C699" s="10">
        <v>0</v>
      </c>
      <c r="D699" s="10">
        <v>0</v>
      </c>
      <c r="E699" s="11">
        <v>0</v>
      </c>
      <c r="F699" s="12">
        <v>0.69761273209549068</v>
      </c>
      <c r="G699" s="13">
        <v>26.558953382482549</v>
      </c>
      <c r="H699" s="14">
        <v>38.94</v>
      </c>
      <c r="I699" s="15">
        <v>1</v>
      </c>
      <c r="J699" s="15">
        <v>0</v>
      </c>
      <c r="K699" s="16">
        <v>1</v>
      </c>
      <c r="L699" s="36">
        <v>-8.0500000000000007</v>
      </c>
    </row>
    <row r="700" spans="1:12" x14ac:dyDescent="0.45">
      <c r="A700" s="1" t="s">
        <v>709</v>
      </c>
      <c r="B700" s="2">
        <f>IF(OR(Table1[[#This Row],[M score]]=1,AND(Table1[[#This Row],[F score]]=1,Table1[[#This Row],[Z score]]=1)),1,0)</f>
        <v>1</v>
      </c>
      <c r="C700" s="17">
        <v>0</v>
      </c>
      <c r="D700" s="17">
        <v>0</v>
      </c>
      <c r="E700" s="18">
        <v>1</v>
      </c>
      <c r="F700" s="19">
        <v>2.2314082278481013</v>
      </c>
      <c r="G700" s="6">
        <v>25.392181736132894</v>
      </c>
      <c r="H700" s="20">
        <v>52.23</v>
      </c>
      <c r="I700" s="21">
        <v>1</v>
      </c>
      <c r="J700" s="21">
        <v>1</v>
      </c>
      <c r="K700" s="22">
        <v>1</v>
      </c>
      <c r="L700" s="36">
        <v>16.63</v>
      </c>
    </row>
    <row r="701" spans="1:12" x14ac:dyDescent="0.45">
      <c r="A701" s="9" t="s">
        <v>710</v>
      </c>
      <c r="B701" s="2">
        <f>IF(OR(Table1[[#This Row],[M score]]=1,AND(Table1[[#This Row],[F score]]=1,Table1[[#This Row],[Z score]]=1)),1,0)</f>
        <v>0</v>
      </c>
      <c r="C701" s="10">
        <v>0</v>
      </c>
      <c r="D701" s="10">
        <v>1</v>
      </c>
      <c r="E701" s="11">
        <v>0</v>
      </c>
      <c r="F701" s="12">
        <v>0.52569882777276822</v>
      </c>
      <c r="G701" s="13">
        <v>25.656472780734614</v>
      </c>
      <c r="H701" s="14">
        <v>25.48</v>
      </c>
      <c r="I701" s="15">
        <v>0</v>
      </c>
      <c r="J701" s="15">
        <v>0</v>
      </c>
      <c r="K701" s="16">
        <v>0</v>
      </c>
      <c r="L701" s="36">
        <v>-30.62</v>
      </c>
    </row>
    <row r="702" spans="1:12" x14ac:dyDescent="0.45">
      <c r="A702" s="1" t="s">
        <v>711</v>
      </c>
      <c r="B702" s="2">
        <f>IF(OR(Table1[[#This Row],[M score]]=1,AND(Table1[[#This Row],[F score]]=1,Table1[[#This Row],[Z score]]=1)),1,0)</f>
        <v>0</v>
      </c>
      <c r="C702" s="17">
        <v>0</v>
      </c>
      <c r="D702" s="17">
        <v>0</v>
      </c>
      <c r="E702" s="18">
        <v>0</v>
      </c>
      <c r="F702" s="19">
        <v>0.74157146837559207</v>
      </c>
      <c r="G702" s="6">
        <v>26.882572619583513</v>
      </c>
      <c r="H702" s="20">
        <v>11.81</v>
      </c>
      <c r="I702" s="21">
        <v>1</v>
      </c>
      <c r="J702" s="21">
        <v>1</v>
      </c>
      <c r="K702" s="22">
        <v>1</v>
      </c>
      <c r="L702" s="36">
        <v>22.42</v>
      </c>
    </row>
    <row r="703" spans="1:12" x14ac:dyDescent="0.45">
      <c r="A703" s="9" t="s">
        <v>712</v>
      </c>
      <c r="B703" s="2">
        <f>IF(OR(Table1[[#This Row],[M score]]=1,AND(Table1[[#This Row],[F score]]=1,Table1[[#This Row],[Z score]]=1)),1,0)</f>
        <v>0</v>
      </c>
      <c r="C703" s="10">
        <v>0</v>
      </c>
      <c r="D703" s="10">
        <v>1</v>
      </c>
      <c r="E703" s="11">
        <v>0</v>
      </c>
      <c r="F703" s="12">
        <v>-0.95692883895131087</v>
      </c>
      <c r="G703" s="13">
        <v>24.983123933690873</v>
      </c>
      <c r="H703" s="14">
        <v>43.43</v>
      </c>
      <c r="I703" s="15">
        <v>0</v>
      </c>
      <c r="J703" s="15">
        <v>0</v>
      </c>
      <c r="K703" s="16">
        <v>1</v>
      </c>
      <c r="L703" s="36">
        <v>-201.83</v>
      </c>
    </row>
    <row r="704" spans="1:12" x14ac:dyDescent="0.45">
      <c r="A704" s="1" t="s">
        <v>713</v>
      </c>
      <c r="B704" s="2">
        <f>IF(OR(Table1[[#This Row],[M score]]=1,AND(Table1[[#This Row],[F score]]=1,Table1[[#This Row],[Z score]]=1)),1,0)</f>
        <v>0</v>
      </c>
      <c r="C704" s="17">
        <v>0</v>
      </c>
      <c r="D704" s="17">
        <v>1</v>
      </c>
      <c r="E704" s="18">
        <v>0</v>
      </c>
      <c r="F704" s="19">
        <v>0.23876765083440307</v>
      </c>
      <c r="G704" s="6">
        <v>25.645469109050985</v>
      </c>
      <c r="H704" s="20">
        <v>0.2</v>
      </c>
      <c r="I704" s="21">
        <v>1</v>
      </c>
      <c r="J704" s="21">
        <v>0</v>
      </c>
      <c r="K704" s="22">
        <v>1</v>
      </c>
      <c r="L704" s="36">
        <v>1.4</v>
      </c>
    </row>
    <row r="705" spans="1:12" x14ac:dyDescent="0.45">
      <c r="A705" s="9" t="s">
        <v>714</v>
      </c>
      <c r="B705" s="2">
        <f>IF(OR(Table1[[#This Row],[M score]]=1,AND(Table1[[#This Row],[F score]]=1,Table1[[#This Row],[Z score]]=1)),1,0)</f>
        <v>1</v>
      </c>
      <c r="C705" s="10">
        <v>0</v>
      </c>
      <c r="D705" s="10">
        <v>1</v>
      </c>
      <c r="E705" s="11">
        <v>1</v>
      </c>
      <c r="F705" s="12">
        <v>-1.7551020408163265</v>
      </c>
      <c r="G705" s="13">
        <v>25.095224552278868</v>
      </c>
      <c r="H705" s="14">
        <v>30.26</v>
      </c>
      <c r="I705" s="15">
        <v>1</v>
      </c>
      <c r="J705" s="15">
        <v>0</v>
      </c>
      <c r="K705" s="16">
        <v>1</v>
      </c>
      <c r="L705" s="36">
        <v>0.7</v>
      </c>
    </row>
    <row r="706" spans="1:12" x14ac:dyDescent="0.45">
      <c r="A706" s="1" t="s">
        <v>715</v>
      </c>
      <c r="B706" s="2">
        <f>IF(OR(Table1[[#This Row],[M score]]=1,AND(Table1[[#This Row],[F score]]=1,Table1[[#This Row],[Z score]]=1)),1,0)</f>
        <v>0</v>
      </c>
      <c r="C706" s="17">
        <v>0</v>
      </c>
      <c r="D706" s="17">
        <v>0</v>
      </c>
      <c r="E706" s="18">
        <v>0</v>
      </c>
      <c r="F706" s="19">
        <v>1.6734693877551021</v>
      </c>
      <c r="G706" s="6">
        <v>27.269777089612539</v>
      </c>
      <c r="H706" s="20">
        <v>0.06</v>
      </c>
      <c r="I706" s="21">
        <v>1</v>
      </c>
      <c r="J706" s="21">
        <v>0</v>
      </c>
      <c r="K706" s="22">
        <v>0</v>
      </c>
      <c r="L706" s="36">
        <v>26.18</v>
      </c>
    </row>
    <row r="707" spans="1:12" x14ac:dyDescent="0.45">
      <c r="A707" s="9" t="s">
        <v>716</v>
      </c>
      <c r="B707" s="2">
        <f>IF(OR(Table1[[#This Row],[M score]]=1,AND(Table1[[#This Row],[F score]]=1,Table1[[#This Row],[Z score]]=1)),1,0)</f>
        <v>0</v>
      </c>
      <c r="C707" s="10">
        <v>0</v>
      </c>
      <c r="D707" s="10">
        <v>0</v>
      </c>
      <c r="E707" s="11">
        <v>0</v>
      </c>
      <c r="F707" s="12">
        <v>-0.33763888888888888</v>
      </c>
      <c r="G707" s="13">
        <v>28.163999440169</v>
      </c>
      <c r="H707" s="14">
        <v>11.24</v>
      </c>
      <c r="I707" s="15">
        <v>0</v>
      </c>
      <c r="J707" s="15">
        <v>1</v>
      </c>
      <c r="K707" s="16">
        <v>1</v>
      </c>
      <c r="L707" s="36">
        <v>18.8</v>
      </c>
    </row>
    <row r="708" spans="1:12" x14ac:dyDescent="0.45">
      <c r="A708" s="1" t="s">
        <v>717</v>
      </c>
      <c r="B708" s="2">
        <f>IF(OR(Table1[[#This Row],[M score]]=1,AND(Table1[[#This Row],[F score]]=1,Table1[[#This Row],[Z score]]=1)),1,0)</f>
        <v>0</v>
      </c>
      <c r="C708" s="17">
        <v>0</v>
      </c>
      <c r="D708" s="17">
        <v>0</v>
      </c>
      <c r="E708" s="18">
        <v>0</v>
      </c>
      <c r="F708" s="19">
        <v>5.6436441816715933E-3</v>
      </c>
      <c r="G708" s="6">
        <v>25.782685961864544</v>
      </c>
      <c r="H708" s="20">
        <v>24.23</v>
      </c>
      <c r="I708" s="21">
        <v>1</v>
      </c>
      <c r="J708" s="21">
        <v>0</v>
      </c>
      <c r="K708" s="22">
        <v>1</v>
      </c>
      <c r="L708" s="36">
        <v>5.73</v>
      </c>
    </row>
    <row r="709" spans="1:12" x14ac:dyDescent="0.45">
      <c r="A709" s="9" t="s">
        <v>718</v>
      </c>
      <c r="B709" s="2">
        <f>IF(OR(Table1[[#This Row],[M score]]=1,AND(Table1[[#This Row],[F score]]=1,Table1[[#This Row],[Z score]]=1)),1,0)</f>
        <v>0</v>
      </c>
      <c r="C709" s="10">
        <v>0</v>
      </c>
      <c r="D709" s="10">
        <v>1</v>
      </c>
      <c r="E709" s="11">
        <v>0</v>
      </c>
      <c r="F709" s="12">
        <v>0.91973244147157196</v>
      </c>
      <c r="G709" s="13">
        <v>25.765399798102038</v>
      </c>
      <c r="H709" s="14">
        <v>14.43</v>
      </c>
      <c r="I709" s="15">
        <v>1</v>
      </c>
      <c r="J709" s="15">
        <v>0</v>
      </c>
      <c r="K709" s="16">
        <v>1</v>
      </c>
      <c r="L709" s="36">
        <v>2.2000000000000002</v>
      </c>
    </row>
    <row r="710" spans="1:12" x14ac:dyDescent="0.45">
      <c r="A710" s="1" t="s">
        <v>719</v>
      </c>
      <c r="B710" s="2">
        <f>IF(OR(Table1[[#This Row],[M score]]=1,AND(Table1[[#This Row],[F score]]=1,Table1[[#This Row],[Z score]]=1)),1,0)</f>
        <v>0</v>
      </c>
      <c r="C710" s="17">
        <v>0</v>
      </c>
      <c r="D710" s="17">
        <v>1</v>
      </c>
      <c r="E710" s="18">
        <v>0</v>
      </c>
      <c r="F710" s="19">
        <v>-0.70789163722025916</v>
      </c>
      <c r="G710" s="6">
        <v>26.794574494316461</v>
      </c>
      <c r="H710" s="20">
        <v>27.34</v>
      </c>
      <c r="I710" s="21">
        <v>1</v>
      </c>
      <c r="J710" s="21">
        <v>0</v>
      </c>
      <c r="K710" s="22">
        <v>1</v>
      </c>
      <c r="L710" s="36">
        <v>1.42</v>
      </c>
    </row>
    <row r="711" spans="1:12" x14ac:dyDescent="0.45">
      <c r="A711" s="9" t="s">
        <v>720</v>
      </c>
      <c r="B711" s="2">
        <f>IF(OR(Table1[[#This Row],[M score]]=1,AND(Table1[[#This Row],[F score]]=1,Table1[[#This Row],[Z score]]=1)),1,0)</f>
        <v>1</v>
      </c>
      <c r="C711" s="10">
        <v>0</v>
      </c>
      <c r="D711" s="10">
        <v>0</v>
      </c>
      <c r="E711" s="11">
        <v>1</v>
      </c>
      <c r="F711" s="12">
        <v>0.52941176470588236</v>
      </c>
      <c r="G711" s="13">
        <v>28.934798973688928</v>
      </c>
      <c r="H711" s="14">
        <v>16.170000000000002</v>
      </c>
      <c r="I711" s="15">
        <v>1</v>
      </c>
      <c r="J711" s="15">
        <v>0</v>
      </c>
      <c r="K711" s="16">
        <v>1</v>
      </c>
      <c r="L711" s="36">
        <v>7.82</v>
      </c>
    </row>
    <row r="712" spans="1:12" x14ac:dyDescent="0.45">
      <c r="A712" s="1" t="s">
        <v>721</v>
      </c>
      <c r="B712" s="2">
        <f>IF(OR(Table1[[#This Row],[M score]]=1,AND(Table1[[#This Row],[F score]]=1,Table1[[#This Row],[Z score]]=1)),1,0)</f>
        <v>0</v>
      </c>
      <c r="C712" s="17">
        <v>0</v>
      </c>
      <c r="D712" s="17">
        <v>0</v>
      </c>
      <c r="E712" s="18">
        <v>0</v>
      </c>
      <c r="F712" s="19">
        <v>0.27647503782148258</v>
      </c>
      <c r="G712" s="6">
        <v>26.102322007298387</v>
      </c>
      <c r="H712" s="20">
        <v>17.13</v>
      </c>
      <c r="I712" s="21">
        <v>1</v>
      </c>
      <c r="J712" s="21">
        <v>1</v>
      </c>
      <c r="K712" s="22">
        <v>1</v>
      </c>
      <c r="L712" s="36">
        <v>15.36</v>
      </c>
    </row>
    <row r="713" spans="1:12" x14ac:dyDescent="0.45">
      <c r="A713" s="9" t="s">
        <v>722</v>
      </c>
      <c r="B713" s="2">
        <f>IF(OR(Table1[[#This Row],[M score]]=1,AND(Table1[[#This Row],[F score]]=1,Table1[[#This Row],[Z score]]=1)),1,0)</f>
        <v>0</v>
      </c>
      <c r="C713" s="10">
        <v>0</v>
      </c>
      <c r="D713" s="10">
        <v>1</v>
      </c>
      <c r="E713" s="11">
        <v>0</v>
      </c>
      <c r="F713" s="12">
        <v>0.77181208053691275</v>
      </c>
      <c r="G713" s="13">
        <v>27.539848674067407</v>
      </c>
      <c r="H713" s="14">
        <v>16.510000000000002</v>
      </c>
      <c r="I713" s="15">
        <v>1</v>
      </c>
      <c r="J713" s="15">
        <v>0</v>
      </c>
      <c r="K713" s="16">
        <v>1</v>
      </c>
      <c r="L713" s="36">
        <v>1.63</v>
      </c>
    </row>
    <row r="714" spans="1:12" x14ac:dyDescent="0.45">
      <c r="A714" s="1" t="s">
        <v>723</v>
      </c>
      <c r="B714" s="2">
        <f>IF(OR(Table1[[#This Row],[M score]]=1,AND(Table1[[#This Row],[F score]]=1,Table1[[#This Row],[Z score]]=1)),1,0)</f>
        <v>0</v>
      </c>
      <c r="C714" s="17">
        <v>0</v>
      </c>
      <c r="D714" s="17">
        <v>1</v>
      </c>
      <c r="E714" s="18">
        <v>0</v>
      </c>
      <c r="F714" s="19">
        <v>4.2553191489361701E-2</v>
      </c>
      <c r="G714" s="6">
        <v>24.846719909555073</v>
      </c>
      <c r="H714" s="20">
        <v>8.1300000000000008</v>
      </c>
      <c r="I714" s="21">
        <v>1</v>
      </c>
      <c r="J714" s="21">
        <v>0</v>
      </c>
      <c r="K714" s="22">
        <v>1</v>
      </c>
      <c r="L714" s="36">
        <v>1.28</v>
      </c>
    </row>
    <row r="715" spans="1:12" x14ac:dyDescent="0.45">
      <c r="A715" s="9" t="s">
        <v>724</v>
      </c>
      <c r="B715" s="2">
        <f>IF(OR(Table1[[#This Row],[M score]]=1,AND(Table1[[#This Row],[F score]]=1,Table1[[#This Row],[Z score]]=1)),1,0)</f>
        <v>0</v>
      </c>
      <c r="C715" s="10">
        <v>0</v>
      </c>
      <c r="D715" s="10">
        <v>0</v>
      </c>
      <c r="E715" s="11">
        <v>0</v>
      </c>
      <c r="F715" s="12">
        <v>2.3536977491961415</v>
      </c>
      <c r="G715" s="13">
        <v>26.1938544244349</v>
      </c>
      <c r="H715" s="14">
        <v>20.67</v>
      </c>
      <c r="I715" s="15">
        <v>1</v>
      </c>
      <c r="J715" s="15">
        <v>1</v>
      </c>
      <c r="K715" s="16">
        <v>1</v>
      </c>
      <c r="L715" s="36">
        <v>9.24</v>
      </c>
    </row>
    <row r="716" spans="1:12" x14ac:dyDescent="0.45">
      <c r="A716" s="1" t="s">
        <v>725</v>
      </c>
      <c r="B716" s="2">
        <f>IF(OR(Table1[[#This Row],[M score]]=1,AND(Table1[[#This Row],[F score]]=1,Table1[[#This Row],[Z score]]=1)),1,0)</f>
        <v>0</v>
      </c>
      <c r="C716" s="17">
        <v>0</v>
      </c>
      <c r="D716" s="17">
        <v>0</v>
      </c>
      <c r="E716" s="18">
        <v>0</v>
      </c>
      <c r="F716" s="19">
        <v>0.1598499732095017</v>
      </c>
      <c r="G716" s="6">
        <v>29.663919312421598</v>
      </c>
      <c r="H716" s="20">
        <v>3.16</v>
      </c>
      <c r="I716" s="21">
        <v>1</v>
      </c>
      <c r="J716" s="21">
        <v>1</v>
      </c>
      <c r="K716" s="22">
        <v>1</v>
      </c>
      <c r="L716" s="36">
        <v>-40</v>
      </c>
    </row>
    <row r="717" spans="1:12" x14ac:dyDescent="0.45">
      <c r="A717" s="9" t="s">
        <v>726</v>
      </c>
      <c r="B717" s="2">
        <f>IF(OR(Table1[[#This Row],[M score]]=1,AND(Table1[[#This Row],[F score]]=1,Table1[[#This Row],[Z score]]=1)),1,0)</f>
        <v>0</v>
      </c>
      <c r="C717" s="10">
        <v>0</v>
      </c>
      <c r="D717" s="10">
        <v>1</v>
      </c>
      <c r="E717" s="11">
        <v>0</v>
      </c>
      <c r="F717" s="12">
        <v>2.9054054054054053</v>
      </c>
      <c r="G717" s="13">
        <v>30.312739962665585</v>
      </c>
      <c r="H717" s="14">
        <v>23.53</v>
      </c>
      <c r="I717" s="15">
        <v>1</v>
      </c>
      <c r="J717" s="15">
        <v>1</v>
      </c>
      <c r="K717" s="16">
        <v>1</v>
      </c>
      <c r="L717" s="36">
        <v>13.35</v>
      </c>
    </row>
    <row r="718" spans="1:12" x14ac:dyDescent="0.45">
      <c r="A718" s="1" t="s">
        <v>727</v>
      </c>
      <c r="B718" s="2">
        <f>IF(OR(Table1[[#This Row],[M score]]=1,AND(Table1[[#This Row],[F score]]=1,Table1[[#This Row],[Z score]]=1)),1,0)</f>
        <v>1</v>
      </c>
      <c r="C718" s="17">
        <v>1</v>
      </c>
      <c r="D718" s="17">
        <v>1</v>
      </c>
      <c r="E718" s="18">
        <v>0</v>
      </c>
      <c r="F718" s="19">
        <v>0.44997266265718971</v>
      </c>
      <c r="G718" s="6">
        <v>28.35432186686894</v>
      </c>
      <c r="H718" s="20">
        <v>55.23</v>
      </c>
      <c r="I718" s="21">
        <v>0</v>
      </c>
      <c r="J718" s="21">
        <v>0</v>
      </c>
      <c r="K718" s="22">
        <v>1</v>
      </c>
      <c r="L718" s="36">
        <v>20</v>
      </c>
    </row>
    <row r="719" spans="1:12" x14ac:dyDescent="0.45">
      <c r="A719" s="9" t="s">
        <v>728</v>
      </c>
      <c r="B719" s="2">
        <f>IF(OR(Table1[[#This Row],[M score]]=1,AND(Table1[[#This Row],[F score]]=1,Table1[[#This Row],[Z score]]=1)),1,0)</f>
        <v>0</v>
      </c>
      <c r="C719" s="10">
        <v>0</v>
      </c>
      <c r="D719" s="10">
        <v>1</v>
      </c>
      <c r="E719" s="11">
        <v>0</v>
      </c>
      <c r="F719" s="12">
        <v>2.5384615384615383</v>
      </c>
      <c r="G719" s="13">
        <v>29.970323791857755</v>
      </c>
      <c r="H719" s="14">
        <v>36.26</v>
      </c>
      <c r="I719" s="15">
        <v>0</v>
      </c>
      <c r="J719" s="15">
        <v>0</v>
      </c>
      <c r="K719" s="16">
        <v>1</v>
      </c>
      <c r="L719" s="36">
        <v>-4.8899999999999997</v>
      </c>
    </row>
    <row r="720" spans="1:12" x14ac:dyDescent="0.45">
      <c r="A720" s="1" t="s">
        <v>729</v>
      </c>
      <c r="B720" s="2">
        <f>IF(OR(Table1[[#This Row],[M score]]=1,AND(Table1[[#This Row],[F score]]=1,Table1[[#This Row],[Z score]]=1)),1,0)</f>
        <v>0</v>
      </c>
      <c r="C720" s="17">
        <v>0</v>
      </c>
      <c r="D720" s="17">
        <v>0</v>
      </c>
      <c r="E720" s="18">
        <v>0</v>
      </c>
      <c r="F720" s="19">
        <v>-0.13974231912784935</v>
      </c>
      <c r="G720" s="6">
        <v>29.554977754767989</v>
      </c>
      <c r="H720" s="20">
        <v>5.8</v>
      </c>
      <c r="I720" s="21">
        <v>1</v>
      </c>
      <c r="J720" s="21">
        <v>1</v>
      </c>
      <c r="K720" s="22">
        <v>1</v>
      </c>
      <c r="L720" s="36">
        <v>0.45</v>
      </c>
    </row>
    <row r="721" spans="1:12" x14ac:dyDescent="0.45">
      <c r="A721" s="9" t="s">
        <v>730</v>
      </c>
      <c r="B721" s="2">
        <f>IF(OR(Table1[[#This Row],[M score]]=1,AND(Table1[[#This Row],[F score]]=1,Table1[[#This Row],[Z score]]=1)),1,0)</f>
        <v>0</v>
      </c>
      <c r="C721" s="10">
        <v>0</v>
      </c>
      <c r="D721" s="10">
        <v>0</v>
      </c>
      <c r="E721" s="11">
        <v>0</v>
      </c>
      <c r="F721" s="12">
        <v>0.25536992840095463</v>
      </c>
      <c r="G721" s="13">
        <v>26.003022005306182</v>
      </c>
      <c r="H721" s="14">
        <v>34.9</v>
      </c>
      <c r="I721" s="15">
        <v>0</v>
      </c>
      <c r="J721" s="15">
        <v>0</v>
      </c>
      <c r="K721" s="16">
        <v>1</v>
      </c>
      <c r="L721" s="36">
        <v>11.68</v>
      </c>
    </row>
    <row r="722" spans="1:12" x14ac:dyDescent="0.45">
      <c r="A722" s="1" t="s">
        <v>731</v>
      </c>
      <c r="B722" s="2">
        <f>IF(OR(Table1[[#This Row],[M score]]=1,AND(Table1[[#This Row],[F score]]=1,Table1[[#This Row],[Z score]]=1)),1,0)</f>
        <v>0</v>
      </c>
      <c r="C722" s="17">
        <v>0</v>
      </c>
      <c r="D722" s="17">
        <v>0</v>
      </c>
      <c r="E722" s="18">
        <v>0</v>
      </c>
      <c r="F722" s="19">
        <v>-0.18504936530324401</v>
      </c>
      <c r="G722" s="6">
        <v>27.878534680291295</v>
      </c>
      <c r="H722" s="20">
        <v>18</v>
      </c>
      <c r="I722" s="21">
        <v>1</v>
      </c>
      <c r="J722" s="21">
        <v>0</v>
      </c>
      <c r="K722" s="22">
        <v>1</v>
      </c>
      <c r="L722" s="36">
        <v>0.38</v>
      </c>
    </row>
    <row r="723" spans="1:12" x14ac:dyDescent="0.45">
      <c r="A723" s="9" t="s">
        <v>732</v>
      </c>
      <c r="B723" s="2">
        <f>IF(OR(Table1[[#This Row],[M score]]=1,AND(Table1[[#This Row],[F score]]=1,Table1[[#This Row],[Z score]]=1)),1,0)</f>
        <v>0</v>
      </c>
      <c r="C723" s="10">
        <v>0</v>
      </c>
      <c r="D723" s="10">
        <v>1</v>
      </c>
      <c r="E723" s="11">
        <v>0</v>
      </c>
      <c r="F723" s="12">
        <v>-0.80310880829015541</v>
      </c>
      <c r="G723" s="13">
        <v>23.152440055697543</v>
      </c>
      <c r="H723" s="14">
        <v>32.64</v>
      </c>
      <c r="I723" s="15">
        <v>1</v>
      </c>
      <c r="J723" s="15">
        <v>0</v>
      </c>
      <c r="K723" s="16">
        <v>1</v>
      </c>
      <c r="L723" s="36">
        <v>108.45</v>
      </c>
    </row>
    <row r="724" spans="1:12" x14ac:dyDescent="0.45">
      <c r="A724" s="1" t="s">
        <v>733</v>
      </c>
      <c r="B724" s="2">
        <f>IF(OR(Table1[[#This Row],[M score]]=1,AND(Table1[[#This Row],[F score]]=1,Table1[[#This Row],[Z score]]=1)),1,0)</f>
        <v>1</v>
      </c>
      <c r="C724" s="17">
        <v>0</v>
      </c>
      <c r="D724" s="17">
        <v>0</v>
      </c>
      <c r="E724" s="18">
        <v>1</v>
      </c>
      <c r="F724" s="19">
        <v>-0.82857142857142863</v>
      </c>
      <c r="G724" s="6">
        <v>26.311562634994914</v>
      </c>
      <c r="H724" s="20">
        <v>47.21</v>
      </c>
      <c r="I724" s="21">
        <v>1</v>
      </c>
      <c r="J724" s="21">
        <v>0</v>
      </c>
      <c r="K724" s="22">
        <v>1</v>
      </c>
      <c r="L724" s="36">
        <v>0.81</v>
      </c>
    </row>
    <row r="725" spans="1:12" x14ac:dyDescent="0.45">
      <c r="A725" s="9" t="s">
        <v>734</v>
      </c>
      <c r="B725" s="2">
        <f>IF(OR(Table1[[#This Row],[M score]]=1,AND(Table1[[#This Row],[F score]]=1,Table1[[#This Row],[Z score]]=1)),1,0)</f>
        <v>1</v>
      </c>
      <c r="C725" s="10">
        <v>0</v>
      </c>
      <c r="D725" s="10">
        <v>0</v>
      </c>
      <c r="E725" s="11">
        <v>1</v>
      </c>
      <c r="F725" s="12">
        <v>-5.0541516245487363E-3</v>
      </c>
      <c r="G725" s="13">
        <v>31.447523039314056</v>
      </c>
      <c r="H725" s="14">
        <v>0.38</v>
      </c>
      <c r="I725" s="15">
        <v>0</v>
      </c>
      <c r="J725" s="15">
        <v>0</v>
      </c>
      <c r="K725" s="16">
        <v>0</v>
      </c>
      <c r="L725" s="36">
        <v>3.69</v>
      </c>
    </row>
    <row r="726" spans="1:12" x14ac:dyDescent="0.45">
      <c r="A726" s="1" t="s">
        <v>735</v>
      </c>
      <c r="B726" s="2">
        <f>IF(OR(Table1[[#This Row],[M score]]=1,AND(Table1[[#This Row],[F score]]=1,Table1[[#This Row],[Z score]]=1)),1,0)</f>
        <v>0</v>
      </c>
      <c r="C726" s="17">
        <v>1</v>
      </c>
      <c r="D726" s="17">
        <v>0</v>
      </c>
      <c r="E726" s="18">
        <v>0</v>
      </c>
      <c r="F726" s="19">
        <v>-12.027972027972028</v>
      </c>
      <c r="G726" s="6">
        <v>28.48071040029496</v>
      </c>
      <c r="H726" s="20">
        <v>1.05</v>
      </c>
      <c r="I726" s="21">
        <v>0</v>
      </c>
      <c r="J726" s="21">
        <v>0</v>
      </c>
      <c r="K726" s="22">
        <v>0</v>
      </c>
      <c r="L726" s="36">
        <v>11.86</v>
      </c>
    </row>
    <row r="727" spans="1:12" x14ac:dyDescent="0.45">
      <c r="A727" s="9" t="s">
        <v>736</v>
      </c>
      <c r="B727" s="2">
        <f>IF(OR(Table1[[#This Row],[M score]]=1,AND(Table1[[#This Row],[F score]]=1,Table1[[#This Row],[Z score]]=1)),1,0)</f>
        <v>0</v>
      </c>
      <c r="C727" s="10">
        <v>0</v>
      </c>
      <c r="D727" s="10">
        <v>1</v>
      </c>
      <c r="E727" s="11">
        <v>0</v>
      </c>
      <c r="F727" s="12">
        <v>-1.4674747474747474</v>
      </c>
      <c r="G727" s="13">
        <v>26.305257254548689</v>
      </c>
      <c r="H727" s="14">
        <v>37.86</v>
      </c>
      <c r="I727" s="15">
        <v>0</v>
      </c>
      <c r="J727" s="15">
        <v>0</v>
      </c>
      <c r="K727" s="16">
        <v>1</v>
      </c>
      <c r="L727" s="36">
        <v>6.65</v>
      </c>
    </row>
    <row r="728" spans="1:12" x14ac:dyDescent="0.45">
      <c r="A728" s="1" t="s">
        <v>737</v>
      </c>
      <c r="B728" s="2">
        <f>IF(OR(Table1[[#This Row],[M score]]=1,AND(Table1[[#This Row],[F score]]=1,Table1[[#This Row],[Z score]]=1)),1,0)</f>
        <v>0</v>
      </c>
      <c r="C728" s="17">
        <v>0</v>
      </c>
      <c r="D728" s="17">
        <v>0</v>
      </c>
      <c r="E728" s="18">
        <v>0</v>
      </c>
      <c r="F728" s="19">
        <v>-0.45660881174899864</v>
      </c>
      <c r="G728" s="6">
        <v>28.812264260676624</v>
      </c>
      <c r="H728" s="20">
        <v>11.68</v>
      </c>
      <c r="I728" s="21">
        <v>0</v>
      </c>
      <c r="J728" s="21">
        <v>0</v>
      </c>
      <c r="K728" s="22">
        <v>1</v>
      </c>
      <c r="L728" s="36">
        <v>-2.36</v>
      </c>
    </row>
    <row r="729" spans="1:12" x14ac:dyDescent="0.45">
      <c r="A729" s="9" t="s">
        <v>738</v>
      </c>
      <c r="B729" s="2">
        <f>IF(OR(Table1[[#This Row],[M score]]=1,AND(Table1[[#This Row],[F score]]=1,Table1[[#This Row],[Z score]]=1)),1,0)</f>
        <v>0</v>
      </c>
      <c r="C729" s="10">
        <v>0</v>
      </c>
      <c r="D729" s="10">
        <v>0</v>
      </c>
      <c r="E729" s="11">
        <v>0</v>
      </c>
      <c r="F729" s="12">
        <v>-0.28293851477242482</v>
      </c>
      <c r="G729" s="13">
        <v>28.41678553375754</v>
      </c>
      <c r="H729" s="14">
        <v>3.61</v>
      </c>
      <c r="I729" s="15">
        <v>1</v>
      </c>
      <c r="J729" s="15">
        <v>1</v>
      </c>
      <c r="K729" s="16">
        <v>1</v>
      </c>
      <c r="L729" s="36">
        <v>6.78</v>
      </c>
    </row>
    <row r="730" spans="1:12" x14ac:dyDescent="0.45">
      <c r="A730" s="1" t="s">
        <v>739</v>
      </c>
      <c r="B730" s="2">
        <f>IF(OR(Table1[[#This Row],[M score]]=1,AND(Table1[[#This Row],[F score]]=1,Table1[[#This Row],[Z score]]=1)),1,0)</f>
        <v>0</v>
      </c>
      <c r="C730" s="17">
        <v>0</v>
      </c>
      <c r="D730" s="17">
        <v>0</v>
      </c>
      <c r="E730" s="18">
        <v>0</v>
      </c>
      <c r="F730" s="19">
        <v>0.27029220779220781</v>
      </c>
      <c r="G730" s="6">
        <v>30.562931811279952</v>
      </c>
      <c r="H730" s="20">
        <v>21.13</v>
      </c>
      <c r="I730" s="21">
        <v>1</v>
      </c>
      <c r="J730" s="21">
        <v>1</v>
      </c>
      <c r="K730" s="22">
        <v>1</v>
      </c>
      <c r="L730" s="36">
        <v>16.34</v>
      </c>
    </row>
    <row r="731" spans="1:12" x14ac:dyDescent="0.45">
      <c r="A731" s="9" t="s">
        <v>740</v>
      </c>
      <c r="B731" s="2">
        <f>IF(OR(Table1[[#This Row],[M score]]=1,AND(Table1[[#This Row],[F score]]=1,Table1[[#This Row],[Z score]]=1)),1,0)</f>
        <v>0</v>
      </c>
      <c r="C731" s="10">
        <v>0</v>
      </c>
      <c r="D731" s="10">
        <v>0</v>
      </c>
      <c r="E731" s="11">
        <v>0</v>
      </c>
      <c r="F731" s="12">
        <v>0.19386857645432842</v>
      </c>
      <c r="G731" s="13">
        <v>28.270925735092774</v>
      </c>
      <c r="H731" s="14">
        <v>0.11</v>
      </c>
      <c r="I731" s="15">
        <v>0</v>
      </c>
      <c r="J731" s="15">
        <v>0</v>
      </c>
      <c r="K731" s="16">
        <v>1</v>
      </c>
      <c r="L731" s="36">
        <v>12.06</v>
      </c>
    </row>
    <row r="732" spans="1:12" x14ac:dyDescent="0.45">
      <c r="A732" s="1" t="s">
        <v>741</v>
      </c>
      <c r="B732" s="2">
        <f>IF(OR(Table1[[#This Row],[M score]]=1,AND(Table1[[#This Row],[F score]]=1,Table1[[#This Row],[Z score]]=1)),1,0)</f>
        <v>0</v>
      </c>
      <c r="C732" s="17">
        <v>0</v>
      </c>
      <c r="D732" s="17">
        <v>0</v>
      </c>
      <c r="E732" s="18">
        <v>0</v>
      </c>
      <c r="F732" s="19">
        <v>0.65746753246753242</v>
      </c>
      <c r="G732" s="6">
        <v>33.003990531051031</v>
      </c>
      <c r="H732" s="20">
        <v>6.17</v>
      </c>
      <c r="I732" s="21">
        <v>0</v>
      </c>
      <c r="J732" s="21">
        <v>1</v>
      </c>
      <c r="K732" s="22">
        <v>0</v>
      </c>
      <c r="L732" s="36">
        <v>19.57</v>
      </c>
    </row>
    <row r="733" spans="1:12" x14ac:dyDescent="0.45">
      <c r="A733" s="9" t="s">
        <v>742</v>
      </c>
      <c r="B733" s="2">
        <f>IF(OR(Table1[[#This Row],[M score]]=1,AND(Table1[[#This Row],[F score]]=1,Table1[[#This Row],[Z score]]=1)),1,0)</f>
        <v>0</v>
      </c>
      <c r="C733" s="10">
        <v>0</v>
      </c>
      <c r="D733" s="10">
        <v>0</v>
      </c>
      <c r="E733" s="11">
        <v>0</v>
      </c>
      <c r="F733" s="12">
        <v>1.7082179132040628E-2</v>
      </c>
      <c r="G733" s="13">
        <v>26.09489339858008</v>
      </c>
      <c r="H733" s="14">
        <v>14.62</v>
      </c>
      <c r="I733" s="15">
        <v>1</v>
      </c>
      <c r="J733" s="15">
        <v>0</v>
      </c>
      <c r="K733" s="16">
        <v>1</v>
      </c>
      <c r="L733" s="36">
        <v>5.93</v>
      </c>
    </row>
    <row r="734" spans="1:12" x14ac:dyDescent="0.45">
      <c r="A734" s="1" t="s">
        <v>743</v>
      </c>
      <c r="B734" s="2">
        <f>IF(OR(Table1[[#This Row],[M score]]=1,AND(Table1[[#This Row],[F score]]=1,Table1[[#This Row],[Z score]]=1)),1,0)</f>
        <v>0</v>
      </c>
      <c r="C734" s="17">
        <v>0</v>
      </c>
      <c r="D734" s="17">
        <v>0</v>
      </c>
      <c r="E734" s="18">
        <v>0</v>
      </c>
      <c r="F734" s="19">
        <v>0.86716049382716054</v>
      </c>
      <c r="G734" s="6">
        <v>28.096938667580339</v>
      </c>
      <c r="H734" s="20">
        <v>24.55</v>
      </c>
      <c r="I734" s="21">
        <v>1</v>
      </c>
      <c r="J734" s="21">
        <v>0</v>
      </c>
      <c r="K734" s="22">
        <v>1</v>
      </c>
      <c r="L734" s="36">
        <v>19.47</v>
      </c>
    </row>
    <row r="735" spans="1:12" x14ac:dyDescent="0.45">
      <c r="A735" s="9" t="s">
        <v>744</v>
      </c>
      <c r="B735" s="2">
        <f>IF(OR(Table1[[#This Row],[M score]]=1,AND(Table1[[#This Row],[F score]]=1,Table1[[#This Row],[Z score]]=1)),1,0)</f>
        <v>0</v>
      </c>
      <c r="C735" s="10">
        <v>0</v>
      </c>
      <c r="D735" s="10">
        <v>0</v>
      </c>
      <c r="E735" s="11">
        <v>0</v>
      </c>
      <c r="F735" s="12">
        <v>1.6887519260400616</v>
      </c>
      <c r="G735" s="13">
        <v>29.431079387971298</v>
      </c>
      <c r="H735" s="14">
        <v>32.93</v>
      </c>
      <c r="I735" s="15">
        <v>0</v>
      </c>
      <c r="J735" s="15">
        <v>1</v>
      </c>
      <c r="K735" s="16">
        <v>0</v>
      </c>
      <c r="L735" s="36">
        <v>8.31</v>
      </c>
    </row>
    <row r="736" spans="1:12" x14ac:dyDescent="0.45">
      <c r="A736" s="1" t="s">
        <v>745</v>
      </c>
      <c r="B736" s="2">
        <f>IF(OR(Table1[[#This Row],[M score]]=1,AND(Table1[[#This Row],[F score]]=1,Table1[[#This Row],[Z score]]=1)),1,0)</f>
        <v>0</v>
      </c>
      <c r="C736" s="17">
        <v>0</v>
      </c>
      <c r="D736" s="17">
        <v>0</v>
      </c>
      <c r="E736" s="18">
        <v>0</v>
      </c>
      <c r="F736" s="19">
        <v>-6.8217054263565891E-2</v>
      </c>
      <c r="G736" s="6">
        <v>28.171700743408383</v>
      </c>
      <c r="H736" s="20">
        <v>2.15</v>
      </c>
      <c r="I736" s="21">
        <v>0</v>
      </c>
      <c r="J736" s="21">
        <v>0</v>
      </c>
      <c r="K736" s="22">
        <v>0</v>
      </c>
      <c r="L736" s="36">
        <v>1.17</v>
      </c>
    </row>
    <row r="737" spans="1:12" x14ac:dyDescent="0.45">
      <c r="A737" s="9" t="s">
        <v>746</v>
      </c>
      <c r="B737" s="2">
        <f>IF(OR(Table1[[#This Row],[M score]]=1,AND(Table1[[#This Row],[F score]]=1,Table1[[#This Row],[Z score]]=1)),1,0)</f>
        <v>0</v>
      </c>
      <c r="C737" s="10">
        <v>0</v>
      </c>
      <c r="D737" s="10">
        <v>0</v>
      </c>
      <c r="E737" s="11">
        <v>0</v>
      </c>
      <c r="F737" s="12">
        <v>0.1063946073966114</v>
      </c>
      <c r="G737" s="13">
        <v>30.164068689008058</v>
      </c>
      <c r="H737" s="14">
        <v>15.25</v>
      </c>
      <c r="I737" s="15">
        <v>1</v>
      </c>
      <c r="J737" s="15">
        <v>1</v>
      </c>
      <c r="K737" s="16">
        <v>1</v>
      </c>
      <c r="L737" s="36">
        <v>11.05</v>
      </c>
    </row>
    <row r="738" spans="1:12" x14ac:dyDescent="0.45">
      <c r="A738" s="1" t="s">
        <v>747</v>
      </c>
      <c r="B738" s="2">
        <f>IF(OR(Table1[[#This Row],[M score]]=1,AND(Table1[[#This Row],[F score]]=1,Table1[[#This Row],[Z score]]=1)),1,0)</f>
        <v>1</v>
      </c>
      <c r="C738" s="17">
        <v>0</v>
      </c>
      <c r="D738" s="17">
        <v>1</v>
      </c>
      <c r="E738" s="18">
        <v>1</v>
      </c>
      <c r="F738" s="19">
        <v>-0.2810361681329423</v>
      </c>
      <c r="G738" s="6">
        <v>25.795936521962119</v>
      </c>
      <c r="H738" s="20">
        <v>31.77</v>
      </c>
      <c r="I738" s="21">
        <v>0</v>
      </c>
      <c r="J738" s="21">
        <v>0</v>
      </c>
      <c r="K738" s="22">
        <v>0</v>
      </c>
      <c r="L738" s="36">
        <v>-123.52</v>
      </c>
    </row>
    <row r="739" spans="1:12" x14ac:dyDescent="0.45">
      <c r="A739" s="9" t="s">
        <v>748</v>
      </c>
      <c r="B739" s="2">
        <f>IF(OR(Table1[[#This Row],[M score]]=1,AND(Table1[[#This Row],[F score]]=1,Table1[[#This Row],[Z score]]=1)),1,0)</f>
        <v>0</v>
      </c>
      <c r="C739" s="10">
        <v>0</v>
      </c>
      <c r="D739" s="10">
        <v>1</v>
      </c>
      <c r="E739" s="11">
        <v>0</v>
      </c>
      <c r="F739" s="12">
        <v>8.3157894736842106</v>
      </c>
      <c r="G739" s="13">
        <v>25.559007794977102</v>
      </c>
      <c r="H739" s="14">
        <v>36.979999999999997</v>
      </c>
      <c r="I739" s="15">
        <v>1</v>
      </c>
      <c r="J739" s="15">
        <v>0</v>
      </c>
      <c r="K739" s="16">
        <v>1</v>
      </c>
      <c r="L739" s="36">
        <v>5.14</v>
      </c>
    </row>
    <row r="740" spans="1:12" x14ac:dyDescent="0.45">
      <c r="A740" s="1" t="s">
        <v>749</v>
      </c>
      <c r="B740" s="2">
        <f>IF(OR(Table1[[#This Row],[M score]]=1,AND(Table1[[#This Row],[F score]]=1,Table1[[#This Row],[Z score]]=1)),1,0)</f>
        <v>0</v>
      </c>
      <c r="C740" s="17">
        <v>0</v>
      </c>
      <c r="D740" s="17">
        <v>0</v>
      </c>
      <c r="E740" s="18">
        <v>0</v>
      </c>
      <c r="F740" s="19">
        <v>0.40434782608695652</v>
      </c>
      <c r="G740" s="6">
        <v>26.751423867990869</v>
      </c>
      <c r="H740" s="20">
        <v>31.68</v>
      </c>
      <c r="I740" s="21">
        <v>0</v>
      </c>
      <c r="J740" s="21">
        <v>0</v>
      </c>
      <c r="K740" s="22">
        <v>1</v>
      </c>
      <c r="L740" s="36">
        <v>0.98</v>
      </c>
    </row>
    <row r="741" spans="1:12" x14ac:dyDescent="0.45">
      <c r="A741" s="9" t="s">
        <v>750</v>
      </c>
      <c r="B741" s="2">
        <f>IF(OR(Table1[[#This Row],[M score]]=1,AND(Table1[[#This Row],[F score]]=1,Table1[[#This Row],[Z score]]=1)),1,0)</f>
        <v>0</v>
      </c>
      <c r="C741" s="10">
        <v>0</v>
      </c>
      <c r="D741" s="10">
        <v>0</v>
      </c>
      <c r="E741" s="11">
        <v>0</v>
      </c>
      <c r="F741" s="12">
        <v>-1.4498308906426156</v>
      </c>
      <c r="G741" s="13">
        <v>26.312385403282473</v>
      </c>
      <c r="H741" s="14">
        <v>4.59</v>
      </c>
      <c r="I741" s="15">
        <v>1</v>
      </c>
      <c r="J741" s="15">
        <v>1</v>
      </c>
      <c r="K741" s="16">
        <v>1</v>
      </c>
      <c r="L741" s="36">
        <v>6.34</v>
      </c>
    </row>
    <row r="742" spans="1:12" x14ac:dyDescent="0.45">
      <c r="A742" s="1" t="s">
        <v>751</v>
      </c>
      <c r="B742" s="2">
        <f>IF(OR(Table1[[#This Row],[M score]]=1,AND(Table1[[#This Row],[F score]]=1,Table1[[#This Row],[Z score]]=1)),1,0)</f>
        <v>0</v>
      </c>
      <c r="C742" s="17">
        <v>0</v>
      </c>
      <c r="D742" s="17">
        <v>1</v>
      </c>
      <c r="E742" s="18">
        <v>0</v>
      </c>
      <c r="F742" s="19">
        <v>0.36255956432947584</v>
      </c>
      <c r="G742" s="6">
        <v>33.864095828983238</v>
      </c>
      <c r="H742" s="20">
        <v>18.600000000000001</v>
      </c>
      <c r="I742" s="21">
        <v>1</v>
      </c>
      <c r="J742" s="21">
        <v>1</v>
      </c>
      <c r="K742" s="22">
        <v>1</v>
      </c>
      <c r="L742" s="36">
        <v>12.3</v>
      </c>
    </row>
    <row r="743" spans="1:12" x14ac:dyDescent="0.45">
      <c r="A743" s="9" t="s">
        <v>752</v>
      </c>
      <c r="B743" s="2">
        <f>IF(OR(Table1[[#This Row],[M score]]=1,AND(Table1[[#This Row],[F score]]=1,Table1[[#This Row],[Z score]]=1)),1,0)</f>
        <v>0</v>
      </c>
      <c r="C743" s="10">
        <v>0</v>
      </c>
      <c r="D743" s="10">
        <v>1</v>
      </c>
      <c r="E743" s="11">
        <v>0</v>
      </c>
      <c r="F743" s="12">
        <v>-0.433365917236885</v>
      </c>
      <c r="G743" s="13">
        <v>34.810024332873411</v>
      </c>
      <c r="H743" s="14">
        <v>29.91</v>
      </c>
      <c r="I743" s="15">
        <v>1</v>
      </c>
      <c r="J743" s="15">
        <v>1</v>
      </c>
      <c r="K743" s="16">
        <v>1</v>
      </c>
      <c r="L743" s="36">
        <v>-1.55</v>
      </c>
    </row>
    <row r="744" spans="1:12" x14ac:dyDescent="0.45">
      <c r="A744" s="1" t="s">
        <v>753</v>
      </c>
      <c r="B744" s="2">
        <f>IF(OR(Table1[[#This Row],[M score]]=1,AND(Table1[[#This Row],[F score]]=1,Table1[[#This Row],[Z score]]=1)),1,0)</f>
        <v>0</v>
      </c>
      <c r="C744" s="17">
        <v>0</v>
      </c>
      <c r="D744" s="17">
        <v>1</v>
      </c>
      <c r="E744" s="18">
        <v>0</v>
      </c>
      <c r="F744" s="19">
        <v>0.21176470588235294</v>
      </c>
      <c r="G744" s="6">
        <v>26.032219148517925</v>
      </c>
      <c r="H744" s="20">
        <v>36.69</v>
      </c>
      <c r="I744" s="21">
        <v>1</v>
      </c>
      <c r="J744" s="21">
        <v>0</v>
      </c>
      <c r="K744" s="22">
        <v>1</v>
      </c>
      <c r="L744" s="36">
        <v>-4.37</v>
      </c>
    </row>
    <row r="745" spans="1:12" x14ac:dyDescent="0.45">
      <c r="A745" s="9" t="s">
        <v>754</v>
      </c>
      <c r="B745" s="2">
        <f>IF(OR(Table1[[#This Row],[M score]]=1,AND(Table1[[#This Row],[F score]]=1,Table1[[#This Row],[Z score]]=1)),1,0)</f>
        <v>0</v>
      </c>
      <c r="C745" s="10">
        <v>0</v>
      </c>
      <c r="D745" s="10">
        <v>0</v>
      </c>
      <c r="E745" s="11">
        <v>0</v>
      </c>
      <c r="F745" s="12">
        <v>-0.10166177908113393</v>
      </c>
      <c r="G745" s="13">
        <v>29.347518100656057</v>
      </c>
      <c r="H745" s="14">
        <v>2.4700000000000002</v>
      </c>
      <c r="I745" s="15">
        <v>1</v>
      </c>
      <c r="J745" s="15">
        <v>1</v>
      </c>
      <c r="K745" s="16">
        <v>1</v>
      </c>
      <c r="L745" s="36">
        <v>1.84</v>
      </c>
    </row>
    <row r="746" spans="1:12" x14ac:dyDescent="0.45">
      <c r="A746" s="1" t="s">
        <v>755</v>
      </c>
      <c r="B746" s="2">
        <f>IF(OR(Table1[[#This Row],[M score]]=1,AND(Table1[[#This Row],[F score]]=1,Table1[[#This Row],[Z score]]=1)),1,0)</f>
        <v>0</v>
      </c>
      <c r="C746" s="17">
        <v>0</v>
      </c>
      <c r="D746" s="17">
        <v>1</v>
      </c>
      <c r="E746" s="18">
        <v>0</v>
      </c>
      <c r="F746" s="19">
        <v>3.9066666666666667</v>
      </c>
      <c r="G746" s="6">
        <v>27.45125769232002</v>
      </c>
      <c r="H746" s="20">
        <v>14.15</v>
      </c>
      <c r="I746" s="21">
        <v>0</v>
      </c>
      <c r="J746" s="21">
        <v>0</v>
      </c>
      <c r="K746" s="22">
        <v>0</v>
      </c>
      <c r="L746" s="36">
        <v>2.79</v>
      </c>
    </row>
    <row r="747" spans="1:12" x14ac:dyDescent="0.45">
      <c r="A747" s="9" t="s">
        <v>756</v>
      </c>
      <c r="B747" s="2">
        <f>IF(OR(Table1[[#This Row],[M score]]=1,AND(Table1[[#This Row],[F score]]=1,Table1[[#This Row],[Z score]]=1)),1,0)</f>
        <v>0</v>
      </c>
      <c r="C747" s="10">
        <v>0</v>
      </c>
      <c r="D747" s="10">
        <v>1</v>
      </c>
      <c r="E747" s="11">
        <v>0</v>
      </c>
      <c r="F747" s="12">
        <v>0.46854496333461981</v>
      </c>
      <c r="G747" s="13">
        <v>32.448449977779362</v>
      </c>
      <c r="H747" s="14">
        <v>49.48</v>
      </c>
      <c r="I747" s="15">
        <v>1</v>
      </c>
      <c r="J747" s="15">
        <v>0</v>
      </c>
      <c r="K747" s="16">
        <v>1</v>
      </c>
      <c r="L747" s="36">
        <v>45.17</v>
      </c>
    </row>
    <row r="748" spans="1:12" x14ac:dyDescent="0.45">
      <c r="A748" s="1" t="s">
        <v>757</v>
      </c>
      <c r="B748" s="2">
        <f>IF(OR(Table1[[#This Row],[M score]]=1,AND(Table1[[#This Row],[F score]]=1,Table1[[#This Row],[Z score]]=1)),1,0)</f>
        <v>0</v>
      </c>
      <c r="C748" s="17">
        <v>0</v>
      </c>
      <c r="D748" s="17">
        <v>0</v>
      </c>
      <c r="E748" s="18">
        <v>0</v>
      </c>
      <c r="F748" s="19">
        <v>-0.99215686274509807</v>
      </c>
      <c r="G748" s="6">
        <v>28.706836939047719</v>
      </c>
      <c r="H748" s="20">
        <v>1.01</v>
      </c>
      <c r="I748" s="21">
        <v>0</v>
      </c>
      <c r="J748" s="21">
        <v>1</v>
      </c>
      <c r="K748" s="22">
        <v>1</v>
      </c>
      <c r="L748" s="36">
        <v>-1.34</v>
      </c>
    </row>
    <row r="749" spans="1:12" x14ac:dyDescent="0.45">
      <c r="A749" s="9" t="s">
        <v>758</v>
      </c>
      <c r="B749" s="2">
        <f>IF(OR(Table1[[#This Row],[M score]]=1,AND(Table1[[#This Row],[F score]]=1,Table1[[#This Row],[Z score]]=1)),1,0)</f>
        <v>0</v>
      </c>
      <c r="C749" s="10">
        <v>0</v>
      </c>
      <c r="D749" s="10">
        <v>1</v>
      </c>
      <c r="E749" s="11">
        <v>0</v>
      </c>
      <c r="F749" s="12">
        <v>46.846153846153847</v>
      </c>
      <c r="G749" s="13">
        <v>26.912658686227537</v>
      </c>
      <c r="H749" s="14">
        <v>52.28</v>
      </c>
      <c r="I749" s="15">
        <v>0</v>
      </c>
      <c r="J749" s="15">
        <v>0</v>
      </c>
      <c r="K749" s="16">
        <v>1</v>
      </c>
      <c r="L749" s="36">
        <v>6.56</v>
      </c>
    </row>
    <row r="750" spans="1:12" x14ac:dyDescent="0.45">
      <c r="A750" s="1" t="s">
        <v>759</v>
      </c>
      <c r="B750" s="2">
        <f>IF(OR(Table1[[#This Row],[M score]]=1,AND(Table1[[#This Row],[F score]]=1,Table1[[#This Row],[Z score]]=1)),1,0)</f>
        <v>0</v>
      </c>
      <c r="C750" s="17">
        <v>0</v>
      </c>
      <c r="D750" s="17">
        <v>0</v>
      </c>
      <c r="E750" s="18">
        <v>0</v>
      </c>
      <c r="F750" s="19">
        <v>-6.0102807433768286E-2</v>
      </c>
      <c r="G750" s="6">
        <v>27.521094636549943</v>
      </c>
      <c r="H750" s="20">
        <v>8.51</v>
      </c>
      <c r="I750" s="21">
        <v>0</v>
      </c>
      <c r="J750" s="21">
        <v>0</v>
      </c>
      <c r="K750" s="22">
        <v>1</v>
      </c>
      <c r="L750" s="36">
        <v>3.57</v>
      </c>
    </row>
    <row r="751" spans="1:12" x14ac:dyDescent="0.45">
      <c r="A751" s="9" t="s">
        <v>760</v>
      </c>
      <c r="B751" s="2">
        <f>IF(OR(Table1[[#This Row],[M score]]=1,AND(Table1[[#This Row],[F score]]=1,Table1[[#This Row],[Z score]]=1)),1,0)</f>
        <v>1</v>
      </c>
      <c r="C751" s="10">
        <v>0</v>
      </c>
      <c r="D751" s="10">
        <v>1</v>
      </c>
      <c r="E751" s="11">
        <v>1</v>
      </c>
      <c r="F751" s="12">
        <v>-0.23846153846153847</v>
      </c>
      <c r="G751" s="13">
        <v>25.744365953944541</v>
      </c>
      <c r="H751" s="14">
        <v>45.21</v>
      </c>
      <c r="I751" s="15">
        <v>1</v>
      </c>
      <c r="J751" s="15">
        <v>0</v>
      </c>
      <c r="K751" s="16">
        <v>1</v>
      </c>
      <c r="L751" s="36">
        <v>0.72</v>
      </c>
    </row>
    <row r="752" spans="1:12" x14ac:dyDescent="0.45">
      <c r="A752" s="1" t="s">
        <v>761</v>
      </c>
      <c r="B752" s="2">
        <f>IF(OR(Table1[[#This Row],[M score]]=1,AND(Table1[[#This Row],[F score]]=1,Table1[[#This Row],[Z score]]=1)),1,0)</f>
        <v>0</v>
      </c>
      <c r="C752" s="17">
        <v>1</v>
      </c>
      <c r="D752" s="17">
        <v>0</v>
      </c>
      <c r="E752" s="18">
        <v>0</v>
      </c>
      <c r="F752" s="19">
        <v>-0.51282051282051277</v>
      </c>
      <c r="G752" s="6">
        <v>27.111826066020761</v>
      </c>
      <c r="H752" s="20">
        <v>28.82</v>
      </c>
      <c r="I752" s="21">
        <v>0</v>
      </c>
      <c r="J752" s="21">
        <v>0</v>
      </c>
      <c r="K752" s="22">
        <v>1</v>
      </c>
      <c r="L752" s="36">
        <v>2.21</v>
      </c>
    </row>
    <row r="753" spans="1:12" x14ac:dyDescent="0.45">
      <c r="A753" s="9" t="s">
        <v>762</v>
      </c>
      <c r="B753" s="2">
        <f>IF(OR(Table1[[#This Row],[M score]]=1,AND(Table1[[#This Row],[F score]]=1,Table1[[#This Row],[Z score]]=1)),1,0)</f>
        <v>0</v>
      </c>
      <c r="C753" s="10">
        <v>0</v>
      </c>
      <c r="D753" s="10">
        <v>0</v>
      </c>
      <c r="E753" s="11">
        <v>0</v>
      </c>
      <c r="F753" s="12">
        <v>0.72664255575647985</v>
      </c>
      <c r="G753" s="13">
        <v>27.337278684542852</v>
      </c>
      <c r="H753" s="14">
        <v>0.72</v>
      </c>
      <c r="I753" s="15">
        <v>1</v>
      </c>
      <c r="J753" s="15">
        <v>1</v>
      </c>
      <c r="K753" s="16">
        <v>1</v>
      </c>
      <c r="L753" s="36">
        <v>18.34</v>
      </c>
    </row>
    <row r="754" spans="1:12" x14ac:dyDescent="0.45">
      <c r="A754" s="1" t="s">
        <v>763</v>
      </c>
      <c r="B754" s="2">
        <f>IF(OR(Table1[[#This Row],[M score]]=1,AND(Table1[[#This Row],[F score]]=1,Table1[[#This Row],[Z score]]=1)),1,0)</f>
        <v>1</v>
      </c>
      <c r="C754" s="17">
        <v>1</v>
      </c>
      <c r="D754" s="17">
        <v>1</v>
      </c>
      <c r="E754" s="18">
        <v>0</v>
      </c>
      <c r="F754" s="19">
        <v>-1.2570048309178743</v>
      </c>
      <c r="G754" s="6">
        <v>26.839036290921808</v>
      </c>
      <c r="H754" s="20">
        <v>45.73</v>
      </c>
      <c r="I754" s="21">
        <v>1</v>
      </c>
      <c r="J754" s="21">
        <v>0</v>
      </c>
      <c r="K754" s="22">
        <v>0</v>
      </c>
      <c r="L754" s="36">
        <v>12.33</v>
      </c>
    </row>
    <row r="755" spans="1:12" x14ac:dyDescent="0.45">
      <c r="A755" s="9" t="s">
        <v>764</v>
      </c>
      <c r="B755" s="2">
        <f>IF(OR(Table1[[#This Row],[M score]]=1,AND(Table1[[#This Row],[F score]]=1,Table1[[#This Row],[Z score]]=1)),1,0)</f>
        <v>0</v>
      </c>
      <c r="C755" s="10">
        <v>0</v>
      </c>
      <c r="D755" s="10">
        <v>0</v>
      </c>
      <c r="E755" s="11">
        <v>0</v>
      </c>
      <c r="F755" s="12">
        <v>-1.8528321863419798E-2</v>
      </c>
      <c r="G755" s="13">
        <v>26.913962014559086</v>
      </c>
      <c r="H755" s="14">
        <v>3.5</v>
      </c>
      <c r="I755" s="15">
        <v>1</v>
      </c>
      <c r="J755" s="15">
        <v>1</v>
      </c>
      <c r="K755" s="16">
        <v>1</v>
      </c>
      <c r="L755" s="36">
        <v>1.0900000000000001</v>
      </c>
    </row>
    <row r="756" spans="1:12" x14ac:dyDescent="0.45">
      <c r="A756" s="1" t="s">
        <v>765</v>
      </c>
      <c r="B756" s="2">
        <f>IF(OR(Table1[[#This Row],[M score]]=1,AND(Table1[[#This Row],[F score]]=1,Table1[[#This Row],[Z score]]=1)),1,0)</f>
        <v>0</v>
      </c>
      <c r="C756" s="17">
        <v>0</v>
      </c>
      <c r="D756" s="17">
        <v>1</v>
      </c>
      <c r="E756" s="18">
        <v>0</v>
      </c>
      <c r="F756" s="19">
        <v>1.92</v>
      </c>
      <c r="G756" s="6">
        <v>27.376508878937422</v>
      </c>
      <c r="H756" s="20">
        <v>61.74</v>
      </c>
      <c r="I756" s="21">
        <v>1</v>
      </c>
      <c r="J756" s="21">
        <v>1</v>
      </c>
      <c r="K756" s="22">
        <v>1</v>
      </c>
      <c r="L756" s="36">
        <v>0.63</v>
      </c>
    </row>
    <row r="757" spans="1:12" x14ac:dyDescent="0.45">
      <c r="A757" s="9" t="s">
        <v>766</v>
      </c>
      <c r="B757" s="2">
        <f>IF(OR(Table1[[#This Row],[M score]]=1,AND(Table1[[#This Row],[F score]]=1,Table1[[#This Row],[Z score]]=1)),1,0)</f>
        <v>0</v>
      </c>
      <c r="C757" s="10">
        <v>0</v>
      </c>
      <c r="D757" s="10">
        <v>0</v>
      </c>
      <c r="E757" s="11">
        <v>0</v>
      </c>
      <c r="F757" s="12">
        <v>2.0026702269692926E-3</v>
      </c>
      <c r="G757" s="13">
        <v>32.482311053014492</v>
      </c>
      <c r="H757" s="14">
        <v>17.739999999999998</v>
      </c>
      <c r="I757" s="15">
        <v>1</v>
      </c>
      <c r="J757" s="15">
        <v>1</v>
      </c>
      <c r="K757" s="16">
        <v>1</v>
      </c>
      <c r="L757" s="36">
        <v>-4.68</v>
      </c>
    </row>
    <row r="758" spans="1:12" x14ac:dyDescent="0.45">
      <c r="A758" s="1" t="s">
        <v>767</v>
      </c>
      <c r="B758" s="2">
        <f>IF(OR(Table1[[#This Row],[M score]]=1,AND(Table1[[#This Row],[F score]]=1,Table1[[#This Row],[Z score]]=1)),1,0)</f>
        <v>0</v>
      </c>
      <c r="C758" s="17">
        <v>0</v>
      </c>
      <c r="D758" s="17">
        <v>0</v>
      </c>
      <c r="E758" s="18">
        <v>0</v>
      </c>
      <c r="F758" s="19">
        <v>0.26322751322751325</v>
      </c>
      <c r="G758" s="6">
        <v>26.744029336032927</v>
      </c>
      <c r="H758" s="20">
        <v>2.4900000000000002</v>
      </c>
      <c r="I758" s="21">
        <v>0</v>
      </c>
      <c r="J758" s="21">
        <v>0</v>
      </c>
      <c r="K758" s="22">
        <v>1</v>
      </c>
      <c r="L758" s="36">
        <v>-7.15</v>
      </c>
    </row>
    <row r="759" spans="1:12" x14ac:dyDescent="0.45">
      <c r="A759" s="9" t="s">
        <v>768</v>
      </c>
      <c r="B759" s="2">
        <f>IF(OR(Table1[[#This Row],[M score]]=1,AND(Table1[[#This Row],[F score]]=1,Table1[[#This Row],[Z score]]=1)),1,0)</f>
        <v>0</v>
      </c>
      <c r="C759" s="10">
        <v>0</v>
      </c>
      <c r="D759" s="10">
        <v>1</v>
      </c>
      <c r="E759" s="11">
        <v>0</v>
      </c>
      <c r="F759" s="12">
        <v>-0.5447941888619855</v>
      </c>
      <c r="G759" s="13">
        <v>27.148975102887334</v>
      </c>
      <c r="H759" s="14">
        <v>28.13</v>
      </c>
      <c r="I759" s="15">
        <v>1</v>
      </c>
      <c r="J759" s="15">
        <v>1</v>
      </c>
      <c r="K759" s="16">
        <v>1</v>
      </c>
      <c r="L759" s="36">
        <v>-2.64</v>
      </c>
    </row>
    <row r="760" spans="1:12" x14ac:dyDescent="0.45">
      <c r="A760" s="1" t="s">
        <v>769</v>
      </c>
      <c r="B760" s="2">
        <f>IF(OR(Table1[[#This Row],[M score]]=1,AND(Table1[[#This Row],[F score]]=1,Table1[[#This Row],[Z score]]=1)),1,0)</f>
        <v>0</v>
      </c>
      <c r="C760" s="17">
        <v>0</v>
      </c>
      <c r="D760" s="17">
        <v>0</v>
      </c>
      <c r="E760" s="18">
        <v>0</v>
      </c>
      <c r="F760" s="19">
        <v>1.2413793103448276</v>
      </c>
      <c r="G760" s="6">
        <v>25.234122635767289</v>
      </c>
      <c r="H760" s="20">
        <v>7.23</v>
      </c>
      <c r="I760" s="21">
        <v>0</v>
      </c>
      <c r="J760" s="21">
        <v>0</v>
      </c>
      <c r="K760" s="22">
        <v>1</v>
      </c>
      <c r="L760" s="36">
        <v>8.14</v>
      </c>
    </row>
    <row r="761" spans="1:12" x14ac:dyDescent="0.45">
      <c r="A761" s="9" t="s">
        <v>770</v>
      </c>
      <c r="B761" s="2">
        <f>IF(OR(Table1[[#This Row],[M score]]=1,AND(Table1[[#This Row],[F score]]=1,Table1[[#This Row],[Z score]]=1)),1,0)</f>
        <v>1</v>
      </c>
      <c r="C761" s="10">
        <v>0</v>
      </c>
      <c r="D761" s="10">
        <v>0</v>
      </c>
      <c r="E761" s="11">
        <v>1</v>
      </c>
      <c r="F761" s="12">
        <v>-0.84532134974871698</v>
      </c>
      <c r="G761" s="13">
        <v>30.005837079178075</v>
      </c>
      <c r="H761" s="14">
        <v>20.93</v>
      </c>
      <c r="I761" s="15">
        <v>0</v>
      </c>
      <c r="J761" s="15">
        <v>1</v>
      </c>
      <c r="K761" s="16">
        <v>1</v>
      </c>
      <c r="L761" s="36">
        <v>-11.55</v>
      </c>
    </row>
    <row r="762" spans="1:12" x14ac:dyDescent="0.45">
      <c r="A762" s="1" t="s">
        <v>771</v>
      </c>
      <c r="B762" s="2">
        <f>IF(OR(Table1[[#This Row],[M score]]=1,AND(Table1[[#This Row],[F score]]=1,Table1[[#This Row],[Z score]]=1)),1,0)</f>
        <v>0</v>
      </c>
      <c r="C762" s="17">
        <v>0</v>
      </c>
      <c r="D762" s="17">
        <v>0</v>
      </c>
      <c r="E762" s="18">
        <v>0</v>
      </c>
      <c r="F762" s="19">
        <v>-9.1022964509394566E-2</v>
      </c>
      <c r="G762" s="6">
        <v>28.1785643226297</v>
      </c>
      <c r="H762" s="20">
        <v>19.420000000000002</v>
      </c>
      <c r="I762" s="21">
        <v>1</v>
      </c>
      <c r="J762" s="21">
        <v>0</v>
      </c>
      <c r="K762" s="22">
        <v>1</v>
      </c>
      <c r="L762" s="36">
        <v>6.38</v>
      </c>
    </row>
    <row r="763" spans="1:12" x14ac:dyDescent="0.45">
      <c r="A763" s="9" t="s">
        <v>772</v>
      </c>
      <c r="B763" s="2">
        <f>IF(OR(Table1[[#This Row],[M score]]=1,AND(Table1[[#This Row],[F score]]=1,Table1[[#This Row],[Z score]]=1)),1,0)</f>
        <v>0</v>
      </c>
      <c r="C763" s="10">
        <v>0</v>
      </c>
      <c r="D763" s="10">
        <v>0</v>
      </c>
      <c r="E763" s="11">
        <v>0</v>
      </c>
      <c r="F763" s="12">
        <v>0.23656454043194375</v>
      </c>
      <c r="G763" s="13">
        <v>28.640686682124443</v>
      </c>
      <c r="H763" s="14">
        <v>1.1200000000000001</v>
      </c>
      <c r="I763" s="15">
        <v>1</v>
      </c>
      <c r="J763" s="15">
        <v>0</v>
      </c>
      <c r="K763" s="16">
        <v>1</v>
      </c>
      <c r="L763" s="36">
        <v>15.76</v>
      </c>
    </row>
    <row r="764" spans="1:12" x14ac:dyDescent="0.45">
      <c r="A764" s="1" t="s">
        <v>773</v>
      </c>
      <c r="B764" s="2">
        <f>IF(OR(Table1[[#This Row],[M score]]=1,AND(Table1[[#This Row],[F score]]=1,Table1[[#This Row],[Z score]]=1)),1,0)</f>
        <v>1</v>
      </c>
      <c r="C764" s="17">
        <v>0</v>
      </c>
      <c r="D764" s="17">
        <v>0</v>
      </c>
      <c r="E764" s="18">
        <v>1</v>
      </c>
      <c r="F764" s="19">
        <v>-6.9991258741258742</v>
      </c>
      <c r="G764" s="6">
        <v>26.818745903154735</v>
      </c>
      <c r="H764" s="20">
        <v>54.98</v>
      </c>
      <c r="I764" s="21">
        <v>1</v>
      </c>
      <c r="J764" s="21">
        <v>1</v>
      </c>
      <c r="K764" s="22">
        <v>1</v>
      </c>
      <c r="L764" s="36">
        <v>-37.270000000000003</v>
      </c>
    </row>
    <row r="765" spans="1:12" x14ac:dyDescent="0.45">
      <c r="A765" s="9" t="s">
        <v>774</v>
      </c>
      <c r="B765" s="2">
        <f>IF(OR(Table1[[#This Row],[M score]]=1,AND(Table1[[#This Row],[F score]]=1,Table1[[#This Row],[Z score]]=1)),1,0)</f>
        <v>1</v>
      </c>
      <c r="C765" s="10">
        <v>0</v>
      </c>
      <c r="D765" s="10">
        <v>1</v>
      </c>
      <c r="E765" s="11">
        <v>1</v>
      </c>
      <c r="F765" s="12">
        <v>-1.153902798232695</v>
      </c>
      <c r="G765" s="13">
        <v>26.791623909022466</v>
      </c>
      <c r="H765" s="14">
        <v>27.44</v>
      </c>
      <c r="I765" s="15">
        <v>1</v>
      </c>
      <c r="J765" s="15">
        <v>0</v>
      </c>
      <c r="K765" s="16">
        <v>1</v>
      </c>
      <c r="L765" s="36">
        <v>-5.94</v>
      </c>
    </row>
    <row r="766" spans="1:12" x14ac:dyDescent="0.45">
      <c r="A766" s="1" t="s">
        <v>775</v>
      </c>
      <c r="B766" s="2">
        <f>IF(OR(Table1[[#This Row],[M score]]=1,AND(Table1[[#This Row],[F score]]=1,Table1[[#This Row],[Z score]]=1)),1,0)</f>
        <v>0</v>
      </c>
      <c r="C766" s="17">
        <v>0</v>
      </c>
      <c r="D766" s="17">
        <v>0</v>
      </c>
      <c r="E766" s="18">
        <v>0</v>
      </c>
      <c r="F766" s="19">
        <v>-2.4390243902439024E-3</v>
      </c>
      <c r="G766" s="6">
        <v>30.550459133444011</v>
      </c>
      <c r="H766" s="20">
        <v>42.76</v>
      </c>
      <c r="I766" s="21">
        <v>1</v>
      </c>
      <c r="J766" s="21">
        <v>1</v>
      </c>
      <c r="K766" s="22">
        <v>1</v>
      </c>
      <c r="L766" s="36">
        <v>8</v>
      </c>
    </row>
    <row r="767" spans="1:12" x14ac:dyDescent="0.45">
      <c r="A767" s="9" t="s">
        <v>776</v>
      </c>
      <c r="B767" s="2">
        <f>IF(OR(Table1[[#This Row],[M score]]=1,AND(Table1[[#This Row],[F score]]=1,Table1[[#This Row],[Z score]]=1)),1,0)</f>
        <v>0</v>
      </c>
      <c r="C767" s="10">
        <v>0</v>
      </c>
      <c r="D767" s="10">
        <v>0</v>
      </c>
      <c r="E767" s="11">
        <v>0</v>
      </c>
      <c r="F767" s="12">
        <v>-0.58513513513513515</v>
      </c>
      <c r="G767" s="13">
        <v>32.760499005710038</v>
      </c>
      <c r="H767" s="14">
        <v>13.35</v>
      </c>
      <c r="I767" s="15">
        <v>1</v>
      </c>
      <c r="J767" s="15">
        <v>1</v>
      </c>
      <c r="K767" s="16">
        <v>1</v>
      </c>
      <c r="L767" s="36">
        <v>16.239999999999998</v>
      </c>
    </row>
    <row r="768" spans="1:12" x14ac:dyDescent="0.45">
      <c r="A768" s="1" t="s">
        <v>777</v>
      </c>
      <c r="B768" s="2">
        <f>IF(OR(Table1[[#This Row],[M score]]=1,AND(Table1[[#This Row],[F score]]=1,Table1[[#This Row],[Z score]]=1)),1,0)</f>
        <v>0</v>
      </c>
      <c r="C768" s="17">
        <v>0</v>
      </c>
      <c r="D768" s="17">
        <v>0</v>
      </c>
      <c r="E768" s="18">
        <v>0</v>
      </c>
      <c r="F768" s="19">
        <v>-2.247191011235955E-2</v>
      </c>
      <c r="G768" s="6">
        <v>26.177925073139477</v>
      </c>
      <c r="H768" s="20">
        <v>7.34</v>
      </c>
      <c r="I768" s="21">
        <v>1</v>
      </c>
      <c r="J768" s="21">
        <v>0</v>
      </c>
      <c r="K768" s="22">
        <v>1</v>
      </c>
      <c r="L768" s="36">
        <v>2.2200000000000002</v>
      </c>
    </row>
    <row r="769" spans="1:12" x14ac:dyDescent="0.45">
      <c r="A769" s="9" t="s">
        <v>778</v>
      </c>
      <c r="B769" s="2">
        <f>IF(OR(Table1[[#This Row],[M score]]=1,AND(Table1[[#This Row],[F score]]=1,Table1[[#This Row],[Z score]]=1)),1,0)</f>
        <v>0</v>
      </c>
      <c r="C769" s="10">
        <v>0</v>
      </c>
      <c r="D769" s="10">
        <v>0</v>
      </c>
      <c r="E769" s="11">
        <v>0</v>
      </c>
      <c r="F769" s="12">
        <v>0.57436182019977799</v>
      </c>
      <c r="G769" s="13">
        <v>31.967834808305241</v>
      </c>
      <c r="H769" s="14">
        <v>10.45</v>
      </c>
      <c r="I769" s="15">
        <v>1</v>
      </c>
      <c r="J769" s="15">
        <v>1</v>
      </c>
      <c r="K769" s="16">
        <v>1</v>
      </c>
      <c r="L769" s="36">
        <v>15.37</v>
      </c>
    </row>
    <row r="770" spans="1:12" x14ac:dyDescent="0.45">
      <c r="A770" s="1" t="s">
        <v>779</v>
      </c>
      <c r="B770" s="2">
        <f>IF(OR(Table1[[#This Row],[M score]]=1,AND(Table1[[#This Row],[F score]]=1,Table1[[#This Row],[Z score]]=1)),1,0)</f>
        <v>1</v>
      </c>
      <c r="C770" s="17">
        <v>1</v>
      </c>
      <c r="D770" s="17">
        <v>1</v>
      </c>
      <c r="E770" s="18">
        <v>0</v>
      </c>
      <c r="F770" s="19">
        <v>-0.29652777777777778</v>
      </c>
      <c r="G770" s="6">
        <v>29.641740560427511</v>
      </c>
      <c r="H770" s="20">
        <v>41.45</v>
      </c>
      <c r="I770" s="21">
        <v>1</v>
      </c>
      <c r="J770" s="21">
        <v>1</v>
      </c>
      <c r="K770" s="22">
        <v>1</v>
      </c>
      <c r="L770" s="36">
        <v>30.44</v>
      </c>
    </row>
    <row r="771" spans="1:12" x14ac:dyDescent="0.45">
      <c r="A771" s="9" t="s">
        <v>780</v>
      </c>
      <c r="B771" s="2">
        <f>IF(OR(Table1[[#This Row],[M score]]=1,AND(Table1[[#This Row],[F score]]=1,Table1[[#This Row],[Z score]]=1)),1,0)</f>
        <v>0</v>
      </c>
      <c r="C771" s="10">
        <v>0</v>
      </c>
      <c r="D771" s="10">
        <v>0</v>
      </c>
      <c r="E771" s="11">
        <v>0</v>
      </c>
      <c r="F771" s="12">
        <v>5.333333333333333</v>
      </c>
      <c r="G771" s="13">
        <v>30.144677179002535</v>
      </c>
      <c r="H771" s="14">
        <v>33.53</v>
      </c>
      <c r="I771" s="15">
        <v>0</v>
      </c>
      <c r="J771" s="15">
        <v>0</v>
      </c>
      <c r="K771" s="16">
        <v>1</v>
      </c>
      <c r="L771" s="36">
        <v>0.94</v>
      </c>
    </row>
    <row r="772" spans="1:12" x14ac:dyDescent="0.45">
      <c r="A772" s="1" t="s">
        <v>781</v>
      </c>
      <c r="B772" s="2">
        <f>IF(OR(Table1[[#This Row],[M score]]=1,AND(Table1[[#This Row],[F score]]=1,Table1[[#This Row],[Z score]]=1)),1,0)</f>
        <v>0</v>
      </c>
      <c r="C772" s="17">
        <v>0</v>
      </c>
      <c r="D772" s="17">
        <v>0</v>
      </c>
      <c r="E772" s="18">
        <v>0</v>
      </c>
      <c r="F772" s="19">
        <v>0.92360379346680721</v>
      </c>
      <c r="G772" s="6">
        <v>29.983608537837689</v>
      </c>
      <c r="H772" s="20">
        <v>33.1</v>
      </c>
      <c r="I772" s="21">
        <v>1</v>
      </c>
      <c r="J772" s="21">
        <v>1</v>
      </c>
      <c r="K772" s="22">
        <v>1</v>
      </c>
      <c r="L772" s="36">
        <v>5.69</v>
      </c>
    </row>
    <row r="773" spans="1:12" x14ac:dyDescent="0.45">
      <c r="A773" s="9" t="s">
        <v>782</v>
      </c>
      <c r="B773" s="2">
        <f>IF(OR(Table1[[#This Row],[M score]]=1,AND(Table1[[#This Row],[F score]]=1,Table1[[#This Row],[Z score]]=1)),1,0)</f>
        <v>0</v>
      </c>
      <c r="C773" s="10">
        <v>0</v>
      </c>
      <c r="D773" s="10">
        <v>0</v>
      </c>
      <c r="E773" s="11">
        <v>0</v>
      </c>
      <c r="F773" s="12">
        <v>0.36648157496214034</v>
      </c>
      <c r="G773" s="13">
        <v>26.48153626961393</v>
      </c>
      <c r="H773" s="14">
        <v>15.88</v>
      </c>
      <c r="I773" s="15">
        <v>1</v>
      </c>
      <c r="J773" s="15">
        <v>0</v>
      </c>
      <c r="K773" s="16">
        <v>1</v>
      </c>
      <c r="L773" s="36">
        <v>5.82</v>
      </c>
    </row>
    <row r="774" spans="1:12" x14ac:dyDescent="0.45">
      <c r="A774" s="1" t="s">
        <v>783</v>
      </c>
      <c r="B774" s="2">
        <f>IF(OR(Table1[[#This Row],[M score]]=1,AND(Table1[[#This Row],[F score]]=1,Table1[[#This Row],[Z score]]=1)),1,0)</f>
        <v>0</v>
      </c>
      <c r="C774" s="17">
        <v>0</v>
      </c>
      <c r="D774" s="17">
        <v>0</v>
      </c>
      <c r="E774" s="18">
        <v>0</v>
      </c>
      <c r="F774" s="19">
        <v>-0.26074289876183537</v>
      </c>
      <c r="G774" s="6">
        <v>27.850902793110912</v>
      </c>
      <c r="H774" s="20">
        <v>6.7</v>
      </c>
      <c r="I774" s="21">
        <v>0</v>
      </c>
      <c r="J774" s="21">
        <v>1</v>
      </c>
      <c r="K774" s="22">
        <v>1</v>
      </c>
      <c r="L774" s="36">
        <v>-1.39</v>
      </c>
    </row>
    <row r="775" spans="1:12" x14ac:dyDescent="0.45">
      <c r="A775" s="9" t="s">
        <v>784</v>
      </c>
      <c r="B775" s="2">
        <f>IF(OR(Table1[[#This Row],[M score]]=1,AND(Table1[[#This Row],[F score]]=1,Table1[[#This Row],[Z score]]=1)),1,0)</f>
        <v>1</v>
      </c>
      <c r="C775" s="10">
        <v>0</v>
      </c>
      <c r="D775" s="10">
        <v>1</v>
      </c>
      <c r="E775" s="11">
        <v>1</v>
      </c>
      <c r="F775" s="12">
        <v>0.10682309354739117</v>
      </c>
      <c r="G775" s="13">
        <v>26.055975021469965</v>
      </c>
      <c r="H775" s="14">
        <v>68.739999999999995</v>
      </c>
      <c r="I775" s="15">
        <v>0</v>
      </c>
      <c r="J775" s="15">
        <v>0</v>
      </c>
      <c r="K775" s="16">
        <v>0</v>
      </c>
      <c r="L775" s="36">
        <v>-163.24</v>
      </c>
    </row>
    <row r="776" spans="1:12" x14ac:dyDescent="0.45">
      <c r="A776" s="1" t="s">
        <v>785</v>
      </c>
      <c r="B776" s="2">
        <f>IF(OR(Table1[[#This Row],[M score]]=1,AND(Table1[[#This Row],[F score]]=1,Table1[[#This Row],[Z score]]=1)),1,0)</f>
        <v>1</v>
      </c>
      <c r="C776" s="17">
        <v>1</v>
      </c>
      <c r="D776" s="17">
        <v>1</v>
      </c>
      <c r="E776" s="18">
        <v>1</v>
      </c>
      <c r="F776" s="19">
        <v>0.10911424903722722</v>
      </c>
      <c r="G776" s="6">
        <v>24.791025886688619</v>
      </c>
      <c r="H776" s="20">
        <v>39.299999999999997</v>
      </c>
      <c r="I776" s="21">
        <v>1</v>
      </c>
      <c r="J776" s="21">
        <v>0</v>
      </c>
      <c r="K776" s="22">
        <v>1</v>
      </c>
      <c r="L776" s="36">
        <v>0.56999999999999995</v>
      </c>
    </row>
    <row r="777" spans="1:12" x14ac:dyDescent="0.45">
      <c r="A777" s="9" t="s">
        <v>786</v>
      </c>
      <c r="B777" s="2">
        <f>IF(OR(Table1[[#This Row],[M score]]=1,AND(Table1[[#This Row],[F score]]=1,Table1[[#This Row],[Z score]]=1)),1,0)</f>
        <v>0</v>
      </c>
      <c r="C777" s="10">
        <v>0</v>
      </c>
      <c r="D777" s="10">
        <v>0</v>
      </c>
      <c r="E777" s="11">
        <v>0</v>
      </c>
      <c r="F777" s="12">
        <v>-1.0331858407079646</v>
      </c>
      <c r="G777" s="13">
        <v>25.741869300691842</v>
      </c>
      <c r="H777" s="14">
        <v>19.399999999999999</v>
      </c>
      <c r="I777" s="15">
        <v>0</v>
      </c>
      <c r="J777" s="15">
        <v>0</v>
      </c>
      <c r="K777" s="16">
        <v>1</v>
      </c>
      <c r="L777" s="36">
        <v>84.19</v>
      </c>
    </row>
    <row r="778" spans="1:12" x14ac:dyDescent="0.45">
      <c r="A778" s="1" t="s">
        <v>787</v>
      </c>
      <c r="B778" s="2">
        <f>IF(OR(Table1[[#This Row],[M score]]=1,AND(Table1[[#This Row],[F score]]=1,Table1[[#This Row],[Z score]]=1)),1,0)</f>
        <v>0</v>
      </c>
      <c r="C778" s="17">
        <v>0</v>
      </c>
      <c r="D778" s="17">
        <v>0</v>
      </c>
      <c r="E778" s="18">
        <v>0</v>
      </c>
      <c r="F778" s="19">
        <v>4.6923076923076925</v>
      </c>
      <c r="G778" s="6">
        <v>25.54997829288174</v>
      </c>
      <c r="H778" s="20">
        <v>13.01</v>
      </c>
      <c r="I778" s="21">
        <v>0</v>
      </c>
      <c r="J778" s="21">
        <v>0</v>
      </c>
      <c r="K778" s="22">
        <v>1</v>
      </c>
      <c r="L778" s="36">
        <v>1.1200000000000001</v>
      </c>
    </row>
    <row r="779" spans="1:12" x14ac:dyDescent="0.45">
      <c r="A779" s="9" t="s">
        <v>788</v>
      </c>
      <c r="B779" s="2">
        <f>IF(OR(Table1[[#This Row],[M score]]=1,AND(Table1[[#This Row],[F score]]=1,Table1[[#This Row],[Z score]]=1)),1,0)</f>
        <v>0</v>
      </c>
      <c r="C779" s="10">
        <v>0</v>
      </c>
      <c r="D779" s="10">
        <v>0</v>
      </c>
      <c r="E779" s="11">
        <v>0</v>
      </c>
      <c r="F779" s="12">
        <v>-2.6329966329966328</v>
      </c>
      <c r="G779" s="13">
        <v>25.594727182431953</v>
      </c>
      <c r="H779" s="14">
        <v>7.21</v>
      </c>
      <c r="I779" s="15">
        <v>0</v>
      </c>
      <c r="J779" s="15">
        <v>0</v>
      </c>
      <c r="K779" s="16">
        <v>0</v>
      </c>
      <c r="L779" s="36">
        <v>-5.57</v>
      </c>
    </row>
    <row r="780" spans="1:12" x14ac:dyDescent="0.45">
      <c r="A780" s="1" t="s">
        <v>789</v>
      </c>
      <c r="B780" s="2">
        <f>IF(OR(Table1[[#This Row],[M score]]=1,AND(Table1[[#This Row],[F score]]=1,Table1[[#This Row],[Z score]]=1)),1,0)</f>
        <v>0</v>
      </c>
      <c r="C780" s="17">
        <v>0</v>
      </c>
      <c r="D780" s="17">
        <v>0</v>
      </c>
      <c r="E780" s="18">
        <v>0</v>
      </c>
      <c r="F780" s="19">
        <v>0.16023993144815768</v>
      </c>
      <c r="G780" s="6">
        <v>24.918358909862622</v>
      </c>
      <c r="H780" s="20">
        <v>66.78</v>
      </c>
      <c r="I780" s="21">
        <v>1</v>
      </c>
      <c r="J780" s="21">
        <v>0</v>
      </c>
      <c r="K780" s="22">
        <v>1</v>
      </c>
      <c r="L780" s="36">
        <v>10.48</v>
      </c>
    </row>
    <row r="781" spans="1:12" x14ac:dyDescent="0.45">
      <c r="A781" s="9" t="s">
        <v>790</v>
      </c>
      <c r="B781" s="2">
        <f>IF(OR(Table1[[#This Row],[M score]]=1,AND(Table1[[#This Row],[F score]]=1,Table1[[#This Row],[Z score]]=1)),1,0)</f>
        <v>0</v>
      </c>
      <c r="C781" s="10">
        <v>0</v>
      </c>
      <c r="D781" s="10">
        <v>0</v>
      </c>
      <c r="E781" s="11">
        <v>0</v>
      </c>
      <c r="F781" s="12">
        <v>5.7636887608069162E-2</v>
      </c>
      <c r="G781" s="13">
        <v>27.537237761572801</v>
      </c>
      <c r="H781" s="14">
        <v>9.44</v>
      </c>
      <c r="I781" s="15">
        <v>1</v>
      </c>
      <c r="J781" s="15">
        <v>1</v>
      </c>
      <c r="K781" s="16">
        <v>1</v>
      </c>
      <c r="L781" s="36">
        <v>0.85</v>
      </c>
    </row>
    <row r="782" spans="1:12" x14ac:dyDescent="0.45">
      <c r="A782" s="1" t="s">
        <v>791</v>
      </c>
      <c r="B782" s="2">
        <f>IF(OR(Table1[[#This Row],[M score]]=1,AND(Table1[[#This Row],[F score]]=1,Table1[[#This Row],[Z score]]=1)),1,0)</f>
        <v>0</v>
      </c>
      <c r="C782" s="17">
        <v>0</v>
      </c>
      <c r="D782" s="17">
        <v>0</v>
      </c>
      <c r="E782" s="18">
        <v>0</v>
      </c>
      <c r="F782" s="19">
        <v>5.6897647806738713E-2</v>
      </c>
      <c r="G782" s="6">
        <v>30.118604559039856</v>
      </c>
      <c r="H782" s="20">
        <v>24.58</v>
      </c>
      <c r="I782" s="21">
        <v>1</v>
      </c>
      <c r="J782" s="21">
        <v>1</v>
      </c>
      <c r="K782" s="22">
        <v>1</v>
      </c>
      <c r="L782" s="36">
        <v>11.32</v>
      </c>
    </row>
    <row r="783" spans="1:12" x14ac:dyDescent="0.45">
      <c r="A783" s="9" t="s">
        <v>792</v>
      </c>
      <c r="B783" s="2">
        <f>IF(OR(Table1[[#This Row],[M score]]=1,AND(Table1[[#This Row],[F score]]=1,Table1[[#This Row],[Z score]]=1)),1,0)</f>
        <v>0</v>
      </c>
      <c r="C783" s="10">
        <v>0</v>
      </c>
      <c r="D783" s="10">
        <v>0</v>
      </c>
      <c r="E783" s="11">
        <v>0</v>
      </c>
      <c r="F783" s="12">
        <v>0.68103448275862066</v>
      </c>
      <c r="G783" s="13">
        <v>25.873814303141454</v>
      </c>
      <c r="H783" s="14">
        <v>24.22</v>
      </c>
      <c r="I783" s="15">
        <v>0</v>
      </c>
      <c r="J783" s="15">
        <v>0</v>
      </c>
      <c r="K783" s="16">
        <v>1</v>
      </c>
      <c r="L783" s="36">
        <v>5.25</v>
      </c>
    </row>
    <row r="784" spans="1:12" x14ac:dyDescent="0.45">
      <c r="A784" s="1" t="s">
        <v>793</v>
      </c>
      <c r="B784" s="2">
        <f>IF(OR(Table1[[#This Row],[M score]]=1,AND(Table1[[#This Row],[F score]]=1,Table1[[#This Row],[Z score]]=1)),1,0)</f>
        <v>1</v>
      </c>
      <c r="C784" s="17">
        <v>0</v>
      </c>
      <c r="D784" s="17">
        <v>0</v>
      </c>
      <c r="E784" s="18">
        <v>1</v>
      </c>
      <c r="F784" s="19">
        <v>-0.97224425059476605</v>
      </c>
      <c r="G784" s="6">
        <v>27.47655948726171</v>
      </c>
      <c r="H784" s="20">
        <v>28.5</v>
      </c>
      <c r="I784" s="21">
        <v>0</v>
      </c>
      <c r="J784" s="21">
        <v>0</v>
      </c>
      <c r="K784" s="22">
        <v>1</v>
      </c>
      <c r="L784" s="36">
        <v>68.47</v>
      </c>
    </row>
    <row r="785" spans="1:12" x14ac:dyDescent="0.45">
      <c r="A785" s="9" t="s">
        <v>794</v>
      </c>
      <c r="B785" s="2">
        <f>IF(OR(Table1[[#This Row],[M score]]=1,AND(Table1[[#This Row],[F score]]=1,Table1[[#This Row],[Z score]]=1)),1,0)</f>
        <v>0</v>
      </c>
      <c r="C785" s="10">
        <v>0</v>
      </c>
      <c r="D785" s="10">
        <v>0</v>
      </c>
      <c r="E785" s="11">
        <v>0</v>
      </c>
      <c r="F785" s="12">
        <v>-1.0833333333333333</v>
      </c>
      <c r="G785" s="13">
        <v>26.858305503541828</v>
      </c>
      <c r="H785" s="14">
        <v>14.17</v>
      </c>
      <c r="I785" s="15">
        <v>1</v>
      </c>
      <c r="J785" s="15">
        <v>0</v>
      </c>
      <c r="K785" s="16">
        <v>1</v>
      </c>
      <c r="L785" s="36">
        <v>0.16</v>
      </c>
    </row>
    <row r="786" spans="1:12" x14ac:dyDescent="0.45">
      <c r="A786" s="1" t="s">
        <v>795</v>
      </c>
      <c r="B786" s="2">
        <f>IF(OR(Table1[[#This Row],[M score]]=1,AND(Table1[[#This Row],[F score]]=1,Table1[[#This Row],[Z score]]=1)),1,0)</f>
        <v>1</v>
      </c>
      <c r="C786" s="17">
        <v>1</v>
      </c>
      <c r="D786" s="17">
        <v>1</v>
      </c>
      <c r="E786" s="18">
        <v>1</v>
      </c>
      <c r="F786" s="19">
        <v>-0.6624599358974359</v>
      </c>
      <c r="G786" s="6">
        <v>25.767949357872133</v>
      </c>
      <c r="H786" s="20">
        <v>43.26</v>
      </c>
      <c r="I786" s="21">
        <v>0</v>
      </c>
      <c r="J786" s="21">
        <v>1</v>
      </c>
      <c r="K786" s="22">
        <v>1</v>
      </c>
      <c r="L786" s="36">
        <v>-41.58</v>
      </c>
    </row>
    <row r="787" spans="1:12" x14ac:dyDescent="0.45">
      <c r="A787" s="9" t="s">
        <v>796</v>
      </c>
      <c r="B787" s="2">
        <f>IF(OR(Table1[[#This Row],[M score]]=1,AND(Table1[[#This Row],[F score]]=1,Table1[[#This Row],[Z score]]=1)),1,0)</f>
        <v>0</v>
      </c>
      <c r="C787" s="10">
        <v>0</v>
      </c>
      <c r="D787" s="10">
        <v>0</v>
      </c>
      <c r="E787" s="11">
        <v>0</v>
      </c>
      <c r="F787" s="12">
        <v>-0.47401574803149604</v>
      </c>
      <c r="G787" s="13">
        <v>28.026514500244716</v>
      </c>
      <c r="H787" s="14">
        <v>67.56</v>
      </c>
      <c r="I787" s="15">
        <v>1</v>
      </c>
      <c r="J787" s="15">
        <v>0</v>
      </c>
      <c r="K787" s="16">
        <v>1</v>
      </c>
      <c r="L787" s="36">
        <v>6.23</v>
      </c>
    </row>
    <row r="788" spans="1:12" x14ac:dyDescent="0.45">
      <c r="A788" s="1" t="s">
        <v>797</v>
      </c>
      <c r="B788" s="2">
        <f>IF(OR(Table1[[#This Row],[M score]]=1,AND(Table1[[#This Row],[F score]]=1,Table1[[#This Row],[Z score]]=1)),1,0)</f>
        <v>0</v>
      </c>
      <c r="C788" s="17">
        <v>1</v>
      </c>
      <c r="D788" s="17">
        <v>0</v>
      </c>
      <c r="E788" s="18">
        <v>0</v>
      </c>
      <c r="F788" s="19">
        <v>3.7687952186222082</v>
      </c>
      <c r="G788" s="6">
        <v>27.974531029901414</v>
      </c>
      <c r="H788" s="20">
        <v>10.9</v>
      </c>
      <c r="I788" s="21">
        <v>1</v>
      </c>
      <c r="J788" s="21">
        <v>0</v>
      </c>
      <c r="K788" s="22">
        <v>1</v>
      </c>
      <c r="L788" s="36">
        <v>84.99</v>
      </c>
    </row>
    <row r="789" spans="1:12" x14ac:dyDescent="0.45">
      <c r="A789" s="28" t="s">
        <v>798</v>
      </c>
      <c r="B789" s="2">
        <f>IF(OR(Table1[[#This Row],[M score]]=1,AND(Table1[[#This Row],[F score]]=1,Table1[[#This Row],[Z score]]=1)),1,0)</f>
        <v>0</v>
      </c>
      <c r="C789" s="29">
        <v>1</v>
      </c>
      <c r="D789" s="29">
        <v>0</v>
      </c>
      <c r="E789" s="30">
        <v>0</v>
      </c>
      <c r="F789" s="31">
        <v>-0.28009828009828008</v>
      </c>
      <c r="G789" s="32">
        <v>25.898002141723094</v>
      </c>
      <c r="H789" s="33">
        <v>69.959999999999994</v>
      </c>
      <c r="I789" s="34">
        <v>0</v>
      </c>
      <c r="J789" s="34">
        <v>0</v>
      </c>
      <c r="K789" s="35">
        <v>1</v>
      </c>
      <c r="L789" s="36">
        <v>32.31</v>
      </c>
    </row>
  </sheetData>
  <hyperlinks>
    <hyperlink ref="A2" r:id="rId1" xr:uid="{5DF76120-3288-4DAC-9A15-441F74EB910C}"/>
    <hyperlink ref="A3" r:id="rId2" xr:uid="{EC788F1B-F51C-4D9F-BEB5-A961AB16873C}"/>
    <hyperlink ref="A4" r:id="rId3" xr:uid="{3E4BDD43-8B3F-4F45-A718-FA8A59556386}"/>
    <hyperlink ref="A5" r:id="rId4" xr:uid="{077689FB-0364-4450-B688-C4546AABBABD}"/>
    <hyperlink ref="A6" r:id="rId5" xr:uid="{42A37384-4EEF-45F1-8A35-FA67C9006D32}"/>
    <hyperlink ref="A7" r:id="rId6" xr:uid="{C3A69E26-1766-40B7-A1A6-898F0D99EA20}"/>
    <hyperlink ref="A8" r:id="rId7" xr:uid="{E3DBA330-FE79-4CE0-AA6C-E1F3043CBE6F}"/>
    <hyperlink ref="A9" r:id="rId8" xr:uid="{CA57433F-3CE5-4C50-81BB-5B3B0F9EE483}"/>
    <hyperlink ref="A10" r:id="rId9" xr:uid="{530EB38A-D222-47C2-BDF9-8A9BE4C8A502}"/>
    <hyperlink ref="A11" r:id="rId10" xr:uid="{01850330-816A-4B82-BCF0-A108FD2D3C15}"/>
    <hyperlink ref="A12" r:id="rId11" xr:uid="{B86DC553-7F29-4F9B-9CB6-E2033B9AA1A1}"/>
    <hyperlink ref="A13" r:id="rId12" xr:uid="{83EBAA9E-BC7B-4FFD-B8CE-85DBB346D843}"/>
    <hyperlink ref="A14" r:id="rId13" xr:uid="{7C6702BE-3CF5-4A85-BA00-BD7F1B8094B1}"/>
    <hyperlink ref="A15" r:id="rId14" xr:uid="{BF28C4C0-DC8A-4884-9407-A5D9A7F9EAB7}"/>
    <hyperlink ref="A16" r:id="rId15" xr:uid="{A780E8ED-0271-402D-99B4-3850585EF316}"/>
    <hyperlink ref="A17" r:id="rId16" xr:uid="{FF346887-7201-4CEB-8A70-12439AD55B02}"/>
    <hyperlink ref="A18" r:id="rId17" xr:uid="{6D8EB29B-1F2F-448B-81D1-F5D7573404CB}"/>
    <hyperlink ref="A19" r:id="rId18" xr:uid="{95099BEB-52CC-4F2E-925C-BDADE19F2483}"/>
    <hyperlink ref="A20" r:id="rId19" xr:uid="{84638495-A6E2-408D-AD20-2BCE200ED31E}"/>
    <hyperlink ref="A21" r:id="rId20" xr:uid="{F10B1CEB-62F3-44D8-9803-7551F0342266}"/>
    <hyperlink ref="A22" r:id="rId21" xr:uid="{3FAA4F21-0B90-479B-A420-A313A8AABF2A}"/>
    <hyperlink ref="A23" r:id="rId22" xr:uid="{F1468A07-0B4F-4E8B-AB46-640DE0682480}"/>
    <hyperlink ref="A24" r:id="rId23" xr:uid="{F0A49C8D-F0F1-4F81-845C-42D37D23A8EA}"/>
    <hyperlink ref="A25" r:id="rId24" xr:uid="{93CB1E7F-55B8-4995-8860-6FC2180F8FA3}"/>
    <hyperlink ref="A26" r:id="rId25" xr:uid="{8936F383-83C8-4C69-904A-AB31FB15D577}"/>
    <hyperlink ref="A27" r:id="rId26" xr:uid="{4AF091F9-1264-4FF7-B3E5-941B99A57F4F}"/>
    <hyperlink ref="A28" r:id="rId27" xr:uid="{9EAE3D04-A5E7-4390-BC69-93D6ADB69C55}"/>
    <hyperlink ref="A29" r:id="rId28" xr:uid="{BDBE668D-36CD-41AA-A84B-CE144D82B86D}"/>
    <hyperlink ref="A30" r:id="rId29" xr:uid="{07D07BA2-B4E9-42F9-BC2F-EC77398E7C3A}"/>
    <hyperlink ref="A31" r:id="rId30" xr:uid="{534A96EF-1C4D-43A2-AFC4-EE7E1EAD0372}"/>
    <hyperlink ref="A32" r:id="rId31" xr:uid="{A156A34C-EAFD-404A-B668-6534E85B0FBF}"/>
    <hyperlink ref="A33" r:id="rId32" xr:uid="{03531DEE-1C38-452D-90B7-79C04C408535}"/>
    <hyperlink ref="A34" r:id="rId33" xr:uid="{62CA6729-2127-4649-81E7-A5A903607929}"/>
    <hyperlink ref="A35" r:id="rId34" xr:uid="{94C96DF5-35C7-4B8D-98E9-F48AF7F9DFA3}"/>
    <hyperlink ref="A36" r:id="rId35" xr:uid="{D8D5271F-21D6-43D6-AE25-C6EF84EF77F5}"/>
    <hyperlink ref="A37" r:id="rId36" xr:uid="{5FBD97A9-4878-4347-9626-95CB5CAAD1EC}"/>
    <hyperlink ref="A38" r:id="rId37" xr:uid="{BE36B5EE-DB9E-4F87-8FF8-F46B179A49BE}"/>
    <hyperlink ref="A39" r:id="rId38" xr:uid="{BBA057E5-BE77-43E0-95CE-5E5D0F1591E4}"/>
    <hyperlink ref="A40" r:id="rId39" xr:uid="{8CAA888B-6D7C-4C56-BD0B-6EBC4D094280}"/>
    <hyperlink ref="A41" r:id="rId40" xr:uid="{ECE4EBA9-06BE-4C33-AC34-3923B693A904}"/>
    <hyperlink ref="A42" r:id="rId41" xr:uid="{7105504C-7890-4D24-BF94-1EF991122B07}"/>
    <hyperlink ref="A43" r:id="rId42" xr:uid="{2BF48815-7358-4C1B-95CF-A83C6D81E9AD}"/>
    <hyperlink ref="A44" r:id="rId43" xr:uid="{9C4D3724-0030-4868-A454-ED1E4109887C}"/>
    <hyperlink ref="A45" r:id="rId44" xr:uid="{C5E9EEAF-39A4-4A08-AAD0-5246C1BA17B3}"/>
    <hyperlink ref="A46" r:id="rId45" xr:uid="{966B5AC7-F984-4E64-BD5A-5280B1AF9B62}"/>
    <hyperlink ref="A47" r:id="rId46" xr:uid="{28189C00-640F-442A-B808-943E5A3CD508}"/>
    <hyperlink ref="A48" r:id="rId47" xr:uid="{55E0D759-928D-4BB2-AD84-08A4FA5B274B}"/>
    <hyperlink ref="A49" r:id="rId48" xr:uid="{55A2BDC1-E563-44FC-93DA-D814BE7EE5E7}"/>
    <hyperlink ref="A50" r:id="rId49" xr:uid="{3E9FF075-D549-40E8-B997-128327DCC889}"/>
    <hyperlink ref="A51" r:id="rId50" xr:uid="{D2CEDBBA-5745-42F8-8127-6A2312942798}"/>
    <hyperlink ref="A52" r:id="rId51" xr:uid="{EEAD7DAD-C268-4467-B373-D17E76751CEB}"/>
    <hyperlink ref="A53" r:id="rId52" xr:uid="{C01ADBF2-CF1C-4CED-91AF-26C829267187}"/>
    <hyperlink ref="A54" r:id="rId53" xr:uid="{61362269-6994-4760-9FC7-0E4779833BF0}"/>
    <hyperlink ref="A55" r:id="rId54" xr:uid="{0CD15F61-5C0B-4F30-AF81-7338DC58CCD5}"/>
    <hyperlink ref="A56" r:id="rId55" xr:uid="{2CC6C52E-74DC-4788-A6CE-9CE35143BC6E}"/>
    <hyperlink ref="A57" r:id="rId56" xr:uid="{E73F0527-69F9-4DCF-BDAA-E2E8892AD23C}"/>
    <hyperlink ref="A58" r:id="rId57" xr:uid="{D5146688-C5F3-426E-9016-AAE0E8FC9B02}"/>
    <hyperlink ref="A59" r:id="rId58" xr:uid="{676F8BE0-4406-4AE2-B43B-32A50A85A1A9}"/>
    <hyperlink ref="A60" r:id="rId59" xr:uid="{53919E17-5708-4F12-A793-3A51CA2C8032}"/>
    <hyperlink ref="A61" r:id="rId60" xr:uid="{E023D77C-3C53-441C-8794-D59D3B4D6A04}"/>
    <hyperlink ref="A62" r:id="rId61" xr:uid="{80A3C42D-75BA-4067-B8AF-DAE41D7E88FF}"/>
    <hyperlink ref="A63" r:id="rId62" xr:uid="{39FF1096-50C8-4EC7-A5B4-C741834ECFEA}"/>
    <hyperlink ref="A64" r:id="rId63" xr:uid="{55CFAA9C-1F29-402E-B337-0DC30187E617}"/>
    <hyperlink ref="A65" r:id="rId64" xr:uid="{DAC6AA14-25B7-40F0-A6BE-F71AC453412A}"/>
    <hyperlink ref="A66" r:id="rId65" xr:uid="{5329799C-A4C6-4BEA-B2B6-63EB1941BC18}"/>
    <hyperlink ref="A67" r:id="rId66" xr:uid="{82617B52-877A-4F31-8DD3-53E095F06B5F}"/>
    <hyperlink ref="A68" r:id="rId67" xr:uid="{0F33E460-D187-4F56-8B3A-B6C84A5305F3}"/>
    <hyperlink ref="A69" r:id="rId68" xr:uid="{125CA8B7-7763-42F4-9169-8BD7BAF04105}"/>
    <hyperlink ref="A70" r:id="rId69" xr:uid="{3C94A4FE-1A3B-4878-86F7-C7B56B4AEA88}"/>
    <hyperlink ref="A71" r:id="rId70" xr:uid="{364D293A-BF20-4F0F-B441-7D4D8C1D2902}"/>
    <hyperlink ref="A72" r:id="rId71" xr:uid="{ED1B7DCA-960A-458E-BB34-EB5C49E95F0A}"/>
    <hyperlink ref="A73" r:id="rId72" xr:uid="{AF9F65C2-FCA6-476D-90E9-97E0E71005A3}"/>
    <hyperlink ref="A74" r:id="rId73" xr:uid="{6F30CB0B-5262-4246-8031-0F956F60B22F}"/>
    <hyperlink ref="A75" r:id="rId74" xr:uid="{D9B7828E-50A5-4233-BA2F-6987E30BC334}"/>
    <hyperlink ref="A76" r:id="rId75" xr:uid="{208E0226-4B2B-4BE3-A6B5-ADD967DD685C}"/>
    <hyperlink ref="A77" r:id="rId76" xr:uid="{8BDAA20E-4289-4FAC-9AF6-74259A5D09A8}"/>
    <hyperlink ref="A78" r:id="rId77" xr:uid="{8E11A200-063E-47F6-9D4C-56263DB50014}"/>
    <hyperlink ref="A79" r:id="rId78" xr:uid="{91352B7C-3E00-4F2E-9A6D-CA3597FC41EF}"/>
    <hyperlink ref="A80" r:id="rId79" xr:uid="{CBA95B3D-70F9-4202-9C61-DBE6363D2042}"/>
    <hyperlink ref="A81" r:id="rId80" xr:uid="{49E6E947-3F1C-477A-9556-0FE1833CFA1A}"/>
    <hyperlink ref="A82" r:id="rId81" xr:uid="{C7920278-B56C-43E0-AB36-163AA4CBD1F5}"/>
    <hyperlink ref="A83" r:id="rId82" xr:uid="{8B993467-EA87-4CA4-BA66-A0581351AF56}"/>
    <hyperlink ref="A84" r:id="rId83" xr:uid="{77CDD1AF-7E4D-44C3-A30F-505936905FF1}"/>
    <hyperlink ref="A85" r:id="rId84" xr:uid="{0B4D98E0-49DD-4E39-B3D0-7B126EB5CF50}"/>
    <hyperlink ref="A86" r:id="rId85" xr:uid="{082744EC-A200-4F0C-A46D-1F3474ECCE31}"/>
    <hyperlink ref="A87" r:id="rId86" xr:uid="{A7BCC9A2-C4F0-45D9-A27B-DA227E80D4FA}"/>
    <hyperlink ref="A88" r:id="rId87" xr:uid="{99F622D6-A297-4C93-BE3D-12D78F480951}"/>
    <hyperlink ref="A89" r:id="rId88" xr:uid="{17085DF4-C64C-4D70-8243-8763C2DE29D7}"/>
    <hyperlink ref="A90" r:id="rId89" xr:uid="{E6959EC2-57B6-43BC-AE3B-3FA14A9E8658}"/>
    <hyperlink ref="A91" r:id="rId90" xr:uid="{3118BD2C-FAB2-4A1F-B014-CA2F3C2279B5}"/>
    <hyperlink ref="A92" r:id="rId91" xr:uid="{0772FE14-E49E-4B01-8B00-B8713B15DAE8}"/>
    <hyperlink ref="A93" r:id="rId92" xr:uid="{5D1D9A33-8254-4858-8398-5D2039AE0CF2}"/>
    <hyperlink ref="A94" r:id="rId93" xr:uid="{19E5B822-54F9-4E72-AC1F-8C2EACA3DC52}"/>
    <hyperlink ref="A95" r:id="rId94" xr:uid="{D66D2550-EE67-400D-8130-E222EA950188}"/>
    <hyperlink ref="A96" r:id="rId95" xr:uid="{607424E8-76EC-43F8-B24B-F208FD4D0857}"/>
    <hyperlink ref="A97" r:id="rId96" xr:uid="{6D58AE97-9075-4C2F-ACB8-057327D6EC55}"/>
    <hyperlink ref="A98" r:id="rId97" xr:uid="{6C9E2FAC-F002-4AAA-8F98-9431E3B68EAD}"/>
    <hyperlink ref="A99" r:id="rId98" xr:uid="{59860DFF-B58B-44BF-9AD2-DD12B8EB653D}"/>
    <hyperlink ref="A100" r:id="rId99" xr:uid="{256DDD60-5C76-41A4-8A28-C429EA05D6A1}"/>
    <hyperlink ref="A101" r:id="rId100" xr:uid="{5C3A6754-5CAB-4708-BB79-5302FCA723A4}"/>
    <hyperlink ref="A102" r:id="rId101" xr:uid="{2D8E355A-7AE5-4EA8-A01C-26A84D9C893A}"/>
    <hyperlink ref="A103" r:id="rId102" xr:uid="{615C96A6-9D26-49E2-8990-5B31EC3ED55C}"/>
    <hyperlink ref="A104" r:id="rId103" xr:uid="{5F8BDA4E-8504-4C37-A7A5-80E684109B1E}"/>
    <hyperlink ref="A105" r:id="rId104" xr:uid="{4A9FE04E-A5DC-4EB8-BD91-CD70ECA1879A}"/>
    <hyperlink ref="A106" r:id="rId105" xr:uid="{4A900FCF-DB9B-47D4-915E-EAAE628BAB39}"/>
    <hyperlink ref="A107" r:id="rId106" xr:uid="{241391C3-96CE-4B53-91C0-B49420FCD689}"/>
    <hyperlink ref="A108" r:id="rId107" xr:uid="{C12CF0E7-B3AB-4F97-88BB-C072E67B140D}"/>
    <hyperlink ref="A109" r:id="rId108" xr:uid="{E49F61D3-5EFB-4299-AB93-08FA75FED6E9}"/>
    <hyperlink ref="A110" r:id="rId109" xr:uid="{ABCC7460-70DD-444D-B2B5-7EDF16BAC613}"/>
    <hyperlink ref="A111" r:id="rId110" xr:uid="{976A4C97-5985-4FC5-AEED-D962E7DBE46B}"/>
    <hyperlink ref="A112" r:id="rId111" xr:uid="{32F00964-E0FA-46AC-A36C-E25FEB31CFD4}"/>
    <hyperlink ref="A113" r:id="rId112" xr:uid="{51D01F2C-297B-4963-AE3A-D61841E44569}"/>
    <hyperlink ref="A114" r:id="rId113" xr:uid="{48B9EFC1-5809-4177-AC07-79ACDF1D6EE1}"/>
    <hyperlink ref="A115" r:id="rId114" xr:uid="{CC07C703-606E-4EB9-8D30-2B7A9E4DC3B0}"/>
    <hyperlink ref="A116" r:id="rId115" xr:uid="{63F8CA21-D608-4BD3-B8BE-0AA8C7885FEC}"/>
    <hyperlink ref="A117" r:id="rId116" xr:uid="{D5A641A7-F35F-42D7-BFCC-9DA3ACF9AEA8}"/>
    <hyperlink ref="A118" r:id="rId117" xr:uid="{DF0209FA-89A9-468E-805A-C453063A10AC}"/>
    <hyperlink ref="A119" r:id="rId118" xr:uid="{6289EEB1-F49C-4225-AD1B-235A1C7AAAF5}"/>
    <hyperlink ref="A120" r:id="rId119" xr:uid="{7DA633BE-753B-4E84-BC92-0D7A387414F8}"/>
    <hyperlink ref="A121" r:id="rId120" xr:uid="{68378E7A-4108-4507-B5A7-C826D5A84789}"/>
    <hyperlink ref="A122" r:id="rId121" xr:uid="{5BA9A51F-E5A8-4A7F-BC4B-AE614AA6A850}"/>
    <hyperlink ref="A123" r:id="rId122" xr:uid="{ECD1CDAB-B313-4C57-9EC9-8DF002A8100C}"/>
    <hyperlink ref="A124" r:id="rId123" xr:uid="{2599AB01-5A09-4A98-BD44-F2516A58FA4C}"/>
    <hyperlink ref="A125" r:id="rId124" xr:uid="{8AEBB2AF-EE0D-403A-83B6-FE550912331A}"/>
    <hyperlink ref="A126" r:id="rId125" xr:uid="{A397509B-4178-4E6B-95B4-618652B672EF}"/>
    <hyperlink ref="A127" r:id="rId126" xr:uid="{9705965B-F26D-426C-A4BF-CB9FBD80C585}"/>
    <hyperlink ref="A128" r:id="rId127" xr:uid="{6F7C81FB-3A56-4094-87B4-EB88B9712F2E}"/>
    <hyperlink ref="A129" r:id="rId128" xr:uid="{EAB1AC4D-BDEA-45C4-93B4-75E2AC4A2960}"/>
    <hyperlink ref="A130" r:id="rId129" xr:uid="{69CE84CD-30E4-4E8B-B330-9907B6D57426}"/>
    <hyperlink ref="A131" r:id="rId130" xr:uid="{4637D081-71F2-4D72-B82B-09B21D178C94}"/>
    <hyperlink ref="A132" r:id="rId131" xr:uid="{26530F6D-F410-49D0-86CD-62D1200C2FF7}"/>
    <hyperlink ref="A133" r:id="rId132" xr:uid="{B8FC39CD-8C4F-4E6B-939A-B2DFC32047AD}"/>
    <hyperlink ref="A134" r:id="rId133" xr:uid="{DBCCA05E-C821-44AA-B1A6-0739264BFE03}"/>
    <hyperlink ref="A135" r:id="rId134" xr:uid="{15BC2395-8024-4994-8F02-B0BD008CEF42}"/>
    <hyperlink ref="A136" r:id="rId135" xr:uid="{263EB52B-F859-4DAC-91FE-47C6E27CB3A6}"/>
    <hyperlink ref="A137" r:id="rId136" xr:uid="{FB665374-4671-4919-8817-8F22857968C6}"/>
    <hyperlink ref="A138" r:id="rId137" xr:uid="{01D84115-C747-4BA2-BE11-73B8610A46ED}"/>
    <hyperlink ref="A139" r:id="rId138" xr:uid="{22B6F8F0-DC7B-4844-9D1F-BBAB3A2D2AB9}"/>
    <hyperlink ref="A140" r:id="rId139" xr:uid="{77F8BBCC-ECED-420E-9454-C0D45854D522}"/>
    <hyperlink ref="A141" r:id="rId140" xr:uid="{C2DABA64-F609-4928-9C63-AB8294C838D9}"/>
    <hyperlink ref="A142" r:id="rId141" xr:uid="{7FDC0105-76EA-4F1C-B1DE-7B4E56B3A9F7}"/>
    <hyperlink ref="A143" r:id="rId142" xr:uid="{B67F9A17-4CFB-4F7D-997D-AAB4D4A065A7}"/>
    <hyperlink ref="A144" r:id="rId143" xr:uid="{96D626C1-2961-43C1-BF6C-46A7A9FB061A}"/>
    <hyperlink ref="A145" r:id="rId144" xr:uid="{BA37C608-9DCE-44D7-AAAC-D7F5D818948B}"/>
    <hyperlink ref="A146" r:id="rId145" xr:uid="{19E831EC-0A36-451E-BD31-6B7E80150019}"/>
    <hyperlink ref="A147" r:id="rId146" xr:uid="{E5B4816C-B553-4C11-8158-AFF298783D90}"/>
    <hyperlink ref="A148" r:id="rId147" xr:uid="{E6FCFC50-FEDB-48D1-BFAC-3871C25C825E}"/>
    <hyperlink ref="A149" r:id="rId148" xr:uid="{F669033B-29E1-4B2F-8A6A-B9E5C35426F7}"/>
    <hyperlink ref="A150" r:id="rId149" xr:uid="{ACA1C1D5-D584-465A-95FB-38CAA854B6CA}"/>
    <hyperlink ref="A151" r:id="rId150" xr:uid="{A15C318E-E1EA-400C-AFAF-168ECB517A44}"/>
    <hyperlink ref="A152" r:id="rId151" xr:uid="{947FAE09-2749-4B90-A5BD-67A5F8E8A845}"/>
    <hyperlink ref="A153" r:id="rId152" xr:uid="{DF080FA6-EC79-4A3D-9D16-B68E524FD68A}"/>
    <hyperlink ref="A154" r:id="rId153" xr:uid="{4DDE00D8-212F-4512-BC39-2D8B10364898}"/>
    <hyperlink ref="A155" r:id="rId154" xr:uid="{5C91E127-9EDB-43D4-A934-3CF8AA631751}"/>
    <hyperlink ref="A156" r:id="rId155" xr:uid="{23EE479E-8993-49FC-9E7B-7BFFCA90A0F3}"/>
    <hyperlink ref="A157" r:id="rId156" xr:uid="{4D600FC1-656F-471A-88BE-E02331CEFD13}"/>
    <hyperlink ref="A158" r:id="rId157" xr:uid="{E1CD1FD7-B22E-4784-8484-E8E814AE583B}"/>
    <hyperlink ref="A159" r:id="rId158" xr:uid="{B64065E0-D833-4639-A50C-3FC7C6477660}"/>
    <hyperlink ref="A160" r:id="rId159" xr:uid="{441DBCB4-6233-4A82-B27D-8915F6C31159}"/>
    <hyperlink ref="A161" r:id="rId160" xr:uid="{9723503E-A9E1-4F76-B0C4-239BE2996CDD}"/>
    <hyperlink ref="A162" r:id="rId161" xr:uid="{AA68CF46-47D0-4A8C-BABA-0D6B47BC632A}"/>
    <hyperlink ref="A163" r:id="rId162" xr:uid="{27DFCB87-8046-424A-837E-2B295F7F9E45}"/>
    <hyperlink ref="A164" r:id="rId163" xr:uid="{8B9ED6C2-6D86-4F85-844C-8A927A6855BE}"/>
    <hyperlink ref="A165" r:id="rId164" xr:uid="{4FA6B428-FE23-41C9-8503-CAADA9115062}"/>
    <hyperlink ref="A166" r:id="rId165" xr:uid="{8A6821AC-1F6F-454D-BD25-99AFB4A2A530}"/>
    <hyperlink ref="A167" r:id="rId166" xr:uid="{EFA30FC6-7904-44AF-9CD1-B589C2A4DD88}"/>
    <hyperlink ref="A168" r:id="rId167" xr:uid="{C1D27D0B-95D9-4499-9896-A2F1131D7B50}"/>
    <hyperlink ref="A169" r:id="rId168" xr:uid="{5142D929-F903-4B82-90DB-2396FE53CFE0}"/>
    <hyperlink ref="A170" r:id="rId169" xr:uid="{6AF81457-428C-4A46-A64C-5E8B2FA1337C}"/>
    <hyperlink ref="A171" r:id="rId170" xr:uid="{E422682E-0EB0-4755-B15E-BFE75F8604C7}"/>
    <hyperlink ref="A172" r:id="rId171" xr:uid="{62EDD9DA-BB2E-4A75-8775-D717CC0767BF}"/>
    <hyperlink ref="A173" r:id="rId172" xr:uid="{7CA43280-67A2-4C64-B99C-5FE315CA7CA9}"/>
    <hyperlink ref="A174" r:id="rId173" xr:uid="{A712EBC3-C464-47A6-8E5F-DBC7C2957334}"/>
    <hyperlink ref="A175" r:id="rId174" xr:uid="{84686CD5-4EF7-4CC7-AA1C-CF632E29488E}"/>
    <hyperlink ref="A176" r:id="rId175" xr:uid="{CA266CF3-EC0E-4B58-B0F8-EC36145F560E}"/>
    <hyperlink ref="A177" r:id="rId176" xr:uid="{3C75216F-B04A-4408-96B4-52409B75A7F4}"/>
    <hyperlink ref="A178" r:id="rId177" xr:uid="{DAED6996-57FA-4C66-9EA1-1CC9A66C9F9E}"/>
    <hyperlink ref="A179" r:id="rId178" xr:uid="{FA73B492-18FF-4ACB-B2A6-E3F10668328A}"/>
    <hyperlink ref="A180" r:id="rId179" xr:uid="{DF2BD2E6-0527-442B-843A-D26AA72DEE76}"/>
    <hyperlink ref="A181" r:id="rId180" xr:uid="{92DF02BF-952E-4BF4-8ACE-4FA67EE9D8C2}"/>
    <hyperlink ref="A182" r:id="rId181" xr:uid="{96CBE533-413F-4144-8A31-6763407C36A6}"/>
    <hyperlink ref="A183" r:id="rId182" xr:uid="{C04F4D75-96A1-46FC-9537-8CA8D688D380}"/>
    <hyperlink ref="A184" r:id="rId183" xr:uid="{51B4B417-2A4D-424A-93C3-86B6B5D68ADF}"/>
    <hyperlink ref="A185" r:id="rId184" xr:uid="{C9A1B057-E1E8-4605-958F-0C465048D204}"/>
    <hyperlink ref="A186" r:id="rId185" xr:uid="{DE5DEA89-BA11-4A1C-BF38-523C17217E32}"/>
    <hyperlink ref="A187" r:id="rId186" xr:uid="{6531E8BA-0188-486B-889A-1EB9B2CEB245}"/>
    <hyperlink ref="A188" r:id="rId187" xr:uid="{A5FFA767-DD10-4953-AC92-019ED7281682}"/>
    <hyperlink ref="A189" r:id="rId188" xr:uid="{E8E9E19C-306E-478C-BB24-F524656291EA}"/>
    <hyperlink ref="A190" r:id="rId189" xr:uid="{A93E8688-37E7-4E73-B53B-5DE0CB933FB1}"/>
    <hyperlink ref="A191" r:id="rId190" xr:uid="{6E978291-6181-42A2-9F35-20B6136A0522}"/>
    <hyperlink ref="A192" r:id="rId191" xr:uid="{E751E34D-1074-4FC7-9247-5D21D829EE63}"/>
    <hyperlink ref="A193" r:id="rId192" xr:uid="{0ED0BD63-C4D3-4899-B6C2-0EECC018940D}"/>
    <hyperlink ref="A194" r:id="rId193" xr:uid="{20614071-4A2B-423D-BB68-C641016CF0B6}"/>
    <hyperlink ref="A195" r:id="rId194" xr:uid="{EB1905DC-5C1D-429D-A7DD-B968C0A57EDF}"/>
    <hyperlink ref="A196" r:id="rId195" xr:uid="{4D16A6B9-57C0-4C53-B07E-DEB16F0B8FFC}"/>
    <hyperlink ref="A197" r:id="rId196" xr:uid="{5B809992-F1C1-4B36-90FD-5E051A9A4B0C}"/>
    <hyperlink ref="A198" r:id="rId197" xr:uid="{1C1D8623-4A56-4F92-848B-6FABC6AE6070}"/>
    <hyperlink ref="A199" r:id="rId198" xr:uid="{B8B600C8-20BB-4F4B-8D95-EB7992639E07}"/>
    <hyperlink ref="A200" r:id="rId199" xr:uid="{82F83E99-CA4C-4D8A-A0E5-EF64CBBBDCD9}"/>
    <hyperlink ref="A201" r:id="rId200" xr:uid="{4B14577A-54B0-45C6-B8EB-CA6A35380654}"/>
    <hyperlink ref="A202" r:id="rId201" xr:uid="{4749A6C5-A669-4E7B-ACE4-D6ABDFE9095A}"/>
    <hyperlink ref="A203" r:id="rId202" xr:uid="{DBC5C59C-DC41-4636-B713-0979B1E0D1EA}"/>
    <hyperlink ref="A204" r:id="rId203" xr:uid="{236F3C81-03B4-48AB-BCB9-8587A65BADE8}"/>
    <hyperlink ref="A205" r:id="rId204" xr:uid="{375966A0-F467-4C5D-BBEE-E5061A28ADB1}"/>
    <hyperlink ref="A206" r:id="rId205" xr:uid="{CF6481D3-F445-47AA-8772-858DBA16EA8D}"/>
    <hyperlink ref="A207" r:id="rId206" xr:uid="{3F06B261-FD42-4EF7-8633-D1E2A711570C}"/>
    <hyperlink ref="A208" r:id="rId207" xr:uid="{065B0EB1-2214-4CB8-9372-DDE7E65272DA}"/>
    <hyperlink ref="A209" r:id="rId208" xr:uid="{389B487E-307B-49EF-94E3-27F46AA7885C}"/>
    <hyperlink ref="A210" r:id="rId209" xr:uid="{C730EC31-D89C-4219-82DC-B183DCD31880}"/>
    <hyperlink ref="A211" r:id="rId210" xr:uid="{3E67450E-505B-4D17-AE2D-DD7979E94B27}"/>
    <hyperlink ref="A212" r:id="rId211" xr:uid="{8B67B5BD-1614-4B6B-83DD-987EF0BBA941}"/>
    <hyperlink ref="A213" r:id="rId212" xr:uid="{CA49BDC4-59F2-449E-9BD9-5D608E0BE28E}"/>
    <hyperlink ref="A214" r:id="rId213" xr:uid="{A56F8DEE-6B4B-4DCF-BD3B-D787F85956CB}"/>
    <hyperlink ref="A215" r:id="rId214" xr:uid="{5ED53849-6C45-4831-9E0F-639D8592139D}"/>
    <hyperlink ref="A216" r:id="rId215" xr:uid="{41FB6296-6380-42AA-9C74-AABC286921C2}"/>
    <hyperlink ref="A217" r:id="rId216" xr:uid="{524A319D-FC1B-444D-8C86-4F141F57B416}"/>
    <hyperlink ref="A218" r:id="rId217" xr:uid="{1BC48251-CDE3-49EB-8699-31D692E32BC0}"/>
    <hyperlink ref="A219" r:id="rId218" xr:uid="{98AA1454-0EAB-428F-885F-56ABBAB7402B}"/>
    <hyperlink ref="A220" r:id="rId219" xr:uid="{B80A70E2-9091-4C0F-A2D7-1F9521378B9B}"/>
    <hyperlink ref="A221" r:id="rId220" xr:uid="{C061D956-4090-4BCE-8FEE-0391AA705180}"/>
    <hyperlink ref="A222" r:id="rId221" xr:uid="{2863CB99-2118-428D-AF7B-F7DCD9B96987}"/>
    <hyperlink ref="A223" r:id="rId222" xr:uid="{A5FE2CB2-87F8-4123-97EB-D918977CF9E2}"/>
    <hyperlink ref="A224" r:id="rId223" xr:uid="{F37F23E2-02A6-4858-99A1-116D44401709}"/>
    <hyperlink ref="A225" r:id="rId224" xr:uid="{ABECF5E7-8349-405B-B68B-D92E6026081F}"/>
    <hyperlink ref="A226" r:id="rId225" xr:uid="{4E24E9D6-27C3-4594-9C27-3168B94C79B9}"/>
    <hyperlink ref="A227" r:id="rId226" xr:uid="{4192C4E6-A7D5-4B86-AF90-93B436A66076}"/>
    <hyperlink ref="A228" r:id="rId227" xr:uid="{23FA379C-B636-497A-9041-374112D01664}"/>
    <hyperlink ref="A229" r:id="rId228" xr:uid="{EEAB9999-5CCE-4F9D-B507-3111EBACD887}"/>
    <hyperlink ref="A230" r:id="rId229" xr:uid="{EB65F11C-906C-4B9F-9D8F-F9840CE47D03}"/>
    <hyperlink ref="A231" r:id="rId230" xr:uid="{7812A257-6A18-40E3-A5B1-742944D0419C}"/>
    <hyperlink ref="A232" r:id="rId231" xr:uid="{A0EB27C8-545E-4CD0-83FA-1F0EA981F9E6}"/>
    <hyperlink ref="A233" r:id="rId232" xr:uid="{4BB7E579-F9E9-4852-ACA3-CF9900BE1535}"/>
    <hyperlink ref="A234" r:id="rId233" xr:uid="{5214BCAA-928B-4F68-9EDC-EF657140D69C}"/>
    <hyperlink ref="A235" r:id="rId234" xr:uid="{932B00B6-742E-439C-82F8-8BC2FBE20BFB}"/>
    <hyperlink ref="A236" r:id="rId235" xr:uid="{7FD0F306-6251-4EAC-B165-DA3AE1D326DF}"/>
    <hyperlink ref="A237" r:id="rId236" xr:uid="{CD70A0D1-9819-4F90-92EB-4E41EB90DA89}"/>
    <hyperlink ref="A238" r:id="rId237" xr:uid="{BB238B94-F75E-4D38-AAAE-E9C9A9ABCBF1}"/>
    <hyperlink ref="A239" r:id="rId238" xr:uid="{3B0E609C-7588-4216-B659-7DB1DBE85CD7}"/>
    <hyperlink ref="A240" r:id="rId239" xr:uid="{9A8809BF-4E70-473F-BD6E-3D5985B70F93}"/>
    <hyperlink ref="A241" r:id="rId240" xr:uid="{A5EB3D09-642D-4A87-BBFF-86910418A3EB}"/>
    <hyperlink ref="A242" r:id="rId241" xr:uid="{589411C7-F0B8-42E9-A20E-E5A4D4725D7C}"/>
    <hyperlink ref="A243" r:id="rId242" xr:uid="{199D5D69-3214-4547-8B3B-F1A2DF90F9AD}"/>
    <hyperlink ref="A244" r:id="rId243" xr:uid="{76EFBB72-C27D-4493-928D-51E68CCFA9C5}"/>
    <hyperlink ref="A245" r:id="rId244" xr:uid="{E49CD65D-E346-49ED-B348-CDC7C3C22950}"/>
    <hyperlink ref="A246" r:id="rId245" xr:uid="{8E746E53-A2EA-4DA0-8519-F9CA3D6F7184}"/>
    <hyperlink ref="A247" r:id="rId246" xr:uid="{0B8A9A9C-9A23-4B82-9939-66EA4A445E9C}"/>
    <hyperlink ref="A248" r:id="rId247" xr:uid="{9203A209-1793-453E-9853-1CAC2E9EBD0C}"/>
    <hyperlink ref="A249" r:id="rId248" xr:uid="{EDC094F3-EFF7-4A80-B6D7-64BCEC6DDA89}"/>
    <hyperlink ref="A250" r:id="rId249" xr:uid="{4EACBC97-DDED-40C2-A061-6BD17A468598}"/>
    <hyperlink ref="A251" r:id="rId250" xr:uid="{43BBC203-F758-4C88-AFB5-5F9A58715F93}"/>
    <hyperlink ref="A252" r:id="rId251" xr:uid="{7B572BD0-F485-4CB0-8D20-003D88FE14C0}"/>
    <hyperlink ref="A253" r:id="rId252" xr:uid="{A9CD2676-B6EC-4FDD-B257-16C00353FC39}"/>
    <hyperlink ref="A254" r:id="rId253" xr:uid="{CC409320-C29F-4E35-B7B1-CF2CBA67DC8B}"/>
    <hyperlink ref="A255" r:id="rId254" xr:uid="{7F802D2E-792E-4359-89EA-A44E96794E08}"/>
    <hyperlink ref="A256" r:id="rId255" xr:uid="{B8FC34A1-400A-4520-9C1D-B9F3B0E9B716}"/>
    <hyperlink ref="A257" r:id="rId256" xr:uid="{CE4E6DB5-B58E-4585-A582-A83DE0C5B2DF}"/>
    <hyperlink ref="A258" r:id="rId257" xr:uid="{BEAD23E9-31C1-4F95-A7F9-2E11C68D1982}"/>
    <hyperlink ref="A259" r:id="rId258" xr:uid="{D515497A-23FA-492B-9BA2-5B3D4ED8B542}"/>
    <hyperlink ref="A260" r:id="rId259" xr:uid="{5F4F7FED-F4B2-4A6F-AF36-049471A6D7A5}"/>
    <hyperlink ref="A261" r:id="rId260" xr:uid="{0F2210C5-8A16-4116-8D9A-48C00E83CC2B}"/>
    <hyperlink ref="A262" r:id="rId261" xr:uid="{A6979183-E49E-4DD1-951C-2743A204738B}"/>
    <hyperlink ref="A263" r:id="rId262" xr:uid="{CBF49D04-5209-46B5-884B-F3B429B5C3AD}"/>
    <hyperlink ref="A264" r:id="rId263" xr:uid="{02DC3202-E84A-4A4C-AD58-504B313EDFD0}"/>
    <hyperlink ref="A265" r:id="rId264" xr:uid="{8F881C10-49F6-4C71-B770-A6EE1B8F6823}"/>
    <hyperlink ref="A266" r:id="rId265" xr:uid="{487CBE1F-4034-4B6F-8CD6-BE652DDCBD60}"/>
    <hyperlink ref="A267" r:id="rId266" xr:uid="{F8C9A1FE-2094-46DB-BE08-0421651118C7}"/>
    <hyperlink ref="A268" r:id="rId267" xr:uid="{C7F78EB9-EE61-42EC-9380-A32B7ECA3E2A}"/>
    <hyperlink ref="A269" r:id="rId268" xr:uid="{119FA816-687B-4B5B-BF3B-387971D7C47E}"/>
    <hyperlink ref="A270" r:id="rId269" xr:uid="{A888C8B8-09C0-448B-B8A2-F167FDEE8978}"/>
    <hyperlink ref="A271" r:id="rId270" xr:uid="{9FE51AB5-1DC8-4898-A18A-A78F38B7DFD5}"/>
    <hyperlink ref="A272" r:id="rId271" xr:uid="{30BED2F4-BE6D-4D24-A75F-3F2D811A1C3B}"/>
    <hyperlink ref="A273" r:id="rId272" xr:uid="{05310A21-4882-4A3F-AD98-A69F1CFAC18F}"/>
    <hyperlink ref="A274" r:id="rId273" xr:uid="{986EFC78-8BE3-4F5E-9AEE-D09B85CADF02}"/>
    <hyperlink ref="A275" r:id="rId274" xr:uid="{4A664F88-F3D1-40FD-A071-DE6710A648C1}"/>
    <hyperlink ref="A276" r:id="rId275" xr:uid="{DE3BE60B-9B4D-47BA-BFFE-CA57FD19BEF6}"/>
    <hyperlink ref="A277" r:id="rId276" xr:uid="{A6ACC1BB-4EB4-42EB-8ADC-E5A30072D8C3}"/>
    <hyperlink ref="A278" r:id="rId277" xr:uid="{82CC5066-BD06-425C-9103-F74D4DC82917}"/>
    <hyperlink ref="A279" r:id="rId278" xr:uid="{EF9BEF2A-5FAA-493B-A68E-B110254BC9A1}"/>
    <hyperlink ref="A280" r:id="rId279" xr:uid="{3CAFD134-05AE-44B3-A2D2-8222C013A5E3}"/>
    <hyperlink ref="A281" r:id="rId280" xr:uid="{2EB8AF96-E767-49CF-B012-5F64826AE8E4}"/>
    <hyperlink ref="A282" r:id="rId281" xr:uid="{967B1145-3F22-4A05-9C2C-CBF1FB28E31F}"/>
    <hyperlink ref="A283" r:id="rId282" xr:uid="{3AC5B747-DE0C-45AD-82CE-87E1E5169819}"/>
    <hyperlink ref="A284" r:id="rId283" xr:uid="{AF4B0340-FE4A-4FE8-888B-E3C4715994C8}"/>
    <hyperlink ref="A285" r:id="rId284" xr:uid="{CE921268-CF73-4CE7-8A58-2B95E6E8D0FF}"/>
    <hyperlink ref="A286" r:id="rId285" xr:uid="{AD952787-B380-4A63-AE2E-B536001375EF}"/>
    <hyperlink ref="A287" r:id="rId286" xr:uid="{B78B0CFF-A40D-4CA9-AFD8-6ED6F0EF8050}"/>
    <hyperlink ref="A288" r:id="rId287" xr:uid="{85A981E9-8ECD-4275-B75D-09630DBF1749}"/>
    <hyperlink ref="A289" r:id="rId288" xr:uid="{A7BE4BBF-F239-45A1-89F5-BB44A41C27AC}"/>
    <hyperlink ref="A290" r:id="rId289" xr:uid="{482F5BF6-C03C-4EBD-B2AA-EB057738F420}"/>
    <hyperlink ref="A291" r:id="rId290" xr:uid="{9DEE9F7B-8D8C-4351-9125-536C3163D0FB}"/>
    <hyperlink ref="A292" r:id="rId291" xr:uid="{DBB016BC-3C87-4C70-B360-AC9ABF13BB5D}"/>
    <hyperlink ref="A293" r:id="rId292" xr:uid="{92614677-0CC8-4DC1-BE00-B5A754E184E7}"/>
    <hyperlink ref="A294" r:id="rId293" xr:uid="{C2FD40EF-F96F-4FAC-8641-3731DEC85533}"/>
    <hyperlink ref="A295" r:id="rId294" xr:uid="{21B9A306-58F9-416B-811B-D012D15321B8}"/>
    <hyperlink ref="A296" r:id="rId295" xr:uid="{A5AAE314-CAE3-4E00-A1A5-39F872BAC78B}"/>
    <hyperlink ref="A297" r:id="rId296" xr:uid="{E41BCE5F-14F1-4620-B588-1765BD80A99F}"/>
    <hyperlink ref="A298" r:id="rId297" xr:uid="{73C5D756-E514-4DFF-A8E7-EE075D35A005}"/>
    <hyperlink ref="A299" r:id="rId298" xr:uid="{2BF899E8-5D1C-49EF-8621-6E8D00E210F3}"/>
    <hyperlink ref="A300" r:id="rId299" xr:uid="{28D6DF17-E850-4D81-80A2-9567901733E7}"/>
    <hyperlink ref="A301" r:id="rId300" xr:uid="{F31C91EF-F246-4A08-9488-E8D29D1AD0A3}"/>
    <hyperlink ref="A302" r:id="rId301" xr:uid="{80A5CF16-0DA2-4ACA-95EA-46672D627E8A}"/>
    <hyperlink ref="A303" r:id="rId302" xr:uid="{CF088664-7A53-48E2-9D92-3CE8F16B842C}"/>
    <hyperlink ref="A304" r:id="rId303" xr:uid="{630EF0AF-50CC-4345-9E20-9FC70CD27097}"/>
    <hyperlink ref="A305" r:id="rId304" xr:uid="{33C5D4DC-D94E-490F-B5F7-4D64B6B44DA5}"/>
    <hyperlink ref="A306" r:id="rId305" xr:uid="{5B8C05B9-095A-40B5-BEF1-2144477B5F56}"/>
    <hyperlink ref="A307" r:id="rId306" xr:uid="{69B7B01F-A8B2-4D67-B531-21265BBC7F3B}"/>
    <hyperlink ref="A308" r:id="rId307" xr:uid="{E7351092-8375-44B0-A356-526E8E2AEE61}"/>
    <hyperlink ref="A309" r:id="rId308" xr:uid="{484F9E1C-C597-4140-81CC-7D4047ABA844}"/>
    <hyperlink ref="A310" r:id="rId309" xr:uid="{985C9E11-4F99-4C78-AA9F-47FEB9AC0D02}"/>
    <hyperlink ref="A311" r:id="rId310" xr:uid="{54D47958-8814-474C-ACCF-667A5A7F0355}"/>
    <hyperlink ref="A312" r:id="rId311" xr:uid="{C7110929-8C7F-4BBB-873A-B4F0A21D8A96}"/>
    <hyperlink ref="A313" r:id="rId312" xr:uid="{C493D672-44C3-430D-AD2A-71B21AF7332B}"/>
    <hyperlink ref="A314" r:id="rId313" xr:uid="{8D4CA4DE-8AEC-407D-802C-238330173E36}"/>
    <hyperlink ref="A315" r:id="rId314" xr:uid="{C71D1F35-D199-48B3-A36E-E49376F6854B}"/>
    <hyperlink ref="A316" r:id="rId315" xr:uid="{470F58AA-6028-4A83-AF5C-E12EC8B74A7C}"/>
    <hyperlink ref="A317" r:id="rId316" xr:uid="{88E93DAD-1D1E-4F6B-B1FD-B98330A4C37B}"/>
    <hyperlink ref="A318" r:id="rId317" xr:uid="{0FF65233-F61F-4C8E-BE87-FC60C1255229}"/>
    <hyperlink ref="A319" r:id="rId318" xr:uid="{7250B65F-45BF-4D41-AD08-000D5A070D72}"/>
    <hyperlink ref="A320" r:id="rId319" xr:uid="{5B00FD29-3A24-46B8-B01A-C6BEB4B10695}"/>
    <hyperlink ref="A321" r:id="rId320" xr:uid="{20254509-D480-41FC-850C-F86209DDF716}"/>
    <hyperlink ref="A322" r:id="rId321" xr:uid="{22A90B23-DB76-4A55-92F4-19782473681B}"/>
    <hyperlink ref="A323" r:id="rId322" xr:uid="{94CCDEE0-F494-4DF8-88A8-93578D21E153}"/>
    <hyperlink ref="A324" r:id="rId323" xr:uid="{89913399-1F50-4DAC-8B91-9FEF20818950}"/>
    <hyperlink ref="A325" r:id="rId324" xr:uid="{8F1F9AAC-31DD-4DAC-A413-3F127C369B4C}"/>
    <hyperlink ref="A326" r:id="rId325" xr:uid="{BE78AA20-4B11-42B3-AC0E-2134A8D72DE6}"/>
    <hyperlink ref="A327" r:id="rId326" xr:uid="{CFC16BF7-F76D-4A65-A525-FCD363404F85}"/>
    <hyperlink ref="A328" r:id="rId327" xr:uid="{67807B09-A67F-44F1-BC69-4F8733031FA3}"/>
    <hyperlink ref="A329" r:id="rId328" xr:uid="{B737D6C4-9A81-4A25-BF4A-1EC467F612F5}"/>
    <hyperlink ref="A330" r:id="rId329" xr:uid="{9230D570-2B01-484D-BDC6-6791C0B0D2D7}"/>
    <hyperlink ref="A331" r:id="rId330" xr:uid="{48CB6F4C-7F3F-428D-A00A-C7F7D2A854CA}"/>
    <hyperlink ref="A332" r:id="rId331" xr:uid="{E38A27A9-9CB0-4AE2-95DE-CB01E1F72161}"/>
    <hyperlink ref="A333" r:id="rId332" xr:uid="{D98685A5-7923-4471-AB7F-F2AE7E014977}"/>
    <hyperlink ref="A334" r:id="rId333" xr:uid="{E6686A3C-5ED6-4ACF-8B04-CD381E5FD3C5}"/>
    <hyperlink ref="A335" r:id="rId334" xr:uid="{10754FF6-DD27-443F-9782-628C64E75087}"/>
    <hyperlink ref="A336" r:id="rId335" xr:uid="{44462CCE-9B53-4E43-9DA2-A36A66B877CC}"/>
    <hyperlink ref="A337" r:id="rId336" xr:uid="{BC7D441D-CF4F-481F-B36C-F5E6F17FB4EA}"/>
    <hyperlink ref="A338" r:id="rId337" xr:uid="{0188B34A-1E51-49A6-AC4A-42E60FDFF53F}"/>
    <hyperlink ref="A339" r:id="rId338" xr:uid="{4E5453C1-1B0C-4BE2-8C30-B051F54FDE96}"/>
    <hyperlink ref="A340" r:id="rId339" xr:uid="{CB6BC270-6506-44EA-92D6-B6D45E80FCDB}"/>
    <hyperlink ref="A341" r:id="rId340" xr:uid="{D1246281-4DA4-4D38-8A7D-16BDE3CD8BFD}"/>
    <hyperlink ref="A342" r:id="rId341" xr:uid="{3A7112C0-B456-49D4-AE75-5A4305770CFF}"/>
    <hyperlink ref="A343" r:id="rId342" xr:uid="{07DC03BF-62D3-4BDD-946C-C6E8113BE940}"/>
    <hyperlink ref="A344" r:id="rId343" xr:uid="{07D0CE4E-3167-49DD-AF99-392821F5E6B4}"/>
    <hyperlink ref="A345" r:id="rId344" xr:uid="{11C02DE9-187A-438E-A2A9-6B044E38A454}"/>
    <hyperlink ref="A346" r:id="rId345" xr:uid="{8AA1BB87-570D-4CA3-8622-1DAAE912EB79}"/>
    <hyperlink ref="A347" r:id="rId346" xr:uid="{3CA7136B-FAAF-4E32-9646-13018CCD225F}"/>
    <hyperlink ref="A348" r:id="rId347" xr:uid="{812EA511-BEFE-4F88-AF44-8D4A83A89D39}"/>
    <hyperlink ref="A349" r:id="rId348" xr:uid="{CDD193F8-09DC-45F1-99DF-16F944A445A8}"/>
    <hyperlink ref="A350" r:id="rId349" xr:uid="{5CA875D4-550F-45AE-846A-5CCC89AAFD9F}"/>
    <hyperlink ref="A351" r:id="rId350" xr:uid="{82200F4A-13BE-43A3-BDEF-5F5C6C9022F2}"/>
    <hyperlink ref="A352" r:id="rId351" xr:uid="{E5710BB4-512C-4DA3-9640-6BE669CD2844}"/>
    <hyperlink ref="A353" r:id="rId352" xr:uid="{343F63EF-53F4-44D6-93FC-B4887DF4A615}"/>
    <hyperlink ref="A354" r:id="rId353" xr:uid="{C925011E-B84D-4FD1-8356-A3AA7E818AD1}"/>
    <hyperlink ref="A355" r:id="rId354" xr:uid="{9C67F913-05FA-4B39-8892-D8738F15220D}"/>
    <hyperlink ref="A356" r:id="rId355" xr:uid="{8C8D16FE-9DA3-4EA1-84A3-889FA2118326}"/>
    <hyperlink ref="A357" r:id="rId356" xr:uid="{8B86147D-446F-49DF-9702-7D4FC4005AC7}"/>
    <hyperlink ref="A358" r:id="rId357" xr:uid="{D57D9017-0040-4B27-A0BE-572F0379FC86}"/>
    <hyperlink ref="A359" r:id="rId358" xr:uid="{64E0BF19-A905-4492-88C3-02E6A4917592}"/>
    <hyperlink ref="A360" r:id="rId359" xr:uid="{B3A29472-37F7-4977-9144-99691F4AA6EE}"/>
    <hyperlink ref="A361" r:id="rId360" xr:uid="{A3A604DE-4A96-4E8E-B09D-A831A56A0A39}"/>
    <hyperlink ref="A362" r:id="rId361" xr:uid="{857BE46B-05BA-429C-89F6-C27FA9E113F7}"/>
    <hyperlink ref="A363" r:id="rId362" xr:uid="{EDC11EDC-CAE6-420A-87BB-00FE685EC95E}"/>
    <hyperlink ref="A364" r:id="rId363" xr:uid="{2F0C4B1A-3329-45C0-A718-5610B111998E}"/>
    <hyperlink ref="A365" r:id="rId364" xr:uid="{FA2FA4FF-F3BA-4C35-9F04-E4D783806F4A}"/>
    <hyperlink ref="A366" r:id="rId365" xr:uid="{467D6EE3-8D4E-478A-9447-DB41E0E8C015}"/>
    <hyperlink ref="A367" r:id="rId366" xr:uid="{FECA6C88-B468-475F-B821-505BDEC729B8}"/>
    <hyperlink ref="A368" r:id="rId367" xr:uid="{8E43E69E-AD13-42A0-BA53-DC5FE7747D14}"/>
    <hyperlink ref="A369" r:id="rId368" xr:uid="{5A876E4D-AC38-4AA4-A4D2-36FB7A714239}"/>
    <hyperlink ref="A370" r:id="rId369" xr:uid="{FB6FF468-CF83-45C3-9CF7-92D9C71683B7}"/>
    <hyperlink ref="A371" r:id="rId370" xr:uid="{19BF1F77-7A57-42DA-9E2B-D85E997F493A}"/>
    <hyperlink ref="A372" r:id="rId371" xr:uid="{45F6E937-2B5C-4EAD-84C3-6E1E5591726B}"/>
    <hyperlink ref="A373" r:id="rId372" xr:uid="{687F1E52-7759-4ABF-8D72-DE23A45B895D}"/>
    <hyperlink ref="A374" r:id="rId373" xr:uid="{95187E3F-F008-4FD6-9D98-ADBEF5E9FCFC}"/>
    <hyperlink ref="A375" r:id="rId374" xr:uid="{1C6C8724-AE81-451D-BB07-A7B5DB5BE28B}"/>
    <hyperlink ref="A376" r:id="rId375" xr:uid="{48CC8674-BAF7-406D-8BB7-938F10D1C2BC}"/>
    <hyperlink ref="A377" r:id="rId376" xr:uid="{02DA57CA-0129-4F69-B246-5E0D48DB6023}"/>
    <hyperlink ref="A378" r:id="rId377" xr:uid="{45F7DDF1-EA3F-454D-A8DB-E3D50C6DE49B}"/>
    <hyperlink ref="A379" r:id="rId378" xr:uid="{DF9B9F40-E47D-4B76-8D17-27A14C060BC2}"/>
    <hyperlink ref="A380" r:id="rId379" xr:uid="{9D368538-9840-4EB2-A64D-99F130360576}"/>
    <hyperlink ref="A381" r:id="rId380" xr:uid="{A4C5B3EC-DB96-4B54-858B-32CD95804E4B}"/>
    <hyperlink ref="A382" r:id="rId381" xr:uid="{E0080F16-0C5D-43BB-A91F-0B6BFC78FC43}"/>
    <hyperlink ref="A383" r:id="rId382" xr:uid="{68C4CE5F-1A9B-47C5-B516-65151B3CB710}"/>
    <hyperlink ref="A384" r:id="rId383" xr:uid="{7DBDD274-C890-465C-B37E-E86F8FC01B93}"/>
    <hyperlink ref="A385" r:id="rId384" xr:uid="{58651C08-3993-4569-8ADC-A30C35ECDEE4}"/>
    <hyperlink ref="A386" r:id="rId385" xr:uid="{B0A90568-C5FC-4B60-ABB8-2B9A1432C24A}"/>
    <hyperlink ref="A387" r:id="rId386" xr:uid="{685A6D67-2641-4791-936B-A01AF20CDBCA}"/>
    <hyperlink ref="A388" r:id="rId387" xr:uid="{71CC9AF7-32D5-4856-97EF-FA18B7CAEEF4}"/>
    <hyperlink ref="A389" r:id="rId388" xr:uid="{CFA0BCC3-0B8B-4B5F-A547-44A72000ED20}"/>
    <hyperlink ref="A390" r:id="rId389" xr:uid="{8D3E9AE1-8683-4DD4-9868-86284415F98D}"/>
    <hyperlink ref="A391" r:id="rId390" xr:uid="{5B514EA8-F3E6-41BB-92CB-8B6C72B2AA0F}"/>
    <hyperlink ref="A392" r:id="rId391" xr:uid="{E359C3C2-1D74-4948-B118-5066E0559726}"/>
    <hyperlink ref="A393" r:id="rId392" xr:uid="{BE0FFB6E-6AF3-4CDD-B887-E8F20C334CD9}"/>
    <hyperlink ref="A394" r:id="rId393" xr:uid="{34A3620C-4318-4940-862E-11E4FF6E0FA8}"/>
    <hyperlink ref="A395" r:id="rId394" xr:uid="{AD74557E-AD11-436C-BF65-94033F21CB56}"/>
    <hyperlink ref="A396" r:id="rId395" xr:uid="{CFF7DE0C-15E8-40DB-B145-03F5FECEF678}"/>
    <hyperlink ref="A397" r:id="rId396" xr:uid="{F2733999-C487-4AA5-97DE-BF0AB9B90183}"/>
    <hyperlink ref="A398" r:id="rId397" xr:uid="{6922A223-46C9-4B2B-9738-43EF8FEA853D}"/>
    <hyperlink ref="A399" r:id="rId398" xr:uid="{96D98F9A-744F-4E20-A535-0E85C9FE4F09}"/>
    <hyperlink ref="A400" r:id="rId399" xr:uid="{79CC55F9-5810-44E8-903B-93D771810680}"/>
    <hyperlink ref="A401" r:id="rId400" xr:uid="{B1FA538D-DDBE-4071-B403-5A6BCAA9368D}"/>
    <hyperlink ref="A402" r:id="rId401" xr:uid="{9378AF94-404D-4DD3-9F40-53EFD9D1FC49}"/>
    <hyperlink ref="A403" r:id="rId402" xr:uid="{79317BFA-1B3C-4E31-8E7C-CAC0AF01130A}"/>
    <hyperlink ref="A404" r:id="rId403" xr:uid="{68C4EA2B-5580-4B87-90AF-69C30CB30B7F}"/>
    <hyperlink ref="A405" r:id="rId404" xr:uid="{70BC14CA-0B42-4BF0-9293-AE95E74E82AC}"/>
    <hyperlink ref="A406" r:id="rId405" xr:uid="{CE413706-F468-4A5E-8DCF-5CDEE564CCDE}"/>
    <hyperlink ref="A407" r:id="rId406" xr:uid="{38CF5CFB-DA04-4DA4-99D9-F5E4A4B6BDAA}"/>
    <hyperlink ref="A408" r:id="rId407" xr:uid="{255D01C7-8C69-48FD-879A-D9824215FDFE}"/>
    <hyperlink ref="A409" r:id="rId408" xr:uid="{E5161FBC-B293-4306-BB59-859E5F6DB7F6}"/>
    <hyperlink ref="A410" r:id="rId409" xr:uid="{45EBF344-67CA-4F28-8468-3858CF18B2B5}"/>
    <hyperlink ref="A411" r:id="rId410" xr:uid="{DCA77E53-618D-4195-A077-3BBF1FFB75C5}"/>
    <hyperlink ref="A412" r:id="rId411" xr:uid="{9F01385B-6748-4983-BA04-C245D0304A38}"/>
    <hyperlink ref="A413" r:id="rId412" xr:uid="{1D0500C0-F458-4094-813A-F78456A71B50}"/>
    <hyperlink ref="A414" r:id="rId413" xr:uid="{010FA65E-2B52-4D9C-B578-2DA905B1CCC4}"/>
    <hyperlink ref="A415" r:id="rId414" xr:uid="{64617B2A-1866-495D-9CDF-CD9F35D0CCB5}"/>
    <hyperlink ref="A416" r:id="rId415" xr:uid="{52CEF774-4D5C-4F30-A483-B46C4941D32F}"/>
    <hyperlink ref="A417" r:id="rId416" xr:uid="{64DEAD50-8BD7-4FAD-847A-8FC0FE095D89}"/>
    <hyperlink ref="A418" r:id="rId417" xr:uid="{FEC0093D-5A25-4D09-802A-5073ADF03CAB}"/>
    <hyperlink ref="A419" r:id="rId418" xr:uid="{EF952202-0951-48C5-B219-D5DEB62FA269}"/>
    <hyperlink ref="A420" r:id="rId419" xr:uid="{F5B38C87-54F3-4354-919A-0E12FDEF49AA}"/>
    <hyperlink ref="A421" r:id="rId420" xr:uid="{0E47FB9B-AF35-4A66-BC2E-5C1C815042E7}"/>
    <hyperlink ref="A422" r:id="rId421" xr:uid="{9047DEDD-F08A-4348-A00F-A0FBCE07800C}"/>
    <hyperlink ref="A423" r:id="rId422" xr:uid="{38B8DFCB-1BB1-4D0B-B995-04B68B57F741}"/>
    <hyperlink ref="A424" r:id="rId423" xr:uid="{7566FC47-26A2-4700-8977-67375D5A96CD}"/>
    <hyperlink ref="A425" r:id="rId424" xr:uid="{FE99FA13-FB89-4AC9-AA22-BB434706CE9A}"/>
    <hyperlink ref="A426" r:id="rId425" xr:uid="{D74381E9-1659-48C8-94B6-794375B2E4FE}"/>
    <hyperlink ref="A427" r:id="rId426" xr:uid="{0F28F42D-5F70-4A29-8A24-EA93AECF5BB4}"/>
    <hyperlink ref="A428" r:id="rId427" xr:uid="{E8B0F984-FB73-494D-BFE2-0624D6C88D81}"/>
    <hyperlink ref="A429" r:id="rId428" xr:uid="{F833E5A3-60CB-45FB-8AEB-A5ADBFD68B9F}"/>
    <hyperlink ref="A430" r:id="rId429" xr:uid="{CD21E89B-82E1-42D8-884F-FA81E18050F2}"/>
    <hyperlink ref="A431" r:id="rId430" xr:uid="{74820ECD-F1FE-4F58-B07C-50A62F0F41A1}"/>
    <hyperlink ref="A432" r:id="rId431" xr:uid="{CF0EA1D8-5DF4-4FCD-9D07-E7EFCE048B1F}"/>
    <hyperlink ref="A433" r:id="rId432" xr:uid="{C4033D1C-1BC7-498F-B186-346506FF4412}"/>
    <hyperlink ref="A434" r:id="rId433" xr:uid="{CA2F27E8-49A8-4ADB-88F6-D8F2B8778999}"/>
    <hyperlink ref="A435" r:id="rId434" xr:uid="{3C282300-D8EC-4BD2-BAFC-873A7D679106}"/>
    <hyperlink ref="A436" r:id="rId435" xr:uid="{E80D798C-65D8-4FB4-85C9-46E7906020AC}"/>
    <hyperlink ref="A437" r:id="rId436" xr:uid="{3F4ED3A2-EFEE-48F8-9C4A-B3854EEDCA61}"/>
    <hyperlink ref="A438" r:id="rId437" xr:uid="{438FA5B6-DFAB-4666-88F5-581DF35EF269}"/>
    <hyperlink ref="A439" r:id="rId438" xr:uid="{B935F2D2-7339-4829-B63E-7B1719976803}"/>
    <hyperlink ref="A440" r:id="rId439" xr:uid="{4E9CBB8C-8945-419E-B92E-F245D6EB3E7E}"/>
    <hyperlink ref="A441" r:id="rId440" xr:uid="{8F66A9D8-64BC-4043-A53E-6DB8C300DBF3}"/>
    <hyperlink ref="A442" r:id="rId441" xr:uid="{296ED65E-7B4F-4C30-9785-54BB74A38F2B}"/>
    <hyperlink ref="A443" r:id="rId442" xr:uid="{96FFB811-7B1D-4085-8D2E-D9EB7F6FF43A}"/>
    <hyperlink ref="A444" r:id="rId443" xr:uid="{95007643-4534-449A-9EDE-AF6D7CF457AC}"/>
    <hyperlink ref="A445" r:id="rId444" xr:uid="{DA885D3C-464B-46FA-980A-CA4A49C72555}"/>
    <hyperlink ref="A446" r:id="rId445" xr:uid="{19A3C6A0-A164-43B9-9D77-4376E7B4488B}"/>
    <hyperlink ref="A447" r:id="rId446" xr:uid="{C84E90FD-F005-4518-88B0-0571A446BBB2}"/>
    <hyperlink ref="A448" r:id="rId447" xr:uid="{04B74391-3C7E-495B-9686-570CE12221C7}"/>
    <hyperlink ref="A449" r:id="rId448" xr:uid="{62236E77-76D9-422B-9BE4-F4ED4F2778FD}"/>
    <hyperlink ref="A450" r:id="rId449" xr:uid="{8E344821-D910-4D52-8A38-5BE0A5E004C1}"/>
    <hyperlink ref="A451" r:id="rId450" xr:uid="{03115ED4-DB10-46E2-BBAB-D35338C9FD98}"/>
    <hyperlink ref="A452" r:id="rId451" xr:uid="{6C828755-CC06-4F56-9798-8B9D393C4EE4}"/>
    <hyperlink ref="A453" r:id="rId452" xr:uid="{6CE78173-0BAB-445B-B2FF-E04C75B96043}"/>
    <hyperlink ref="A454" r:id="rId453" xr:uid="{B4F9796D-C43E-480E-AF26-F07BED2331FB}"/>
    <hyperlink ref="A455" r:id="rId454" xr:uid="{073FBA73-6523-49DF-A199-8BB104D77355}"/>
    <hyperlink ref="A456" r:id="rId455" xr:uid="{58440C33-47B5-42F9-A310-AB2648A10FF8}"/>
    <hyperlink ref="A457" r:id="rId456" xr:uid="{EFFEDC0E-FDFB-4487-85C5-EC60DF74D612}"/>
    <hyperlink ref="A458" r:id="rId457" xr:uid="{FCE2BF46-9795-4710-A95E-D37D6EAD443E}"/>
    <hyperlink ref="A459" r:id="rId458" xr:uid="{8837E6C8-14BF-4CC3-B0FD-15BCE4398204}"/>
    <hyperlink ref="A460" r:id="rId459" xr:uid="{4AD7E984-24B5-4F1E-AA89-83AE03B08E20}"/>
    <hyperlink ref="A461" r:id="rId460" xr:uid="{99F7D5DA-03E9-449B-9BD5-8F9BF1388225}"/>
    <hyperlink ref="A462" r:id="rId461" xr:uid="{93AC66C6-92EE-4CCE-90A2-547C658E1772}"/>
    <hyperlink ref="A463" r:id="rId462" xr:uid="{26B99F2F-A7D2-4CEC-B2CE-C535D44C8A0E}"/>
    <hyperlink ref="A464" r:id="rId463" xr:uid="{FE69FC3A-0D9D-4BA8-A8CB-64558EE1C3C9}"/>
    <hyperlink ref="A465" r:id="rId464" xr:uid="{7A3782DC-3530-4171-BBCF-9B39D58F6D8F}"/>
    <hyperlink ref="A466" r:id="rId465" xr:uid="{7EB40C02-0472-408F-B52A-1F9F91875211}"/>
    <hyperlink ref="A467" r:id="rId466" xr:uid="{10D02F8F-D156-4AE8-B4E0-4AF7AA733F31}"/>
    <hyperlink ref="A468" r:id="rId467" xr:uid="{6E4C7DF4-8C24-4432-8981-26CEF9B00EC5}"/>
    <hyperlink ref="A469" r:id="rId468" xr:uid="{DA29B1D7-88A2-45F8-93C9-E0C8B9101717}"/>
    <hyperlink ref="A470" r:id="rId469" xr:uid="{4EAF4E18-6122-4B21-8401-CA7D161FAFAB}"/>
    <hyperlink ref="A471" r:id="rId470" xr:uid="{1B477A30-9D2F-4B5F-A6B6-547D42062769}"/>
    <hyperlink ref="A472" r:id="rId471" xr:uid="{A966733E-1586-4D3E-BEFF-2B8FEB8C23D3}"/>
    <hyperlink ref="A473" r:id="rId472" xr:uid="{8C9AF077-5D72-4394-9742-1181026B4A9C}"/>
    <hyperlink ref="A474" r:id="rId473" xr:uid="{324FF9DA-60DC-42A8-9262-FB19EAE164F1}"/>
    <hyperlink ref="A475" r:id="rId474" xr:uid="{49DD166F-B47B-4D64-927B-6AB5211E3087}"/>
    <hyperlink ref="A476" r:id="rId475" xr:uid="{5A9C4ECA-1348-44FA-AD9D-62CEBB18FECF}"/>
    <hyperlink ref="A477" r:id="rId476" xr:uid="{7DF9C157-1A04-424F-A5E6-E14D496DB732}"/>
    <hyperlink ref="A478" r:id="rId477" xr:uid="{CFCECB9B-2541-4042-A103-4CAE36E286A9}"/>
    <hyperlink ref="A479" r:id="rId478" xr:uid="{E4AC44CC-5306-4DD6-9107-923FB49FFB49}"/>
    <hyperlink ref="A480" r:id="rId479" xr:uid="{B1151074-FE4A-4A24-B25C-EB76263C2CCF}"/>
    <hyperlink ref="A481" r:id="rId480" xr:uid="{0C97BE46-B23A-4242-B5A6-A6E40D681BA7}"/>
    <hyperlink ref="A482" r:id="rId481" xr:uid="{8DFE6FFD-619D-4F9A-B8FB-CAD0262A9806}"/>
    <hyperlink ref="A483" r:id="rId482" xr:uid="{8A6195C2-80F7-40DF-881F-BD23F781BA1C}"/>
    <hyperlink ref="A484" r:id="rId483" xr:uid="{5AF6CF93-875B-458F-8294-D7FFC0682AA6}"/>
    <hyperlink ref="A485" r:id="rId484" xr:uid="{A4CA569D-FF15-4606-AFE0-0AD47A915B29}"/>
    <hyperlink ref="A486" r:id="rId485" xr:uid="{20AF129E-3EC4-445A-B305-6B5011C8B670}"/>
    <hyperlink ref="A487" r:id="rId486" xr:uid="{19905E81-82FB-420E-919D-7F343A24A7CF}"/>
    <hyperlink ref="A488" r:id="rId487" xr:uid="{D0D44A68-83A3-469E-9781-A2A3A6897B2B}"/>
    <hyperlink ref="A489" r:id="rId488" xr:uid="{D4FB22FE-B25D-4C1E-8DA1-C7B75AAFC676}"/>
    <hyperlink ref="A490" r:id="rId489" xr:uid="{170FE689-AE03-40C9-8A86-C2A063C39FD8}"/>
    <hyperlink ref="A491" r:id="rId490" xr:uid="{36DBAD5C-A37B-4BEB-8EC7-9912C2347892}"/>
    <hyperlink ref="A492" r:id="rId491" xr:uid="{8FFE4CA3-127C-4733-9128-6D95A4C3EC9E}"/>
    <hyperlink ref="A493" r:id="rId492" xr:uid="{965CCE4E-14E8-4117-A965-73E75FD1A10A}"/>
    <hyperlink ref="A494" r:id="rId493" xr:uid="{D3B1E422-B674-4326-844A-FC2D48F4DC64}"/>
    <hyperlink ref="A495" r:id="rId494" xr:uid="{3AA5C18D-6C78-4C86-B417-D4E5E740C60B}"/>
    <hyperlink ref="A496" r:id="rId495" xr:uid="{6E55A6C7-D08D-4457-BD1C-766E6F5B5A15}"/>
    <hyperlink ref="A497" r:id="rId496" xr:uid="{68F16923-A4FE-42A8-9CE0-5677D6D5E112}"/>
    <hyperlink ref="A498" r:id="rId497" xr:uid="{E3C28A54-5719-4929-88A3-4DF94EFBC550}"/>
    <hyperlink ref="A499" r:id="rId498" xr:uid="{6C7E5C26-9A58-4809-BE39-5AC546A17298}"/>
    <hyperlink ref="A500" r:id="rId499" xr:uid="{E13D0624-018F-4FB9-ADD4-19DF69CC6934}"/>
    <hyperlink ref="A501" r:id="rId500" xr:uid="{22D24D68-CBEF-4A11-9010-7DBE3037E05A}"/>
    <hyperlink ref="A502" r:id="rId501" xr:uid="{03CB4F25-DB0E-4738-A8DE-DF75579C0834}"/>
    <hyperlink ref="A503" r:id="rId502" xr:uid="{0D67652D-6EE4-4C6A-986E-C3C0BA07B5BD}"/>
    <hyperlink ref="A504" r:id="rId503" xr:uid="{84584CA4-6CA5-4AD4-B8F1-DA37AA142C32}"/>
    <hyperlink ref="A505" r:id="rId504" xr:uid="{326ECA5D-8336-45F3-A401-8ECF959887D8}"/>
    <hyperlink ref="A506" r:id="rId505" xr:uid="{5FA98B84-3C1A-4B4F-8F3E-D10A91277908}"/>
    <hyperlink ref="A507" r:id="rId506" xr:uid="{6C3A066A-A75D-40F3-9297-6598AA802EFF}"/>
    <hyperlink ref="A508" r:id="rId507" xr:uid="{A831A943-3571-4825-B9E3-258A8A88BBCC}"/>
    <hyperlink ref="A509" r:id="rId508" xr:uid="{A2E0375F-2F75-41F4-94BC-E7F401916B21}"/>
    <hyperlink ref="A510" r:id="rId509" xr:uid="{12BD54E1-3009-4A0D-91F2-CAF2C6723257}"/>
    <hyperlink ref="A511" r:id="rId510" xr:uid="{73AA8665-E39C-4CDB-8321-77D301B72495}"/>
    <hyperlink ref="A512" r:id="rId511" xr:uid="{C4F11459-C1EF-487B-8422-582858ABCDFE}"/>
    <hyperlink ref="A513" r:id="rId512" xr:uid="{26835C47-2848-456B-96AE-2938B283DDEE}"/>
    <hyperlink ref="A514" r:id="rId513" xr:uid="{BD27819D-E240-4EEE-9875-3B1B0E752677}"/>
    <hyperlink ref="A515" r:id="rId514" xr:uid="{A87EE5F0-9805-4E28-8385-C6CF503B11EC}"/>
    <hyperlink ref="A516" r:id="rId515" xr:uid="{8D4173D2-DFFA-4C4E-A5A2-B75C05CE2232}"/>
    <hyperlink ref="A517" r:id="rId516" xr:uid="{C8B2B08F-FA17-4E61-A74C-7AFC5C292B06}"/>
    <hyperlink ref="A518" r:id="rId517" xr:uid="{8651442E-192E-4546-94F1-97A0B86D1EAA}"/>
    <hyperlink ref="A519" r:id="rId518" xr:uid="{E77E07DC-81A8-4D63-9A7C-299A28FF52E7}"/>
    <hyperlink ref="A520" r:id="rId519" xr:uid="{1E09B220-1B7A-4AAD-8B04-1BAB08EA1362}"/>
    <hyperlink ref="A521" r:id="rId520" xr:uid="{66EFE23B-D06D-4270-861E-F50E12860DD7}"/>
    <hyperlink ref="A522" r:id="rId521" xr:uid="{B3C4E0FD-A295-4B40-BD1F-2879916807C0}"/>
    <hyperlink ref="A523" r:id="rId522" xr:uid="{0D1236BA-B968-415C-AF97-CDBE42EC6E78}"/>
    <hyperlink ref="A524" r:id="rId523" xr:uid="{F47213E1-4E36-41CF-9F13-E760576AD7BE}"/>
    <hyperlink ref="A525" r:id="rId524" xr:uid="{24039A68-53DC-466E-9C8C-8D919E796C14}"/>
    <hyperlink ref="A526" r:id="rId525" xr:uid="{83F01F95-52E2-4142-AC2E-ADE356334EA5}"/>
    <hyperlink ref="A527" r:id="rId526" xr:uid="{D28411ED-3E3C-42C4-BDD9-4DAAB5214279}"/>
    <hyperlink ref="A528" r:id="rId527" xr:uid="{643D2D28-C9E0-404C-A5BD-4843E3A3432A}"/>
    <hyperlink ref="A529" r:id="rId528" xr:uid="{F744D891-5E82-454B-81C9-29A971931F2A}"/>
    <hyperlink ref="A530" r:id="rId529" xr:uid="{8A99A2E2-7008-4E68-B24D-B9C686F8C02B}"/>
    <hyperlink ref="A531" r:id="rId530" xr:uid="{EA5F7428-DE8C-49AF-B420-48B5A0104F6A}"/>
    <hyperlink ref="A532" r:id="rId531" xr:uid="{9177B54B-32E1-45C7-B6FE-3064CC205B87}"/>
    <hyperlink ref="A533" r:id="rId532" xr:uid="{865D11B8-9E67-4113-A8C5-F781AB311F61}"/>
    <hyperlink ref="A534" r:id="rId533" xr:uid="{E1B1A6C7-E55C-405B-985A-EEA826326B96}"/>
    <hyperlink ref="A535" r:id="rId534" xr:uid="{D38033B7-12A4-4041-B553-F4393E624DE0}"/>
    <hyperlink ref="A536" r:id="rId535" xr:uid="{D711A8D0-E1CB-4B32-8A54-36F6B76856BF}"/>
    <hyperlink ref="A537" r:id="rId536" xr:uid="{0555380A-2C94-4B2E-889E-95B7720B5957}"/>
    <hyperlink ref="A538" r:id="rId537" xr:uid="{6B4A8068-DB52-44A7-8CF2-6E1AE1530A5C}"/>
    <hyperlink ref="A539" r:id="rId538" xr:uid="{226E4C0F-EDFD-41B0-B16D-583E2AB9C517}"/>
    <hyperlink ref="A540" r:id="rId539" xr:uid="{5246DA5D-36BC-4113-B98E-CA42E4A122B2}"/>
    <hyperlink ref="A541" r:id="rId540" xr:uid="{8E0D5BF7-4144-4027-8BF1-ED9669B7340B}"/>
    <hyperlink ref="A542" r:id="rId541" xr:uid="{B219563C-407B-4B38-BED3-65199CCE01BF}"/>
    <hyperlink ref="A543" r:id="rId542" xr:uid="{D0DCAD1B-6CFB-4C6D-A342-7A1B34A293EC}"/>
    <hyperlink ref="A544" r:id="rId543" xr:uid="{583359D9-64E4-4BF9-B533-FEDB071CAD39}"/>
    <hyperlink ref="A545" r:id="rId544" xr:uid="{C4689571-17E8-40D3-9BC1-77826B83ECA0}"/>
    <hyperlink ref="A546" r:id="rId545" xr:uid="{4C026449-6B74-46F7-8690-5139D0193700}"/>
    <hyperlink ref="A547" r:id="rId546" xr:uid="{0DE75D38-7079-4302-9288-722BD3491055}"/>
    <hyperlink ref="A548" r:id="rId547" xr:uid="{6283C1C9-E6B2-41B9-B8AD-2329130D7033}"/>
    <hyperlink ref="A549" r:id="rId548" xr:uid="{CFA1E90D-CDF0-4613-AA57-1CC6C510077D}"/>
    <hyperlink ref="A550" r:id="rId549" xr:uid="{84D04605-4D92-411F-B58C-E68E60467C91}"/>
    <hyperlink ref="A551" r:id="rId550" xr:uid="{4114971D-768C-45E1-A831-D2578EAB6BEE}"/>
    <hyperlink ref="A552" r:id="rId551" xr:uid="{C7A656C0-845F-4D98-B00C-0F3C73B25A19}"/>
    <hyperlink ref="A553" r:id="rId552" xr:uid="{993D80A5-BF9B-47E6-AFCF-088BC6D146B1}"/>
    <hyperlink ref="A554" r:id="rId553" xr:uid="{B2F7E06A-8637-4F88-8485-9DA4B654F462}"/>
    <hyperlink ref="A555" r:id="rId554" xr:uid="{38FA8EBE-2DE1-4AD8-A06A-0526422DB07B}"/>
    <hyperlink ref="A556" r:id="rId555" xr:uid="{36E53516-F5EA-40B5-9CAC-23E270979BEB}"/>
    <hyperlink ref="A557" r:id="rId556" xr:uid="{607FD897-7D66-4AF9-92C9-70717DDAF24A}"/>
    <hyperlink ref="A558" r:id="rId557" xr:uid="{911D1D91-D498-43CC-8473-CBCB3BCF88C0}"/>
    <hyperlink ref="A559" r:id="rId558" xr:uid="{3E828CDE-B777-415A-922D-6BA00187D35E}"/>
    <hyperlink ref="A560" r:id="rId559" xr:uid="{616D743C-18E8-406A-BDB8-8C6BD81CF1BC}"/>
    <hyperlink ref="A561" r:id="rId560" xr:uid="{B10A135D-E5B7-4019-97DD-AC921C95386C}"/>
    <hyperlink ref="A562" r:id="rId561" xr:uid="{19F2D863-328C-4406-99BB-BEEB7B21D30D}"/>
    <hyperlink ref="A563" r:id="rId562" xr:uid="{92D85589-89BD-42AD-915C-7C3445176966}"/>
    <hyperlink ref="A564" r:id="rId563" xr:uid="{B302E2D8-3893-4CDA-B30D-9EEDD987F552}"/>
    <hyperlink ref="A565" r:id="rId564" xr:uid="{2D9DBCBB-6872-4637-AAF0-43B07EB2CEAD}"/>
    <hyperlink ref="A566" r:id="rId565" xr:uid="{F8B17EB5-2FAE-4110-B331-1AC79EEDE8A9}"/>
    <hyperlink ref="A567" r:id="rId566" xr:uid="{1225B717-F641-494A-96ED-655DBA433225}"/>
    <hyperlink ref="A568" r:id="rId567" xr:uid="{824C7B89-4F2D-477C-ACD3-FE393B694B84}"/>
    <hyperlink ref="A569" r:id="rId568" xr:uid="{AF489625-F81F-4591-B2FA-6027804983CE}"/>
    <hyperlink ref="A570" r:id="rId569" xr:uid="{2E9A1B68-07AA-4F3F-9DA8-BA793B1B57D7}"/>
    <hyperlink ref="A571" r:id="rId570" xr:uid="{9F7C2892-C34B-40AF-B83E-95A7C346E855}"/>
    <hyperlink ref="A572" r:id="rId571" xr:uid="{27F001AF-E72F-42BD-A6B3-2760680F43C7}"/>
    <hyperlink ref="A573" r:id="rId572" xr:uid="{0387A826-20CD-4AC6-B871-B2941F11B39D}"/>
    <hyperlink ref="A574" r:id="rId573" xr:uid="{43380256-DC51-4BF2-ADF7-58624C831F13}"/>
    <hyperlink ref="A575" r:id="rId574" xr:uid="{28FF84D2-F8AB-42FE-B172-5FC59C8BA9E9}"/>
    <hyperlink ref="A576" r:id="rId575" xr:uid="{7CC3A2AE-D7D6-489B-A1D4-CD7465A811FE}"/>
    <hyperlink ref="A577" r:id="rId576" xr:uid="{7B11CC25-B61A-46D8-82C2-788196C64327}"/>
    <hyperlink ref="A578" r:id="rId577" xr:uid="{2AB43BEB-45C8-47BF-B953-F5FCC36503EA}"/>
    <hyperlink ref="A579" r:id="rId578" xr:uid="{82B20FD3-F317-47E6-B0B9-78F776C54868}"/>
    <hyperlink ref="A580" r:id="rId579" xr:uid="{AFABC265-4409-4B59-9293-9C24D54ABCFE}"/>
    <hyperlink ref="A581" r:id="rId580" xr:uid="{4EE303C8-40A0-42A6-869D-A7A8AA0A7557}"/>
    <hyperlink ref="A582" r:id="rId581" xr:uid="{451476EC-9445-4E34-9F13-1537C6D47DDA}"/>
    <hyperlink ref="A583" r:id="rId582" xr:uid="{A95311CD-CA1B-4C25-815A-0292A8821800}"/>
    <hyperlink ref="A584" r:id="rId583" xr:uid="{8555C059-FE4F-4029-AD66-F880F37C5BE5}"/>
    <hyperlink ref="A585" r:id="rId584" xr:uid="{5879E5EC-B059-46EA-BE21-939C757157A8}"/>
    <hyperlink ref="A586" r:id="rId585" xr:uid="{6BD5B87E-0D73-4E66-B396-8B6374A9B6E9}"/>
    <hyperlink ref="A587" r:id="rId586" xr:uid="{8BD80D8B-8B88-4851-B90B-DA6A61E8B0CF}"/>
    <hyperlink ref="A588" r:id="rId587" xr:uid="{6DBECAAF-598A-4497-A662-A9098B1BB74C}"/>
    <hyperlink ref="A589" r:id="rId588" xr:uid="{8ED663F5-E41C-44CF-B30A-1C7DA57EADB4}"/>
    <hyperlink ref="A590" r:id="rId589" xr:uid="{8698E1C5-04BC-4D56-A153-D0D48B138BC8}"/>
    <hyperlink ref="A591" r:id="rId590" xr:uid="{B5814611-1CFE-4B62-9DA8-AE267890F28F}"/>
    <hyperlink ref="A592" r:id="rId591" xr:uid="{1356E5F1-1124-40C0-9C48-AFF9AFFA73E7}"/>
    <hyperlink ref="A593" r:id="rId592" xr:uid="{1A7B8C16-0670-4EFF-9D95-038CB5AB26FF}"/>
    <hyperlink ref="A594" r:id="rId593" xr:uid="{FAFA8CB7-93FA-4CBE-932F-B6E5508DB4A7}"/>
    <hyperlink ref="A595" r:id="rId594" xr:uid="{FFC48CAB-FA5A-43E5-8048-DCF40E761DC7}"/>
    <hyperlink ref="A596" r:id="rId595" xr:uid="{A2F56141-F117-4FA7-BD9D-890F5282F8A7}"/>
    <hyperlink ref="A597" r:id="rId596" xr:uid="{4CA5D62C-0C4F-48E4-B312-2303B781A523}"/>
    <hyperlink ref="A598" r:id="rId597" xr:uid="{046F0DB5-9B7F-4229-8125-D78B2E6EF012}"/>
    <hyperlink ref="A599" r:id="rId598" xr:uid="{84EC89A2-50D3-46D5-8AB0-B118FD7B0B3A}"/>
    <hyperlink ref="A600" r:id="rId599" xr:uid="{F24C8FD7-6D74-4891-8F47-234DAF822807}"/>
    <hyperlink ref="A601" r:id="rId600" xr:uid="{176DB4E5-B1AB-40E2-9CFB-90982876CFD0}"/>
    <hyperlink ref="A602" r:id="rId601" xr:uid="{DAA09B25-CF75-4C97-9192-8671606BDD41}"/>
    <hyperlink ref="A603" r:id="rId602" xr:uid="{0967CD02-2311-4313-98C3-DF62760F3730}"/>
    <hyperlink ref="A604" r:id="rId603" xr:uid="{2524EB4B-3EBC-4F64-91C8-DDE19551F84A}"/>
    <hyperlink ref="A605" r:id="rId604" xr:uid="{BD59CAAA-70C2-4325-AE7C-B8F358B9DF65}"/>
    <hyperlink ref="A606" r:id="rId605" xr:uid="{CEA48836-BE41-4186-937C-73F5F166B25E}"/>
    <hyperlink ref="A607" r:id="rId606" xr:uid="{F2A1B49A-F950-4250-83FF-02F67F312013}"/>
    <hyperlink ref="A608" r:id="rId607" xr:uid="{9EB785C7-D75C-4474-82AA-869ACFCFC25C}"/>
    <hyperlink ref="A609" r:id="rId608" xr:uid="{77C9601A-EF52-4E4B-99D9-6797018D075E}"/>
    <hyperlink ref="A610" r:id="rId609" xr:uid="{780526BE-48F9-45E0-A838-554E2CA33FBD}"/>
    <hyperlink ref="A611" r:id="rId610" xr:uid="{7E3A38F9-0BCC-4477-B267-7323C027B104}"/>
    <hyperlink ref="A612" r:id="rId611" xr:uid="{0F21210C-36C7-4BBC-B317-69E9F5D8DBDA}"/>
    <hyperlink ref="A613" r:id="rId612" xr:uid="{D302AF0B-3F96-43E5-8A72-080EC0A35E25}"/>
    <hyperlink ref="A614" r:id="rId613" xr:uid="{91919BB2-DD49-44D7-BC17-1152CA359CA5}"/>
    <hyperlink ref="A615" r:id="rId614" xr:uid="{EF10570F-672D-4EA8-B697-77FB84033666}"/>
    <hyperlink ref="A616" r:id="rId615" xr:uid="{8C969FF9-F733-455A-AFA1-787F27285899}"/>
    <hyperlink ref="A617" r:id="rId616" xr:uid="{CA0EB5C6-79B2-4E7F-9607-8913AF044DD7}"/>
    <hyperlink ref="A618" r:id="rId617" xr:uid="{80A0F4F6-D6D9-44C5-95DC-3282F0130471}"/>
    <hyperlink ref="A619" r:id="rId618" xr:uid="{3995E799-8685-4538-8E50-BF4EFD9EA9D2}"/>
    <hyperlink ref="A620" r:id="rId619" xr:uid="{818A1CE0-FE5B-41E0-B995-6F3452E009A2}"/>
    <hyperlink ref="A621" r:id="rId620" xr:uid="{7461D213-CF03-46C1-90D6-68249CF6F5C1}"/>
    <hyperlink ref="A622" r:id="rId621" xr:uid="{2055A9D5-FA5A-4218-B179-CE1BF9FEE921}"/>
    <hyperlink ref="A623" r:id="rId622" xr:uid="{A672DF0F-3AE9-41B6-9825-05AA1E2E8BB1}"/>
    <hyperlink ref="A624" r:id="rId623" xr:uid="{6AA88354-8E8A-499A-B267-300744E79824}"/>
    <hyperlink ref="A625" r:id="rId624" xr:uid="{903286C9-5463-4981-9616-14A80A0E5B66}"/>
    <hyperlink ref="A626" r:id="rId625" xr:uid="{E9FD5500-01E7-417F-BEF9-AB9448A47CF5}"/>
    <hyperlink ref="A627" r:id="rId626" xr:uid="{6E856994-6A3F-4477-9777-7CD14CFFD7F1}"/>
    <hyperlink ref="A628" r:id="rId627" xr:uid="{143724A0-50D4-4850-AF08-A2DA3E1A7F5E}"/>
    <hyperlink ref="A629" r:id="rId628" xr:uid="{11BF409E-4086-4D29-BB53-8C0782BBBCCC}"/>
    <hyperlink ref="A630" r:id="rId629" xr:uid="{1E2888C8-72DD-4D40-8DCB-F4307813ACC8}"/>
    <hyperlink ref="A631" r:id="rId630" xr:uid="{6C9AB6AA-2CD1-40B7-BDED-17D9A8DF75DE}"/>
    <hyperlink ref="A632" r:id="rId631" xr:uid="{C252D0A8-1E1A-493A-9EAD-9D03AD5A1F7E}"/>
    <hyperlink ref="A633" r:id="rId632" xr:uid="{E2D30EDB-31A4-4ACA-89D4-F12C9F32761A}"/>
    <hyperlink ref="A634" r:id="rId633" xr:uid="{FC0F4060-026C-46A9-A979-1BB139213867}"/>
    <hyperlink ref="A635" r:id="rId634" xr:uid="{413E5F18-33D1-4AB3-8F35-121ABBCEA536}"/>
    <hyperlink ref="A636" r:id="rId635" xr:uid="{4F8B60AC-837D-4116-A5C3-570FC4909E8C}"/>
    <hyperlink ref="A637" r:id="rId636" xr:uid="{60080ADA-38C8-4066-A571-E9148A27EDA7}"/>
    <hyperlink ref="A638" r:id="rId637" xr:uid="{5C0B900D-5030-41DF-B3B3-7610660DFEC6}"/>
    <hyperlink ref="A639" r:id="rId638" xr:uid="{C2D90B9E-86F1-412C-A354-42C7278CC737}"/>
    <hyperlink ref="A640" r:id="rId639" xr:uid="{80DE6A64-1A56-4DD5-87B7-FFD2DFAC7A85}"/>
    <hyperlink ref="A641" r:id="rId640" xr:uid="{E374ED40-7DE3-44E4-A5DF-1CD95DB1DC72}"/>
    <hyperlink ref="A642" r:id="rId641" xr:uid="{CEA6FD68-D73C-4E41-A816-EA7F65EE2E12}"/>
    <hyperlink ref="A643" r:id="rId642" xr:uid="{D5834561-116C-47B9-AFA3-A28381CE5089}"/>
    <hyperlink ref="A644" r:id="rId643" xr:uid="{5274F40C-7337-4A21-8060-7E9FA1332F68}"/>
    <hyperlink ref="A645" r:id="rId644" xr:uid="{F98878BC-8DAE-4D14-90B4-47A560A696F9}"/>
    <hyperlink ref="A646" r:id="rId645" xr:uid="{E6EA88F3-EA07-48F2-8AB1-4D261ABE38F0}"/>
    <hyperlink ref="A647" r:id="rId646" xr:uid="{85ADD733-C0D9-47EB-A6D0-85A21C5E913C}"/>
    <hyperlink ref="A648" r:id="rId647" xr:uid="{B84E4253-9BC9-4AA3-BB2D-709CA7256BB0}"/>
    <hyperlink ref="A649" r:id="rId648" xr:uid="{BFF67A05-BA6D-451E-AD7E-6215879F894B}"/>
    <hyperlink ref="A650" r:id="rId649" xr:uid="{70657BC8-C26F-4E2F-A4D2-9D2F6C461870}"/>
    <hyperlink ref="A651" r:id="rId650" xr:uid="{B8BF7C0A-4230-4C7B-AF23-B66F50B3E78C}"/>
    <hyperlink ref="A652" r:id="rId651" xr:uid="{0D4A228C-1EE5-4EC5-BCDD-AC08866B9126}"/>
    <hyperlink ref="A653" r:id="rId652" xr:uid="{CD7554AE-6CEC-4211-A63B-7F4D6D40131F}"/>
    <hyperlink ref="A654" r:id="rId653" xr:uid="{C692E2EE-4CA5-4239-8D4C-CD0292C49CA2}"/>
    <hyperlink ref="A655" r:id="rId654" xr:uid="{E0450710-EA2A-44CE-87CD-02D5E4F4087A}"/>
    <hyperlink ref="A656" r:id="rId655" xr:uid="{7BEBF886-AB57-497F-9409-B16D6E90CFFC}"/>
    <hyperlink ref="A657" r:id="rId656" xr:uid="{1D20B647-D244-491E-AADB-7B4C71154E35}"/>
    <hyperlink ref="A658" r:id="rId657" xr:uid="{D14C091B-A4BB-4EFA-9374-ACB045DEF8A4}"/>
    <hyperlink ref="A659" r:id="rId658" xr:uid="{A15BF154-1D22-4B06-B457-94DE348B56C0}"/>
    <hyperlink ref="A660" r:id="rId659" xr:uid="{44297848-531F-47FB-868B-6259827E6A63}"/>
    <hyperlink ref="A661" r:id="rId660" xr:uid="{5080AE13-85D2-4B63-8B12-DC8D59078BB6}"/>
    <hyperlink ref="A662" r:id="rId661" xr:uid="{276F458F-0CAC-437C-B69E-2F064860303B}"/>
    <hyperlink ref="A663" r:id="rId662" xr:uid="{B6724B9D-A54D-4188-83E9-42F1431C695F}"/>
    <hyperlink ref="A664" r:id="rId663" xr:uid="{24667E41-3886-45D8-B991-783887A8DF05}"/>
    <hyperlink ref="A665" r:id="rId664" xr:uid="{8F448009-5827-442F-84DA-558F4E55A16B}"/>
    <hyperlink ref="A666" r:id="rId665" xr:uid="{DAD7361D-B550-4B9B-A7C8-0186E9360F19}"/>
    <hyperlink ref="A667" r:id="rId666" xr:uid="{A25B09DF-2F88-46F3-806F-17FDEEEB5849}"/>
    <hyperlink ref="A668" r:id="rId667" xr:uid="{3FF4F6F7-5325-423D-97FC-36FE853ADA55}"/>
    <hyperlink ref="A669" r:id="rId668" xr:uid="{60BA6118-6463-4C0B-BF32-4029CF462820}"/>
    <hyperlink ref="A670" r:id="rId669" xr:uid="{020569A8-7E40-4AF1-9804-896D410CC636}"/>
    <hyperlink ref="A671" r:id="rId670" xr:uid="{CC1CE827-BBBF-4A4B-9FC4-5EBF879F686A}"/>
    <hyperlink ref="A672" r:id="rId671" xr:uid="{A4664A37-C8B6-492A-BB26-883DF09ADD01}"/>
    <hyperlink ref="A673" r:id="rId672" xr:uid="{D78CFE8C-7F4D-4D51-92F6-AF881152AEF4}"/>
    <hyperlink ref="A674" r:id="rId673" xr:uid="{E49AE43D-8F7C-4652-9CAD-CE77CC07BA5D}"/>
    <hyperlink ref="A675" r:id="rId674" xr:uid="{10C198B2-A82D-4968-BC79-58AC6261979D}"/>
    <hyperlink ref="A676" r:id="rId675" xr:uid="{FF8610EA-8FF8-4834-AD9A-47D28264E516}"/>
    <hyperlink ref="A677" r:id="rId676" xr:uid="{4F4FBC17-4B26-4F50-820B-2696CD565C5E}"/>
    <hyperlink ref="A678" r:id="rId677" xr:uid="{0C1E40BE-1F60-4015-A683-871CA3791FAA}"/>
    <hyperlink ref="A679" r:id="rId678" xr:uid="{B155D57B-D50C-4DA2-81B0-945AF6A72654}"/>
    <hyperlink ref="A680" r:id="rId679" xr:uid="{96EA063D-64A1-4856-93D4-EA878C7E53DE}"/>
    <hyperlink ref="A681" r:id="rId680" xr:uid="{5DA40780-07B1-4DAE-91B6-41B534F7ABD7}"/>
    <hyperlink ref="A682" r:id="rId681" xr:uid="{E3952E47-F67B-438F-8A46-981BFAF77E0F}"/>
    <hyperlink ref="A683" r:id="rId682" xr:uid="{56F25862-F9D4-43BF-A9F1-E22C1C36A14A}"/>
    <hyperlink ref="A684" r:id="rId683" xr:uid="{93AB13B9-34D0-4975-8FFF-64D6E8EC65CE}"/>
    <hyperlink ref="A685" r:id="rId684" xr:uid="{082162EA-05FA-4A16-B1C9-8E062834BBA0}"/>
    <hyperlink ref="A686" r:id="rId685" xr:uid="{CE6BF6C8-530E-4424-A882-E9F5AAB4BB89}"/>
    <hyperlink ref="A687" r:id="rId686" xr:uid="{4EB46C16-750F-48B5-B8B1-770835C419D0}"/>
    <hyperlink ref="A688" r:id="rId687" xr:uid="{AC7E11A2-FE06-4C78-A2C5-DECD97519DFA}"/>
    <hyperlink ref="A689" r:id="rId688" xr:uid="{3E622AE9-79AC-4FFF-8DED-8E3A0D6E0083}"/>
    <hyperlink ref="A690" r:id="rId689" xr:uid="{690D6F52-0611-479B-9662-CF7EAAD36662}"/>
    <hyperlink ref="A691" r:id="rId690" xr:uid="{C454E080-A0ED-4056-BEAC-224D592C02DB}"/>
    <hyperlink ref="A692" r:id="rId691" xr:uid="{1618F862-81A8-40E7-B401-D0C6EA85465B}"/>
    <hyperlink ref="A693" r:id="rId692" xr:uid="{3C6A1B4B-7941-461D-8642-73B1E585FBAF}"/>
    <hyperlink ref="A694" r:id="rId693" xr:uid="{1384C7F9-6218-4D72-A7BF-801B3F939E30}"/>
    <hyperlink ref="A695" r:id="rId694" xr:uid="{6752D48C-23D7-4CEA-942E-B3531FEEE3DB}"/>
    <hyperlink ref="A696" r:id="rId695" xr:uid="{C6269FA3-1087-4848-A3BB-5135D74DF29D}"/>
    <hyperlink ref="A697" r:id="rId696" xr:uid="{7C89B32E-61DF-4A24-8CDC-4CFBE5DA631F}"/>
    <hyperlink ref="A698" r:id="rId697" xr:uid="{CA4BAF73-5853-4424-84FC-EC3CFB708B63}"/>
    <hyperlink ref="A699" r:id="rId698" xr:uid="{9468AF94-D1DF-4D26-B7B9-D1AE28CC468D}"/>
    <hyperlink ref="A700" r:id="rId699" xr:uid="{1E738D00-F18A-4791-8066-1AC34A5EF84B}"/>
    <hyperlink ref="A701" r:id="rId700" xr:uid="{1A46DDC4-57BF-40EA-AD74-3FC6F4AEE23A}"/>
    <hyperlink ref="A702" r:id="rId701" xr:uid="{95A4F48C-6104-46B0-B6AB-EF894888CF37}"/>
    <hyperlink ref="A703" r:id="rId702" xr:uid="{DC9DF61E-F5A8-42B5-8799-0D862777F308}"/>
    <hyperlink ref="A704" r:id="rId703" xr:uid="{A1D2805B-1FF4-4F32-B24F-E18CFEF6C13E}"/>
    <hyperlink ref="A705" r:id="rId704" xr:uid="{FF5B08B4-DDB9-41C4-8FA2-73320CC33CFA}"/>
    <hyperlink ref="A706" r:id="rId705" xr:uid="{D1CB45FC-98D6-45F2-9E0B-4C82243362B0}"/>
    <hyperlink ref="A707" r:id="rId706" xr:uid="{F31FF92F-3D49-48FA-9139-7D40E7411156}"/>
    <hyperlink ref="A708" r:id="rId707" xr:uid="{E675720B-A61E-4FA1-BA11-5A43C94FE175}"/>
    <hyperlink ref="A709" r:id="rId708" xr:uid="{74457593-2F2D-4551-9968-B16CF9FB95A7}"/>
    <hyperlink ref="A710" r:id="rId709" xr:uid="{6F33FAD2-9444-4D95-A2A3-6D9FA6350F44}"/>
    <hyperlink ref="A711" r:id="rId710" xr:uid="{E5DD14FD-F956-4D54-872E-DFB7A28B1247}"/>
    <hyperlink ref="A712" r:id="rId711" xr:uid="{F8D6102B-ADB0-4624-9AE2-661AABB588DA}"/>
    <hyperlink ref="A713" r:id="rId712" xr:uid="{CE7FF621-60B1-431D-82A0-6564B4E94BBB}"/>
    <hyperlink ref="A714" r:id="rId713" xr:uid="{35FC9F8B-E08E-42FF-9BFA-CD12DC2C1232}"/>
    <hyperlink ref="A715" r:id="rId714" xr:uid="{C7BC8D2A-42B2-4F74-8530-0A3A5403C9A6}"/>
    <hyperlink ref="A716" r:id="rId715" xr:uid="{4E423319-0B38-4DEE-93C5-47BD1A4FACAE}"/>
    <hyperlink ref="A717" r:id="rId716" xr:uid="{6EB83BDF-12B2-4E65-9BBC-09ACF1A8B6F7}"/>
    <hyperlink ref="A718" r:id="rId717" xr:uid="{87BB8AF7-99C9-4E58-AB25-F9028677F13D}"/>
    <hyperlink ref="A719" r:id="rId718" xr:uid="{1C3BF57B-B879-44C2-B1D3-5609AE4C9DF7}"/>
    <hyperlink ref="A720" r:id="rId719" xr:uid="{907A0EA9-59DA-4832-986B-49130675FECC}"/>
    <hyperlink ref="A721" r:id="rId720" xr:uid="{E72F026F-723E-4245-A147-848F08784601}"/>
    <hyperlink ref="A722" r:id="rId721" xr:uid="{8C91BC6E-9EE1-4EE6-B768-B76BEFDD0967}"/>
    <hyperlink ref="A723" r:id="rId722" xr:uid="{B6C73268-FB17-4681-B524-0B3137B9BC7F}"/>
    <hyperlink ref="A724" r:id="rId723" xr:uid="{0AB4A600-18EB-42D1-9D29-C543F06D9128}"/>
    <hyperlink ref="A725" r:id="rId724" xr:uid="{BEF3548C-0CA5-40CE-9F48-F5276DAD992C}"/>
    <hyperlink ref="A726" r:id="rId725" xr:uid="{6063A3B6-2274-4AB8-BED0-EED5BC7C895F}"/>
    <hyperlink ref="A727" r:id="rId726" xr:uid="{9FD6FD99-7DB7-4953-801A-CA1CCFC9B0D6}"/>
    <hyperlink ref="A728" r:id="rId727" xr:uid="{F0B7A32D-C728-44A9-922B-DD128D7680F3}"/>
    <hyperlink ref="A729" r:id="rId728" xr:uid="{0DFC3E51-029A-47E8-A643-A2A065B9EBBC}"/>
    <hyperlink ref="A730" r:id="rId729" xr:uid="{5BD0911E-CB84-4AA1-AAFD-C35C6A6464E9}"/>
    <hyperlink ref="A731" r:id="rId730" xr:uid="{0E765610-8F90-4149-B7FD-F4A6C34A3E9E}"/>
    <hyperlink ref="A732" r:id="rId731" xr:uid="{D404AE5C-F890-47B3-9A34-6AADEFF936A0}"/>
    <hyperlink ref="A733" r:id="rId732" xr:uid="{35925E44-9CAF-41DF-9724-F316CB0ED57F}"/>
    <hyperlink ref="A734" r:id="rId733" xr:uid="{69B171FE-B1DA-4506-B6C7-96B5F2ED38B6}"/>
    <hyperlink ref="A735" r:id="rId734" xr:uid="{1BCBA2A1-2D7E-424D-BA7C-F832B69EA154}"/>
    <hyperlink ref="A736" r:id="rId735" xr:uid="{7A4C4D79-E509-4055-B623-AF5FA0EB7BC9}"/>
    <hyperlink ref="A737" r:id="rId736" xr:uid="{5E21F984-4499-494E-8FB5-546F7B0ECEC7}"/>
    <hyperlink ref="A738" r:id="rId737" xr:uid="{F0378BA3-022B-4966-A6A3-FE542005A8E5}"/>
    <hyperlink ref="A739" r:id="rId738" xr:uid="{B4FDA2E9-44D1-4AC5-BD09-4CC58D41D4AF}"/>
    <hyperlink ref="A740" r:id="rId739" xr:uid="{0F9374A9-D72F-4E30-8BC3-3A4DC2074D0E}"/>
    <hyperlink ref="A741" r:id="rId740" xr:uid="{49B76067-B0DA-445D-929E-2C0DA6962CB9}"/>
    <hyperlink ref="A742" r:id="rId741" xr:uid="{13A8E1AE-4478-4C03-B873-FEA36CF8FE2C}"/>
    <hyperlink ref="A743" r:id="rId742" xr:uid="{0B412FE0-2AB5-480E-865D-1163A376B9D6}"/>
    <hyperlink ref="A744" r:id="rId743" xr:uid="{9D7CBE84-CF10-4D9A-AF5C-F07A656E5F51}"/>
    <hyperlink ref="A745" r:id="rId744" xr:uid="{DC75CD92-5AE1-4A45-91BF-D38107616F9C}"/>
    <hyperlink ref="A746" r:id="rId745" xr:uid="{53C2320B-5CF2-4D76-A058-55BEC299B359}"/>
    <hyperlink ref="A747" r:id="rId746" xr:uid="{51A66239-9491-4A86-AF4C-D499B496F9D7}"/>
    <hyperlink ref="A748" r:id="rId747" xr:uid="{F1C5F9F9-8D47-4996-A532-53BE23CD883C}"/>
    <hyperlink ref="A749" r:id="rId748" xr:uid="{1AEC9503-E218-4845-AB85-ADEC76A0179F}"/>
    <hyperlink ref="A750" r:id="rId749" xr:uid="{571DAA1C-644A-453C-B30E-084F9905570D}"/>
    <hyperlink ref="A751" r:id="rId750" xr:uid="{0C08F004-71C1-4085-A219-C074C6AB9BF0}"/>
    <hyperlink ref="A752" r:id="rId751" xr:uid="{16FC28F9-1E50-415A-B386-6139E98DC1CC}"/>
    <hyperlink ref="A753" r:id="rId752" xr:uid="{705E5CB6-055F-45F5-8C0B-3D5FA525B67A}"/>
    <hyperlink ref="A754" r:id="rId753" xr:uid="{8DB86835-46F2-44E7-A3E3-B3FFA504F7B2}"/>
    <hyperlink ref="A755" r:id="rId754" xr:uid="{DB72B3CB-80C6-4876-83E5-8483D1C0D41A}"/>
    <hyperlink ref="A756" r:id="rId755" xr:uid="{909450E1-9C8B-4466-A772-0B0DBC549AB5}"/>
    <hyperlink ref="A757" r:id="rId756" xr:uid="{9D428105-7A78-43B7-B9E0-8A2B80665BA7}"/>
    <hyperlink ref="A758" r:id="rId757" xr:uid="{03402972-0799-46AD-8461-52E51255A765}"/>
    <hyperlink ref="A759" r:id="rId758" xr:uid="{A11F52F3-DE94-4D27-BB89-B5C454FFA44C}"/>
    <hyperlink ref="A760" r:id="rId759" xr:uid="{BAB9E4C9-2AE4-4EFB-B8CB-B99520F5292E}"/>
    <hyperlink ref="A761" r:id="rId760" xr:uid="{5AAB14F6-1823-4BE7-B77B-BC02B6353CAD}"/>
    <hyperlink ref="A762" r:id="rId761" xr:uid="{B4AA36F6-BBF6-49DB-B56E-6E930B88EE10}"/>
    <hyperlink ref="A763" r:id="rId762" xr:uid="{6ADACE43-FA5F-4160-B108-75E5DA334A89}"/>
    <hyperlink ref="A764" r:id="rId763" xr:uid="{A68D5FF3-FB76-450B-9957-F8E4076D83A4}"/>
    <hyperlink ref="A765" r:id="rId764" xr:uid="{9020FBA4-DF3A-4EB1-A26F-608A688AF8C1}"/>
    <hyperlink ref="A766" r:id="rId765" xr:uid="{0277F061-6559-4BA0-8AB2-7D82E1D0921C}"/>
    <hyperlink ref="A767" r:id="rId766" xr:uid="{E92EEAA6-CF39-4A85-A77A-2251F7BF2882}"/>
    <hyperlink ref="A768" r:id="rId767" xr:uid="{B9192F2C-5C25-484A-A11E-0C775C3258EF}"/>
    <hyperlink ref="A769" r:id="rId768" xr:uid="{938C7CD6-CCBB-46C4-8129-C1FB00443E6A}"/>
    <hyperlink ref="A770" r:id="rId769" xr:uid="{2D8C6862-601A-439E-8899-FF168F961B26}"/>
    <hyperlink ref="A771" r:id="rId770" xr:uid="{29DAB460-1376-4D2C-88EB-E7E00CF29C3A}"/>
    <hyperlink ref="A772" r:id="rId771" xr:uid="{A93858A3-9005-45BF-B2BA-E43F4A058F2C}"/>
    <hyperlink ref="A773" r:id="rId772" xr:uid="{1E7AB014-C300-4777-9126-F1C3F6C59FE9}"/>
    <hyperlink ref="A774" r:id="rId773" xr:uid="{F04AE523-26E5-40DA-A372-FC6636840C5D}"/>
    <hyperlink ref="A775" r:id="rId774" xr:uid="{D302ED1A-2C25-4064-BA1E-DE5E68857CC7}"/>
    <hyperlink ref="A776" r:id="rId775" xr:uid="{48A13C39-E12E-4A62-820A-02C14F52768E}"/>
    <hyperlink ref="A777" r:id="rId776" xr:uid="{861C1B90-DB63-4C5F-A6E5-D0CC2FC3048D}"/>
    <hyperlink ref="A778" r:id="rId777" xr:uid="{C3BDF752-D392-46CC-ABEE-4A11D17E31D7}"/>
    <hyperlink ref="A779" r:id="rId778" xr:uid="{FA6C4FA1-A7D8-4CA2-BE41-F14A1D6DD8A8}"/>
    <hyperlink ref="A780" r:id="rId779" xr:uid="{6C7D036B-B025-4689-BB2F-BAEE923FE829}"/>
    <hyperlink ref="A781" r:id="rId780" xr:uid="{6A3C05D5-4B76-4CA7-BCB9-B63EA3606FDF}"/>
    <hyperlink ref="A782" r:id="rId781" xr:uid="{C4B6B68C-A2C2-4D01-95C4-5EC1BC88AB6A}"/>
    <hyperlink ref="A783" r:id="rId782" xr:uid="{9A9476EC-28A5-4A7D-8791-C415FA9EAE3E}"/>
    <hyperlink ref="A784" r:id="rId783" xr:uid="{F6A050D1-61F8-46D9-AF4F-A5E76FAE3BA0}"/>
    <hyperlink ref="A785" r:id="rId784" xr:uid="{4B1543B6-81D8-42F0-AD9D-2B67EFCE75B1}"/>
    <hyperlink ref="A786" r:id="rId785" xr:uid="{8BBB88F2-9D36-4767-AE96-D165BE26CF1D}"/>
    <hyperlink ref="A787" r:id="rId786" xr:uid="{A2BFCE9E-9C32-41C7-A57B-38001113A2CF}"/>
    <hyperlink ref="A788" r:id="rId787" xr:uid="{DECC7EE7-C271-41EE-A47A-20E2AA707927}"/>
    <hyperlink ref="A789" r:id="rId788" xr:uid="{D165A226-B5E3-4425-8B9B-0C46C8950804}"/>
  </hyperlinks>
  <pageMargins left="0.7" right="0.7" top="0.75" bottom="0.75" header="0.3" footer="0.3"/>
  <tableParts count="1">
    <tablePart r:id="rId7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 Dinh Manh</dc:creator>
  <cp:lastModifiedBy>Phi Dinh Manh</cp:lastModifiedBy>
  <dcterms:created xsi:type="dcterms:W3CDTF">2026-03-19T16:16:58Z</dcterms:created>
  <dcterms:modified xsi:type="dcterms:W3CDTF">2026-04-09T17:47:59Z</dcterms:modified>
</cp:coreProperties>
</file>